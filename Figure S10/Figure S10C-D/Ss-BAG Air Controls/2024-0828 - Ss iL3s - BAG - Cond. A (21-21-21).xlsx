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2024-0828/"/>
    </mc:Choice>
  </mc:AlternateContent>
  <xr:revisionPtr revIDLastSave="0" documentId="13_ncr:1_{D69D7336-FACE-5843-9196-76569600351D}" xr6:coauthVersionLast="47" xr6:coauthVersionMax="47" xr10:uidLastSave="{00000000-0000-0000-0000-000000000000}"/>
  <bookViews>
    <workbookView xWindow="1820" yWindow="760" windowWidth="28060" windowHeight="15620" activeTab="3" xr2:uid="{703F31A7-3FB6-4B05-8EA8-379C6E25ED1D}"/>
  </bookViews>
  <sheets>
    <sheet name="240828A001" sheetId="1" r:id="rId1"/>
    <sheet name="240828A002" sheetId="9" r:id="rId2"/>
    <sheet name="240828A005" sheetId="16" r:id="rId3"/>
    <sheet name="240828A006" sheetId="17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7" l="1"/>
  <c r="I322" i="17"/>
  <c r="K322" i="17" s="1"/>
  <c r="J321" i="17"/>
  <c r="I321" i="17"/>
  <c r="K321" i="17" s="1"/>
  <c r="J320" i="17"/>
  <c r="I320" i="17"/>
  <c r="K320" i="17" s="1"/>
  <c r="J319" i="17"/>
  <c r="I319" i="17"/>
  <c r="K319" i="17" s="1"/>
  <c r="J318" i="17"/>
  <c r="I318" i="17"/>
  <c r="K318" i="17" s="1"/>
  <c r="J317" i="17"/>
  <c r="I317" i="17"/>
  <c r="K317" i="17" s="1"/>
  <c r="J316" i="17"/>
  <c r="I316" i="17"/>
  <c r="K316" i="17" s="1"/>
  <c r="J315" i="17"/>
  <c r="I315" i="17"/>
  <c r="K315" i="17" s="1"/>
  <c r="J314" i="17"/>
  <c r="I314" i="17"/>
  <c r="K314" i="17" s="1"/>
  <c r="J313" i="17"/>
  <c r="I313" i="17"/>
  <c r="K313" i="17" s="1"/>
  <c r="J312" i="17"/>
  <c r="I312" i="17"/>
  <c r="K312" i="17" s="1"/>
  <c r="J311" i="17"/>
  <c r="I311" i="17"/>
  <c r="K311" i="17" s="1"/>
  <c r="J310" i="17"/>
  <c r="I310" i="17"/>
  <c r="K310" i="17" s="1"/>
  <c r="J309" i="17"/>
  <c r="I309" i="17"/>
  <c r="K309" i="17" s="1"/>
  <c r="J308" i="17"/>
  <c r="I308" i="17"/>
  <c r="K308" i="17" s="1"/>
  <c r="L308" i="17" s="1"/>
  <c r="J307" i="17"/>
  <c r="I307" i="17"/>
  <c r="K307" i="17" s="1"/>
  <c r="J306" i="17"/>
  <c r="I306" i="17"/>
  <c r="K306" i="17" s="1"/>
  <c r="J305" i="17"/>
  <c r="I305" i="17"/>
  <c r="K305" i="17" s="1"/>
  <c r="J304" i="17"/>
  <c r="I304" i="17"/>
  <c r="K304" i="17" s="1"/>
  <c r="L304" i="17" s="1"/>
  <c r="J303" i="17"/>
  <c r="I303" i="17"/>
  <c r="K303" i="17" s="1"/>
  <c r="J302" i="17"/>
  <c r="I302" i="17"/>
  <c r="K302" i="17" s="1"/>
  <c r="J301" i="17"/>
  <c r="I301" i="17"/>
  <c r="K301" i="17" s="1"/>
  <c r="J300" i="17"/>
  <c r="I300" i="17"/>
  <c r="K300" i="17" s="1"/>
  <c r="L300" i="17" s="1"/>
  <c r="J299" i="17"/>
  <c r="I299" i="17"/>
  <c r="K299" i="17" s="1"/>
  <c r="J298" i="17"/>
  <c r="I298" i="17"/>
  <c r="K298" i="17" s="1"/>
  <c r="J297" i="17"/>
  <c r="I297" i="17"/>
  <c r="K297" i="17" s="1"/>
  <c r="J296" i="17"/>
  <c r="I296" i="17"/>
  <c r="K296" i="17" s="1"/>
  <c r="L296" i="17" s="1"/>
  <c r="J295" i="17"/>
  <c r="I295" i="17"/>
  <c r="K295" i="17" s="1"/>
  <c r="J294" i="17"/>
  <c r="I294" i="17"/>
  <c r="K294" i="17" s="1"/>
  <c r="J293" i="17"/>
  <c r="I293" i="17"/>
  <c r="K293" i="17" s="1"/>
  <c r="J292" i="17"/>
  <c r="I292" i="17"/>
  <c r="K292" i="17" s="1"/>
  <c r="L292" i="17" s="1"/>
  <c r="J291" i="17"/>
  <c r="I291" i="17"/>
  <c r="K291" i="17" s="1"/>
  <c r="J290" i="17"/>
  <c r="I290" i="17"/>
  <c r="K290" i="17" s="1"/>
  <c r="J289" i="17"/>
  <c r="I289" i="17"/>
  <c r="K289" i="17" s="1"/>
  <c r="J288" i="17"/>
  <c r="I288" i="17"/>
  <c r="K288" i="17" s="1"/>
  <c r="J287" i="17"/>
  <c r="I287" i="17"/>
  <c r="K287" i="17" s="1"/>
  <c r="J286" i="17"/>
  <c r="I286" i="17"/>
  <c r="K286" i="17" s="1"/>
  <c r="J285" i="17"/>
  <c r="I285" i="17"/>
  <c r="K285" i="17" s="1"/>
  <c r="J284" i="17"/>
  <c r="I284" i="17"/>
  <c r="K284" i="17" s="1"/>
  <c r="L284" i="17" s="1"/>
  <c r="J283" i="17"/>
  <c r="I283" i="17"/>
  <c r="K283" i="17" s="1"/>
  <c r="J282" i="17"/>
  <c r="I282" i="17"/>
  <c r="K282" i="17" s="1"/>
  <c r="J281" i="17"/>
  <c r="I281" i="17"/>
  <c r="K281" i="17" s="1"/>
  <c r="J280" i="17"/>
  <c r="I280" i="17"/>
  <c r="K280" i="17" s="1"/>
  <c r="L280" i="17" s="1"/>
  <c r="J279" i="17"/>
  <c r="I279" i="17"/>
  <c r="K279" i="17" s="1"/>
  <c r="J278" i="17"/>
  <c r="I278" i="17"/>
  <c r="K278" i="17" s="1"/>
  <c r="J277" i="17"/>
  <c r="I277" i="17"/>
  <c r="K277" i="17" s="1"/>
  <c r="J276" i="17"/>
  <c r="I276" i="17"/>
  <c r="K276" i="17" s="1"/>
  <c r="L276" i="17" s="1"/>
  <c r="J275" i="17"/>
  <c r="I275" i="17"/>
  <c r="K275" i="17" s="1"/>
  <c r="J274" i="17"/>
  <c r="I274" i="17"/>
  <c r="K274" i="17" s="1"/>
  <c r="J273" i="17"/>
  <c r="I273" i="17"/>
  <c r="K273" i="17" s="1"/>
  <c r="J272" i="17"/>
  <c r="I272" i="17"/>
  <c r="K272" i="17" s="1"/>
  <c r="L272" i="17" s="1"/>
  <c r="J271" i="17"/>
  <c r="I271" i="17"/>
  <c r="K271" i="17" s="1"/>
  <c r="J270" i="17"/>
  <c r="I270" i="17"/>
  <c r="K270" i="17" s="1"/>
  <c r="J269" i="17"/>
  <c r="I269" i="17"/>
  <c r="K269" i="17" s="1"/>
  <c r="J268" i="17"/>
  <c r="I268" i="17"/>
  <c r="K268" i="17" s="1"/>
  <c r="L268" i="17" s="1"/>
  <c r="J267" i="17"/>
  <c r="I267" i="17"/>
  <c r="K267" i="17" s="1"/>
  <c r="J266" i="17"/>
  <c r="I266" i="17"/>
  <c r="K266" i="17" s="1"/>
  <c r="J265" i="17"/>
  <c r="I265" i="17"/>
  <c r="K265" i="17" s="1"/>
  <c r="J264" i="17"/>
  <c r="I264" i="17"/>
  <c r="K264" i="17" s="1"/>
  <c r="L264" i="17" s="1"/>
  <c r="J263" i="17"/>
  <c r="I263" i="17"/>
  <c r="K263" i="17" s="1"/>
  <c r="J262" i="17"/>
  <c r="I262" i="17"/>
  <c r="K262" i="17" s="1"/>
  <c r="J261" i="17"/>
  <c r="I261" i="17"/>
  <c r="K261" i="17" s="1"/>
  <c r="J260" i="17"/>
  <c r="I260" i="17"/>
  <c r="K260" i="17" s="1"/>
  <c r="J259" i="17"/>
  <c r="I259" i="17"/>
  <c r="K259" i="17" s="1"/>
  <c r="J258" i="17"/>
  <c r="I258" i="17"/>
  <c r="K258" i="17" s="1"/>
  <c r="J257" i="17"/>
  <c r="I257" i="17"/>
  <c r="K257" i="17" s="1"/>
  <c r="J256" i="17"/>
  <c r="I256" i="17"/>
  <c r="K256" i="17" s="1"/>
  <c r="J255" i="17"/>
  <c r="I255" i="17"/>
  <c r="K255" i="17" s="1"/>
  <c r="J254" i="17"/>
  <c r="I254" i="17"/>
  <c r="K254" i="17" s="1"/>
  <c r="J253" i="17"/>
  <c r="I253" i="17"/>
  <c r="K253" i="17" s="1"/>
  <c r="J252" i="17"/>
  <c r="I252" i="17"/>
  <c r="K252" i="17" s="1"/>
  <c r="J251" i="17"/>
  <c r="I251" i="17"/>
  <c r="K251" i="17" s="1"/>
  <c r="J250" i="17"/>
  <c r="I250" i="17"/>
  <c r="K250" i="17" s="1"/>
  <c r="J249" i="17"/>
  <c r="I249" i="17"/>
  <c r="K249" i="17" s="1"/>
  <c r="J248" i="17"/>
  <c r="I248" i="17"/>
  <c r="K248" i="17" s="1"/>
  <c r="J247" i="17"/>
  <c r="I247" i="17"/>
  <c r="K247" i="17" s="1"/>
  <c r="J246" i="17"/>
  <c r="I246" i="17"/>
  <c r="K246" i="17" s="1"/>
  <c r="J245" i="17"/>
  <c r="I245" i="17"/>
  <c r="K245" i="17" s="1"/>
  <c r="J244" i="17"/>
  <c r="I244" i="17"/>
  <c r="K244" i="17" s="1"/>
  <c r="J243" i="17"/>
  <c r="I243" i="17"/>
  <c r="K243" i="17" s="1"/>
  <c r="J242" i="17"/>
  <c r="I242" i="17"/>
  <c r="K242" i="17" s="1"/>
  <c r="J241" i="17"/>
  <c r="I241" i="17"/>
  <c r="K241" i="17" s="1"/>
  <c r="J240" i="17"/>
  <c r="I240" i="17"/>
  <c r="K240" i="17" s="1"/>
  <c r="J239" i="17"/>
  <c r="I239" i="17"/>
  <c r="K239" i="17" s="1"/>
  <c r="J238" i="17"/>
  <c r="I238" i="17"/>
  <c r="K238" i="17" s="1"/>
  <c r="J237" i="17"/>
  <c r="I237" i="17"/>
  <c r="K237" i="17" s="1"/>
  <c r="J236" i="17"/>
  <c r="I236" i="17"/>
  <c r="K236" i="17" s="1"/>
  <c r="J235" i="17"/>
  <c r="I235" i="17"/>
  <c r="K235" i="17" s="1"/>
  <c r="J234" i="17"/>
  <c r="I234" i="17"/>
  <c r="K234" i="17" s="1"/>
  <c r="J233" i="17"/>
  <c r="I233" i="17"/>
  <c r="K233" i="17" s="1"/>
  <c r="J232" i="17"/>
  <c r="I232" i="17"/>
  <c r="K232" i="17" s="1"/>
  <c r="J231" i="17"/>
  <c r="I231" i="17"/>
  <c r="K231" i="17" s="1"/>
  <c r="J230" i="17"/>
  <c r="I230" i="17"/>
  <c r="K230" i="17" s="1"/>
  <c r="J229" i="17"/>
  <c r="I229" i="17"/>
  <c r="K229" i="17" s="1"/>
  <c r="J228" i="17"/>
  <c r="I228" i="17"/>
  <c r="K228" i="17" s="1"/>
  <c r="J227" i="17"/>
  <c r="I227" i="17"/>
  <c r="K227" i="17" s="1"/>
  <c r="J226" i="17"/>
  <c r="I226" i="17"/>
  <c r="K226" i="17" s="1"/>
  <c r="J225" i="17"/>
  <c r="I225" i="17"/>
  <c r="K225" i="17" s="1"/>
  <c r="J224" i="17"/>
  <c r="I224" i="17"/>
  <c r="K224" i="17" s="1"/>
  <c r="J223" i="17"/>
  <c r="I223" i="17"/>
  <c r="K223" i="17" s="1"/>
  <c r="J222" i="17"/>
  <c r="I222" i="17"/>
  <c r="K222" i="17" s="1"/>
  <c r="J221" i="17"/>
  <c r="I221" i="17"/>
  <c r="K221" i="17" s="1"/>
  <c r="J220" i="17"/>
  <c r="I220" i="17"/>
  <c r="K220" i="17" s="1"/>
  <c r="J219" i="17"/>
  <c r="I219" i="17"/>
  <c r="K219" i="17" s="1"/>
  <c r="J218" i="17"/>
  <c r="I218" i="17"/>
  <c r="K218" i="17" s="1"/>
  <c r="J217" i="17"/>
  <c r="I217" i="17"/>
  <c r="K217" i="17" s="1"/>
  <c r="J216" i="17"/>
  <c r="I216" i="17"/>
  <c r="K216" i="17" s="1"/>
  <c r="J215" i="17"/>
  <c r="I215" i="17"/>
  <c r="K215" i="17" s="1"/>
  <c r="J214" i="17"/>
  <c r="I214" i="17"/>
  <c r="K214" i="17" s="1"/>
  <c r="J213" i="17"/>
  <c r="I213" i="17"/>
  <c r="K213" i="17" s="1"/>
  <c r="J212" i="17"/>
  <c r="I212" i="17"/>
  <c r="K212" i="17" s="1"/>
  <c r="J211" i="17"/>
  <c r="I211" i="17"/>
  <c r="K211" i="17" s="1"/>
  <c r="J210" i="17"/>
  <c r="I210" i="17"/>
  <c r="K210" i="17" s="1"/>
  <c r="J209" i="17"/>
  <c r="I209" i="17"/>
  <c r="K209" i="17" s="1"/>
  <c r="J208" i="17"/>
  <c r="I208" i="17"/>
  <c r="K208" i="17" s="1"/>
  <c r="J207" i="17"/>
  <c r="I207" i="17"/>
  <c r="K207" i="17" s="1"/>
  <c r="J206" i="17"/>
  <c r="I206" i="17"/>
  <c r="K206" i="17" s="1"/>
  <c r="J205" i="17"/>
  <c r="I205" i="17"/>
  <c r="K205" i="17" s="1"/>
  <c r="J204" i="17"/>
  <c r="I204" i="17"/>
  <c r="K204" i="17" s="1"/>
  <c r="J203" i="17"/>
  <c r="I203" i="17"/>
  <c r="K203" i="17" s="1"/>
  <c r="J202" i="17"/>
  <c r="I202" i="17"/>
  <c r="K202" i="17" s="1"/>
  <c r="J201" i="17"/>
  <c r="I201" i="17"/>
  <c r="K201" i="17" s="1"/>
  <c r="J200" i="17"/>
  <c r="I200" i="17"/>
  <c r="K200" i="17" s="1"/>
  <c r="J199" i="17"/>
  <c r="I199" i="17"/>
  <c r="K199" i="17" s="1"/>
  <c r="J198" i="17"/>
  <c r="I198" i="17"/>
  <c r="K198" i="17" s="1"/>
  <c r="J197" i="17"/>
  <c r="I197" i="17"/>
  <c r="K197" i="17" s="1"/>
  <c r="J196" i="17"/>
  <c r="I196" i="17"/>
  <c r="K196" i="17" s="1"/>
  <c r="J195" i="17"/>
  <c r="I195" i="17"/>
  <c r="K195" i="17" s="1"/>
  <c r="J194" i="17"/>
  <c r="I194" i="17"/>
  <c r="K194" i="17" s="1"/>
  <c r="J193" i="17"/>
  <c r="I193" i="17"/>
  <c r="K193" i="17" s="1"/>
  <c r="J192" i="17"/>
  <c r="I192" i="17"/>
  <c r="K192" i="17" s="1"/>
  <c r="L192" i="17" s="1"/>
  <c r="J191" i="17"/>
  <c r="I191" i="17"/>
  <c r="K191" i="17" s="1"/>
  <c r="J190" i="17"/>
  <c r="I190" i="17"/>
  <c r="K190" i="17" s="1"/>
  <c r="J189" i="17"/>
  <c r="I189" i="17"/>
  <c r="K189" i="17" s="1"/>
  <c r="J188" i="17"/>
  <c r="I188" i="17"/>
  <c r="K188" i="17" s="1"/>
  <c r="J187" i="17"/>
  <c r="I187" i="17"/>
  <c r="K187" i="17" s="1"/>
  <c r="J186" i="17"/>
  <c r="I186" i="17"/>
  <c r="K186" i="17" s="1"/>
  <c r="J185" i="17"/>
  <c r="I185" i="17"/>
  <c r="K185" i="17" s="1"/>
  <c r="J184" i="17"/>
  <c r="I184" i="17"/>
  <c r="K184" i="17" s="1"/>
  <c r="L184" i="17" s="1"/>
  <c r="J183" i="17"/>
  <c r="I183" i="17"/>
  <c r="K183" i="17" s="1"/>
  <c r="J182" i="17"/>
  <c r="I182" i="17"/>
  <c r="K182" i="17" s="1"/>
  <c r="J181" i="17"/>
  <c r="I181" i="17"/>
  <c r="K181" i="17" s="1"/>
  <c r="L181" i="17" s="1"/>
  <c r="J180" i="17"/>
  <c r="I180" i="17"/>
  <c r="K180" i="17" s="1"/>
  <c r="J179" i="17"/>
  <c r="I179" i="17"/>
  <c r="K179" i="17" s="1"/>
  <c r="J178" i="17"/>
  <c r="I178" i="17"/>
  <c r="K178" i="17" s="1"/>
  <c r="J177" i="17"/>
  <c r="I177" i="17"/>
  <c r="K177" i="17" s="1"/>
  <c r="J176" i="17"/>
  <c r="I176" i="17"/>
  <c r="K176" i="17" s="1"/>
  <c r="L176" i="17" s="1"/>
  <c r="J175" i="17"/>
  <c r="I175" i="17"/>
  <c r="K175" i="17" s="1"/>
  <c r="J174" i="17"/>
  <c r="I174" i="17"/>
  <c r="K174" i="17" s="1"/>
  <c r="J173" i="17"/>
  <c r="I173" i="17"/>
  <c r="K173" i="17" s="1"/>
  <c r="L173" i="17" s="1"/>
  <c r="J172" i="17"/>
  <c r="I172" i="17"/>
  <c r="K172" i="17" s="1"/>
  <c r="L172" i="17" s="1"/>
  <c r="J171" i="17"/>
  <c r="I171" i="17"/>
  <c r="K171" i="17" s="1"/>
  <c r="J170" i="17"/>
  <c r="I170" i="17"/>
  <c r="K170" i="17" s="1"/>
  <c r="J169" i="17"/>
  <c r="I169" i="17"/>
  <c r="K169" i="17" s="1"/>
  <c r="J168" i="17"/>
  <c r="I168" i="17"/>
  <c r="K168" i="17" s="1"/>
  <c r="L168" i="17" s="1"/>
  <c r="J167" i="17"/>
  <c r="I167" i="17"/>
  <c r="K167" i="17" s="1"/>
  <c r="J166" i="17"/>
  <c r="I166" i="17"/>
  <c r="K166" i="17" s="1"/>
  <c r="J165" i="17"/>
  <c r="I165" i="17"/>
  <c r="K165" i="17" s="1"/>
  <c r="J164" i="17"/>
  <c r="I164" i="17"/>
  <c r="K164" i="17" s="1"/>
  <c r="J163" i="17"/>
  <c r="I163" i="17"/>
  <c r="K163" i="17" s="1"/>
  <c r="J162" i="17"/>
  <c r="I162" i="17"/>
  <c r="K162" i="17" s="1"/>
  <c r="J161" i="17"/>
  <c r="I161" i="17"/>
  <c r="K161" i="17" s="1"/>
  <c r="J160" i="17"/>
  <c r="I160" i="17"/>
  <c r="K160" i="17" s="1"/>
  <c r="L160" i="17" s="1"/>
  <c r="J159" i="17"/>
  <c r="I159" i="17"/>
  <c r="K159" i="17" s="1"/>
  <c r="J158" i="17"/>
  <c r="I158" i="17"/>
  <c r="K158" i="17" s="1"/>
  <c r="J157" i="17"/>
  <c r="I157" i="17"/>
  <c r="K157" i="17" s="1"/>
  <c r="J156" i="17"/>
  <c r="I156" i="17"/>
  <c r="K156" i="17" s="1"/>
  <c r="J155" i="17"/>
  <c r="I155" i="17"/>
  <c r="K155" i="17" s="1"/>
  <c r="J154" i="17"/>
  <c r="I154" i="17"/>
  <c r="K154" i="17" s="1"/>
  <c r="J153" i="17"/>
  <c r="I153" i="17"/>
  <c r="K153" i="17" s="1"/>
  <c r="J152" i="17"/>
  <c r="I152" i="17"/>
  <c r="K152" i="17" s="1"/>
  <c r="J151" i="17"/>
  <c r="I151" i="17"/>
  <c r="K151" i="17" s="1"/>
  <c r="J150" i="17"/>
  <c r="I150" i="17"/>
  <c r="K150" i="17" s="1"/>
  <c r="L150" i="17" s="1"/>
  <c r="J149" i="17"/>
  <c r="I149" i="17"/>
  <c r="K149" i="17" s="1"/>
  <c r="J148" i="17"/>
  <c r="I148" i="17"/>
  <c r="K148" i="17" s="1"/>
  <c r="J147" i="17"/>
  <c r="I147" i="17"/>
  <c r="K147" i="17" s="1"/>
  <c r="J146" i="17"/>
  <c r="I146" i="17"/>
  <c r="K146" i="17" s="1"/>
  <c r="L146" i="17" s="1"/>
  <c r="J145" i="17"/>
  <c r="I145" i="17"/>
  <c r="K145" i="17" s="1"/>
  <c r="J144" i="17"/>
  <c r="I144" i="17"/>
  <c r="K144" i="17" s="1"/>
  <c r="J143" i="17"/>
  <c r="I143" i="17"/>
  <c r="K143" i="17" s="1"/>
  <c r="J142" i="17"/>
  <c r="I142" i="17"/>
  <c r="K142" i="17" s="1"/>
  <c r="L142" i="17" s="1"/>
  <c r="J141" i="17"/>
  <c r="I141" i="17"/>
  <c r="K141" i="17" s="1"/>
  <c r="J140" i="17"/>
  <c r="I140" i="17"/>
  <c r="K140" i="17" s="1"/>
  <c r="J139" i="17"/>
  <c r="I139" i="17"/>
  <c r="K139" i="17" s="1"/>
  <c r="J138" i="17"/>
  <c r="I138" i="17"/>
  <c r="K138" i="17" s="1"/>
  <c r="J137" i="17"/>
  <c r="I137" i="17"/>
  <c r="K137" i="17" s="1"/>
  <c r="J136" i="17"/>
  <c r="I136" i="17"/>
  <c r="K136" i="17" s="1"/>
  <c r="J135" i="17"/>
  <c r="I135" i="17"/>
  <c r="K135" i="17" s="1"/>
  <c r="J134" i="17"/>
  <c r="I134" i="17"/>
  <c r="K134" i="17" s="1"/>
  <c r="J133" i="17"/>
  <c r="I133" i="17"/>
  <c r="K133" i="17" s="1"/>
  <c r="J132" i="17"/>
  <c r="I132" i="17"/>
  <c r="K132" i="17" s="1"/>
  <c r="J131" i="17"/>
  <c r="I131" i="17"/>
  <c r="K131" i="17" s="1"/>
  <c r="J130" i="17"/>
  <c r="I130" i="17"/>
  <c r="K130" i="17" s="1"/>
  <c r="L130" i="17" s="1"/>
  <c r="J129" i="17"/>
  <c r="I129" i="17"/>
  <c r="K129" i="17" s="1"/>
  <c r="J128" i="17"/>
  <c r="I128" i="17"/>
  <c r="K128" i="17" s="1"/>
  <c r="J127" i="17"/>
  <c r="I127" i="17"/>
  <c r="K127" i="17" s="1"/>
  <c r="L127" i="17" s="1"/>
  <c r="J126" i="17"/>
  <c r="I126" i="17"/>
  <c r="K126" i="17" s="1"/>
  <c r="L126" i="17" s="1"/>
  <c r="J125" i="17"/>
  <c r="I125" i="17"/>
  <c r="K125" i="17" s="1"/>
  <c r="J124" i="17"/>
  <c r="I124" i="17"/>
  <c r="K124" i="17" s="1"/>
  <c r="J123" i="17"/>
  <c r="I123" i="17"/>
  <c r="K123" i="17" s="1"/>
  <c r="J122" i="17"/>
  <c r="I122" i="17"/>
  <c r="K122" i="17" s="1"/>
  <c r="J121" i="17"/>
  <c r="I121" i="17"/>
  <c r="K121" i="17" s="1"/>
  <c r="J120" i="17"/>
  <c r="I120" i="17"/>
  <c r="K120" i="17" s="1"/>
  <c r="J119" i="17"/>
  <c r="I119" i="17"/>
  <c r="K119" i="17" s="1"/>
  <c r="J118" i="17"/>
  <c r="I118" i="17"/>
  <c r="K118" i="17" s="1"/>
  <c r="J117" i="17"/>
  <c r="I117" i="17"/>
  <c r="K117" i="17" s="1"/>
  <c r="J116" i="17"/>
  <c r="I116" i="17"/>
  <c r="K116" i="17" s="1"/>
  <c r="J115" i="17"/>
  <c r="I115" i="17"/>
  <c r="K115" i="17" s="1"/>
  <c r="J114" i="17"/>
  <c r="I114" i="17"/>
  <c r="K114" i="17" s="1"/>
  <c r="J113" i="17"/>
  <c r="I113" i="17"/>
  <c r="K113" i="17" s="1"/>
  <c r="J112" i="17"/>
  <c r="I112" i="17"/>
  <c r="K112" i="17" s="1"/>
  <c r="J111" i="17"/>
  <c r="I111" i="17"/>
  <c r="K111" i="17" s="1"/>
  <c r="J110" i="17"/>
  <c r="I110" i="17"/>
  <c r="K110" i="17" s="1"/>
  <c r="J109" i="17"/>
  <c r="I109" i="17"/>
  <c r="K109" i="17" s="1"/>
  <c r="J108" i="17"/>
  <c r="I108" i="17"/>
  <c r="K108" i="17" s="1"/>
  <c r="J107" i="17"/>
  <c r="I107" i="17"/>
  <c r="K107" i="17" s="1"/>
  <c r="J106" i="17"/>
  <c r="I106" i="17"/>
  <c r="K106" i="17" s="1"/>
  <c r="J105" i="17"/>
  <c r="I105" i="17"/>
  <c r="K105" i="17" s="1"/>
  <c r="L105" i="17" s="1"/>
  <c r="J104" i="17"/>
  <c r="I104" i="17"/>
  <c r="K104" i="17" s="1"/>
  <c r="J103" i="17"/>
  <c r="I103" i="17"/>
  <c r="K103" i="17" s="1"/>
  <c r="J102" i="17"/>
  <c r="I102" i="17"/>
  <c r="K102" i="17" s="1"/>
  <c r="J101" i="17"/>
  <c r="I101" i="17"/>
  <c r="K101" i="17" s="1"/>
  <c r="L101" i="17" s="1"/>
  <c r="J100" i="17"/>
  <c r="I100" i="17"/>
  <c r="K100" i="17" s="1"/>
  <c r="J99" i="17"/>
  <c r="I99" i="17"/>
  <c r="K99" i="17" s="1"/>
  <c r="J98" i="17"/>
  <c r="I98" i="17"/>
  <c r="K98" i="17" s="1"/>
  <c r="L98" i="17" s="1"/>
  <c r="J97" i="17"/>
  <c r="I97" i="17"/>
  <c r="K97" i="17" s="1"/>
  <c r="L97" i="17" s="1"/>
  <c r="J96" i="17"/>
  <c r="I96" i="17"/>
  <c r="K96" i="17" s="1"/>
  <c r="J95" i="17"/>
  <c r="I95" i="17"/>
  <c r="K95" i="17" s="1"/>
  <c r="J94" i="17"/>
  <c r="I94" i="17"/>
  <c r="K94" i="17" s="1"/>
  <c r="J93" i="17"/>
  <c r="I93" i="17"/>
  <c r="K93" i="17" s="1"/>
  <c r="J92" i="17"/>
  <c r="I92" i="17"/>
  <c r="K92" i="17" s="1"/>
  <c r="J91" i="17"/>
  <c r="I91" i="17"/>
  <c r="K91" i="17" s="1"/>
  <c r="L91" i="17" s="1"/>
  <c r="J90" i="17"/>
  <c r="I90" i="17"/>
  <c r="K90" i="17" s="1"/>
  <c r="J89" i="17"/>
  <c r="I89" i="17"/>
  <c r="K89" i="17" s="1"/>
  <c r="J88" i="17"/>
  <c r="I88" i="17"/>
  <c r="K88" i="17" s="1"/>
  <c r="J87" i="17"/>
  <c r="I87" i="17"/>
  <c r="K87" i="17" s="1"/>
  <c r="J86" i="17"/>
  <c r="I86" i="17"/>
  <c r="K86" i="17" s="1"/>
  <c r="J85" i="17"/>
  <c r="I85" i="17"/>
  <c r="K85" i="17" s="1"/>
  <c r="L85" i="17" s="1"/>
  <c r="J84" i="17"/>
  <c r="I84" i="17"/>
  <c r="K84" i="17" s="1"/>
  <c r="J83" i="17"/>
  <c r="I83" i="17"/>
  <c r="K83" i="17" s="1"/>
  <c r="L83" i="17" s="1"/>
  <c r="J82" i="17"/>
  <c r="I82" i="17"/>
  <c r="K82" i="17" s="1"/>
  <c r="L82" i="17" s="1"/>
  <c r="J81" i="17"/>
  <c r="I81" i="17"/>
  <c r="K81" i="17" s="1"/>
  <c r="J80" i="17"/>
  <c r="I80" i="17"/>
  <c r="K80" i="17" s="1"/>
  <c r="J79" i="17"/>
  <c r="I79" i="17"/>
  <c r="K79" i="17" s="1"/>
  <c r="L79" i="17" s="1"/>
  <c r="V81" i="17" s="1"/>
  <c r="J78" i="17"/>
  <c r="I78" i="17"/>
  <c r="K78" i="17" s="1"/>
  <c r="L78" i="17" s="1"/>
  <c r="J77" i="17"/>
  <c r="I77" i="17"/>
  <c r="K77" i="17" s="1"/>
  <c r="L77" i="17" s="1"/>
  <c r="V79" i="17" s="1"/>
  <c r="J76" i="17"/>
  <c r="I76" i="17"/>
  <c r="K76" i="17" s="1"/>
  <c r="J75" i="17"/>
  <c r="I75" i="17"/>
  <c r="K75" i="17" s="1"/>
  <c r="L75" i="17" s="1"/>
  <c r="V77" i="17" s="1"/>
  <c r="J74" i="17"/>
  <c r="I74" i="17"/>
  <c r="K74" i="17" s="1"/>
  <c r="L74" i="17" s="1"/>
  <c r="J73" i="17"/>
  <c r="I73" i="17"/>
  <c r="K73" i="17" s="1"/>
  <c r="L73" i="17" s="1"/>
  <c r="V75" i="17" s="1"/>
  <c r="J72" i="17"/>
  <c r="I72" i="17"/>
  <c r="K72" i="17" s="1"/>
  <c r="J71" i="17"/>
  <c r="I71" i="17"/>
  <c r="K71" i="17" s="1"/>
  <c r="J70" i="17"/>
  <c r="I70" i="17"/>
  <c r="K70" i="17" s="1"/>
  <c r="J69" i="17"/>
  <c r="I69" i="17"/>
  <c r="K69" i="17" s="1"/>
  <c r="J68" i="17"/>
  <c r="I68" i="17"/>
  <c r="K68" i="17" s="1"/>
  <c r="J67" i="17"/>
  <c r="I67" i="17"/>
  <c r="K67" i="17" s="1"/>
  <c r="J66" i="17"/>
  <c r="I66" i="17"/>
  <c r="K66" i="17" s="1"/>
  <c r="J65" i="17"/>
  <c r="I65" i="17"/>
  <c r="K65" i="17" s="1"/>
  <c r="J64" i="17"/>
  <c r="I64" i="17"/>
  <c r="K64" i="17" s="1"/>
  <c r="J63" i="17"/>
  <c r="I63" i="17"/>
  <c r="K63" i="17" s="1"/>
  <c r="J62" i="17"/>
  <c r="I62" i="17"/>
  <c r="K62" i="17" s="1"/>
  <c r="L62" i="17" s="1"/>
  <c r="J61" i="17"/>
  <c r="I61" i="17"/>
  <c r="K61" i="17" s="1"/>
  <c r="J60" i="17"/>
  <c r="I60" i="17"/>
  <c r="K60" i="17" s="1"/>
  <c r="J59" i="17"/>
  <c r="I59" i="17"/>
  <c r="K59" i="17" s="1"/>
  <c r="J58" i="17"/>
  <c r="I58" i="17"/>
  <c r="K58" i="17" s="1"/>
  <c r="L58" i="17" s="1"/>
  <c r="J57" i="17"/>
  <c r="I57" i="17"/>
  <c r="K57" i="17" s="1"/>
  <c r="J56" i="17"/>
  <c r="I56" i="17"/>
  <c r="K56" i="17" s="1"/>
  <c r="J55" i="17"/>
  <c r="I55" i="17"/>
  <c r="K55" i="17" s="1"/>
  <c r="L55" i="17" s="1"/>
  <c r="J54" i="17"/>
  <c r="I54" i="17"/>
  <c r="K54" i="17" s="1"/>
  <c r="J53" i="17"/>
  <c r="I53" i="17"/>
  <c r="K53" i="17" s="1"/>
  <c r="J52" i="17"/>
  <c r="I52" i="17"/>
  <c r="K52" i="17" s="1"/>
  <c r="J51" i="17"/>
  <c r="I51" i="17"/>
  <c r="K51" i="17" s="1"/>
  <c r="J50" i="17"/>
  <c r="I50" i="17"/>
  <c r="K50" i="17" s="1"/>
  <c r="J49" i="17"/>
  <c r="I49" i="17"/>
  <c r="K49" i="17" s="1"/>
  <c r="J48" i="17"/>
  <c r="I48" i="17"/>
  <c r="K48" i="17" s="1"/>
  <c r="J47" i="17"/>
  <c r="I47" i="17"/>
  <c r="K47" i="17" s="1"/>
  <c r="J46" i="17"/>
  <c r="I46" i="17"/>
  <c r="K46" i="17" s="1"/>
  <c r="J45" i="17"/>
  <c r="I45" i="17"/>
  <c r="K45" i="17" s="1"/>
  <c r="J44" i="17"/>
  <c r="I44" i="17"/>
  <c r="K44" i="17" s="1"/>
  <c r="J43" i="17"/>
  <c r="I43" i="17"/>
  <c r="K43" i="17" s="1"/>
  <c r="J42" i="17"/>
  <c r="I42" i="17"/>
  <c r="K42" i="17" s="1"/>
  <c r="J41" i="17"/>
  <c r="I41" i="17"/>
  <c r="K41" i="17" s="1"/>
  <c r="L41" i="17" s="1"/>
  <c r="J40" i="17"/>
  <c r="I40" i="17"/>
  <c r="K40" i="17" s="1"/>
  <c r="J39" i="17"/>
  <c r="I39" i="17"/>
  <c r="K39" i="17" s="1"/>
  <c r="J38" i="17"/>
  <c r="I38" i="17"/>
  <c r="K38" i="17" s="1"/>
  <c r="L38" i="17" s="1"/>
  <c r="J37" i="17"/>
  <c r="I37" i="17"/>
  <c r="K37" i="17" s="1"/>
  <c r="L37" i="17" s="1"/>
  <c r="J36" i="17"/>
  <c r="I36" i="17"/>
  <c r="K36" i="17" s="1"/>
  <c r="J35" i="17"/>
  <c r="I35" i="17"/>
  <c r="K35" i="17" s="1"/>
  <c r="J34" i="17"/>
  <c r="I34" i="17"/>
  <c r="K34" i="17" s="1"/>
  <c r="J33" i="17"/>
  <c r="I33" i="17"/>
  <c r="K33" i="17" s="1"/>
  <c r="J32" i="17"/>
  <c r="I32" i="17"/>
  <c r="K32" i="17" s="1"/>
  <c r="J31" i="17"/>
  <c r="I31" i="17"/>
  <c r="K31" i="17" s="1"/>
  <c r="J30" i="17"/>
  <c r="I30" i="17"/>
  <c r="K30" i="17" s="1"/>
  <c r="J29" i="17"/>
  <c r="I29" i="17"/>
  <c r="K29" i="17" s="1"/>
  <c r="L29" i="17" s="1"/>
  <c r="J28" i="17"/>
  <c r="I28" i="17"/>
  <c r="K28" i="17" s="1"/>
  <c r="J27" i="17"/>
  <c r="I27" i="17"/>
  <c r="K27" i="17" s="1"/>
  <c r="J26" i="17"/>
  <c r="I26" i="17"/>
  <c r="K26" i="17" s="1"/>
  <c r="J25" i="17"/>
  <c r="I25" i="17"/>
  <c r="K25" i="17" s="1"/>
  <c r="J24" i="17"/>
  <c r="I24" i="17"/>
  <c r="K24" i="17" s="1"/>
  <c r="J23" i="17"/>
  <c r="I23" i="17"/>
  <c r="K23" i="17" s="1"/>
  <c r="J22" i="17"/>
  <c r="I22" i="17"/>
  <c r="K22" i="17" s="1"/>
  <c r="J21" i="17"/>
  <c r="I21" i="17"/>
  <c r="K21" i="17" s="1"/>
  <c r="J20" i="17"/>
  <c r="I20" i="17"/>
  <c r="K20" i="17" s="1"/>
  <c r="J19" i="17"/>
  <c r="I19" i="17"/>
  <c r="K19" i="17" s="1"/>
  <c r="J18" i="17"/>
  <c r="I18" i="17"/>
  <c r="K18" i="17" s="1"/>
  <c r="L18" i="17" s="1"/>
  <c r="J17" i="17"/>
  <c r="I17" i="17"/>
  <c r="K17" i="17" s="1"/>
  <c r="J16" i="17"/>
  <c r="I16" i="17"/>
  <c r="K16" i="17" s="1"/>
  <c r="J15" i="17"/>
  <c r="I15" i="17"/>
  <c r="K15" i="17" s="1"/>
  <c r="J14" i="17"/>
  <c r="I14" i="17"/>
  <c r="K14" i="17" s="1"/>
  <c r="J13" i="17"/>
  <c r="I13" i="17"/>
  <c r="K13" i="17" s="1"/>
  <c r="J12" i="17"/>
  <c r="I12" i="17"/>
  <c r="K12" i="17" s="1"/>
  <c r="J11" i="17"/>
  <c r="I11" i="17"/>
  <c r="K11" i="17" s="1"/>
  <c r="J10" i="17"/>
  <c r="I10" i="17"/>
  <c r="K10" i="17" s="1"/>
  <c r="J9" i="17"/>
  <c r="I9" i="17"/>
  <c r="K9" i="17" s="1"/>
  <c r="J8" i="17"/>
  <c r="I8" i="17"/>
  <c r="K8" i="17" s="1"/>
  <c r="J7" i="17"/>
  <c r="I7" i="17"/>
  <c r="K7" i="17" s="1"/>
  <c r="J6" i="17"/>
  <c r="I6" i="17"/>
  <c r="K6" i="17" s="1"/>
  <c r="J5" i="17"/>
  <c r="I5" i="17"/>
  <c r="K5" i="17" s="1"/>
  <c r="J4" i="17"/>
  <c r="I4" i="17"/>
  <c r="K4" i="17" s="1"/>
  <c r="J3" i="17"/>
  <c r="I3" i="17"/>
  <c r="K3" i="17" s="1"/>
  <c r="J2" i="17"/>
  <c r="I2" i="17"/>
  <c r="K2" i="17" s="1"/>
  <c r="J322" i="16"/>
  <c r="I322" i="16"/>
  <c r="K322" i="16" s="1"/>
  <c r="J321" i="16"/>
  <c r="I321" i="16"/>
  <c r="K321" i="16" s="1"/>
  <c r="J320" i="16"/>
  <c r="I320" i="16"/>
  <c r="K320" i="16" s="1"/>
  <c r="J319" i="16"/>
  <c r="I319" i="16"/>
  <c r="K319" i="16" s="1"/>
  <c r="J318" i="16"/>
  <c r="I318" i="16"/>
  <c r="K318" i="16" s="1"/>
  <c r="J317" i="16"/>
  <c r="I317" i="16"/>
  <c r="K317" i="16" s="1"/>
  <c r="J316" i="16"/>
  <c r="I316" i="16"/>
  <c r="K316" i="16" s="1"/>
  <c r="J315" i="16"/>
  <c r="I315" i="16"/>
  <c r="K315" i="16" s="1"/>
  <c r="J314" i="16"/>
  <c r="I314" i="16"/>
  <c r="K314" i="16" s="1"/>
  <c r="J313" i="16"/>
  <c r="I313" i="16"/>
  <c r="K313" i="16" s="1"/>
  <c r="J312" i="16"/>
  <c r="I312" i="16"/>
  <c r="K312" i="16" s="1"/>
  <c r="J311" i="16"/>
  <c r="I311" i="16"/>
  <c r="K311" i="16" s="1"/>
  <c r="J310" i="16"/>
  <c r="I310" i="16"/>
  <c r="K310" i="16" s="1"/>
  <c r="J309" i="16"/>
  <c r="I309" i="16"/>
  <c r="K309" i="16" s="1"/>
  <c r="J308" i="16"/>
  <c r="I308" i="16"/>
  <c r="K308" i="16" s="1"/>
  <c r="J307" i="16"/>
  <c r="I307" i="16"/>
  <c r="K307" i="16" s="1"/>
  <c r="J306" i="16"/>
  <c r="I306" i="16"/>
  <c r="K306" i="16" s="1"/>
  <c r="J305" i="16"/>
  <c r="I305" i="16"/>
  <c r="K305" i="16" s="1"/>
  <c r="J304" i="16"/>
  <c r="I304" i="16"/>
  <c r="K304" i="16" s="1"/>
  <c r="J303" i="16"/>
  <c r="I303" i="16"/>
  <c r="K303" i="16" s="1"/>
  <c r="J302" i="16"/>
  <c r="I302" i="16"/>
  <c r="K302" i="16" s="1"/>
  <c r="J301" i="16"/>
  <c r="I301" i="16"/>
  <c r="K301" i="16" s="1"/>
  <c r="J300" i="16"/>
  <c r="I300" i="16"/>
  <c r="K300" i="16" s="1"/>
  <c r="J299" i="16"/>
  <c r="I299" i="16"/>
  <c r="K299" i="16" s="1"/>
  <c r="J298" i="16"/>
  <c r="I298" i="16"/>
  <c r="K298" i="16" s="1"/>
  <c r="J297" i="16"/>
  <c r="I297" i="16"/>
  <c r="K297" i="16" s="1"/>
  <c r="J296" i="16"/>
  <c r="I296" i="16"/>
  <c r="K296" i="16" s="1"/>
  <c r="J295" i="16"/>
  <c r="I295" i="16"/>
  <c r="K295" i="16" s="1"/>
  <c r="J294" i="16"/>
  <c r="I294" i="16"/>
  <c r="K294" i="16" s="1"/>
  <c r="J293" i="16"/>
  <c r="I293" i="16"/>
  <c r="K293" i="16" s="1"/>
  <c r="J292" i="16"/>
  <c r="I292" i="16"/>
  <c r="K292" i="16" s="1"/>
  <c r="J291" i="16"/>
  <c r="I291" i="16"/>
  <c r="K291" i="16" s="1"/>
  <c r="J290" i="16"/>
  <c r="I290" i="16"/>
  <c r="K290" i="16" s="1"/>
  <c r="J289" i="16"/>
  <c r="I289" i="16"/>
  <c r="K289" i="16" s="1"/>
  <c r="J288" i="16"/>
  <c r="I288" i="16"/>
  <c r="K288" i="16" s="1"/>
  <c r="J287" i="16"/>
  <c r="I287" i="16"/>
  <c r="K287" i="16" s="1"/>
  <c r="J286" i="16"/>
  <c r="I286" i="16"/>
  <c r="K286" i="16" s="1"/>
  <c r="J285" i="16"/>
  <c r="I285" i="16"/>
  <c r="K285" i="16" s="1"/>
  <c r="J284" i="16"/>
  <c r="I284" i="16"/>
  <c r="K284" i="16" s="1"/>
  <c r="J283" i="16"/>
  <c r="I283" i="16"/>
  <c r="K283" i="16" s="1"/>
  <c r="J282" i="16"/>
  <c r="I282" i="16"/>
  <c r="K282" i="16" s="1"/>
  <c r="J281" i="16"/>
  <c r="I281" i="16"/>
  <c r="K281" i="16" s="1"/>
  <c r="J280" i="16"/>
  <c r="I280" i="16"/>
  <c r="K280" i="16" s="1"/>
  <c r="J279" i="16"/>
  <c r="I279" i="16"/>
  <c r="K279" i="16" s="1"/>
  <c r="J278" i="16"/>
  <c r="I278" i="16"/>
  <c r="K278" i="16" s="1"/>
  <c r="J277" i="16"/>
  <c r="I277" i="16"/>
  <c r="K277" i="16" s="1"/>
  <c r="J276" i="16"/>
  <c r="I276" i="16"/>
  <c r="K276" i="16" s="1"/>
  <c r="J275" i="16"/>
  <c r="I275" i="16"/>
  <c r="K275" i="16" s="1"/>
  <c r="J274" i="16"/>
  <c r="I274" i="16"/>
  <c r="K274" i="16" s="1"/>
  <c r="J273" i="16"/>
  <c r="I273" i="16"/>
  <c r="K273" i="16" s="1"/>
  <c r="J272" i="16"/>
  <c r="I272" i="16"/>
  <c r="K272" i="16" s="1"/>
  <c r="J271" i="16"/>
  <c r="I271" i="16"/>
  <c r="K271" i="16" s="1"/>
  <c r="J270" i="16"/>
  <c r="I270" i="16"/>
  <c r="K270" i="16" s="1"/>
  <c r="J269" i="16"/>
  <c r="I269" i="16"/>
  <c r="K269" i="16" s="1"/>
  <c r="J268" i="16"/>
  <c r="I268" i="16"/>
  <c r="K268" i="16" s="1"/>
  <c r="J267" i="16"/>
  <c r="I267" i="16"/>
  <c r="K267" i="16" s="1"/>
  <c r="J266" i="16"/>
  <c r="I266" i="16"/>
  <c r="K266" i="16" s="1"/>
  <c r="J265" i="16"/>
  <c r="I265" i="16"/>
  <c r="K265" i="16" s="1"/>
  <c r="J264" i="16"/>
  <c r="I264" i="16"/>
  <c r="K264" i="16" s="1"/>
  <c r="J263" i="16"/>
  <c r="I263" i="16"/>
  <c r="K263" i="16" s="1"/>
  <c r="J262" i="16"/>
  <c r="I262" i="16"/>
  <c r="K262" i="16" s="1"/>
  <c r="J261" i="16"/>
  <c r="I261" i="16"/>
  <c r="K261" i="16" s="1"/>
  <c r="J260" i="16"/>
  <c r="I260" i="16"/>
  <c r="K260" i="16" s="1"/>
  <c r="J259" i="16"/>
  <c r="I259" i="16"/>
  <c r="K259" i="16" s="1"/>
  <c r="J258" i="16"/>
  <c r="I258" i="16"/>
  <c r="K258" i="16" s="1"/>
  <c r="J257" i="16"/>
  <c r="I257" i="16"/>
  <c r="K257" i="16" s="1"/>
  <c r="J256" i="16"/>
  <c r="I256" i="16"/>
  <c r="K256" i="16" s="1"/>
  <c r="J255" i="16"/>
  <c r="I255" i="16"/>
  <c r="K255" i="16" s="1"/>
  <c r="J254" i="16"/>
  <c r="I254" i="16"/>
  <c r="K254" i="16" s="1"/>
  <c r="J253" i="16"/>
  <c r="I253" i="16"/>
  <c r="K253" i="16" s="1"/>
  <c r="J252" i="16"/>
  <c r="I252" i="16"/>
  <c r="K252" i="16" s="1"/>
  <c r="J251" i="16"/>
  <c r="I251" i="16"/>
  <c r="K251" i="16" s="1"/>
  <c r="J250" i="16"/>
  <c r="I250" i="16"/>
  <c r="K250" i="16" s="1"/>
  <c r="J249" i="16"/>
  <c r="I249" i="16"/>
  <c r="K249" i="16" s="1"/>
  <c r="J248" i="16"/>
  <c r="I248" i="16"/>
  <c r="K248" i="16" s="1"/>
  <c r="J247" i="16"/>
  <c r="I247" i="16"/>
  <c r="K247" i="16" s="1"/>
  <c r="J246" i="16"/>
  <c r="I246" i="16"/>
  <c r="K246" i="16" s="1"/>
  <c r="J245" i="16"/>
  <c r="I245" i="16"/>
  <c r="K245" i="16" s="1"/>
  <c r="J244" i="16"/>
  <c r="I244" i="16"/>
  <c r="K244" i="16" s="1"/>
  <c r="J243" i="16"/>
  <c r="I243" i="16"/>
  <c r="K243" i="16" s="1"/>
  <c r="J242" i="16"/>
  <c r="I242" i="16"/>
  <c r="K242" i="16" s="1"/>
  <c r="J241" i="16"/>
  <c r="I241" i="16"/>
  <c r="K241" i="16" s="1"/>
  <c r="J240" i="16"/>
  <c r="I240" i="16"/>
  <c r="K240" i="16" s="1"/>
  <c r="J239" i="16"/>
  <c r="I239" i="16"/>
  <c r="K239" i="16" s="1"/>
  <c r="J238" i="16"/>
  <c r="I238" i="16"/>
  <c r="K238" i="16" s="1"/>
  <c r="J237" i="16"/>
  <c r="I237" i="16"/>
  <c r="K237" i="16" s="1"/>
  <c r="J236" i="16"/>
  <c r="I236" i="16"/>
  <c r="K236" i="16" s="1"/>
  <c r="J235" i="16"/>
  <c r="I235" i="16"/>
  <c r="K235" i="16" s="1"/>
  <c r="J234" i="16"/>
  <c r="I234" i="16"/>
  <c r="K234" i="16" s="1"/>
  <c r="J233" i="16"/>
  <c r="I233" i="16"/>
  <c r="K233" i="16" s="1"/>
  <c r="J232" i="16"/>
  <c r="I232" i="16"/>
  <c r="K232" i="16" s="1"/>
  <c r="J231" i="16"/>
  <c r="I231" i="16"/>
  <c r="K231" i="16" s="1"/>
  <c r="J230" i="16"/>
  <c r="I230" i="16"/>
  <c r="K230" i="16" s="1"/>
  <c r="J229" i="16"/>
  <c r="I229" i="16"/>
  <c r="K229" i="16" s="1"/>
  <c r="J228" i="16"/>
  <c r="I228" i="16"/>
  <c r="K228" i="16" s="1"/>
  <c r="J227" i="16"/>
  <c r="I227" i="16"/>
  <c r="K227" i="16" s="1"/>
  <c r="J226" i="16"/>
  <c r="I226" i="16"/>
  <c r="K226" i="16" s="1"/>
  <c r="J225" i="16"/>
  <c r="I225" i="16"/>
  <c r="K225" i="16" s="1"/>
  <c r="J224" i="16"/>
  <c r="I224" i="16"/>
  <c r="K224" i="16" s="1"/>
  <c r="J223" i="16"/>
  <c r="I223" i="16"/>
  <c r="K223" i="16" s="1"/>
  <c r="J222" i="16"/>
  <c r="I222" i="16"/>
  <c r="K222" i="16" s="1"/>
  <c r="J221" i="16"/>
  <c r="I221" i="16"/>
  <c r="K221" i="16" s="1"/>
  <c r="J220" i="16"/>
  <c r="I220" i="16"/>
  <c r="K220" i="16" s="1"/>
  <c r="J219" i="16"/>
  <c r="I219" i="16"/>
  <c r="K219" i="16" s="1"/>
  <c r="J218" i="16"/>
  <c r="I218" i="16"/>
  <c r="K218" i="16" s="1"/>
  <c r="J217" i="16"/>
  <c r="I217" i="16"/>
  <c r="K217" i="16" s="1"/>
  <c r="J216" i="16"/>
  <c r="I216" i="16"/>
  <c r="K216" i="16" s="1"/>
  <c r="J215" i="16"/>
  <c r="I215" i="16"/>
  <c r="K215" i="16" s="1"/>
  <c r="J214" i="16"/>
  <c r="I214" i="16"/>
  <c r="K214" i="16" s="1"/>
  <c r="J213" i="16"/>
  <c r="I213" i="16"/>
  <c r="K213" i="16" s="1"/>
  <c r="J212" i="16"/>
  <c r="I212" i="16"/>
  <c r="K212" i="16" s="1"/>
  <c r="J211" i="16"/>
  <c r="I211" i="16"/>
  <c r="K211" i="16" s="1"/>
  <c r="J210" i="16"/>
  <c r="I210" i="16"/>
  <c r="K210" i="16" s="1"/>
  <c r="J209" i="16"/>
  <c r="I209" i="16"/>
  <c r="K209" i="16" s="1"/>
  <c r="J208" i="16"/>
  <c r="I208" i="16"/>
  <c r="K208" i="16" s="1"/>
  <c r="J207" i="16"/>
  <c r="I207" i="16"/>
  <c r="K207" i="16" s="1"/>
  <c r="J206" i="16"/>
  <c r="I206" i="16"/>
  <c r="K206" i="16" s="1"/>
  <c r="J205" i="16"/>
  <c r="I205" i="16"/>
  <c r="K205" i="16" s="1"/>
  <c r="J204" i="16"/>
  <c r="I204" i="16"/>
  <c r="K204" i="16" s="1"/>
  <c r="J203" i="16"/>
  <c r="I203" i="16"/>
  <c r="K203" i="16" s="1"/>
  <c r="J202" i="16"/>
  <c r="I202" i="16"/>
  <c r="K202" i="16" s="1"/>
  <c r="J201" i="16"/>
  <c r="I201" i="16"/>
  <c r="K201" i="16" s="1"/>
  <c r="J200" i="16"/>
  <c r="I200" i="16"/>
  <c r="K200" i="16" s="1"/>
  <c r="J199" i="16"/>
  <c r="I199" i="16"/>
  <c r="K199" i="16" s="1"/>
  <c r="J198" i="16"/>
  <c r="I198" i="16"/>
  <c r="K198" i="16" s="1"/>
  <c r="L198" i="16" s="1"/>
  <c r="J197" i="16"/>
  <c r="I197" i="16"/>
  <c r="K197" i="16" s="1"/>
  <c r="J196" i="16"/>
  <c r="I196" i="16"/>
  <c r="K196" i="16" s="1"/>
  <c r="J195" i="16"/>
  <c r="I195" i="16"/>
  <c r="K195" i="16" s="1"/>
  <c r="J194" i="16"/>
  <c r="I194" i="16"/>
  <c r="K194" i="16" s="1"/>
  <c r="L194" i="16" s="1"/>
  <c r="J193" i="16"/>
  <c r="I193" i="16"/>
  <c r="K193" i="16" s="1"/>
  <c r="J192" i="16"/>
  <c r="I192" i="16"/>
  <c r="K192" i="16" s="1"/>
  <c r="J191" i="16"/>
  <c r="I191" i="16"/>
  <c r="K191" i="16" s="1"/>
  <c r="J190" i="16"/>
  <c r="I190" i="16"/>
  <c r="K190" i="16" s="1"/>
  <c r="J189" i="16"/>
  <c r="I189" i="16"/>
  <c r="K189" i="16" s="1"/>
  <c r="J188" i="16"/>
  <c r="I188" i="16"/>
  <c r="K188" i="16" s="1"/>
  <c r="J187" i="16"/>
  <c r="I187" i="16"/>
  <c r="K187" i="16" s="1"/>
  <c r="J186" i="16"/>
  <c r="I186" i="16"/>
  <c r="K186" i="16" s="1"/>
  <c r="L186" i="16" s="1"/>
  <c r="J185" i="16"/>
  <c r="I185" i="16"/>
  <c r="K185" i="16" s="1"/>
  <c r="J184" i="16"/>
  <c r="I184" i="16"/>
  <c r="K184" i="16" s="1"/>
  <c r="J183" i="16"/>
  <c r="I183" i="16"/>
  <c r="K183" i="16" s="1"/>
  <c r="J182" i="16"/>
  <c r="I182" i="16"/>
  <c r="K182" i="16" s="1"/>
  <c r="L182" i="16" s="1"/>
  <c r="J181" i="16"/>
  <c r="I181" i="16"/>
  <c r="K181" i="16" s="1"/>
  <c r="J180" i="16"/>
  <c r="I180" i="16"/>
  <c r="K180" i="16" s="1"/>
  <c r="J179" i="16"/>
  <c r="I179" i="16"/>
  <c r="K179" i="16" s="1"/>
  <c r="J178" i="16"/>
  <c r="I178" i="16"/>
  <c r="K178" i="16" s="1"/>
  <c r="J177" i="16"/>
  <c r="I177" i="16"/>
  <c r="K177" i="16" s="1"/>
  <c r="J176" i="16"/>
  <c r="I176" i="16"/>
  <c r="K176" i="16" s="1"/>
  <c r="J175" i="16"/>
  <c r="I175" i="16"/>
  <c r="K175" i="16" s="1"/>
  <c r="J174" i="16"/>
  <c r="I174" i="16"/>
  <c r="K174" i="16" s="1"/>
  <c r="L174" i="16" s="1"/>
  <c r="J173" i="16"/>
  <c r="I173" i="16"/>
  <c r="K173" i="16" s="1"/>
  <c r="J172" i="16"/>
  <c r="I172" i="16"/>
  <c r="K172" i="16" s="1"/>
  <c r="J171" i="16"/>
  <c r="I171" i="16"/>
  <c r="K171" i="16" s="1"/>
  <c r="J170" i="16"/>
  <c r="I170" i="16"/>
  <c r="K170" i="16" s="1"/>
  <c r="J169" i="16"/>
  <c r="I169" i="16"/>
  <c r="K169" i="16" s="1"/>
  <c r="J168" i="16"/>
  <c r="I168" i="16"/>
  <c r="K168" i="16" s="1"/>
  <c r="J167" i="16"/>
  <c r="I167" i="16"/>
  <c r="K167" i="16" s="1"/>
  <c r="J166" i="16"/>
  <c r="I166" i="16"/>
  <c r="K166" i="16" s="1"/>
  <c r="L166" i="16" s="1"/>
  <c r="J165" i="16"/>
  <c r="I165" i="16"/>
  <c r="K165" i="16" s="1"/>
  <c r="J164" i="16"/>
  <c r="I164" i="16"/>
  <c r="K164" i="16" s="1"/>
  <c r="J163" i="16"/>
  <c r="I163" i="16"/>
  <c r="K163" i="16" s="1"/>
  <c r="J162" i="16"/>
  <c r="I162" i="16"/>
  <c r="K162" i="16" s="1"/>
  <c r="J161" i="16"/>
  <c r="I161" i="16"/>
  <c r="K161" i="16" s="1"/>
  <c r="J160" i="16"/>
  <c r="I160" i="16"/>
  <c r="K160" i="16" s="1"/>
  <c r="J159" i="16"/>
  <c r="I159" i="16"/>
  <c r="K159" i="16" s="1"/>
  <c r="J158" i="16"/>
  <c r="I158" i="16"/>
  <c r="K158" i="16" s="1"/>
  <c r="J157" i="16"/>
  <c r="I157" i="16"/>
  <c r="K157" i="16" s="1"/>
  <c r="J156" i="16"/>
  <c r="I156" i="16"/>
  <c r="K156" i="16" s="1"/>
  <c r="J155" i="16"/>
  <c r="I155" i="16"/>
  <c r="K155" i="16" s="1"/>
  <c r="J154" i="16"/>
  <c r="I154" i="16"/>
  <c r="K154" i="16" s="1"/>
  <c r="J153" i="16"/>
  <c r="I153" i="16"/>
  <c r="K153" i="16" s="1"/>
  <c r="J152" i="16"/>
  <c r="I152" i="16"/>
  <c r="K152" i="16" s="1"/>
  <c r="J151" i="16"/>
  <c r="I151" i="16"/>
  <c r="K151" i="16" s="1"/>
  <c r="J150" i="16"/>
  <c r="I150" i="16"/>
  <c r="K150" i="16" s="1"/>
  <c r="J149" i="16"/>
  <c r="I149" i="16"/>
  <c r="K149" i="16" s="1"/>
  <c r="J148" i="16"/>
  <c r="I148" i="16"/>
  <c r="K148" i="16" s="1"/>
  <c r="J147" i="16"/>
  <c r="I147" i="16"/>
  <c r="K147" i="16" s="1"/>
  <c r="J146" i="16"/>
  <c r="I146" i="16"/>
  <c r="K146" i="16" s="1"/>
  <c r="J145" i="16"/>
  <c r="I145" i="16"/>
  <c r="K145" i="16" s="1"/>
  <c r="J144" i="16"/>
  <c r="I144" i="16"/>
  <c r="K144" i="16" s="1"/>
  <c r="J143" i="16"/>
  <c r="I143" i="16"/>
  <c r="K143" i="16" s="1"/>
  <c r="J142" i="16"/>
  <c r="I142" i="16"/>
  <c r="K142" i="16" s="1"/>
  <c r="L142" i="16" s="1"/>
  <c r="J141" i="16"/>
  <c r="I141" i="16"/>
  <c r="K141" i="16" s="1"/>
  <c r="J140" i="16"/>
  <c r="I140" i="16"/>
  <c r="K140" i="16" s="1"/>
  <c r="J139" i="16"/>
  <c r="I139" i="16"/>
  <c r="K139" i="16" s="1"/>
  <c r="J138" i="16"/>
  <c r="I138" i="16"/>
  <c r="K138" i="16" s="1"/>
  <c r="J137" i="16"/>
  <c r="I137" i="16"/>
  <c r="K137" i="16" s="1"/>
  <c r="J136" i="16"/>
  <c r="I136" i="16"/>
  <c r="K136" i="16" s="1"/>
  <c r="J135" i="16"/>
  <c r="I135" i="16"/>
  <c r="K135" i="16" s="1"/>
  <c r="J134" i="16"/>
  <c r="I134" i="16"/>
  <c r="K134" i="16" s="1"/>
  <c r="L134" i="16" s="1"/>
  <c r="J133" i="16"/>
  <c r="I133" i="16"/>
  <c r="K133" i="16" s="1"/>
  <c r="J132" i="16"/>
  <c r="I132" i="16"/>
  <c r="K132" i="16" s="1"/>
  <c r="J131" i="16"/>
  <c r="I131" i="16"/>
  <c r="K131" i="16" s="1"/>
  <c r="J130" i="16"/>
  <c r="I130" i="16"/>
  <c r="K130" i="16" s="1"/>
  <c r="L130" i="16" s="1"/>
  <c r="J129" i="16"/>
  <c r="I129" i="16"/>
  <c r="K129" i="16" s="1"/>
  <c r="J128" i="16"/>
  <c r="I128" i="16"/>
  <c r="K128" i="16" s="1"/>
  <c r="J127" i="16"/>
  <c r="I127" i="16"/>
  <c r="K127" i="16" s="1"/>
  <c r="J126" i="16"/>
  <c r="I126" i="16"/>
  <c r="K126" i="16" s="1"/>
  <c r="J125" i="16"/>
  <c r="I125" i="16"/>
  <c r="K125" i="16" s="1"/>
  <c r="J124" i="16"/>
  <c r="I124" i="16"/>
  <c r="K124" i="16" s="1"/>
  <c r="J123" i="16"/>
  <c r="I123" i="16"/>
  <c r="K123" i="16" s="1"/>
  <c r="J122" i="16"/>
  <c r="I122" i="16"/>
  <c r="K122" i="16" s="1"/>
  <c r="J121" i="16"/>
  <c r="I121" i="16"/>
  <c r="K121" i="16" s="1"/>
  <c r="J120" i="16"/>
  <c r="I120" i="16"/>
  <c r="K120" i="16" s="1"/>
  <c r="J119" i="16"/>
  <c r="I119" i="16"/>
  <c r="K119" i="16" s="1"/>
  <c r="J118" i="16"/>
  <c r="I118" i="16"/>
  <c r="K118" i="16" s="1"/>
  <c r="J117" i="16"/>
  <c r="I117" i="16"/>
  <c r="K117" i="16" s="1"/>
  <c r="J116" i="16"/>
  <c r="I116" i="16"/>
  <c r="K116" i="16" s="1"/>
  <c r="J115" i="16"/>
  <c r="I115" i="16"/>
  <c r="K115" i="16" s="1"/>
  <c r="J114" i="16"/>
  <c r="I114" i="16"/>
  <c r="K114" i="16" s="1"/>
  <c r="J113" i="16"/>
  <c r="I113" i="16"/>
  <c r="K113" i="16" s="1"/>
  <c r="J112" i="16"/>
  <c r="I112" i="16"/>
  <c r="K112" i="16" s="1"/>
  <c r="J111" i="16"/>
  <c r="I111" i="16"/>
  <c r="K111" i="16" s="1"/>
  <c r="J110" i="16"/>
  <c r="I110" i="16"/>
  <c r="K110" i="16" s="1"/>
  <c r="J109" i="16"/>
  <c r="I109" i="16"/>
  <c r="K109" i="16" s="1"/>
  <c r="J108" i="16"/>
  <c r="I108" i="16"/>
  <c r="K108" i="16" s="1"/>
  <c r="J107" i="16"/>
  <c r="I107" i="16"/>
  <c r="K107" i="16" s="1"/>
  <c r="J106" i="16"/>
  <c r="I106" i="16"/>
  <c r="K106" i="16" s="1"/>
  <c r="J105" i="16"/>
  <c r="I105" i="16"/>
  <c r="K105" i="16" s="1"/>
  <c r="J104" i="16"/>
  <c r="I104" i="16"/>
  <c r="K104" i="16" s="1"/>
  <c r="J103" i="16"/>
  <c r="I103" i="16"/>
  <c r="K103" i="16" s="1"/>
  <c r="J102" i="16"/>
  <c r="I102" i="16"/>
  <c r="K102" i="16" s="1"/>
  <c r="J101" i="16"/>
  <c r="I101" i="16"/>
  <c r="K101" i="16" s="1"/>
  <c r="J100" i="16"/>
  <c r="I100" i="16"/>
  <c r="K100" i="16" s="1"/>
  <c r="J99" i="16"/>
  <c r="I99" i="16"/>
  <c r="K99" i="16" s="1"/>
  <c r="J98" i="16"/>
  <c r="I98" i="16"/>
  <c r="K98" i="16" s="1"/>
  <c r="L98" i="16" s="1"/>
  <c r="J97" i="16"/>
  <c r="I97" i="16"/>
  <c r="K97" i="16" s="1"/>
  <c r="J96" i="16"/>
  <c r="I96" i="16"/>
  <c r="K96" i="16" s="1"/>
  <c r="J95" i="16"/>
  <c r="I95" i="16"/>
  <c r="K95" i="16" s="1"/>
  <c r="J94" i="16"/>
  <c r="I94" i="16"/>
  <c r="K94" i="16" s="1"/>
  <c r="J93" i="16"/>
  <c r="I93" i="16"/>
  <c r="K93" i="16" s="1"/>
  <c r="J92" i="16"/>
  <c r="I92" i="16"/>
  <c r="K92" i="16" s="1"/>
  <c r="J91" i="16"/>
  <c r="I91" i="16"/>
  <c r="K91" i="16" s="1"/>
  <c r="J90" i="16"/>
  <c r="I90" i="16"/>
  <c r="K90" i="16" s="1"/>
  <c r="J89" i="16"/>
  <c r="I89" i="16"/>
  <c r="K89" i="16" s="1"/>
  <c r="J88" i="16"/>
  <c r="I88" i="16"/>
  <c r="K88" i="16" s="1"/>
  <c r="J87" i="16"/>
  <c r="I87" i="16"/>
  <c r="K87" i="16" s="1"/>
  <c r="J86" i="16"/>
  <c r="I86" i="16"/>
  <c r="K86" i="16" s="1"/>
  <c r="J85" i="16"/>
  <c r="I85" i="16"/>
  <c r="K85" i="16" s="1"/>
  <c r="J84" i="16"/>
  <c r="I84" i="16"/>
  <c r="K84" i="16" s="1"/>
  <c r="J83" i="16"/>
  <c r="I83" i="16"/>
  <c r="K83" i="16" s="1"/>
  <c r="J82" i="16"/>
  <c r="I82" i="16"/>
  <c r="K82" i="16" s="1"/>
  <c r="J81" i="16"/>
  <c r="I81" i="16"/>
  <c r="K81" i="16" s="1"/>
  <c r="J80" i="16"/>
  <c r="I80" i="16"/>
  <c r="K80" i="16" s="1"/>
  <c r="J79" i="16"/>
  <c r="I79" i="16"/>
  <c r="K79" i="16" s="1"/>
  <c r="J78" i="16"/>
  <c r="I78" i="16"/>
  <c r="K78" i="16" s="1"/>
  <c r="J77" i="16"/>
  <c r="I77" i="16"/>
  <c r="K77" i="16" s="1"/>
  <c r="J76" i="16"/>
  <c r="I76" i="16"/>
  <c r="K76" i="16" s="1"/>
  <c r="J75" i="16"/>
  <c r="I75" i="16"/>
  <c r="K75" i="16" s="1"/>
  <c r="J74" i="16"/>
  <c r="I74" i="16"/>
  <c r="K74" i="16" s="1"/>
  <c r="J73" i="16"/>
  <c r="I73" i="16"/>
  <c r="K73" i="16" s="1"/>
  <c r="J72" i="16"/>
  <c r="I72" i="16"/>
  <c r="K72" i="16" s="1"/>
  <c r="J71" i="16"/>
  <c r="I71" i="16"/>
  <c r="K71" i="16" s="1"/>
  <c r="J70" i="16"/>
  <c r="I70" i="16"/>
  <c r="K70" i="16" s="1"/>
  <c r="L70" i="16" s="1"/>
  <c r="J69" i="16"/>
  <c r="I69" i="16"/>
  <c r="K69" i="16" s="1"/>
  <c r="J68" i="16"/>
  <c r="I68" i="16"/>
  <c r="K68" i="16" s="1"/>
  <c r="J67" i="16"/>
  <c r="I67" i="16"/>
  <c r="K67" i="16" s="1"/>
  <c r="J66" i="16"/>
  <c r="I66" i="16"/>
  <c r="K66" i="16" s="1"/>
  <c r="J65" i="16"/>
  <c r="I65" i="16"/>
  <c r="K65" i="16" s="1"/>
  <c r="J64" i="16"/>
  <c r="I64" i="16"/>
  <c r="K64" i="16" s="1"/>
  <c r="J63" i="16"/>
  <c r="I63" i="16"/>
  <c r="K63" i="16" s="1"/>
  <c r="J62" i="16"/>
  <c r="I62" i="16"/>
  <c r="K62" i="16" s="1"/>
  <c r="J61" i="16"/>
  <c r="I61" i="16"/>
  <c r="K61" i="16" s="1"/>
  <c r="J60" i="16"/>
  <c r="I60" i="16"/>
  <c r="K60" i="16" s="1"/>
  <c r="J59" i="16"/>
  <c r="I59" i="16"/>
  <c r="K59" i="16" s="1"/>
  <c r="J58" i="16"/>
  <c r="I58" i="16"/>
  <c r="K58" i="16" s="1"/>
  <c r="J57" i="16"/>
  <c r="I57" i="16"/>
  <c r="K57" i="16" s="1"/>
  <c r="J56" i="16"/>
  <c r="I56" i="16"/>
  <c r="K56" i="16" s="1"/>
  <c r="J55" i="16"/>
  <c r="I55" i="16"/>
  <c r="K55" i="16" s="1"/>
  <c r="J54" i="16"/>
  <c r="I54" i="16"/>
  <c r="K54" i="16" s="1"/>
  <c r="J53" i="16"/>
  <c r="I53" i="16"/>
  <c r="K53" i="16" s="1"/>
  <c r="J52" i="16"/>
  <c r="I52" i="16"/>
  <c r="K52" i="16" s="1"/>
  <c r="J51" i="16"/>
  <c r="I51" i="16"/>
  <c r="K51" i="16" s="1"/>
  <c r="J50" i="16"/>
  <c r="I50" i="16"/>
  <c r="K50" i="16" s="1"/>
  <c r="J49" i="16"/>
  <c r="I49" i="16"/>
  <c r="K49" i="16" s="1"/>
  <c r="J48" i="16"/>
  <c r="I48" i="16"/>
  <c r="K48" i="16" s="1"/>
  <c r="J47" i="16"/>
  <c r="I47" i="16"/>
  <c r="K47" i="16" s="1"/>
  <c r="J46" i="16"/>
  <c r="I46" i="16"/>
  <c r="K46" i="16" s="1"/>
  <c r="J45" i="16"/>
  <c r="I45" i="16"/>
  <c r="K45" i="16" s="1"/>
  <c r="J44" i="16"/>
  <c r="I44" i="16"/>
  <c r="K44" i="16" s="1"/>
  <c r="J43" i="16"/>
  <c r="I43" i="16"/>
  <c r="K43" i="16" s="1"/>
  <c r="J42" i="16"/>
  <c r="I42" i="16"/>
  <c r="K42" i="16" s="1"/>
  <c r="J41" i="16"/>
  <c r="I41" i="16"/>
  <c r="K41" i="16" s="1"/>
  <c r="J40" i="16"/>
  <c r="I40" i="16"/>
  <c r="K40" i="16" s="1"/>
  <c r="J39" i="16"/>
  <c r="I39" i="16"/>
  <c r="K39" i="16" s="1"/>
  <c r="J38" i="16"/>
  <c r="I38" i="16"/>
  <c r="K38" i="16" s="1"/>
  <c r="J37" i="16"/>
  <c r="I37" i="16"/>
  <c r="K37" i="16" s="1"/>
  <c r="J36" i="16"/>
  <c r="I36" i="16"/>
  <c r="K36" i="16" s="1"/>
  <c r="J35" i="16"/>
  <c r="I35" i="16"/>
  <c r="K35" i="16" s="1"/>
  <c r="J34" i="16"/>
  <c r="I34" i="16"/>
  <c r="K34" i="16" s="1"/>
  <c r="J33" i="16"/>
  <c r="I33" i="16"/>
  <c r="K33" i="16" s="1"/>
  <c r="J32" i="16"/>
  <c r="I32" i="16"/>
  <c r="K32" i="16" s="1"/>
  <c r="J31" i="16"/>
  <c r="I31" i="16"/>
  <c r="K31" i="16" s="1"/>
  <c r="J30" i="16"/>
  <c r="I30" i="16"/>
  <c r="K30" i="16" s="1"/>
  <c r="J29" i="16"/>
  <c r="I29" i="16"/>
  <c r="K29" i="16" s="1"/>
  <c r="J28" i="16"/>
  <c r="I28" i="16"/>
  <c r="K28" i="16" s="1"/>
  <c r="J27" i="16"/>
  <c r="I27" i="16"/>
  <c r="K27" i="16" s="1"/>
  <c r="J26" i="16"/>
  <c r="I26" i="16"/>
  <c r="K26" i="16" s="1"/>
  <c r="J25" i="16"/>
  <c r="I25" i="16"/>
  <c r="K25" i="16" s="1"/>
  <c r="J24" i="16"/>
  <c r="I24" i="16"/>
  <c r="K24" i="16" s="1"/>
  <c r="J23" i="16"/>
  <c r="I23" i="16"/>
  <c r="K23" i="16" s="1"/>
  <c r="J22" i="16"/>
  <c r="I22" i="16"/>
  <c r="K22" i="16" s="1"/>
  <c r="J21" i="16"/>
  <c r="I21" i="16"/>
  <c r="K21" i="16" s="1"/>
  <c r="J20" i="16"/>
  <c r="I20" i="16"/>
  <c r="K20" i="16" s="1"/>
  <c r="J19" i="16"/>
  <c r="I19" i="16"/>
  <c r="K19" i="16" s="1"/>
  <c r="J18" i="16"/>
  <c r="I18" i="16"/>
  <c r="K18" i="16" s="1"/>
  <c r="J17" i="16"/>
  <c r="I17" i="16"/>
  <c r="K17" i="16" s="1"/>
  <c r="J16" i="16"/>
  <c r="I16" i="16"/>
  <c r="K16" i="16" s="1"/>
  <c r="J15" i="16"/>
  <c r="I15" i="16"/>
  <c r="K15" i="16" s="1"/>
  <c r="J14" i="16"/>
  <c r="I14" i="16"/>
  <c r="K14" i="16" s="1"/>
  <c r="J13" i="16"/>
  <c r="I13" i="16"/>
  <c r="K13" i="16" s="1"/>
  <c r="J12" i="16"/>
  <c r="I12" i="16"/>
  <c r="K12" i="16" s="1"/>
  <c r="J11" i="16"/>
  <c r="I11" i="16"/>
  <c r="K11" i="16" s="1"/>
  <c r="J10" i="16"/>
  <c r="I10" i="16"/>
  <c r="K10" i="16" s="1"/>
  <c r="J9" i="16"/>
  <c r="I9" i="16"/>
  <c r="K9" i="16" s="1"/>
  <c r="J8" i="16"/>
  <c r="I8" i="16"/>
  <c r="K8" i="16" s="1"/>
  <c r="J7" i="16"/>
  <c r="I7" i="16"/>
  <c r="K7" i="16" s="1"/>
  <c r="J6" i="16"/>
  <c r="I6" i="16"/>
  <c r="K6" i="16" s="1"/>
  <c r="J5" i="16"/>
  <c r="I5" i="16"/>
  <c r="K5" i="16" s="1"/>
  <c r="J4" i="16"/>
  <c r="I4" i="16"/>
  <c r="K4" i="16" s="1"/>
  <c r="J3" i="16"/>
  <c r="I3" i="16"/>
  <c r="K3" i="16" s="1"/>
  <c r="J2" i="16"/>
  <c r="I2" i="16"/>
  <c r="K2" i="16" s="1"/>
  <c r="I322" i="9"/>
  <c r="K322" i="9" s="1"/>
  <c r="L322" i="9" s="1"/>
  <c r="J322" i="9"/>
  <c r="I322" i="1"/>
  <c r="K322" i="1" s="1"/>
  <c r="J322" i="1"/>
  <c r="L3" i="16" l="1"/>
  <c r="L35" i="16"/>
  <c r="L47" i="16"/>
  <c r="L55" i="16"/>
  <c r="L59" i="16"/>
  <c r="L63" i="16"/>
  <c r="V65" i="16" s="1"/>
  <c r="L79" i="16"/>
  <c r="V81" i="16" s="1"/>
  <c r="L83" i="16"/>
  <c r="L107" i="16"/>
  <c r="L111" i="16"/>
  <c r="L115" i="16"/>
  <c r="L119" i="16"/>
  <c r="L123" i="16"/>
  <c r="L127" i="16"/>
  <c r="L139" i="16"/>
  <c r="L147" i="16"/>
  <c r="L151" i="16"/>
  <c r="L159" i="16"/>
  <c r="L167" i="16"/>
  <c r="L179" i="16"/>
  <c r="L183" i="16"/>
  <c r="L187" i="16"/>
  <c r="L191" i="16"/>
  <c r="L204" i="16"/>
  <c r="L208" i="16"/>
  <c r="L212" i="16"/>
  <c r="L216" i="16"/>
  <c r="L220" i="16"/>
  <c r="L224" i="16"/>
  <c r="L228" i="16"/>
  <c r="L232" i="16"/>
  <c r="L236" i="16"/>
  <c r="L240" i="16"/>
  <c r="L244" i="16"/>
  <c r="L252" i="16"/>
  <c r="L256" i="16"/>
  <c r="L264" i="16"/>
  <c r="L268" i="16"/>
  <c r="L276" i="16"/>
  <c r="L300" i="16"/>
  <c r="L304" i="16"/>
  <c r="L308" i="16"/>
  <c r="V90" i="16" s="1"/>
  <c r="L312" i="16"/>
  <c r="V94" i="16" s="1"/>
  <c r="L316" i="16"/>
  <c r="V98" i="16" s="1"/>
  <c r="L320" i="16"/>
  <c r="L21" i="16"/>
  <c r="L25" i="16"/>
  <c r="L29" i="16"/>
  <c r="L97" i="16"/>
  <c r="L125" i="16"/>
  <c r="L149" i="16"/>
  <c r="L153" i="16"/>
  <c r="L165" i="16"/>
  <c r="L201" i="16"/>
  <c r="L209" i="16"/>
  <c r="L213" i="16"/>
  <c r="L217" i="16"/>
  <c r="L233" i="17"/>
  <c r="L237" i="17"/>
  <c r="L20" i="17"/>
  <c r="L56" i="17"/>
  <c r="L64" i="17"/>
  <c r="V66" i="17" s="1"/>
  <c r="L68" i="17"/>
  <c r="V70" i="17" s="1"/>
  <c r="L72" i="17"/>
  <c r="V74" i="17" s="1"/>
  <c r="L112" i="17"/>
  <c r="L144" i="17"/>
  <c r="L207" i="17"/>
  <c r="L219" i="17"/>
  <c r="L223" i="17"/>
  <c r="L227" i="17"/>
  <c r="L254" i="17"/>
  <c r="L262" i="17"/>
  <c r="L286" i="17"/>
  <c r="L293" i="16"/>
  <c r="L87" i="16"/>
  <c r="L311" i="16"/>
  <c r="V93" i="16" s="1"/>
  <c r="L72" i="16"/>
  <c r="V74" i="16" s="1"/>
  <c r="L88" i="16"/>
  <c r="L92" i="16"/>
  <c r="L313" i="16"/>
  <c r="V95" i="16" s="1"/>
  <c r="L74" i="16"/>
  <c r="V76" i="16" s="1"/>
  <c r="L26" i="17"/>
  <c r="L88" i="17"/>
  <c r="L259" i="17"/>
  <c r="L291" i="17"/>
  <c r="L299" i="17"/>
  <c r="L303" i="17"/>
  <c r="V85" i="17" s="1"/>
  <c r="L16" i="17"/>
  <c r="L31" i="17"/>
  <c r="L35" i="17"/>
  <c r="L46" i="17"/>
  <c r="L53" i="17"/>
  <c r="L57" i="17"/>
  <c r="L61" i="17"/>
  <c r="L92" i="17"/>
  <c r="L161" i="17"/>
  <c r="L232" i="17"/>
  <c r="L236" i="17"/>
  <c r="L240" i="17"/>
  <c r="L244" i="17"/>
  <c r="L248" i="17"/>
  <c r="L309" i="17"/>
  <c r="V91" i="17" s="1"/>
  <c r="L313" i="17"/>
  <c r="V95" i="17" s="1"/>
  <c r="L317" i="17"/>
  <c r="V99" i="17" s="1"/>
  <c r="L252" i="17"/>
  <c r="L10" i="17"/>
  <c r="L22" i="17"/>
  <c r="L87" i="17"/>
  <c r="L159" i="17"/>
  <c r="L166" i="17"/>
  <c r="L170" i="17"/>
  <c r="L178" i="17"/>
  <c r="L182" i="17"/>
  <c r="L193" i="17"/>
  <c r="L34" i="17"/>
  <c r="L2" i="17"/>
  <c r="L6" i="17"/>
  <c r="L14" i="17"/>
  <c r="L25" i="17"/>
  <c r="L50" i="17"/>
  <c r="L96" i="17"/>
  <c r="L114" i="17"/>
  <c r="L133" i="17"/>
  <c r="L137" i="17"/>
  <c r="L152" i="17"/>
  <c r="L156" i="17"/>
  <c r="L209" i="17"/>
  <c r="L213" i="17"/>
  <c r="L217" i="17"/>
  <c r="L67" i="17"/>
  <c r="V69" i="17" s="1"/>
  <c r="L100" i="17"/>
  <c r="L108" i="17"/>
  <c r="L115" i="17"/>
  <c r="L134" i="17"/>
  <c r="L138" i="17"/>
  <c r="L206" i="17"/>
  <c r="L222" i="17"/>
  <c r="L226" i="17"/>
  <c r="L253" i="17"/>
  <c r="L316" i="17"/>
  <c r="V98" i="17" s="1"/>
  <c r="L180" i="17"/>
  <c r="L230" i="17"/>
  <c r="L238" i="17"/>
  <c r="L246" i="17"/>
  <c r="L250" i="17"/>
  <c r="L257" i="17"/>
  <c r="L261" i="17"/>
  <c r="L265" i="17"/>
  <c r="L269" i="17"/>
  <c r="L116" i="17"/>
  <c r="L290" i="17"/>
  <c r="L294" i="17"/>
  <c r="L302" i="17"/>
  <c r="V84" i="17" s="1"/>
  <c r="L306" i="17"/>
  <c r="V88" i="17" s="1"/>
  <c r="L9" i="17"/>
  <c r="L13" i="17"/>
  <c r="L69" i="17"/>
  <c r="V71" i="17" s="1"/>
  <c r="L84" i="17"/>
  <c r="L95" i="17"/>
  <c r="L102" i="17"/>
  <c r="L117" i="17"/>
  <c r="L121" i="17"/>
  <c r="L132" i="17"/>
  <c r="L136" i="17"/>
  <c r="L155" i="17"/>
  <c r="L162" i="17"/>
  <c r="L185" i="17"/>
  <c r="L196" i="17"/>
  <c r="L200" i="17"/>
  <c r="L204" i="17"/>
  <c r="L255" i="17"/>
  <c r="L310" i="17"/>
  <c r="V92" i="17" s="1"/>
  <c r="L314" i="17"/>
  <c r="V96" i="17" s="1"/>
  <c r="L322" i="17"/>
  <c r="L173" i="16"/>
  <c r="L15" i="16"/>
  <c r="L19" i="16"/>
  <c r="L27" i="16"/>
  <c r="L31" i="16"/>
  <c r="L4" i="16"/>
  <c r="L8" i="16"/>
  <c r="L12" i="16"/>
  <c r="L20" i="16"/>
  <c r="L24" i="16"/>
  <c r="L266" i="16"/>
  <c r="L274" i="16"/>
  <c r="L67" i="16"/>
  <c r="L71" i="16"/>
  <c r="V73" i="16" s="1"/>
  <c r="L112" i="16"/>
  <c r="L120" i="16"/>
  <c r="L131" i="16"/>
  <c r="L233" i="16"/>
  <c r="L249" i="16"/>
  <c r="L257" i="16"/>
  <c r="L200" i="16"/>
  <c r="L13" i="16"/>
  <c r="L17" i="16"/>
  <c r="L36" i="16"/>
  <c r="L40" i="16"/>
  <c r="L48" i="16"/>
  <c r="L60" i="16"/>
  <c r="L64" i="16"/>
  <c r="V66" i="16" s="1"/>
  <c r="L95" i="16"/>
  <c r="L101" i="16"/>
  <c r="L109" i="16"/>
  <c r="L136" i="16"/>
  <c r="L143" i="16"/>
  <c r="L202" i="16"/>
  <c r="L206" i="16"/>
  <c r="L218" i="16"/>
  <c r="L234" i="16"/>
  <c r="L238" i="16"/>
  <c r="L242" i="16"/>
  <c r="L250" i="16"/>
  <c r="L258" i="16"/>
  <c r="L281" i="16"/>
  <c r="L289" i="16"/>
  <c r="L14" i="16"/>
  <c r="L18" i="16"/>
  <c r="L37" i="16"/>
  <c r="L45" i="16"/>
  <c r="L49" i="16"/>
  <c r="L57" i="16"/>
  <c r="L61" i="16"/>
  <c r="L102" i="16"/>
  <c r="L133" i="16"/>
  <c r="L211" i="16"/>
  <c r="L231" i="16"/>
  <c r="L235" i="16"/>
  <c r="L243" i="16"/>
  <c r="L251" i="16"/>
  <c r="L259" i="16"/>
  <c r="L26" i="16"/>
  <c r="L30" i="16"/>
  <c r="L73" i="16"/>
  <c r="V75" i="16" s="1"/>
  <c r="L85" i="16"/>
  <c r="L89" i="16"/>
  <c r="L99" i="16"/>
  <c r="L122" i="16"/>
  <c r="L126" i="16"/>
  <c r="L156" i="16"/>
  <c r="L160" i="16"/>
  <c r="L164" i="16"/>
  <c r="L168" i="16"/>
  <c r="L172" i="16"/>
  <c r="L176" i="16"/>
  <c r="L180" i="16"/>
  <c r="L184" i="16"/>
  <c r="L188" i="16"/>
  <c r="L192" i="16"/>
  <c r="L196" i="16"/>
  <c r="L314" i="16"/>
  <c r="V96" i="16" s="1"/>
  <c r="L318" i="16"/>
  <c r="V100" i="16" s="1"/>
  <c r="L5" i="17"/>
  <c r="L43" i="17"/>
  <c r="L106" i="17"/>
  <c r="L149" i="17"/>
  <c r="L186" i="17"/>
  <c r="L212" i="17"/>
  <c r="L231" i="17"/>
  <c r="L281" i="17"/>
  <c r="L12" i="17"/>
  <c r="L19" i="17"/>
  <c r="L40" i="17"/>
  <c r="L54" i="17"/>
  <c r="L76" i="17"/>
  <c r="V78" i="17" s="1"/>
  <c r="L103" i="17"/>
  <c r="L110" i="17"/>
  <c r="L120" i="17"/>
  <c r="L124" i="17"/>
  <c r="L135" i="17"/>
  <c r="L153" i="17"/>
  <c r="L171" i="17"/>
  <c r="L175" i="17"/>
  <c r="L179" i="17"/>
  <c r="L183" i="17"/>
  <c r="L190" i="17"/>
  <c r="L205" i="17"/>
  <c r="L216" i="17"/>
  <c r="L220" i="17"/>
  <c r="L224" i="17"/>
  <c r="L243" i="17"/>
  <c r="L247" i="17"/>
  <c r="L258" i="17"/>
  <c r="L285" i="17"/>
  <c r="L274" i="17"/>
  <c r="L278" i="17"/>
  <c r="L282" i="17"/>
  <c r="L289" i="17"/>
  <c r="L293" i="17"/>
  <c r="L301" i="17"/>
  <c r="L305" i="17"/>
  <c r="V87" i="17" s="1"/>
  <c r="L320" i="17"/>
  <c r="V102" i="17" s="1"/>
  <c r="L47" i="17"/>
  <c r="L157" i="17"/>
  <c r="L194" i="17"/>
  <c r="L228" i="17"/>
  <c r="L3" i="17"/>
  <c r="L7" i="17"/>
  <c r="L27" i="17"/>
  <c r="L70" i="17"/>
  <c r="V72" i="17" s="1"/>
  <c r="L118" i="17"/>
  <c r="L129" i="17"/>
  <c r="L140" i="17"/>
  <c r="L147" i="17"/>
  <c r="L154" i="17"/>
  <c r="L158" i="17"/>
  <c r="L169" i="17"/>
  <c r="L195" i="17"/>
  <c r="L199" i="17"/>
  <c r="L203" i="17"/>
  <c r="L214" i="17"/>
  <c r="L229" i="17"/>
  <c r="L263" i="17"/>
  <c r="L267" i="17"/>
  <c r="L271" i="17"/>
  <c r="L275" i="17"/>
  <c r="L279" i="17"/>
  <c r="L321" i="17"/>
  <c r="V103" i="17" s="1"/>
  <c r="L287" i="17"/>
  <c r="L4" i="17"/>
  <c r="L21" i="17"/>
  <c r="L24" i="17"/>
  <c r="L28" i="17"/>
  <c r="L42" i="17"/>
  <c r="L60" i="17"/>
  <c r="L63" i="17"/>
  <c r="V65" i="17" s="1"/>
  <c r="L71" i="17"/>
  <c r="V73" i="17" s="1"/>
  <c r="L122" i="17"/>
  <c r="L256" i="17"/>
  <c r="L307" i="17"/>
  <c r="V89" i="17" s="1"/>
  <c r="L148" i="17"/>
  <c r="L311" i="17"/>
  <c r="V93" i="17" s="1"/>
  <c r="L48" i="17"/>
  <c r="L288" i="17"/>
  <c r="L312" i="17"/>
  <c r="V94" i="17" s="1"/>
  <c r="L15" i="17"/>
  <c r="L99" i="17"/>
  <c r="L208" i="17"/>
  <c r="L260" i="17"/>
  <c r="L125" i="17"/>
  <c r="L23" i="17"/>
  <c r="L93" i="17"/>
  <c r="L89" i="17"/>
  <c r="L8" i="17"/>
  <c r="L44" i="17"/>
  <c r="L163" i="17"/>
  <c r="L187" i="17"/>
  <c r="L197" i="17"/>
  <c r="L241" i="17"/>
  <c r="L297" i="17"/>
  <c r="L318" i="17"/>
  <c r="V100" i="17" s="1"/>
  <c r="L45" i="17"/>
  <c r="L94" i="17"/>
  <c r="L164" i="17"/>
  <c r="L11" i="17"/>
  <c r="L80" i="17"/>
  <c r="V82" i="17" s="1"/>
  <c r="L104" i="17"/>
  <c r="L167" i="17"/>
  <c r="L191" i="17"/>
  <c r="L201" i="17"/>
  <c r="L211" i="17"/>
  <c r="L235" i="17"/>
  <c r="L245" i="17"/>
  <c r="L266" i="17"/>
  <c r="L273" i="17"/>
  <c r="L188" i="17"/>
  <c r="L215" i="17"/>
  <c r="L32" i="17"/>
  <c r="L39" i="17"/>
  <c r="L51" i="17"/>
  <c r="L81" i="17"/>
  <c r="V83" i="17" s="1"/>
  <c r="L128" i="17"/>
  <c r="L174" i="17"/>
  <c r="L177" i="17"/>
  <c r="L198" i="17"/>
  <c r="L218" i="17"/>
  <c r="L225" i="17"/>
  <c r="L239" i="17"/>
  <c r="L242" i="17"/>
  <c r="L249" i="17"/>
  <c r="L270" i="17"/>
  <c r="L277" i="17"/>
  <c r="L295" i="17"/>
  <c r="L298" i="17"/>
  <c r="L319" i="17"/>
  <c r="V101" i="17" s="1"/>
  <c r="V80" i="17"/>
  <c r="V76" i="17"/>
  <c r="L141" i="17"/>
  <c r="L17" i="17"/>
  <c r="V64" i="17"/>
  <c r="L210" i="17"/>
  <c r="L33" i="17"/>
  <c r="L36" i="17"/>
  <c r="L202" i="17"/>
  <c r="L66" i="17"/>
  <c r="L131" i="17"/>
  <c r="L49" i="17"/>
  <c r="L52" i="17"/>
  <c r="L65" i="17"/>
  <c r="L86" i="17"/>
  <c r="L90" i="17"/>
  <c r="L113" i="17"/>
  <c r="L145" i="17"/>
  <c r="L59" i="17"/>
  <c r="L109" i="17"/>
  <c r="L30" i="17"/>
  <c r="V86" i="17"/>
  <c r="L107" i="17"/>
  <c r="L139" i="17"/>
  <c r="L221" i="17"/>
  <c r="L251" i="17"/>
  <c r="L315" i="17"/>
  <c r="L111" i="17"/>
  <c r="L143" i="17"/>
  <c r="L165" i="17"/>
  <c r="L234" i="17"/>
  <c r="V90" i="17"/>
  <c r="L119" i="17"/>
  <c r="L151" i="17"/>
  <c r="L123" i="17"/>
  <c r="L189" i="17"/>
  <c r="L283" i="17"/>
  <c r="L11" i="16"/>
  <c r="L94" i="16"/>
  <c r="L292" i="16"/>
  <c r="L52" i="16"/>
  <c r="L77" i="16"/>
  <c r="V79" i="16" s="1"/>
  <c r="L175" i="16"/>
  <c r="L225" i="16"/>
  <c r="L267" i="16"/>
  <c r="L275" i="16"/>
  <c r="L282" i="16"/>
  <c r="L286" i="16"/>
  <c r="L305" i="16"/>
  <c r="V87" i="16" s="1"/>
  <c r="L53" i="16"/>
  <c r="L138" i="16"/>
  <c r="L210" i="16"/>
  <c r="L241" i="16"/>
  <c r="L279" i="16"/>
  <c r="L321" i="16"/>
  <c r="V103" i="16" s="1"/>
  <c r="L90" i="16"/>
  <c r="L93" i="16"/>
  <c r="L117" i="16"/>
  <c r="L157" i="16"/>
  <c r="L226" i="16"/>
  <c r="L245" i="16"/>
  <c r="L272" i="16"/>
  <c r="L291" i="16"/>
  <c r="L298" i="16"/>
  <c r="L306" i="16"/>
  <c r="V88" i="16" s="1"/>
  <c r="L46" i="16"/>
  <c r="L50" i="16"/>
  <c r="L54" i="16"/>
  <c r="L65" i="16"/>
  <c r="V67" i="16" s="1"/>
  <c r="L68" i="16"/>
  <c r="V70" i="16" s="1"/>
  <c r="L110" i="16"/>
  <c r="L135" i="16"/>
  <c r="L260" i="16"/>
  <c r="L2" i="16"/>
  <c r="L10" i="16"/>
  <c r="L34" i="16"/>
  <c r="L62" i="16"/>
  <c r="V64" i="16" s="1"/>
  <c r="L69" i="16"/>
  <c r="L76" i="16"/>
  <c r="V78" i="16" s="1"/>
  <c r="L80" i="16"/>
  <c r="V82" i="16" s="1"/>
  <c r="L84" i="16"/>
  <c r="L96" i="16"/>
  <c r="L114" i="16"/>
  <c r="L132" i="16"/>
  <c r="L146" i="16"/>
  <c r="L150" i="16"/>
  <c r="L154" i="16"/>
  <c r="L158" i="16"/>
  <c r="L181" i="16"/>
  <c r="L227" i="16"/>
  <c r="L265" i="16"/>
  <c r="L273" i="16"/>
  <c r="L284" i="16"/>
  <c r="L288" i="16"/>
  <c r="L299" i="16"/>
  <c r="L307" i="16"/>
  <c r="V89" i="16" s="1"/>
  <c r="L103" i="16"/>
  <c r="L129" i="16"/>
  <c r="L189" i="16"/>
  <c r="L248" i="16"/>
  <c r="L263" i="16"/>
  <c r="L270" i="16"/>
  <c r="L277" i="16"/>
  <c r="L280" i="16"/>
  <c r="L295" i="16"/>
  <c r="L302" i="16"/>
  <c r="V84" i="16" s="1"/>
  <c r="L309" i="16"/>
  <c r="V91" i="16" s="1"/>
  <c r="L9" i="16"/>
  <c r="L28" i="16"/>
  <c r="L44" i="16"/>
  <c r="L148" i="16"/>
  <c r="L193" i="16"/>
  <c r="L6" i="16"/>
  <c r="L16" i="16"/>
  <c r="L38" i="16"/>
  <c r="L41" i="16"/>
  <c r="L51" i="16"/>
  <c r="L58" i="16"/>
  <c r="L104" i="16"/>
  <c r="L118" i="16"/>
  <c r="L124" i="16"/>
  <c r="L145" i="16"/>
  <c r="L152" i="16"/>
  <c r="L162" i="16"/>
  <c r="L169" i="16"/>
  <c r="L190" i="16"/>
  <c r="L197" i="16"/>
  <c r="L207" i="16"/>
  <c r="L214" i="16"/>
  <c r="L221" i="16"/>
  <c r="L239" i="16"/>
  <c r="L246" i="16"/>
  <c r="L253" i="16"/>
  <c r="L271" i="16"/>
  <c r="L278" i="16"/>
  <c r="L285" i="16"/>
  <c r="L303" i="16"/>
  <c r="V85" i="16" s="1"/>
  <c r="L310" i="16"/>
  <c r="V92" i="16" s="1"/>
  <c r="L317" i="16"/>
  <c r="V99" i="16" s="1"/>
  <c r="L7" i="16"/>
  <c r="L22" i="16"/>
  <c r="L39" i="16"/>
  <c r="L42" i="16"/>
  <c r="L78" i="16"/>
  <c r="V80" i="16" s="1"/>
  <c r="L140" i="16"/>
  <c r="L163" i="16"/>
  <c r="L170" i="16"/>
  <c r="L177" i="16"/>
  <c r="L215" i="16"/>
  <c r="L222" i="16"/>
  <c r="L229" i="16"/>
  <c r="L247" i="16"/>
  <c r="L254" i="16"/>
  <c r="L261" i="16"/>
  <c r="L296" i="16"/>
  <c r="L195" i="16"/>
  <c r="L283" i="16"/>
  <c r="L290" i="16"/>
  <c r="L297" i="16"/>
  <c r="L315" i="16"/>
  <c r="V97" i="16" s="1"/>
  <c r="L322" i="16"/>
  <c r="L23" i="16"/>
  <c r="L75" i="16"/>
  <c r="V77" i="16" s="1"/>
  <c r="L82" i="16"/>
  <c r="L100" i="16"/>
  <c r="L106" i="16"/>
  <c r="L116" i="16"/>
  <c r="L141" i="16"/>
  <c r="L171" i="16"/>
  <c r="L178" i="16"/>
  <c r="L185" i="16"/>
  <c r="L199" i="16"/>
  <c r="L205" i="16"/>
  <c r="L223" i="16"/>
  <c r="L230" i="16"/>
  <c r="L237" i="16"/>
  <c r="L255" i="16"/>
  <c r="L262" i="16"/>
  <c r="L269" i="16"/>
  <c r="L287" i="16"/>
  <c r="L294" i="16"/>
  <c r="L301" i="16"/>
  <c r="L319" i="16"/>
  <c r="V101" i="16" s="1"/>
  <c r="L5" i="16"/>
  <c r="L43" i="16"/>
  <c r="L137" i="16"/>
  <c r="L66" i="16"/>
  <c r="L81" i="16"/>
  <c r="L121" i="16"/>
  <c r="V71" i="16"/>
  <c r="L86" i="16"/>
  <c r="L113" i="16"/>
  <c r="L203" i="16"/>
  <c r="V102" i="16"/>
  <c r="L32" i="16"/>
  <c r="L56" i="16"/>
  <c r="L91" i="16"/>
  <c r="L144" i="16"/>
  <c r="V69" i="16"/>
  <c r="L105" i="16"/>
  <c r="L128" i="16"/>
  <c r="L219" i="16"/>
  <c r="L33" i="16"/>
  <c r="V72" i="16"/>
  <c r="L108" i="16"/>
  <c r="V86" i="16"/>
  <c r="L155" i="16"/>
  <c r="L161" i="16"/>
  <c r="L322" i="1"/>
  <c r="N2" i="16" l="1"/>
  <c r="V97" i="17"/>
  <c r="V68" i="17"/>
  <c r="V67" i="17"/>
  <c r="V83" i="16"/>
  <c r="V68" i="16"/>
  <c r="N2" i="17" l="1"/>
  <c r="M269" i="17" s="1"/>
  <c r="N5" i="16"/>
  <c r="N5" i="17"/>
  <c r="M245" i="17"/>
  <c r="M211" i="17"/>
  <c r="M301" i="17"/>
  <c r="M277" i="17"/>
  <c r="M6" i="17"/>
  <c r="M2" i="17"/>
  <c r="M197" i="17"/>
  <c r="M292" i="17"/>
  <c r="M229" i="17"/>
  <c r="M20" i="17"/>
  <c r="M117" i="17"/>
  <c r="M307" i="17"/>
  <c r="M290" i="17"/>
  <c r="M72" i="17"/>
  <c r="M105" i="17"/>
  <c r="M57" i="17"/>
  <c r="M163" i="17"/>
  <c r="M48" i="17"/>
  <c r="M267" i="17"/>
  <c r="M188" i="17"/>
  <c r="M219" i="17"/>
  <c r="M296" i="17"/>
  <c r="M142" i="17"/>
  <c r="M150" i="17"/>
  <c r="M173" i="17"/>
  <c r="M305" i="17"/>
  <c r="M220" i="17"/>
  <c r="M246" i="17"/>
  <c r="M115" i="17"/>
  <c r="M322" i="17"/>
  <c r="M176" i="17"/>
  <c r="M121" i="17"/>
  <c r="M175" i="17"/>
  <c r="M81" i="17"/>
  <c r="M186" i="17"/>
  <c r="M16" i="17"/>
  <c r="M192" i="17"/>
  <c r="M64" i="17"/>
  <c r="M95" i="17"/>
  <c r="M67" i="17"/>
  <c r="M47" i="17"/>
  <c r="M187" i="17"/>
  <c r="M35" i="17"/>
  <c r="M75" i="17"/>
  <c r="M125" i="17"/>
  <c r="M237" i="17"/>
  <c r="M308" i="17"/>
  <c r="M170" i="17"/>
  <c r="M300" i="17"/>
  <c r="M298" i="17"/>
  <c r="M184" i="17"/>
  <c r="M50" i="17"/>
  <c r="M154" i="17"/>
  <c r="M213" i="17"/>
  <c r="M312" i="17"/>
  <c r="M98" i="17"/>
  <c r="M191" i="17"/>
  <c r="M205" i="17"/>
  <c r="M281" i="17"/>
  <c r="M166" i="17"/>
  <c r="M263" i="17"/>
  <c r="M242" i="17"/>
  <c r="M152" i="17"/>
  <c r="M60" i="17"/>
  <c r="M21" i="17"/>
  <c r="M112" i="17"/>
  <c r="M156" i="17"/>
  <c r="M135" i="17"/>
  <c r="M79" i="17"/>
  <c r="M76" i="17"/>
  <c r="M291" i="17"/>
  <c r="M102" i="17"/>
  <c r="M208" i="17"/>
  <c r="M216" i="17"/>
  <c r="M226" i="17"/>
  <c r="M119" i="17"/>
  <c r="M221" i="17"/>
  <c r="M113" i="17"/>
  <c r="M49" i="17"/>
  <c r="M234" i="17"/>
  <c r="M251" i="17"/>
  <c r="M52" i="17"/>
  <c r="M210" i="17"/>
  <c r="M107" i="17"/>
  <c r="M315" i="17"/>
  <c r="M111" i="17"/>
  <c r="M231" i="17" l="1"/>
  <c r="M248" i="17"/>
  <c r="M23" i="17"/>
  <c r="M133" i="17"/>
  <c r="M66" i="17"/>
  <c r="M201" i="17"/>
  <c r="M227" i="17"/>
  <c r="M155" i="17"/>
  <c r="M215" i="17"/>
  <c r="M39" i="17"/>
  <c r="M13" i="17"/>
  <c r="M15" i="17"/>
  <c r="M3" i="17"/>
  <c r="M99" i="17"/>
  <c r="M274" i="17"/>
  <c r="M80" i="17"/>
  <c r="M309" i="17"/>
  <c r="M194" i="17"/>
  <c r="M143" i="17"/>
  <c r="M223" i="17"/>
  <c r="M169" i="17"/>
  <c r="M249" i="17"/>
  <c r="M8" i="17"/>
  <c r="M317" i="17"/>
  <c r="M32" i="17"/>
  <c r="M122" i="17"/>
  <c r="M289" i="17"/>
  <c r="M316" i="17"/>
  <c r="M83" i="17"/>
  <c r="M131" i="17"/>
  <c r="M284" i="17"/>
  <c r="M270" i="17"/>
  <c r="M319" i="17"/>
  <c r="M77" i="17"/>
  <c r="M116" i="17"/>
  <c r="M268" i="17"/>
  <c r="M218" i="17"/>
  <c r="M7" i="17"/>
  <c r="M134" i="17"/>
  <c r="M196" i="17"/>
  <c r="M193" i="17"/>
  <c r="M203" i="17"/>
  <c r="M179" i="17"/>
  <c r="M65" i="17"/>
  <c r="M139" i="17"/>
  <c r="M151" i="17"/>
  <c r="M189" i="17"/>
  <c r="M250" i="17"/>
  <c r="M164" i="17"/>
  <c r="M108" i="17"/>
  <c r="M78" i="17"/>
  <c r="M258" i="17"/>
  <c r="M241" i="17"/>
  <c r="M10" i="17"/>
  <c r="M96" i="17"/>
  <c r="M103" i="17"/>
  <c r="M255" i="17"/>
  <c r="M278" i="17"/>
  <c r="M167" i="17"/>
  <c r="M153" i="17"/>
  <c r="M137" i="17"/>
  <c r="M247" i="17"/>
  <c r="M56" i="17"/>
  <c r="M53" i="17"/>
  <c r="M129" i="17"/>
  <c r="M147" i="17"/>
  <c r="M29" i="17"/>
  <c r="M62" i="17"/>
  <c r="M40" i="17"/>
  <c r="M84" i="17"/>
  <c r="M302" i="17"/>
  <c r="M272" i="17"/>
  <c r="M118" i="17"/>
  <c r="M214" i="17"/>
  <c r="M222" i="17"/>
  <c r="M266" i="17"/>
  <c r="M275" i="17"/>
  <c r="M264" i="17"/>
  <c r="M144" i="17"/>
  <c r="M25" i="17"/>
  <c r="M88" i="17"/>
  <c r="M101" i="17"/>
  <c r="M285" i="17"/>
  <c r="M209" i="17"/>
  <c r="M132" i="17"/>
  <c r="M91" i="17"/>
  <c r="M318" i="17"/>
  <c r="M26" i="17"/>
  <c r="M33" i="17"/>
  <c r="M174" i="17"/>
  <c r="M212" i="17"/>
  <c r="M257" i="17"/>
  <c r="M87" i="17"/>
  <c r="M157" i="17"/>
  <c r="M11" i="17"/>
  <c r="M294" i="17"/>
  <c r="M31" i="17"/>
  <c r="M206" i="17"/>
  <c r="M148" i="17"/>
  <c r="M68" i="17"/>
  <c r="M320" i="17"/>
  <c r="M235" i="17"/>
  <c r="M109" i="17"/>
  <c r="M17" i="17"/>
  <c r="M30" i="17"/>
  <c r="M86" i="17"/>
  <c r="M276" i="17"/>
  <c r="M271" i="17"/>
  <c r="M288" i="17"/>
  <c r="M199" i="17"/>
  <c r="M5" i="17"/>
  <c r="M224" i="17"/>
  <c r="M180" i="17"/>
  <c r="M128" i="17"/>
  <c r="M104" i="17"/>
  <c r="M146" i="17"/>
  <c r="M252" i="17"/>
  <c r="M195" i="17"/>
  <c r="M94" i="17"/>
  <c r="M74" i="17"/>
  <c r="M9" i="17"/>
  <c r="M297" i="17"/>
  <c r="M256" i="17"/>
  <c r="M37" i="17"/>
  <c r="M182" i="17"/>
  <c r="M321" i="17"/>
  <c r="M140" i="17"/>
  <c r="M85" i="17"/>
  <c r="M114" i="17"/>
  <c r="M295" i="17"/>
  <c r="M161" i="17"/>
  <c r="M136" i="17"/>
  <c r="M110" i="17"/>
  <c r="M185" i="17"/>
  <c r="M149" i="17"/>
  <c r="M287" i="17"/>
  <c r="M198" i="17"/>
  <c r="M280" i="17"/>
  <c r="M51" i="17"/>
  <c r="M27" i="17"/>
  <c r="M34" i="17"/>
  <c r="M253" i="17"/>
  <c r="M261" i="17"/>
  <c r="M44" i="17"/>
  <c r="M311" i="17"/>
  <c r="M240" i="17"/>
  <c r="M145" i="17"/>
  <c r="M207" i="17"/>
  <c r="M93" i="17"/>
  <c r="M123" i="17"/>
  <c r="M283" i="17"/>
  <c r="M299" i="17"/>
  <c r="M45" i="17"/>
  <c r="M54" i="17"/>
  <c r="M265" i="17"/>
  <c r="M158" i="17"/>
  <c r="M262" i="17"/>
  <c r="M239" i="17"/>
  <c r="M282" i="17"/>
  <c r="M236" i="17"/>
  <c r="M61" i="17"/>
  <c r="M232" i="17"/>
  <c r="M230" i="17"/>
  <c r="M46" i="17"/>
  <c r="M200" i="17"/>
  <c r="M160" i="17"/>
  <c r="M244" i="17"/>
  <c r="M313" i="17"/>
  <c r="M304" i="17"/>
  <c r="M130" i="17"/>
  <c r="M286" i="17"/>
  <c r="M92" i="17"/>
  <c r="M171" i="17"/>
  <c r="M293" i="17"/>
  <c r="M124" i="17"/>
  <c r="M63" i="17"/>
  <c r="M41" i="17"/>
  <c r="M314" i="17"/>
  <c r="M22" i="17"/>
  <c r="M159" i="17"/>
  <c r="M59" i="17"/>
  <c r="M202" i="17"/>
  <c r="M310" i="17"/>
  <c r="M127" i="17"/>
  <c r="M168" i="17"/>
  <c r="M82" i="17"/>
  <c r="M190" i="17"/>
  <c r="M18" i="17"/>
  <c r="M19" i="17"/>
  <c r="M70" i="17"/>
  <c r="M106" i="17"/>
  <c r="M73" i="17"/>
  <c r="M43" i="17"/>
  <c r="M14" i="17"/>
  <c r="M38" i="17"/>
  <c r="M90" i="17"/>
  <c r="M141" i="17"/>
  <c r="M36" i="17"/>
  <c r="M165" i="17"/>
  <c r="M58" i="17"/>
  <c r="M273" i="17"/>
  <c r="M259" i="17"/>
  <c r="M42" i="17"/>
  <c r="M71" i="17"/>
  <c r="M306" i="17"/>
  <c r="M260" i="17"/>
  <c r="M97" i="17"/>
  <c r="M100" i="17"/>
  <c r="M172" i="17"/>
  <c r="M243" i="17"/>
  <c r="M183" i="17"/>
  <c r="M55" i="17"/>
  <c r="M24" i="17"/>
  <c r="M89" i="17"/>
  <c r="M225" i="17"/>
  <c r="M126" i="17"/>
  <c r="M120" i="17"/>
  <c r="M303" i="17"/>
  <c r="M228" i="17"/>
  <c r="M162" i="17"/>
  <c r="M4" i="17"/>
  <c r="M279" i="17"/>
  <c r="M177" i="17"/>
  <c r="M204" i="17"/>
  <c r="M69" i="17"/>
  <c r="M28" i="17"/>
  <c r="M178" i="17"/>
  <c r="M254" i="17"/>
  <c r="M217" i="17"/>
  <c r="M138" i="17"/>
  <c r="M233" i="17"/>
  <c r="M238" i="17"/>
  <c r="M12" i="17"/>
  <c r="M181" i="17"/>
  <c r="M197" i="16"/>
  <c r="M181" i="16"/>
  <c r="M165" i="16"/>
  <c r="M139" i="16"/>
  <c r="M123" i="16"/>
  <c r="M189" i="16"/>
  <c r="M100" i="16"/>
  <c r="M54" i="16"/>
  <c r="M114" i="16"/>
  <c r="M173" i="16"/>
  <c r="M47" i="16"/>
  <c r="M117" i="16"/>
  <c r="M78" i="16"/>
  <c r="M31" i="16"/>
  <c r="M157" i="16"/>
  <c r="M124" i="16"/>
  <c r="M38" i="16"/>
  <c r="M57" i="16"/>
  <c r="M200" i="16"/>
  <c r="M140" i="16"/>
  <c r="M147" i="16"/>
  <c r="M131" i="16"/>
  <c r="M73" i="16"/>
  <c r="M8" i="16"/>
  <c r="M168" i="16"/>
  <c r="M34" i="16"/>
  <c r="M25" i="16"/>
  <c r="M10" i="16"/>
  <c r="M4" i="16"/>
  <c r="M109" i="16"/>
  <c r="M227" i="16"/>
  <c r="M162" i="16"/>
  <c r="M280" i="16"/>
  <c r="M58" i="16"/>
  <c r="M178" i="16"/>
  <c r="M36" i="16"/>
  <c r="M74" i="16"/>
  <c r="M163" i="16"/>
  <c r="M256" i="16"/>
  <c r="M62" i="16"/>
  <c r="M110" i="16"/>
  <c r="M167" i="16"/>
  <c r="M292" i="16"/>
  <c r="M130" i="16"/>
  <c r="M247" i="16"/>
  <c r="M244" i="16"/>
  <c r="M72" i="16"/>
  <c r="M107" i="16"/>
  <c r="M251" i="16"/>
  <c r="M171" i="16"/>
  <c r="M255" i="16"/>
  <c r="M158" i="16"/>
  <c r="M169" i="16"/>
  <c r="M241" i="16"/>
  <c r="M305" i="16"/>
  <c r="M226" i="16"/>
  <c r="M198" i="16"/>
  <c r="M266" i="16"/>
  <c r="M298" i="16"/>
  <c r="M2" i="16"/>
  <c r="M12" i="16"/>
  <c r="M41" i="16"/>
  <c r="M77" i="16"/>
  <c r="M21" i="16"/>
  <c r="M11" i="16"/>
  <c r="M184" i="16"/>
  <c r="M85" i="16"/>
  <c r="M308" i="16"/>
  <c r="M269" i="16"/>
  <c r="M174" i="16"/>
  <c r="M313" i="16"/>
  <c r="M238" i="16"/>
  <c r="M270" i="16"/>
  <c r="M304" i="16"/>
  <c r="M213" i="16"/>
  <c r="M295" i="16"/>
  <c r="M61" i="16"/>
  <c r="M220" i="16"/>
  <c r="M259" i="16"/>
  <c r="M194" i="16"/>
  <c r="M271" i="16"/>
  <c r="M320" i="16"/>
  <c r="M64" i="16"/>
  <c r="M116" i="16"/>
  <c r="M179" i="16"/>
  <c r="M307" i="16"/>
  <c r="M136" i="16"/>
  <c r="M261" i="16"/>
  <c r="M80" i="16"/>
  <c r="M120" i="16"/>
  <c r="M268" i="16"/>
  <c r="M70" i="16"/>
  <c r="M176" i="16"/>
  <c r="M164" i="16"/>
  <c r="M249" i="16"/>
  <c r="M234" i="16"/>
  <c r="M302" i="16"/>
  <c r="M166" i="16"/>
  <c r="M18" i="16"/>
  <c r="M71" i="16"/>
  <c r="M276" i="16"/>
  <c r="M151" i="16"/>
  <c r="M101" i="16"/>
  <c r="M35" i="16"/>
  <c r="M67" i="16"/>
  <c r="M133" i="16"/>
  <c r="M225" i="16"/>
  <c r="M258" i="16"/>
  <c r="M88" i="16"/>
  <c r="M277" i="16"/>
  <c r="M154" i="16"/>
  <c r="M152" i="16"/>
  <c r="M150" i="16"/>
  <c r="M233" i="16"/>
  <c r="M294" i="16"/>
  <c r="M9" i="16"/>
  <c r="M60" i="16"/>
  <c r="M83" i="16"/>
  <c r="M29" i="16"/>
  <c r="M14" i="16"/>
  <c r="M20" i="16"/>
  <c r="M94" i="16"/>
  <c r="M216" i="16"/>
  <c r="M309" i="16"/>
  <c r="M235" i="16"/>
  <c r="M19" i="16"/>
  <c r="M95" i="16"/>
  <c r="M285" i="16"/>
  <c r="M13" i="16"/>
  <c r="M135" i="16"/>
  <c r="M201" i="16"/>
  <c r="M264" i="16"/>
  <c r="M45" i="16"/>
  <c r="M283" i="16"/>
  <c r="M186" i="16"/>
  <c r="M272" i="16"/>
  <c r="M180" i="16"/>
  <c r="M185" i="16"/>
  <c r="M257" i="16"/>
  <c r="M321" i="16"/>
  <c r="M242" i="16"/>
  <c r="M274" i="16"/>
  <c r="M306" i="16"/>
  <c r="M196" i="16"/>
  <c r="M310" i="16"/>
  <c r="M188" i="16"/>
  <c r="M53" i="16"/>
  <c r="M145" i="16"/>
  <c r="M299" i="16"/>
  <c r="M260" i="16"/>
  <c r="M311" i="16"/>
  <c r="M210" i="16"/>
  <c r="M103" i="16"/>
  <c r="M156" i="16"/>
  <c r="M316" i="16"/>
  <c r="M104" i="16"/>
  <c r="M232" i="16"/>
  <c r="M291" i="16"/>
  <c r="M230" i="16"/>
  <c r="M193" i="16"/>
  <c r="M15" i="16"/>
  <c r="M126" i="16"/>
  <c r="M96" i="16"/>
  <c r="M149" i="16"/>
  <c r="M3" i="16"/>
  <c r="M26" i="16"/>
  <c r="M17" i="16"/>
  <c r="M55" i="16"/>
  <c r="M112" i="16"/>
  <c r="M231" i="16"/>
  <c r="M68" i="16"/>
  <c r="M252" i="16"/>
  <c r="M39" i="16"/>
  <c r="M207" i="16"/>
  <c r="M288" i="16"/>
  <c r="M40" i="16"/>
  <c r="M138" i="16"/>
  <c r="M211" i="16"/>
  <c r="M90" i="16"/>
  <c r="M97" i="16"/>
  <c r="M183" i="16"/>
  <c r="M279" i="16"/>
  <c r="M52" i="16"/>
  <c r="M84" i="16"/>
  <c r="M160" i="16"/>
  <c r="M300" i="16"/>
  <c r="M75" i="16"/>
  <c r="M205" i="16"/>
  <c r="M287" i="16"/>
  <c r="M190" i="16"/>
  <c r="M265" i="16"/>
  <c r="M172" i="16"/>
  <c r="M246" i="16"/>
  <c r="M278" i="16"/>
  <c r="M175" i="16"/>
  <c r="M49" i="16"/>
  <c r="M263" i="16"/>
  <c r="M229" i="16"/>
  <c r="M237" i="16"/>
  <c r="M289" i="16"/>
  <c r="M290" i="16"/>
  <c r="M50" i="16"/>
  <c r="M153" i="16"/>
  <c r="M253" i="16"/>
  <c r="M275" i="16"/>
  <c r="M297" i="16"/>
  <c r="M28" i="16"/>
  <c r="M6" i="16"/>
  <c r="M142" i="16"/>
  <c r="M159" i="16"/>
  <c r="M7" i="16"/>
  <c r="M30" i="16"/>
  <c r="M23" i="16"/>
  <c r="M63" i="16"/>
  <c r="M118" i="16"/>
  <c r="M245" i="16"/>
  <c r="M312" i="16"/>
  <c r="M267" i="16"/>
  <c r="M51" i="16"/>
  <c r="M115" i="16"/>
  <c r="M221" i="16"/>
  <c r="M303" i="16"/>
  <c r="M87" i="16"/>
  <c r="M79" i="16"/>
  <c r="M141" i="16"/>
  <c r="M228" i="16"/>
  <c r="M111" i="16"/>
  <c r="M119" i="16"/>
  <c r="M195" i="16"/>
  <c r="M293" i="16"/>
  <c r="M65" i="16"/>
  <c r="M89" i="16"/>
  <c r="M199" i="16"/>
  <c r="M315" i="16"/>
  <c r="M208" i="16"/>
  <c r="M301" i="16"/>
  <c r="M206" i="16"/>
  <c r="M209" i="16"/>
  <c r="M273" i="16"/>
  <c r="M250" i="16"/>
  <c r="M282" i="16"/>
  <c r="M314" i="16"/>
  <c r="M170" i="16"/>
  <c r="M322" i="16"/>
  <c r="M191" i="16"/>
  <c r="M92" i="16"/>
  <c r="M48" i="16"/>
  <c r="M148" i="16"/>
  <c r="M59" i="16"/>
  <c r="M42" i="16"/>
  <c r="M240" i="16"/>
  <c r="M218" i="16"/>
  <c r="M37" i="16"/>
  <c r="M16" i="16"/>
  <c r="M27" i="16"/>
  <c r="M93" i="16"/>
  <c r="M22" i="16"/>
  <c r="M46" i="16"/>
  <c r="M82" i="16"/>
  <c r="M248" i="16"/>
  <c r="M134" i="16"/>
  <c r="M284" i="16"/>
  <c r="M69" i="16"/>
  <c r="M132" i="16"/>
  <c r="M224" i="16"/>
  <c r="M192" i="16"/>
  <c r="M99" i="16"/>
  <c r="M143" i="16"/>
  <c r="M243" i="16"/>
  <c r="M212" i="16"/>
  <c r="M122" i="16"/>
  <c r="M215" i="16"/>
  <c r="M296" i="16"/>
  <c r="M98" i="16"/>
  <c r="M204" i="16"/>
  <c r="M223" i="16"/>
  <c r="M214" i="16"/>
  <c r="M217" i="16"/>
  <c r="M281" i="16"/>
  <c r="M202" i="16"/>
  <c r="M177" i="16"/>
  <c r="M254" i="16"/>
  <c r="M286" i="16"/>
  <c r="M318" i="16"/>
  <c r="M44" i="16"/>
  <c r="M106" i="16"/>
  <c r="M129" i="16"/>
  <c r="M239" i="16"/>
  <c r="M146" i="16"/>
  <c r="M125" i="16"/>
  <c r="M102" i="16"/>
  <c r="M187" i="16"/>
  <c r="M222" i="16"/>
  <c r="M182" i="16"/>
  <c r="M24" i="16"/>
  <c r="M76" i="16"/>
  <c r="M317" i="16"/>
  <c r="M127" i="16"/>
  <c r="M236" i="16"/>
  <c r="M319" i="16"/>
  <c r="M262" i="16"/>
  <c r="M108" i="16"/>
  <c r="M113" i="16"/>
  <c r="M66" i="16"/>
  <c r="M81" i="16"/>
  <c r="M86" i="16"/>
  <c r="M121" i="16"/>
  <c r="M219" i="16"/>
  <c r="M43" i="16"/>
  <c r="M128" i="16"/>
  <c r="M161" i="16"/>
  <c r="M137" i="16"/>
  <c r="M155" i="16"/>
  <c r="M144" i="16"/>
  <c r="M33" i="16"/>
  <c r="M56" i="16"/>
  <c r="M105" i="16"/>
  <c r="M91" i="16"/>
  <c r="M5" i="16"/>
  <c r="M32" i="16"/>
  <c r="M203" i="16"/>
  <c r="O2" i="17" l="1"/>
  <c r="P299" i="17" s="1"/>
  <c r="P136" i="17"/>
  <c r="P302" i="17"/>
  <c r="P35" i="17"/>
  <c r="P7" i="17"/>
  <c r="P298" i="17"/>
  <c r="P133" i="17"/>
  <c r="P295" i="17"/>
  <c r="P129" i="17"/>
  <c r="P49" i="17"/>
  <c r="P48" i="17"/>
  <c r="P15" i="17"/>
  <c r="P255" i="17"/>
  <c r="P124" i="17"/>
  <c r="P233" i="17"/>
  <c r="P271" i="17"/>
  <c r="P177" i="17"/>
  <c r="P288" i="17"/>
  <c r="P34" i="17"/>
  <c r="P286" i="17"/>
  <c r="P206" i="17"/>
  <c r="P3" i="17"/>
  <c r="P25" i="17"/>
  <c r="P103" i="17"/>
  <c r="P157" i="17"/>
  <c r="P107" i="17"/>
  <c r="P227" i="17"/>
  <c r="P60" i="17"/>
  <c r="P37" i="17"/>
  <c r="P144" i="17"/>
  <c r="P164" i="17"/>
  <c r="P116" i="17"/>
  <c r="P244" i="17"/>
  <c r="P59" i="17"/>
  <c r="P89" i="17"/>
  <c r="P252" i="17"/>
  <c r="P272" i="17"/>
  <c r="P250" i="17"/>
  <c r="P93" i="17"/>
  <c r="P123" i="17"/>
  <c r="P213" i="17"/>
  <c r="P97" i="17"/>
  <c r="P160" i="17"/>
  <c r="P143" i="17"/>
  <c r="P309" i="17"/>
  <c r="P274" i="17"/>
  <c r="P260" i="17"/>
  <c r="P320" i="17"/>
  <c r="P145" i="17"/>
  <c r="P316" i="17"/>
  <c r="P290" i="17"/>
  <c r="P2" i="17"/>
  <c r="P14" i="17"/>
  <c r="P212" i="17"/>
  <c r="P61" i="17"/>
  <c r="P208" i="17"/>
  <c r="P125" i="17"/>
  <c r="P248" i="17"/>
  <c r="P51" i="17"/>
  <c r="P161" i="17"/>
  <c r="P256" i="17"/>
  <c r="P104" i="17"/>
  <c r="P276" i="17"/>
  <c r="P236" i="17"/>
  <c r="P56" i="17"/>
  <c r="P96" i="17"/>
  <c r="P189" i="17"/>
  <c r="P262" i="17"/>
  <c r="P193" i="17"/>
  <c r="P31" i="17"/>
  <c r="P33" i="17"/>
  <c r="P205" i="17"/>
  <c r="P216" i="17"/>
  <c r="P73" i="17"/>
  <c r="P41" i="17"/>
  <c r="P91" i="17"/>
  <c r="P301" i="17"/>
  <c r="P105" i="17"/>
  <c r="P220" i="17"/>
  <c r="P170" i="17"/>
  <c r="P79" i="17"/>
  <c r="P232" i="17"/>
  <c r="P16" i="17"/>
  <c r="P191" i="17"/>
  <c r="P158" i="17"/>
  <c r="P217" i="17"/>
  <c r="P4" i="17"/>
  <c r="P24" i="17"/>
  <c r="P280" i="17"/>
  <c r="P297" i="17"/>
  <c r="P128" i="17"/>
  <c r="P86" i="17"/>
  <c r="P19" i="17"/>
  <c r="P275" i="17"/>
  <c r="P10" i="17"/>
  <c r="P151" i="17"/>
  <c r="P45" i="17"/>
  <c r="P68" i="17"/>
  <c r="P169" i="17"/>
  <c r="P77" i="17"/>
  <c r="P166" i="17"/>
  <c r="P281" i="17"/>
  <c r="P70" i="17"/>
  <c r="P240" i="17"/>
  <c r="P289" i="17"/>
  <c r="P176" i="17"/>
  <c r="P163" i="17"/>
  <c r="P322" i="17"/>
  <c r="P184" i="17"/>
  <c r="P102" i="17"/>
  <c r="P106" i="17"/>
  <c r="P20" i="17"/>
  <c r="P21" i="17"/>
  <c r="P310" i="17"/>
  <c r="P254" i="17"/>
  <c r="P162" i="17"/>
  <c r="P55" i="17"/>
  <c r="P71" i="17"/>
  <c r="P9" i="17"/>
  <c r="P180" i="17"/>
  <c r="P127" i="17"/>
  <c r="P137" i="17"/>
  <c r="P241" i="17"/>
  <c r="P139" i="17"/>
  <c r="P218" i="17"/>
  <c r="P223" i="17"/>
  <c r="P174" i="17"/>
  <c r="P132" i="17"/>
  <c r="P152" i="17"/>
  <c r="P234" i="17"/>
  <c r="P81" i="17"/>
  <c r="P171" i="17"/>
  <c r="P80" i="17"/>
  <c r="P99" i="17"/>
  <c r="P121" i="17"/>
  <c r="P154" i="17"/>
  <c r="P307" i="17"/>
  <c r="P150" i="17"/>
  <c r="P47" i="17"/>
  <c r="P201" i="17"/>
  <c r="P269" i="17"/>
  <c r="P178" i="17"/>
  <c r="P42" i="17"/>
  <c r="P46" i="17"/>
  <c r="P287" i="17"/>
  <c r="P85" i="17"/>
  <c r="P74" i="17"/>
  <c r="P224" i="17"/>
  <c r="P222" i="17"/>
  <c r="P62" i="17"/>
  <c r="P153" i="17"/>
  <c r="P258" i="17"/>
  <c r="P65" i="17"/>
  <c r="P179" i="17"/>
  <c r="P257" i="17"/>
  <c r="P207" i="17"/>
  <c r="P192" i="17"/>
  <c r="P135" i="17"/>
  <c r="P111" i="17"/>
  <c r="P168" i="17"/>
  <c r="P95" i="17"/>
  <c r="P230" i="17"/>
  <c r="P197" i="17"/>
  <c r="P267" i="17"/>
  <c r="P186" i="17"/>
  <c r="P98" i="17"/>
  <c r="P23" i="17"/>
  <c r="P231" i="17"/>
  <c r="P75" i="17"/>
  <c r="P113" i="17"/>
  <c r="P181" i="17"/>
  <c r="P28" i="17"/>
  <c r="P259" i="17"/>
  <c r="P43" i="17"/>
  <c r="P266" i="17"/>
  <c r="P149" i="17"/>
  <c r="P101" i="17"/>
  <c r="P29" i="17"/>
  <c r="P78" i="17"/>
  <c r="P76" i="17"/>
  <c r="P235" i="17"/>
  <c r="P148" i="17"/>
  <c r="P268" i="17"/>
  <c r="P319" i="17"/>
  <c r="P284" i="17"/>
  <c r="P187" i="17"/>
  <c r="P291" i="17"/>
  <c r="P90" i="17"/>
  <c r="P54" i="17"/>
  <c r="P194" i="17"/>
  <c r="P44" i="17"/>
  <c r="P308" i="17"/>
  <c r="P229" i="17"/>
  <c r="P219" i="17"/>
  <c r="P13" i="17"/>
  <c r="P155" i="17"/>
  <c r="P52" i="17"/>
  <c r="P211" i="17"/>
  <c r="P72" i="17"/>
  <c r="P305" i="17"/>
  <c r="P237" i="17"/>
  <c r="P210" i="17"/>
  <c r="P12" i="17"/>
  <c r="P69" i="17"/>
  <c r="P120" i="17"/>
  <c r="P172" i="17"/>
  <c r="P273" i="17"/>
  <c r="P18" i="17"/>
  <c r="P114" i="17"/>
  <c r="P30" i="17"/>
  <c r="P63" i="17"/>
  <c r="P261" i="17"/>
  <c r="P140" i="17"/>
  <c r="P94" i="17"/>
  <c r="P5" i="17"/>
  <c r="P109" i="17"/>
  <c r="P214" i="17"/>
  <c r="P167" i="17"/>
  <c r="P239" i="17"/>
  <c r="P253" i="17"/>
  <c r="P185" i="17"/>
  <c r="P321" i="17"/>
  <c r="P195" i="17"/>
  <c r="P199" i="17"/>
  <c r="P156" i="17"/>
  <c r="P88" i="17"/>
  <c r="P118" i="17"/>
  <c r="P147" i="17"/>
  <c r="P278" i="17"/>
  <c r="P108" i="17"/>
  <c r="P130" i="17"/>
  <c r="P8" i="17"/>
  <c r="P134" i="17"/>
  <c r="P11" i="17"/>
  <c r="P159" i="17"/>
  <c r="P314" i="17"/>
  <c r="P39" i="17"/>
  <c r="P119" i="17"/>
  <c r="P293" i="17"/>
  <c r="P202" i="17"/>
  <c r="P318" i="17"/>
  <c r="P32" i="17"/>
  <c r="P312" i="17"/>
  <c r="P82" i="17"/>
  <c r="P117" i="17"/>
  <c r="P142" i="17"/>
  <c r="P67" i="17"/>
  <c r="P263" i="17"/>
  <c r="P315" i="17"/>
  <c r="P277" i="17"/>
  <c r="P57" i="17"/>
  <c r="P246" i="17"/>
  <c r="P300" i="17"/>
  <c r="P304" i="17"/>
  <c r="P238" i="17"/>
  <c r="P204" i="17"/>
  <c r="P126" i="17"/>
  <c r="P100" i="17"/>
  <c r="P58" i="17"/>
  <c r="O2" i="16"/>
  <c r="P204" i="16" s="1"/>
  <c r="P311" i="17" l="1"/>
  <c r="P50" i="17"/>
  <c r="P110" i="17"/>
  <c r="P243" i="17"/>
  <c r="P283" i="17"/>
  <c r="P122" i="17"/>
  <c r="P294" i="17"/>
  <c r="P285" i="17"/>
  <c r="P183" i="17"/>
  <c r="P265" i="17"/>
  <c r="P83" i="17"/>
  <c r="P249" i="17"/>
  <c r="P198" i="17"/>
  <c r="P64" i="17"/>
  <c r="P6" i="17"/>
  <c r="P131" i="17"/>
  <c r="P247" i="17"/>
  <c r="P141" i="17"/>
  <c r="P188" i="17"/>
  <c r="P251" i="17"/>
  <c r="P270" i="17"/>
  <c r="P84" i="17"/>
  <c r="P36" i="17"/>
  <c r="P165" i="17"/>
  <c r="P200" i="17"/>
  <c r="P226" i="17"/>
  <c r="P215" i="17"/>
  <c r="P225" i="17"/>
  <c r="P182" i="17"/>
  <c r="P209" i="17"/>
  <c r="P53" i="17"/>
  <c r="P173" i="17"/>
  <c r="P38" i="17"/>
  <c r="P303" i="17"/>
  <c r="P66" i="17"/>
  <c r="P26" i="17"/>
  <c r="P196" i="17"/>
  <c r="P17" i="17"/>
  <c r="P228" i="17"/>
  <c r="P221" i="17"/>
  <c r="P190" i="17"/>
  <c r="P317" i="17"/>
  <c r="P313" i="17"/>
  <c r="P296" i="17"/>
  <c r="P242" i="17"/>
  <c r="P22" i="17"/>
  <c r="P40" i="17"/>
  <c r="P306" i="17"/>
  <c r="P292" i="17"/>
  <c r="P115" i="17"/>
  <c r="P87" i="17"/>
  <c r="P264" i="17"/>
  <c r="P138" i="17"/>
  <c r="P282" i="17"/>
  <c r="P92" i="17"/>
  <c r="P245" i="17"/>
  <c r="P112" i="17"/>
  <c r="P175" i="17"/>
  <c r="P279" i="17"/>
  <c r="P203" i="17"/>
  <c r="P146" i="17"/>
  <c r="P27" i="17"/>
  <c r="P17" i="16"/>
  <c r="P166" i="16"/>
  <c r="P156" i="16"/>
  <c r="P281" i="16"/>
  <c r="P211" i="16"/>
  <c r="P4" i="16"/>
  <c r="P302" i="16"/>
  <c r="P228" i="16"/>
  <c r="P242" i="16"/>
  <c r="P155" i="16"/>
  <c r="P212" i="16"/>
  <c r="P280" i="16"/>
  <c r="P270" i="16"/>
  <c r="P67" i="16"/>
  <c r="P298" i="16"/>
  <c r="P256" i="16"/>
  <c r="P282" i="16"/>
  <c r="P253" i="16"/>
  <c r="P317" i="16"/>
  <c r="P187" i="16"/>
  <c r="P310" i="16"/>
  <c r="P64" i="16"/>
  <c r="P42" i="16"/>
  <c r="P195" i="16"/>
  <c r="P124" i="16"/>
  <c r="P173" i="16"/>
  <c r="P138" i="16"/>
  <c r="P220" i="16"/>
  <c r="P40" i="16"/>
  <c r="P112" i="16"/>
  <c r="P33" i="16"/>
  <c r="P240" i="16"/>
  <c r="P114" i="16"/>
  <c r="P34" i="16"/>
  <c r="P117" i="16"/>
  <c r="P168" i="16"/>
  <c r="P141" i="16"/>
  <c r="P320" i="16"/>
  <c r="P71" i="16"/>
  <c r="P279" i="16"/>
  <c r="P116" i="16"/>
  <c r="P205" i="16"/>
  <c r="P223" i="16"/>
  <c r="P78" i="16"/>
  <c r="P276" i="16"/>
  <c r="P275" i="16"/>
  <c r="P43" i="16"/>
  <c r="P41" i="16"/>
  <c r="P260" i="16"/>
  <c r="P16" i="16"/>
  <c r="P99" i="16"/>
  <c r="P29" i="16"/>
  <c r="P273" i="16"/>
  <c r="P286" i="16"/>
  <c r="P14" i="16"/>
  <c r="P38" i="16"/>
  <c r="P271" i="16"/>
  <c r="P15" i="16"/>
  <c r="P199" i="16"/>
  <c r="P81" i="16"/>
  <c r="P213" i="16"/>
  <c r="P57" i="16"/>
  <c r="P120" i="16"/>
  <c r="P126" i="16"/>
  <c r="P314" i="16"/>
  <c r="P139" i="16"/>
  <c r="P70" i="16"/>
  <c r="P49" i="16"/>
  <c r="P318" i="16"/>
  <c r="P147" i="16"/>
  <c r="P88" i="16"/>
  <c r="P221" i="16"/>
  <c r="P25" i="16"/>
  <c r="P174" i="16"/>
  <c r="P291" i="16"/>
  <c r="P284" i="16"/>
  <c r="P73" i="16"/>
  <c r="P95" i="16"/>
  <c r="P27" i="16"/>
  <c r="P54" i="16"/>
  <c r="P285" i="16"/>
  <c r="P225" i="16"/>
  <c r="P300" i="16"/>
  <c r="P140" i="16"/>
  <c r="P56" i="16"/>
  <c r="P206" i="16"/>
  <c r="P190" i="16"/>
  <c r="P288" i="16"/>
  <c r="P110" i="16"/>
  <c r="P150" i="16"/>
  <c r="P160" i="16"/>
  <c r="P22" i="16"/>
  <c r="P46" i="16"/>
  <c r="P316" i="16"/>
  <c r="P171" i="16"/>
  <c r="P94" i="16"/>
  <c r="P278" i="16"/>
  <c r="P127" i="16"/>
  <c r="P10" i="16"/>
  <c r="P264" i="16"/>
  <c r="P115" i="16"/>
  <c r="P105" i="16"/>
  <c r="P169" i="16"/>
  <c r="P232" i="16"/>
  <c r="P191" i="16"/>
  <c r="P189" i="16"/>
  <c r="P164" i="16"/>
  <c r="P229" i="16"/>
  <c r="P128" i="16"/>
  <c r="P77" i="16"/>
  <c r="P52" i="16"/>
  <c r="P113" i="16"/>
  <c r="P107" i="16"/>
  <c r="P250" i="16"/>
  <c r="P203" i="16"/>
  <c r="P233" i="16"/>
  <c r="P309" i="16"/>
  <c r="P247" i="16"/>
  <c r="P121" i="16"/>
  <c r="P217" i="16"/>
  <c r="P24" i="16"/>
  <c r="P251" i="16"/>
  <c r="P20" i="16"/>
  <c r="P224" i="16"/>
  <c r="P125" i="16"/>
  <c r="P170" i="16"/>
  <c r="P266" i="16"/>
  <c r="P135" i="16"/>
  <c r="P50" i="16"/>
  <c r="P144" i="16"/>
  <c r="P36" i="16"/>
  <c r="P321" i="16"/>
  <c r="P218" i="16"/>
  <c r="P292" i="16"/>
  <c r="P61" i="16"/>
  <c r="P3" i="16"/>
  <c r="P243" i="16"/>
  <c r="P31" i="16"/>
  <c r="P83" i="16"/>
  <c r="P63" i="16"/>
  <c r="P178" i="16"/>
  <c r="P136" i="16"/>
  <c r="P265" i="16"/>
  <c r="P161" i="16"/>
  <c r="P226" i="16"/>
  <c r="P148" i="16"/>
  <c r="P198" i="16"/>
  <c r="P13" i="16"/>
  <c r="P290" i="16"/>
  <c r="P296" i="16"/>
  <c r="P165" i="16"/>
  <c r="P236" i="16"/>
  <c r="P184" i="16"/>
  <c r="P185" i="16"/>
  <c r="P159" i="16"/>
  <c r="P47" i="16"/>
  <c r="P2" i="16"/>
  <c r="P104" i="16"/>
  <c r="P248" i="16"/>
  <c r="P68" i="16"/>
  <c r="P179" i="16"/>
  <c r="P39" i="16"/>
  <c r="P214" i="16"/>
  <c r="P131" i="16"/>
  <c r="P283" i="16"/>
  <c r="P303" i="16"/>
  <c r="P257" i="16"/>
  <c r="P101" i="16"/>
  <c r="P118" i="16"/>
  <c r="P5" i="16"/>
  <c r="P21" i="16"/>
  <c r="P93" i="16"/>
  <c r="P59" i="16"/>
  <c r="P58" i="16"/>
  <c r="P254" i="16"/>
  <c r="P30" i="16"/>
  <c r="P299" i="16"/>
  <c r="P307" i="16"/>
  <c r="P305" i="16"/>
  <c r="P172" i="16"/>
  <c r="P246" i="16"/>
  <c r="P197" i="16"/>
  <c r="P11" i="16"/>
  <c r="P180" i="16"/>
  <c r="P142" i="16"/>
  <c r="P146" i="16"/>
  <c r="P200" i="16"/>
  <c r="P181" i="16"/>
  <c r="P304" i="16"/>
  <c r="P188" i="16"/>
  <c r="P267" i="16"/>
  <c r="P18" i="16"/>
  <c r="P295" i="16"/>
  <c r="P149" i="16"/>
  <c r="P143" i="16"/>
  <c r="P208" i="16"/>
  <c r="P176" i="16"/>
  <c r="P183" i="16"/>
  <c r="P222" i="16"/>
  <c r="P241" i="16"/>
  <c r="P274" i="16"/>
  <c r="P92" i="16"/>
  <c r="P7" i="16"/>
  <c r="P154" i="16"/>
  <c r="P65" i="16"/>
  <c r="P294" i="16"/>
  <c r="P152" i="16"/>
  <c r="P32" i="16"/>
  <c r="P272" i="16"/>
  <c r="P132" i="16"/>
  <c r="P66" i="16"/>
  <c r="P84" i="16"/>
  <c r="P137" i="16"/>
  <c r="P80" i="16"/>
  <c r="P103" i="16"/>
  <c r="P312" i="16"/>
  <c r="P177" i="16"/>
  <c r="P86" i="16"/>
  <c r="P175" i="16"/>
  <c r="P167" i="16"/>
  <c r="P133" i="16"/>
  <c r="P231" i="16"/>
  <c r="P315" i="16"/>
  <c r="P53" i="16"/>
  <c r="P308" i="16"/>
  <c r="P145" i="16"/>
  <c r="P119" i="16"/>
  <c r="P44" i="16"/>
  <c r="P74" i="16"/>
  <c r="P60" i="16"/>
  <c r="P23" i="16"/>
  <c r="P262" i="16"/>
  <c r="P109" i="16"/>
  <c r="P19" i="16"/>
  <c r="P297" i="16"/>
  <c r="P106" i="16"/>
  <c r="P72" i="16"/>
  <c r="P311" i="16"/>
  <c r="P48" i="16"/>
  <c r="P51" i="16"/>
  <c r="P238" i="16"/>
  <c r="P289" i="16"/>
  <c r="P85" i="16"/>
  <c r="P192" i="16"/>
  <c r="P153" i="16"/>
  <c r="P130" i="16"/>
  <c r="P258" i="16"/>
  <c r="P252" i="16"/>
  <c r="P301" i="16"/>
  <c r="P319" i="16"/>
  <c r="P102" i="16"/>
  <c r="P12" i="16"/>
  <c r="P235" i="16"/>
  <c r="P287" i="16"/>
  <c r="P37" i="16"/>
  <c r="P201" i="16"/>
  <c r="P163" i="16"/>
  <c r="P151" i="16"/>
  <c r="P26" i="16"/>
  <c r="P293" i="16"/>
  <c r="P182" i="16"/>
  <c r="P100" i="16"/>
  <c r="P313" i="16"/>
  <c r="P186" i="16"/>
  <c r="P237" i="16"/>
  <c r="P69" i="16"/>
  <c r="P255" i="16"/>
  <c r="P8" i="16"/>
  <c r="P194" i="16"/>
  <c r="P196" i="16"/>
  <c r="P6" i="16"/>
  <c r="P215" i="16"/>
  <c r="P216" i="16"/>
  <c r="P98" i="16"/>
  <c r="P82" i="16"/>
  <c r="P158" i="16"/>
  <c r="P9" i="16"/>
  <c r="P97" i="16"/>
  <c r="P322" i="16"/>
  <c r="P219" i="16"/>
  <c r="P123" i="16"/>
  <c r="P269" i="16"/>
  <c r="P45" i="16"/>
  <c r="P263" i="16"/>
  <c r="P134" i="16"/>
  <c r="P75" i="16"/>
  <c r="P244" i="16"/>
  <c r="P277" i="16"/>
  <c r="P207" i="16"/>
  <c r="P209" i="16"/>
  <c r="P108" i="16"/>
  <c r="P157" i="16"/>
  <c r="P259" i="16"/>
  <c r="P306" i="16"/>
  <c r="P28" i="16"/>
  <c r="P122" i="16"/>
  <c r="P268" i="16"/>
  <c r="P162" i="16"/>
  <c r="P261" i="16"/>
  <c r="P210" i="16"/>
  <c r="P245" i="16"/>
  <c r="P202" i="16"/>
  <c r="P90" i="16"/>
  <c r="P234" i="16"/>
  <c r="P193" i="16"/>
  <c r="P79" i="16"/>
  <c r="P239" i="16"/>
  <c r="P111" i="16"/>
  <c r="P91" i="16"/>
  <c r="P227" i="16"/>
  <c r="P249" i="16"/>
  <c r="P230" i="16"/>
  <c r="P87" i="16"/>
  <c r="P129" i="16"/>
  <c r="P96" i="16"/>
  <c r="P62" i="16"/>
  <c r="P35" i="16"/>
  <c r="P55" i="16"/>
  <c r="P89" i="16"/>
  <c r="P76" i="16"/>
  <c r="J321" i="9" l="1"/>
  <c r="I321" i="9"/>
  <c r="K321" i="9" s="1"/>
  <c r="J320" i="9"/>
  <c r="I320" i="9"/>
  <c r="K320" i="9" s="1"/>
  <c r="J319" i="9"/>
  <c r="I319" i="9"/>
  <c r="K319" i="9" s="1"/>
  <c r="J318" i="9"/>
  <c r="I318" i="9"/>
  <c r="K318" i="9" s="1"/>
  <c r="J317" i="9"/>
  <c r="I317" i="9"/>
  <c r="K317" i="9" s="1"/>
  <c r="J316" i="9"/>
  <c r="I316" i="9"/>
  <c r="K316" i="9" s="1"/>
  <c r="J315" i="9"/>
  <c r="I315" i="9"/>
  <c r="K315" i="9" s="1"/>
  <c r="J314" i="9"/>
  <c r="I314" i="9"/>
  <c r="K314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J307" i="9"/>
  <c r="I307" i="9"/>
  <c r="K307" i="9" s="1"/>
  <c r="J306" i="9"/>
  <c r="I306" i="9"/>
  <c r="K306" i="9" s="1"/>
  <c r="J305" i="9"/>
  <c r="I305" i="9"/>
  <c r="K305" i="9" s="1"/>
  <c r="J304" i="9"/>
  <c r="I304" i="9"/>
  <c r="K304" i="9" s="1"/>
  <c r="J303" i="9"/>
  <c r="I303" i="9"/>
  <c r="K303" i="9" s="1"/>
  <c r="J302" i="9"/>
  <c r="I302" i="9"/>
  <c r="K302" i="9" s="1"/>
  <c r="J301" i="9"/>
  <c r="I301" i="9"/>
  <c r="K301" i="9" s="1"/>
  <c r="J300" i="9"/>
  <c r="I300" i="9"/>
  <c r="K300" i="9" s="1"/>
  <c r="J299" i="9"/>
  <c r="I299" i="9"/>
  <c r="K299" i="9" s="1"/>
  <c r="J298" i="9"/>
  <c r="I298" i="9"/>
  <c r="K298" i="9" s="1"/>
  <c r="J297" i="9"/>
  <c r="I297" i="9"/>
  <c r="K297" i="9" s="1"/>
  <c r="J296" i="9"/>
  <c r="I296" i="9"/>
  <c r="K296" i="9" s="1"/>
  <c r="J295" i="9"/>
  <c r="I295" i="9"/>
  <c r="K295" i="9" s="1"/>
  <c r="J294" i="9"/>
  <c r="I294" i="9"/>
  <c r="K294" i="9" s="1"/>
  <c r="J293" i="9"/>
  <c r="I293" i="9"/>
  <c r="K293" i="9" s="1"/>
  <c r="J292" i="9"/>
  <c r="I292" i="9"/>
  <c r="K292" i="9" s="1"/>
  <c r="J291" i="9"/>
  <c r="I291" i="9"/>
  <c r="K291" i="9" s="1"/>
  <c r="J290" i="9"/>
  <c r="I290" i="9"/>
  <c r="K290" i="9" s="1"/>
  <c r="J289" i="9"/>
  <c r="I289" i="9"/>
  <c r="K289" i="9" s="1"/>
  <c r="J288" i="9"/>
  <c r="I288" i="9"/>
  <c r="K288" i="9" s="1"/>
  <c r="J287" i="9"/>
  <c r="I287" i="9"/>
  <c r="K287" i="9" s="1"/>
  <c r="J286" i="9"/>
  <c r="I286" i="9"/>
  <c r="K286" i="9" s="1"/>
  <c r="J285" i="9"/>
  <c r="I285" i="9"/>
  <c r="K285" i="9" s="1"/>
  <c r="J284" i="9"/>
  <c r="I284" i="9"/>
  <c r="K284" i="9" s="1"/>
  <c r="J283" i="9"/>
  <c r="I283" i="9"/>
  <c r="K283" i="9" s="1"/>
  <c r="J282" i="9"/>
  <c r="I282" i="9"/>
  <c r="K282" i="9" s="1"/>
  <c r="J281" i="9"/>
  <c r="I281" i="9"/>
  <c r="K281" i="9" s="1"/>
  <c r="J280" i="9"/>
  <c r="I280" i="9"/>
  <c r="K280" i="9" s="1"/>
  <c r="J279" i="9"/>
  <c r="I279" i="9"/>
  <c r="K279" i="9" s="1"/>
  <c r="J278" i="9"/>
  <c r="I278" i="9"/>
  <c r="K278" i="9" s="1"/>
  <c r="J277" i="9"/>
  <c r="I277" i="9"/>
  <c r="K277" i="9" s="1"/>
  <c r="J276" i="9"/>
  <c r="I276" i="9"/>
  <c r="K276" i="9" s="1"/>
  <c r="J275" i="9"/>
  <c r="I275" i="9"/>
  <c r="K275" i="9" s="1"/>
  <c r="J274" i="9"/>
  <c r="I274" i="9"/>
  <c r="K274" i="9" s="1"/>
  <c r="J273" i="9"/>
  <c r="I273" i="9"/>
  <c r="K273" i="9" s="1"/>
  <c r="J272" i="9"/>
  <c r="I272" i="9"/>
  <c r="K272" i="9" s="1"/>
  <c r="J271" i="9"/>
  <c r="I271" i="9"/>
  <c r="K271" i="9" s="1"/>
  <c r="J270" i="9"/>
  <c r="I270" i="9"/>
  <c r="K270" i="9" s="1"/>
  <c r="J269" i="9"/>
  <c r="I269" i="9"/>
  <c r="K269" i="9" s="1"/>
  <c r="J268" i="9"/>
  <c r="I268" i="9"/>
  <c r="K268" i="9" s="1"/>
  <c r="J267" i="9"/>
  <c r="I267" i="9"/>
  <c r="K267" i="9" s="1"/>
  <c r="J266" i="9"/>
  <c r="I266" i="9"/>
  <c r="K266" i="9" s="1"/>
  <c r="J265" i="9"/>
  <c r="I265" i="9"/>
  <c r="K265" i="9" s="1"/>
  <c r="J264" i="9"/>
  <c r="I264" i="9"/>
  <c r="K264" i="9" s="1"/>
  <c r="J263" i="9"/>
  <c r="I263" i="9"/>
  <c r="K263" i="9" s="1"/>
  <c r="J262" i="9"/>
  <c r="I262" i="9"/>
  <c r="K262" i="9" s="1"/>
  <c r="J261" i="9"/>
  <c r="I261" i="9"/>
  <c r="K261" i="9" s="1"/>
  <c r="J260" i="9"/>
  <c r="I260" i="9"/>
  <c r="K260" i="9" s="1"/>
  <c r="J259" i="9"/>
  <c r="I259" i="9"/>
  <c r="K259" i="9" s="1"/>
  <c r="J258" i="9"/>
  <c r="I258" i="9"/>
  <c r="K258" i="9" s="1"/>
  <c r="J257" i="9"/>
  <c r="I257" i="9"/>
  <c r="K257" i="9" s="1"/>
  <c r="J256" i="9"/>
  <c r="I256" i="9"/>
  <c r="K256" i="9" s="1"/>
  <c r="J255" i="9"/>
  <c r="I255" i="9"/>
  <c r="K255" i="9" s="1"/>
  <c r="J254" i="9"/>
  <c r="I254" i="9"/>
  <c r="K254" i="9" s="1"/>
  <c r="J253" i="9"/>
  <c r="I253" i="9"/>
  <c r="K253" i="9" s="1"/>
  <c r="J252" i="9"/>
  <c r="I252" i="9"/>
  <c r="K252" i="9" s="1"/>
  <c r="J251" i="9"/>
  <c r="I251" i="9"/>
  <c r="K251" i="9" s="1"/>
  <c r="J250" i="9"/>
  <c r="I250" i="9"/>
  <c r="K250" i="9" s="1"/>
  <c r="J249" i="9"/>
  <c r="I249" i="9"/>
  <c r="K249" i="9" s="1"/>
  <c r="J248" i="9"/>
  <c r="I248" i="9"/>
  <c r="K248" i="9" s="1"/>
  <c r="J247" i="9"/>
  <c r="I247" i="9"/>
  <c r="K247" i="9" s="1"/>
  <c r="J246" i="9"/>
  <c r="I246" i="9"/>
  <c r="K246" i="9" s="1"/>
  <c r="J245" i="9"/>
  <c r="I245" i="9"/>
  <c r="K245" i="9" s="1"/>
  <c r="J244" i="9"/>
  <c r="I244" i="9"/>
  <c r="K244" i="9" s="1"/>
  <c r="J243" i="9"/>
  <c r="I243" i="9"/>
  <c r="K243" i="9" s="1"/>
  <c r="J242" i="9"/>
  <c r="I242" i="9"/>
  <c r="K242" i="9" s="1"/>
  <c r="J241" i="9"/>
  <c r="I241" i="9"/>
  <c r="K241" i="9" s="1"/>
  <c r="J240" i="9"/>
  <c r="I240" i="9"/>
  <c r="K240" i="9" s="1"/>
  <c r="J239" i="9"/>
  <c r="I239" i="9"/>
  <c r="K239" i="9" s="1"/>
  <c r="J238" i="9"/>
  <c r="I238" i="9"/>
  <c r="K238" i="9" s="1"/>
  <c r="J237" i="9"/>
  <c r="I237" i="9"/>
  <c r="K237" i="9" s="1"/>
  <c r="J236" i="9"/>
  <c r="I236" i="9"/>
  <c r="K236" i="9" s="1"/>
  <c r="J235" i="9"/>
  <c r="I235" i="9"/>
  <c r="K235" i="9" s="1"/>
  <c r="J234" i="9"/>
  <c r="I234" i="9"/>
  <c r="K234" i="9" s="1"/>
  <c r="J233" i="9"/>
  <c r="I233" i="9"/>
  <c r="K233" i="9" s="1"/>
  <c r="J232" i="9"/>
  <c r="I232" i="9"/>
  <c r="K232" i="9" s="1"/>
  <c r="J231" i="9"/>
  <c r="I231" i="9"/>
  <c r="K231" i="9" s="1"/>
  <c r="J230" i="9"/>
  <c r="I230" i="9"/>
  <c r="K230" i="9" s="1"/>
  <c r="J229" i="9"/>
  <c r="I229" i="9"/>
  <c r="K229" i="9" s="1"/>
  <c r="J228" i="9"/>
  <c r="I228" i="9"/>
  <c r="K228" i="9" s="1"/>
  <c r="J227" i="9"/>
  <c r="I227" i="9"/>
  <c r="K227" i="9" s="1"/>
  <c r="J226" i="9"/>
  <c r="I226" i="9"/>
  <c r="K226" i="9" s="1"/>
  <c r="J225" i="9"/>
  <c r="I225" i="9"/>
  <c r="K225" i="9" s="1"/>
  <c r="J224" i="9"/>
  <c r="I224" i="9"/>
  <c r="K224" i="9" s="1"/>
  <c r="J223" i="9"/>
  <c r="I223" i="9"/>
  <c r="K223" i="9" s="1"/>
  <c r="J222" i="9"/>
  <c r="I222" i="9"/>
  <c r="K222" i="9" s="1"/>
  <c r="J221" i="9"/>
  <c r="I221" i="9"/>
  <c r="K221" i="9" s="1"/>
  <c r="J220" i="9"/>
  <c r="I220" i="9"/>
  <c r="K220" i="9" s="1"/>
  <c r="J219" i="9"/>
  <c r="I219" i="9"/>
  <c r="K219" i="9" s="1"/>
  <c r="J218" i="9"/>
  <c r="I218" i="9"/>
  <c r="K218" i="9" s="1"/>
  <c r="J217" i="9"/>
  <c r="I217" i="9"/>
  <c r="K217" i="9" s="1"/>
  <c r="J216" i="9"/>
  <c r="I216" i="9"/>
  <c r="K216" i="9" s="1"/>
  <c r="J215" i="9"/>
  <c r="I215" i="9"/>
  <c r="K215" i="9" s="1"/>
  <c r="J214" i="9"/>
  <c r="I214" i="9"/>
  <c r="K214" i="9" s="1"/>
  <c r="J213" i="9"/>
  <c r="I213" i="9"/>
  <c r="K213" i="9" s="1"/>
  <c r="J212" i="9"/>
  <c r="I212" i="9"/>
  <c r="K212" i="9" s="1"/>
  <c r="J211" i="9"/>
  <c r="I211" i="9"/>
  <c r="K211" i="9" s="1"/>
  <c r="J210" i="9"/>
  <c r="I210" i="9"/>
  <c r="K210" i="9" s="1"/>
  <c r="J209" i="9"/>
  <c r="I209" i="9"/>
  <c r="K209" i="9" s="1"/>
  <c r="J208" i="9"/>
  <c r="I208" i="9"/>
  <c r="K208" i="9" s="1"/>
  <c r="J207" i="9"/>
  <c r="I207" i="9"/>
  <c r="K207" i="9" s="1"/>
  <c r="J206" i="9"/>
  <c r="I206" i="9"/>
  <c r="K206" i="9" s="1"/>
  <c r="J205" i="9"/>
  <c r="I205" i="9"/>
  <c r="K205" i="9" s="1"/>
  <c r="J204" i="9"/>
  <c r="I204" i="9"/>
  <c r="K204" i="9" s="1"/>
  <c r="J203" i="9"/>
  <c r="I203" i="9"/>
  <c r="K203" i="9" s="1"/>
  <c r="J202" i="9"/>
  <c r="I202" i="9"/>
  <c r="K202" i="9" s="1"/>
  <c r="J201" i="9"/>
  <c r="I201" i="9"/>
  <c r="K201" i="9" s="1"/>
  <c r="J200" i="9"/>
  <c r="I200" i="9"/>
  <c r="K200" i="9" s="1"/>
  <c r="J199" i="9"/>
  <c r="I199" i="9"/>
  <c r="K199" i="9" s="1"/>
  <c r="J198" i="9"/>
  <c r="I198" i="9"/>
  <c r="K198" i="9" s="1"/>
  <c r="J197" i="9"/>
  <c r="I197" i="9"/>
  <c r="K197" i="9" s="1"/>
  <c r="J196" i="9"/>
  <c r="I196" i="9"/>
  <c r="K196" i="9" s="1"/>
  <c r="J195" i="9"/>
  <c r="I195" i="9"/>
  <c r="K195" i="9" s="1"/>
  <c r="J194" i="9"/>
  <c r="I194" i="9"/>
  <c r="K194" i="9" s="1"/>
  <c r="J193" i="9"/>
  <c r="I193" i="9"/>
  <c r="K193" i="9" s="1"/>
  <c r="J192" i="9"/>
  <c r="I192" i="9"/>
  <c r="K192" i="9" s="1"/>
  <c r="J191" i="9"/>
  <c r="I191" i="9"/>
  <c r="K191" i="9" s="1"/>
  <c r="J190" i="9"/>
  <c r="I190" i="9"/>
  <c r="K190" i="9" s="1"/>
  <c r="J189" i="9"/>
  <c r="I189" i="9"/>
  <c r="K189" i="9" s="1"/>
  <c r="J188" i="9"/>
  <c r="I188" i="9"/>
  <c r="K188" i="9" s="1"/>
  <c r="J187" i="9"/>
  <c r="I187" i="9"/>
  <c r="K187" i="9" s="1"/>
  <c r="J186" i="9"/>
  <c r="I186" i="9"/>
  <c r="K186" i="9" s="1"/>
  <c r="J185" i="9"/>
  <c r="I185" i="9"/>
  <c r="K185" i="9" s="1"/>
  <c r="J184" i="9"/>
  <c r="I184" i="9"/>
  <c r="K184" i="9" s="1"/>
  <c r="J183" i="9"/>
  <c r="I183" i="9"/>
  <c r="K183" i="9" s="1"/>
  <c r="J182" i="9"/>
  <c r="I182" i="9"/>
  <c r="K182" i="9" s="1"/>
  <c r="J181" i="9"/>
  <c r="I181" i="9"/>
  <c r="K181" i="9" s="1"/>
  <c r="J180" i="9"/>
  <c r="I180" i="9"/>
  <c r="K180" i="9" s="1"/>
  <c r="J179" i="9"/>
  <c r="I179" i="9"/>
  <c r="K179" i="9" s="1"/>
  <c r="J178" i="9"/>
  <c r="I178" i="9"/>
  <c r="K178" i="9" s="1"/>
  <c r="J177" i="9"/>
  <c r="I177" i="9"/>
  <c r="K177" i="9" s="1"/>
  <c r="J176" i="9"/>
  <c r="I176" i="9"/>
  <c r="K176" i="9" s="1"/>
  <c r="J175" i="9"/>
  <c r="I175" i="9"/>
  <c r="K175" i="9" s="1"/>
  <c r="J174" i="9"/>
  <c r="I174" i="9"/>
  <c r="K174" i="9" s="1"/>
  <c r="J173" i="9"/>
  <c r="I173" i="9"/>
  <c r="K173" i="9" s="1"/>
  <c r="J172" i="9"/>
  <c r="I172" i="9"/>
  <c r="K172" i="9" s="1"/>
  <c r="J171" i="9"/>
  <c r="I171" i="9"/>
  <c r="K171" i="9" s="1"/>
  <c r="J170" i="9"/>
  <c r="I170" i="9"/>
  <c r="K170" i="9" s="1"/>
  <c r="J169" i="9"/>
  <c r="I169" i="9"/>
  <c r="K169" i="9" s="1"/>
  <c r="J168" i="9"/>
  <c r="I168" i="9"/>
  <c r="K168" i="9" s="1"/>
  <c r="J167" i="9"/>
  <c r="I167" i="9"/>
  <c r="K167" i="9" s="1"/>
  <c r="J166" i="9"/>
  <c r="I166" i="9"/>
  <c r="K166" i="9" s="1"/>
  <c r="J165" i="9"/>
  <c r="I165" i="9"/>
  <c r="K165" i="9" s="1"/>
  <c r="J164" i="9"/>
  <c r="I164" i="9"/>
  <c r="K164" i="9" s="1"/>
  <c r="J163" i="9"/>
  <c r="I163" i="9"/>
  <c r="K163" i="9" s="1"/>
  <c r="J162" i="9"/>
  <c r="I162" i="9"/>
  <c r="K162" i="9" s="1"/>
  <c r="J161" i="9"/>
  <c r="I161" i="9"/>
  <c r="K161" i="9" s="1"/>
  <c r="J160" i="9"/>
  <c r="I160" i="9"/>
  <c r="K160" i="9" s="1"/>
  <c r="J159" i="9"/>
  <c r="I159" i="9"/>
  <c r="K159" i="9" s="1"/>
  <c r="J158" i="9"/>
  <c r="I158" i="9"/>
  <c r="K158" i="9" s="1"/>
  <c r="J157" i="9"/>
  <c r="I157" i="9"/>
  <c r="K157" i="9" s="1"/>
  <c r="J156" i="9"/>
  <c r="I156" i="9"/>
  <c r="K156" i="9" s="1"/>
  <c r="J155" i="9"/>
  <c r="I155" i="9"/>
  <c r="K155" i="9" s="1"/>
  <c r="J154" i="9"/>
  <c r="I154" i="9"/>
  <c r="K154" i="9" s="1"/>
  <c r="J153" i="9"/>
  <c r="I153" i="9"/>
  <c r="K153" i="9" s="1"/>
  <c r="J152" i="9"/>
  <c r="I152" i="9"/>
  <c r="K152" i="9" s="1"/>
  <c r="J151" i="9"/>
  <c r="I151" i="9"/>
  <c r="K151" i="9" s="1"/>
  <c r="J150" i="9"/>
  <c r="I150" i="9"/>
  <c r="K150" i="9" s="1"/>
  <c r="J149" i="9"/>
  <c r="I149" i="9"/>
  <c r="K149" i="9" s="1"/>
  <c r="J148" i="9"/>
  <c r="I148" i="9"/>
  <c r="K148" i="9" s="1"/>
  <c r="J147" i="9"/>
  <c r="I147" i="9"/>
  <c r="K147" i="9" s="1"/>
  <c r="J146" i="9"/>
  <c r="I146" i="9"/>
  <c r="K146" i="9" s="1"/>
  <c r="J145" i="9"/>
  <c r="I145" i="9"/>
  <c r="K145" i="9" s="1"/>
  <c r="J144" i="9"/>
  <c r="I144" i="9"/>
  <c r="K144" i="9" s="1"/>
  <c r="J143" i="9"/>
  <c r="I143" i="9"/>
  <c r="K143" i="9" s="1"/>
  <c r="J142" i="9"/>
  <c r="I142" i="9"/>
  <c r="K142" i="9" s="1"/>
  <c r="J141" i="9"/>
  <c r="I141" i="9"/>
  <c r="K141" i="9" s="1"/>
  <c r="J140" i="9"/>
  <c r="I140" i="9"/>
  <c r="K140" i="9" s="1"/>
  <c r="J139" i="9"/>
  <c r="I139" i="9"/>
  <c r="K139" i="9" s="1"/>
  <c r="J138" i="9"/>
  <c r="I138" i="9"/>
  <c r="K138" i="9" s="1"/>
  <c r="J137" i="9"/>
  <c r="I137" i="9"/>
  <c r="K137" i="9" s="1"/>
  <c r="J136" i="9"/>
  <c r="I136" i="9"/>
  <c r="K136" i="9" s="1"/>
  <c r="J135" i="9"/>
  <c r="I135" i="9"/>
  <c r="K135" i="9" s="1"/>
  <c r="J134" i="9"/>
  <c r="I134" i="9"/>
  <c r="K134" i="9" s="1"/>
  <c r="J133" i="9"/>
  <c r="I133" i="9"/>
  <c r="K133" i="9" s="1"/>
  <c r="J132" i="9"/>
  <c r="I132" i="9"/>
  <c r="K132" i="9" s="1"/>
  <c r="J131" i="9"/>
  <c r="I131" i="9"/>
  <c r="K131" i="9" s="1"/>
  <c r="J130" i="9"/>
  <c r="I130" i="9"/>
  <c r="K130" i="9" s="1"/>
  <c r="J129" i="9"/>
  <c r="I129" i="9"/>
  <c r="K129" i="9" s="1"/>
  <c r="J128" i="9"/>
  <c r="I128" i="9"/>
  <c r="K128" i="9" s="1"/>
  <c r="J127" i="9"/>
  <c r="I127" i="9"/>
  <c r="K127" i="9" s="1"/>
  <c r="J126" i="9"/>
  <c r="I126" i="9"/>
  <c r="K126" i="9" s="1"/>
  <c r="J125" i="9"/>
  <c r="I125" i="9"/>
  <c r="K125" i="9" s="1"/>
  <c r="J124" i="9"/>
  <c r="I124" i="9"/>
  <c r="K124" i="9" s="1"/>
  <c r="J123" i="9"/>
  <c r="I123" i="9"/>
  <c r="K123" i="9" s="1"/>
  <c r="J122" i="9"/>
  <c r="I122" i="9"/>
  <c r="K122" i="9" s="1"/>
  <c r="J121" i="9"/>
  <c r="I121" i="9"/>
  <c r="K121" i="9" s="1"/>
  <c r="J120" i="9"/>
  <c r="I120" i="9"/>
  <c r="K120" i="9" s="1"/>
  <c r="J119" i="9"/>
  <c r="I119" i="9"/>
  <c r="K119" i="9" s="1"/>
  <c r="J118" i="9"/>
  <c r="I118" i="9"/>
  <c r="K118" i="9" s="1"/>
  <c r="J117" i="9"/>
  <c r="I117" i="9"/>
  <c r="K117" i="9" s="1"/>
  <c r="J116" i="9"/>
  <c r="I116" i="9"/>
  <c r="K116" i="9" s="1"/>
  <c r="J115" i="9"/>
  <c r="I115" i="9"/>
  <c r="K115" i="9" s="1"/>
  <c r="J114" i="9"/>
  <c r="I114" i="9"/>
  <c r="K114" i="9" s="1"/>
  <c r="J113" i="9"/>
  <c r="I113" i="9"/>
  <c r="K113" i="9" s="1"/>
  <c r="J112" i="9"/>
  <c r="I112" i="9"/>
  <c r="K112" i="9" s="1"/>
  <c r="J111" i="9"/>
  <c r="I111" i="9"/>
  <c r="K111" i="9" s="1"/>
  <c r="J110" i="9"/>
  <c r="I110" i="9"/>
  <c r="K110" i="9" s="1"/>
  <c r="J109" i="9"/>
  <c r="I109" i="9"/>
  <c r="K109" i="9" s="1"/>
  <c r="J108" i="9"/>
  <c r="I108" i="9"/>
  <c r="K108" i="9" s="1"/>
  <c r="J107" i="9"/>
  <c r="I107" i="9"/>
  <c r="K107" i="9" s="1"/>
  <c r="J106" i="9"/>
  <c r="I106" i="9"/>
  <c r="K106" i="9" s="1"/>
  <c r="J105" i="9"/>
  <c r="I105" i="9"/>
  <c r="K105" i="9" s="1"/>
  <c r="J104" i="9"/>
  <c r="I104" i="9"/>
  <c r="K104" i="9" s="1"/>
  <c r="J103" i="9"/>
  <c r="I103" i="9"/>
  <c r="K103" i="9" s="1"/>
  <c r="J102" i="9"/>
  <c r="I102" i="9"/>
  <c r="K102" i="9" s="1"/>
  <c r="J101" i="9"/>
  <c r="I101" i="9"/>
  <c r="K101" i="9" s="1"/>
  <c r="J100" i="9"/>
  <c r="I100" i="9"/>
  <c r="K100" i="9" s="1"/>
  <c r="J99" i="9"/>
  <c r="I99" i="9"/>
  <c r="K99" i="9" s="1"/>
  <c r="J98" i="9"/>
  <c r="I98" i="9"/>
  <c r="K98" i="9" s="1"/>
  <c r="J97" i="9"/>
  <c r="I97" i="9"/>
  <c r="K97" i="9" s="1"/>
  <c r="J96" i="9"/>
  <c r="I96" i="9"/>
  <c r="K96" i="9" s="1"/>
  <c r="J95" i="9"/>
  <c r="I95" i="9"/>
  <c r="K95" i="9" s="1"/>
  <c r="J94" i="9"/>
  <c r="I94" i="9"/>
  <c r="K94" i="9" s="1"/>
  <c r="J93" i="9"/>
  <c r="I93" i="9"/>
  <c r="K93" i="9" s="1"/>
  <c r="J92" i="9"/>
  <c r="I92" i="9"/>
  <c r="K92" i="9" s="1"/>
  <c r="J91" i="9"/>
  <c r="I91" i="9"/>
  <c r="K91" i="9" s="1"/>
  <c r="J90" i="9"/>
  <c r="I90" i="9"/>
  <c r="K90" i="9" s="1"/>
  <c r="J89" i="9"/>
  <c r="I89" i="9"/>
  <c r="K89" i="9" s="1"/>
  <c r="J88" i="9"/>
  <c r="I88" i="9"/>
  <c r="K88" i="9" s="1"/>
  <c r="J87" i="9"/>
  <c r="I87" i="9"/>
  <c r="K87" i="9" s="1"/>
  <c r="J86" i="9"/>
  <c r="I86" i="9"/>
  <c r="K86" i="9" s="1"/>
  <c r="J85" i="9"/>
  <c r="I85" i="9"/>
  <c r="K85" i="9" s="1"/>
  <c r="J84" i="9"/>
  <c r="I84" i="9"/>
  <c r="K84" i="9" s="1"/>
  <c r="J83" i="9"/>
  <c r="I83" i="9"/>
  <c r="K83" i="9" s="1"/>
  <c r="J82" i="9"/>
  <c r="I82" i="9"/>
  <c r="K82" i="9" s="1"/>
  <c r="J81" i="9"/>
  <c r="I81" i="9"/>
  <c r="K81" i="9" s="1"/>
  <c r="J80" i="9"/>
  <c r="I80" i="9"/>
  <c r="K80" i="9" s="1"/>
  <c r="J79" i="9"/>
  <c r="I79" i="9"/>
  <c r="K79" i="9" s="1"/>
  <c r="J78" i="9"/>
  <c r="I78" i="9"/>
  <c r="K78" i="9" s="1"/>
  <c r="J77" i="9"/>
  <c r="I77" i="9"/>
  <c r="K77" i="9" s="1"/>
  <c r="J76" i="9"/>
  <c r="I76" i="9"/>
  <c r="K76" i="9" s="1"/>
  <c r="J75" i="9"/>
  <c r="I75" i="9"/>
  <c r="K75" i="9" s="1"/>
  <c r="J74" i="9"/>
  <c r="I74" i="9"/>
  <c r="K74" i="9" s="1"/>
  <c r="J73" i="9"/>
  <c r="I73" i="9"/>
  <c r="K73" i="9" s="1"/>
  <c r="J72" i="9"/>
  <c r="I72" i="9"/>
  <c r="K72" i="9" s="1"/>
  <c r="J71" i="9"/>
  <c r="I71" i="9"/>
  <c r="K71" i="9" s="1"/>
  <c r="J70" i="9"/>
  <c r="I70" i="9"/>
  <c r="K70" i="9" s="1"/>
  <c r="J69" i="9"/>
  <c r="I69" i="9"/>
  <c r="K69" i="9" s="1"/>
  <c r="J68" i="9"/>
  <c r="I68" i="9"/>
  <c r="K68" i="9" s="1"/>
  <c r="J67" i="9"/>
  <c r="I67" i="9"/>
  <c r="K67" i="9" s="1"/>
  <c r="J66" i="9"/>
  <c r="I66" i="9"/>
  <c r="K66" i="9" s="1"/>
  <c r="J65" i="9"/>
  <c r="I65" i="9"/>
  <c r="K65" i="9" s="1"/>
  <c r="J64" i="9"/>
  <c r="I64" i="9"/>
  <c r="K64" i="9" s="1"/>
  <c r="J63" i="9"/>
  <c r="I63" i="9"/>
  <c r="K63" i="9" s="1"/>
  <c r="J62" i="9"/>
  <c r="I62" i="9"/>
  <c r="K62" i="9" s="1"/>
  <c r="J61" i="9"/>
  <c r="I61" i="9"/>
  <c r="K61" i="9" s="1"/>
  <c r="J60" i="9"/>
  <c r="I60" i="9"/>
  <c r="K60" i="9" s="1"/>
  <c r="J59" i="9"/>
  <c r="I59" i="9"/>
  <c r="K59" i="9" s="1"/>
  <c r="J58" i="9"/>
  <c r="I58" i="9"/>
  <c r="K58" i="9" s="1"/>
  <c r="J57" i="9"/>
  <c r="I57" i="9"/>
  <c r="K57" i="9" s="1"/>
  <c r="J56" i="9"/>
  <c r="I56" i="9"/>
  <c r="K56" i="9" s="1"/>
  <c r="J55" i="9"/>
  <c r="I55" i="9"/>
  <c r="K55" i="9" s="1"/>
  <c r="J54" i="9"/>
  <c r="I54" i="9"/>
  <c r="K54" i="9" s="1"/>
  <c r="J53" i="9"/>
  <c r="I53" i="9"/>
  <c r="K53" i="9" s="1"/>
  <c r="J52" i="9"/>
  <c r="I52" i="9"/>
  <c r="K52" i="9" s="1"/>
  <c r="J51" i="9"/>
  <c r="I51" i="9"/>
  <c r="K51" i="9" s="1"/>
  <c r="J50" i="9"/>
  <c r="I50" i="9"/>
  <c r="K50" i="9" s="1"/>
  <c r="J49" i="9"/>
  <c r="I49" i="9"/>
  <c r="K49" i="9" s="1"/>
  <c r="J48" i="9"/>
  <c r="I48" i="9"/>
  <c r="K48" i="9" s="1"/>
  <c r="J47" i="9"/>
  <c r="I47" i="9"/>
  <c r="K47" i="9" s="1"/>
  <c r="J46" i="9"/>
  <c r="I46" i="9"/>
  <c r="K46" i="9" s="1"/>
  <c r="J45" i="9"/>
  <c r="I45" i="9"/>
  <c r="K45" i="9" s="1"/>
  <c r="J44" i="9"/>
  <c r="I44" i="9"/>
  <c r="K44" i="9" s="1"/>
  <c r="J43" i="9"/>
  <c r="I43" i="9"/>
  <c r="K43" i="9" s="1"/>
  <c r="J42" i="9"/>
  <c r="I42" i="9"/>
  <c r="K42" i="9" s="1"/>
  <c r="J41" i="9"/>
  <c r="I41" i="9"/>
  <c r="K41" i="9" s="1"/>
  <c r="J40" i="9"/>
  <c r="I40" i="9"/>
  <c r="K40" i="9" s="1"/>
  <c r="J39" i="9"/>
  <c r="I39" i="9"/>
  <c r="K39" i="9" s="1"/>
  <c r="J38" i="9"/>
  <c r="I38" i="9"/>
  <c r="K38" i="9" s="1"/>
  <c r="J37" i="9"/>
  <c r="I37" i="9"/>
  <c r="K37" i="9" s="1"/>
  <c r="J36" i="9"/>
  <c r="I36" i="9"/>
  <c r="K36" i="9" s="1"/>
  <c r="J35" i="9"/>
  <c r="I35" i="9"/>
  <c r="K35" i="9" s="1"/>
  <c r="J34" i="9"/>
  <c r="I34" i="9"/>
  <c r="K34" i="9" s="1"/>
  <c r="L34" i="9" s="1"/>
  <c r="J33" i="9"/>
  <c r="I33" i="9"/>
  <c r="K33" i="9" s="1"/>
  <c r="J32" i="9"/>
  <c r="I32" i="9"/>
  <c r="K32" i="9" s="1"/>
  <c r="J31" i="9"/>
  <c r="I31" i="9"/>
  <c r="K31" i="9" s="1"/>
  <c r="J30" i="9"/>
  <c r="I30" i="9"/>
  <c r="K30" i="9" s="1"/>
  <c r="J29" i="9"/>
  <c r="I29" i="9"/>
  <c r="K29" i="9" s="1"/>
  <c r="J28" i="9"/>
  <c r="I28" i="9"/>
  <c r="K28" i="9" s="1"/>
  <c r="J27" i="9"/>
  <c r="I27" i="9"/>
  <c r="K27" i="9" s="1"/>
  <c r="J26" i="9"/>
  <c r="I26" i="9"/>
  <c r="K26" i="9" s="1"/>
  <c r="L26" i="9" s="1"/>
  <c r="J25" i="9"/>
  <c r="I25" i="9"/>
  <c r="K25" i="9" s="1"/>
  <c r="J24" i="9"/>
  <c r="I24" i="9"/>
  <c r="K24" i="9" s="1"/>
  <c r="J23" i="9"/>
  <c r="I23" i="9"/>
  <c r="K23" i="9" s="1"/>
  <c r="J22" i="9"/>
  <c r="I22" i="9"/>
  <c r="K22" i="9" s="1"/>
  <c r="L22" i="9" s="1"/>
  <c r="J21" i="9"/>
  <c r="I21" i="9"/>
  <c r="K21" i="9" s="1"/>
  <c r="J20" i="9"/>
  <c r="I20" i="9"/>
  <c r="K20" i="9" s="1"/>
  <c r="J19" i="9"/>
  <c r="I19" i="9"/>
  <c r="K19" i="9" s="1"/>
  <c r="J18" i="9"/>
  <c r="I18" i="9"/>
  <c r="K18" i="9" s="1"/>
  <c r="J17" i="9"/>
  <c r="I17" i="9"/>
  <c r="K17" i="9" s="1"/>
  <c r="J16" i="9"/>
  <c r="I16" i="9"/>
  <c r="K16" i="9" s="1"/>
  <c r="J15" i="9"/>
  <c r="I15" i="9"/>
  <c r="K15" i="9" s="1"/>
  <c r="J14" i="9"/>
  <c r="I14" i="9"/>
  <c r="K14" i="9" s="1"/>
  <c r="L14" i="9" s="1"/>
  <c r="J13" i="9"/>
  <c r="I13" i="9"/>
  <c r="K13" i="9" s="1"/>
  <c r="J12" i="9"/>
  <c r="I12" i="9"/>
  <c r="K12" i="9" s="1"/>
  <c r="J11" i="9"/>
  <c r="I11" i="9"/>
  <c r="K11" i="9" s="1"/>
  <c r="J10" i="9"/>
  <c r="I10" i="9"/>
  <c r="K10" i="9" s="1"/>
  <c r="L10" i="9" s="1"/>
  <c r="J9" i="9"/>
  <c r="I9" i="9"/>
  <c r="K9" i="9" s="1"/>
  <c r="J8" i="9"/>
  <c r="I8" i="9"/>
  <c r="K8" i="9" s="1"/>
  <c r="J7" i="9"/>
  <c r="I7" i="9"/>
  <c r="K7" i="9" s="1"/>
  <c r="J6" i="9"/>
  <c r="I6" i="9"/>
  <c r="K6" i="9" s="1"/>
  <c r="J5" i="9"/>
  <c r="I5" i="9"/>
  <c r="K5" i="9" s="1"/>
  <c r="J4" i="9"/>
  <c r="I4" i="9"/>
  <c r="K4" i="9" s="1"/>
  <c r="J3" i="9"/>
  <c r="I3" i="9"/>
  <c r="K3" i="9" s="1"/>
  <c r="J2" i="9"/>
  <c r="I2" i="9"/>
  <c r="K2" i="9" s="1"/>
  <c r="L278" i="9" l="1"/>
  <c r="L282" i="9"/>
  <c r="L290" i="9"/>
  <c r="L294" i="9"/>
  <c r="L252" i="9"/>
  <c r="L302" i="9"/>
  <c r="V84" i="9" s="1"/>
  <c r="L83" i="9"/>
  <c r="L179" i="9"/>
  <c r="L183" i="9"/>
  <c r="L187" i="9"/>
  <c r="L191" i="9"/>
  <c r="L195" i="9"/>
  <c r="L199" i="9"/>
  <c r="L203" i="9"/>
  <c r="L207" i="9"/>
  <c r="L211" i="9"/>
  <c r="L219" i="9"/>
  <c r="L223" i="9"/>
  <c r="L227" i="9"/>
  <c r="L231" i="9"/>
  <c r="L235" i="9"/>
  <c r="L239" i="9"/>
  <c r="L243" i="9"/>
  <c r="L251" i="9"/>
  <c r="L255" i="9"/>
  <c r="L259" i="9"/>
  <c r="L263" i="9"/>
  <c r="L267" i="9"/>
  <c r="L271" i="9"/>
  <c r="L275" i="9"/>
  <c r="L283" i="9"/>
  <c r="L8" i="9"/>
  <c r="L16" i="9"/>
  <c r="L32" i="9"/>
  <c r="L40" i="9"/>
  <c r="L44" i="9"/>
  <c r="L52" i="9"/>
  <c r="L88" i="9"/>
  <c r="L108" i="9"/>
  <c r="L116" i="9"/>
  <c r="L120" i="9"/>
  <c r="L128" i="9"/>
  <c r="L132" i="9"/>
  <c r="L136" i="9"/>
  <c r="L144" i="9"/>
  <c r="L164" i="9"/>
  <c r="L168" i="9"/>
  <c r="L172" i="9"/>
  <c r="L180" i="9"/>
  <c r="L188" i="9"/>
  <c r="L192" i="9"/>
  <c r="L196" i="9"/>
  <c r="L200" i="9"/>
  <c r="L208" i="9"/>
  <c r="L220" i="9"/>
  <c r="L232" i="9"/>
  <c r="L240" i="9"/>
  <c r="L287" i="9"/>
  <c r="L291" i="9"/>
  <c r="L295" i="9"/>
  <c r="L299" i="9"/>
  <c r="L303" i="9"/>
  <c r="V85" i="9" s="1"/>
  <c r="L307" i="9"/>
  <c r="V89" i="9" s="1"/>
  <c r="L315" i="9"/>
  <c r="V97" i="9" s="1"/>
  <c r="L319" i="9"/>
  <c r="V101" i="9" s="1"/>
  <c r="L256" i="9"/>
  <c r="L260" i="9"/>
  <c r="L264" i="9"/>
  <c r="L272" i="9"/>
  <c r="L284" i="9"/>
  <c r="L292" i="9"/>
  <c r="L296" i="9"/>
  <c r="L304" i="9"/>
  <c r="V86" i="9" s="1"/>
  <c r="L308" i="9"/>
  <c r="V90" i="9" s="1"/>
  <c r="L316" i="9"/>
  <c r="V98" i="9" s="1"/>
  <c r="L5" i="9"/>
  <c r="L9" i="9"/>
  <c r="L13" i="9"/>
  <c r="L17" i="9"/>
  <c r="L21" i="9"/>
  <c r="L25" i="9"/>
  <c r="L53" i="9"/>
  <c r="L57" i="9"/>
  <c r="L61" i="9"/>
  <c r="L97" i="9"/>
  <c r="L101" i="9"/>
  <c r="L157" i="9"/>
  <c r="L165" i="9"/>
  <c r="L169" i="9"/>
  <c r="L173" i="9"/>
  <c r="L51" i="9"/>
  <c r="L63" i="9"/>
  <c r="V65" i="9" s="1"/>
  <c r="L67" i="9"/>
  <c r="V69" i="9" s="1"/>
  <c r="L75" i="9"/>
  <c r="V77" i="9" s="1"/>
  <c r="L79" i="9"/>
  <c r="V81" i="9" s="1"/>
  <c r="L56" i="9"/>
  <c r="L60" i="9"/>
  <c r="L64" i="9"/>
  <c r="V66" i="9" s="1"/>
  <c r="L72" i="9"/>
  <c r="V74" i="9" s="1"/>
  <c r="L76" i="9"/>
  <c r="V78" i="9" s="1"/>
  <c r="L80" i="9"/>
  <c r="V82" i="9" s="1"/>
  <c r="L73" i="9"/>
  <c r="V75" i="9" s="1"/>
  <c r="L77" i="9"/>
  <c r="V79" i="9" s="1"/>
  <c r="L81" i="9"/>
  <c r="V83" i="9" s="1"/>
  <c r="L176" i="9"/>
  <c r="L47" i="9"/>
  <c r="L86" i="9"/>
  <c r="L90" i="9"/>
  <c r="L94" i="9"/>
  <c r="L134" i="9"/>
  <c r="L138" i="9"/>
  <c r="L146" i="9"/>
  <c r="L162" i="9"/>
  <c r="L166" i="9"/>
  <c r="L170" i="9"/>
  <c r="L174" i="9"/>
  <c r="L181" i="9"/>
  <c r="L189" i="9"/>
  <c r="L193" i="9"/>
  <c r="L201" i="9"/>
  <c r="L205" i="9"/>
  <c r="L209" i="9"/>
  <c r="L221" i="9"/>
  <c r="L225" i="9"/>
  <c r="L233" i="9"/>
  <c r="L237" i="9"/>
  <c r="L245" i="9"/>
  <c r="L249" i="9"/>
  <c r="L253" i="9"/>
  <c r="L257" i="9"/>
  <c r="L265" i="9"/>
  <c r="L269" i="9"/>
  <c r="L82" i="9"/>
  <c r="L37" i="9"/>
  <c r="L41" i="9"/>
  <c r="L45" i="9"/>
  <c r="L84" i="9"/>
  <c r="L95" i="9"/>
  <c r="L99" i="9"/>
  <c r="L106" i="9"/>
  <c r="L110" i="9"/>
  <c r="L114" i="9"/>
  <c r="L276" i="9"/>
  <c r="L38" i="9"/>
  <c r="L49" i="9"/>
  <c r="L96" i="9"/>
  <c r="L115" i="9"/>
  <c r="L19" i="9"/>
  <c r="L23" i="9"/>
  <c r="L31" i="9"/>
  <c r="L50" i="9"/>
  <c r="L54" i="9"/>
  <c r="L66" i="9"/>
  <c r="V68" i="9" s="1"/>
  <c r="L74" i="9"/>
  <c r="V76" i="9" s="1"/>
  <c r="L85" i="9"/>
  <c r="L89" i="9"/>
  <c r="L100" i="9"/>
  <c r="L131" i="9"/>
  <c r="L135" i="9"/>
  <c r="L143" i="9"/>
  <c r="L163" i="9"/>
  <c r="L167" i="9"/>
  <c r="L171" i="9"/>
  <c r="L194" i="9"/>
  <c r="L198" i="9"/>
  <c r="L202" i="9"/>
  <c r="L206" i="9"/>
  <c r="L214" i="9"/>
  <c r="L218" i="9"/>
  <c r="L226" i="9"/>
  <c r="L230" i="9"/>
  <c r="L238" i="9"/>
  <c r="L242" i="9"/>
  <c r="L250" i="9"/>
  <c r="L258" i="9"/>
  <c r="L262" i="9"/>
  <c r="L270" i="9"/>
  <c r="L285" i="9"/>
  <c r="L289" i="9"/>
  <c r="L297" i="9"/>
  <c r="L301" i="9"/>
  <c r="L309" i="9"/>
  <c r="V91" i="9" s="1"/>
  <c r="L317" i="9"/>
  <c r="V99" i="9" s="1"/>
  <c r="L321" i="9"/>
  <c r="V103" i="9" s="1"/>
  <c r="L139" i="9"/>
  <c r="L154" i="9"/>
  <c r="L158" i="9"/>
  <c r="L184" i="9"/>
  <c r="L246" i="9"/>
  <c r="L277" i="9"/>
  <c r="L36" i="9"/>
  <c r="L3" i="9"/>
  <c r="L28" i="9"/>
  <c r="L42" i="9"/>
  <c r="L58" i="9"/>
  <c r="L68" i="9"/>
  <c r="V70" i="9" s="1"/>
  <c r="L98" i="9"/>
  <c r="L104" i="9"/>
  <c r="L111" i="9"/>
  <c r="L118" i="9"/>
  <c r="L122" i="9"/>
  <c r="L151" i="9"/>
  <c r="L155" i="9"/>
  <c r="L159" i="9"/>
  <c r="L185" i="9"/>
  <c r="L212" i="9"/>
  <c r="L4" i="9"/>
  <c r="L7" i="9"/>
  <c r="L29" i="9"/>
  <c r="L46" i="9"/>
  <c r="L69" i="9"/>
  <c r="V71" i="9" s="1"/>
  <c r="L112" i="9"/>
  <c r="L119" i="9"/>
  <c r="L123" i="9"/>
  <c r="L130" i="9"/>
  <c r="L148" i="9"/>
  <c r="L152" i="9"/>
  <c r="L160" i="9"/>
  <c r="L178" i="9"/>
  <c r="L182" i="9"/>
  <c r="L186" i="9"/>
  <c r="L213" i="9"/>
  <c r="L244" i="9"/>
  <c r="L310" i="9"/>
  <c r="V92" i="9" s="1"/>
  <c r="L140" i="9"/>
  <c r="L215" i="9"/>
  <c r="L43" i="9"/>
  <c r="L103" i="9"/>
  <c r="L216" i="9"/>
  <c r="L234" i="9"/>
  <c r="L241" i="9"/>
  <c r="L248" i="9"/>
  <c r="L266" i="9"/>
  <c r="L273" i="9"/>
  <c r="L280" i="9"/>
  <c r="L298" i="9"/>
  <c r="L305" i="9"/>
  <c r="V87" i="9" s="1"/>
  <c r="L312" i="9"/>
  <c r="V94" i="9" s="1"/>
  <c r="L33" i="9"/>
  <c r="L2" i="9"/>
  <c r="L55" i="9"/>
  <c r="L78" i="9"/>
  <c r="V80" i="9" s="1"/>
  <c r="L35" i="9"/>
  <c r="L91" i="9"/>
  <c r="L107" i="9"/>
  <c r="L142" i="9"/>
  <c r="L177" i="9"/>
  <c r="L210" i="9"/>
  <c r="L217" i="9"/>
  <c r="L224" i="9"/>
  <c r="L274" i="9"/>
  <c r="L281" i="9"/>
  <c r="L288" i="9"/>
  <c r="L306" i="9"/>
  <c r="V88" i="9" s="1"/>
  <c r="L313" i="9"/>
  <c r="V95" i="9" s="1"/>
  <c r="L320" i="9"/>
  <c r="V102" i="9" s="1"/>
  <c r="L124" i="9"/>
  <c r="L147" i="9"/>
  <c r="L175" i="9"/>
  <c r="L311" i="9"/>
  <c r="V93" i="9" s="1"/>
  <c r="L20" i="9"/>
  <c r="L149" i="9"/>
  <c r="L228" i="9"/>
  <c r="L48" i="9"/>
  <c r="L247" i="9"/>
  <c r="L279" i="9"/>
  <c r="L15" i="9"/>
  <c r="L59" i="9"/>
  <c r="L70" i="9"/>
  <c r="V72" i="9" s="1"/>
  <c r="L314" i="9"/>
  <c r="V96" i="9" s="1"/>
  <c r="L6" i="9"/>
  <c r="L12" i="9"/>
  <c r="L18" i="9"/>
  <c r="L24" i="9"/>
  <c r="L30" i="9"/>
  <c r="L39" i="9"/>
  <c r="L62" i="9"/>
  <c r="V64" i="9" s="1"/>
  <c r="L65" i="9"/>
  <c r="V67" i="9" s="1"/>
  <c r="L71" i="9"/>
  <c r="V73" i="9" s="1"/>
  <c r="L87" i="9"/>
  <c r="L92" i="9"/>
  <c r="L102" i="9"/>
  <c r="L127" i="9"/>
  <c r="L150" i="9"/>
  <c r="L190" i="9"/>
  <c r="L197" i="9"/>
  <c r="L204" i="9"/>
  <c r="L222" i="9"/>
  <c r="L229" i="9"/>
  <c r="L236" i="9"/>
  <c r="L254" i="9"/>
  <c r="L261" i="9"/>
  <c r="L268" i="9"/>
  <c r="L286" i="9"/>
  <c r="L293" i="9"/>
  <c r="L300" i="9"/>
  <c r="L318" i="9"/>
  <c r="V100" i="9" s="1"/>
  <c r="L126" i="9"/>
  <c r="L27" i="9"/>
  <c r="L93" i="9"/>
  <c r="L161" i="9"/>
  <c r="L11" i="9"/>
  <c r="L117" i="9"/>
  <c r="L156" i="9"/>
  <c r="L133" i="9"/>
  <c r="L105" i="9"/>
  <c r="L121" i="9"/>
  <c r="L137" i="9"/>
  <c r="L153" i="9"/>
  <c r="L109" i="9"/>
  <c r="L125" i="9"/>
  <c r="L141" i="9"/>
  <c r="L113" i="9"/>
  <c r="L129" i="9"/>
  <c r="L145" i="9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J79" i="1"/>
  <c r="I79" i="1"/>
  <c r="K79" i="1" s="1"/>
  <c r="J78" i="1"/>
  <c r="I78" i="1"/>
  <c r="K78" i="1" s="1"/>
  <c r="J77" i="1"/>
  <c r="I77" i="1"/>
  <c r="K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77" i="1" l="1"/>
  <c r="N2" i="9"/>
  <c r="L95" i="1"/>
  <c r="L44" i="1"/>
  <c r="L80" i="1"/>
  <c r="V82" i="1" s="1"/>
  <c r="L100" i="1"/>
  <c r="L144" i="1"/>
  <c r="L188" i="1"/>
  <c r="L208" i="1"/>
  <c r="L232" i="1"/>
  <c r="L252" i="1"/>
  <c r="L272" i="1"/>
  <c r="L292" i="1"/>
  <c r="L97" i="1"/>
  <c r="N5" i="9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79" i="1"/>
  <c r="N2" i="1" l="1"/>
  <c r="M322" i="1" s="1"/>
  <c r="M154" i="9"/>
  <c r="M322" i="9"/>
  <c r="M153" i="9"/>
  <c r="M48" i="9"/>
  <c r="M216" i="9"/>
  <c r="M197" i="9"/>
  <c r="M93" i="9"/>
  <c r="M109" i="9"/>
  <c r="M185" i="9"/>
  <c r="M187" i="9"/>
  <c r="M68" i="9"/>
  <c r="M207" i="9"/>
  <c r="M253" i="9"/>
  <c r="M33" i="9"/>
  <c r="M133" i="9"/>
  <c r="M6" i="9"/>
  <c r="M50" i="9"/>
  <c r="M218" i="9"/>
  <c r="M191" i="9"/>
  <c r="M300" i="9"/>
  <c r="M40" i="9"/>
  <c r="M104" i="9"/>
  <c r="M280" i="9"/>
  <c r="M124" i="9"/>
  <c r="M38" i="9"/>
  <c r="M145" i="9"/>
  <c r="M65" i="9"/>
  <c r="M117" i="9"/>
  <c r="M299" i="9"/>
  <c r="M92" i="9"/>
  <c r="M320" i="9"/>
  <c r="M95" i="9"/>
  <c r="M265" i="9"/>
  <c r="M167" i="9"/>
  <c r="M210" i="9"/>
  <c r="M35" i="9"/>
  <c r="M4" i="9"/>
  <c r="M297" i="9"/>
  <c r="M149" i="9"/>
  <c r="M279" i="9"/>
  <c r="M220" i="9"/>
  <c r="M190" i="9"/>
  <c r="M163" i="9"/>
  <c r="M287" i="9"/>
  <c r="M90" i="9"/>
  <c r="M47" i="9"/>
  <c r="M204" i="9"/>
  <c r="M55" i="9"/>
  <c r="M9" i="9"/>
  <c r="M302" i="9"/>
  <c r="M230" i="9"/>
  <c r="M41" i="9"/>
  <c r="M59" i="9"/>
  <c r="M318" i="9"/>
  <c r="M97" i="9"/>
  <c r="M86" i="9"/>
  <c r="M289" i="9"/>
  <c r="M274" i="9"/>
  <c r="M235" i="9"/>
  <c r="M268" i="9"/>
  <c r="M71" i="9"/>
  <c r="M244" i="9"/>
  <c r="M166" i="9"/>
  <c r="M175" i="9"/>
  <c r="M310" i="9"/>
  <c r="M2" i="9"/>
  <c r="M202" i="9"/>
  <c r="M186" i="9"/>
  <c r="M58" i="9"/>
  <c r="M54" i="9"/>
  <c r="M45" i="9"/>
  <c r="M168" i="9"/>
  <c r="M243" i="9"/>
  <c r="M307" i="9"/>
  <c r="M26" i="9"/>
  <c r="M284" i="9"/>
  <c r="M170" i="9"/>
  <c r="M217" i="9"/>
  <c r="M51" i="9"/>
  <c r="M128" i="9"/>
  <c r="M232" i="9"/>
  <c r="M142" i="9"/>
  <c r="M157" i="9"/>
  <c r="M306" i="9"/>
  <c r="M121" i="9"/>
  <c r="M200" i="9"/>
  <c r="M272" i="9"/>
  <c r="M213" i="9"/>
  <c r="M15" i="9"/>
  <c r="M295" i="9"/>
  <c r="M44" i="9"/>
  <c r="M164" i="9"/>
  <c r="M43" i="9"/>
  <c r="M252" i="9"/>
  <c r="M7" i="9"/>
  <c r="M205" i="9"/>
  <c r="M129" i="9"/>
  <c r="M242" i="9"/>
  <c r="M96" i="9"/>
  <c r="M31" i="9"/>
  <c r="M67" i="9"/>
  <c r="M172" i="9"/>
  <c r="M221" i="9"/>
  <c r="M180" i="9"/>
  <c r="M286" i="9"/>
  <c r="M136" i="9"/>
  <c r="M27" i="9"/>
  <c r="M263" i="9"/>
  <c r="M62" i="9"/>
  <c r="M158" i="9"/>
  <c r="M49" i="9"/>
  <c r="M155" i="9"/>
  <c r="M251" i="9"/>
  <c r="M315" i="9"/>
  <c r="M24" i="9"/>
  <c r="M308" i="9"/>
  <c r="M254" i="9"/>
  <c r="M249" i="9"/>
  <c r="M17" i="9"/>
  <c r="M77" i="9"/>
  <c r="M285" i="9"/>
  <c r="M294" i="9"/>
  <c r="M209" i="9"/>
  <c r="M262" i="9"/>
  <c r="M110" i="9"/>
  <c r="M214" i="9"/>
  <c r="M138" i="9"/>
  <c r="M226" i="9"/>
  <c r="M281" i="9"/>
  <c r="M152" i="9"/>
  <c r="M174" i="9"/>
  <c r="M140" i="9"/>
  <c r="M256" i="9"/>
  <c r="M260" i="9"/>
  <c r="M273" i="9"/>
  <c r="M206" i="9"/>
  <c r="M29" i="9"/>
  <c r="M304" i="9"/>
  <c r="M247" i="9"/>
  <c r="M63" i="9"/>
  <c r="M61" i="9"/>
  <c r="M116" i="9"/>
  <c r="M222" i="9"/>
  <c r="M269" i="9"/>
  <c r="M198" i="9"/>
  <c r="M282" i="9"/>
  <c r="M194" i="9"/>
  <c r="M28" i="9"/>
  <c r="M179" i="9"/>
  <c r="M236" i="9"/>
  <c r="M82" i="9"/>
  <c r="M19" i="9"/>
  <c r="M229" i="9"/>
  <c r="M20" i="9"/>
  <c r="M270" i="9"/>
  <c r="M156" i="9"/>
  <c r="M34" i="9"/>
  <c r="M46" i="9"/>
  <c r="M14" i="9"/>
  <c r="M203" i="9"/>
  <c r="M267" i="9"/>
  <c r="M60" i="9"/>
  <c r="M144" i="9"/>
  <c r="M88" i="9"/>
  <c r="M159" i="9"/>
  <c r="M313" i="9"/>
  <c r="M94" i="9"/>
  <c r="M292" i="9"/>
  <c r="M75" i="9"/>
  <c r="M139" i="9"/>
  <c r="M245" i="9"/>
  <c r="M261" i="9"/>
  <c r="M277" i="9"/>
  <c r="M85" i="9"/>
  <c r="M257" i="9"/>
  <c r="M188" i="9"/>
  <c r="M53" i="9"/>
  <c r="M176" i="9"/>
  <c r="M161" i="9"/>
  <c r="M189" i="9"/>
  <c r="M73" i="9"/>
  <c r="M101" i="9"/>
  <c r="M123" i="9"/>
  <c r="M231" i="9"/>
  <c r="M169" i="9"/>
  <c r="M148" i="9"/>
  <c r="M305" i="9"/>
  <c r="M178" i="9"/>
  <c r="M127" i="9"/>
  <c r="M225" i="9"/>
  <c r="M316" i="9"/>
  <c r="M119" i="9"/>
  <c r="M181" i="9"/>
  <c r="M162" i="9"/>
  <c r="M303" i="9"/>
  <c r="M301" i="9"/>
  <c r="M311" i="9"/>
  <c r="M271" i="9"/>
  <c r="M228" i="9"/>
  <c r="M111" i="9"/>
  <c r="M258" i="9"/>
  <c r="M208" i="9"/>
  <c r="M56" i="9"/>
  <c r="M118" i="9"/>
  <c r="M72" i="9"/>
  <c r="M12" i="9"/>
  <c r="M212" i="9"/>
  <c r="M16" i="9"/>
  <c r="M42" i="9"/>
  <c r="M74" i="9"/>
  <c r="M21" i="9"/>
  <c r="M211" i="9"/>
  <c r="M275" i="9"/>
  <c r="M64" i="9"/>
  <c r="M99" i="9"/>
  <c r="M196" i="9"/>
  <c r="M224" i="9"/>
  <c r="M147" i="9"/>
  <c r="M160" i="9"/>
  <c r="M173" i="9"/>
  <c r="M314" i="9"/>
  <c r="M66" i="9"/>
  <c r="M131" i="9"/>
  <c r="M319" i="9"/>
  <c r="M112" i="9"/>
  <c r="M83" i="9"/>
  <c r="M248" i="9"/>
  <c r="M32" i="9"/>
  <c r="M259" i="9"/>
  <c r="M199" i="9"/>
  <c r="M10" i="9"/>
  <c r="M276" i="9"/>
  <c r="M107" i="9"/>
  <c r="M201" i="9"/>
  <c r="M23" i="9"/>
  <c r="M239" i="9"/>
  <c r="M296" i="9"/>
  <c r="M150" i="9"/>
  <c r="M321" i="9"/>
  <c r="M132" i="9"/>
  <c r="M36" i="9"/>
  <c r="M76" i="9"/>
  <c r="M146" i="9"/>
  <c r="M137" i="9"/>
  <c r="M290" i="9"/>
  <c r="M141" i="9"/>
  <c r="M240" i="9"/>
  <c r="M81" i="9"/>
  <c r="M103" i="9"/>
  <c r="M114" i="9"/>
  <c r="M113" i="9"/>
  <c r="M298" i="9"/>
  <c r="M165" i="9"/>
  <c r="M135" i="9"/>
  <c r="M87" i="9"/>
  <c r="M130" i="9"/>
  <c r="M184" i="9"/>
  <c r="M171" i="9"/>
  <c r="M5" i="9"/>
  <c r="M30" i="9"/>
  <c r="M219" i="9"/>
  <c r="M283" i="9"/>
  <c r="M57" i="9"/>
  <c r="M234" i="9"/>
  <c r="M278" i="9"/>
  <c r="M288" i="9"/>
  <c r="M106" i="9"/>
  <c r="M108" i="9"/>
  <c r="M250" i="9"/>
  <c r="M312" i="9"/>
  <c r="M192" i="9"/>
  <c r="M78" i="9"/>
  <c r="M52" i="9"/>
  <c r="M237" i="9"/>
  <c r="M91" i="9"/>
  <c r="M317" i="9"/>
  <c r="M115" i="9"/>
  <c r="M98" i="9"/>
  <c r="M195" i="9"/>
  <c r="M89" i="9"/>
  <c r="M39" i="9"/>
  <c r="M25" i="9"/>
  <c r="M238" i="9"/>
  <c r="M100" i="9"/>
  <c r="M233" i="9"/>
  <c r="M122" i="9"/>
  <c r="M182" i="9"/>
  <c r="M183" i="9"/>
  <c r="M215" i="9"/>
  <c r="M80" i="9"/>
  <c r="M70" i="9"/>
  <c r="M8" i="9"/>
  <c r="M177" i="9"/>
  <c r="M246" i="9"/>
  <c r="M264" i="9"/>
  <c r="M241" i="9"/>
  <c r="M151" i="9"/>
  <c r="M193" i="9"/>
  <c r="M105" i="9"/>
  <c r="M3" i="9"/>
  <c r="M255" i="9"/>
  <c r="M309" i="9"/>
  <c r="M102" i="9"/>
  <c r="M223" i="9"/>
  <c r="M22" i="9"/>
  <c r="M126" i="9"/>
  <c r="M69" i="9"/>
  <c r="M18" i="9"/>
  <c r="M120" i="9"/>
  <c r="M37" i="9"/>
  <c r="M84" i="9"/>
  <c r="M227" i="9"/>
  <c r="M291" i="9"/>
  <c r="M143" i="9"/>
  <c r="M134" i="9"/>
  <c r="M11" i="9"/>
  <c r="M125" i="9"/>
  <c r="M13" i="9"/>
  <c r="M266" i="9"/>
  <c r="M79" i="9"/>
  <c r="M293" i="9"/>
  <c r="N5" i="1"/>
  <c r="O2" i="9" l="1"/>
  <c r="P211" i="9" s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285" i="9" l="1"/>
  <c r="P217" i="9"/>
  <c r="P322" i="9"/>
  <c r="P45" i="9"/>
  <c r="P304" i="9"/>
  <c r="P155" i="9"/>
  <c r="P33" i="9"/>
  <c r="P209" i="9"/>
  <c r="P225" i="9"/>
  <c r="P142" i="9"/>
  <c r="P276" i="9"/>
  <c r="P9" i="9"/>
  <c r="P227" i="9"/>
  <c r="P288" i="9"/>
  <c r="P289" i="9"/>
  <c r="P237" i="9"/>
  <c r="P189" i="9"/>
  <c r="P36" i="9"/>
  <c r="P174" i="9"/>
  <c r="P30" i="9"/>
  <c r="P37" i="9"/>
  <c r="P97" i="9"/>
  <c r="P275" i="9"/>
  <c r="P40" i="9"/>
  <c r="P32" i="9"/>
  <c r="P27" i="9"/>
  <c r="P139" i="9"/>
  <c r="P91" i="9"/>
  <c r="P164" i="9"/>
  <c r="P226" i="9"/>
  <c r="P214" i="9"/>
  <c r="P89" i="9"/>
  <c r="P282" i="9"/>
  <c r="P161" i="9"/>
  <c r="P80" i="9"/>
  <c r="P48" i="9"/>
  <c r="P238" i="9"/>
  <c r="P188" i="9"/>
  <c r="P16" i="9"/>
  <c r="P118" i="9"/>
  <c r="P29" i="9"/>
  <c r="P103" i="9"/>
  <c r="P302" i="9"/>
  <c r="P149" i="9"/>
  <c r="P208" i="9"/>
  <c r="P260" i="9"/>
  <c r="P181" i="9"/>
  <c r="P75" i="9"/>
  <c r="P50" i="9"/>
  <c r="P117" i="9"/>
  <c r="P206" i="9"/>
  <c r="P187" i="9"/>
  <c r="P70" i="9"/>
  <c r="P230" i="9"/>
  <c r="P256" i="9"/>
  <c r="P264" i="9"/>
  <c r="P241" i="9"/>
  <c r="P66" i="9"/>
  <c r="P76" i="9"/>
  <c r="P244" i="9"/>
  <c r="P305" i="9"/>
  <c r="P144" i="9"/>
  <c r="P157" i="9"/>
  <c r="P105" i="9"/>
  <c r="P184" i="9"/>
  <c r="P203" i="9"/>
  <c r="P177" i="9"/>
  <c r="P47" i="9"/>
  <c r="P74" i="9"/>
  <c r="P102" i="9"/>
  <c r="P223" i="9"/>
  <c r="P291" i="9"/>
  <c r="P266" i="9"/>
  <c r="P44" i="9"/>
  <c r="P21" i="9"/>
  <c r="P314" i="9"/>
  <c r="P252" i="9"/>
  <c r="P69" i="9"/>
  <c r="P19" i="9"/>
  <c r="P286" i="9"/>
  <c r="P292" i="9"/>
  <c r="P309" i="9"/>
  <c r="P299" i="9"/>
  <c r="P160" i="9"/>
  <c r="P127" i="9"/>
  <c r="P79" i="9"/>
  <c r="P293" i="9"/>
  <c r="P100" i="9"/>
  <c r="P96" i="9"/>
  <c r="P173" i="9"/>
  <c r="P239" i="9"/>
  <c r="P172" i="9"/>
  <c r="P88" i="9"/>
  <c r="P77" i="9"/>
  <c r="P198" i="9"/>
  <c r="P13" i="9"/>
  <c r="P245" i="9"/>
  <c r="P101" i="9"/>
  <c r="P59" i="9"/>
  <c r="P68" i="9"/>
  <c r="P233" i="9"/>
  <c r="P270" i="9"/>
  <c r="P83" i="9"/>
  <c r="P106" i="9"/>
  <c r="P24" i="9"/>
  <c r="P152" i="9"/>
  <c r="P154" i="9"/>
  <c r="P205" i="9"/>
  <c r="P254" i="9"/>
  <c r="P112" i="9"/>
  <c r="P53" i="9"/>
  <c r="P34" i="9"/>
  <c r="P58" i="9"/>
  <c r="P99" i="9"/>
  <c r="P150" i="9"/>
  <c r="P135" i="9"/>
  <c r="P312" i="9"/>
  <c r="P215" i="9"/>
  <c r="P153" i="9"/>
  <c r="P183" i="9"/>
  <c r="P86" i="9"/>
  <c r="P41" i="9"/>
  <c r="P14" i="9"/>
  <c r="P132" i="9"/>
  <c r="P128" i="9"/>
  <c r="P104" i="9"/>
  <c r="P133" i="9"/>
  <c r="P228" i="9"/>
  <c r="P290" i="9"/>
  <c r="P265" i="9"/>
  <c r="P258" i="9"/>
  <c r="P51" i="9"/>
  <c r="P94" i="9"/>
  <c r="P303" i="9"/>
  <c r="P308" i="9"/>
  <c r="P64" i="9"/>
  <c r="P300" i="9"/>
  <c r="P221" i="9"/>
  <c r="P249" i="9"/>
  <c r="P46" i="9"/>
  <c r="P170" i="9"/>
  <c r="P196" i="9"/>
  <c r="P273" i="9"/>
  <c r="P321" i="9"/>
  <c r="P87" i="9"/>
  <c r="P185" i="9"/>
  <c r="P123" i="9"/>
  <c r="P320" i="9"/>
  <c r="P163" i="9"/>
  <c r="P259" i="9"/>
  <c r="P224" i="9"/>
  <c r="P130" i="9"/>
  <c r="P120" i="9"/>
  <c r="P231" i="9"/>
  <c r="P235" i="9"/>
  <c r="P162" i="9"/>
  <c r="P124" i="9"/>
  <c r="P199" i="9"/>
  <c r="P240" i="9"/>
  <c r="P12" i="9"/>
  <c r="P131" i="9"/>
  <c r="P7" i="9"/>
  <c r="P78" i="9"/>
  <c r="P116" i="9"/>
  <c r="P180" i="9"/>
  <c r="P17" i="9"/>
  <c r="P277" i="9"/>
  <c r="P121" i="9"/>
  <c r="P246" i="9"/>
  <c r="P219" i="9"/>
  <c r="P111" i="9"/>
  <c r="P236" i="9"/>
  <c r="P190" i="9"/>
  <c r="P49" i="9"/>
  <c r="P82" i="9"/>
  <c r="P81" i="9"/>
  <c r="P253" i="9"/>
  <c r="P156" i="9"/>
  <c r="P122" i="9"/>
  <c r="P280" i="9"/>
  <c r="P138" i="9"/>
  <c r="P281" i="9"/>
  <c r="P93" i="9"/>
  <c r="P269" i="9"/>
  <c r="P200" i="9"/>
  <c r="P145" i="9"/>
  <c r="P272" i="9"/>
  <c r="P158" i="9"/>
  <c r="P257" i="9"/>
  <c r="P220" i="9"/>
  <c r="P316" i="9"/>
  <c r="P216" i="9"/>
  <c r="P213" i="9"/>
  <c r="P175" i="9"/>
  <c r="P10" i="9"/>
  <c r="P166" i="9"/>
  <c r="P126" i="9"/>
  <c r="P62" i="9"/>
  <c r="P39" i="9"/>
  <c r="P179" i="9"/>
  <c r="P159" i="9"/>
  <c r="P90" i="9"/>
  <c r="P311" i="9"/>
  <c r="P141" i="9"/>
  <c r="P283" i="9"/>
  <c r="P169" i="9"/>
  <c r="P318" i="9"/>
  <c r="P210" i="9"/>
  <c r="P35" i="9"/>
  <c r="P243" i="9"/>
  <c r="P313" i="9"/>
  <c r="P57" i="9"/>
  <c r="P192" i="9"/>
  <c r="P287" i="9"/>
  <c r="P248" i="9"/>
  <c r="P42" i="9"/>
  <c r="P255" i="9"/>
  <c r="P274" i="9"/>
  <c r="P202" i="9"/>
  <c r="P250" i="9"/>
  <c r="P38" i="9"/>
  <c r="P72" i="9"/>
  <c r="P234" i="9"/>
  <c r="P268" i="9"/>
  <c r="P98" i="9"/>
  <c r="P165" i="9"/>
  <c r="P182" i="9"/>
  <c r="P73" i="9"/>
  <c r="P125" i="9"/>
  <c r="P110" i="9"/>
  <c r="P296" i="9"/>
  <c r="P167" i="9"/>
  <c r="P193" i="9"/>
  <c r="P134" i="9"/>
  <c r="P317" i="9"/>
  <c r="P108" i="9"/>
  <c r="P222" i="9"/>
  <c r="P148" i="9"/>
  <c r="P204" i="9"/>
  <c r="P151" i="9"/>
  <c r="P25" i="9"/>
  <c r="P195" i="9"/>
  <c r="P143" i="9"/>
  <c r="P186" i="9"/>
  <c r="P3" i="9"/>
  <c r="P297" i="9"/>
  <c r="P262" i="9"/>
  <c r="P84" i="9"/>
  <c r="P218" i="9"/>
  <c r="P23" i="9"/>
  <c r="P11" i="9"/>
  <c r="P115" i="9"/>
  <c r="P212" i="9"/>
  <c r="P278" i="9"/>
  <c r="P295" i="9"/>
  <c r="P61" i="9"/>
  <c r="P201" i="9"/>
  <c r="P95" i="9"/>
  <c r="P119" i="9"/>
  <c r="P137" i="9"/>
  <c r="P191" i="9"/>
  <c r="P22" i="9"/>
  <c r="P315" i="9"/>
  <c r="P20" i="9"/>
  <c r="P31" i="9"/>
  <c r="P301" i="9"/>
  <c r="P284" i="9"/>
  <c r="P2" i="9"/>
  <c r="P26" i="9"/>
  <c r="P306" i="9"/>
  <c r="P15" i="9"/>
  <c r="P176" i="9"/>
  <c r="P147" i="9"/>
  <c r="P319" i="9"/>
  <c r="P178" i="9"/>
  <c r="P242" i="9"/>
  <c r="P229" i="9"/>
  <c r="P114" i="9"/>
  <c r="P310" i="9"/>
  <c r="P55" i="9"/>
  <c r="P92" i="9"/>
  <c r="P298" i="9"/>
  <c r="P279" i="9"/>
  <c r="P263" i="9"/>
  <c r="P232" i="9"/>
  <c r="P4" i="9"/>
  <c r="P60" i="9"/>
  <c r="P146" i="9"/>
  <c r="P85" i="9"/>
  <c r="P6" i="9"/>
  <c r="P43" i="9"/>
  <c r="P307" i="9"/>
  <c r="P194" i="9"/>
  <c r="P63" i="9"/>
  <c r="P18" i="9"/>
  <c r="P129" i="9"/>
  <c r="P65" i="9"/>
  <c r="P168" i="9"/>
  <c r="P271" i="9"/>
  <c r="P107" i="9"/>
  <c r="P251" i="9"/>
  <c r="P267" i="9"/>
  <c r="P171" i="9"/>
  <c r="P140" i="9"/>
  <c r="P5" i="9"/>
  <c r="P197" i="9"/>
  <c r="P247" i="9"/>
  <c r="P136" i="9"/>
  <c r="P52" i="9"/>
  <c r="P207" i="9"/>
  <c r="P261" i="9"/>
  <c r="P109" i="9"/>
  <c r="P113" i="9"/>
  <c r="P71" i="9"/>
  <c r="P54" i="9"/>
  <c r="P67" i="9"/>
  <c r="P294" i="9"/>
  <c r="P56" i="9"/>
  <c r="P28" i="9"/>
  <c r="P8" i="9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<sst xmlns="http://schemas.openxmlformats.org/spreadsheetml/2006/main" count="84" uniqueCount="19">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</sst>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'240828A001'!$A$2:$A$321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'240828A001'!$J$2:$J$321</c:f>
              <c:numCache>
                <c:formatCode>0.0</c:formatCode>
                <c:ptCount val="320"/>
                <c:pt idx="0">
                  <c:v>1754.0565926838801</c:v>
                </c:pt>
                <c:pt idx="1">
                  <c:v>1793.2571845013399</c:v>
                </c:pt>
                <c:pt idx="2">
                  <c:v>1660.0904005090001</c:v>
                </c:pt>
                <c:pt idx="3">
                  <c:v>1396.6992053446002</c:v>
                </c:pt>
                <c:pt idx="4">
                  <c:v>1780.0024430777401</c:v>
                </c:pt>
                <c:pt idx="5">
                  <c:v>1589.24511949713</c:v>
                </c:pt>
                <c:pt idx="6">
                  <c:v>1568.0240452664798</c:v>
                </c:pt>
                <c:pt idx="7">
                  <c:v>1818.9770490876999</c:v>
                </c:pt>
                <c:pt idx="8">
                  <c:v>1844.46739322134</c:v>
                </c:pt>
                <c:pt idx="9">
                  <c:v>1620.08159281189</c:v>
                </c:pt>
                <c:pt idx="10">
                  <c:v>1636.1544523725399</c:v>
                </c:pt>
                <c:pt idx="11">
                  <c:v>1581.7111909540999</c:v>
                </c:pt>
                <c:pt idx="12">
                  <c:v>1835.4897311764098</c:v>
                </c:pt>
                <c:pt idx="13">
                  <c:v>1843.8790879414701</c:v>
                </c:pt>
                <c:pt idx="14">
                  <c:v>1810.2485207839002</c:v>
                </c:pt>
                <c:pt idx="15">
                  <c:v>1700.68598965399</c:v>
                </c:pt>
                <c:pt idx="16">
                  <c:v>1711.08308812368</c:v>
                </c:pt>
                <c:pt idx="17">
                  <c:v>1648.1263607462199</c:v>
                </c:pt>
                <c:pt idx="18">
                  <c:v>1662.0001701671401</c:v>
                </c:pt>
                <c:pt idx="19">
                  <c:v>1662.48371297883</c:v>
                </c:pt>
                <c:pt idx="20">
                  <c:v>1661.1397968461602</c:v>
                </c:pt>
                <c:pt idx="21">
                  <c:v>1647.4133415010101</c:v>
                </c:pt>
                <c:pt idx="22">
                  <c:v>1689.15459002594</c:v>
                </c:pt>
                <c:pt idx="23">
                  <c:v>1659.1215245109399</c:v>
                </c:pt>
                <c:pt idx="24">
                  <c:v>1708.93971729292</c:v>
                </c:pt>
                <c:pt idx="25">
                  <c:v>1690.3424657533999</c:v>
                </c:pt>
                <c:pt idx="26">
                  <c:v>1718.0634248926499</c:v>
                </c:pt>
                <c:pt idx="27">
                  <c:v>1764.32517032801</c:v>
                </c:pt>
                <c:pt idx="28">
                  <c:v>1747.4087358125601</c:v>
                </c:pt>
                <c:pt idx="29">
                  <c:v>1736.3075044894299</c:v>
                </c:pt>
                <c:pt idx="30">
                  <c:v>1695.33242819515</c:v>
                </c:pt>
                <c:pt idx="31">
                  <c:v>1754.61634077603</c:v>
                </c:pt>
                <c:pt idx="32">
                  <c:v>1696.8039663587999</c:v>
                </c:pt>
                <c:pt idx="33">
                  <c:v>1692.54243753689</c:v>
                </c:pt>
                <c:pt idx="34">
                  <c:v>1695.53617290783</c:v>
                </c:pt>
                <c:pt idx="35">
                  <c:v>1705.66963463659</c:v>
                </c:pt>
                <c:pt idx="36">
                  <c:v>1687.3574447986698</c:v>
                </c:pt>
                <c:pt idx="37">
                  <c:v>1690.09403482729</c:v>
                </c:pt>
                <c:pt idx="38">
                  <c:v>1706.4532226777001</c:v>
                </c:pt>
                <c:pt idx="39">
                  <c:v>1709.42624023752</c:v>
                </c:pt>
                <c:pt idx="40">
                  <c:v>1706.04560048132</c:v>
                </c:pt>
                <c:pt idx="41">
                  <c:v>1709.0561914883299</c:v>
                </c:pt>
                <c:pt idx="42">
                  <c:v>1705.0394548184599</c:v>
                </c:pt>
                <c:pt idx="43">
                  <c:v>1706.9082660009101</c:v>
                </c:pt>
                <c:pt idx="44">
                  <c:v>1711.4113793161498</c:v>
                </c:pt>
                <c:pt idx="45">
                  <c:v>1709.3123593610701</c:v>
                </c:pt>
                <c:pt idx="46">
                  <c:v>1716.31509763903</c:v>
                </c:pt>
                <c:pt idx="47">
                  <c:v>1722.0159090014499</c:v>
                </c:pt>
                <c:pt idx="48">
                  <c:v>1713.7633801707998</c:v>
                </c:pt>
                <c:pt idx="49">
                  <c:v>1722.42904373939</c:v>
                </c:pt>
                <c:pt idx="50">
                  <c:v>1725.0130324038701</c:v>
                </c:pt>
                <c:pt idx="51">
                  <c:v>1701.25866212345</c:v>
                </c:pt>
                <c:pt idx="52">
                  <c:v>1708.7388065156701</c:v>
                </c:pt>
                <c:pt idx="53">
                  <c:v>1702.5837468863599</c:v>
                </c:pt>
                <c:pt idx="54">
                  <c:v>1698.52765660759</c:v>
                </c:pt>
                <c:pt idx="55">
                  <c:v>1704.24674752183</c:v>
                </c:pt>
                <c:pt idx="56">
                  <c:v>1708.8509690804899</c:v>
                </c:pt>
                <c:pt idx="57">
                  <c:v>1700.59398253574</c:v>
                </c:pt>
                <c:pt idx="58">
                  <c:v>1699.5477320648101</c:v>
                </c:pt>
                <c:pt idx="59">
                  <c:v>1701.17376426073</c:v>
                </c:pt>
                <c:pt idx="60">
                  <c:v>1702.79950070007</c:v>
                </c:pt>
                <c:pt idx="61">
                  <c:v>1701.1963126022999</c:v>
                </c:pt>
                <c:pt idx="62">
                  <c:v>1701.33139573463</c:v>
                </c:pt>
                <c:pt idx="63">
                  <c:v>1695.6811643585399</c:v>
                </c:pt>
                <c:pt idx="64">
                  <c:v>1699.5110155244099</c:v>
                </c:pt>
                <c:pt idx="65">
                  <c:v>1695.48377668693</c:v>
                </c:pt>
                <c:pt idx="66">
                  <c:v>1694.93872442355</c:v>
                </c:pt>
                <c:pt idx="67">
                  <c:v>1687.70296487468</c:v>
                </c:pt>
                <c:pt idx="68">
                  <c:v>1694.44121586293</c:v>
                </c:pt>
                <c:pt idx="69">
                  <c:v>1695.6753133275599</c:v>
                </c:pt>
                <c:pt idx="70">
                  <c:v>1688.42824643375</c:v>
                </c:pt>
                <c:pt idx="71">
                  <c:v>1688.68004993004</c:v>
                </c:pt>
                <c:pt idx="72">
                  <c:v>1693.1434925133299</c:v>
                </c:pt>
                <c:pt idx="73">
                  <c:v>1687.7377089553802</c:v>
                </c:pt>
                <c:pt idx="74">
                  <c:v>1688.75337392959</c:v>
                </c:pt>
                <c:pt idx="75">
                  <c:v>1687.57793296564</c:v>
                </c:pt>
                <c:pt idx="76">
                  <c:v>1688.3315554206201</c:v>
                </c:pt>
                <c:pt idx="77">
                  <c:v>1686.1271528094001</c:v>
                </c:pt>
                <c:pt idx="78">
                  <c:v>1693.3950261176601</c:v>
                </c:pt>
                <c:pt idx="79">
                  <c:v>1684.8527312495701</c:v>
                </c:pt>
                <c:pt idx="80">
                  <c:v>1679.35794409869</c:v>
                </c:pt>
                <c:pt idx="81">
                  <c:v>1684.1116992505399</c:v>
                </c:pt>
                <c:pt idx="82">
                  <c:v>1679.9429313631299</c:v>
                </c:pt>
                <c:pt idx="83">
                  <c:v>1682.20248637891</c:v>
                </c:pt>
                <c:pt idx="84">
                  <c:v>1679.169929547</c:v>
                </c:pt>
                <c:pt idx="85">
                  <c:v>1678.97636197004</c:v>
                </c:pt>
                <c:pt idx="86">
                  <c:v>1678.7799155463701</c:v>
                </c:pt>
                <c:pt idx="87">
                  <c:v>1679.99425917489</c:v>
                </c:pt>
                <c:pt idx="88">
                  <c:v>1688.9207788630001</c:v>
                </c:pt>
                <c:pt idx="89">
                  <c:v>1680.22250560873</c:v>
                </c:pt>
                <c:pt idx="90">
                  <c:v>1676.62132820535</c:v>
                </c:pt>
                <c:pt idx="91">
                  <c:v>1687.1422971172101</c:v>
                </c:pt>
                <c:pt idx="92">
                  <c:v>1675.32307631755</c:v>
                </c:pt>
                <c:pt idx="93">
                  <c:v>1649.3487250420001</c:v>
                </c:pt>
                <c:pt idx="94">
                  <c:v>1640.9668943879399</c:v>
                </c:pt>
                <c:pt idx="95">
                  <c:v>1636.94690439638</c:v>
                </c:pt>
                <c:pt idx="96">
                  <c:v>1635.9545457101001</c:v>
                </c:pt>
                <c:pt idx="97">
                  <c:v>1638.9433463219</c:v>
                </c:pt>
                <c:pt idx="98">
                  <c:v>1630.83924902589</c:v>
                </c:pt>
                <c:pt idx="99">
                  <c:v>1632.57884834885</c:v>
                </c:pt>
                <c:pt idx="100">
                  <c:v>1624.1632812104701</c:v>
                </c:pt>
                <c:pt idx="101">
                  <c:v>1623.29132128944</c:v>
                </c:pt>
                <c:pt idx="102">
                  <c:v>1622.0995136323302</c:v>
                </c:pt>
                <c:pt idx="103">
                  <c:v>1621.8833268672201</c:v>
                </c:pt>
                <c:pt idx="104">
                  <c:v>1619.20374587433</c:v>
                </c:pt>
                <c:pt idx="105">
                  <c:v>1612.2016598350001</c:v>
                </c:pt>
                <c:pt idx="106">
                  <c:v>1609.5873656866002</c:v>
                </c:pt>
                <c:pt idx="107">
                  <c:v>1622.39124538229</c:v>
                </c:pt>
                <c:pt idx="108">
                  <c:v>1621.0784485715699</c:v>
                </c:pt>
                <c:pt idx="109">
                  <c:v>1610.58043283912</c:v>
                </c:pt>
                <c:pt idx="110">
                  <c:v>1618.7242660908901</c:v>
                </c:pt>
                <c:pt idx="111">
                  <c:v>1612.2598721387399</c:v>
                </c:pt>
                <c:pt idx="112">
                  <c:v>1600.74154591814</c:v>
                </c:pt>
                <c:pt idx="113">
                  <c:v>1606.88248457961</c:v>
                </c:pt>
                <c:pt idx="114">
                  <c:v>1598.5477309403</c:v>
                </c:pt>
                <c:pt idx="115">
                  <c:v>1518.42941596523</c:v>
                </c:pt>
                <c:pt idx="116">
                  <c:v>1554.5275632699199</c:v>
                </c:pt>
                <c:pt idx="117">
                  <c:v>1544.6369257066099</c:v>
                </c:pt>
                <c:pt idx="118">
                  <c:v>1578.7356589016099</c:v>
                </c:pt>
                <c:pt idx="119">
                  <c:v>1568.7928984700202</c:v>
                </c:pt>
                <c:pt idx="120">
                  <c:v>1581.37013309044</c:v>
                </c:pt>
                <c:pt idx="121">
                  <c:v>1571.3128676574102</c:v>
                </c:pt>
                <c:pt idx="122">
                  <c:v>1578.54267496583</c:v>
                </c:pt>
                <c:pt idx="123">
                  <c:v>1598.82161384091</c:v>
                </c:pt>
                <c:pt idx="124">
                  <c:v>1609.39236430905</c:v>
                </c:pt>
                <c:pt idx="125">
                  <c:v>1594.61186961976</c:v>
                </c:pt>
                <c:pt idx="126">
                  <c:v>1612.25025049342</c:v>
                </c:pt>
                <c:pt idx="127">
                  <c:v>1604.02608504968</c:v>
                </c:pt>
                <c:pt idx="128">
                  <c:v>1615.11988259702</c:v>
                </c:pt>
                <c:pt idx="129">
                  <c:v>1619.20453080982</c:v>
                </c:pt>
                <c:pt idx="130">
                  <c:v>1602.9451748393101</c:v>
                </c:pt>
                <c:pt idx="131">
                  <c:v>1619.93433755603</c:v>
                </c:pt>
                <c:pt idx="132">
                  <c:v>1596.0566086961401</c:v>
                </c:pt>
                <c:pt idx="133">
                  <c:v>1602.83632069906</c:v>
                </c:pt>
                <c:pt idx="134">
                  <c:v>1594.8585046865899</c:v>
                </c:pt>
                <c:pt idx="135">
                  <c:v>1589.6250763288001</c:v>
                </c:pt>
                <c:pt idx="136">
                  <c:v>1602.4823428863401</c:v>
                </c:pt>
                <c:pt idx="137">
                  <c:v>1578.94466654297</c:v>
                </c:pt>
                <c:pt idx="138">
                  <c:v>1603.5195317376399</c:v>
                </c:pt>
                <c:pt idx="139">
                  <c:v>1600.00753448148</c:v>
                </c:pt>
                <c:pt idx="140">
                  <c:v>1608.33775413224</c:v>
                </c:pt>
                <c:pt idx="141">
                  <c:v>1624.2796056105299</c:v>
                </c:pt>
                <c:pt idx="142">
                  <c:v>1623.82413001332</c:v>
                </c:pt>
                <c:pt idx="143">
                  <c:v>1620.7110907158499</c:v>
                </c:pt>
                <c:pt idx="144">
                  <c:v>1619.3766392642001</c:v>
                </c:pt>
                <c:pt idx="145">
                  <c:v>1622.4317097775599</c:v>
                </c:pt>
                <c:pt idx="146">
                  <c:v>1620.0822300058601</c:v>
                </c:pt>
                <c:pt idx="147">
                  <c:v>1616.3476284731798</c:v>
                </c:pt>
                <c:pt idx="148">
                  <c:v>1616.8276011979999</c:v>
                </c:pt>
                <c:pt idx="149">
                  <c:v>1613.60471407097</c:v>
                </c:pt>
                <c:pt idx="150">
                  <c:v>1622.3300040665599</c:v>
                </c:pt>
                <c:pt idx="151">
                  <c:v>1623.9811039490899</c:v>
                </c:pt>
                <c:pt idx="152">
                  <c:v>1606.4190978064901</c:v>
                </c:pt>
                <c:pt idx="153">
                  <c:v>1599.8752462968801</c:v>
                </c:pt>
                <c:pt idx="154">
                  <c:v>1600.0280188634799</c:v>
                </c:pt>
                <c:pt idx="155">
                  <c:v>1595.8636880382599</c:v>
                </c:pt>
                <c:pt idx="156">
                  <c:v>1601.00995746953</c:v>
                </c:pt>
                <c:pt idx="157">
                  <c:v>1597.1910083960499</c:v>
                </c:pt>
                <c:pt idx="158">
                  <c:v>1598.37274120245</c:v>
                </c:pt>
                <c:pt idx="159">
                  <c:v>1596.2832576562598</c:v>
                </c:pt>
                <c:pt idx="160">
                  <c:v>1593.2967042842799</c:v>
                </c:pt>
                <c:pt idx="161">
                  <c:v>1592.3588339965299</c:v>
                </c:pt>
                <c:pt idx="162">
                  <c:v>1595.0278829367801</c:v>
                </c:pt>
                <c:pt idx="163">
                  <c:v>1590.5581193143801</c:v>
                </c:pt>
                <c:pt idx="164">
                  <c:v>1589.1289809095699</c:v>
                </c:pt>
                <c:pt idx="165">
                  <c:v>1589.8951735929099</c:v>
                </c:pt>
                <c:pt idx="166">
                  <c:v>1590.0691316197099</c:v>
                </c:pt>
                <c:pt idx="167">
                  <c:v>1591.1547305843799</c:v>
                </c:pt>
                <c:pt idx="168">
                  <c:v>1594.6152354676101</c:v>
                </c:pt>
                <c:pt idx="169">
                  <c:v>1575.8238783804502</c:v>
                </c:pt>
                <c:pt idx="170">
                  <c:v>1688.27904599204</c:v>
                </c:pt>
                <c:pt idx="171">
                  <c:v>1686.4712667644098</c:v>
                </c:pt>
                <c:pt idx="172">
                  <c:v>1689.1387663272499</c:v>
                </c:pt>
                <c:pt idx="173">
                  <c:v>1687.7056749037201</c:v>
                </c:pt>
                <c:pt idx="174">
                  <c:v>1688.1802351390099</c:v>
                </c:pt>
                <c:pt idx="175">
                  <c:v>1688.5348549662501</c:v>
                </c:pt>
                <c:pt idx="176">
                  <c:v>1690.5396595326802</c:v>
                </c:pt>
                <c:pt idx="177">
                  <c:v>1693.29581377205</c:v>
                </c:pt>
                <c:pt idx="178">
                  <c:v>1691.6987135509501</c:v>
                </c:pt>
                <c:pt idx="179">
                  <c:v>1689.5223009904698</c:v>
                </c:pt>
                <c:pt idx="180">
                  <c:v>1690.34414304744</c:v>
                </c:pt>
                <c:pt idx="181">
                  <c:v>1696.33850782676</c:v>
                </c:pt>
                <c:pt idx="182">
                  <c:v>1695.2004466027602</c:v>
                </c:pt>
                <c:pt idx="183">
                  <c:v>1696.4371281113499</c:v>
                </c:pt>
                <c:pt idx="184">
                  <c:v>1699.8218375729</c:v>
                </c:pt>
                <c:pt idx="185">
                  <c:v>1700.3313099450199</c:v>
                </c:pt>
                <c:pt idx="186">
                  <c:v>1696.8670415259598</c:v>
                </c:pt>
                <c:pt idx="187">
                  <c:v>1699.2727146361501</c:v>
                </c:pt>
                <c:pt idx="188">
                  <c:v>1700.58458660099</c:v>
                </c:pt>
                <c:pt idx="189">
                  <c:v>1697.6743241546701</c:v>
                </c:pt>
                <c:pt idx="190">
                  <c:v>1699.0914111929201</c:v>
                </c:pt>
                <c:pt idx="191">
                  <c:v>1702.8243855849501</c:v>
                </c:pt>
                <c:pt idx="192">
                  <c:v>1699.62899801359</c:v>
                </c:pt>
                <c:pt idx="193">
                  <c:v>1700.82123896385</c:v>
                </c:pt>
                <c:pt idx="194">
                  <c:v>1703.3535470390398</c:v>
                </c:pt>
                <c:pt idx="195">
                  <c:v>1702.5725863948101</c:v>
                </c:pt>
                <c:pt idx="196">
                  <c:v>1699.6825499849599</c:v>
                </c:pt>
                <c:pt idx="197">
                  <c:v>1701.3616529233</c:v>
                </c:pt>
                <c:pt idx="198">
                  <c:v>1702.7538685391601</c:v>
                </c:pt>
                <c:pt idx="199">
                  <c:v>1700.9414461678</c:v>
                </c:pt>
                <c:pt idx="200">
                  <c:v>1703.7234291556201</c:v>
                </c:pt>
                <c:pt idx="201">
                  <c:v>1700.21239972741</c:v>
                </c:pt>
                <c:pt idx="202">
                  <c:v>1698.66614316403</c:v>
                </c:pt>
                <c:pt idx="203">
                  <c:v>1699.5035445728699</c:v>
                </c:pt>
                <c:pt idx="204">
                  <c:v>1695.1319181945498</c:v>
                </c:pt>
                <c:pt idx="205">
                  <c:v>1693.8290208818198</c:v>
                </c:pt>
                <c:pt idx="206">
                  <c:v>1688.1716091149599</c:v>
                </c:pt>
                <c:pt idx="207">
                  <c:v>1698.14214723544</c:v>
                </c:pt>
                <c:pt idx="208">
                  <c:v>1702.1664962760501</c:v>
                </c:pt>
                <c:pt idx="209">
                  <c:v>1682.66409399289</c:v>
                </c:pt>
                <c:pt idx="210">
                  <c:v>1679.7913466238399</c:v>
                </c:pt>
                <c:pt idx="211">
                  <c:v>1675.49082917449</c:v>
                </c:pt>
                <c:pt idx="212">
                  <c:v>1720.1434061081</c:v>
                </c:pt>
                <c:pt idx="213">
                  <c:v>1688.37612155128</c:v>
                </c:pt>
                <c:pt idx="214">
                  <c:v>1699.3019511965299</c:v>
                </c:pt>
                <c:pt idx="215">
                  <c:v>1685.6899350722499</c:v>
                </c:pt>
                <c:pt idx="216">
                  <c:v>1674.2307021438401</c:v>
                </c:pt>
                <c:pt idx="217">
                  <c:v>1676.5606579319299</c:v>
                </c:pt>
                <c:pt idx="218">
                  <c:v>1669.39178963934</c:v>
                </c:pt>
                <c:pt idx="219">
                  <c:v>1659.7170484761</c:v>
                </c:pt>
                <c:pt idx="220">
                  <c:v>1654.8889165400101</c:v>
                </c:pt>
                <c:pt idx="221">
                  <c:v>1609.64497765189</c:v>
                </c:pt>
                <c:pt idx="222">
                  <c:v>1643.2176648222301</c:v>
                </c:pt>
                <c:pt idx="223">
                  <c:v>1610.19576215185</c:v>
                </c:pt>
                <c:pt idx="224">
                  <c:v>1603.9389595370701</c:v>
                </c:pt>
                <c:pt idx="225">
                  <c:v>1608.2554429848701</c:v>
                </c:pt>
                <c:pt idx="226">
                  <c:v>1618.11248984183</c:v>
                </c:pt>
                <c:pt idx="227">
                  <c:v>1607.08084998085</c:v>
                </c:pt>
                <c:pt idx="228">
                  <c:v>1605.6256440939401</c:v>
                </c:pt>
                <c:pt idx="229">
                  <c:v>1615.8872690415601</c:v>
                </c:pt>
                <c:pt idx="230">
                  <c:v>1604.8265322069201</c:v>
                </c:pt>
                <c:pt idx="231">
                  <c:v>1604.3697389689601</c:v>
                </c:pt>
                <c:pt idx="232">
                  <c:v>1602.46306785203</c:v>
                </c:pt>
                <c:pt idx="233">
                  <c:v>1612.66387447644</c:v>
                </c:pt>
                <c:pt idx="234">
                  <c:v>1576.4776576412</c:v>
                </c:pt>
                <c:pt idx="235">
                  <c:v>1587.2607144262499</c:v>
                </c:pt>
                <c:pt idx="236">
                  <c:v>1565.9033112359</c:v>
                </c:pt>
                <c:pt idx="237">
                  <c:v>1576.4252202711</c:v>
                </c:pt>
                <c:pt idx="238">
                  <c:v>1596.64400249649</c:v>
                </c:pt>
                <c:pt idx="239">
                  <c:v>1591.0297387109599</c:v>
                </c:pt>
                <c:pt idx="240">
                  <c:v>1583.41613391135</c:v>
                </c:pt>
                <c:pt idx="241">
                  <c:v>1596.6986567256401</c:v>
                </c:pt>
                <c:pt idx="242">
                  <c:v>1602.82725570569</c:v>
                </c:pt>
                <c:pt idx="243">
                  <c:v>1579.8453031164502</c:v>
                </c:pt>
                <c:pt idx="244">
                  <c:v>1590.79914984063</c:v>
                </c:pt>
                <c:pt idx="245">
                  <c:v>1614.12479125555</c:v>
                </c:pt>
                <c:pt idx="246">
                  <c:v>1587.5662077264399</c:v>
                </c:pt>
                <c:pt idx="247">
                  <c:v>1658.0733803989599</c:v>
                </c:pt>
                <c:pt idx="248">
                  <c:v>1640.5141129168401</c:v>
                </c:pt>
                <c:pt idx="249">
                  <c:v>1648.1494570306299</c:v>
                </c:pt>
                <c:pt idx="250">
                  <c:v>1651.2885578200701</c:v>
                </c:pt>
                <c:pt idx="251">
                  <c:v>1642.5810765075501</c:v>
                </c:pt>
                <c:pt idx="252">
                  <c:v>1655.9898558474501</c:v>
                </c:pt>
                <c:pt idx="253">
                  <c:v>1660.7474633978302</c:v>
                </c:pt>
                <c:pt idx="254">
                  <c:v>1664.6524601149001</c:v>
                </c:pt>
                <c:pt idx="255">
                  <c:v>1668.26350429027</c:v>
                </c:pt>
                <c:pt idx="256">
                  <c:v>1677.8029008756598</c:v>
                </c:pt>
                <c:pt idx="257">
                  <c:v>1673.9428511476499</c:v>
                </c:pt>
                <c:pt idx="258">
                  <c:v>1673.8055350611799</c:v>
                </c:pt>
                <c:pt idx="259">
                  <c:v>1671.9136235337401</c:v>
                </c:pt>
                <c:pt idx="260">
                  <c:v>1686.9708208956999</c:v>
                </c:pt>
                <c:pt idx="261">
                  <c:v>1696.8791219081099</c:v>
                </c:pt>
                <c:pt idx="262">
                  <c:v>1680.00466482102</c:v>
                </c:pt>
                <c:pt idx="263">
                  <c:v>1685.18345212547</c:v>
                </c:pt>
                <c:pt idx="264">
                  <c:v>1682.04717279126</c:v>
                </c:pt>
                <c:pt idx="265">
                  <c:v>1681.67359790254</c:v>
                </c:pt>
                <c:pt idx="266">
                  <c:v>1676.6875438560801</c:v>
                </c:pt>
                <c:pt idx="267">
                  <c:v>1671.2282738921001</c:v>
                </c:pt>
                <c:pt idx="268">
                  <c:v>1670.80036258121</c:v>
                </c:pt>
                <c:pt idx="269">
                  <c:v>1672.6932950671298</c:v>
                </c:pt>
                <c:pt idx="270">
                  <c:v>1673.9714120363001</c:v>
                </c:pt>
                <c:pt idx="271">
                  <c:v>1677.29413191462</c:v>
                </c:pt>
                <c:pt idx="272">
                  <c:v>1679.2944929164701</c:v>
                </c:pt>
                <c:pt idx="273">
                  <c:v>1684.82989027795</c:v>
                </c:pt>
                <c:pt idx="274">
                  <c:v>1695.9074007639399</c:v>
                </c:pt>
                <c:pt idx="275">
                  <c:v>1682.16769552197</c:v>
                </c:pt>
                <c:pt idx="276">
                  <c:v>1686.6410197400801</c:v>
                </c:pt>
                <c:pt idx="277">
                  <c:v>1679.4267109796799</c:v>
                </c:pt>
                <c:pt idx="278">
                  <c:v>1682.7396431520499</c:v>
                </c:pt>
                <c:pt idx="279">
                  <c:v>1709.7088505751201</c:v>
                </c:pt>
                <c:pt idx="280">
                  <c:v>1566.8445054864799</c:v>
                </c:pt>
                <c:pt idx="281">
                  <c:v>1584.1333681967401</c:v>
                </c:pt>
                <c:pt idx="282">
                  <c:v>1590.22202101584</c:v>
                </c:pt>
                <c:pt idx="283">
                  <c:v>1599.6620313057701</c:v>
                </c:pt>
                <c:pt idx="284">
                  <c:v>1599.92977872041</c:v>
                </c:pt>
                <c:pt idx="285">
                  <c:v>1617.3975079365498</c:v>
                </c:pt>
                <c:pt idx="286">
                  <c:v>1625.37512272715</c:v>
                </c:pt>
                <c:pt idx="287">
                  <c:v>1611.7855706560199</c:v>
                </c:pt>
                <c:pt idx="288">
                  <c:v>1607.9673236829501</c:v>
                </c:pt>
                <c:pt idx="289">
                  <c:v>1621.9829765913801</c:v>
                </c:pt>
                <c:pt idx="290">
                  <c:v>1638.3535261218001</c:v>
                </c:pt>
                <c:pt idx="291">
                  <c:v>1603.4941551541199</c:v>
                </c:pt>
                <c:pt idx="292">
                  <c:v>1560.9213602550599</c:v>
                </c:pt>
                <c:pt idx="293">
                  <c:v>1612.70244420828</c:v>
                </c:pt>
                <c:pt idx="294">
                  <c:v>1567.6089266737999</c:v>
                </c:pt>
                <c:pt idx="295">
                  <c:v>1606.4218445726801</c:v>
                </c:pt>
                <c:pt idx="296">
                  <c:v>1658.0113396129002</c:v>
                </c:pt>
                <c:pt idx="297">
                  <c:v>1631.2900625157199</c:v>
                </c:pt>
                <c:pt idx="298">
                  <c:v>1608.7460114789501</c:v>
                </c:pt>
                <c:pt idx="299">
                  <c:v>1631.3265443694399</c:v>
                </c:pt>
                <c:pt idx="300">
                  <c:v>1638.46088518994</c:v>
                </c:pt>
                <c:pt idx="301">
                  <c:v>1636.25476345316</c:v>
                </c:pt>
                <c:pt idx="302">
                  <c:v>1633.1863847606101</c:v>
                </c:pt>
                <c:pt idx="303">
                  <c:v>1637.88045539724</c:v>
                </c:pt>
                <c:pt idx="304">
                  <c:v>1639.8763858708198</c:v>
                </c:pt>
                <c:pt idx="305">
                  <c:v>1646.0076734137199</c:v>
                </c:pt>
                <c:pt idx="306">
                  <c:v>1626.01622712311</c:v>
                </c:pt>
                <c:pt idx="307">
                  <c:v>1633.50954163448</c:v>
                </c:pt>
                <c:pt idx="308">
                  <c:v>1625.6251164097798</c:v>
                </c:pt>
                <c:pt idx="309">
                  <c:v>1624.89170664059</c:v>
                </c:pt>
                <c:pt idx="310">
                  <c:v>1628.3168509207701</c:v>
                </c:pt>
                <c:pt idx="311">
                  <c:v>1631.16791894486</c:v>
                </c:pt>
                <c:pt idx="312">
                  <c:v>1632.63848851992</c:v>
                </c:pt>
                <c:pt idx="313">
                  <c:v>1632.3266519988699</c:v>
                </c:pt>
                <c:pt idx="314">
                  <c:v>1639.7218079453298</c:v>
                </c:pt>
                <c:pt idx="315">
                  <c:v>1636.5764046848801</c:v>
                </c:pt>
                <c:pt idx="316">
                  <c:v>1618.0813371921699</c:v>
                </c:pt>
                <c:pt idx="317">
                  <c:v>1633.55053474126</c:v>
                </c:pt>
                <c:pt idx="318">
                  <c:v>1636.8338661903499</c:v>
                </c:pt>
                <c:pt idx="319">
                  <c:v>1631.77497795469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'240828A001'!$A$2:$A$321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'240828A001'!$P$2:$P$321</c:f>
              <c:numCache>
                <c:formatCode>General</c:formatCode>
                <c:ptCount val="320"/>
                <c:pt idx="0">
                  <c:v>-0.75235658396424321</c:v>
                </c:pt>
                <c:pt idx="1">
                  <c:v>-1.7621605644815557</c:v>
                </c:pt>
                <c:pt idx="2">
                  <c:v>0.22292775165425427</c:v>
                </c:pt>
                <c:pt idx="3">
                  <c:v>4.6252608803990887</c:v>
                </c:pt>
                <c:pt idx="4">
                  <c:v>-4.286829749718021</c:v>
                </c:pt>
                <c:pt idx="5">
                  <c:v>-1.4014214833983165</c:v>
                </c:pt>
                <c:pt idx="6">
                  <c:v>-1.3713050604033019</c:v>
                </c:pt>
                <c:pt idx="7">
                  <c:v>-4.641583793268186</c:v>
                </c:pt>
                <c:pt idx="8">
                  <c:v>-6.8083925372793299</c:v>
                </c:pt>
                <c:pt idx="9">
                  <c:v>-2.2617413638200197</c:v>
                </c:pt>
                <c:pt idx="10">
                  <c:v>-2.2464625274411287</c:v>
                </c:pt>
                <c:pt idx="11">
                  <c:v>-0.88153749454073449</c:v>
                </c:pt>
                <c:pt idx="12">
                  <c:v>-4.6970926344008692</c:v>
                </c:pt>
                <c:pt idx="13">
                  <c:v>-3.962373880624448</c:v>
                </c:pt>
                <c:pt idx="14">
                  <c:v>-5.2771673474258254</c:v>
                </c:pt>
                <c:pt idx="15">
                  <c:v>-3.3617495796436048</c:v>
                </c:pt>
                <c:pt idx="16">
                  <c:v>-3.6375116622813786</c:v>
                </c:pt>
                <c:pt idx="17">
                  <c:v>-4.0358405045630343</c:v>
                </c:pt>
                <c:pt idx="18">
                  <c:v>-2.7961960053519825</c:v>
                </c:pt>
                <c:pt idx="19">
                  <c:v>-2.55703542950162</c:v>
                </c:pt>
                <c:pt idx="20">
                  <c:v>-2.0011388436377961</c:v>
                </c:pt>
                <c:pt idx="21">
                  <c:v>-2.8751940523058406</c:v>
                </c:pt>
                <c:pt idx="22">
                  <c:v>-3.2424448182732477</c:v>
                </c:pt>
                <c:pt idx="23">
                  <c:v>-1.4735106415602266</c:v>
                </c:pt>
                <c:pt idx="24">
                  <c:v>-2.4858606645285448</c:v>
                </c:pt>
                <c:pt idx="25">
                  <c:v>-0.24483112506428262</c:v>
                </c:pt>
                <c:pt idx="26">
                  <c:v>-0.39596812204645238</c:v>
                </c:pt>
                <c:pt idx="27">
                  <c:v>-0.20342396948346769</c:v>
                </c:pt>
                <c:pt idx="28">
                  <c:v>0.30818177337858821</c:v>
                </c:pt>
                <c:pt idx="29">
                  <c:v>-1.0006281392518399</c:v>
                </c:pt>
                <c:pt idx="30">
                  <c:v>-0.47198724220789673</c:v>
                </c:pt>
                <c:pt idx="31">
                  <c:v>-1.2396925359625637</c:v>
                </c:pt>
                <c:pt idx="32">
                  <c:v>-1.3610355758367481</c:v>
                </c:pt>
                <c:pt idx="33">
                  <c:v>-1.1012378815391097</c:v>
                </c:pt>
                <c:pt idx="34">
                  <c:v>-1.203551107594498</c:v>
                </c:pt>
                <c:pt idx="35">
                  <c:v>-1.292111425778538</c:v>
                </c:pt>
                <c:pt idx="36">
                  <c:v>-1.0796552507615518</c:v>
                </c:pt>
                <c:pt idx="37">
                  <c:v>-1.6412182567699787</c:v>
                </c:pt>
                <c:pt idx="38">
                  <c:v>-1.8275546381147134</c:v>
                </c:pt>
                <c:pt idx="39">
                  <c:v>-2.2490426368620735</c:v>
                </c:pt>
                <c:pt idx="40">
                  <c:v>-2.5383015506475584</c:v>
                </c:pt>
                <c:pt idx="41">
                  <c:v>-2.6662304573088926</c:v>
                </c:pt>
                <c:pt idx="42">
                  <c:v>-2.3739747906067246</c:v>
                </c:pt>
                <c:pt idx="43">
                  <c:v>-2.8238237385939358</c:v>
                </c:pt>
                <c:pt idx="44">
                  <c:v>-2.3774871918015434</c:v>
                </c:pt>
                <c:pt idx="45">
                  <c:v>-2.3948317610166567</c:v>
                </c:pt>
                <c:pt idx="46">
                  <c:v>-2.6059811917641169</c:v>
                </c:pt>
                <c:pt idx="47">
                  <c:v>-2.9891000719162952</c:v>
                </c:pt>
                <c:pt idx="48">
                  <c:v>-2.2330404874828571</c:v>
                </c:pt>
                <c:pt idx="49">
                  <c:v>-2.5951939690262842</c:v>
                </c:pt>
                <c:pt idx="50">
                  <c:v>-1.8034886485206343</c:v>
                </c:pt>
                <c:pt idx="51">
                  <c:v>-1.6658798396526657</c:v>
                </c:pt>
                <c:pt idx="52">
                  <c:v>-1.9678899757460118</c:v>
                </c:pt>
                <c:pt idx="53">
                  <c:v>-1.9339475023839026</c:v>
                </c:pt>
                <c:pt idx="54">
                  <c:v>-1.275927371092862</c:v>
                </c:pt>
                <c:pt idx="55">
                  <c:v>-0.73054772428239756</c:v>
                </c:pt>
                <c:pt idx="56">
                  <c:v>-1.6438754501249062</c:v>
                </c:pt>
                <c:pt idx="57">
                  <c:v>-0.87642652900489781</c:v>
                </c:pt>
                <c:pt idx="58">
                  <c:v>-0.50634735420237942</c:v>
                </c:pt>
                <c:pt idx="59">
                  <c:v>-0.34565006144878296</c:v>
                </c:pt>
                <c:pt idx="60">
                  <c:v>-0.72255939708089068</c:v>
                </c:pt>
                <c:pt idx="61">
                  <c:v>-0.77600623104419575</c:v>
                </c:pt>
                <c:pt idx="62">
                  <c:v>-0.73904612982421625</c:v>
                </c:pt>
                <c:pt idx="63">
                  <c:v>-0.71375054551096917</c:v>
                </c:pt>
                <c:pt idx="64">
                  <c:v>-0.86463099694883594</c:v>
                </c:pt>
                <c:pt idx="65">
                  <c:v>-0.79804602191882856</c:v>
                </c:pt>
                <c:pt idx="66">
                  <c:v>0.22535600428210703</c:v>
                </c:pt>
                <c:pt idx="67">
                  <c:v>-8.9990633086507968E-2</c:v>
                </c:pt>
                <c:pt idx="68">
                  <c:v>-0.28695535455374077</c:v>
                </c:pt>
                <c:pt idx="69">
                  <c:v>-0.26196251686879235</c:v>
                </c:pt>
                <c:pt idx="70">
                  <c:v>-4.0176921460929873E-3</c:v>
                </c:pt>
                <c:pt idx="71">
                  <c:v>5.4682612586705377E-2</c:v>
                </c:pt>
                <c:pt idx="72">
                  <c:v>9.5533054344790522E-2</c:v>
                </c:pt>
                <c:pt idx="73">
                  <c:v>0.43203954287308022</c:v>
                </c:pt>
                <c:pt idx="74">
                  <c:v>0.23445951824878764</c:v>
                </c:pt>
                <c:pt idx="75">
                  <c:v>0.81255155603548423</c:v>
                </c:pt>
                <c:pt idx="76">
                  <c:v>0.68010271657827603</c:v>
                </c:pt>
                <c:pt idx="77">
                  <c:v>0.4686497894764925</c:v>
                </c:pt>
                <c:pt idx="78">
                  <c:v>0.84288789206103298</c:v>
                </c:pt>
                <c:pt idx="79">
                  <c:v>1.410702832496501</c:v>
                </c:pt>
                <c:pt idx="80">
                  <c:v>0.73917198784527494</c:v>
                </c:pt>
                <c:pt idx="81">
                  <c:v>0.63470189126022869</c:v>
                </c:pt>
                <c:pt idx="82">
                  <c:v>1.3212298720880895</c:v>
                </c:pt>
                <c:pt idx="83">
                  <c:v>1.2028022779421004</c:v>
                </c:pt>
                <c:pt idx="84">
                  <c:v>1.6560082186054124</c:v>
                </c:pt>
                <c:pt idx="85">
                  <c:v>1.7221132551827358</c:v>
                </c:pt>
                <c:pt idx="86">
                  <c:v>1.5814015798295358</c:v>
                </c:pt>
                <c:pt idx="87">
                  <c:v>4.4565899330209042</c:v>
                </c:pt>
                <c:pt idx="88">
                  <c:v>6.9752340797180139</c:v>
                </c:pt>
                <c:pt idx="89">
                  <c:v>7.8857927105316898</c:v>
                </c:pt>
                <c:pt idx="90">
                  <c:v>8.315258705965336</c:v>
                </c:pt>
                <c:pt idx="91">
                  <c:v>7.4784420456140381</c:v>
                </c:pt>
                <c:pt idx="92">
                  <c:v>7.0840915530748285</c:v>
                </c:pt>
                <c:pt idx="93">
                  <c:v>6.5063989795048753</c:v>
                </c:pt>
                <c:pt idx="94">
                  <c:v>5.7020932108804834</c:v>
                </c:pt>
                <c:pt idx="95">
                  <c:v>6.0387665782089091</c:v>
                </c:pt>
                <c:pt idx="96">
                  <c:v>5.5974920204032621</c:v>
                </c:pt>
                <c:pt idx="97">
                  <c:v>5.224932436349949</c:v>
                </c:pt>
                <c:pt idx="98">
                  <c:v>5.2553343742854768</c:v>
                </c:pt>
                <c:pt idx="99">
                  <c:v>5.2355709566565363</c:v>
                </c:pt>
                <c:pt idx="100">
                  <c:v>5.43231145500636</c:v>
                </c:pt>
                <c:pt idx="101">
                  <c:v>5.0765297445403545</c:v>
                </c:pt>
                <c:pt idx="102">
                  <c:v>4.3282618875524612</c:v>
                </c:pt>
                <c:pt idx="103">
                  <c:v>4.3634266106670818</c:v>
                </c:pt>
                <c:pt idx="104">
                  <c:v>4.6962687217982229</c:v>
                </c:pt>
                <c:pt idx="105">
                  <c:v>4.6026271936007745</c:v>
                </c:pt>
                <c:pt idx="106">
                  <c:v>4.6310440158547035</c:v>
                </c:pt>
                <c:pt idx="107">
                  <c:v>4.2602421750410668</c:v>
                </c:pt>
                <c:pt idx="108">
                  <c:v>4.360967542859771</c:v>
                </c:pt>
                <c:pt idx="109">
                  <c:v>4.7251401030813822</c:v>
                </c:pt>
                <c:pt idx="110">
                  <c:v>4.760831912033928</c:v>
                </c:pt>
                <c:pt idx="111">
                  <c:v>5.1869303234475455</c:v>
                </c:pt>
                <c:pt idx="112">
                  <c:v>5.0710156826050481</c:v>
                </c:pt>
                <c:pt idx="113">
                  <c:v>4.1619126879591821</c:v>
                </c:pt>
                <c:pt idx="114">
                  <c:v>5.0694701707937968</c:v>
                </c:pt>
                <c:pt idx="115">
                  <c:v>5.2042231054999348</c:v>
                </c:pt>
                <c:pt idx="116">
                  <c:v>5.0226348227706348</c:v>
                </c:pt>
                <c:pt idx="117">
                  <c:v>5.3579715189343542</c:v>
                </c:pt>
                <c:pt idx="118">
                  <c:v>4.8994920206610342</c:v>
                </c:pt>
                <c:pt idx="119">
                  <c:v>5.1443733989771943</c:v>
                </c:pt>
                <c:pt idx="120">
                  <c:v>4.7800714845970909</c:v>
                </c:pt>
                <c:pt idx="121">
                  <c:v>4.4607999605571047</c:v>
                </c:pt>
                <c:pt idx="122">
                  <c:v>5.0376692728537247</c:v>
                </c:pt>
                <c:pt idx="123">
                  <c:v>4.3825324735050097</c:v>
                </c:pt>
                <c:pt idx="124">
                  <c:v>4.6593038614409146</c:v>
                </c:pt>
                <c:pt idx="125">
                  <c:v>4.3990416654226419</c:v>
                </c:pt>
                <c:pt idx="126">
                  <c:v>4.7198079162389712</c:v>
                </c:pt>
                <c:pt idx="127">
                  <c:v>4.5391841916167026</c:v>
                </c:pt>
                <c:pt idx="128">
                  <c:v>4.4040562714210107</c:v>
                </c:pt>
                <c:pt idx="129">
                  <c:v>4.2119656159023817</c:v>
                </c:pt>
                <c:pt idx="130">
                  <c:v>5.0715114565010122</c:v>
                </c:pt>
                <c:pt idx="131">
                  <c:v>4.5325859970499476</c:v>
                </c:pt>
                <c:pt idx="132">
                  <c:v>4.7789070003974512</c:v>
                </c:pt>
                <c:pt idx="133">
                  <c:v>5.5757942615445515</c:v>
                </c:pt>
                <c:pt idx="134">
                  <c:v>5.8041041457834206</c:v>
                </c:pt>
                <c:pt idx="135">
                  <c:v>5.3984782411718477</c:v>
                </c:pt>
                <c:pt idx="136">
                  <c:v>5.3486654515852567</c:v>
                </c:pt>
                <c:pt idx="137">
                  <c:v>5.6679244816832695</c:v>
                </c:pt>
                <c:pt idx="138">
                  <c:v>5.0139625301933775</c:v>
                </c:pt>
                <c:pt idx="139">
                  <c:v>6.2441436855396288</c:v>
                </c:pt>
                <c:pt idx="140">
                  <c:v>4.9855916845114825</c:v>
                </c:pt>
                <c:pt idx="141">
                  <c:v>3.9272858670259336</c:v>
                </c:pt>
                <c:pt idx="142">
                  <c:v>4.6495373973783183</c:v>
                </c:pt>
                <c:pt idx="143">
                  <c:v>4.4463366748639999</c:v>
                </c:pt>
                <c:pt idx="144">
                  <c:v>4.460658170329209</c:v>
                </c:pt>
                <c:pt idx="145">
                  <c:v>4.7496692522303672</c:v>
                </c:pt>
                <c:pt idx="146">
                  <c:v>4.5589763136214581</c:v>
                </c:pt>
                <c:pt idx="147">
                  <c:v>4.9212081092410616</c:v>
                </c:pt>
                <c:pt idx="148">
                  <c:v>3.7407534123539103</c:v>
                </c:pt>
                <c:pt idx="149">
                  <c:v>4.0945766576232581</c:v>
                </c:pt>
                <c:pt idx="150">
                  <c:v>4.1400693595210365</c:v>
                </c:pt>
                <c:pt idx="151">
                  <c:v>3.7864297178337898</c:v>
                </c:pt>
                <c:pt idx="152">
                  <c:v>4.2043377930562169</c:v>
                </c:pt>
                <c:pt idx="153">
                  <c:v>4.6865850116014505</c:v>
                </c:pt>
                <c:pt idx="154">
                  <c:v>5.3490570967207089</c:v>
                </c:pt>
                <c:pt idx="155">
                  <c:v>4.5582708227015152</c:v>
                </c:pt>
                <c:pt idx="156">
                  <c:v>4.6832800763915614</c:v>
                </c:pt>
                <c:pt idx="157">
                  <c:v>5.1615546916567236</c:v>
                </c:pt>
                <c:pt idx="158">
                  <c:v>4.792342464563986</c:v>
                </c:pt>
                <c:pt idx="159">
                  <c:v>4.7884715732202103</c:v>
                </c:pt>
                <c:pt idx="160">
                  <c:v>4.3082777135284891</c:v>
                </c:pt>
                <c:pt idx="161">
                  <c:v>5.3618331536120811</c:v>
                </c:pt>
                <c:pt idx="162">
                  <c:v>4.8406963389122284</c:v>
                </c:pt>
                <c:pt idx="163">
                  <c:v>4.60780920936672</c:v>
                </c:pt>
                <c:pt idx="164">
                  <c:v>4.9009692537180873</c:v>
                </c:pt>
                <c:pt idx="165">
                  <c:v>4.9585875664927821</c:v>
                </c:pt>
                <c:pt idx="166">
                  <c:v>4.8684847084621916</c:v>
                </c:pt>
                <c:pt idx="167">
                  <c:v>4.9945049094092449</c:v>
                </c:pt>
                <c:pt idx="168">
                  <c:v>4.6622531629535953</c:v>
                </c:pt>
                <c:pt idx="169">
                  <c:v>5.3523236870575568</c:v>
                </c:pt>
                <c:pt idx="170">
                  <c:v>3.3685960565869171</c:v>
                </c:pt>
                <c:pt idx="171">
                  <c:v>3.3552924270350184</c:v>
                </c:pt>
                <c:pt idx="172">
                  <c:v>3.6676144084794999</c:v>
                </c:pt>
                <c:pt idx="173">
                  <c:v>3.41633887918166</c:v>
                </c:pt>
                <c:pt idx="174">
                  <c:v>3.4436368411127405</c:v>
                </c:pt>
                <c:pt idx="175">
                  <c:v>3.5430760701091217</c:v>
                </c:pt>
                <c:pt idx="176">
                  <c:v>3.4951498148784115</c:v>
                </c:pt>
                <c:pt idx="177">
                  <c:v>3.2428312357995459</c:v>
                </c:pt>
                <c:pt idx="178">
                  <c:v>4.0837785392313624</c:v>
                </c:pt>
                <c:pt idx="179">
                  <c:v>3.839760963469713</c:v>
                </c:pt>
                <c:pt idx="180">
                  <c:v>3.9950192800561064</c:v>
                </c:pt>
                <c:pt idx="181">
                  <c:v>3.3230115915367247</c:v>
                </c:pt>
                <c:pt idx="182">
                  <c:v>4.206717840140362</c:v>
                </c:pt>
                <c:pt idx="183">
                  <c:v>3.7170917348728016</c:v>
                </c:pt>
                <c:pt idx="184">
                  <c:v>3.5498523077289312</c:v>
                </c:pt>
                <c:pt idx="185">
                  <c:v>3.6521622467437536</c:v>
                </c:pt>
                <c:pt idx="186">
                  <c:v>4.2229898250973434</c:v>
                </c:pt>
                <c:pt idx="187">
                  <c:v>4.9587205651442146</c:v>
                </c:pt>
                <c:pt idx="188">
                  <c:v>4.2768280983493367</c:v>
                </c:pt>
                <c:pt idx="189">
                  <c:v>4.5083389957914344</c:v>
                </c:pt>
                <c:pt idx="190">
                  <c:v>3.8217350864827297</c:v>
                </c:pt>
                <c:pt idx="191">
                  <c:v>4.4982936582583388</c:v>
                </c:pt>
                <c:pt idx="192">
                  <c:v>4.5046716625696082</c:v>
                </c:pt>
                <c:pt idx="193">
                  <c:v>5.001402829677426</c:v>
                </c:pt>
                <c:pt idx="194">
                  <c:v>4.6921615507368175</c:v>
                </c:pt>
                <c:pt idx="195">
                  <c:v>4.9512867030468257</c:v>
                </c:pt>
                <c:pt idx="196">
                  <c:v>4.6603666062255122</c:v>
                </c:pt>
                <c:pt idx="197">
                  <c:v>4.3995362124673276</c:v>
                </c:pt>
                <c:pt idx="198">
                  <c:v>4.5361890702908916</c:v>
                </c:pt>
                <c:pt idx="199">
                  <c:v>4.3972238541805977</c:v>
                </c:pt>
                <c:pt idx="200">
                  <c:v>4.6508211047385002</c:v>
                </c:pt>
                <c:pt idx="201">
                  <c:v>4.8731372625771838</c:v>
                </c:pt>
                <c:pt idx="202">
                  <c:v>4.5803013367827976</c:v>
                </c:pt>
                <c:pt idx="203">
                  <c:v>4.4073420053262975</c:v>
                </c:pt>
                <c:pt idx="204">
                  <c:v>5.0864211799602206</c:v>
                </c:pt>
                <c:pt idx="205">
                  <c:v>4.8986344428829103</c:v>
                </c:pt>
                <c:pt idx="206">
                  <c:v>4.5692013526040718</c:v>
                </c:pt>
                <c:pt idx="207">
                  <c:v>4.7653690875027976</c:v>
                </c:pt>
                <c:pt idx="208">
                  <c:v>5.0827314374410468</c:v>
                </c:pt>
                <c:pt idx="209">
                  <c:v>5.3973977633949204</c:v>
                </c:pt>
                <c:pt idx="210">
                  <c:v>5.1747249383980058</c:v>
                </c:pt>
                <c:pt idx="211">
                  <c:v>5.3764962631872324</c:v>
                </c:pt>
                <c:pt idx="212">
                  <c:v>4.345481430530004</c:v>
                </c:pt>
                <c:pt idx="213">
                  <c:v>5.4482440248818786</c:v>
                </c:pt>
                <c:pt idx="214">
                  <c:v>4.9312527828806889</c:v>
                </c:pt>
                <c:pt idx="215">
                  <c:v>5.1099643900768932</c:v>
                </c:pt>
                <c:pt idx="216">
                  <c:v>5.4422191563825058</c:v>
                </c:pt>
                <c:pt idx="217">
                  <c:v>4.78009565395846</c:v>
                </c:pt>
                <c:pt idx="218">
                  <c:v>5.2307022428157328</c:v>
                </c:pt>
                <c:pt idx="219">
                  <c:v>5.9884765694500315</c:v>
                </c:pt>
                <c:pt idx="220">
                  <c:v>4.9896399777211142</c:v>
                </c:pt>
                <c:pt idx="221">
                  <c:v>5.7462424372590508</c:v>
                </c:pt>
                <c:pt idx="222">
                  <c:v>4.3729442404586987</c:v>
                </c:pt>
                <c:pt idx="223">
                  <c:v>4.9649594927024383</c:v>
                </c:pt>
                <c:pt idx="224">
                  <c:v>4.8468442929641427</c:v>
                </c:pt>
                <c:pt idx="225">
                  <c:v>4.0055254910166687</c:v>
                </c:pt>
                <c:pt idx="226">
                  <c:v>3.4278355542501178</c:v>
                </c:pt>
                <c:pt idx="227">
                  <c:v>3.4496728730468655</c:v>
                </c:pt>
                <c:pt idx="228">
                  <c:v>2.9319554332902587</c:v>
                </c:pt>
                <c:pt idx="229">
                  <c:v>2.908175612095989</c:v>
                </c:pt>
                <c:pt idx="230">
                  <c:v>2.1679950554486815</c:v>
                </c:pt>
                <c:pt idx="231">
                  <c:v>2.2204936667402508</c:v>
                </c:pt>
                <c:pt idx="232">
                  <c:v>1.9388106701372829</c:v>
                </c:pt>
                <c:pt idx="233">
                  <c:v>1.4413517603782722</c:v>
                </c:pt>
                <c:pt idx="234">
                  <c:v>0.72914826765196794</c:v>
                </c:pt>
                <c:pt idx="235">
                  <c:v>1.3028460668290873</c:v>
                </c:pt>
                <c:pt idx="236">
                  <c:v>1.6696838352662744</c:v>
                </c:pt>
                <c:pt idx="237">
                  <c:v>0.44801765137308425</c:v>
                </c:pt>
                <c:pt idx="238">
                  <c:v>0.66446831928979189</c:v>
                </c:pt>
                <c:pt idx="239">
                  <c:v>0.65155428841507002</c:v>
                </c:pt>
                <c:pt idx="240">
                  <c:v>0.65641597424953191</c:v>
                </c:pt>
                <c:pt idx="241">
                  <c:v>1.0715174596811685</c:v>
                </c:pt>
                <c:pt idx="242">
                  <c:v>-0.44947563097867932</c:v>
                </c:pt>
                <c:pt idx="243">
                  <c:v>1.8752586527170272</c:v>
                </c:pt>
                <c:pt idx="244">
                  <c:v>3.1441479669003272</c:v>
                </c:pt>
                <c:pt idx="245">
                  <c:v>4.6134356412833659</c:v>
                </c:pt>
                <c:pt idx="246">
                  <c:v>6.7536222736786149</c:v>
                </c:pt>
                <c:pt idx="247">
                  <c:v>4.2444972206548996</c:v>
                </c:pt>
                <c:pt idx="248">
                  <c:v>4.2728352743925821</c:v>
                </c:pt>
                <c:pt idx="249">
                  <c:v>5.0013073680770477</c:v>
                </c:pt>
                <c:pt idx="250">
                  <c:v>3.9475356473595098</c:v>
                </c:pt>
                <c:pt idx="251">
                  <c:v>4.1505448078449216</c:v>
                </c:pt>
                <c:pt idx="252">
                  <c:v>3.8714213708378109</c:v>
                </c:pt>
                <c:pt idx="253">
                  <c:v>3.3579530337767602</c:v>
                </c:pt>
                <c:pt idx="254">
                  <c:v>3.2856114437636736</c:v>
                </c:pt>
                <c:pt idx="255">
                  <c:v>3.0932272329207731</c:v>
                </c:pt>
                <c:pt idx="256">
                  <c:v>3.093531386248968</c:v>
                </c:pt>
                <c:pt idx="257">
                  <c:v>3.4334704191385281</c:v>
                </c:pt>
                <c:pt idx="258">
                  <c:v>3.3570285894786189</c:v>
                </c:pt>
                <c:pt idx="259">
                  <c:v>3.1846233293292934</c:v>
                </c:pt>
                <c:pt idx="260">
                  <c:v>2.827631859963244</c:v>
                </c:pt>
                <c:pt idx="261">
                  <c:v>2.3375738677683762</c:v>
                </c:pt>
                <c:pt idx="262">
                  <c:v>2.6957173986781284</c:v>
                </c:pt>
                <c:pt idx="263">
                  <c:v>2.532994734686048</c:v>
                </c:pt>
                <c:pt idx="264">
                  <c:v>2.7781531918476485</c:v>
                </c:pt>
                <c:pt idx="265">
                  <c:v>2.6735287905994976</c:v>
                </c:pt>
                <c:pt idx="266">
                  <c:v>2.7758753165085741</c:v>
                </c:pt>
                <c:pt idx="267">
                  <c:v>2.3087434292442057</c:v>
                </c:pt>
                <c:pt idx="268">
                  <c:v>2.7192480092548905</c:v>
                </c:pt>
                <c:pt idx="269">
                  <c:v>2.3064310692509484</c:v>
                </c:pt>
                <c:pt idx="270">
                  <c:v>3.1767997264101946</c:v>
                </c:pt>
                <c:pt idx="271">
                  <c:v>2.8272234584417717</c:v>
                </c:pt>
                <c:pt idx="272">
                  <c:v>2.8970166260199668</c:v>
                </c:pt>
                <c:pt idx="273">
                  <c:v>3.0956285330055389</c:v>
                </c:pt>
                <c:pt idx="274">
                  <c:v>2.9541449369788015</c:v>
                </c:pt>
                <c:pt idx="275">
                  <c:v>3.3644927659151627</c:v>
                </c:pt>
                <c:pt idx="276">
                  <c:v>2.8714065278456657</c:v>
                </c:pt>
                <c:pt idx="277">
                  <c:v>3.0667942647389177</c:v>
                </c:pt>
                <c:pt idx="278">
                  <c:v>2.5277062085925577</c:v>
                </c:pt>
                <c:pt idx="279">
                  <c:v>1.1425918860246529</c:v>
                </c:pt>
                <c:pt idx="280">
                  <c:v>1.9193360218851268</c:v>
                </c:pt>
                <c:pt idx="281">
                  <c:v>1.2169453818598031</c:v>
                </c:pt>
                <c:pt idx="282">
                  <c:v>1.8524912280916528</c:v>
                </c:pt>
                <c:pt idx="283">
                  <c:v>2.3323289855417531</c:v>
                </c:pt>
                <c:pt idx="284">
                  <c:v>1.8445492664421259</c:v>
                </c:pt>
                <c:pt idx="285">
                  <c:v>1.8248267732040233</c:v>
                </c:pt>
                <c:pt idx="286">
                  <c:v>1.2980915555905284</c:v>
                </c:pt>
                <c:pt idx="287">
                  <c:v>0.95020403371940954</c:v>
                </c:pt>
                <c:pt idx="288">
                  <c:v>0.65043786304623674</c:v>
                </c:pt>
                <c:pt idx="289">
                  <c:v>0.43821957316587296</c:v>
                </c:pt>
                <c:pt idx="290">
                  <c:v>0.37901997009463823</c:v>
                </c:pt>
                <c:pt idx="291">
                  <c:v>1.0308065873296046</c:v>
                </c:pt>
                <c:pt idx="292">
                  <c:v>3.5525011531586221</c:v>
                </c:pt>
                <c:pt idx="293">
                  <c:v>1.8159892526715211</c:v>
                </c:pt>
                <c:pt idx="294">
                  <c:v>2.0916251428568597</c:v>
                </c:pt>
                <c:pt idx="295">
                  <c:v>0.3937671288909857</c:v>
                </c:pt>
                <c:pt idx="296">
                  <c:v>0.770638177959731</c:v>
                </c:pt>
                <c:pt idx="297">
                  <c:v>0.62378665053501814</c:v>
                </c:pt>
                <c:pt idx="298">
                  <c:v>0.44159308374793693</c:v>
                </c:pt>
                <c:pt idx="299">
                  <c:v>8.1993922053171631E-2</c:v>
                </c:pt>
                <c:pt idx="300">
                  <c:v>-0.47259001556923919</c:v>
                </c:pt>
                <c:pt idx="301">
                  <c:v>0.83503417918602529</c:v>
                </c:pt>
                <c:pt idx="302">
                  <c:v>-8.3886891609326775E-2</c:v>
                </c:pt>
                <c:pt idx="303">
                  <c:v>0.53107566736476064</c:v>
                </c:pt>
                <c:pt idx="304">
                  <c:v>1.3628730147460359</c:v>
                </c:pt>
                <c:pt idx="305">
                  <c:v>4.8363259397237568E-2</c:v>
                </c:pt>
                <c:pt idx="306">
                  <c:v>-0.22558581608363815</c:v>
                </c:pt>
                <c:pt idx="307">
                  <c:v>0.20096088339559998</c:v>
                </c:pt>
                <c:pt idx="308">
                  <c:v>0.1456359651044723</c:v>
                </c:pt>
                <c:pt idx="309">
                  <c:v>0.64789546837222678</c:v>
                </c:pt>
                <c:pt idx="310">
                  <c:v>-0.33873686095958783</c:v>
                </c:pt>
                <c:pt idx="311">
                  <c:v>5.835965539331938E-2</c:v>
                </c:pt>
                <c:pt idx="312">
                  <c:v>-0.26786438530155521</c:v>
                </c:pt>
                <c:pt idx="313">
                  <c:v>-0.48402514130461671</c:v>
                </c:pt>
                <c:pt idx="314">
                  <c:v>-0.44511795230002998</c:v>
                </c:pt>
                <c:pt idx="315">
                  <c:v>-0.94685105568587058</c:v>
                </c:pt>
                <c:pt idx="316">
                  <c:v>-0.66787658124618177</c:v>
                </c:pt>
                <c:pt idx="317">
                  <c:v>0.14386460571346019</c:v>
                </c:pt>
                <c:pt idx="318">
                  <c:v>-0.63845220806614078</c:v>
                </c:pt>
                <c:pt idx="319">
                  <c:v>0.27437992416080537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'240828A002'!$A$2:$A$321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'240828A002'!$J$2:$J$321</c:f>
              <c:numCache>
                <c:formatCode>0.0</c:formatCode>
                <c:ptCount val="320"/>
                <c:pt idx="0">
                  <c:v>2200.4599968920998</c:v>
                </c:pt>
                <c:pt idx="1">
                  <c:v>2211.79454300922</c:v>
                </c:pt>
                <c:pt idx="2">
                  <c:v>2217.0125690117202</c:v>
                </c:pt>
                <c:pt idx="3">
                  <c:v>2222.0794007169798</c:v>
                </c:pt>
                <c:pt idx="4">
                  <c:v>2208.0383125338503</c:v>
                </c:pt>
                <c:pt idx="5">
                  <c:v>2214.1952563903801</c:v>
                </c:pt>
                <c:pt idx="6">
                  <c:v>2220.9700715703598</c:v>
                </c:pt>
                <c:pt idx="7">
                  <c:v>2223.4667716911904</c:v>
                </c:pt>
                <c:pt idx="8">
                  <c:v>1935.5090905193599</c:v>
                </c:pt>
                <c:pt idx="9">
                  <c:v>1962.1253507517199</c:v>
                </c:pt>
                <c:pt idx="10">
                  <c:v>1180.6283684219002</c:v>
                </c:pt>
                <c:pt idx="11">
                  <c:v>2209.5552406009401</c:v>
                </c:pt>
                <c:pt idx="12">
                  <c:v>2194.9658241481102</c:v>
                </c:pt>
                <c:pt idx="13">
                  <c:v>2037.4529609561398</c:v>
                </c:pt>
                <c:pt idx="14">
                  <c:v>2052.5470934326099</c:v>
                </c:pt>
                <c:pt idx="15">
                  <c:v>2049.5487442189801</c:v>
                </c:pt>
                <c:pt idx="16">
                  <c:v>2065.6054865636002</c:v>
                </c:pt>
                <c:pt idx="17">
                  <c:v>2069.1027294754604</c:v>
                </c:pt>
                <c:pt idx="18">
                  <c:v>1923.40240517546</c:v>
                </c:pt>
                <c:pt idx="19">
                  <c:v>1931.04525497538</c:v>
                </c:pt>
                <c:pt idx="20">
                  <c:v>1958.0498654626701</c:v>
                </c:pt>
                <c:pt idx="21">
                  <c:v>1967.4857005561801</c:v>
                </c:pt>
                <c:pt idx="22">
                  <c:v>1970.1350232078098</c:v>
                </c:pt>
                <c:pt idx="23">
                  <c:v>1967.6729859150998</c:v>
                </c:pt>
                <c:pt idx="24">
                  <c:v>1968.8081322446301</c:v>
                </c:pt>
                <c:pt idx="25">
                  <c:v>1959.0366765044403</c:v>
                </c:pt>
                <c:pt idx="26">
                  <c:v>1971.7894518218202</c:v>
                </c:pt>
                <c:pt idx="27">
                  <c:v>1976.02676820018</c:v>
                </c:pt>
                <c:pt idx="28">
                  <c:v>1982.26231365898</c:v>
                </c:pt>
                <c:pt idx="29">
                  <c:v>1982.5930034629203</c:v>
                </c:pt>
                <c:pt idx="30">
                  <c:v>1990.0596918850399</c:v>
                </c:pt>
                <c:pt idx="31">
                  <c:v>1988.5209498058</c:v>
                </c:pt>
                <c:pt idx="32">
                  <c:v>1997.5074536411303</c:v>
                </c:pt>
                <c:pt idx="33">
                  <c:v>1981.3725673015499</c:v>
                </c:pt>
                <c:pt idx="34">
                  <c:v>1980.2072926267099</c:v>
                </c:pt>
                <c:pt idx="35">
                  <c:v>1972.9675927088199</c:v>
                </c:pt>
                <c:pt idx="36">
                  <c:v>1987.7894207425697</c:v>
                </c:pt>
                <c:pt idx="37">
                  <c:v>1989.3972304801</c:v>
                </c:pt>
                <c:pt idx="38">
                  <c:v>1991.2839812759203</c:v>
                </c:pt>
                <c:pt idx="39">
                  <c:v>1985.4214716981601</c:v>
                </c:pt>
                <c:pt idx="40">
                  <c:v>1963.9736358300599</c:v>
                </c:pt>
                <c:pt idx="41">
                  <c:v>1904.0572916106701</c:v>
                </c:pt>
                <c:pt idx="42">
                  <c:v>1898.2529271275398</c:v>
                </c:pt>
                <c:pt idx="43">
                  <c:v>1896.12630667332</c:v>
                </c:pt>
                <c:pt idx="44">
                  <c:v>1916.19921620523</c:v>
                </c:pt>
                <c:pt idx="45">
                  <c:v>1898.57768856439</c:v>
                </c:pt>
                <c:pt idx="46">
                  <c:v>1915.56094939936</c:v>
                </c:pt>
                <c:pt idx="47">
                  <c:v>1902.12777636329</c:v>
                </c:pt>
                <c:pt idx="48">
                  <c:v>1901.9655139851002</c:v>
                </c:pt>
                <c:pt idx="49">
                  <c:v>1909.0291852096</c:v>
                </c:pt>
                <c:pt idx="50">
                  <c:v>1880.28996702009</c:v>
                </c:pt>
                <c:pt idx="51">
                  <c:v>1900.87962229148</c:v>
                </c:pt>
                <c:pt idx="52">
                  <c:v>1912.2877580026002</c:v>
                </c:pt>
                <c:pt idx="53">
                  <c:v>1895.5209300824299</c:v>
                </c:pt>
                <c:pt idx="54">
                  <c:v>1905.6717289984899</c:v>
                </c:pt>
                <c:pt idx="55">
                  <c:v>1882.6725771034098</c:v>
                </c:pt>
                <c:pt idx="56">
                  <c:v>1913.0581779670099</c:v>
                </c:pt>
                <c:pt idx="57">
                  <c:v>1881.33442409547</c:v>
                </c:pt>
                <c:pt idx="58">
                  <c:v>1878.87926488012</c:v>
                </c:pt>
                <c:pt idx="59">
                  <c:v>1876.0736891187601</c:v>
                </c:pt>
                <c:pt idx="60">
                  <c:v>1880.1854491638899</c:v>
                </c:pt>
                <c:pt idx="61">
                  <c:v>1868.56047127994</c:v>
                </c:pt>
                <c:pt idx="62">
                  <c:v>1843.6355669483598</c:v>
                </c:pt>
                <c:pt idx="63">
                  <c:v>1853.26266027831</c:v>
                </c:pt>
                <c:pt idx="64">
                  <c:v>1862.39822160529</c:v>
                </c:pt>
                <c:pt idx="65">
                  <c:v>1880.85335669501</c:v>
                </c:pt>
                <c:pt idx="66">
                  <c:v>1841.9372881225299</c:v>
                </c:pt>
                <c:pt idx="67">
                  <c:v>1862.84895124176</c:v>
                </c:pt>
                <c:pt idx="68">
                  <c:v>1850.83042526088</c:v>
                </c:pt>
                <c:pt idx="69">
                  <c:v>1868.43763399054</c:v>
                </c:pt>
                <c:pt idx="70">
                  <c:v>1879.7654204175301</c:v>
                </c:pt>
                <c:pt idx="71">
                  <c:v>1856.3252461166201</c:v>
                </c:pt>
                <c:pt idx="72">
                  <c:v>1852.5597239210101</c:v>
                </c:pt>
                <c:pt idx="73">
                  <c:v>1840.1045698958601</c:v>
                </c:pt>
                <c:pt idx="74">
                  <c:v>1866.5845494928299</c:v>
                </c:pt>
                <c:pt idx="75">
                  <c:v>1846.6412387104999</c:v>
                </c:pt>
                <c:pt idx="76">
                  <c:v>1859.80924003121</c:v>
                </c:pt>
                <c:pt idx="77">
                  <c:v>1865.8740152821399</c:v>
                </c:pt>
                <c:pt idx="78">
                  <c:v>1876.8611853242899</c:v>
                </c:pt>
                <c:pt idx="79">
                  <c:v>1880.67567343673</c:v>
                </c:pt>
                <c:pt idx="80">
                  <c:v>1870.4813837798099</c:v>
                </c:pt>
                <c:pt idx="81">
                  <c:v>1953.9239001604001</c:v>
                </c:pt>
                <c:pt idx="82">
                  <c:v>1911.9225888798001</c:v>
                </c:pt>
                <c:pt idx="83">
                  <c:v>1875.22523907499</c:v>
                </c:pt>
                <c:pt idx="84">
                  <c:v>1866.9940353300399</c:v>
                </c:pt>
                <c:pt idx="85">
                  <c:v>1856.83625679084</c:v>
                </c:pt>
                <c:pt idx="86">
                  <c:v>1843.65057034195</c:v>
                </c:pt>
                <c:pt idx="87">
                  <c:v>1831.0799851593199</c:v>
                </c:pt>
                <c:pt idx="88">
                  <c:v>1829.7715821346201</c:v>
                </c:pt>
                <c:pt idx="89">
                  <c:v>1844.2664680810399</c:v>
                </c:pt>
                <c:pt idx="90">
                  <c:v>1831.9422178513</c:v>
                </c:pt>
                <c:pt idx="91">
                  <c:v>1832.32727871987</c:v>
                </c:pt>
                <c:pt idx="92">
                  <c:v>1843.3842537446099</c:v>
                </c:pt>
                <c:pt idx="93">
                  <c:v>1767.8014119935601</c:v>
                </c:pt>
                <c:pt idx="94">
                  <c:v>1772.4469710281301</c:v>
                </c:pt>
                <c:pt idx="95">
                  <c:v>1885.4754193009301</c:v>
                </c:pt>
                <c:pt idx="96">
                  <c:v>1872.9001250341701</c:v>
                </c:pt>
                <c:pt idx="97">
                  <c:v>1897.2825922725201</c:v>
                </c:pt>
                <c:pt idx="98">
                  <c:v>1893.81626245706</c:v>
                </c:pt>
                <c:pt idx="99">
                  <c:v>1889.6524909421701</c:v>
                </c:pt>
                <c:pt idx="100">
                  <c:v>1873.0727350099601</c:v>
                </c:pt>
                <c:pt idx="101">
                  <c:v>1864.3609251336402</c:v>
                </c:pt>
                <c:pt idx="102">
                  <c:v>1863.9687276991101</c:v>
                </c:pt>
                <c:pt idx="103">
                  <c:v>1850.92060267446</c:v>
                </c:pt>
                <c:pt idx="104">
                  <c:v>1866.86412749186</c:v>
                </c:pt>
                <c:pt idx="105">
                  <c:v>1864.80154643179</c:v>
                </c:pt>
                <c:pt idx="106">
                  <c:v>1832.7847809689399</c:v>
                </c:pt>
                <c:pt idx="107">
                  <c:v>1822.7922244495901</c:v>
                </c:pt>
                <c:pt idx="108">
                  <c:v>1825.06488212003</c:v>
                </c:pt>
                <c:pt idx="109">
                  <c:v>1837.9217119646498</c:v>
                </c:pt>
                <c:pt idx="110">
                  <c:v>1833.25213102055</c:v>
                </c:pt>
                <c:pt idx="111">
                  <c:v>1835.2545163530999</c:v>
                </c:pt>
                <c:pt idx="112">
                  <c:v>1835.65625810597</c:v>
                </c:pt>
                <c:pt idx="113">
                  <c:v>1836.0821831022099</c:v>
                </c:pt>
                <c:pt idx="114">
                  <c:v>1814.4056918061801</c:v>
                </c:pt>
                <c:pt idx="115">
                  <c:v>1802.9105449507699</c:v>
                </c:pt>
                <c:pt idx="116">
                  <c:v>1799.2759915177498</c:v>
                </c:pt>
                <c:pt idx="117">
                  <c:v>1803.9642941245002</c:v>
                </c:pt>
                <c:pt idx="118">
                  <c:v>1818.3055622296399</c:v>
                </c:pt>
                <c:pt idx="119">
                  <c:v>1781.6777105589299</c:v>
                </c:pt>
                <c:pt idx="120">
                  <c:v>1789.4404641088499</c:v>
                </c:pt>
                <c:pt idx="121">
                  <c:v>1805.92436744764</c:v>
                </c:pt>
                <c:pt idx="122">
                  <c:v>1837.16426639219</c:v>
                </c:pt>
                <c:pt idx="123">
                  <c:v>1862.67891667292</c:v>
                </c:pt>
                <c:pt idx="124">
                  <c:v>1847.17638610476</c:v>
                </c:pt>
                <c:pt idx="125">
                  <c:v>1941.5551573028902</c:v>
                </c:pt>
                <c:pt idx="126">
                  <c:v>1937.4553516677399</c:v>
                </c:pt>
                <c:pt idx="127">
                  <c:v>1941.5947504754899</c:v>
                </c:pt>
                <c:pt idx="128">
                  <c:v>1955.8520275027499</c:v>
                </c:pt>
                <c:pt idx="129">
                  <c:v>1968.3957858926401</c:v>
                </c:pt>
                <c:pt idx="130">
                  <c:v>2038.8700976964001</c:v>
                </c:pt>
                <c:pt idx="131">
                  <c:v>1972.5161420847801</c:v>
                </c:pt>
                <c:pt idx="132">
                  <c:v>1937.0037844964399</c:v>
                </c:pt>
                <c:pt idx="133">
                  <c:v>1934.6449410749399</c:v>
                </c:pt>
                <c:pt idx="134">
                  <c:v>1886.4511613479401</c:v>
                </c:pt>
                <c:pt idx="135">
                  <c:v>1840.05809488972</c:v>
                </c:pt>
                <c:pt idx="136">
                  <c:v>1909.2835427247401</c:v>
                </c:pt>
                <c:pt idx="137">
                  <c:v>1992.3041478405598</c:v>
                </c:pt>
                <c:pt idx="138">
                  <c:v>2162.5810670465398</c:v>
                </c:pt>
                <c:pt idx="139">
                  <c:v>2095.3801014165701</c:v>
                </c:pt>
                <c:pt idx="140">
                  <c:v>2200.0120313859002</c:v>
                </c:pt>
                <c:pt idx="141">
                  <c:v>2241.9911693628601</c:v>
                </c:pt>
                <c:pt idx="142">
                  <c:v>2234.8598207794998</c:v>
                </c:pt>
                <c:pt idx="143">
                  <c:v>2218.2589138601002</c:v>
                </c:pt>
                <c:pt idx="144">
                  <c:v>2207.52355492785</c:v>
                </c:pt>
                <c:pt idx="145">
                  <c:v>2147.2315105705602</c:v>
                </c:pt>
                <c:pt idx="146">
                  <c:v>2030.6679758116397</c:v>
                </c:pt>
                <c:pt idx="147">
                  <c:v>2003.8889603221601</c:v>
                </c:pt>
                <c:pt idx="148">
                  <c:v>2131.5561228308597</c:v>
                </c:pt>
                <c:pt idx="149">
                  <c:v>2028.6134440471997</c:v>
                </c:pt>
                <c:pt idx="150">
                  <c:v>2062.95284500658</c:v>
                </c:pt>
                <c:pt idx="151">
                  <c:v>2162.4743829274503</c:v>
                </c:pt>
                <c:pt idx="152">
                  <c:v>2000.5413766434301</c:v>
                </c:pt>
                <c:pt idx="153">
                  <c:v>2005.5158546016601</c:v>
                </c:pt>
                <c:pt idx="154">
                  <c:v>2026.5719565106901</c:v>
                </c:pt>
                <c:pt idx="155">
                  <c:v>2139.9622027728701</c:v>
                </c:pt>
                <c:pt idx="156">
                  <c:v>2108.86284096998</c:v>
                </c:pt>
                <c:pt idx="157">
                  <c:v>2098.6510840084202</c:v>
                </c:pt>
                <c:pt idx="158">
                  <c:v>2074.67241154664</c:v>
                </c:pt>
                <c:pt idx="159">
                  <c:v>2050.5594575954001</c:v>
                </c:pt>
                <c:pt idx="160">
                  <c:v>2032.0672069740699</c:v>
                </c:pt>
                <c:pt idx="161">
                  <c:v>2097.51666735239</c:v>
                </c:pt>
                <c:pt idx="162">
                  <c:v>2064.3349759744501</c:v>
                </c:pt>
                <c:pt idx="163">
                  <c:v>1863.6532817177599</c:v>
                </c:pt>
                <c:pt idx="164">
                  <c:v>2117.3725164938601</c:v>
                </c:pt>
                <c:pt idx="165">
                  <c:v>2144.2912818411601</c:v>
                </c:pt>
                <c:pt idx="166">
                  <c:v>2021.5055836018298</c:v>
                </c:pt>
                <c:pt idx="167">
                  <c:v>2100.2748991621402</c:v>
                </c:pt>
                <c:pt idx="168">
                  <c:v>2146.4160955303901</c:v>
                </c:pt>
                <c:pt idx="169">
                  <c:v>2133.5374829371804</c:v>
                </c:pt>
                <c:pt idx="170">
                  <c:v>2213.03891820228</c:v>
                </c:pt>
                <c:pt idx="171">
                  <c:v>2098.31440336589</c:v>
                </c:pt>
                <c:pt idx="172">
                  <c:v>1988.5438843550598</c:v>
                </c:pt>
                <c:pt idx="173">
                  <c:v>2052.5382830626399</c:v>
                </c:pt>
                <c:pt idx="174">
                  <c:v>2066.8043310130997</c:v>
                </c:pt>
                <c:pt idx="175">
                  <c:v>2080.2606341841097</c:v>
                </c:pt>
                <c:pt idx="176">
                  <c:v>2175.4229616402899</c:v>
                </c:pt>
                <c:pt idx="177">
                  <c:v>2177.89106176113</c:v>
                </c:pt>
                <c:pt idx="178">
                  <c:v>1974.3431826257502</c:v>
                </c:pt>
                <c:pt idx="179">
                  <c:v>1895.80266955716</c:v>
                </c:pt>
                <c:pt idx="180">
                  <c:v>1883.1280294547498</c:v>
                </c:pt>
                <c:pt idx="181">
                  <c:v>1979.8871810491798</c:v>
                </c:pt>
                <c:pt idx="182">
                  <c:v>1993.9548369424697</c:v>
                </c:pt>
                <c:pt idx="183">
                  <c:v>2140.90017086643</c:v>
                </c:pt>
                <c:pt idx="184">
                  <c:v>2111.9739437760099</c:v>
                </c:pt>
                <c:pt idx="185">
                  <c:v>2161.8241249292096</c:v>
                </c:pt>
                <c:pt idx="186">
                  <c:v>2012.1246791660501</c:v>
                </c:pt>
                <c:pt idx="187">
                  <c:v>1986.3505746506503</c:v>
                </c:pt>
                <c:pt idx="188">
                  <c:v>1934.4260454324599</c:v>
                </c:pt>
                <c:pt idx="189">
                  <c:v>1925.8646324574597</c:v>
                </c:pt>
                <c:pt idx="190">
                  <c:v>1912.7776830518801</c:v>
                </c:pt>
                <c:pt idx="191">
                  <c:v>1910.83955466828</c:v>
                </c:pt>
                <c:pt idx="192">
                  <c:v>1955.5179895321598</c:v>
                </c:pt>
                <c:pt idx="193">
                  <c:v>1977.75727081426</c:v>
                </c:pt>
                <c:pt idx="194">
                  <c:v>1974.9594237306001</c:v>
                </c:pt>
                <c:pt idx="195">
                  <c:v>1875.2055000989001</c:v>
                </c:pt>
                <c:pt idx="196">
                  <c:v>1882.17281246062</c:v>
                </c:pt>
                <c:pt idx="197">
                  <c:v>1878.7998003561499</c:v>
                </c:pt>
                <c:pt idx="198">
                  <c:v>1942.2405420960902</c:v>
                </c:pt>
                <c:pt idx="199">
                  <c:v>1939.0400708645598</c:v>
                </c:pt>
                <c:pt idx="200">
                  <c:v>1921.7716289861401</c:v>
                </c:pt>
                <c:pt idx="201">
                  <c:v>1867.77783053654</c:v>
                </c:pt>
                <c:pt idx="202">
                  <c:v>1864.1364754761501</c:v>
                </c:pt>
                <c:pt idx="203">
                  <c:v>1962.5925878993498</c:v>
                </c:pt>
                <c:pt idx="204">
                  <c:v>1927.0713480873899</c:v>
                </c:pt>
                <c:pt idx="205">
                  <c:v>1911.3977987982501</c:v>
                </c:pt>
                <c:pt idx="206">
                  <c:v>1917.4218156939601</c:v>
                </c:pt>
                <c:pt idx="207">
                  <c:v>1864.3125825450302</c:v>
                </c:pt>
                <c:pt idx="208">
                  <c:v>1959.7448807186997</c:v>
                </c:pt>
                <c:pt idx="209">
                  <c:v>2031.6102855612698</c:v>
                </c:pt>
                <c:pt idx="210">
                  <c:v>1999.4208587727701</c:v>
                </c:pt>
                <c:pt idx="211">
                  <c:v>1914.2457351458499</c:v>
                </c:pt>
                <c:pt idx="212">
                  <c:v>1842.27264417079</c:v>
                </c:pt>
                <c:pt idx="213">
                  <c:v>1958.0144333314497</c:v>
                </c:pt>
                <c:pt idx="214">
                  <c:v>1806.2521339923301</c:v>
                </c:pt>
                <c:pt idx="215">
                  <c:v>2061.1396351029698</c:v>
                </c:pt>
                <c:pt idx="216">
                  <c:v>2064.8023006271301</c:v>
                </c:pt>
                <c:pt idx="217">
                  <c:v>1984.3878621674903</c:v>
                </c:pt>
                <c:pt idx="218">
                  <c:v>2057.5010598378299</c:v>
                </c:pt>
                <c:pt idx="219">
                  <c:v>2066.2842657042402</c:v>
                </c:pt>
                <c:pt idx="220">
                  <c:v>2013.5403283560902</c:v>
                </c:pt>
                <c:pt idx="221">
                  <c:v>1887.7930389661101</c:v>
                </c:pt>
                <c:pt idx="222">
                  <c:v>1875.7682265159201</c:v>
                </c:pt>
                <c:pt idx="223">
                  <c:v>1833.14405484484</c:v>
                </c:pt>
                <c:pt idx="224">
                  <c:v>1968.96485355103</c:v>
                </c:pt>
                <c:pt idx="225">
                  <c:v>1918.00165616552</c:v>
                </c:pt>
                <c:pt idx="226">
                  <c:v>1981.4540841492701</c:v>
                </c:pt>
                <c:pt idx="227">
                  <c:v>1978.8537942911701</c:v>
                </c:pt>
                <c:pt idx="228">
                  <c:v>1919.2669659111602</c:v>
                </c:pt>
                <c:pt idx="229">
                  <c:v>1848.37150276643</c:v>
                </c:pt>
                <c:pt idx="230">
                  <c:v>1882.0433797370501</c:v>
                </c:pt>
                <c:pt idx="231">
                  <c:v>1842.77480754359</c:v>
                </c:pt>
                <c:pt idx="232">
                  <c:v>1860.1169773643799</c:v>
                </c:pt>
                <c:pt idx="233">
                  <c:v>1879.61911268528</c:v>
                </c:pt>
                <c:pt idx="234">
                  <c:v>1879.15748148227</c:v>
                </c:pt>
                <c:pt idx="235">
                  <c:v>1887.39774482965</c:v>
                </c:pt>
                <c:pt idx="236">
                  <c:v>1909.1711239593799</c:v>
                </c:pt>
                <c:pt idx="237">
                  <c:v>1891.50205039656</c:v>
                </c:pt>
                <c:pt idx="238">
                  <c:v>1905.83434234432</c:v>
                </c:pt>
                <c:pt idx="239">
                  <c:v>1975.1164247558302</c:v>
                </c:pt>
                <c:pt idx="240">
                  <c:v>1963.3135542006301</c:v>
                </c:pt>
                <c:pt idx="241">
                  <c:v>1960.05646144712</c:v>
                </c:pt>
                <c:pt idx="242">
                  <c:v>1943.2451824673599</c:v>
                </c:pt>
                <c:pt idx="243">
                  <c:v>1924.7875663231798</c:v>
                </c:pt>
                <c:pt idx="244">
                  <c:v>1960.0685695786299</c:v>
                </c:pt>
                <c:pt idx="245">
                  <c:v>1995.4117520099198</c:v>
                </c:pt>
                <c:pt idx="246">
                  <c:v>1995.9876472598298</c:v>
                </c:pt>
                <c:pt idx="247">
                  <c:v>1962.3395186964101</c:v>
                </c:pt>
                <c:pt idx="248">
                  <c:v>1967.1460511880002</c:v>
                </c:pt>
                <c:pt idx="249">
                  <c:v>1930.7761434557899</c:v>
                </c:pt>
                <c:pt idx="250">
                  <c:v>1974.3646774222398</c:v>
                </c:pt>
                <c:pt idx="251">
                  <c:v>1948.6880285616799</c:v>
                </c:pt>
                <c:pt idx="252">
                  <c:v>1932.9626701919001</c:v>
                </c:pt>
                <c:pt idx="253">
                  <c:v>1924.30167269196</c:v>
                </c:pt>
                <c:pt idx="254">
                  <c:v>1846.42947894751</c:v>
                </c:pt>
                <c:pt idx="255">
                  <c:v>1853.56128887213</c:v>
                </c:pt>
                <c:pt idx="256">
                  <c:v>1826.63597366863</c:v>
                </c:pt>
                <c:pt idx="257">
                  <c:v>1871.4894800265799</c:v>
                </c:pt>
                <c:pt idx="258">
                  <c:v>1921.8909656204203</c:v>
                </c:pt>
                <c:pt idx="259">
                  <c:v>1901.0165026782599</c:v>
                </c:pt>
                <c:pt idx="260">
                  <c:v>1831.74894195241</c:v>
                </c:pt>
                <c:pt idx="261">
                  <c:v>1847.2563004109099</c:v>
                </c:pt>
                <c:pt idx="262">
                  <c:v>1857.0159029014001</c:v>
                </c:pt>
                <c:pt idx="263">
                  <c:v>1871.4170988139701</c:v>
                </c:pt>
                <c:pt idx="264">
                  <c:v>1860.76711917488</c:v>
                </c:pt>
                <c:pt idx="265">
                  <c:v>1851.56257115474</c:v>
                </c:pt>
                <c:pt idx="266">
                  <c:v>1825.5950531528902</c:v>
                </c:pt>
                <c:pt idx="267">
                  <c:v>1859.0813235866301</c:v>
                </c:pt>
                <c:pt idx="268">
                  <c:v>1839.98853837912</c:v>
                </c:pt>
                <c:pt idx="269">
                  <c:v>1836.89523377196</c:v>
                </c:pt>
                <c:pt idx="270">
                  <c:v>1846.3354055280799</c:v>
                </c:pt>
                <c:pt idx="271">
                  <c:v>1804.3533983754101</c:v>
                </c:pt>
                <c:pt idx="272">
                  <c:v>1824.23059246394</c:v>
                </c:pt>
                <c:pt idx="273">
                  <c:v>1830.83901730772</c:v>
                </c:pt>
                <c:pt idx="274">
                  <c:v>1835.36029604853</c:v>
                </c:pt>
                <c:pt idx="275">
                  <c:v>1785.0976186622199</c:v>
                </c:pt>
                <c:pt idx="276">
                  <c:v>1897.76646702275</c:v>
                </c:pt>
                <c:pt idx="277">
                  <c:v>1871.2548211299002</c:v>
                </c:pt>
                <c:pt idx="278">
                  <c:v>1872.0127070630601</c:v>
                </c:pt>
                <c:pt idx="279">
                  <c:v>1844.17644741812</c:v>
                </c:pt>
                <c:pt idx="280">
                  <c:v>1847.9605388586599</c:v>
                </c:pt>
                <c:pt idx="281">
                  <c:v>1852.8719994964199</c:v>
                </c:pt>
                <c:pt idx="282">
                  <c:v>1862.6565693627899</c:v>
                </c:pt>
                <c:pt idx="283">
                  <c:v>1916.09756650296</c:v>
                </c:pt>
                <c:pt idx="284">
                  <c:v>1938.88513822187</c:v>
                </c:pt>
                <c:pt idx="285">
                  <c:v>1934.7148851598001</c:v>
                </c:pt>
                <c:pt idx="286">
                  <c:v>1959.6894620406702</c:v>
                </c:pt>
                <c:pt idx="287">
                  <c:v>1886.9096296696</c:v>
                </c:pt>
                <c:pt idx="288">
                  <c:v>1912.9130469972299</c:v>
                </c:pt>
                <c:pt idx="289">
                  <c:v>1897.36902462278</c:v>
                </c:pt>
                <c:pt idx="290">
                  <c:v>1892.1063130631601</c:v>
                </c:pt>
                <c:pt idx="291">
                  <c:v>1824.0811435457299</c:v>
                </c:pt>
                <c:pt idx="292">
                  <c:v>1824.7767136099499</c:v>
                </c:pt>
                <c:pt idx="293">
                  <c:v>1815.6765514563799</c:v>
                </c:pt>
                <c:pt idx="294">
                  <c:v>1838.9002630259301</c:v>
                </c:pt>
                <c:pt idx="295">
                  <c:v>1828.6870939600601</c:v>
                </c:pt>
                <c:pt idx="296">
                  <c:v>1826.5812908722901</c:v>
                </c:pt>
                <c:pt idx="297">
                  <c:v>1837.3277120560701</c:v>
                </c:pt>
                <c:pt idx="298">
                  <c:v>1808.0362505896301</c:v>
                </c:pt>
                <c:pt idx="299">
                  <c:v>1806.6227512953301</c:v>
                </c:pt>
                <c:pt idx="300">
                  <c:v>1808.79719753064</c:v>
                </c:pt>
                <c:pt idx="301">
                  <c:v>1829.65474254642</c:v>
                </c:pt>
                <c:pt idx="302">
                  <c:v>1889.31522166223</c:v>
                </c:pt>
                <c:pt idx="303">
                  <c:v>1913.65193659941</c:v>
                </c:pt>
                <c:pt idx="304">
                  <c:v>1903.02910988439</c:v>
                </c:pt>
                <c:pt idx="305">
                  <c:v>1954.3353530504401</c:v>
                </c:pt>
                <c:pt idx="306">
                  <c:v>1896.46962334762</c:v>
                </c:pt>
                <c:pt idx="307">
                  <c:v>1794.2962032518599</c:v>
                </c:pt>
                <c:pt idx="308">
                  <c:v>1862.2436170951801</c:v>
                </c:pt>
                <c:pt idx="309">
                  <c:v>1889.9171994234598</c:v>
                </c:pt>
                <c:pt idx="310">
                  <c:v>1910.4593063626901</c:v>
                </c:pt>
                <c:pt idx="311">
                  <c:v>1854.7715108024302</c:v>
                </c:pt>
                <c:pt idx="312">
                  <c:v>1863.8341025382699</c:v>
                </c:pt>
                <c:pt idx="313">
                  <c:v>1863.8154303118699</c:v>
                </c:pt>
                <c:pt idx="314">
                  <c:v>1863.63104259903</c:v>
                </c:pt>
                <c:pt idx="315">
                  <c:v>1843.76576181827</c:v>
                </c:pt>
                <c:pt idx="316">
                  <c:v>1888.0042949772901</c:v>
                </c:pt>
                <c:pt idx="317">
                  <c:v>1857.63685443648</c:v>
                </c:pt>
                <c:pt idx="318">
                  <c:v>1876.1444243712801</c:v>
                </c:pt>
                <c:pt idx="319">
                  <c:v>1853.3351465021399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D-094B-9B31-057E7585D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D-2D40-BB2E-D7AA7BE01C93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'240828A002'!$A$2:$A$321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'240828A002'!$P$2:$P$321</c:f>
              <c:numCache>
                <c:formatCode>General</c:formatCode>
                <c:ptCount val="320"/>
                <c:pt idx="0">
                  <c:v>-5.0013307028299172</c:v>
                </c:pt>
                <c:pt idx="1">
                  <c:v>-4.333285311135251</c:v>
                </c:pt>
                <c:pt idx="2">
                  <c:v>-4.9646635638377115</c:v>
                </c:pt>
                <c:pt idx="3">
                  <c:v>-4.0706860677792127</c:v>
                </c:pt>
                <c:pt idx="4">
                  <c:v>-1.9263025632546928</c:v>
                </c:pt>
                <c:pt idx="5">
                  <c:v>-2.4591956598545681</c:v>
                </c:pt>
                <c:pt idx="6">
                  <c:v>-3.0243717415999862</c:v>
                </c:pt>
                <c:pt idx="7">
                  <c:v>-3.3869117340741837</c:v>
                </c:pt>
                <c:pt idx="8">
                  <c:v>5.8746510719544407</c:v>
                </c:pt>
                <c:pt idx="9">
                  <c:v>5.0790929194767775</c:v>
                </c:pt>
                <c:pt idx="10">
                  <c:v>20.497092791578989</c:v>
                </c:pt>
                <c:pt idx="11">
                  <c:v>-1.9962889489793079</c:v>
                </c:pt>
                <c:pt idx="12">
                  <c:v>-4.1540323674597897</c:v>
                </c:pt>
                <c:pt idx="13">
                  <c:v>-2.9996141811506125</c:v>
                </c:pt>
                <c:pt idx="14">
                  <c:v>-3.4442653170067214</c:v>
                </c:pt>
                <c:pt idx="15">
                  <c:v>-2.9913541403022745</c:v>
                </c:pt>
                <c:pt idx="16">
                  <c:v>-3.0099793424371053</c:v>
                </c:pt>
                <c:pt idx="17">
                  <c:v>-3.1483924440832944</c:v>
                </c:pt>
                <c:pt idx="18">
                  <c:v>-4.2890150269258021</c:v>
                </c:pt>
                <c:pt idx="19">
                  <c:v>-4.1802003281810469</c:v>
                </c:pt>
                <c:pt idx="20">
                  <c:v>-4.0211565306696526</c:v>
                </c:pt>
                <c:pt idx="21">
                  <c:v>-3.5900222144323042</c:v>
                </c:pt>
                <c:pt idx="22">
                  <c:v>-3.4276576950595072</c:v>
                </c:pt>
                <c:pt idx="23">
                  <c:v>-3.5873207591627239</c:v>
                </c:pt>
                <c:pt idx="24">
                  <c:v>-3.1286536180406666</c:v>
                </c:pt>
                <c:pt idx="25">
                  <c:v>-2.2536256385947251</c:v>
                </c:pt>
                <c:pt idx="26">
                  <c:v>-2.2975364584942337</c:v>
                </c:pt>
                <c:pt idx="27">
                  <c:v>-2.9949048289854066</c:v>
                </c:pt>
                <c:pt idx="28">
                  <c:v>-2.573887120498255</c:v>
                </c:pt>
                <c:pt idx="29">
                  <c:v>-1.8024194468740158</c:v>
                </c:pt>
                <c:pt idx="30">
                  <c:v>-2.2219596788514129</c:v>
                </c:pt>
                <c:pt idx="31">
                  <c:v>-1.832759726043838</c:v>
                </c:pt>
                <c:pt idx="32">
                  <c:v>-1.9765450336375774</c:v>
                </c:pt>
                <c:pt idx="33">
                  <c:v>-1.6508125912944456</c:v>
                </c:pt>
                <c:pt idx="34">
                  <c:v>-1.394527879475862</c:v>
                </c:pt>
                <c:pt idx="35">
                  <c:v>-1.5891868910412321</c:v>
                </c:pt>
                <c:pt idx="36">
                  <c:v>-1.760244792947846</c:v>
                </c:pt>
                <c:pt idx="37">
                  <c:v>-1.5354946247933769</c:v>
                </c:pt>
                <c:pt idx="38">
                  <c:v>-1.232833477347836</c:v>
                </c:pt>
                <c:pt idx="39">
                  <c:v>-1.4019580367136255</c:v>
                </c:pt>
                <c:pt idx="40">
                  <c:v>-1.3556697189104541</c:v>
                </c:pt>
                <c:pt idx="41">
                  <c:v>-1.1774050898673054</c:v>
                </c:pt>
                <c:pt idx="42">
                  <c:v>-1.3973967223090822</c:v>
                </c:pt>
                <c:pt idx="43">
                  <c:v>-1.0761940037123343</c:v>
                </c:pt>
                <c:pt idx="44">
                  <c:v>-0.8147821267937958</c:v>
                </c:pt>
                <c:pt idx="45">
                  <c:v>-0.96129566876322214</c:v>
                </c:pt>
                <c:pt idx="46">
                  <c:v>-0.70845691098392194</c:v>
                </c:pt>
                <c:pt idx="47">
                  <c:v>-0.71574580910684871</c:v>
                </c:pt>
                <c:pt idx="48">
                  <c:v>-0.81999492776328819</c:v>
                </c:pt>
                <c:pt idx="49">
                  <c:v>-0.6948140732550705</c:v>
                </c:pt>
                <c:pt idx="50">
                  <c:v>-0.15702370764399046</c:v>
                </c:pt>
                <c:pt idx="51">
                  <c:v>-7.0458370724637551E-2</c:v>
                </c:pt>
                <c:pt idx="52">
                  <c:v>-0.43468735132476982</c:v>
                </c:pt>
                <c:pt idx="53">
                  <c:v>-0.2206968868012579</c:v>
                </c:pt>
                <c:pt idx="54">
                  <c:v>-0.14214597947685431</c:v>
                </c:pt>
                <c:pt idx="55">
                  <c:v>-9.6332272619766929E-2</c:v>
                </c:pt>
                <c:pt idx="56">
                  <c:v>-0.22613955461972288</c:v>
                </c:pt>
                <c:pt idx="57">
                  <c:v>5.8282591538164945E-2</c:v>
                </c:pt>
                <c:pt idx="58">
                  <c:v>1.5694094538325119E-2</c:v>
                </c:pt>
                <c:pt idx="59">
                  <c:v>1.060320358380008</c:v>
                </c:pt>
                <c:pt idx="60">
                  <c:v>0.1205614183394048</c:v>
                </c:pt>
                <c:pt idx="61">
                  <c:v>0.38506248424487888</c:v>
                </c:pt>
                <c:pt idx="62">
                  <c:v>0.39907979755779838</c:v>
                </c:pt>
                <c:pt idx="63">
                  <c:v>-0.93885444355954506</c:v>
                </c:pt>
                <c:pt idx="64">
                  <c:v>-0.18874010034761135</c:v>
                </c:pt>
                <c:pt idx="65">
                  <c:v>0.4123977068165553</c:v>
                </c:pt>
                <c:pt idx="66">
                  <c:v>0.70829706611473675</c:v>
                </c:pt>
                <c:pt idx="67">
                  <c:v>-0.50615504759410146</c:v>
                </c:pt>
                <c:pt idx="68">
                  <c:v>-0.22112034441285877</c:v>
                </c:pt>
                <c:pt idx="69">
                  <c:v>-0.25911093284510878</c:v>
                </c:pt>
                <c:pt idx="70">
                  <c:v>0.3003252790775886</c:v>
                </c:pt>
                <c:pt idx="71">
                  <c:v>0.42945040484549124</c:v>
                </c:pt>
                <c:pt idx="72">
                  <c:v>-0.29226970772941746</c:v>
                </c:pt>
                <c:pt idx="73">
                  <c:v>-0.17868360738948041</c:v>
                </c:pt>
                <c:pt idx="74">
                  <c:v>-0.61293069767106512</c:v>
                </c:pt>
                <c:pt idx="75">
                  <c:v>0.21695624923014534</c:v>
                </c:pt>
                <c:pt idx="76">
                  <c:v>-3.6420708822925245E-2</c:v>
                </c:pt>
                <c:pt idx="77">
                  <c:v>0.48980213621654545</c:v>
                </c:pt>
                <c:pt idx="78">
                  <c:v>0.26372387064304892</c:v>
                </c:pt>
                <c:pt idx="79">
                  <c:v>-0.49137082271383414</c:v>
                </c:pt>
                <c:pt idx="80">
                  <c:v>-0.97986362946981331</c:v>
                </c:pt>
                <c:pt idx="81">
                  <c:v>-3.8172546596549263E-2</c:v>
                </c:pt>
                <c:pt idx="82">
                  <c:v>-0.56146154508293955</c:v>
                </c:pt>
                <c:pt idx="83">
                  <c:v>-1.3085022943170057</c:v>
                </c:pt>
                <c:pt idx="84">
                  <c:v>-0.59688273481123688</c:v>
                </c:pt>
                <c:pt idx="85">
                  <c:v>-0.30913845587582833</c:v>
                </c:pt>
                <c:pt idx="86">
                  <c:v>-0.4401490286808899</c:v>
                </c:pt>
                <c:pt idx="87">
                  <c:v>-0.19699415481408325</c:v>
                </c:pt>
                <c:pt idx="88">
                  <c:v>-0.8697506523556473</c:v>
                </c:pt>
                <c:pt idx="89">
                  <c:v>-0.52873497269617775</c:v>
                </c:pt>
                <c:pt idx="90">
                  <c:v>-0.39477232289041531</c:v>
                </c:pt>
                <c:pt idx="91">
                  <c:v>-0.37216659545166197</c:v>
                </c:pt>
                <c:pt idx="92">
                  <c:v>7.8370467356284973E-2</c:v>
                </c:pt>
                <c:pt idx="93">
                  <c:v>0.24351247967068249</c:v>
                </c:pt>
                <c:pt idx="94">
                  <c:v>5.0278641220185705</c:v>
                </c:pt>
                <c:pt idx="95">
                  <c:v>2.7239686221504766</c:v>
                </c:pt>
                <c:pt idx="96">
                  <c:v>3.8644191263095387</c:v>
                </c:pt>
                <c:pt idx="97">
                  <c:v>3.7783463872297625</c:v>
                </c:pt>
                <c:pt idx="98">
                  <c:v>3.2759904238744446</c:v>
                </c:pt>
                <c:pt idx="99">
                  <c:v>3.2765841342710456</c:v>
                </c:pt>
                <c:pt idx="100">
                  <c:v>2.7717051249624336</c:v>
                </c:pt>
                <c:pt idx="101">
                  <c:v>2.973836114208948</c:v>
                </c:pt>
                <c:pt idx="102">
                  <c:v>2.6499737421026164</c:v>
                </c:pt>
                <c:pt idx="103">
                  <c:v>2.3778770095867587</c:v>
                </c:pt>
                <c:pt idx="104">
                  <c:v>1.6868225678279143</c:v>
                </c:pt>
                <c:pt idx="105">
                  <c:v>2.7732189385828607</c:v>
                </c:pt>
                <c:pt idx="106">
                  <c:v>2.2532098189900935</c:v>
                </c:pt>
                <c:pt idx="107">
                  <c:v>3.0494566182122487</c:v>
                </c:pt>
                <c:pt idx="108">
                  <c:v>2.9148454181675434</c:v>
                </c:pt>
                <c:pt idx="109">
                  <c:v>2.1569160289214984</c:v>
                </c:pt>
                <c:pt idx="110">
                  <c:v>2.2063826759440812</c:v>
                </c:pt>
                <c:pt idx="111">
                  <c:v>2.1660918781938605</c:v>
                </c:pt>
                <c:pt idx="112">
                  <c:v>1.5434198809055395</c:v>
                </c:pt>
                <c:pt idx="113">
                  <c:v>1.6424796536866852</c:v>
                </c:pt>
                <c:pt idx="114">
                  <c:v>1.8675806340714733</c:v>
                </c:pt>
                <c:pt idx="115">
                  <c:v>2.0023451058606896</c:v>
                </c:pt>
                <c:pt idx="116">
                  <c:v>1.6261994834366647</c:v>
                </c:pt>
                <c:pt idx="117">
                  <c:v>2.1216715552317864</c:v>
                </c:pt>
                <c:pt idx="118">
                  <c:v>1.9386725146254884</c:v>
                </c:pt>
                <c:pt idx="119">
                  <c:v>2.4453580615313086</c:v>
                </c:pt>
                <c:pt idx="120">
                  <c:v>1.6397645011958857</c:v>
                </c:pt>
                <c:pt idx="121">
                  <c:v>1.3853134529724338</c:v>
                </c:pt>
                <c:pt idx="122">
                  <c:v>1.5504509424507118</c:v>
                </c:pt>
                <c:pt idx="123">
                  <c:v>1.0451933471184012</c:v>
                </c:pt>
                <c:pt idx="124">
                  <c:v>1.4966909417955294</c:v>
                </c:pt>
                <c:pt idx="125">
                  <c:v>1.8389698301397084</c:v>
                </c:pt>
                <c:pt idx="126">
                  <c:v>1.3085857765283344</c:v>
                </c:pt>
                <c:pt idx="127">
                  <c:v>1.2092951824579283</c:v>
                </c:pt>
                <c:pt idx="128">
                  <c:v>1.5230405066373471</c:v>
                </c:pt>
                <c:pt idx="129">
                  <c:v>1.856949958827657</c:v>
                </c:pt>
                <c:pt idx="130">
                  <c:v>-0.25062243867766598</c:v>
                </c:pt>
                <c:pt idx="131">
                  <c:v>0.64908619508739673</c:v>
                </c:pt>
                <c:pt idx="132">
                  <c:v>0.89865475460508759</c:v>
                </c:pt>
                <c:pt idx="133">
                  <c:v>1.6273158518201998</c:v>
                </c:pt>
                <c:pt idx="134">
                  <c:v>1.5889402201705687</c:v>
                </c:pt>
                <c:pt idx="135">
                  <c:v>1.2491478390932917</c:v>
                </c:pt>
                <c:pt idx="136">
                  <c:v>2.2865699015787873</c:v>
                </c:pt>
                <c:pt idx="137">
                  <c:v>-0.97555407566888475</c:v>
                </c:pt>
                <c:pt idx="138">
                  <c:v>-0.95815937475698076</c:v>
                </c:pt>
                <c:pt idx="139">
                  <c:v>1.6451971256144868E-2</c:v>
                </c:pt>
                <c:pt idx="140">
                  <c:v>-1.6293923949853726</c:v>
                </c:pt>
                <c:pt idx="141">
                  <c:v>-2.424201532125061</c:v>
                </c:pt>
                <c:pt idx="142">
                  <c:v>-4.5876755218474434</c:v>
                </c:pt>
                <c:pt idx="143">
                  <c:v>-4.0879139559297331</c:v>
                </c:pt>
                <c:pt idx="144">
                  <c:v>-3.5404063828935768</c:v>
                </c:pt>
                <c:pt idx="145">
                  <c:v>-2.5057588881120898</c:v>
                </c:pt>
                <c:pt idx="146">
                  <c:v>-0.72988191025431992</c:v>
                </c:pt>
                <c:pt idx="147">
                  <c:v>-2.6256992470940115</c:v>
                </c:pt>
                <c:pt idx="148">
                  <c:v>-2.1270634517498612</c:v>
                </c:pt>
                <c:pt idx="149">
                  <c:v>0.29179577608884777</c:v>
                </c:pt>
                <c:pt idx="150">
                  <c:v>-2.7295582564777829</c:v>
                </c:pt>
                <c:pt idx="151">
                  <c:v>-1.0939950236900313</c:v>
                </c:pt>
                <c:pt idx="152">
                  <c:v>2.0300857580888283</c:v>
                </c:pt>
                <c:pt idx="153">
                  <c:v>1.3008613365237005</c:v>
                </c:pt>
                <c:pt idx="154">
                  <c:v>2.4316625296106187</c:v>
                </c:pt>
                <c:pt idx="155">
                  <c:v>0.99857666590529026</c:v>
                </c:pt>
                <c:pt idx="156">
                  <c:v>2.1236949307523947</c:v>
                </c:pt>
                <c:pt idx="157">
                  <c:v>3.8387998540705799</c:v>
                </c:pt>
                <c:pt idx="158">
                  <c:v>2.5421984829868469</c:v>
                </c:pt>
                <c:pt idx="159">
                  <c:v>4.4162968305944315</c:v>
                </c:pt>
                <c:pt idx="160">
                  <c:v>7.5372160330790612</c:v>
                </c:pt>
                <c:pt idx="161">
                  <c:v>7.5019463927076995</c:v>
                </c:pt>
                <c:pt idx="162">
                  <c:v>6.416358365576853</c:v>
                </c:pt>
                <c:pt idx="163">
                  <c:v>14.247848792371906</c:v>
                </c:pt>
                <c:pt idx="164">
                  <c:v>2.9043257592692542</c:v>
                </c:pt>
                <c:pt idx="165">
                  <c:v>2.2206760999543862</c:v>
                </c:pt>
                <c:pt idx="166">
                  <c:v>6.6857701688156093</c:v>
                </c:pt>
                <c:pt idx="167">
                  <c:v>3.1806352359621828</c:v>
                </c:pt>
                <c:pt idx="168">
                  <c:v>3.8890622643144628</c:v>
                </c:pt>
                <c:pt idx="169">
                  <c:v>1.1279839315965978</c:v>
                </c:pt>
                <c:pt idx="170">
                  <c:v>1.6249221182675107</c:v>
                </c:pt>
                <c:pt idx="171">
                  <c:v>3.4110119280446014</c:v>
                </c:pt>
                <c:pt idx="172">
                  <c:v>8.1041442377732746</c:v>
                </c:pt>
                <c:pt idx="173">
                  <c:v>4.6628385396809096</c:v>
                </c:pt>
                <c:pt idx="174">
                  <c:v>8.3744809738220756</c:v>
                </c:pt>
                <c:pt idx="175">
                  <c:v>11.030032243181328</c:v>
                </c:pt>
                <c:pt idx="176">
                  <c:v>5.7507806038845866</c:v>
                </c:pt>
                <c:pt idx="177">
                  <c:v>2.2041558277431763</c:v>
                </c:pt>
                <c:pt idx="178">
                  <c:v>8.1311347625657646</c:v>
                </c:pt>
                <c:pt idx="179">
                  <c:v>11.235133627957529</c:v>
                </c:pt>
                <c:pt idx="180">
                  <c:v>11.075524357122829</c:v>
                </c:pt>
                <c:pt idx="181">
                  <c:v>8.3869825472715771</c:v>
                </c:pt>
                <c:pt idx="182">
                  <c:v>8.8657377011948135</c:v>
                </c:pt>
                <c:pt idx="183">
                  <c:v>7.49092234693709</c:v>
                </c:pt>
                <c:pt idx="184">
                  <c:v>1.2331552933424474</c:v>
                </c:pt>
                <c:pt idx="185">
                  <c:v>3.1983778688719253</c:v>
                </c:pt>
                <c:pt idx="186">
                  <c:v>3.2016014915474997</c:v>
                </c:pt>
                <c:pt idx="187">
                  <c:v>7.4394719623008481</c:v>
                </c:pt>
                <c:pt idx="188">
                  <c:v>7.7318351426252301</c:v>
                </c:pt>
                <c:pt idx="189">
                  <c:v>7.034765774438263</c:v>
                </c:pt>
                <c:pt idx="190">
                  <c:v>7.5947840765703338</c:v>
                </c:pt>
                <c:pt idx="191">
                  <c:v>8.0742347481738896</c:v>
                </c:pt>
                <c:pt idx="192">
                  <c:v>5.4154449831743783</c:v>
                </c:pt>
                <c:pt idx="193">
                  <c:v>4.5680434037994075</c:v>
                </c:pt>
                <c:pt idx="194">
                  <c:v>3.7891572435203145</c:v>
                </c:pt>
                <c:pt idx="195">
                  <c:v>4.0326688264241204</c:v>
                </c:pt>
                <c:pt idx="196">
                  <c:v>4.9823357874775072</c:v>
                </c:pt>
                <c:pt idx="197">
                  <c:v>4.0542011563960214</c:v>
                </c:pt>
                <c:pt idx="198">
                  <c:v>4.1767874841710899</c:v>
                </c:pt>
                <c:pt idx="199">
                  <c:v>2.2722636076691813</c:v>
                </c:pt>
                <c:pt idx="200">
                  <c:v>1.674529043915592</c:v>
                </c:pt>
                <c:pt idx="201">
                  <c:v>-0.9415900711062366</c:v>
                </c:pt>
                <c:pt idx="202">
                  <c:v>-0.20339874713052009</c:v>
                </c:pt>
                <c:pt idx="203">
                  <c:v>1.3842558309161372</c:v>
                </c:pt>
                <c:pt idx="204">
                  <c:v>2.4424367983813915</c:v>
                </c:pt>
                <c:pt idx="205">
                  <c:v>2.0105318462179538</c:v>
                </c:pt>
                <c:pt idx="206">
                  <c:v>1.9075153307893566</c:v>
                </c:pt>
                <c:pt idx="207">
                  <c:v>6.0924820592939648</c:v>
                </c:pt>
                <c:pt idx="208">
                  <c:v>3.2894253397604558</c:v>
                </c:pt>
                <c:pt idx="209">
                  <c:v>4.6561468087923279</c:v>
                </c:pt>
                <c:pt idx="210">
                  <c:v>6.2369827085735983</c:v>
                </c:pt>
                <c:pt idx="211">
                  <c:v>8.2710646253569546</c:v>
                </c:pt>
                <c:pt idx="212">
                  <c:v>16.608215035946252</c:v>
                </c:pt>
                <c:pt idx="213">
                  <c:v>7.0927942532262689</c:v>
                </c:pt>
                <c:pt idx="214">
                  <c:v>10.815199274047641</c:v>
                </c:pt>
                <c:pt idx="215">
                  <c:v>4.3180295961599189</c:v>
                </c:pt>
                <c:pt idx="216">
                  <c:v>3.6860941273859913</c:v>
                </c:pt>
                <c:pt idx="217">
                  <c:v>2.4615395083636167</c:v>
                </c:pt>
                <c:pt idx="218">
                  <c:v>3.4615390307083866</c:v>
                </c:pt>
                <c:pt idx="219">
                  <c:v>5.3859198696740762</c:v>
                </c:pt>
                <c:pt idx="220">
                  <c:v>6.3246857295200867</c:v>
                </c:pt>
                <c:pt idx="221">
                  <c:v>12.446804944678203</c:v>
                </c:pt>
                <c:pt idx="222">
                  <c:v>10.469808443645643</c:v>
                </c:pt>
                <c:pt idx="223">
                  <c:v>9.8576063090974184</c:v>
                </c:pt>
                <c:pt idx="224">
                  <c:v>7.0355010040683856</c:v>
                </c:pt>
                <c:pt idx="225">
                  <c:v>6.6262635826705454</c:v>
                </c:pt>
                <c:pt idx="226">
                  <c:v>7.7732970713703535</c:v>
                </c:pt>
                <c:pt idx="227">
                  <c:v>6.0314030194883799</c:v>
                </c:pt>
                <c:pt idx="228">
                  <c:v>8.269655939400959</c:v>
                </c:pt>
                <c:pt idx="229">
                  <c:v>4.1597628933588009</c:v>
                </c:pt>
                <c:pt idx="230">
                  <c:v>6.3466687192820821</c:v>
                </c:pt>
                <c:pt idx="231">
                  <c:v>6.9829140273518036</c:v>
                </c:pt>
                <c:pt idx="232">
                  <c:v>8.7771502668535408</c:v>
                </c:pt>
                <c:pt idx="233">
                  <c:v>7.0122753184344884</c:v>
                </c:pt>
                <c:pt idx="234">
                  <c:v>5.4655621275505357</c:v>
                </c:pt>
                <c:pt idx="235">
                  <c:v>5.0332988016647313</c:v>
                </c:pt>
                <c:pt idx="236">
                  <c:v>6.4303866355090058</c:v>
                </c:pt>
                <c:pt idx="237">
                  <c:v>9.8338535598053234</c:v>
                </c:pt>
                <c:pt idx="238">
                  <c:v>8.8203218599331166</c:v>
                </c:pt>
                <c:pt idx="239">
                  <c:v>8.033160095460735</c:v>
                </c:pt>
                <c:pt idx="240">
                  <c:v>4.6455809953490625</c:v>
                </c:pt>
                <c:pt idx="241">
                  <c:v>5.8344679687322083</c:v>
                </c:pt>
                <c:pt idx="242">
                  <c:v>5.0388627681964069</c:v>
                </c:pt>
                <c:pt idx="243">
                  <c:v>4.9548484985748491</c:v>
                </c:pt>
                <c:pt idx="244">
                  <c:v>4.8036589468350233</c:v>
                </c:pt>
                <c:pt idx="245">
                  <c:v>2.8021197329437317</c:v>
                </c:pt>
                <c:pt idx="246">
                  <c:v>3.5328980607763287</c:v>
                </c:pt>
                <c:pt idx="247">
                  <c:v>8.1384596196947054</c:v>
                </c:pt>
                <c:pt idx="248">
                  <c:v>5.3917228075165227</c:v>
                </c:pt>
                <c:pt idx="249">
                  <c:v>3.6117399886163284</c:v>
                </c:pt>
                <c:pt idx="250">
                  <c:v>1.4669441921553756</c:v>
                </c:pt>
                <c:pt idx="251">
                  <c:v>1.0339978272659018</c:v>
                </c:pt>
                <c:pt idx="252">
                  <c:v>3.3830234760107531</c:v>
                </c:pt>
                <c:pt idx="253">
                  <c:v>2.7253052676625185</c:v>
                </c:pt>
                <c:pt idx="254">
                  <c:v>0.68396887587159239</c:v>
                </c:pt>
                <c:pt idx="255">
                  <c:v>2.6504994089444591</c:v>
                </c:pt>
                <c:pt idx="256">
                  <c:v>1.1382192088056495</c:v>
                </c:pt>
                <c:pt idx="257">
                  <c:v>1.8776069703468821</c:v>
                </c:pt>
                <c:pt idx="258">
                  <c:v>1.8122986629895663</c:v>
                </c:pt>
                <c:pt idx="259">
                  <c:v>-0.34679109700120414</c:v>
                </c:pt>
                <c:pt idx="260">
                  <c:v>-1.8829864824090097</c:v>
                </c:pt>
                <c:pt idx="261">
                  <c:v>1.9423560056263101</c:v>
                </c:pt>
                <c:pt idx="262">
                  <c:v>-2.4521915385877883E-2</c:v>
                </c:pt>
                <c:pt idx="263">
                  <c:v>-1.327563909132317</c:v>
                </c:pt>
                <c:pt idx="264">
                  <c:v>1.1976708084896499</c:v>
                </c:pt>
                <c:pt idx="265">
                  <c:v>1.9880326629748177</c:v>
                </c:pt>
                <c:pt idx="266">
                  <c:v>9.2819010192745813E-2</c:v>
                </c:pt>
                <c:pt idx="267">
                  <c:v>-2.7127210245178786</c:v>
                </c:pt>
                <c:pt idx="268">
                  <c:v>-0.26472946292466598</c:v>
                </c:pt>
                <c:pt idx="269">
                  <c:v>-0.93973153285503186</c:v>
                </c:pt>
                <c:pt idx="270">
                  <c:v>-1.6551092780714867</c:v>
                </c:pt>
                <c:pt idx="271">
                  <c:v>-0.55997309725929223</c:v>
                </c:pt>
                <c:pt idx="272">
                  <c:v>-2.8685114190949137</c:v>
                </c:pt>
                <c:pt idx="273">
                  <c:v>-2.7951143828299663</c:v>
                </c:pt>
                <c:pt idx="274">
                  <c:v>-1.9465884387168793</c:v>
                </c:pt>
                <c:pt idx="275">
                  <c:v>-1.3396503648270597</c:v>
                </c:pt>
                <c:pt idx="276">
                  <c:v>-2.1131850723513654</c:v>
                </c:pt>
                <c:pt idx="277">
                  <c:v>-2.9045354011496713</c:v>
                </c:pt>
                <c:pt idx="278">
                  <c:v>-2.5734831044748137</c:v>
                </c:pt>
                <c:pt idx="279">
                  <c:v>-1.6964937703475018</c:v>
                </c:pt>
                <c:pt idx="280">
                  <c:v>-2.9868643254331553</c:v>
                </c:pt>
                <c:pt idx="281">
                  <c:v>-3.0344340512957775</c:v>
                </c:pt>
                <c:pt idx="282">
                  <c:v>-2.9377043225379715</c:v>
                </c:pt>
                <c:pt idx="283">
                  <c:v>-3.5933509810703734</c:v>
                </c:pt>
                <c:pt idx="284">
                  <c:v>-5.0696754416134073</c:v>
                </c:pt>
                <c:pt idx="285">
                  <c:v>-4.335380293760128</c:v>
                </c:pt>
                <c:pt idx="286">
                  <c:v>-4.3039645146662089</c:v>
                </c:pt>
                <c:pt idx="287">
                  <c:v>-2.8976913518434211</c:v>
                </c:pt>
                <c:pt idx="288">
                  <c:v>-3.7425542985767959</c:v>
                </c:pt>
                <c:pt idx="289">
                  <c:v>-3.6642176766074814</c:v>
                </c:pt>
                <c:pt idx="290">
                  <c:v>-4.1017478978966917</c:v>
                </c:pt>
                <c:pt idx="291">
                  <c:v>-3.9172801688986332</c:v>
                </c:pt>
                <c:pt idx="292">
                  <c:v>-1.7740058619978891</c:v>
                </c:pt>
                <c:pt idx="293">
                  <c:v>-1.9685634353360657</c:v>
                </c:pt>
                <c:pt idx="294">
                  <c:v>-1.615053337739198</c:v>
                </c:pt>
                <c:pt idx="295">
                  <c:v>-2.297634850294934</c:v>
                </c:pt>
                <c:pt idx="296">
                  <c:v>-2.976532821092627</c:v>
                </c:pt>
                <c:pt idx="297">
                  <c:v>-1.8693252730597028</c:v>
                </c:pt>
                <c:pt idx="298">
                  <c:v>0.56613658537680334</c:v>
                </c:pt>
                <c:pt idx="299">
                  <c:v>0.49203004114683729</c:v>
                </c:pt>
                <c:pt idx="300">
                  <c:v>0.88208365600887706</c:v>
                </c:pt>
                <c:pt idx="301">
                  <c:v>1.9067022432426934</c:v>
                </c:pt>
                <c:pt idx="302">
                  <c:v>1.6303151336499078</c:v>
                </c:pt>
                <c:pt idx="303">
                  <c:v>1.6092760441871368</c:v>
                </c:pt>
                <c:pt idx="304">
                  <c:v>-0.16385450931238107</c:v>
                </c:pt>
                <c:pt idx="305">
                  <c:v>-1.0470923403448087</c:v>
                </c:pt>
                <c:pt idx="306">
                  <c:v>-1.8793727495319397</c:v>
                </c:pt>
                <c:pt idx="307">
                  <c:v>-1.2605201917619937</c:v>
                </c:pt>
                <c:pt idx="308">
                  <c:v>-0.9410353445730022</c:v>
                </c:pt>
                <c:pt idx="309">
                  <c:v>0.61687381155465959</c:v>
                </c:pt>
                <c:pt idx="310">
                  <c:v>-1.5413425385835546</c:v>
                </c:pt>
                <c:pt idx="311">
                  <c:v>-0.92595836852992719</c:v>
                </c:pt>
                <c:pt idx="312">
                  <c:v>-1.3034795165860196</c:v>
                </c:pt>
                <c:pt idx="313">
                  <c:v>-1.0459810000170908</c:v>
                </c:pt>
                <c:pt idx="314">
                  <c:v>0.98911460962979647</c:v>
                </c:pt>
                <c:pt idx="315">
                  <c:v>0.11020003123038435</c:v>
                </c:pt>
                <c:pt idx="316">
                  <c:v>0.40635352291236393</c:v>
                </c:pt>
                <c:pt idx="317">
                  <c:v>0.77998035962592227</c:v>
                </c:pt>
                <c:pt idx="318">
                  <c:v>-8.914008533981066E-2</c:v>
                </c:pt>
                <c:pt idx="319">
                  <c:v>1.4141954335152604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D-2D40-BB2E-D7AA7BE0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'240828A005'!$A$2:$A$321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'240828A005'!$J$2:$J$321</c:f>
              <c:numCache>
                <c:formatCode>0.0</c:formatCode>
                <c:ptCount val="320"/>
                <c:pt idx="0">
                  <c:v>3000.0804650498098</c:v>
                </c:pt>
                <c:pt idx="1">
                  <c:v>2981.03642005555</c:v>
                </c:pt>
                <c:pt idx="2">
                  <c:v>2920.7177751919003</c:v>
                </c:pt>
                <c:pt idx="3">
                  <c:v>2881.07142638409</c:v>
                </c:pt>
                <c:pt idx="4">
                  <c:v>2444.1415360117503</c:v>
                </c:pt>
                <c:pt idx="5">
                  <c:v>3001.3998397435898</c:v>
                </c:pt>
                <c:pt idx="6">
                  <c:v>3043.7764423076596</c:v>
                </c:pt>
                <c:pt idx="7">
                  <c:v>2706.6338141025399</c:v>
                </c:pt>
                <c:pt idx="8">
                  <c:v>2703.98076923078</c:v>
                </c:pt>
                <c:pt idx="9">
                  <c:v>2415.4158653846098</c:v>
                </c:pt>
                <c:pt idx="10">
                  <c:v>2356.5969551282101</c:v>
                </c:pt>
                <c:pt idx="11">
                  <c:v>3019.3277243590101</c:v>
                </c:pt>
                <c:pt idx="12">
                  <c:v>3162.05448717947</c:v>
                </c:pt>
                <c:pt idx="13">
                  <c:v>3186.8325320512499</c:v>
                </c:pt>
                <c:pt idx="14">
                  <c:v>3913.0204547900003</c:v>
                </c:pt>
                <c:pt idx="15">
                  <c:v>3851.4481126637302</c:v>
                </c:pt>
                <c:pt idx="16">
                  <c:v>4064.3014588329702</c:v>
                </c:pt>
                <c:pt idx="17">
                  <c:v>4049.8196212261205</c:v>
                </c:pt>
                <c:pt idx="18">
                  <c:v>4029.0164368505002</c:v>
                </c:pt>
                <c:pt idx="19">
                  <c:v>3987.5771190739501</c:v>
                </c:pt>
                <c:pt idx="20">
                  <c:v>3984.0634703775595</c:v>
                </c:pt>
                <c:pt idx="21">
                  <c:v>4077.9908653846505</c:v>
                </c:pt>
                <c:pt idx="22">
                  <c:v>4020.6500381563201</c:v>
                </c:pt>
                <c:pt idx="23">
                  <c:v>4015.3744352869398</c:v>
                </c:pt>
                <c:pt idx="24">
                  <c:v>3998.3903693528796</c:v>
                </c:pt>
                <c:pt idx="25">
                  <c:v>3993.74992368739</c:v>
                </c:pt>
                <c:pt idx="26">
                  <c:v>3983.9603327227996</c:v>
                </c:pt>
                <c:pt idx="27">
                  <c:v>3946.2549145299299</c:v>
                </c:pt>
                <c:pt idx="28">
                  <c:v>3842.6669719169499</c:v>
                </c:pt>
                <c:pt idx="29">
                  <c:v>3938.2339756410302</c:v>
                </c:pt>
                <c:pt idx="30">
                  <c:v>3677.0164089743598</c:v>
                </c:pt>
                <c:pt idx="31">
                  <c:v>3286.6441461538498</c:v>
                </c:pt>
                <c:pt idx="32">
                  <c:v>3444.7443833761599</c:v>
                </c:pt>
                <c:pt idx="33">
                  <c:v>3304.02432531667</c:v>
                </c:pt>
                <c:pt idx="34">
                  <c:v>3374.6633616183599</c:v>
                </c:pt>
                <c:pt idx="35">
                  <c:v>3349.7540237040803</c:v>
                </c:pt>
                <c:pt idx="36">
                  <c:v>3390.75234427843</c:v>
                </c:pt>
                <c:pt idx="37">
                  <c:v>3414.5639084886202</c:v>
                </c:pt>
                <c:pt idx="38">
                  <c:v>3453.5626757980099</c:v>
                </c:pt>
                <c:pt idx="39">
                  <c:v>3480.6540983856798</c:v>
                </c:pt>
                <c:pt idx="40">
                  <c:v>3489.9439102564602</c:v>
                </c:pt>
                <c:pt idx="41">
                  <c:v>3506.19951923075</c:v>
                </c:pt>
                <c:pt idx="42">
                  <c:v>3449.4855769231299</c:v>
                </c:pt>
                <c:pt idx="43">
                  <c:v>3481.03383419906</c:v>
                </c:pt>
                <c:pt idx="44">
                  <c:v>3380.08937000168</c:v>
                </c:pt>
                <c:pt idx="45">
                  <c:v>3447.3175988334101</c:v>
                </c:pt>
                <c:pt idx="46">
                  <c:v>3475.4096200222202</c:v>
                </c:pt>
                <c:pt idx="47">
                  <c:v>3499.4479778137597</c:v>
                </c:pt>
                <c:pt idx="48">
                  <c:v>3483.3651272879101</c:v>
                </c:pt>
                <c:pt idx="49">
                  <c:v>3407.5929627308601</c:v>
                </c:pt>
                <c:pt idx="50">
                  <c:v>3180.4691805776702</c:v>
                </c:pt>
                <c:pt idx="51">
                  <c:v>3362.6816052180698</c:v>
                </c:pt>
                <c:pt idx="52">
                  <c:v>3282.5308365997498</c:v>
                </c:pt>
                <c:pt idx="53">
                  <c:v>3440.7253418718201</c:v>
                </c:pt>
                <c:pt idx="54">
                  <c:v>3395.2452357237298</c:v>
                </c:pt>
                <c:pt idx="55">
                  <c:v>3377.8480366993099</c:v>
                </c:pt>
                <c:pt idx="56">
                  <c:v>3689.66267680398</c:v>
                </c:pt>
                <c:pt idx="57">
                  <c:v>3645.5169177901403</c:v>
                </c:pt>
                <c:pt idx="58">
                  <c:v>3324.44326948555</c:v>
                </c:pt>
                <c:pt idx="59">
                  <c:v>3361.4975323066601</c:v>
                </c:pt>
                <c:pt idx="60">
                  <c:v>3467.8151758351496</c:v>
                </c:pt>
                <c:pt idx="61">
                  <c:v>3601.69709750741</c:v>
                </c:pt>
                <c:pt idx="62">
                  <c:v>3667.6304867772801</c:v>
                </c:pt>
                <c:pt idx="63">
                  <c:v>3681.3507604224001</c:v>
                </c:pt>
                <c:pt idx="64">
                  <c:v>3672.5499359738101</c:v>
                </c:pt>
                <c:pt idx="65">
                  <c:v>3699.49523458162</c:v>
                </c:pt>
                <c:pt idx="66">
                  <c:v>3773.0192538276801</c:v>
                </c:pt>
                <c:pt idx="67">
                  <c:v>3841.70499938169</c:v>
                </c:pt>
                <c:pt idx="68">
                  <c:v>3976.0505864045299</c:v>
                </c:pt>
                <c:pt idx="69">
                  <c:v>3756.5751723173698</c:v>
                </c:pt>
                <c:pt idx="70">
                  <c:v>3815.8056499613404</c:v>
                </c:pt>
                <c:pt idx="71">
                  <c:v>3560.3837377293403</c:v>
                </c:pt>
                <c:pt idx="72">
                  <c:v>3711.1778082421602</c:v>
                </c:pt>
                <c:pt idx="73">
                  <c:v>3731.5838064713498</c:v>
                </c:pt>
                <c:pt idx="74">
                  <c:v>3713.2245572165398</c:v>
                </c:pt>
                <c:pt idx="75">
                  <c:v>3937.78947368423</c:v>
                </c:pt>
                <c:pt idx="76">
                  <c:v>4048.7471437553604</c:v>
                </c:pt>
                <c:pt idx="77">
                  <c:v>3967.1513963010802</c:v>
                </c:pt>
                <c:pt idx="78">
                  <c:v>3595.47858842193</c:v>
                </c:pt>
                <c:pt idx="79">
                  <c:v>3779.2055160869299</c:v>
                </c:pt>
                <c:pt idx="80">
                  <c:v>3854.7083996814999</c:v>
                </c:pt>
                <c:pt idx="81">
                  <c:v>3815.4331741034002</c:v>
                </c:pt>
                <c:pt idx="82">
                  <c:v>3744.54463489414</c:v>
                </c:pt>
                <c:pt idx="83">
                  <c:v>3760.3497139727501</c:v>
                </c:pt>
                <c:pt idx="84">
                  <c:v>3673.2437621713602</c:v>
                </c:pt>
                <c:pt idx="85">
                  <c:v>3583.7063358790801</c:v>
                </c:pt>
                <c:pt idx="86">
                  <c:v>3771.5310824534099</c:v>
                </c:pt>
                <c:pt idx="87">
                  <c:v>3789.2652915055501</c:v>
                </c:pt>
                <c:pt idx="88">
                  <c:v>3740.2584534296802</c:v>
                </c:pt>
                <c:pt idx="89">
                  <c:v>3747.59776990418</c:v>
                </c:pt>
                <c:pt idx="90">
                  <c:v>3776.81777019007</c:v>
                </c:pt>
                <c:pt idx="91">
                  <c:v>3874.2589051282002</c:v>
                </c:pt>
                <c:pt idx="92">
                  <c:v>3640.70433461538</c:v>
                </c:pt>
                <c:pt idx="93">
                  <c:v>3856.8453371918299</c:v>
                </c:pt>
                <c:pt idx="94">
                  <c:v>4053.69352210535</c:v>
                </c:pt>
                <c:pt idx="95">
                  <c:v>4159.6329417082998</c:v>
                </c:pt>
                <c:pt idx="96">
                  <c:v>4137.7392857143004</c:v>
                </c:pt>
                <c:pt idx="97">
                  <c:v>4078.3702075702604</c:v>
                </c:pt>
                <c:pt idx="98">
                  <c:v>4165.9377594628104</c:v>
                </c:pt>
                <c:pt idx="99">
                  <c:v>4135.5185897435604</c:v>
                </c:pt>
                <c:pt idx="100">
                  <c:v>4064.8272130646997</c:v>
                </c:pt>
                <c:pt idx="101">
                  <c:v>4100.33963675213</c:v>
                </c:pt>
                <c:pt idx="102">
                  <c:v>3927.5770680708001</c:v>
                </c:pt>
                <c:pt idx="103">
                  <c:v>3971.4704536036197</c:v>
                </c:pt>
                <c:pt idx="104">
                  <c:v>3942.7612780608802</c:v>
                </c:pt>
                <c:pt idx="105">
                  <c:v>3967.4131808019597</c:v>
                </c:pt>
                <c:pt idx="106">
                  <c:v>3841.59665328856</c:v>
                </c:pt>
                <c:pt idx="107">
                  <c:v>3818.1271768269098</c:v>
                </c:pt>
                <c:pt idx="108">
                  <c:v>3788.3589794749601</c:v>
                </c:pt>
                <c:pt idx="109">
                  <c:v>3722.03542587537</c:v>
                </c:pt>
                <c:pt idx="110">
                  <c:v>3739.2851796713298</c:v>
                </c:pt>
                <c:pt idx="111">
                  <c:v>3703.7418068430898</c:v>
                </c:pt>
                <c:pt idx="112">
                  <c:v>3785.0108745421103</c:v>
                </c:pt>
                <c:pt idx="113">
                  <c:v>3706.91908841861</c:v>
                </c:pt>
                <c:pt idx="114">
                  <c:v>3742.8638376869699</c:v>
                </c:pt>
                <c:pt idx="115">
                  <c:v>3647.5670998577702</c:v>
                </c:pt>
                <c:pt idx="116">
                  <c:v>3676.1331585081898</c:v>
                </c:pt>
                <c:pt idx="117">
                  <c:v>3575.34036084527</c:v>
                </c:pt>
                <c:pt idx="118">
                  <c:v>3623.5562699362299</c:v>
                </c:pt>
                <c:pt idx="119">
                  <c:v>3546.0400832720197</c:v>
                </c:pt>
                <c:pt idx="120">
                  <c:v>3264.7815567108701</c:v>
                </c:pt>
                <c:pt idx="121">
                  <c:v>3670.7998432992104</c:v>
                </c:pt>
                <c:pt idx="122">
                  <c:v>3712.9867032894199</c:v>
                </c:pt>
                <c:pt idx="123">
                  <c:v>3647.2858227680704</c:v>
                </c:pt>
                <c:pt idx="124">
                  <c:v>3612.1553526409803</c:v>
                </c:pt>
                <c:pt idx="125">
                  <c:v>3729.6002428826096</c:v>
                </c:pt>
                <c:pt idx="126">
                  <c:v>3579.6326803941402</c:v>
                </c:pt>
                <c:pt idx="127">
                  <c:v>3482.2739750507499</c:v>
                </c:pt>
                <c:pt idx="128">
                  <c:v>3134.4232882924202</c:v>
                </c:pt>
                <c:pt idx="129">
                  <c:v>3279.4186819737902</c:v>
                </c:pt>
                <c:pt idx="130">
                  <c:v>3227.0691382842497</c:v>
                </c:pt>
                <c:pt idx="131">
                  <c:v>3352.6006130159703</c:v>
                </c:pt>
                <c:pt idx="132">
                  <c:v>3338.1365592473999</c:v>
                </c:pt>
                <c:pt idx="133">
                  <c:v>3347.6187449959998</c:v>
                </c:pt>
                <c:pt idx="134">
                  <c:v>3376.0179836176399</c:v>
                </c:pt>
                <c:pt idx="135">
                  <c:v>3367.05788669393</c:v>
                </c:pt>
                <c:pt idx="136">
                  <c:v>3378.1199239357402</c:v>
                </c:pt>
                <c:pt idx="137">
                  <c:v>3366.2876317523301</c:v>
                </c:pt>
                <c:pt idx="138">
                  <c:v>3345.1516481706299</c:v>
                </c:pt>
                <c:pt idx="139">
                  <c:v>3368.89147663932</c:v>
                </c:pt>
                <c:pt idx="140">
                  <c:v>3409.9128866361402</c:v>
                </c:pt>
                <c:pt idx="141">
                  <c:v>3416.2856989379502</c:v>
                </c:pt>
                <c:pt idx="142">
                  <c:v>3345.2961949014903</c:v>
                </c:pt>
                <c:pt idx="143">
                  <c:v>3266.54385500436</c:v>
                </c:pt>
                <c:pt idx="144">
                  <c:v>3367.6475030440101</c:v>
                </c:pt>
                <c:pt idx="145">
                  <c:v>3012.8688116469502</c:v>
                </c:pt>
                <c:pt idx="146">
                  <c:v>3223.6493950128702</c:v>
                </c:pt>
                <c:pt idx="147">
                  <c:v>3153.20158952886</c:v>
                </c:pt>
                <c:pt idx="148">
                  <c:v>3313.4028346785999</c:v>
                </c:pt>
                <c:pt idx="149">
                  <c:v>3244.4430248970798</c:v>
                </c:pt>
                <c:pt idx="150">
                  <c:v>3239.8522074109901</c:v>
                </c:pt>
                <c:pt idx="151">
                  <c:v>3215.97466834221</c:v>
                </c:pt>
                <c:pt idx="152">
                  <c:v>3147.5770095462299</c:v>
                </c:pt>
                <c:pt idx="153">
                  <c:v>3183.7597325985798</c:v>
                </c:pt>
                <c:pt idx="154">
                  <c:v>3241.5811677581</c:v>
                </c:pt>
                <c:pt idx="155">
                  <c:v>3362.0854974359004</c:v>
                </c:pt>
                <c:pt idx="156">
                  <c:v>3226.5376871794901</c:v>
                </c:pt>
                <c:pt idx="157">
                  <c:v>3379.7082758250299</c:v>
                </c:pt>
                <c:pt idx="158">
                  <c:v>3319.43733130908</c:v>
                </c:pt>
                <c:pt idx="159">
                  <c:v>3342.4039977131797</c:v>
                </c:pt>
                <c:pt idx="160">
                  <c:v>3331.3637296130401</c:v>
                </c:pt>
                <c:pt idx="161">
                  <c:v>3277.4490850165002</c:v>
                </c:pt>
                <c:pt idx="162">
                  <c:v>3254.7290067939998</c:v>
                </c:pt>
                <c:pt idx="163">
                  <c:v>3418.6669723432701</c:v>
                </c:pt>
                <c:pt idx="164">
                  <c:v>3371.9949633699503</c:v>
                </c:pt>
                <c:pt idx="165">
                  <c:v>3283.8093141025597</c:v>
                </c:pt>
                <c:pt idx="166">
                  <c:v>3065.5404641025598</c:v>
                </c:pt>
                <c:pt idx="167">
                  <c:v>3348.1786336676096</c:v>
                </c:pt>
                <c:pt idx="168">
                  <c:v>3259.9569511536001</c:v>
                </c:pt>
                <c:pt idx="169">
                  <c:v>3377.0953525641203</c:v>
                </c:pt>
                <c:pt idx="170">
                  <c:v>3436.4054487179701</c:v>
                </c:pt>
                <c:pt idx="171">
                  <c:v>3410.6323883201098</c:v>
                </c:pt>
                <c:pt idx="172">
                  <c:v>3314.9273946227404</c:v>
                </c:pt>
                <c:pt idx="173">
                  <c:v>3223.8066602564099</c:v>
                </c:pt>
                <c:pt idx="174">
                  <c:v>3174.6343538461501</c:v>
                </c:pt>
                <c:pt idx="175">
                  <c:v>3304.8351724664599</c:v>
                </c:pt>
                <c:pt idx="176">
                  <c:v>3467.33491300371</c:v>
                </c:pt>
                <c:pt idx="177">
                  <c:v>3344.7136988802599</c:v>
                </c:pt>
                <c:pt idx="178">
                  <c:v>3405.8348787989298</c:v>
                </c:pt>
                <c:pt idx="179">
                  <c:v>3482.13102388996</c:v>
                </c:pt>
                <c:pt idx="180">
                  <c:v>3432.19979711007</c:v>
                </c:pt>
                <c:pt idx="181">
                  <c:v>3421.0746951686301</c:v>
                </c:pt>
                <c:pt idx="182">
                  <c:v>3382.6815487118597</c:v>
                </c:pt>
                <c:pt idx="183">
                  <c:v>3547.8362155186596</c:v>
                </c:pt>
                <c:pt idx="184">
                  <c:v>3651.8597142499402</c:v>
                </c:pt>
                <c:pt idx="185">
                  <c:v>3579.0403147829802</c:v>
                </c:pt>
                <c:pt idx="186">
                  <c:v>3555.46098594148</c:v>
                </c:pt>
                <c:pt idx="187">
                  <c:v>3541.4387244309801</c:v>
                </c:pt>
                <c:pt idx="188">
                  <c:v>3508.99512542706</c:v>
                </c:pt>
                <c:pt idx="189">
                  <c:v>3532.2981373729704</c:v>
                </c:pt>
                <c:pt idx="190">
                  <c:v>3558.0049620323502</c:v>
                </c:pt>
                <c:pt idx="191">
                  <c:v>3522.8431699387302</c:v>
                </c:pt>
                <c:pt idx="192">
                  <c:v>3508.8644752953401</c:v>
                </c:pt>
                <c:pt idx="193">
                  <c:v>3426.99614407124</c:v>
                </c:pt>
                <c:pt idx="194">
                  <c:v>3422.0271792814101</c:v>
                </c:pt>
                <c:pt idx="195">
                  <c:v>3410.4440877474299</c:v>
                </c:pt>
                <c:pt idx="196">
                  <c:v>3420.3739774972701</c:v>
                </c:pt>
                <c:pt idx="197">
                  <c:v>3401.71463297935</c:v>
                </c:pt>
                <c:pt idx="198">
                  <c:v>3460.5090623327701</c:v>
                </c:pt>
                <c:pt idx="199">
                  <c:v>3362.7547047989101</c:v>
                </c:pt>
                <c:pt idx="200">
                  <c:v>3190.3088794871801</c:v>
                </c:pt>
                <c:pt idx="201">
                  <c:v>3101.1532743589701</c:v>
                </c:pt>
                <c:pt idx="202">
                  <c:v>3157.1818910256798</c:v>
                </c:pt>
                <c:pt idx="203">
                  <c:v>3093.2291666666297</c:v>
                </c:pt>
                <c:pt idx="204">
                  <c:v>3130.4070512820899</c:v>
                </c:pt>
                <c:pt idx="205">
                  <c:v>3114.43750000003</c:v>
                </c:pt>
                <c:pt idx="206">
                  <c:v>3202.9671474359102</c:v>
                </c:pt>
                <c:pt idx="207">
                  <c:v>3254.8226076463902</c:v>
                </c:pt>
                <c:pt idx="208">
                  <c:v>3148.2093082797501</c:v>
                </c:pt>
                <c:pt idx="209">
                  <c:v>3180.9818865563898</c:v>
                </c:pt>
                <c:pt idx="210">
                  <c:v>3206.5793980200701</c:v>
                </c:pt>
                <c:pt idx="211">
                  <c:v>3200.4890472237598</c:v>
                </c:pt>
                <c:pt idx="212">
                  <c:v>3181.3556584015801</c:v>
                </c:pt>
                <c:pt idx="213">
                  <c:v>3125.9501029122603</c:v>
                </c:pt>
                <c:pt idx="214">
                  <c:v>3137.1236047964499</c:v>
                </c:pt>
                <c:pt idx="215">
                  <c:v>3245.4532082002702</c:v>
                </c:pt>
                <c:pt idx="216">
                  <c:v>3249.0799378452998</c:v>
                </c:pt>
                <c:pt idx="217">
                  <c:v>3175.0835432982799</c:v>
                </c:pt>
                <c:pt idx="218">
                  <c:v>3196.9260866320701</c:v>
                </c:pt>
                <c:pt idx="219">
                  <c:v>3233.00154122191</c:v>
                </c:pt>
                <c:pt idx="220">
                  <c:v>3152.1992125199699</c:v>
                </c:pt>
                <c:pt idx="221">
                  <c:v>3190.6117120199201</c:v>
                </c:pt>
                <c:pt idx="222">
                  <c:v>3193.0828436961897</c:v>
                </c:pt>
                <c:pt idx="223">
                  <c:v>3263.32460642349</c:v>
                </c:pt>
                <c:pt idx="224">
                  <c:v>3087.1489289062602</c:v>
                </c:pt>
                <c:pt idx="225">
                  <c:v>3117.3645833333599</c:v>
                </c:pt>
                <c:pt idx="226">
                  <c:v>2854.8782051282401</c:v>
                </c:pt>
                <c:pt idx="227">
                  <c:v>3074.2259615384701</c:v>
                </c:pt>
                <c:pt idx="228">
                  <c:v>3107.8908705128197</c:v>
                </c:pt>
                <c:pt idx="229">
                  <c:v>3080.2047794871801</c:v>
                </c:pt>
                <c:pt idx="230">
                  <c:v>3134.6876824262899</c:v>
                </c:pt>
                <c:pt idx="231">
                  <c:v>3397.5869899061399</c:v>
                </c:pt>
                <c:pt idx="232">
                  <c:v>3203.73543088611</c:v>
                </c:pt>
                <c:pt idx="233">
                  <c:v>3132.3870141513298</c:v>
                </c:pt>
                <c:pt idx="234">
                  <c:v>3074.9740110325201</c:v>
                </c:pt>
                <c:pt idx="235">
                  <c:v>3243.5164523141902</c:v>
                </c:pt>
                <c:pt idx="236">
                  <c:v>3400.7579617833999</c:v>
                </c:pt>
                <c:pt idx="237">
                  <c:v>3605.3782408541597</c:v>
                </c:pt>
                <c:pt idx="238">
                  <c:v>3233.2822761022198</c:v>
                </c:pt>
                <c:pt idx="239">
                  <c:v>3259.9230948002801</c:v>
                </c:pt>
                <c:pt idx="240">
                  <c:v>3270.3739356675596</c:v>
                </c:pt>
                <c:pt idx="241">
                  <c:v>3294.0368500357599</c:v>
                </c:pt>
                <c:pt idx="242">
                  <c:v>3320.3922227755297</c:v>
                </c:pt>
                <c:pt idx="243">
                  <c:v>3333.0355475534298</c:v>
                </c:pt>
                <c:pt idx="244">
                  <c:v>3385.5291384011298</c:v>
                </c:pt>
                <c:pt idx="245">
                  <c:v>3302.5439169124402</c:v>
                </c:pt>
                <c:pt idx="246">
                  <c:v>3223.2794272753899</c:v>
                </c:pt>
                <c:pt idx="247">
                  <c:v>3427.37973137976</c:v>
                </c:pt>
                <c:pt idx="248">
                  <c:v>3286.3556043367498</c:v>
                </c:pt>
                <c:pt idx="249">
                  <c:v>3263.2428606026997</c:v>
                </c:pt>
                <c:pt idx="250">
                  <c:v>3312.3241538461502</c:v>
                </c:pt>
                <c:pt idx="251">
                  <c:v>3338.8953064102598</c:v>
                </c:pt>
                <c:pt idx="252">
                  <c:v>3366.96732435897</c:v>
                </c:pt>
                <c:pt idx="253">
                  <c:v>3357.1587794871803</c:v>
                </c:pt>
                <c:pt idx="254">
                  <c:v>3380.3416652597598</c:v>
                </c:pt>
                <c:pt idx="255">
                  <c:v>3286.2997466337602</c:v>
                </c:pt>
                <c:pt idx="256">
                  <c:v>3404.8454648577699</c:v>
                </c:pt>
                <c:pt idx="257">
                  <c:v>3401.6424226505501</c:v>
                </c:pt>
                <c:pt idx="258">
                  <c:v>3471.8633641577599</c:v>
                </c:pt>
                <c:pt idx="259">
                  <c:v>3542.1788047478899</c:v>
                </c:pt>
                <c:pt idx="260">
                  <c:v>3600.3685897435498</c:v>
                </c:pt>
                <c:pt idx="261">
                  <c:v>3504.3654495842097</c:v>
                </c:pt>
                <c:pt idx="262">
                  <c:v>3519.2191168827503</c:v>
                </c:pt>
                <c:pt idx="263">
                  <c:v>3504.7928513921001</c:v>
                </c:pt>
                <c:pt idx="264">
                  <c:v>3513.0895818046401</c:v>
                </c:pt>
                <c:pt idx="265">
                  <c:v>3450.1346523277098</c:v>
                </c:pt>
                <c:pt idx="266">
                  <c:v>3459.95417429795</c:v>
                </c:pt>
                <c:pt idx="267">
                  <c:v>3189.7514306803</c:v>
                </c:pt>
                <c:pt idx="268">
                  <c:v>3229.0445950931899</c:v>
                </c:pt>
                <c:pt idx="269">
                  <c:v>3298.6111638863504</c:v>
                </c:pt>
                <c:pt idx="270">
                  <c:v>3241.5256854340901</c:v>
                </c:pt>
                <c:pt idx="271">
                  <c:v>3329.6871032237</c:v>
                </c:pt>
                <c:pt idx="272">
                  <c:v>3364.6071708302698</c:v>
                </c:pt>
                <c:pt idx="273">
                  <c:v>3361.0377066328901</c:v>
                </c:pt>
                <c:pt idx="274">
                  <c:v>3361.7350486610399</c:v>
                </c:pt>
                <c:pt idx="275">
                  <c:v>3357.35375269206</c:v>
                </c:pt>
                <c:pt idx="276">
                  <c:v>3418.4728390364298</c:v>
                </c:pt>
                <c:pt idx="277">
                  <c:v>3380.1650717887701</c:v>
                </c:pt>
                <c:pt idx="278">
                  <c:v>3337.8937234827299</c:v>
                </c:pt>
                <c:pt idx="279">
                  <c:v>3389.6684563451299</c:v>
                </c:pt>
                <c:pt idx="280">
                  <c:v>3244.95814940128</c:v>
                </c:pt>
                <c:pt idx="281">
                  <c:v>3214.7718815553999</c:v>
                </c:pt>
                <c:pt idx="282">
                  <c:v>3393.1823701427497</c:v>
                </c:pt>
                <c:pt idx="283">
                  <c:v>3454.7455710487502</c:v>
                </c:pt>
                <c:pt idx="284">
                  <c:v>3443.1096913627898</c:v>
                </c:pt>
                <c:pt idx="285">
                  <c:v>3456.0263958566097</c:v>
                </c:pt>
                <c:pt idx="286">
                  <c:v>3519.4529024216499</c:v>
                </c:pt>
                <c:pt idx="287">
                  <c:v>3515.2576032195097</c:v>
                </c:pt>
                <c:pt idx="288">
                  <c:v>3385.6214279890401</c:v>
                </c:pt>
                <c:pt idx="289">
                  <c:v>3191.3748433105397</c:v>
                </c:pt>
                <c:pt idx="290">
                  <c:v>3203.8169462548399</c:v>
                </c:pt>
                <c:pt idx="291">
                  <c:v>3194.35821514901</c:v>
                </c:pt>
                <c:pt idx="292">
                  <c:v>3346.6600150679901</c:v>
                </c:pt>
                <c:pt idx="293">
                  <c:v>3478.3812271062498</c:v>
                </c:pt>
                <c:pt idx="294">
                  <c:v>3532.3911095848202</c:v>
                </c:pt>
                <c:pt idx="295">
                  <c:v>3543.7771636518801</c:v>
                </c:pt>
                <c:pt idx="296">
                  <c:v>3449.45398623551</c:v>
                </c:pt>
                <c:pt idx="297">
                  <c:v>3500.65524506672</c:v>
                </c:pt>
                <c:pt idx="298">
                  <c:v>3507.9756474967699</c:v>
                </c:pt>
                <c:pt idx="299">
                  <c:v>3464.3549241731798</c:v>
                </c:pt>
                <c:pt idx="300">
                  <c:v>3432.2407646048</c:v>
                </c:pt>
                <c:pt idx="301">
                  <c:v>3438.6097756409899</c:v>
                </c:pt>
                <c:pt idx="302">
                  <c:v>3301.34156919117</c:v>
                </c:pt>
                <c:pt idx="303">
                  <c:v>3301.0002147766404</c:v>
                </c:pt>
                <c:pt idx="304">
                  <c:v>3511.5451976751001</c:v>
                </c:pt>
                <c:pt idx="305">
                  <c:v>3541.1610461906898</c:v>
                </c:pt>
                <c:pt idx="306">
                  <c:v>3620.2455296896401</c:v>
                </c:pt>
                <c:pt idx="307">
                  <c:v>3664.78737271503</c:v>
                </c:pt>
                <c:pt idx="308">
                  <c:v>3686.2277481290298</c:v>
                </c:pt>
                <c:pt idx="309">
                  <c:v>3753.86623190402</c:v>
                </c:pt>
                <c:pt idx="310">
                  <c:v>3742.35765933632</c:v>
                </c:pt>
                <c:pt idx="311">
                  <c:v>3687.7046796405602</c:v>
                </c:pt>
                <c:pt idx="312">
                  <c:v>3697.07649368171</c:v>
                </c:pt>
                <c:pt idx="313">
                  <c:v>3608.1518448657102</c:v>
                </c:pt>
                <c:pt idx="314">
                  <c:v>3619.7191678935601</c:v>
                </c:pt>
                <c:pt idx="315">
                  <c:v>3616.6537043000799</c:v>
                </c:pt>
                <c:pt idx="316">
                  <c:v>3625.9974006257298</c:v>
                </c:pt>
                <c:pt idx="317">
                  <c:v>3643.39580266229</c:v>
                </c:pt>
                <c:pt idx="318">
                  <c:v>3591.0575581217299</c:v>
                </c:pt>
                <c:pt idx="319">
                  <c:v>3607.3231275303197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5-A149-8DCD-C9CC91FA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A-D146-9372-905ECCFEEFFB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'240828A005'!$A$2:$A$321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'240828A005'!$P$2:$P$321</c:f>
              <c:numCache>
                <c:formatCode>General</c:formatCode>
                <c:ptCount val="320"/>
                <c:pt idx="0">
                  <c:v>32.819278450329911</c:v>
                </c:pt>
                <c:pt idx="1">
                  <c:v>30.648547736854692</c:v>
                </c:pt>
                <c:pt idx="2">
                  <c:v>28.878373632647385</c:v>
                </c:pt>
                <c:pt idx="3">
                  <c:v>30.135267465318428</c:v>
                </c:pt>
                <c:pt idx="4">
                  <c:v>34.661258211933465</c:v>
                </c:pt>
                <c:pt idx="5">
                  <c:v>33.527421606456784</c:v>
                </c:pt>
                <c:pt idx="6">
                  <c:v>37.487739318376846</c:v>
                </c:pt>
                <c:pt idx="7">
                  <c:v>46.317260334386781</c:v>
                </c:pt>
                <c:pt idx="8">
                  <c:v>48.577260626814287</c:v>
                </c:pt>
                <c:pt idx="9">
                  <c:v>53.96477218736262</c:v>
                </c:pt>
                <c:pt idx="10">
                  <c:v>51.792731729631015</c:v>
                </c:pt>
                <c:pt idx="11">
                  <c:v>39.16889865048956</c:v>
                </c:pt>
                <c:pt idx="12">
                  <c:v>32.677880047315739</c:v>
                </c:pt>
                <c:pt idx="13">
                  <c:v>28.091016138898585</c:v>
                </c:pt>
                <c:pt idx="14">
                  <c:v>11.282703462706625</c:v>
                </c:pt>
                <c:pt idx="15">
                  <c:v>10.268875332626553</c:v>
                </c:pt>
                <c:pt idx="16">
                  <c:v>3.927991072242667</c:v>
                </c:pt>
                <c:pt idx="17">
                  <c:v>2.4954146052088522</c:v>
                </c:pt>
                <c:pt idx="18">
                  <c:v>0.45813857766115429</c:v>
                </c:pt>
                <c:pt idx="19">
                  <c:v>-1.6291271582539009</c:v>
                </c:pt>
                <c:pt idx="20">
                  <c:v>-2.802907935477517</c:v>
                </c:pt>
                <c:pt idx="21">
                  <c:v>-3.3084483916158258</c:v>
                </c:pt>
                <c:pt idx="22">
                  <c:v>-5.0329210979253265</c:v>
                </c:pt>
                <c:pt idx="23">
                  <c:v>-6.2953236063954146</c:v>
                </c:pt>
                <c:pt idx="24">
                  <c:v>-6.9562067461933452</c:v>
                </c:pt>
                <c:pt idx="25">
                  <c:v>-8.0128080038917027</c:v>
                </c:pt>
                <c:pt idx="26">
                  <c:v>-8.2687529162232991</c:v>
                </c:pt>
                <c:pt idx="27">
                  <c:v>-9.0272696051931334</c:v>
                </c:pt>
                <c:pt idx="28">
                  <c:v>-10.437106929196444</c:v>
                </c:pt>
                <c:pt idx="29">
                  <c:v>-11.001440866777225</c:v>
                </c:pt>
                <c:pt idx="30">
                  <c:v>-11.907864735648314</c:v>
                </c:pt>
                <c:pt idx="31">
                  <c:v>-13.180925439360902</c:v>
                </c:pt>
                <c:pt idx="32">
                  <c:v>-13.300242653990898</c:v>
                </c:pt>
                <c:pt idx="33">
                  <c:v>-12.520008016617712</c:v>
                </c:pt>
                <c:pt idx="34">
                  <c:v>-12.288566656570273</c:v>
                </c:pt>
                <c:pt idx="35">
                  <c:v>-13.14292678412513</c:v>
                </c:pt>
                <c:pt idx="36">
                  <c:v>-10.164067679318119</c:v>
                </c:pt>
                <c:pt idx="37">
                  <c:v>-8.8122509000793201</c:v>
                </c:pt>
                <c:pt idx="38">
                  <c:v>-8.2271560102786765</c:v>
                </c:pt>
                <c:pt idx="39">
                  <c:v>-9.4751859633672755</c:v>
                </c:pt>
                <c:pt idx="40">
                  <c:v>-7.5158376634755371</c:v>
                </c:pt>
                <c:pt idx="41">
                  <c:v>-5.071422461551621</c:v>
                </c:pt>
                <c:pt idx="42">
                  <c:v>-6.9794893779764982</c:v>
                </c:pt>
                <c:pt idx="43">
                  <c:v>-9.6733485988671006</c:v>
                </c:pt>
                <c:pt idx="44">
                  <c:v>-9.7284250191047068</c:v>
                </c:pt>
                <c:pt idx="45">
                  <c:v>-7.1468596728415879</c:v>
                </c:pt>
                <c:pt idx="46">
                  <c:v>-6.8890932103812226</c:v>
                </c:pt>
                <c:pt idx="47">
                  <c:v>-5.2450078420812627</c:v>
                </c:pt>
                <c:pt idx="48">
                  <c:v>-4.395850108085984</c:v>
                </c:pt>
                <c:pt idx="49">
                  <c:v>-7.6738689281736301</c:v>
                </c:pt>
                <c:pt idx="50">
                  <c:v>-9.0907448614773436</c:v>
                </c:pt>
                <c:pt idx="51">
                  <c:v>-9.0061840040503665</c:v>
                </c:pt>
                <c:pt idx="52">
                  <c:v>-9.0752742190362312</c:v>
                </c:pt>
                <c:pt idx="53">
                  <c:v>-8.5821984208899682</c:v>
                </c:pt>
                <c:pt idx="54">
                  <c:v>-8.6169135603655516</c:v>
                </c:pt>
                <c:pt idx="55">
                  <c:v>-8.7471639043249443</c:v>
                </c:pt>
                <c:pt idx="56">
                  <c:v>-6.3745058242092183</c:v>
                </c:pt>
                <c:pt idx="57">
                  <c:v>-2.0674344598671066</c:v>
                </c:pt>
                <c:pt idx="58">
                  <c:v>-3.1692839672595423</c:v>
                </c:pt>
                <c:pt idx="59">
                  <c:v>3.2287017483871598</c:v>
                </c:pt>
                <c:pt idx="60">
                  <c:v>5.2704594444848594</c:v>
                </c:pt>
                <c:pt idx="61">
                  <c:v>6.4837009110204544</c:v>
                </c:pt>
                <c:pt idx="62">
                  <c:v>1.3518996130042431</c:v>
                </c:pt>
                <c:pt idx="63">
                  <c:v>-1.7404047023058768</c:v>
                </c:pt>
                <c:pt idx="64">
                  <c:v>-1.2409305732704565</c:v>
                </c:pt>
                <c:pt idx="65">
                  <c:v>-0.62845369168478527</c:v>
                </c:pt>
                <c:pt idx="66">
                  <c:v>-2.2660414979212322</c:v>
                </c:pt>
                <c:pt idx="67">
                  <c:v>-1.50228743548529</c:v>
                </c:pt>
                <c:pt idx="68">
                  <c:v>-1.5416462441161616</c:v>
                </c:pt>
                <c:pt idx="69">
                  <c:v>-1.2829941808576393</c:v>
                </c:pt>
                <c:pt idx="70">
                  <c:v>-3.4615862702442253</c:v>
                </c:pt>
                <c:pt idx="71">
                  <c:v>-3.299892390075875</c:v>
                </c:pt>
                <c:pt idx="72">
                  <c:v>-2.1008050165801557</c:v>
                </c:pt>
                <c:pt idx="73">
                  <c:v>1.2145668567373125</c:v>
                </c:pt>
                <c:pt idx="74">
                  <c:v>2.4517932369216715</c:v>
                </c:pt>
                <c:pt idx="75">
                  <c:v>2.6378427973884322</c:v>
                </c:pt>
                <c:pt idx="76">
                  <c:v>1.5608519510983092</c:v>
                </c:pt>
                <c:pt idx="77">
                  <c:v>-0.57588025097293905</c:v>
                </c:pt>
                <c:pt idx="78">
                  <c:v>-2.5691800231690936</c:v>
                </c:pt>
                <c:pt idx="79">
                  <c:v>1.2389874660283506</c:v>
                </c:pt>
                <c:pt idx="80">
                  <c:v>3.8672386599402211</c:v>
                </c:pt>
                <c:pt idx="81">
                  <c:v>2.6910716835060717</c:v>
                </c:pt>
                <c:pt idx="82">
                  <c:v>3.6212279872661726</c:v>
                </c:pt>
                <c:pt idx="83">
                  <c:v>1.4277291956110953</c:v>
                </c:pt>
                <c:pt idx="84">
                  <c:v>-1.9028616429070642</c:v>
                </c:pt>
                <c:pt idx="85">
                  <c:v>-4.3650926252874003</c:v>
                </c:pt>
                <c:pt idx="86">
                  <c:v>-3.101727151252391</c:v>
                </c:pt>
                <c:pt idx="87">
                  <c:v>0.28253627663383046</c:v>
                </c:pt>
                <c:pt idx="88">
                  <c:v>2.9631421300319141</c:v>
                </c:pt>
                <c:pt idx="89">
                  <c:v>7.3546863040816426</c:v>
                </c:pt>
                <c:pt idx="90">
                  <c:v>10.703285977722206</c:v>
                </c:pt>
                <c:pt idx="91">
                  <c:v>12.186926222557833</c:v>
                </c:pt>
                <c:pt idx="92">
                  <c:v>7.3821650149662483</c:v>
                </c:pt>
                <c:pt idx="93">
                  <c:v>4.3436120056763166</c:v>
                </c:pt>
                <c:pt idx="94">
                  <c:v>4.0474601792726661</c:v>
                </c:pt>
                <c:pt idx="95">
                  <c:v>6.1070802601693366</c:v>
                </c:pt>
                <c:pt idx="96">
                  <c:v>6.0994326234480818</c:v>
                </c:pt>
                <c:pt idx="97">
                  <c:v>8.37856348118261</c:v>
                </c:pt>
                <c:pt idx="98">
                  <c:v>9.303638374575705</c:v>
                </c:pt>
                <c:pt idx="99">
                  <c:v>9.3893813628530118</c:v>
                </c:pt>
                <c:pt idx="100">
                  <c:v>8.7301229489013057</c:v>
                </c:pt>
                <c:pt idx="101">
                  <c:v>8.1254066492991619</c:v>
                </c:pt>
                <c:pt idx="102">
                  <c:v>6.6343354984188831</c:v>
                </c:pt>
                <c:pt idx="103">
                  <c:v>5.4681045758094182</c:v>
                </c:pt>
                <c:pt idx="104">
                  <c:v>3.3994380024539432</c:v>
                </c:pt>
                <c:pt idx="105">
                  <c:v>4.0960668862846781</c:v>
                </c:pt>
                <c:pt idx="106">
                  <c:v>3.8892280396879744</c:v>
                </c:pt>
                <c:pt idx="107">
                  <c:v>4.8158018790709463</c:v>
                </c:pt>
                <c:pt idx="108">
                  <c:v>4.0467841297608933</c:v>
                </c:pt>
                <c:pt idx="109">
                  <c:v>2.7562111093602151</c:v>
                </c:pt>
                <c:pt idx="110">
                  <c:v>1.4061780116975759</c:v>
                </c:pt>
                <c:pt idx="111">
                  <c:v>7.4322765574474356E-2</c:v>
                </c:pt>
                <c:pt idx="112">
                  <c:v>0.39087843619034579</c:v>
                </c:pt>
                <c:pt idx="113">
                  <c:v>-1.1879267101849131</c:v>
                </c:pt>
                <c:pt idx="114">
                  <c:v>-2.0445255785680398</c:v>
                </c:pt>
                <c:pt idx="115">
                  <c:v>-2.650877890777755</c:v>
                </c:pt>
                <c:pt idx="116">
                  <c:v>-3.7342445211538315</c:v>
                </c:pt>
                <c:pt idx="117">
                  <c:v>-4.901518607919586</c:v>
                </c:pt>
                <c:pt idx="118">
                  <c:v>-6.1525888700634273</c:v>
                </c:pt>
                <c:pt idx="119">
                  <c:v>-6.8778228083414277</c:v>
                </c:pt>
                <c:pt idx="120">
                  <c:v>-9.3586387463678165</c:v>
                </c:pt>
                <c:pt idx="121">
                  <c:v>-9.4188456402501952</c:v>
                </c:pt>
                <c:pt idx="122">
                  <c:v>-9.7562158558108294</c:v>
                </c:pt>
                <c:pt idx="123">
                  <c:v>-10.765197813915281</c:v>
                </c:pt>
                <c:pt idx="124">
                  <c:v>-9.684821766210943</c:v>
                </c:pt>
                <c:pt idx="125">
                  <c:v>-6.9627275628293352</c:v>
                </c:pt>
                <c:pt idx="126">
                  <c:v>-7.134942491473514</c:v>
                </c:pt>
                <c:pt idx="127">
                  <c:v>-7.9488968542385727</c:v>
                </c:pt>
                <c:pt idx="128">
                  <c:v>-10.930326364743753</c:v>
                </c:pt>
                <c:pt idx="129">
                  <c:v>-7.6667229180236776</c:v>
                </c:pt>
                <c:pt idx="130">
                  <c:v>-7.56733871507</c:v>
                </c:pt>
                <c:pt idx="131">
                  <c:v>-8.1097684548173543</c:v>
                </c:pt>
                <c:pt idx="132">
                  <c:v>-6.3163942752881637</c:v>
                </c:pt>
                <c:pt idx="133">
                  <c:v>-5.0170543248563453</c:v>
                </c:pt>
                <c:pt idx="134">
                  <c:v>-2.5781397471960479</c:v>
                </c:pt>
                <c:pt idx="135">
                  <c:v>-3.2280255543509377</c:v>
                </c:pt>
                <c:pt idx="136">
                  <c:v>-5.8106993760817645</c:v>
                </c:pt>
                <c:pt idx="137">
                  <c:v>-5.8151121171912452</c:v>
                </c:pt>
                <c:pt idx="138">
                  <c:v>-6.4648341363154547</c:v>
                </c:pt>
                <c:pt idx="139">
                  <c:v>-4.3689059646166859</c:v>
                </c:pt>
                <c:pt idx="140">
                  <c:v>-0.96073354424105439</c:v>
                </c:pt>
                <c:pt idx="141">
                  <c:v>0.49206966084392717</c:v>
                </c:pt>
                <c:pt idx="142">
                  <c:v>-1.533883933353974</c:v>
                </c:pt>
                <c:pt idx="143">
                  <c:v>-2.7258862075496122</c:v>
                </c:pt>
                <c:pt idx="144">
                  <c:v>-2.7540037133139066</c:v>
                </c:pt>
                <c:pt idx="145">
                  <c:v>-4.982006337908726</c:v>
                </c:pt>
                <c:pt idx="146">
                  <c:v>-3.6008379586214736</c:v>
                </c:pt>
                <c:pt idx="147">
                  <c:v>-6.0523771298420517</c:v>
                </c:pt>
                <c:pt idx="148">
                  <c:v>-6.9704966282076395</c:v>
                </c:pt>
                <c:pt idx="149">
                  <c:v>-8.7630526500767818</c:v>
                </c:pt>
                <c:pt idx="150">
                  <c:v>-9.4759378361915996</c:v>
                </c:pt>
                <c:pt idx="151">
                  <c:v>-9.9316912387030349</c:v>
                </c:pt>
                <c:pt idx="152">
                  <c:v>-9.9771915264816755</c:v>
                </c:pt>
                <c:pt idx="153">
                  <c:v>-9.7484706725628776</c:v>
                </c:pt>
                <c:pt idx="154">
                  <c:v>-8.6830915660836787</c:v>
                </c:pt>
                <c:pt idx="155">
                  <c:v>-6.1015735800260842</c:v>
                </c:pt>
                <c:pt idx="156">
                  <c:v>-7.0272424638092135</c:v>
                </c:pt>
                <c:pt idx="157">
                  <c:v>-7.9145488112217608</c:v>
                </c:pt>
                <c:pt idx="158">
                  <c:v>-10.186656193997983</c:v>
                </c:pt>
                <c:pt idx="159">
                  <c:v>-10.455352447433508</c:v>
                </c:pt>
                <c:pt idx="160">
                  <c:v>-9.6852969427233067</c:v>
                </c:pt>
                <c:pt idx="161">
                  <c:v>-10.34072648274867</c:v>
                </c:pt>
                <c:pt idx="162">
                  <c:v>-11.119741795605302</c:v>
                </c:pt>
                <c:pt idx="163">
                  <c:v>-10.697302944933824</c:v>
                </c:pt>
                <c:pt idx="164">
                  <c:v>-10.130769535594707</c:v>
                </c:pt>
                <c:pt idx="165">
                  <c:v>-8.5501853674184769</c:v>
                </c:pt>
                <c:pt idx="166">
                  <c:v>-7.4765612028063257</c:v>
                </c:pt>
                <c:pt idx="167">
                  <c:v>-6.1399388197788767</c:v>
                </c:pt>
                <c:pt idx="168">
                  <c:v>-8.5645121390087766</c:v>
                </c:pt>
                <c:pt idx="169">
                  <c:v>-7.2464439974085932</c:v>
                </c:pt>
                <c:pt idx="170">
                  <c:v>-7.7622851234904982</c:v>
                </c:pt>
                <c:pt idx="171">
                  <c:v>-8.2457394403685438</c:v>
                </c:pt>
                <c:pt idx="172">
                  <c:v>-9.026364666771407</c:v>
                </c:pt>
                <c:pt idx="173">
                  <c:v>-10.332999959819178</c:v>
                </c:pt>
                <c:pt idx="174">
                  <c:v>-11.465639416553195</c:v>
                </c:pt>
                <c:pt idx="175">
                  <c:v>-10.085154458571017</c:v>
                </c:pt>
                <c:pt idx="176">
                  <c:v>-9.4995672346928206</c:v>
                </c:pt>
                <c:pt idx="177">
                  <c:v>-6.5818884815584022</c:v>
                </c:pt>
                <c:pt idx="178">
                  <c:v>-0.55230130037411884</c:v>
                </c:pt>
                <c:pt idx="179">
                  <c:v>2.0526565730349766</c:v>
                </c:pt>
                <c:pt idx="180">
                  <c:v>3.7018663339729847</c:v>
                </c:pt>
                <c:pt idx="181">
                  <c:v>3.7812441533550385</c:v>
                </c:pt>
                <c:pt idx="182">
                  <c:v>6.5435388780328108</c:v>
                </c:pt>
                <c:pt idx="183">
                  <c:v>7.002824684863783</c:v>
                </c:pt>
                <c:pt idx="184">
                  <c:v>3.2730641658910558</c:v>
                </c:pt>
                <c:pt idx="185">
                  <c:v>1.0413250817605084</c:v>
                </c:pt>
                <c:pt idx="186">
                  <c:v>0.80799468707607591</c:v>
                </c:pt>
                <c:pt idx="187">
                  <c:v>0.60305485917037682</c:v>
                </c:pt>
                <c:pt idx="188">
                  <c:v>4.2926672380656434</c:v>
                </c:pt>
                <c:pt idx="189">
                  <c:v>3.4432864453436638</c:v>
                </c:pt>
                <c:pt idx="190">
                  <c:v>2.2505926983427162</c:v>
                </c:pt>
                <c:pt idx="191">
                  <c:v>1.1435458630363933</c:v>
                </c:pt>
                <c:pt idx="192">
                  <c:v>0.4603443928431793</c:v>
                </c:pt>
                <c:pt idx="193">
                  <c:v>-1.1996248191303074</c:v>
                </c:pt>
                <c:pt idx="194">
                  <c:v>-2.3516998684266577</c:v>
                </c:pt>
                <c:pt idx="195">
                  <c:v>-4.1551563574654784</c:v>
                </c:pt>
                <c:pt idx="196">
                  <c:v>-4.0851540293485744</c:v>
                </c:pt>
                <c:pt idx="197">
                  <c:v>-4.5944895673799921</c:v>
                </c:pt>
                <c:pt idx="198">
                  <c:v>-5.575267166576217</c:v>
                </c:pt>
                <c:pt idx="199">
                  <c:v>-6.2271322430693461</c:v>
                </c:pt>
                <c:pt idx="200">
                  <c:v>-7.0170667030592853</c:v>
                </c:pt>
                <c:pt idx="201">
                  <c:v>-7.1398887111952494</c:v>
                </c:pt>
                <c:pt idx="202">
                  <c:v>-6.8443647674987256</c:v>
                </c:pt>
                <c:pt idx="203">
                  <c:v>-7.7824227839355524</c:v>
                </c:pt>
                <c:pt idx="204">
                  <c:v>-8.2354864104153673</c:v>
                </c:pt>
                <c:pt idx="205">
                  <c:v>-8.1980071900213058</c:v>
                </c:pt>
                <c:pt idx="206">
                  <c:v>-7.4427243989802436</c:v>
                </c:pt>
                <c:pt idx="207">
                  <c:v>-8.464615181792615</c:v>
                </c:pt>
                <c:pt idx="208">
                  <c:v>-8.46350898917294</c:v>
                </c:pt>
                <c:pt idx="209">
                  <c:v>-9.2192951803903096</c:v>
                </c:pt>
                <c:pt idx="210">
                  <c:v>-10.323500081031877</c:v>
                </c:pt>
                <c:pt idx="211">
                  <c:v>-10.740547093086168</c:v>
                </c:pt>
                <c:pt idx="212">
                  <c:v>-10.888987929573407</c:v>
                </c:pt>
                <c:pt idx="213">
                  <c:v>-8.6977525545830119</c:v>
                </c:pt>
                <c:pt idx="214">
                  <c:v>-7.8195324290603443</c:v>
                </c:pt>
                <c:pt idx="215">
                  <c:v>-7.5403575017034399</c:v>
                </c:pt>
                <c:pt idx="216">
                  <c:v>-6.7039421454355459</c:v>
                </c:pt>
                <c:pt idx="217">
                  <c:v>-7.1171003370279911</c:v>
                </c:pt>
                <c:pt idx="218">
                  <c:v>-7.6325492057403421</c:v>
                </c:pt>
                <c:pt idx="219">
                  <c:v>-8.6227563786352341</c:v>
                </c:pt>
                <c:pt idx="220">
                  <c:v>-9.762952872597074</c:v>
                </c:pt>
                <c:pt idx="221">
                  <c:v>-9.5758604364319524</c:v>
                </c:pt>
                <c:pt idx="222">
                  <c:v>-11.685684294865554</c:v>
                </c:pt>
                <c:pt idx="223">
                  <c:v>-10.724502790411261</c:v>
                </c:pt>
                <c:pt idx="224">
                  <c:v>-8.8430721789936193</c:v>
                </c:pt>
                <c:pt idx="225">
                  <c:v>-8.4499056874325102</c:v>
                </c:pt>
                <c:pt idx="226">
                  <c:v>-10.642182669384564</c:v>
                </c:pt>
                <c:pt idx="227">
                  <c:v>-10.156191691314893</c:v>
                </c:pt>
                <c:pt idx="228">
                  <c:v>-9.2042674244605944</c:v>
                </c:pt>
                <c:pt idx="229">
                  <c:v>-8.2578937848884504</c:v>
                </c:pt>
                <c:pt idx="230">
                  <c:v>-7.424068761003551</c:v>
                </c:pt>
                <c:pt idx="231">
                  <c:v>-7.9775055576384188</c:v>
                </c:pt>
                <c:pt idx="232">
                  <c:v>-8.3297128677113346</c:v>
                </c:pt>
                <c:pt idx="233">
                  <c:v>-7.9415964522789677</c:v>
                </c:pt>
                <c:pt idx="234">
                  <c:v>-4.804693765782039</c:v>
                </c:pt>
                <c:pt idx="235">
                  <c:v>-1.937707857889184</c:v>
                </c:pt>
                <c:pt idx="236">
                  <c:v>-3.176198402566901</c:v>
                </c:pt>
                <c:pt idx="237">
                  <c:v>-4.0774999050467375</c:v>
                </c:pt>
                <c:pt idx="238">
                  <c:v>-4.2672539076843838</c:v>
                </c:pt>
                <c:pt idx="239">
                  <c:v>-3.7858364283554096</c:v>
                </c:pt>
                <c:pt idx="240">
                  <c:v>1.2800597144205996</c:v>
                </c:pt>
                <c:pt idx="241">
                  <c:v>1.0761531594965321</c:v>
                </c:pt>
                <c:pt idx="242">
                  <c:v>1.1426121329115617</c:v>
                </c:pt>
                <c:pt idx="243">
                  <c:v>-0.48665505642791052</c:v>
                </c:pt>
                <c:pt idx="244">
                  <c:v>-2.3442639299345367</c:v>
                </c:pt>
                <c:pt idx="245">
                  <c:v>-3.0974445908453614</c:v>
                </c:pt>
                <c:pt idx="246">
                  <c:v>-2.5608184742669491</c:v>
                </c:pt>
                <c:pt idx="247">
                  <c:v>-3.3967729313632749</c:v>
                </c:pt>
                <c:pt idx="248">
                  <c:v>-3.5749737519514642</c:v>
                </c:pt>
                <c:pt idx="249">
                  <c:v>-5.0461355368128782</c:v>
                </c:pt>
                <c:pt idx="250">
                  <c:v>-5.2706330649047208</c:v>
                </c:pt>
                <c:pt idx="251">
                  <c:v>-5.9294914395995857</c:v>
                </c:pt>
                <c:pt idx="252">
                  <c:v>-6.8736380317128392</c:v>
                </c:pt>
                <c:pt idx="253">
                  <c:v>-7.5070169362508334</c:v>
                </c:pt>
                <c:pt idx="254">
                  <c:v>-7.7078600078856985</c:v>
                </c:pt>
                <c:pt idx="255">
                  <c:v>-9.1116118073273</c:v>
                </c:pt>
                <c:pt idx="256">
                  <c:v>-8.9980717640773626</c:v>
                </c:pt>
                <c:pt idx="257">
                  <c:v>-8.4476366577501487</c:v>
                </c:pt>
                <c:pt idx="258">
                  <c:v>-8.8312203817095014</c:v>
                </c:pt>
                <c:pt idx="259">
                  <c:v>-7.2680907574187605</c:v>
                </c:pt>
                <c:pt idx="260">
                  <c:v>-7.2655973395907774</c:v>
                </c:pt>
                <c:pt idx="261">
                  <c:v>-6.1210634722554609</c:v>
                </c:pt>
                <c:pt idx="262">
                  <c:v>-2.8484155119905976</c:v>
                </c:pt>
                <c:pt idx="263">
                  <c:v>-2.5681781703537641</c:v>
                </c:pt>
                <c:pt idx="264">
                  <c:v>-3.5222383015381622</c:v>
                </c:pt>
                <c:pt idx="265">
                  <c:v>-3.5479403804570033</c:v>
                </c:pt>
                <c:pt idx="266">
                  <c:v>-4.6230047349952512</c:v>
                </c:pt>
                <c:pt idx="267">
                  <c:v>-4.2055229757998625</c:v>
                </c:pt>
                <c:pt idx="268">
                  <c:v>-4.2362474521855038</c:v>
                </c:pt>
                <c:pt idx="269">
                  <c:v>-2.7009936527297751</c:v>
                </c:pt>
                <c:pt idx="270">
                  <c:v>-1.9279310995364254</c:v>
                </c:pt>
                <c:pt idx="271">
                  <c:v>-2.5651045338557577</c:v>
                </c:pt>
                <c:pt idx="272">
                  <c:v>-3.4048701712099714</c:v>
                </c:pt>
                <c:pt idx="273">
                  <c:v>-4.1932028695706229</c:v>
                </c:pt>
                <c:pt idx="274">
                  <c:v>-4.6660802771701153</c:v>
                </c:pt>
                <c:pt idx="275">
                  <c:v>-5.7546227574936282</c:v>
                </c:pt>
                <c:pt idx="276">
                  <c:v>-5.872169083772123</c:v>
                </c:pt>
                <c:pt idx="277">
                  <c:v>-5.715546904019825</c:v>
                </c:pt>
                <c:pt idx="278">
                  <c:v>-6.1566306631615833</c:v>
                </c:pt>
                <c:pt idx="279">
                  <c:v>-6.1571273636824033</c:v>
                </c:pt>
                <c:pt idx="280">
                  <c:v>-7.9805280253955804</c:v>
                </c:pt>
                <c:pt idx="281">
                  <c:v>-8.8974658849414254</c:v>
                </c:pt>
                <c:pt idx="282">
                  <c:v>-8.6350757406239715</c:v>
                </c:pt>
                <c:pt idx="283">
                  <c:v>-8.1821183532854427</c:v>
                </c:pt>
                <c:pt idx="284">
                  <c:v>-8.1138318491445407</c:v>
                </c:pt>
                <c:pt idx="285">
                  <c:v>-7.3050819952426185</c:v>
                </c:pt>
                <c:pt idx="286">
                  <c:v>-6.9798718993937454</c:v>
                </c:pt>
                <c:pt idx="287">
                  <c:v>-7.3274906019986821</c:v>
                </c:pt>
                <c:pt idx="288">
                  <c:v>-6.7300186225802348</c:v>
                </c:pt>
                <c:pt idx="289">
                  <c:v>-5.368357769823505</c:v>
                </c:pt>
                <c:pt idx="290">
                  <c:v>-2.335633386325652</c:v>
                </c:pt>
                <c:pt idx="291">
                  <c:v>-1.3600542936560123</c:v>
                </c:pt>
                <c:pt idx="292">
                  <c:v>-2.4147631621695762</c:v>
                </c:pt>
                <c:pt idx="293">
                  <c:v>-4.5298427917188935</c:v>
                </c:pt>
                <c:pt idx="294">
                  <c:v>-5.9618314113373385</c:v>
                </c:pt>
                <c:pt idx="295">
                  <c:v>-6.0694241843185077</c:v>
                </c:pt>
                <c:pt idx="296">
                  <c:v>-4.2014222497373055</c:v>
                </c:pt>
                <c:pt idx="297">
                  <c:v>-1.6591855796859074</c:v>
                </c:pt>
                <c:pt idx="298">
                  <c:v>-0.64077456658692555</c:v>
                </c:pt>
                <c:pt idx="299">
                  <c:v>0.14928097195473444</c:v>
                </c:pt>
                <c:pt idx="300">
                  <c:v>-0.99144689217966386</c:v>
                </c:pt>
                <c:pt idx="301">
                  <c:v>-0.69448259552705827</c:v>
                </c:pt>
                <c:pt idx="302">
                  <c:v>1.7516198845193121</c:v>
                </c:pt>
                <c:pt idx="303">
                  <c:v>2.84030179506814</c:v>
                </c:pt>
                <c:pt idx="304">
                  <c:v>1.0243258693481339</c:v>
                </c:pt>
                <c:pt idx="305">
                  <c:v>1.0231412888189124</c:v>
                </c:pt>
                <c:pt idx="306">
                  <c:v>2.5124755675439285</c:v>
                </c:pt>
                <c:pt idx="307">
                  <c:v>3.4210677751575038</c:v>
                </c:pt>
                <c:pt idx="308">
                  <c:v>1.8005410752945155</c:v>
                </c:pt>
                <c:pt idx="309">
                  <c:v>0.58794667869164219</c:v>
                </c:pt>
                <c:pt idx="310">
                  <c:v>-0.17709747056496861</c:v>
                </c:pt>
                <c:pt idx="311">
                  <c:v>-0.51704366593435824</c:v>
                </c:pt>
                <c:pt idx="312">
                  <c:v>-1.3744926351231159</c:v>
                </c:pt>
                <c:pt idx="313">
                  <c:v>-2.0564489454027437</c:v>
                </c:pt>
                <c:pt idx="314">
                  <c:v>-1.7539454892713939</c:v>
                </c:pt>
                <c:pt idx="315">
                  <c:v>-0.41255467220845371</c:v>
                </c:pt>
                <c:pt idx="316">
                  <c:v>-0.61554705003325827</c:v>
                </c:pt>
                <c:pt idx="317">
                  <c:v>-1.3258972619657681</c:v>
                </c:pt>
                <c:pt idx="318">
                  <c:v>-1.5808879204208075</c:v>
                </c:pt>
                <c:pt idx="319">
                  <c:v>-1.956718588461525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A-D146-9372-905ECCFEE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'240828A006'!$A$2:$A$321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'240828A006'!$J$2:$J$321</c:f>
              <c:numCache>
                <c:formatCode>0.0</c:formatCode>
                <c:ptCount val="320"/>
                <c:pt idx="0">
                  <c:v>951.93985669745996</c:v>
                </c:pt>
                <c:pt idx="1">
                  <c:v>899.24250214224003</c:v>
                </c:pt>
                <c:pt idx="2">
                  <c:v>901.65895458444993</c:v>
                </c:pt>
                <c:pt idx="3">
                  <c:v>863.92116538131995</c:v>
                </c:pt>
                <c:pt idx="4">
                  <c:v>933.35818337618002</c:v>
                </c:pt>
                <c:pt idx="5">
                  <c:v>921.63706094934003</c:v>
                </c:pt>
                <c:pt idx="6">
                  <c:v>897.47643530423011</c:v>
                </c:pt>
                <c:pt idx="7">
                  <c:v>880.18934378270001</c:v>
                </c:pt>
                <c:pt idx="8">
                  <c:v>877.76740491726002</c:v>
                </c:pt>
                <c:pt idx="9">
                  <c:v>779.19148594906994</c:v>
                </c:pt>
                <c:pt idx="10">
                  <c:v>729.57240788346996</c:v>
                </c:pt>
                <c:pt idx="11">
                  <c:v>682.25278491860001</c:v>
                </c:pt>
                <c:pt idx="12">
                  <c:v>723.34104541559998</c:v>
                </c:pt>
                <c:pt idx="13">
                  <c:v>758.51928020564992</c:v>
                </c:pt>
                <c:pt idx="14">
                  <c:v>856.67009425878996</c:v>
                </c:pt>
                <c:pt idx="15">
                  <c:v>979.26717680957006</c:v>
                </c:pt>
                <c:pt idx="16">
                  <c:v>952.81264124385007</c:v>
                </c:pt>
                <c:pt idx="17">
                  <c:v>950.91173950300004</c:v>
                </c:pt>
                <c:pt idx="18">
                  <c:v>951.80891173946009</c:v>
                </c:pt>
                <c:pt idx="19">
                  <c:v>948.01371036844012</c:v>
                </c:pt>
                <c:pt idx="20">
                  <c:v>927.65809768641986</c:v>
                </c:pt>
                <c:pt idx="21">
                  <c:v>1142.1569857766601</c:v>
                </c:pt>
                <c:pt idx="22">
                  <c:v>1064.13393477879</c:v>
                </c:pt>
                <c:pt idx="23">
                  <c:v>1111.8774305111401</c:v>
                </c:pt>
                <c:pt idx="24">
                  <c:v>1114.3009380314102</c:v>
                </c:pt>
                <c:pt idx="25">
                  <c:v>1020.3172565740801</c:v>
                </c:pt>
                <c:pt idx="26">
                  <c:v>1001.79953216015</c:v>
                </c:pt>
                <c:pt idx="27">
                  <c:v>933.84314944567996</c:v>
                </c:pt>
                <c:pt idx="28">
                  <c:v>847.91132354734998</c:v>
                </c:pt>
                <c:pt idx="29">
                  <c:v>806.66084034798996</c:v>
                </c:pt>
                <c:pt idx="30">
                  <c:v>890.65907216903997</c:v>
                </c:pt>
                <c:pt idx="31">
                  <c:v>892.03679370214991</c:v>
                </c:pt>
                <c:pt idx="32">
                  <c:v>873.27707863912997</c:v>
                </c:pt>
                <c:pt idx="33">
                  <c:v>850.81562067784</c:v>
                </c:pt>
                <c:pt idx="34">
                  <c:v>836.87083401311997</c:v>
                </c:pt>
                <c:pt idx="35">
                  <c:v>978.27138695903989</c:v>
                </c:pt>
                <c:pt idx="36">
                  <c:v>977.43004050063996</c:v>
                </c:pt>
                <c:pt idx="37">
                  <c:v>971.84271662157994</c:v>
                </c:pt>
                <c:pt idx="38">
                  <c:v>962.26257554277015</c:v>
                </c:pt>
                <c:pt idx="39">
                  <c:v>959.29863806358992</c:v>
                </c:pt>
                <c:pt idx="40">
                  <c:v>959.65854834048014</c:v>
                </c:pt>
                <c:pt idx="41">
                  <c:v>952.84864938451994</c:v>
                </c:pt>
                <c:pt idx="42">
                  <c:v>939.10099602567004</c:v>
                </c:pt>
                <c:pt idx="43">
                  <c:v>916.97698824731003</c:v>
                </c:pt>
                <c:pt idx="44">
                  <c:v>897.10106567086007</c:v>
                </c:pt>
                <c:pt idx="45">
                  <c:v>881.19197369741005</c:v>
                </c:pt>
                <c:pt idx="46">
                  <c:v>905.4440558568499</c:v>
                </c:pt>
                <c:pt idx="47">
                  <c:v>916.27474366422007</c:v>
                </c:pt>
                <c:pt idx="48">
                  <c:v>907.45445528283017</c:v>
                </c:pt>
                <c:pt idx="49">
                  <c:v>899.55470868399004</c:v>
                </c:pt>
                <c:pt idx="50">
                  <c:v>914.27229989086993</c:v>
                </c:pt>
                <c:pt idx="51">
                  <c:v>924.91087526848003</c:v>
                </c:pt>
                <c:pt idx="52">
                  <c:v>912.71927418982</c:v>
                </c:pt>
                <c:pt idx="53">
                  <c:v>909.40660911956002</c:v>
                </c:pt>
                <c:pt idx="54">
                  <c:v>914.24468818108005</c:v>
                </c:pt>
                <c:pt idx="55">
                  <c:v>928.30164916564001</c:v>
                </c:pt>
                <c:pt idx="56">
                  <c:v>926.59253264204995</c:v>
                </c:pt>
                <c:pt idx="57">
                  <c:v>927.1030238333899</c:v>
                </c:pt>
                <c:pt idx="58">
                  <c:v>938.01263053173989</c:v>
                </c:pt>
                <c:pt idx="59">
                  <c:v>915.04347087274004</c:v>
                </c:pt>
                <c:pt idx="60">
                  <c:v>929.26169124303988</c:v>
                </c:pt>
                <c:pt idx="61">
                  <c:v>917.20646486025009</c:v>
                </c:pt>
                <c:pt idx="62">
                  <c:v>910.0018345374599</c:v>
                </c:pt>
                <c:pt idx="63">
                  <c:v>908.52663700649987</c:v>
                </c:pt>
                <c:pt idx="64">
                  <c:v>943.70794498278008</c:v>
                </c:pt>
                <c:pt idx="65">
                  <c:v>941.3381363566499</c:v>
                </c:pt>
                <c:pt idx="66">
                  <c:v>928.41247335922992</c:v>
                </c:pt>
                <c:pt idx="67">
                  <c:v>909.94344473006004</c:v>
                </c:pt>
                <c:pt idx="68">
                  <c:v>894.74550128533008</c:v>
                </c:pt>
                <c:pt idx="69">
                  <c:v>901.65562698806991</c:v>
                </c:pt>
                <c:pt idx="70">
                  <c:v>893.80417544368993</c:v>
                </c:pt>
                <c:pt idx="71">
                  <c:v>914.86069859817997</c:v>
                </c:pt>
                <c:pt idx="72">
                  <c:v>894.67704505940003</c:v>
                </c:pt>
                <c:pt idx="73">
                  <c:v>898.93682197483997</c:v>
                </c:pt>
                <c:pt idx="74">
                  <c:v>898.61434219285002</c:v>
                </c:pt>
                <c:pt idx="75">
                  <c:v>881.57227622277003</c:v>
                </c:pt>
                <c:pt idx="76">
                  <c:v>882.17634032273008</c:v>
                </c:pt>
                <c:pt idx="77">
                  <c:v>866.82631517624009</c:v>
                </c:pt>
                <c:pt idx="78">
                  <c:v>897.83491586623006</c:v>
                </c:pt>
                <c:pt idx="79">
                  <c:v>902.72743416698995</c:v>
                </c:pt>
                <c:pt idx="80">
                  <c:v>958.13731462461988</c:v>
                </c:pt>
                <c:pt idx="81">
                  <c:v>926.88078679876992</c:v>
                </c:pt>
                <c:pt idx="82">
                  <c:v>902.63239950428988</c:v>
                </c:pt>
                <c:pt idx="83">
                  <c:v>895.45398078038011</c:v>
                </c:pt>
                <c:pt idx="84">
                  <c:v>891.07347499161995</c:v>
                </c:pt>
                <c:pt idx="85">
                  <c:v>906.97226321808989</c:v>
                </c:pt>
                <c:pt idx="86">
                  <c:v>921.74787271780008</c:v>
                </c:pt>
                <c:pt idx="87">
                  <c:v>899.45104294853002</c:v>
                </c:pt>
                <c:pt idx="88">
                  <c:v>887.85535648860002</c:v>
                </c:pt>
                <c:pt idx="89">
                  <c:v>886.38302028093005</c:v>
                </c:pt>
                <c:pt idx="90">
                  <c:v>887.80006758836998</c:v>
                </c:pt>
                <c:pt idx="91">
                  <c:v>888.21409093628995</c:v>
                </c:pt>
                <c:pt idx="92">
                  <c:v>862.57501580224994</c:v>
                </c:pt>
                <c:pt idx="93">
                  <c:v>852.77290158518997</c:v>
                </c:pt>
                <c:pt idx="94">
                  <c:v>853.1913004795</c:v>
                </c:pt>
                <c:pt idx="95">
                  <c:v>905.29992087368009</c:v>
                </c:pt>
                <c:pt idx="96">
                  <c:v>887.45372641254994</c:v>
                </c:pt>
                <c:pt idx="97">
                  <c:v>873.02980011333</c:v>
                </c:pt>
                <c:pt idx="98">
                  <c:v>872.56656792913998</c:v>
                </c:pt>
                <c:pt idx="99">
                  <c:v>852.85780403936997</c:v>
                </c:pt>
                <c:pt idx="100">
                  <c:v>862.59712305099993</c:v>
                </c:pt>
                <c:pt idx="101">
                  <c:v>846.14916907530994</c:v>
                </c:pt>
                <c:pt idx="102">
                  <c:v>824.26376919695997</c:v>
                </c:pt>
                <c:pt idx="103">
                  <c:v>850.40188517566992</c:v>
                </c:pt>
                <c:pt idx="104">
                  <c:v>856.0841745386</c:v>
                </c:pt>
                <c:pt idx="105">
                  <c:v>953.12857335590991</c:v>
                </c:pt>
                <c:pt idx="106">
                  <c:v>966.39898249735006</c:v>
                </c:pt>
                <c:pt idx="107">
                  <c:v>953.55764807210005</c:v>
                </c:pt>
                <c:pt idx="108">
                  <c:v>908.28006234920986</c:v>
                </c:pt>
                <c:pt idx="109">
                  <c:v>921.53779464137006</c:v>
                </c:pt>
                <c:pt idx="110">
                  <c:v>987.11666429653997</c:v>
                </c:pt>
                <c:pt idx="111">
                  <c:v>958.28560010212004</c:v>
                </c:pt>
                <c:pt idx="112">
                  <c:v>937.40403731652998</c:v>
                </c:pt>
                <c:pt idx="113">
                  <c:v>901.53455912086997</c:v>
                </c:pt>
                <c:pt idx="114">
                  <c:v>903.70124184525002</c:v>
                </c:pt>
                <c:pt idx="115">
                  <c:v>900.72849397612003</c:v>
                </c:pt>
                <c:pt idx="116">
                  <c:v>853.19000382869001</c:v>
                </c:pt>
                <c:pt idx="117">
                  <c:v>878.87505067972995</c:v>
                </c:pt>
                <c:pt idx="118">
                  <c:v>908.68795140164991</c:v>
                </c:pt>
                <c:pt idx="119">
                  <c:v>912.01474432957991</c:v>
                </c:pt>
                <c:pt idx="120">
                  <c:v>952.28191945157005</c:v>
                </c:pt>
                <c:pt idx="121">
                  <c:v>930.18423307629996</c:v>
                </c:pt>
                <c:pt idx="122">
                  <c:v>919.88003427595993</c:v>
                </c:pt>
                <c:pt idx="123">
                  <c:v>900.90231362463999</c:v>
                </c:pt>
                <c:pt idx="124">
                  <c:v>918.81319622966998</c:v>
                </c:pt>
                <c:pt idx="125">
                  <c:v>874.19332134412002</c:v>
                </c:pt>
                <c:pt idx="126">
                  <c:v>864.96329387189007</c:v>
                </c:pt>
                <c:pt idx="127">
                  <c:v>883.18111728162</c:v>
                </c:pt>
                <c:pt idx="128">
                  <c:v>852.49008116708001</c:v>
                </c:pt>
                <c:pt idx="129">
                  <c:v>896.03341902314992</c:v>
                </c:pt>
                <c:pt idx="130">
                  <c:v>874.64540068025008</c:v>
                </c:pt>
                <c:pt idx="131">
                  <c:v>872.47202286426</c:v>
                </c:pt>
                <c:pt idx="132">
                  <c:v>874.15408038128999</c:v>
                </c:pt>
                <c:pt idx="133">
                  <c:v>887.04461764153007</c:v>
                </c:pt>
                <c:pt idx="134">
                  <c:v>875.23985819002996</c:v>
                </c:pt>
                <c:pt idx="135">
                  <c:v>848.72252043458002</c:v>
                </c:pt>
                <c:pt idx="136">
                  <c:v>834.76092544987</c:v>
                </c:pt>
                <c:pt idx="137">
                  <c:v>840.80805484148004</c:v>
                </c:pt>
                <c:pt idx="138">
                  <c:v>846.78748928876996</c:v>
                </c:pt>
                <c:pt idx="139">
                  <c:v>837.34655717656995</c:v>
                </c:pt>
                <c:pt idx="140">
                  <c:v>832.95785819435991</c:v>
                </c:pt>
                <c:pt idx="141">
                  <c:v>829.78421110452007</c:v>
                </c:pt>
                <c:pt idx="142">
                  <c:v>826.00085470086003</c:v>
                </c:pt>
                <c:pt idx="143">
                  <c:v>812.61521619660994</c:v>
                </c:pt>
                <c:pt idx="144">
                  <c:v>859.85668508520996</c:v>
                </c:pt>
                <c:pt idx="145">
                  <c:v>978.98520344348992</c:v>
                </c:pt>
                <c:pt idx="146">
                  <c:v>978.48536681825988</c:v>
                </c:pt>
                <c:pt idx="147">
                  <c:v>955.44093775407009</c:v>
                </c:pt>
                <c:pt idx="148">
                  <c:v>933.80377035131005</c:v>
                </c:pt>
                <c:pt idx="149">
                  <c:v>951.12954488056994</c:v>
                </c:pt>
                <c:pt idx="150">
                  <c:v>906.65368356297995</c:v>
                </c:pt>
                <c:pt idx="151">
                  <c:v>889.92417040368991</c:v>
                </c:pt>
                <c:pt idx="152">
                  <c:v>871.77639885296003</c:v>
                </c:pt>
                <c:pt idx="153">
                  <c:v>884.11261154003</c:v>
                </c:pt>
                <c:pt idx="154">
                  <c:v>875.53958351800998</c:v>
                </c:pt>
                <c:pt idx="155">
                  <c:v>876.26781461454993</c:v>
                </c:pt>
                <c:pt idx="156">
                  <c:v>864.67312512535</c:v>
                </c:pt>
                <c:pt idx="157">
                  <c:v>864.23444125382002</c:v>
                </c:pt>
                <c:pt idx="158">
                  <c:v>862.85749160571004</c:v>
                </c:pt>
                <c:pt idx="159">
                  <c:v>868.84956981951007</c:v>
                </c:pt>
                <c:pt idx="160">
                  <c:v>877.76018717657007</c:v>
                </c:pt>
                <c:pt idx="161">
                  <c:v>862.54144756085998</c:v>
                </c:pt>
                <c:pt idx="162">
                  <c:v>850.22600192418008</c:v>
                </c:pt>
                <c:pt idx="163">
                  <c:v>841.39447136684009</c:v>
                </c:pt>
                <c:pt idx="164">
                  <c:v>822.70694087404001</c:v>
                </c:pt>
                <c:pt idx="165">
                  <c:v>801.95792133501004</c:v>
                </c:pt>
                <c:pt idx="166">
                  <c:v>806.64483038975993</c:v>
                </c:pt>
                <c:pt idx="167">
                  <c:v>814.67593269774</c:v>
                </c:pt>
                <c:pt idx="168">
                  <c:v>861.83049171361995</c:v>
                </c:pt>
                <c:pt idx="169">
                  <c:v>875.6487461941</c:v>
                </c:pt>
                <c:pt idx="170">
                  <c:v>909.06241718169997</c:v>
                </c:pt>
                <c:pt idx="171">
                  <c:v>932.3340166639</c:v>
                </c:pt>
                <c:pt idx="172">
                  <c:v>942.68761118970008</c:v>
                </c:pt>
                <c:pt idx="173">
                  <c:v>912.07922018614011</c:v>
                </c:pt>
                <c:pt idx="174">
                  <c:v>912.4478439374999</c:v>
                </c:pt>
                <c:pt idx="175">
                  <c:v>981.28990863655997</c:v>
                </c:pt>
                <c:pt idx="176">
                  <c:v>998.63953619295</c:v>
                </c:pt>
                <c:pt idx="177">
                  <c:v>996.11959942216004</c:v>
                </c:pt>
                <c:pt idx="178">
                  <c:v>1042.6449140146699</c:v>
                </c:pt>
                <c:pt idx="179">
                  <c:v>1036.6517913601199</c:v>
                </c:pt>
                <c:pt idx="180">
                  <c:v>964.11453771829997</c:v>
                </c:pt>
                <c:pt idx="181">
                  <c:v>960.84505436874997</c:v>
                </c:pt>
                <c:pt idx="182">
                  <c:v>902.27797328844997</c:v>
                </c:pt>
                <c:pt idx="183">
                  <c:v>880.55692683865993</c:v>
                </c:pt>
                <c:pt idx="184">
                  <c:v>890.04260629972998</c:v>
                </c:pt>
                <c:pt idx="185">
                  <c:v>897.97442380992993</c:v>
                </c:pt>
                <c:pt idx="186">
                  <c:v>889.76821647019005</c:v>
                </c:pt>
                <c:pt idx="187">
                  <c:v>901.57996616352</c:v>
                </c:pt>
                <c:pt idx="188">
                  <c:v>896.06089908382</c:v>
                </c:pt>
                <c:pt idx="189">
                  <c:v>899.85994601094001</c:v>
                </c:pt>
                <c:pt idx="190">
                  <c:v>891.31072987291998</c:v>
                </c:pt>
                <c:pt idx="191">
                  <c:v>896.8136983469301</c:v>
                </c:pt>
                <c:pt idx="192">
                  <c:v>883.25281570531001</c:v>
                </c:pt>
                <c:pt idx="193">
                  <c:v>886.47316677693993</c:v>
                </c:pt>
                <c:pt idx="194">
                  <c:v>892.85442009209009</c:v>
                </c:pt>
                <c:pt idx="195">
                  <c:v>897.43548971281996</c:v>
                </c:pt>
                <c:pt idx="196">
                  <c:v>881.77359561483001</c:v>
                </c:pt>
                <c:pt idx="197">
                  <c:v>897.67030627475003</c:v>
                </c:pt>
                <c:pt idx="198">
                  <c:v>878.42897022056002</c:v>
                </c:pt>
                <c:pt idx="199">
                  <c:v>879.74168278874993</c:v>
                </c:pt>
                <c:pt idx="200">
                  <c:v>861.70202916986</c:v>
                </c:pt>
                <c:pt idx="201">
                  <c:v>882.75566259422999</c:v>
                </c:pt>
                <c:pt idx="202">
                  <c:v>877.79594563555997</c:v>
                </c:pt>
                <c:pt idx="203">
                  <c:v>880.77532060751003</c:v>
                </c:pt>
                <c:pt idx="204">
                  <c:v>866.92702498725998</c:v>
                </c:pt>
                <c:pt idx="205">
                  <c:v>826.85200699533004</c:v>
                </c:pt>
                <c:pt idx="206">
                  <c:v>869.67257699071001</c:v>
                </c:pt>
                <c:pt idx="207">
                  <c:v>845.44231591071002</c:v>
                </c:pt>
                <c:pt idx="208">
                  <c:v>834.36572145790001</c:v>
                </c:pt>
                <c:pt idx="209">
                  <c:v>854.77652187361991</c:v>
                </c:pt>
                <c:pt idx="210">
                  <c:v>868.92326727589</c:v>
                </c:pt>
                <c:pt idx="211">
                  <c:v>884.24089986030992</c:v>
                </c:pt>
                <c:pt idx="212">
                  <c:v>880.90822984383999</c:v>
                </c:pt>
                <c:pt idx="213">
                  <c:v>891.76380149239992</c:v>
                </c:pt>
                <c:pt idx="214">
                  <c:v>888.39721992414002</c:v>
                </c:pt>
                <c:pt idx="215">
                  <c:v>878.21957078995001</c:v>
                </c:pt>
                <c:pt idx="216">
                  <c:v>871.82925264003006</c:v>
                </c:pt>
                <c:pt idx="217">
                  <c:v>865.60207806919004</c:v>
                </c:pt>
                <c:pt idx="218">
                  <c:v>845.76914245069997</c:v>
                </c:pt>
                <c:pt idx="219">
                  <c:v>839.5638176819599</c:v>
                </c:pt>
                <c:pt idx="220">
                  <c:v>829.47489419933004</c:v>
                </c:pt>
                <c:pt idx="221">
                  <c:v>828.78936921812999</c:v>
                </c:pt>
                <c:pt idx="222">
                  <c:v>842.97081462783001</c:v>
                </c:pt>
                <c:pt idx="223">
                  <c:v>828.77308706540998</c:v>
                </c:pt>
                <c:pt idx="224">
                  <c:v>849.44556929194994</c:v>
                </c:pt>
                <c:pt idx="225">
                  <c:v>833.35530528458992</c:v>
                </c:pt>
                <c:pt idx="226">
                  <c:v>826.81054483455</c:v>
                </c:pt>
                <c:pt idx="227">
                  <c:v>820.90008114119996</c:v>
                </c:pt>
                <c:pt idx="228">
                  <c:v>821.96404843234995</c:v>
                </c:pt>
                <c:pt idx="229">
                  <c:v>886.64391705113007</c:v>
                </c:pt>
                <c:pt idx="230">
                  <c:v>889.00338276298999</c:v>
                </c:pt>
                <c:pt idx="231">
                  <c:v>897.39994576405002</c:v>
                </c:pt>
                <c:pt idx="232">
                  <c:v>899.28007925204008</c:v>
                </c:pt>
                <c:pt idx="233">
                  <c:v>888.54285739485999</c:v>
                </c:pt>
                <c:pt idx="234">
                  <c:v>891.79854334649997</c:v>
                </c:pt>
                <c:pt idx="235">
                  <c:v>882.83247826476997</c:v>
                </c:pt>
                <c:pt idx="236">
                  <c:v>875.88134486889999</c:v>
                </c:pt>
                <c:pt idx="237">
                  <c:v>875.79796305605998</c:v>
                </c:pt>
                <c:pt idx="238">
                  <c:v>864.47791347159</c:v>
                </c:pt>
                <c:pt idx="239">
                  <c:v>861.86133619015004</c:v>
                </c:pt>
                <c:pt idx="240">
                  <c:v>866.88700361565998</c:v>
                </c:pt>
                <c:pt idx="241">
                  <c:v>869.20857351336997</c:v>
                </c:pt>
                <c:pt idx="242">
                  <c:v>866.86618680377001</c:v>
                </c:pt>
                <c:pt idx="243">
                  <c:v>861.1615409579</c:v>
                </c:pt>
                <c:pt idx="244">
                  <c:v>860.53765939214998</c:v>
                </c:pt>
                <c:pt idx="245">
                  <c:v>863.56203467701994</c:v>
                </c:pt>
                <c:pt idx="246">
                  <c:v>855.09349742019003</c:v>
                </c:pt>
                <c:pt idx="247">
                  <c:v>854.53913909096002</c:v>
                </c:pt>
                <c:pt idx="248">
                  <c:v>860.80426334116999</c:v>
                </c:pt>
                <c:pt idx="249">
                  <c:v>859.53954165072003</c:v>
                </c:pt>
                <c:pt idx="250">
                  <c:v>862.75571696840007</c:v>
                </c:pt>
                <c:pt idx="251">
                  <c:v>862.93608944494997</c:v>
                </c:pt>
                <c:pt idx="252">
                  <c:v>864.9899190187499</c:v>
                </c:pt>
                <c:pt idx="253">
                  <c:v>853.38267735302998</c:v>
                </c:pt>
                <c:pt idx="254">
                  <c:v>864.58875051953009</c:v>
                </c:pt>
                <c:pt idx="255">
                  <c:v>865.31755218904004</c:v>
                </c:pt>
                <c:pt idx="256">
                  <c:v>853.85839191978994</c:v>
                </c:pt>
                <c:pt idx="257">
                  <c:v>846.25645440665005</c:v>
                </c:pt>
                <c:pt idx="258">
                  <c:v>850.36418166238002</c:v>
                </c:pt>
                <c:pt idx="259">
                  <c:v>849.44971753152004</c:v>
                </c:pt>
                <c:pt idx="260">
                  <c:v>859.72552727815992</c:v>
                </c:pt>
                <c:pt idx="261">
                  <c:v>855.99733328055004</c:v>
                </c:pt>
                <c:pt idx="262">
                  <c:v>839.21209802209</c:v>
                </c:pt>
                <c:pt idx="263">
                  <c:v>833.16743963414001</c:v>
                </c:pt>
                <c:pt idx="264">
                  <c:v>823.98423877917003</c:v>
                </c:pt>
                <c:pt idx="265">
                  <c:v>813.32435418257</c:v>
                </c:pt>
                <c:pt idx="266">
                  <c:v>771.41948814234001</c:v>
                </c:pt>
                <c:pt idx="267">
                  <c:v>812.24349274591998</c:v>
                </c:pt>
                <c:pt idx="268">
                  <c:v>789.57399757705002</c:v>
                </c:pt>
                <c:pt idx="269">
                  <c:v>755.98834970830001</c:v>
                </c:pt>
                <c:pt idx="270">
                  <c:v>773.08339202498007</c:v>
                </c:pt>
                <c:pt idx="271">
                  <c:v>815.87492953864</c:v>
                </c:pt>
                <c:pt idx="272">
                  <c:v>823.87556506523993</c:v>
                </c:pt>
                <c:pt idx="273">
                  <c:v>810.91215002373997</c:v>
                </c:pt>
                <c:pt idx="274">
                  <c:v>794.34104541559998</c:v>
                </c:pt>
                <c:pt idx="275">
                  <c:v>816.10796915166998</c:v>
                </c:pt>
                <c:pt idx="276">
                  <c:v>816.98048976940004</c:v>
                </c:pt>
                <c:pt idx="277">
                  <c:v>830.82641568226995</c:v>
                </c:pt>
                <c:pt idx="278">
                  <c:v>845.85610186768997</c:v>
                </c:pt>
                <c:pt idx="279">
                  <c:v>844.19489417566001</c:v>
                </c:pt>
                <c:pt idx="280">
                  <c:v>842.11795483101002</c:v>
                </c:pt>
                <c:pt idx="281">
                  <c:v>836.61732780781995</c:v>
                </c:pt>
                <c:pt idx="282">
                  <c:v>830.60747052567001</c:v>
                </c:pt>
                <c:pt idx="283">
                  <c:v>813.73693156634999</c:v>
                </c:pt>
                <c:pt idx="284">
                  <c:v>815.53223857223009</c:v>
                </c:pt>
                <c:pt idx="285">
                  <c:v>826.85755621547003</c:v>
                </c:pt>
                <c:pt idx="286">
                  <c:v>837.08590328870991</c:v>
                </c:pt>
                <c:pt idx="287">
                  <c:v>837.56687202671992</c:v>
                </c:pt>
                <c:pt idx="288">
                  <c:v>840.03102192477002</c:v>
                </c:pt>
                <c:pt idx="289">
                  <c:v>843.07010238453995</c:v>
                </c:pt>
                <c:pt idx="290">
                  <c:v>854.84183435274997</c:v>
                </c:pt>
                <c:pt idx="291">
                  <c:v>854.69933516532001</c:v>
                </c:pt>
                <c:pt idx="292">
                  <c:v>851.3977454717301</c:v>
                </c:pt>
                <c:pt idx="293">
                  <c:v>852.61056200691996</c:v>
                </c:pt>
                <c:pt idx="294">
                  <c:v>836.04194959076005</c:v>
                </c:pt>
                <c:pt idx="295">
                  <c:v>830.99303253257995</c:v>
                </c:pt>
                <c:pt idx="296">
                  <c:v>830.72187232218994</c:v>
                </c:pt>
                <c:pt idx="297">
                  <c:v>856.22650474248996</c:v>
                </c:pt>
                <c:pt idx="298">
                  <c:v>854.9738697810501</c:v>
                </c:pt>
                <c:pt idx="299">
                  <c:v>848.19645864728</c:v>
                </c:pt>
                <c:pt idx="300">
                  <c:v>852.10481783529997</c:v>
                </c:pt>
                <c:pt idx="301">
                  <c:v>851.85725113021999</c:v>
                </c:pt>
                <c:pt idx="302">
                  <c:v>860.61239842803002</c:v>
                </c:pt>
                <c:pt idx="303">
                  <c:v>863.61999970451996</c:v>
                </c:pt>
                <c:pt idx="304">
                  <c:v>858.89694619270995</c:v>
                </c:pt>
                <c:pt idx="305">
                  <c:v>861.67037053452998</c:v>
                </c:pt>
                <c:pt idx="306">
                  <c:v>862.00221168336998</c:v>
                </c:pt>
                <c:pt idx="307">
                  <c:v>859.73458617734991</c:v>
                </c:pt>
                <c:pt idx="308">
                  <c:v>860.15234908253001</c:v>
                </c:pt>
                <c:pt idx="309">
                  <c:v>864.27639319800005</c:v>
                </c:pt>
                <c:pt idx="310">
                  <c:v>861.22461882812001</c:v>
                </c:pt>
                <c:pt idx="311">
                  <c:v>859.50876178234989</c:v>
                </c:pt>
                <c:pt idx="312">
                  <c:v>855.93388292999998</c:v>
                </c:pt>
                <c:pt idx="313">
                  <c:v>854.23323804037</c:v>
                </c:pt>
                <c:pt idx="314">
                  <c:v>861.01358478858003</c:v>
                </c:pt>
                <c:pt idx="315">
                  <c:v>853.89795821883001</c:v>
                </c:pt>
                <c:pt idx="316">
                  <c:v>851.50125875365006</c:v>
                </c:pt>
                <c:pt idx="317">
                  <c:v>850.72733504712994</c:v>
                </c:pt>
                <c:pt idx="318">
                  <c:v>852.53231244275003</c:v>
                </c:pt>
                <c:pt idx="319">
                  <c:v>845.77447921283999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5-DE49-81E3-F71201B1B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D-CE43-9168-2B005B2CFA9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'240828A006'!$A$2:$A$321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'240828A006'!$P$2:$P$321</c:f>
              <c:numCache>
                <c:formatCode>General</c:formatCode>
                <c:ptCount val="320"/>
                <c:pt idx="0">
                  <c:v>15.312808708641654</c:v>
                </c:pt>
                <c:pt idx="1">
                  <c:v>13.994761765092365</c:v>
                </c:pt>
                <c:pt idx="2">
                  <c:v>12.829562695934934</c:v>
                </c:pt>
                <c:pt idx="3">
                  <c:v>10.202610406301362</c:v>
                </c:pt>
                <c:pt idx="4">
                  <c:v>18.669153495869821</c:v>
                </c:pt>
                <c:pt idx="5">
                  <c:v>17.911072542349572</c:v>
                </c:pt>
                <c:pt idx="6">
                  <c:v>30.629554182667345</c:v>
                </c:pt>
                <c:pt idx="7">
                  <c:v>34.776632983648092</c:v>
                </c:pt>
                <c:pt idx="8">
                  <c:v>43.543320771341378</c:v>
                </c:pt>
                <c:pt idx="9">
                  <c:v>45.004333192133188</c:v>
                </c:pt>
                <c:pt idx="10">
                  <c:v>53.306747780399952</c:v>
                </c:pt>
                <c:pt idx="11">
                  <c:v>44.978786512721989</c:v>
                </c:pt>
                <c:pt idx="12">
                  <c:v>46.745788024860992</c:v>
                </c:pt>
                <c:pt idx="13">
                  <c:v>55.132942611693323</c:v>
                </c:pt>
                <c:pt idx="14">
                  <c:v>63.237986898972153</c:v>
                </c:pt>
                <c:pt idx="15">
                  <c:v>75.194266152258223</c:v>
                </c:pt>
                <c:pt idx="16">
                  <c:v>81.048580469095228</c:v>
                </c:pt>
                <c:pt idx="17">
                  <c:v>81.879237788927398</c:v>
                </c:pt>
                <c:pt idx="18">
                  <c:v>87.465408173191236</c:v>
                </c:pt>
                <c:pt idx="19">
                  <c:v>85.230292435731926</c:v>
                </c:pt>
                <c:pt idx="20">
                  <c:v>85.758204626036587</c:v>
                </c:pt>
                <c:pt idx="21">
                  <c:v>75.255582943313343</c:v>
                </c:pt>
                <c:pt idx="22">
                  <c:v>76.135762806803825</c:v>
                </c:pt>
                <c:pt idx="23">
                  <c:v>79.981530668655807</c:v>
                </c:pt>
                <c:pt idx="24">
                  <c:v>71.084609879064615</c:v>
                </c:pt>
                <c:pt idx="25">
                  <c:v>75.066681106918026</c:v>
                </c:pt>
                <c:pt idx="26">
                  <c:v>77.440858776672542</c:v>
                </c:pt>
                <c:pt idx="27">
                  <c:v>84.193352960409456</c:v>
                </c:pt>
                <c:pt idx="28">
                  <c:v>90.414684420748159</c:v>
                </c:pt>
                <c:pt idx="29">
                  <c:v>85.21000277824055</c:v>
                </c:pt>
                <c:pt idx="30">
                  <c:v>75.619944520176404</c:v>
                </c:pt>
                <c:pt idx="31">
                  <c:v>77.785332764473551</c:v>
                </c:pt>
                <c:pt idx="32">
                  <c:v>77.008128779623021</c:v>
                </c:pt>
                <c:pt idx="33">
                  <c:v>76.245916254724861</c:v>
                </c:pt>
                <c:pt idx="34">
                  <c:v>77.581251048295414</c:v>
                </c:pt>
                <c:pt idx="35">
                  <c:v>76.072615374208013</c:v>
                </c:pt>
                <c:pt idx="36">
                  <c:v>70.146213641035274</c:v>
                </c:pt>
                <c:pt idx="37">
                  <c:v>65.412465531971819</c:v>
                </c:pt>
                <c:pt idx="38">
                  <c:v>62.253239180335228</c:v>
                </c:pt>
                <c:pt idx="39">
                  <c:v>55.524811564945253</c:v>
                </c:pt>
                <c:pt idx="40">
                  <c:v>52.083069270589363</c:v>
                </c:pt>
                <c:pt idx="41">
                  <c:v>48.275249029707915</c:v>
                </c:pt>
                <c:pt idx="42">
                  <c:v>46.037793490934931</c:v>
                </c:pt>
                <c:pt idx="43">
                  <c:v>41.040527766909044</c:v>
                </c:pt>
                <c:pt idx="44">
                  <c:v>31.797682620353662</c:v>
                </c:pt>
                <c:pt idx="45">
                  <c:v>29.886774331863673</c:v>
                </c:pt>
                <c:pt idx="46">
                  <c:v>25.511211546598201</c:v>
                </c:pt>
                <c:pt idx="47">
                  <c:v>24.543453658904131</c:v>
                </c:pt>
                <c:pt idx="48">
                  <c:v>18.660202774474367</c:v>
                </c:pt>
                <c:pt idx="49">
                  <c:v>18.687822502926629</c:v>
                </c:pt>
                <c:pt idx="50">
                  <c:v>19.06563402988979</c:v>
                </c:pt>
                <c:pt idx="51">
                  <c:v>17.622777238624522</c:v>
                </c:pt>
                <c:pt idx="52">
                  <c:v>20.383653576102812</c:v>
                </c:pt>
                <c:pt idx="53">
                  <c:v>17.902026238957252</c:v>
                </c:pt>
                <c:pt idx="54">
                  <c:v>12.61492836459232</c:v>
                </c:pt>
                <c:pt idx="55">
                  <c:v>10.47312676205447</c:v>
                </c:pt>
                <c:pt idx="56">
                  <c:v>10.916020905140563</c:v>
                </c:pt>
                <c:pt idx="57">
                  <c:v>7.3063441115687908</c:v>
                </c:pt>
                <c:pt idx="58">
                  <c:v>6.1142012160942931</c:v>
                </c:pt>
                <c:pt idx="59">
                  <c:v>3.5785257026214148</c:v>
                </c:pt>
                <c:pt idx="60">
                  <c:v>3.7126823609074795</c:v>
                </c:pt>
                <c:pt idx="61">
                  <c:v>6.4045125247771448</c:v>
                </c:pt>
                <c:pt idx="62">
                  <c:v>4.2286956857838547</c:v>
                </c:pt>
                <c:pt idx="63">
                  <c:v>2.2392657759088141</c:v>
                </c:pt>
                <c:pt idx="64">
                  <c:v>1.4414509143663101</c:v>
                </c:pt>
                <c:pt idx="65">
                  <c:v>1.5718554492508834</c:v>
                </c:pt>
                <c:pt idx="66">
                  <c:v>-0.18523775290004493</c:v>
                </c:pt>
                <c:pt idx="67">
                  <c:v>-0.36657768539374774</c:v>
                </c:pt>
                <c:pt idx="68">
                  <c:v>-1.6910445345886302</c:v>
                </c:pt>
                <c:pt idx="69">
                  <c:v>-1.5767832313152768</c:v>
                </c:pt>
                <c:pt idx="70">
                  <c:v>1.1443225742700662</c:v>
                </c:pt>
                <c:pt idx="71">
                  <c:v>3.7944090129100654</c:v>
                </c:pt>
                <c:pt idx="72">
                  <c:v>0.38078113048049406</c:v>
                </c:pt>
                <c:pt idx="73">
                  <c:v>-0.44980560225876315</c:v>
                </c:pt>
                <c:pt idx="74">
                  <c:v>-1.6616306205744544</c:v>
                </c:pt>
                <c:pt idx="75">
                  <c:v>-1.219292530135706</c:v>
                </c:pt>
                <c:pt idx="76">
                  <c:v>-3.6791042265617913</c:v>
                </c:pt>
                <c:pt idx="77">
                  <c:v>-4.7154212879384687</c:v>
                </c:pt>
                <c:pt idx="78">
                  <c:v>-5.9114133027801543</c:v>
                </c:pt>
                <c:pt idx="79">
                  <c:v>-3.4616646542083798</c:v>
                </c:pt>
                <c:pt idx="80">
                  <c:v>-1.9789588118684662</c:v>
                </c:pt>
                <c:pt idx="81">
                  <c:v>-0.23016261857688147</c:v>
                </c:pt>
                <c:pt idx="82">
                  <c:v>-0.58694397893025496</c:v>
                </c:pt>
                <c:pt idx="83">
                  <c:v>0.80573020832502895</c:v>
                </c:pt>
                <c:pt idx="84">
                  <c:v>1.1378698235122606</c:v>
                </c:pt>
                <c:pt idx="85">
                  <c:v>-0.5289753950709658</c:v>
                </c:pt>
                <c:pt idx="86">
                  <c:v>-0.9729690867152202</c:v>
                </c:pt>
                <c:pt idx="87">
                  <c:v>1.3051909949051059</c:v>
                </c:pt>
                <c:pt idx="88">
                  <c:v>1.667520852121025</c:v>
                </c:pt>
                <c:pt idx="89">
                  <c:v>2.4053053687496697</c:v>
                </c:pt>
                <c:pt idx="90">
                  <c:v>1.2906014442605156</c:v>
                </c:pt>
                <c:pt idx="91">
                  <c:v>2.8647086180580437</c:v>
                </c:pt>
                <c:pt idx="92">
                  <c:v>8.3382603336596777</c:v>
                </c:pt>
                <c:pt idx="93">
                  <c:v>7.6458060620456942</c:v>
                </c:pt>
                <c:pt idx="94">
                  <c:v>9.0336916110724061</c:v>
                </c:pt>
                <c:pt idx="95">
                  <c:v>8.5730122176840844</c:v>
                </c:pt>
                <c:pt idx="96">
                  <c:v>6.1511140411456537</c:v>
                </c:pt>
                <c:pt idx="97">
                  <c:v>5.3150792043134647</c:v>
                </c:pt>
                <c:pt idx="98">
                  <c:v>2.6965481815094994</c:v>
                </c:pt>
                <c:pt idx="99">
                  <c:v>4.6309900208087376</c:v>
                </c:pt>
                <c:pt idx="100">
                  <c:v>5.4108444768152877</c:v>
                </c:pt>
                <c:pt idx="101">
                  <c:v>2.453421555094994</c:v>
                </c:pt>
                <c:pt idx="102">
                  <c:v>0.71252317046386482</c:v>
                </c:pt>
                <c:pt idx="103">
                  <c:v>-0.93934850384872259</c:v>
                </c:pt>
                <c:pt idx="104">
                  <c:v>-1.2235919479448432</c:v>
                </c:pt>
                <c:pt idx="105">
                  <c:v>1.2062496000662186</c:v>
                </c:pt>
                <c:pt idx="106">
                  <c:v>4.9827302818069557</c:v>
                </c:pt>
                <c:pt idx="107">
                  <c:v>6.9193475288528301</c:v>
                </c:pt>
                <c:pt idx="108">
                  <c:v>11.227123131681466</c:v>
                </c:pt>
                <c:pt idx="109">
                  <c:v>10.160167065650425</c:v>
                </c:pt>
                <c:pt idx="110">
                  <c:v>14.028023428711045</c:v>
                </c:pt>
                <c:pt idx="111">
                  <c:v>17.296061259442411</c:v>
                </c:pt>
                <c:pt idx="112">
                  <c:v>12.492384351127516</c:v>
                </c:pt>
                <c:pt idx="113">
                  <c:v>10.697562067204142</c:v>
                </c:pt>
                <c:pt idx="114">
                  <c:v>7.3002715532528599</c:v>
                </c:pt>
                <c:pt idx="115">
                  <c:v>5.5819232940035954</c:v>
                </c:pt>
                <c:pt idx="116">
                  <c:v>2.9063093591283473</c:v>
                </c:pt>
                <c:pt idx="117">
                  <c:v>2.2669449413019325</c:v>
                </c:pt>
                <c:pt idx="118">
                  <c:v>2.3916860093062526</c:v>
                </c:pt>
                <c:pt idx="119">
                  <c:v>7.5930264813724229</c:v>
                </c:pt>
                <c:pt idx="120">
                  <c:v>16.450616543607637</c:v>
                </c:pt>
                <c:pt idx="121">
                  <c:v>22.812574781720233</c:v>
                </c:pt>
                <c:pt idx="122">
                  <c:v>23.890547506027023</c:v>
                </c:pt>
                <c:pt idx="123">
                  <c:v>17.761827439452833</c:v>
                </c:pt>
                <c:pt idx="124">
                  <c:v>19.785565219056807</c:v>
                </c:pt>
                <c:pt idx="125">
                  <c:v>15.649008906226051</c:v>
                </c:pt>
                <c:pt idx="126">
                  <c:v>11.175970281218964</c:v>
                </c:pt>
                <c:pt idx="127">
                  <c:v>10.406551799214244</c:v>
                </c:pt>
                <c:pt idx="128">
                  <c:v>8.5763861385096813</c:v>
                </c:pt>
                <c:pt idx="129">
                  <c:v>11.918667710251283</c:v>
                </c:pt>
                <c:pt idx="130">
                  <c:v>14.048277248694527</c:v>
                </c:pt>
                <c:pt idx="131">
                  <c:v>13.013573974513395</c:v>
                </c:pt>
                <c:pt idx="132">
                  <c:v>12.981775732358916</c:v>
                </c:pt>
                <c:pt idx="133">
                  <c:v>10.503803548704266</c:v>
                </c:pt>
                <c:pt idx="134">
                  <c:v>8.2542877106331662</c:v>
                </c:pt>
                <c:pt idx="135">
                  <c:v>6.9065706933492299</c:v>
                </c:pt>
                <c:pt idx="136">
                  <c:v>14.573431064161868</c:v>
                </c:pt>
                <c:pt idx="137">
                  <c:v>13.757236547356582</c:v>
                </c:pt>
                <c:pt idx="138">
                  <c:v>16.371243764089254</c:v>
                </c:pt>
                <c:pt idx="139">
                  <c:v>13.417774293767341</c:v>
                </c:pt>
                <c:pt idx="140">
                  <c:v>8.9526750703249025</c:v>
                </c:pt>
                <c:pt idx="141">
                  <c:v>6.8685999953932919</c:v>
                </c:pt>
                <c:pt idx="142">
                  <c:v>6.5104796708159274</c:v>
                </c:pt>
                <c:pt idx="143">
                  <c:v>8.8409299905166261</c:v>
                </c:pt>
                <c:pt idx="144">
                  <c:v>9.5226150222363959</c:v>
                </c:pt>
                <c:pt idx="145">
                  <c:v>11.938773240677628</c:v>
                </c:pt>
                <c:pt idx="146">
                  <c:v>12.352861571529061</c:v>
                </c:pt>
                <c:pt idx="147">
                  <c:v>17.388818552511808</c:v>
                </c:pt>
                <c:pt idx="148">
                  <c:v>17.400121102445031</c:v>
                </c:pt>
                <c:pt idx="149">
                  <c:v>20.798881206255722</c:v>
                </c:pt>
                <c:pt idx="150">
                  <c:v>18.204541511394716</c:v>
                </c:pt>
                <c:pt idx="151">
                  <c:v>18.450005416235761</c:v>
                </c:pt>
                <c:pt idx="152">
                  <c:v>16.593330325240345</c:v>
                </c:pt>
                <c:pt idx="153">
                  <c:v>14.442167178417268</c:v>
                </c:pt>
                <c:pt idx="154">
                  <c:v>10.727491945429261</c:v>
                </c:pt>
                <c:pt idx="155">
                  <c:v>13.861250293003009</c:v>
                </c:pt>
                <c:pt idx="156">
                  <c:v>9.6419659223339362</c:v>
                </c:pt>
                <c:pt idx="157">
                  <c:v>5.9391950265593358</c:v>
                </c:pt>
                <c:pt idx="158">
                  <c:v>3.8772124155838776</c:v>
                </c:pt>
                <c:pt idx="159">
                  <c:v>6.7934400855916897</c:v>
                </c:pt>
                <c:pt idx="160">
                  <c:v>10.090974831518633</c:v>
                </c:pt>
                <c:pt idx="161">
                  <c:v>13.152767907931151</c:v>
                </c:pt>
                <c:pt idx="162">
                  <c:v>15.434020589499573</c:v>
                </c:pt>
                <c:pt idx="163">
                  <c:v>11.186652727946532</c:v>
                </c:pt>
                <c:pt idx="164">
                  <c:v>7.9149952766208038</c:v>
                </c:pt>
                <c:pt idx="165">
                  <c:v>5.2599464658054149</c:v>
                </c:pt>
                <c:pt idx="166">
                  <c:v>2.2607054360217238</c:v>
                </c:pt>
                <c:pt idx="167">
                  <c:v>2.6402441305785147</c:v>
                </c:pt>
                <c:pt idx="168">
                  <c:v>8.792517861992998</c:v>
                </c:pt>
                <c:pt idx="169">
                  <c:v>11.419319671420945</c:v>
                </c:pt>
                <c:pt idx="170">
                  <c:v>16.544674496058608</c:v>
                </c:pt>
                <c:pt idx="171">
                  <c:v>23.879360084588697</c:v>
                </c:pt>
                <c:pt idx="172">
                  <c:v>18.326201339355542</c:v>
                </c:pt>
                <c:pt idx="173">
                  <c:v>19.557712285326144</c:v>
                </c:pt>
                <c:pt idx="174">
                  <c:v>19.01574591006959</c:v>
                </c:pt>
                <c:pt idx="175">
                  <c:v>15.425764103985124</c:v>
                </c:pt>
                <c:pt idx="176">
                  <c:v>14.723326347157206</c:v>
                </c:pt>
                <c:pt idx="177">
                  <c:v>13.634098512984949</c:v>
                </c:pt>
                <c:pt idx="178">
                  <c:v>12.654886184088838</c:v>
                </c:pt>
                <c:pt idx="179">
                  <c:v>11.853371212590869</c:v>
                </c:pt>
                <c:pt idx="180">
                  <c:v>7.8381577681291166</c:v>
                </c:pt>
                <c:pt idx="181">
                  <c:v>7.7764819655002437</c:v>
                </c:pt>
                <c:pt idx="182">
                  <c:v>6.0976888533745655</c:v>
                </c:pt>
                <c:pt idx="183">
                  <c:v>5.6367154930882961</c:v>
                </c:pt>
                <c:pt idx="184">
                  <c:v>4.3138840973655901</c:v>
                </c:pt>
                <c:pt idx="185">
                  <c:v>2.1655611897529914</c:v>
                </c:pt>
                <c:pt idx="186">
                  <c:v>1.1998169899399402</c:v>
                </c:pt>
                <c:pt idx="187">
                  <c:v>0.69375939071602688</c:v>
                </c:pt>
                <c:pt idx="188">
                  <c:v>0.1791555800099929</c:v>
                </c:pt>
                <c:pt idx="189">
                  <c:v>-0.26089702401179804</c:v>
                </c:pt>
                <c:pt idx="190">
                  <c:v>-1.7205639353138635</c:v>
                </c:pt>
                <c:pt idx="191">
                  <c:v>-1.566596274019284</c:v>
                </c:pt>
                <c:pt idx="192">
                  <c:v>-1.4999239174722494</c:v>
                </c:pt>
                <c:pt idx="193">
                  <c:v>-2.2153579836555517</c:v>
                </c:pt>
                <c:pt idx="194">
                  <c:v>-2.4871094932186666</c:v>
                </c:pt>
                <c:pt idx="195">
                  <c:v>-2.6855570422191257</c:v>
                </c:pt>
                <c:pt idx="196">
                  <c:v>-2.5531717231884357</c:v>
                </c:pt>
                <c:pt idx="197">
                  <c:v>-2.2488474269946415</c:v>
                </c:pt>
                <c:pt idx="198">
                  <c:v>-4.0245396025942552</c:v>
                </c:pt>
                <c:pt idx="199">
                  <c:v>-4.1684394491010384</c:v>
                </c:pt>
                <c:pt idx="200">
                  <c:v>-5.0817355475250379</c:v>
                </c:pt>
                <c:pt idx="201">
                  <c:v>-1.981444940304445</c:v>
                </c:pt>
                <c:pt idx="202">
                  <c:v>-2.2619481186778918</c:v>
                </c:pt>
                <c:pt idx="203">
                  <c:v>-2.3359702356224701</c:v>
                </c:pt>
                <c:pt idx="204">
                  <c:v>-3.8759021610568443</c:v>
                </c:pt>
                <c:pt idx="205">
                  <c:v>-4.4099305644623259</c:v>
                </c:pt>
                <c:pt idx="206">
                  <c:v>-4.5373293859535533</c:v>
                </c:pt>
                <c:pt idx="207">
                  <c:v>-2.6823986181558879</c:v>
                </c:pt>
                <c:pt idx="208">
                  <c:v>-3.2845202866404772</c:v>
                </c:pt>
                <c:pt idx="209">
                  <c:v>-3.7972874902688707</c:v>
                </c:pt>
                <c:pt idx="210">
                  <c:v>-4.5794539772484795</c:v>
                </c:pt>
                <c:pt idx="211">
                  <c:v>-4.3019522375072174</c:v>
                </c:pt>
                <c:pt idx="212">
                  <c:v>-2.3990269842304146</c:v>
                </c:pt>
                <c:pt idx="213">
                  <c:v>-3.0610594140300074</c:v>
                </c:pt>
                <c:pt idx="214">
                  <c:v>-3.081330049318642</c:v>
                </c:pt>
                <c:pt idx="215">
                  <c:v>-2.256902984892263</c:v>
                </c:pt>
                <c:pt idx="216">
                  <c:v>-2.0505197767145376</c:v>
                </c:pt>
                <c:pt idx="217">
                  <c:v>-2.8384926755290376</c:v>
                </c:pt>
                <c:pt idx="218">
                  <c:v>-1.1581591401255242</c:v>
                </c:pt>
                <c:pt idx="219">
                  <c:v>-1.1966646792024163</c:v>
                </c:pt>
                <c:pt idx="220">
                  <c:v>-1.9251498364054851</c:v>
                </c:pt>
                <c:pt idx="221">
                  <c:v>-3.2593824316929796</c:v>
                </c:pt>
                <c:pt idx="222">
                  <c:v>-1.5434633231772368</c:v>
                </c:pt>
                <c:pt idx="223">
                  <c:v>-2.0524058882745586</c:v>
                </c:pt>
                <c:pt idx="224">
                  <c:v>-3.1072588318018965</c:v>
                </c:pt>
                <c:pt idx="225">
                  <c:v>-2.4623862951447308</c:v>
                </c:pt>
                <c:pt idx="226">
                  <c:v>-2.9433916085007246</c:v>
                </c:pt>
                <c:pt idx="227">
                  <c:v>-4.4257040015315576</c:v>
                </c:pt>
                <c:pt idx="228">
                  <c:v>-3.9609849723370329</c:v>
                </c:pt>
                <c:pt idx="229">
                  <c:v>-3.3546474293393675</c:v>
                </c:pt>
                <c:pt idx="230">
                  <c:v>-3.6119164649571065</c:v>
                </c:pt>
                <c:pt idx="231">
                  <c:v>-3.7239506831277995</c:v>
                </c:pt>
                <c:pt idx="232">
                  <c:v>-4.2929217627411491</c:v>
                </c:pt>
                <c:pt idx="233">
                  <c:v>-3.5776628692398686</c:v>
                </c:pt>
                <c:pt idx="234">
                  <c:v>-4.4340363320519947</c:v>
                </c:pt>
                <c:pt idx="235">
                  <c:v>-4.3700437322013466</c:v>
                </c:pt>
                <c:pt idx="236">
                  <c:v>-3.9934535826144417</c:v>
                </c:pt>
                <c:pt idx="237">
                  <c:v>-4.2414374497774636</c:v>
                </c:pt>
                <c:pt idx="238">
                  <c:v>-4.3418644522549386</c:v>
                </c:pt>
                <c:pt idx="239">
                  <c:v>-2.6287153331427131</c:v>
                </c:pt>
                <c:pt idx="240">
                  <c:v>-3.8910964453113808</c:v>
                </c:pt>
                <c:pt idx="241">
                  <c:v>-3.5569229531980646</c:v>
                </c:pt>
                <c:pt idx="242">
                  <c:v>-3.1644602775620303</c:v>
                </c:pt>
                <c:pt idx="243">
                  <c:v>-3.8935201744545469</c:v>
                </c:pt>
                <c:pt idx="244">
                  <c:v>-3.6231874020522943</c:v>
                </c:pt>
                <c:pt idx="245">
                  <c:v>-3.0229684614828476</c:v>
                </c:pt>
                <c:pt idx="246">
                  <c:v>-3.1316611381154638</c:v>
                </c:pt>
                <c:pt idx="247">
                  <c:v>-2.3621417575168726</c:v>
                </c:pt>
                <c:pt idx="248">
                  <c:v>-2.3377185585077989</c:v>
                </c:pt>
                <c:pt idx="249">
                  <c:v>-2.7654628715459113</c:v>
                </c:pt>
                <c:pt idx="250">
                  <c:v>-2.5562139525893866</c:v>
                </c:pt>
                <c:pt idx="251">
                  <c:v>-2.2433813582849185</c:v>
                </c:pt>
                <c:pt idx="252">
                  <c:v>-2.5040521770644508</c:v>
                </c:pt>
                <c:pt idx="253">
                  <c:v>-2.2027215350056593</c:v>
                </c:pt>
                <c:pt idx="254">
                  <c:v>-2.0551820386187889</c:v>
                </c:pt>
                <c:pt idx="255">
                  <c:v>-0.79615049138406035</c:v>
                </c:pt>
                <c:pt idx="256">
                  <c:v>-0.5383103445861509</c:v>
                </c:pt>
                <c:pt idx="257">
                  <c:v>0.86497315602254288</c:v>
                </c:pt>
                <c:pt idx="258">
                  <c:v>0.97398986488355255</c:v>
                </c:pt>
                <c:pt idx="259">
                  <c:v>0.30285102199251729</c:v>
                </c:pt>
                <c:pt idx="260">
                  <c:v>1.1991455563794695</c:v>
                </c:pt>
                <c:pt idx="261">
                  <c:v>0.48937748908852846</c:v>
                </c:pt>
                <c:pt idx="262">
                  <c:v>0.81238360719130265</c:v>
                </c:pt>
                <c:pt idx="263">
                  <c:v>0.80679577476397046</c:v>
                </c:pt>
                <c:pt idx="264">
                  <c:v>0.39210376487979826</c:v>
                </c:pt>
                <c:pt idx="265">
                  <c:v>0.9470355680886593</c:v>
                </c:pt>
                <c:pt idx="266">
                  <c:v>0.33532580460960471</c:v>
                </c:pt>
                <c:pt idx="267">
                  <c:v>0.63343685052480503</c:v>
                </c:pt>
                <c:pt idx="268">
                  <c:v>0.516648883089323</c:v>
                </c:pt>
                <c:pt idx="269">
                  <c:v>3.3251907745663729</c:v>
                </c:pt>
                <c:pt idx="270">
                  <c:v>2.2319790617847763</c:v>
                </c:pt>
                <c:pt idx="271">
                  <c:v>0.30791323596032572</c:v>
                </c:pt>
                <c:pt idx="272">
                  <c:v>8.9021090214223955E-2</c:v>
                </c:pt>
                <c:pt idx="273">
                  <c:v>2.2985569012815521</c:v>
                </c:pt>
                <c:pt idx="274">
                  <c:v>3.2254784527897922</c:v>
                </c:pt>
                <c:pt idx="275">
                  <c:v>3.2085967854185284</c:v>
                </c:pt>
                <c:pt idx="276">
                  <c:v>3.5501151422940325</c:v>
                </c:pt>
                <c:pt idx="277">
                  <c:v>4.7747103851347932</c:v>
                </c:pt>
                <c:pt idx="278">
                  <c:v>2.3970283139317385</c:v>
                </c:pt>
                <c:pt idx="279">
                  <c:v>1.7776054323963109</c:v>
                </c:pt>
                <c:pt idx="280">
                  <c:v>0.72636254869585826</c:v>
                </c:pt>
                <c:pt idx="281">
                  <c:v>2.1325642827424915</c:v>
                </c:pt>
                <c:pt idx="282">
                  <c:v>1.7751425572412893</c:v>
                </c:pt>
                <c:pt idx="283">
                  <c:v>1.6442749564717554</c:v>
                </c:pt>
                <c:pt idx="284">
                  <c:v>1.1904536506053942</c:v>
                </c:pt>
                <c:pt idx="285">
                  <c:v>0.76231992851068753</c:v>
                </c:pt>
                <c:pt idx="286">
                  <c:v>1.2305004651304978</c:v>
                </c:pt>
                <c:pt idx="287">
                  <c:v>-0.16639120093413889</c:v>
                </c:pt>
                <c:pt idx="288">
                  <c:v>-5.6021444755808732E-2</c:v>
                </c:pt>
                <c:pt idx="289">
                  <c:v>0.21799003851802506</c:v>
                </c:pt>
                <c:pt idx="290">
                  <c:v>-0.2224253388560849</c:v>
                </c:pt>
                <c:pt idx="291">
                  <c:v>-0.32686019155890389</c:v>
                </c:pt>
                <c:pt idx="292">
                  <c:v>3.601822424405423E-2</c:v>
                </c:pt>
                <c:pt idx="293">
                  <c:v>-0.98646808718195911</c:v>
                </c:pt>
                <c:pt idx="294">
                  <c:v>-0.1984014493096872</c:v>
                </c:pt>
                <c:pt idx="295">
                  <c:v>-0.64942247617575566</c:v>
                </c:pt>
                <c:pt idx="296">
                  <c:v>-0.66085675747143491</c:v>
                </c:pt>
                <c:pt idx="297">
                  <c:v>-0.68720889547059805</c:v>
                </c:pt>
                <c:pt idx="298">
                  <c:v>-0.56631595044360905</c:v>
                </c:pt>
                <c:pt idx="299">
                  <c:v>-0.26057074056471313</c:v>
                </c:pt>
                <c:pt idx="300">
                  <c:v>-0.53324006221860742</c:v>
                </c:pt>
                <c:pt idx="301">
                  <c:v>-0.41714041109918909</c:v>
                </c:pt>
                <c:pt idx="302">
                  <c:v>-0.42130101158245287</c:v>
                </c:pt>
                <c:pt idx="303">
                  <c:v>-5.1712398755159483E-2</c:v>
                </c:pt>
                <c:pt idx="304">
                  <c:v>9.2058112662131264E-2</c:v>
                </c:pt>
                <c:pt idx="305">
                  <c:v>-6.2431603067957683E-2</c:v>
                </c:pt>
                <c:pt idx="306">
                  <c:v>-0.82497574693764886</c:v>
                </c:pt>
                <c:pt idx="307">
                  <c:v>-0.18548596285286764</c:v>
                </c:pt>
                <c:pt idx="308">
                  <c:v>-0.10169966946116865</c:v>
                </c:pt>
                <c:pt idx="309">
                  <c:v>1.7083463967827086E-2</c:v>
                </c:pt>
                <c:pt idx="310">
                  <c:v>-4.5858253520166363E-2</c:v>
                </c:pt>
                <c:pt idx="311">
                  <c:v>0.35924718044162968</c:v>
                </c:pt>
                <c:pt idx="312">
                  <c:v>0.21957851282472141</c:v>
                </c:pt>
                <c:pt idx="313">
                  <c:v>0.50745109193125826</c:v>
                </c:pt>
                <c:pt idx="314">
                  <c:v>5.6257218172245514E-2</c:v>
                </c:pt>
                <c:pt idx="315">
                  <c:v>5.4113329201416108E-2</c:v>
                </c:pt>
                <c:pt idx="316">
                  <c:v>0.98736354192098585</c:v>
                </c:pt>
                <c:pt idx="317">
                  <c:v>1.0444758469492568</c:v>
                </c:pt>
                <c:pt idx="318">
                  <c:v>0.787218775558441</c:v>
                </c:pt>
                <c:pt idx="319">
                  <c:v>0.61477749659978598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D-CE43-9168-2B005B2C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B145243-A18A-AF4E-9987-99012707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C495C-6502-D740-9D0B-9FC5D7E89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4C3B49-6214-CE49-8D2A-2612E1A53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748BB-20A2-B54C-8D40-FE8FFA555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F89D85A-0622-274D-869A-837BC21D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0C3E0-5CC9-7A4F-935B-F3D89E199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zoomScale="50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1916.7462845011</v>
      </c>
      <c r="E2">
        <v>491.93205944798001</v>
      </c>
      <c r="F2">
        <v>162.68969181721999</v>
      </c>
      <c r="G2">
        <v>129.87566418704</v>
      </c>
      <c r="H2" s="4"/>
      <c r="I2" s="5">
        <f>E2-G2</f>
        <v>362.05639526094001</v>
      </c>
      <c r="J2" s="5">
        <f>D2-F2</f>
        <v>1754.0565926838801</v>
      </c>
      <c r="K2" s="9">
        <f>I2*1</f>
        <v>362.05639526094001</v>
      </c>
      <c r="L2" s="6">
        <f t="shared" ref="L2:L65" si="0">K2/J2</f>
        <v>0.20641089732855078</v>
      </c>
      <c r="M2" s="6">
        <f>L2+ABS($N$2)*A2</f>
        <v>0.20641089732855078</v>
      </c>
      <c r="N2" s="4">
        <f>LINEST(V64:V103,U64:U103)</f>
        <v>-1.4139223578781381E-4</v>
      </c>
      <c r="O2" s="7">
        <f>AVERAGE(M62:M81)</f>
        <v>0.20797561556529645</v>
      </c>
      <c r="P2" s="4">
        <f>(M2-$O$2)/$O$2*100</f>
        <v>-0.75235658396424321</v>
      </c>
    </row>
    <row r="3" spans="1:16" x14ac:dyDescent="0.2">
      <c r="A3" s="8">
        <v>0.5</v>
      </c>
      <c r="B3" s="8">
        <v>1</v>
      </c>
      <c r="D3">
        <v>1955.9893842888</v>
      </c>
      <c r="E3">
        <v>496.09554140127</v>
      </c>
      <c r="F3">
        <v>162.73219978745999</v>
      </c>
      <c r="G3">
        <v>129.84059511158</v>
      </c>
      <c r="I3" s="9">
        <f t="shared" ref="I3:I66" si="1">E3-G3</f>
        <v>366.25494628969</v>
      </c>
      <c r="J3" s="9">
        <f t="shared" ref="J3:J66" si="2">D3-F3</f>
        <v>1793.2571845013399</v>
      </c>
      <c r="K3" s="9">
        <f t="shared" ref="K3:K66" si="3">I3*1</f>
        <v>366.25494628969</v>
      </c>
      <c r="L3" s="10">
        <f t="shared" si="0"/>
        <v>0.20424005516617313</v>
      </c>
      <c r="M3" s="10">
        <f t="shared" ref="M3:M66" si="4">L3+ABS($N$2)*A3</f>
        <v>0.20431075128406703</v>
      </c>
      <c r="P3" s="8">
        <f t="shared" ref="P3:P66" si="5">(M3-$O$2)/$O$2*100</f>
        <v>-1.7621605644815557</v>
      </c>
    </row>
    <row r="4" spans="1:16" ht="16" x14ac:dyDescent="0.2">
      <c r="A4" s="8">
        <v>1</v>
      </c>
      <c r="B4" s="8">
        <v>2</v>
      </c>
      <c r="D4">
        <v>1821.9331210191001</v>
      </c>
      <c r="E4">
        <v>475.52760084926001</v>
      </c>
      <c r="F4">
        <v>161.84272051010001</v>
      </c>
      <c r="G4">
        <v>129.73432518596999</v>
      </c>
      <c r="I4" s="9">
        <f t="shared" si="1"/>
        <v>345.79327566329005</v>
      </c>
      <c r="J4" s="9">
        <f t="shared" si="2"/>
        <v>1660.0904005090001</v>
      </c>
      <c r="K4" s="9">
        <f t="shared" si="3"/>
        <v>345.79327566329005</v>
      </c>
      <c r="L4" s="10">
        <f t="shared" si="0"/>
        <v>0.20829785869327744</v>
      </c>
      <c r="M4" s="10">
        <f t="shared" si="4"/>
        <v>0.20843925092906526</v>
      </c>
      <c r="N4" s="1" t="s">
        <v>7</v>
      </c>
      <c r="P4" s="8">
        <f t="shared" si="5"/>
        <v>0.22292775165425427</v>
      </c>
    </row>
    <row r="5" spans="1:16" x14ac:dyDescent="0.2">
      <c r="A5" s="8">
        <v>1.5</v>
      </c>
      <c r="B5" s="8">
        <v>3</v>
      </c>
      <c r="D5">
        <v>1560.0477707006</v>
      </c>
      <c r="E5">
        <v>432.91401273884998</v>
      </c>
      <c r="F5">
        <v>163.34856535599999</v>
      </c>
      <c r="G5">
        <v>129.29543039320001</v>
      </c>
      <c r="I5" s="9">
        <f t="shared" si="1"/>
        <v>303.61858234565</v>
      </c>
      <c r="J5" s="9">
        <f t="shared" si="2"/>
        <v>1396.6992053446002</v>
      </c>
      <c r="K5" s="9">
        <f t="shared" si="3"/>
        <v>303.61858234565</v>
      </c>
      <c r="L5" s="10">
        <f t="shared" si="0"/>
        <v>0.21738294199912558</v>
      </c>
      <c r="M5" s="10">
        <f t="shared" si="4"/>
        <v>0.21759503035280731</v>
      </c>
      <c r="N5" s="8">
        <f>RSQ(V64:V83,U64:U83)</f>
        <v>0.72806344379068788</v>
      </c>
      <c r="P5" s="8">
        <f t="shared" si="5"/>
        <v>4.6252608803990887</v>
      </c>
    </row>
    <row r="6" spans="1:16" x14ac:dyDescent="0.2">
      <c r="A6" s="8">
        <v>2</v>
      </c>
      <c r="B6" s="8">
        <v>4</v>
      </c>
      <c r="D6">
        <v>1942.2989361702</v>
      </c>
      <c r="E6">
        <v>483.40957446809</v>
      </c>
      <c r="F6">
        <v>162.29649309246</v>
      </c>
      <c r="G6">
        <v>129.58554729011999</v>
      </c>
      <c r="I6" s="9">
        <f t="shared" si="1"/>
        <v>353.82402717797004</v>
      </c>
      <c r="J6" s="9">
        <f t="shared" si="2"/>
        <v>1780.0024430777401</v>
      </c>
      <c r="K6" s="9">
        <f t="shared" si="3"/>
        <v>353.82402717797004</v>
      </c>
      <c r="L6" s="10">
        <f t="shared" si="0"/>
        <v>0.19877727053350852</v>
      </c>
      <c r="M6" s="10">
        <f t="shared" si="4"/>
        <v>0.19906005500508414</v>
      </c>
      <c r="P6" s="8">
        <f t="shared" si="5"/>
        <v>-4.286829749718021</v>
      </c>
    </row>
    <row r="7" spans="1:16" x14ac:dyDescent="0.2">
      <c r="A7" s="8">
        <v>2.5</v>
      </c>
      <c r="B7" s="8">
        <v>5</v>
      </c>
      <c r="D7">
        <v>1750.6574468085</v>
      </c>
      <c r="E7">
        <v>454.93191489361999</v>
      </c>
      <c r="F7">
        <v>161.41232731137001</v>
      </c>
      <c r="G7">
        <v>129.60148777896001</v>
      </c>
      <c r="I7" s="9">
        <f t="shared" si="1"/>
        <v>325.33042711465998</v>
      </c>
      <c r="J7" s="9">
        <f t="shared" si="2"/>
        <v>1589.24511949713</v>
      </c>
      <c r="K7" s="9">
        <f t="shared" si="3"/>
        <v>325.33042711465998</v>
      </c>
      <c r="L7" s="10">
        <f t="shared" si="0"/>
        <v>0.20470752001906495</v>
      </c>
      <c r="M7" s="10">
        <f t="shared" si="4"/>
        <v>0.20506100060853449</v>
      </c>
      <c r="P7" s="8">
        <f t="shared" si="5"/>
        <v>-1.4014214833983165</v>
      </c>
    </row>
    <row r="8" spans="1:16" x14ac:dyDescent="0.2">
      <c r="A8" s="8">
        <v>3</v>
      </c>
      <c r="B8" s="8">
        <v>6</v>
      </c>
      <c r="D8">
        <v>1729.6265957446999</v>
      </c>
      <c r="E8">
        <v>451.22659574468003</v>
      </c>
      <c r="F8">
        <v>161.60255047822</v>
      </c>
      <c r="G8">
        <v>130.25292242295001</v>
      </c>
      <c r="I8" s="9">
        <f t="shared" si="1"/>
        <v>320.97367332173002</v>
      </c>
      <c r="J8" s="9">
        <f t="shared" si="2"/>
        <v>1568.0240452664798</v>
      </c>
      <c r="K8" s="9">
        <f t="shared" si="3"/>
        <v>320.97367332173002</v>
      </c>
      <c r="L8" s="10">
        <f t="shared" si="0"/>
        <v>0.20469945871728118</v>
      </c>
      <c r="M8" s="10">
        <f t="shared" si="4"/>
        <v>0.20512363542464462</v>
      </c>
      <c r="P8" s="8">
        <f t="shared" si="5"/>
        <v>-1.3713050604033019</v>
      </c>
    </row>
    <row r="9" spans="1:16" x14ac:dyDescent="0.2">
      <c r="A9" s="8">
        <v>3.5</v>
      </c>
      <c r="B9" s="8">
        <v>7</v>
      </c>
      <c r="D9">
        <v>1981.4031914893999</v>
      </c>
      <c r="E9">
        <v>489.7</v>
      </c>
      <c r="F9">
        <v>162.42614240169999</v>
      </c>
      <c r="G9">
        <v>129.85653560042999</v>
      </c>
      <c r="I9" s="9">
        <f t="shared" si="1"/>
        <v>359.84346439957</v>
      </c>
      <c r="J9" s="9">
        <f t="shared" si="2"/>
        <v>1818.9770490876999</v>
      </c>
      <c r="K9" s="9">
        <f t="shared" si="3"/>
        <v>359.84346439957</v>
      </c>
      <c r="L9" s="10">
        <f t="shared" si="0"/>
        <v>0.19782738027401056</v>
      </c>
      <c r="M9" s="10">
        <f t="shared" si="4"/>
        <v>0.1983222530992679</v>
      </c>
      <c r="P9" s="8">
        <f t="shared" si="5"/>
        <v>-4.641583793268186</v>
      </c>
    </row>
    <row r="10" spans="1:16" x14ac:dyDescent="0.2">
      <c r="A10" s="8">
        <v>4</v>
      </c>
      <c r="B10" s="8">
        <v>8</v>
      </c>
      <c r="D10">
        <v>2006.8170212765999</v>
      </c>
      <c r="E10">
        <v>486.60212765956999</v>
      </c>
      <c r="F10">
        <v>162.34962805526001</v>
      </c>
      <c r="G10">
        <v>130.15834218916001</v>
      </c>
      <c r="I10" s="9">
        <f t="shared" si="1"/>
        <v>356.44378547040998</v>
      </c>
      <c r="J10" s="9">
        <f t="shared" si="2"/>
        <v>1844.46739322134</v>
      </c>
      <c r="K10" s="9">
        <f t="shared" si="3"/>
        <v>356.44378547040998</v>
      </c>
      <c r="L10" s="10">
        <f t="shared" si="0"/>
        <v>0.19325025033263679</v>
      </c>
      <c r="M10" s="10">
        <f t="shared" si="4"/>
        <v>0.19381581927578806</v>
      </c>
      <c r="P10" s="8">
        <f t="shared" si="5"/>
        <v>-6.8083925372793299</v>
      </c>
    </row>
    <row r="11" spans="1:16" x14ac:dyDescent="0.2">
      <c r="A11" s="8">
        <v>4.5</v>
      </c>
      <c r="B11" s="8">
        <v>9</v>
      </c>
      <c r="D11">
        <v>1782.8052910053</v>
      </c>
      <c r="E11">
        <v>458.21587301586999</v>
      </c>
      <c r="F11">
        <v>162.72369819341</v>
      </c>
      <c r="G11">
        <v>129.92986184910001</v>
      </c>
      <c r="I11" s="9">
        <f t="shared" si="1"/>
        <v>328.28601116676998</v>
      </c>
      <c r="J11" s="9">
        <f t="shared" si="2"/>
        <v>1620.08159281189</v>
      </c>
      <c r="K11" s="9">
        <f t="shared" si="3"/>
        <v>328.28601116676998</v>
      </c>
      <c r="L11" s="10">
        <f t="shared" si="0"/>
        <v>0.20263547998035167</v>
      </c>
      <c r="M11" s="10">
        <f t="shared" si="4"/>
        <v>0.20327174504139683</v>
      </c>
      <c r="P11" s="8">
        <f t="shared" si="5"/>
        <v>-2.2617413638200197</v>
      </c>
    </row>
    <row r="12" spans="1:16" x14ac:dyDescent="0.2">
      <c r="A12" s="8">
        <v>5</v>
      </c>
      <c r="B12" s="8">
        <v>10</v>
      </c>
      <c r="D12">
        <v>1798.1650793650999</v>
      </c>
      <c r="E12">
        <v>461.00317460318001</v>
      </c>
      <c r="F12">
        <v>162.01062699255999</v>
      </c>
      <c r="G12">
        <v>129.52391073326001</v>
      </c>
      <c r="I12" s="9">
        <f t="shared" si="1"/>
        <v>331.47926386992003</v>
      </c>
      <c r="J12" s="9">
        <f t="shared" si="2"/>
        <v>1636.1544523725399</v>
      </c>
      <c r="K12" s="9">
        <f t="shared" si="3"/>
        <v>331.47926386992003</v>
      </c>
      <c r="L12" s="10">
        <f t="shared" si="0"/>
        <v>0.20259656011646798</v>
      </c>
      <c r="M12" s="10">
        <f t="shared" si="4"/>
        <v>0.20330352129540705</v>
      </c>
      <c r="P12" s="8">
        <f t="shared" si="5"/>
        <v>-2.2464625274411287</v>
      </c>
    </row>
    <row r="13" spans="1:16" x14ac:dyDescent="0.2">
      <c r="A13" s="8">
        <v>5.5</v>
      </c>
      <c r="B13" s="8">
        <v>11</v>
      </c>
      <c r="D13">
        <v>1744.4423280423</v>
      </c>
      <c r="E13">
        <v>454.09312169312</v>
      </c>
      <c r="F13">
        <v>162.7311370882</v>
      </c>
      <c r="G13">
        <v>129.26567481403001</v>
      </c>
      <c r="I13" s="9">
        <f t="shared" si="1"/>
        <v>324.82744687908996</v>
      </c>
      <c r="J13" s="9">
        <f t="shared" si="2"/>
        <v>1581.7111909540999</v>
      </c>
      <c r="K13" s="9">
        <f t="shared" si="3"/>
        <v>324.82744687908996</v>
      </c>
      <c r="L13" s="10">
        <f t="shared" si="0"/>
        <v>0.2053645752377535</v>
      </c>
      <c r="M13" s="10">
        <f t="shared" si="4"/>
        <v>0.20614223253458647</v>
      </c>
      <c r="P13" s="8">
        <f t="shared" si="5"/>
        <v>-0.88153749454073449</v>
      </c>
    </row>
    <row r="14" spans="1:16" x14ac:dyDescent="0.2">
      <c r="A14" s="8">
        <v>6</v>
      </c>
      <c r="B14" s="8">
        <v>12</v>
      </c>
      <c r="D14">
        <v>1997.5407407406999</v>
      </c>
      <c r="E14">
        <v>491.57460317459999</v>
      </c>
      <c r="F14">
        <v>162.05100956429001</v>
      </c>
      <c r="G14">
        <v>129.32518597237001</v>
      </c>
      <c r="I14" s="9">
        <f t="shared" si="1"/>
        <v>362.24941720223001</v>
      </c>
      <c r="J14" s="9">
        <f t="shared" si="2"/>
        <v>1835.4897311764098</v>
      </c>
      <c r="K14" s="9">
        <f t="shared" si="3"/>
        <v>362.24941720223001</v>
      </c>
      <c r="L14" s="10">
        <f t="shared" si="0"/>
        <v>0.19735845483050216</v>
      </c>
      <c r="M14" s="10">
        <f t="shared" si="4"/>
        <v>0.19820680824522904</v>
      </c>
      <c r="P14" s="8">
        <f t="shared" si="5"/>
        <v>-4.6970926344008692</v>
      </c>
    </row>
    <row r="15" spans="1:16" x14ac:dyDescent="0.2">
      <c r="A15" s="8">
        <v>6.5</v>
      </c>
      <c r="B15" s="8">
        <v>13</v>
      </c>
      <c r="D15">
        <v>2005.9630411827</v>
      </c>
      <c r="E15">
        <v>496.10982048573999</v>
      </c>
      <c r="F15">
        <v>162.08395324123001</v>
      </c>
      <c r="G15">
        <v>129.51753453773</v>
      </c>
      <c r="I15" s="9">
        <f t="shared" si="1"/>
        <v>366.59228594800999</v>
      </c>
      <c r="J15" s="9">
        <f t="shared" si="2"/>
        <v>1843.8790879414701</v>
      </c>
      <c r="K15" s="9">
        <f t="shared" si="3"/>
        <v>366.59228594800999</v>
      </c>
      <c r="L15" s="10">
        <f t="shared" si="0"/>
        <v>0.19881579456344844</v>
      </c>
      <c r="M15" s="10">
        <f t="shared" si="4"/>
        <v>0.19973484409606923</v>
      </c>
      <c r="P15" s="8">
        <f t="shared" si="5"/>
        <v>-3.962373880624448</v>
      </c>
    </row>
    <row r="16" spans="1:16" x14ac:dyDescent="0.2">
      <c r="A16" s="8">
        <v>7</v>
      </c>
      <c r="B16" s="8">
        <v>14</v>
      </c>
      <c r="D16">
        <v>1972.2145144077001</v>
      </c>
      <c r="E16">
        <v>484.28388473852999</v>
      </c>
      <c r="F16">
        <v>161.96599362379999</v>
      </c>
      <c r="G16">
        <v>129.45589798086999</v>
      </c>
      <c r="I16" s="9">
        <f t="shared" si="1"/>
        <v>354.82798675766003</v>
      </c>
      <c r="J16" s="9">
        <f t="shared" si="2"/>
        <v>1810.2485207839002</v>
      </c>
      <c r="K16" s="9">
        <f t="shared" si="3"/>
        <v>354.82798675766003</v>
      </c>
      <c r="L16" s="10">
        <f t="shared" si="0"/>
        <v>0.19601064863956208</v>
      </c>
      <c r="M16" s="10">
        <f t="shared" si="4"/>
        <v>0.19700039429007676</v>
      </c>
      <c r="P16" s="8">
        <f t="shared" si="5"/>
        <v>-5.2771673474258254</v>
      </c>
    </row>
    <row r="17" spans="1:16" x14ac:dyDescent="0.2">
      <c r="A17" s="8">
        <v>7.5</v>
      </c>
      <c r="B17" s="8">
        <v>15</v>
      </c>
      <c r="D17">
        <v>1862.9569779643</v>
      </c>
      <c r="E17">
        <v>469.26967471144002</v>
      </c>
      <c r="F17">
        <v>162.27098831031</v>
      </c>
      <c r="G17">
        <v>129.26248671626001</v>
      </c>
      <c r="I17" s="9">
        <f t="shared" si="1"/>
        <v>340.00718799518</v>
      </c>
      <c r="J17" s="9">
        <f t="shared" si="2"/>
        <v>1700.68598965399</v>
      </c>
      <c r="K17" s="9">
        <f t="shared" si="3"/>
        <v>340.00718799518</v>
      </c>
      <c r="L17" s="10">
        <f t="shared" si="0"/>
        <v>0.19992355441486029</v>
      </c>
      <c r="M17" s="10">
        <f t="shared" si="4"/>
        <v>0.2009839961832689</v>
      </c>
      <c r="P17" s="8">
        <f t="shared" si="5"/>
        <v>-3.3617495796436048</v>
      </c>
    </row>
    <row r="18" spans="1:16" x14ac:dyDescent="0.2">
      <c r="A18" s="8">
        <v>8</v>
      </c>
      <c r="B18" s="8">
        <v>16</v>
      </c>
      <c r="D18">
        <v>1873.1649159664</v>
      </c>
      <c r="E18">
        <v>470.41071428571001</v>
      </c>
      <c r="F18">
        <v>162.08182784272</v>
      </c>
      <c r="G18">
        <v>129.42720510096001</v>
      </c>
      <c r="I18" s="9">
        <f t="shared" si="1"/>
        <v>340.98350918475001</v>
      </c>
      <c r="J18" s="9">
        <f t="shared" si="2"/>
        <v>1711.08308812368</v>
      </c>
      <c r="K18" s="9">
        <f t="shared" si="3"/>
        <v>340.98350918475001</v>
      </c>
      <c r="L18" s="10">
        <f t="shared" si="0"/>
        <v>0.1992793404081048</v>
      </c>
      <c r="M18" s="10">
        <f t="shared" si="4"/>
        <v>0.20041047829440731</v>
      </c>
      <c r="P18" s="8">
        <f t="shared" si="5"/>
        <v>-3.6375116622813786</v>
      </c>
    </row>
    <row r="19" spans="1:16" x14ac:dyDescent="0.2">
      <c r="A19" s="8">
        <v>8.5</v>
      </c>
      <c r="B19" s="8">
        <v>17</v>
      </c>
      <c r="D19">
        <v>1810.6449579831999</v>
      </c>
      <c r="E19">
        <v>456.70168067227002</v>
      </c>
      <c r="F19">
        <v>162.51859723698001</v>
      </c>
      <c r="G19">
        <v>129.74601487779</v>
      </c>
      <c r="I19" s="9">
        <f t="shared" si="1"/>
        <v>326.95566579448001</v>
      </c>
      <c r="J19" s="9">
        <f t="shared" si="2"/>
        <v>1648.1263607462199</v>
      </c>
      <c r="K19" s="9">
        <f t="shared" si="3"/>
        <v>326.95566579448001</v>
      </c>
      <c r="L19" s="10">
        <f t="shared" si="0"/>
        <v>0.19838021742850151</v>
      </c>
      <c r="M19" s="10">
        <f t="shared" si="4"/>
        <v>0.19958205143269792</v>
      </c>
      <c r="P19" s="8">
        <f t="shared" si="5"/>
        <v>-4.0358405045630343</v>
      </c>
    </row>
    <row r="20" spans="1:16" x14ac:dyDescent="0.2">
      <c r="A20" s="8">
        <v>9</v>
      </c>
      <c r="B20" s="8">
        <v>18</v>
      </c>
      <c r="D20">
        <v>1823.4199363733001</v>
      </c>
      <c r="E20">
        <v>463.14422057263999</v>
      </c>
      <c r="F20">
        <v>161.41976620616001</v>
      </c>
      <c r="G20">
        <v>129.2688629118</v>
      </c>
      <c r="I20" s="9">
        <f t="shared" si="1"/>
        <v>333.87535766084</v>
      </c>
      <c r="J20" s="9">
        <f t="shared" si="2"/>
        <v>1662.0001701671401</v>
      </c>
      <c r="K20" s="9">
        <f t="shared" si="3"/>
        <v>333.87535766084</v>
      </c>
      <c r="L20" s="10">
        <f t="shared" si="0"/>
        <v>0.2008876795886631</v>
      </c>
      <c r="M20" s="10">
        <f t="shared" si="4"/>
        <v>0.20216020971075344</v>
      </c>
      <c r="P20" s="8">
        <f t="shared" si="5"/>
        <v>-2.7961960053519825</v>
      </c>
    </row>
    <row r="21" spans="1:16" x14ac:dyDescent="0.2">
      <c r="A21" s="8">
        <v>9.5</v>
      </c>
      <c r="B21" s="8">
        <v>19</v>
      </c>
      <c r="D21">
        <v>1824.9130434783001</v>
      </c>
      <c r="E21">
        <v>464.17709437963998</v>
      </c>
      <c r="F21">
        <v>162.42933049947001</v>
      </c>
      <c r="G21">
        <v>129.49521785335</v>
      </c>
      <c r="I21" s="9">
        <f t="shared" si="1"/>
        <v>334.68187652629001</v>
      </c>
      <c r="J21" s="9">
        <f t="shared" si="2"/>
        <v>1662.48371297883</v>
      </c>
      <c r="K21" s="9">
        <f t="shared" si="3"/>
        <v>334.68187652629001</v>
      </c>
      <c r="L21" s="10">
        <f t="shared" si="0"/>
        <v>0.20131437915058351</v>
      </c>
      <c r="M21" s="10">
        <f t="shared" si="4"/>
        <v>0.20265760539056774</v>
      </c>
      <c r="P21" s="8">
        <f t="shared" si="5"/>
        <v>-2.55703542950162</v>
      </c>
    </row>
    <row r="22" spans="1:16" x14ac:dyDescent="0.2">
      <c r="A22" s="8">
        <v>10</v>
      </c>
      <c r="B22" s="8">
        <v>20</v>
      </c>
      <c r="D22">
        <v>1822.4511677282001</v>
      </c>
      <c r="E22">
        <v>465.26539278131997</v>
      </c>
      <c r="F22">
        <v>161.31137088203999</v>
      </c>
      <c r="G22">
        <v>129.05100956429001</v>
      </c>
      <c r="I22" s="9">
        <f t="shared" si="1"/>
        <v>336.21438321702999</v>
      </c>
      <c r="J22" s="9">
        <f t="shared" si="2"/>
        <v>1661.1397968461602</v>
      </c>
      <c r="K22" s="9">
        <f t="shared" si="3"/>
        <v>336.21438321702999</v>
      </c>
      <c r="L22" s="10">
        <f t="shared" si="0"/>
        <v>0.20239981237904636</v>
      </c>
      <c r="M22" s="10">
        <f t="shared" si="4"/>
        <v>0.20381373473692449</v>
      </c>
      <c r="P22" s="8">
        <f t="shared" si="5"/>
        <v>-2.0011388436377961</v>
      </c>
    </row>
    <row r="23" spans="1:16" x14ac:dyDescent="0.2">
      <c r="A23" s="8">
        <v>10.5</v>
      </c>
      <c r="B23" s="8">
        <v>21</v>
      </c>
      <c r="D23">
        <v>1809.0456475584001</v>
      </c>
      <c r="E23">
        <v>459.19214437366998</v>
      </c>
      <c r="F23">
        <v>161.63230605739</v>
      </c>
      <c r="G23">
        <v>128.86716259299001</v>
      </c>
      <c r="I23" s="9">
        <f t="shared" si="1"/>
        <v>330.32498178067999</v>
      </c>
      <c r="J23" s="9">
        <f t="shared" si="2"/>
        <v>1647.4133415010101</v>
      </c>
      <c r="K23" s="9">
        <f t="shared" si="3"/>
        <v>330.32498178067999</v>
      </c>
      <c r="L23" s="10">
        <f t="shared" si="0"/>
        <v>0.20051129456054453</v>
      </c>
      <c r="M23" s="10">
        <f t="shared" si="4"/>
        <v>0.20199591303631659</v>
      </c>
      <c r="P23" s="8">
        <f t="shared" si="5"/>
        <v>-2.8751940523058406</v>
      </c>
    </row>
    <row r="24" spans="1:16" x14ac:dyDescent="0.2">
      <c r="A24" s="8">
        <v>11</v>
      </c>
      <c r="B24" s="8">
        <v>22</v>
      </c>
      <c r="D24">
        <v>1851.5307855625999</v>
      </c>
      <c r="E24">
        <v>466.82059447982999</v>
      </c>
      <c r="F24">
        <v>162.37619553665999</v>
      </c>
      <c r="G24">
        <v>129.53560042507999</v>
      </c>
      <c r="I24" s="9">
        <f t="shared" si="1"/>
        <v>337.28499405474997</v>
      </c>
      <c r="J24" s="9">
        <f t="shared" si="2"/>
        <v>1689.15459002594</v>
      </c>
      <c r="K24" s="9">
        <f t="shared" si="3"/>
        <v>337.28499405474997</v>
      </c>
      <c r="L24" s="10">
        <f t="shared" si="0"/>
        <v>0.19967680640146165</v>
      </c>
      <c r="M24" s="10">
        <f t="shared" si="4"/>
        <v>0.20123212099512761</v>
      </c>
      <c r="P24" s="8">
        <f t="shared" si="5"/>
        <v>-3.2424448182732477</v>
      </c>
    </row>
    <row r="25" spans="1:16" x14ac:dyDescent="0.2">
      <c r="A25" s="8">
        <v>11.5</v>
      </c>
      <c r="B25" s="8">
        <v>23</v>
      </c>
      <c r="D25">
        <v>1820.6454352441999</v>
      </c>
      <c r="E25">
        <v>466.58067940552002</v>
      </c>
      <c r="F25">
        <v>161.52391073326001</v>
      </c>
      <c r="G25">
        <v>129.30605738576</v>
      </c>
      <c r="I25" s="9">
        <f t="shared" si="1"/>
        <v>337.27462201976005</v>
      </c>
      <c r="J25" s="9">
        <f t="shared" si="2"/>
        <v>1659.1215245109399</v>
      </c>
      <c r="K25" s="9">
        <f t="shared" si="3"/>
        <v>337.27462201976005</v>
      </c>
      <c r="L25" s="10">
        <f t="shared" si="0"/>
        <v>0.20328506202653157</v>
      </c>
      <c r="M25" s="10">
        <f t="shared" si="4"/>
        <v>0.20491107273809142</v>
      </c>
      <c r="P25" s="8">
        <f t="shared" si="5"/>
        <v>-1.4735106415602266</v>
      </c>
    </row>
    <row r="26" spans="1:16" x14ac:dyDescent="0.2">
      <c r="A26" s="8">
        <v>12</v>
      </c>
      <c r="B26" s="8">
        <v>24</v>
      </c>
      <c r="D26">
        <v>1870.4657534247001</v>
      </c>
      <c r="E26">
        <v>473.03371970494999</v>
      </c>
      <c r="F26">
        <v>161.52603613177999</v>
      </c>
      <c r="G26">
        <v>129.35069075452</v>
      </c>
      <c r="I26" s="9">
        <f t="shared" si="1"/>
        <v>343.68302895042996</v>
      </c>
      <c r="J26" s="9">
        <f t="shared" si="2"/>
        <v>1708.93971729292</v>
      </c>
      <c r="K26" s="9">
        <f t="shared" si="3"/>
        <v>343.68302895042996</v>
      </c>
      <c r="L26" s="10">
        <f t="shared" si="0"/>
        <v>0.20110892471669387</v>
      </c>
      <c r="M26" s="10">
        <f t="shared" si="4"/>
        <v>0.20280563154614764</v>
      </c>
      <c r="P26" s="8">
        <f t="shared" si="5"/>
        <v>-2.4858606645285448</v>
      </c>
    </row>
    <row r="27" spans="1:16" x14ac:dyDescent="0.2">
      <c r="A27" s="8">
        <v>12.5</v>
      </c>
      <c r="B27" s="8">
        <v>25</v>
      </c>
      <c r="D27">
        <v>1853.3424657533999</v>
      </c>
      <c r="E27">
        <v>477.57639620652998</v>
      </c>
      <c r="F27">
        <v>163</v>
      </c>
      <c r="G27">
        <v>129.87460148778001</v>
      </c>
      <c r="I27" s="9">
        <f t="shared" si="1"/>
        <v>347.70179471874997</v>
      </c>
      <c r="J27" s="9">
        <f t="shared" si="2"/>
        <v>1690.3424657533999</v>
      </c>
      <c r="K27" s="9">
        <f t="shared" si="3"/>
        <v>347.70179471874997</v>
      </c>
      <c r="L27" s="10">
        <f t="shared" si="0"/>
        <v>0.20569902357850089</v>
      </c>
      <c r="M27" s="10">
        <f t="shared" si="4"/>
        <v>0.20746642652584857</v>
      </c>
      <c r="P27" s="8">
        <f t="shared" si="5"/>
        <v>-0.24483112506428262</v>
      </c>
    </row>
    <row r="28" spans="1:16" x14ac:dyDescent="0.2">
      <c r="A28" s="8">
        <v>13</v>
      </c>
      <c r="B28" s="8">
        <v>26</v>
      </c>
      <c r="D28">
        <v>1879.9146469968</v>
      </c>
      <c r="E28">
        <v>481.54162276080001</v>
      </c>
      <c r="F28">
        <v>161.85122210415</v>
      </c>
      <c r="G28">
        <v>128.79914984059999</v>
      </c>
      <c r="I28" s="9">
        <f t="shared" si="1"/>
        <v>352.74247292020004</v>
      </c>
      <c r="J28" s="9">
        <f t="shared" si="2"/>
        <v>1718.0634248926499</v>
      </c>
      <c r="K28" s="9">
        <f t="shared" si="3"/>
        <v>352.74247292020004</v>
      </c>
      <c r="L28" s="10">
        <f t="shared" si="0"/>
        <v>0.20531399936078643</v>
      </c>
      <c r="M28" s="10">
        <f t="shared" si="4"/>
        <v>0.207152098426028</v>
      </c>
      <c r="P28" s="8">
        <f t="shared" si="5"/>
        <v>-0.39596812204645238</v>
      </c>
    </row>
    <row r="29" spans="1:16" x14ac:dyDescent="0.2">
      <c r="A29" s="8">
        <v>13.5</v>
      </c>
      <c r="B29" s="8">
        <v>27</v>
      </c>
      <c r="D29">
        <v>1926.6014721346</v>
      </c>
      <c r="E29">
        <v>492.10830704521999</v>
      </c>
      <c r="F29">
        <v>162.27630180659</v>
      </c>
      <c r="G29">
        <v>129.28586609989</v>
      </c>
      <c r="I29" s="9">
        <f t="shared" si="1"/>
        <v>362.82244094532996</v>
      </c>
      <c r="J29" s="9">
        <f t="shared" si="2"/>
        <v>1764.32517032801</v>
      </c>
      <c r="K29" s="9">
        <f t="shared" si="3"/>
        <v>362.82244094532996</v>
      </c>
      <c r="L29" s="10">
        <f t="shared" si="0"/>
        <v>0.20564374812942035</v>
      </c>
      <c r="M29" s="10">
        <f t="shared" si="4"/>
        <v>0.20755254331255585</v>
      </c>
      <c r="P29" s="8">
        <f t="shared" si="5"/>
        <v>-0.20342396948346769</v>
      </c>
    </row>
    <row r="30" spans="1:16" x14ac:dyDescent="0.2">
      <c r="A30" s="8">
        <v>14</v>
      </c>
      <c r="B30" s="8">
        <v>28</v>
      </c>
      <c r="D30">
        <v>1909.9379600421</v>
      </c>
      <c r="E30">
        <v>490.42691903259998</v>
      </c>
      <c r="F30">
        <v>162.52922422954001</v>
      </c>
      <c r="G30">
        <v>129.34750265675001</v>
      </c>
      <c r="I30" s="9">
        <f t="shared" si="1"/>
        <v>361.07941637584997</v>
      </c>
      <c r="J30" s="9">
        <f t="shared" si="2"/>
        <v>1747.4087358125601</v>
      </c>
      <c r="K30" s="9">
        <f t="shared" si="3"/>
        <v>361.07941637584997</v>
      </c>
      <c r="L30" s="10">
        <f t="shared" si="0"/>
        <v>0.20663706720451122</v>
      </c>
      <c r="M30" s="10">
        <f t="shared" si="4"/>
        <v>0.20861655850554062</v>
      </c>
      <c r="P30" s="8">
        <f t="shared" si="5"/>
        <v>0.30818177337858821</v>
      </c>
    </row>
    <row r="31" spans="1:16" x14ac:dyDescent="0.2">
      <c r="A31" s="8">
        <v>14.5</v>
      </c>
      <c r="B31" s="8">
        <v>29</v>
      </c>
      <c r="D31">
        <v>1898.36382755</v>
      </c>
      <c r="E31">
        <v>483.57518401682</v>
      </c>
      <c r="F31">
        <v>162.05632306057001</v>
      </c>
      <c r="G31">
        <v>129.63868225292001</v>
      </c>
      <c r="I31" s="9">
        <f t="shared" si="1"/>
        <v>353.93650176389997</v>
      </c>
      <c r="J31" s="9">
        <f t="shared" si="2"/>
        <v>1736.3075044894299</v>
      </c>
      <c r="K31" s="9">
        <f t="shared" si="3"/>
        <v>353.93650176389997</v>
      </c>
      <c r="L31" s="10">
        <f t="shared" si="0"/>
        <v>0.20384436561424457</v>
      </c>
      <c r="M31" s="10">
        <f t="shared" si="4"/>
        <v>0.20589455303316787</v>
      </c>
      <c r="P31" s="8">
        <f t="shared" si="5"/>
        <v>-1.0006281392518399</v>
      </c>
    </row>
    <row r="32" spans="1:16" x14ac:dyDescent="0.2">
      <c r="A32" s="8">
        <v>15</v>
      </c>
      <c r="B32" s="8">
        <v>30</v>
      </c>
      <c r="D32">
        <v>1857.4185068349</v>
      </c>
      <c r="E32">
        <v>476.53207150368002</v>
      </c>
      <c r="F32">
        <v>162.08607863975001</v>
      </c>
      <c r="G32">
        <v>129.20403825717</v>
      </c>
      <c r="I32" s="9">
        <f t="shared" si="1"/>
        <v>347.32803324651002</v>
      </c>
      <c r="J32" s="9">
        <f t="shared" si="2"/>
        <v>1695.33242819515</v>
      </c>
      <c r="K32" s="9">
        <f t="shared" si="3"/>
        <v>347.32803324651002</v>
      </c>
      <c r="L32" s="10">
        <f t="shared" si="0"/>
        <v>0.20487311365610769</v>
      </c>
      <c r="M32" s="10">
        <f t="shared" si="4"/>
        <v>0.20699399719292491</v>
      </c>
      <c r="P32" s="8">
        <f t="shared" si="5"/>
        <v>-0.47198724220789673</v>
      </c>
    </row>
    <row r="33" spans="1:16" x14ac:dyDescent="0.2">
      <c r="A33" s="8">
        <v>15.5</v>
      </c>
      <c r="B33" s="8">
        <v>31</v>
      </c>
      <c r="D33">
        <v>1917.0116648993001</v>
      </c>
      <c r="E33">
        <v>485.58218451750002</v>
      </c>
      <c r="F33">
        <v>162.39532412327</v>
      </c>
      <c r="G33">
        <v>129.03400637620001</v>
      </c>
      <c r="I33" s="9">
        <f t="shared" si="1"/>
        <v>356.54817814130001</v>
      </c>
      <c r="J33" s="9">
        <f t="shared" si="2"/>
        <v>1754.61634077603</v>
      </c>
      <c r="K33" s="9">
        <f t="shared" si="3"/>
        <v>356.54817814130001</v>
      </c>
      <c r="L33" s="10">
        <f t="shared" si="0"/>
        <v>0.20320577772780016</v>
      </c>
      <c r="M33" s="10">
        <f t="shared" si="4"/>
        <v>0.20539735738251128</v>
      </c>
      <c r="P33" s="8">
        <f t="shared" si="5"/>
        <v>-1.2396925359625637</v>
      </c>
    </row>
    <row r="34" spans="1:16" x14ac:dyDescent="0.2">
      <c r="A34" s="8">
        <v>16</v>
      </c>
      <c r="B34" s="8">
        <v>32</v>
      </c>
      <c r="D34">
        <v>1859.7338282078999</v>
      </c>
      <c r="E34">
        <v>473.83987274654999</v>
      </c>
      <c r="F34">
        <v>162.92986184910001</v>
      </c>
      <c r="G34">
        <v>129.58767268862999</v>
      </c>
      <c r="I34" s="9">
        <f t="shared" si="1"/>
        <v>344.25220005791999</v>
      </c>
      <c r="J34" s="9">
        <f t="shared" si="2"/>
        <v>1696.8039663587999</v>
      </c>
      <c r="K34" s="9">
        <f t="shared" si="3"/>
        <v>344.25220005791999</v>
      </c>
      <c r="L34" s="10">
        <f t="shared" si="0"/>
        <v>0.20288271767578228</v>
      </c>
      <c r="M34" s="10">
        <f t="shared" si="4"/>
        <v>0.2051449934483873</v>
      </c>
      <c r="P34" s="8">
        <f t="shared" si="5"/>
        <v>-1.3610355758367481</v>
      </c>
    </row>
    <row r="35" spans="1:16" x14ac:dyDescent="0.2">
      <c r="A35" s="8">
        <v>16.5</v>
      </c>
      <c r="B35" s="8">
        <v>33</v>
      </c>
      <c r="D35">
        <v>1855.2831389184</v>
      </c>
      <c r="E35">
        <v>473.65217391303997</v>
      </c>
      <c r="F35">
        <v>162.74070138151001</v>
      </c>
      <c r="G35">
        <v>129.4697130712</v>
      </c>
      <c r="I35" s="9">
        <f t="shared" si="1"/>
        <v>344.18246084184</v>
      </c>
      <c r="J35" s="9">
        <f t="shared" si="2"/>
        <v>1692.54243753689</v>
      </c>
      <c r="K35" s="9">
        <f t="shared" si="3"/>
        <v>344.18246084184</v>
      </c>
      <c r="L35" s="10">
        <f t="shared" si="0"/>
        <v>0.20335233741182832</v>
      </c>
      <c r="M35" s="10">
        <f t="shared" si="4"/>
        <v>0.20568530930232726</v>
      </c>
      <c r="P35" s="8">
        <f t="shared" si="5"/>
        <v>-1.1012378815391097</v>
      </c>
    </row>
    <row r="36" spans="1:16" x14ac:dyDescent="0.2">
      <c r="A36" s="8">
        <v>17</v>
      </c>
      <c r="B36" s="8">
        <v>34</v>
      </c>
      <c r="D36">
        <v>1858.7306468716999</v>
      </c>
      <c r="E36">
        <v>473.36797454931002</v>
      </c>
      <c r="F36">
        <v>163.19447396387</v>
      </c>
      <c r="G36">
        <v>129.05738575983</v>
      </c>
      <c r="I36" s="9">
        <f t="shared" si="1"/>
        <v>344.31058878947999</v>
      </c>
      <c r="J36" s="9">
        <f t="shared" si="2"/>
        <v>1695.53617290783</v>
      </c>
      <c r="K36" s="9">
        <f t="shared" si="3"/>
        <v>344.31058878947999</v>
      </c>
      <c r="L36" s="10">
        <f t="shared" si="0"/>
        <v>0.20306885473224101</v>
      </c>
      <c r="M36" s="10">
        <f t="shared" si="4"/>
        <v>0.20547252274063385</v>
      </c>
      <c r="P36" s="8">
        <f t="shared" si="5"/>
        <v>-1.203551107594498</v>
      </c>
    </row>
    <row r="37" spans="1:16" x14ac:dyDescent="0.2">
      <c r="A37" s="8">
        <v>17.5</v>
      </c>
      <c r="B37" s="8">
        <v>35</v>
      </c>
      <c r="D37">
        <v>1868.4369034995</v>
      </c>
      <c r="E37">
        <v>475.72322375397999</v>
      </c>
      <c r="F37">
        <v>162.76726886290999</v>
      </c>
      <c r="G37">
        <v>129.78958554728999</v>
      </c>
      <c r="I37" s="9">
        <f t="shared" si="1"/>
        <v>345.93363820669003</v>
      </c>
      <c r="J37" s="9">
        <f t="shared" si="2"/>
        <v>1705.66963463659</v>
      </c>
      <c r="K37" s="9">
        <f t="shared" si="3"/>
        <v>345.93363820669003</v>
      </c>
      <c r="L37" s="10">
        <f t="shared" si="0"/>
        <v>0.20281397474745727</v>
      </c>
      <c r="M37" s="10">
        <f t="shared" si="4"/>
        <v>0.20528833887374401</v>
      </c>
      <c r="P37" s="8">
        <f t="shared" si="5"/>
        <v>-1.292111425778538</v>
      </c>
    </row>
    <row r="38" spans="1:16" x14ac:dyDescent="0.2">
      <c r="A38" s="8">
        <v>18</v>
      </c>
      <c r="B38" s="8">
        <v>36</v>
      </c>
      <c r="D38">
        <v>1849.9111111110999</v>
      </c>
      <c r="E38">
        <v>471.48994708995002</v>
      </c>
      <c r="F38">
        <v>162.55366631243001</v>
      </c>
      <c r="G38">
        <v>128.6439957492</v>
      </c>
      <c r="I38" s="9">
        <f t="shared" si="1"/>
        <v>342.84595134075005</v>
      </c>
      <c r="J38" s="9">
        <f t="shared" si="2"/>
        <v>1687.3574447986698</v>
      </c>
      <c r="K38" s="9">
        <f t="shared" si="3"/>
        <v>342.84595134075005</v>
      </c>
      <c r="L38" s="10">
        <f t="shared" si="0"/>
        <v>0.20318513566736143</v>
      </c>
      <c r="M38" s="10">
        <f t="shared" si="4"/>
        <v>0.20573019591154207</v>
      </c>
      <c r="P38" s="8">
        <f t="shared" si="5"/>
        <v>-1.0796552507615518</v>
      </c>
    </row>
    <row r="39" spans="1:16" x14ac:dyDescent="0.2">
      <c r="A39" s="8">
        <v>18.5</v>
      </c>
      <c r="B39" s="8">
        <v>37</v>
      </c>
      <c r="D39">
        <v>1852.8783068783</v>
      </c>
      <c r="E39">
        <v>470.64761904762003</v>
      </c>
      <c r="F39">
        <v>162.78427205100999</v>
      </c>
      <c r="G39">
        <v>129.33900106269999</v>
      </c>
      <c r="I39" s="9">
        <f t="shared" si="1"/>
        <v>341.30861798492003</v>
      </c>
      <c r="J39" s="9">
        <f t="shared" si="2"/>
        <v>1690.09403482729</v>
      </c>
      <c r="K39" s="9">
        <f t="shared" si="3"/>
        <v>341.30861798492003</v>
      </c>
      <c r="L39" s="10">
        <f t="shared" si="0"/>
        <v>0.2019465254309345</v>
      </c>
      <c r="M39" s="10">
        <f t="shared" si="4"/>
        <v>0.20456228179300906</v>
      </c>
      <c r="P39" s="8">
        <f t="shared" si="5"/>
        <v>-1.6412182567699787</v>
      </c>
    </row>
    <row r="40" spans="1:16" x14ac:dyDescent="0.2">
      <c r="A40" s="8">
        <v>19</v>
      </c>
      <c r="B40" s="8">
        <v>38</v>
      </c>
      <c r="D40">
        <v>1868.8793650794</v>
      </c>
      <c r="E40">
        <v>472.91005291005001</v>
      </c>
      <c r="F40">
        <v>162.42614240169999</v>
      </c>
      <c r="G40">
        <v>129.07970244421</v>
      </c>
      <c r="I40" s="9">
        <f t="shared" si="1"/>
        <v>343.83035046584001</v>
      </c>
      <c r="J40" s="9">
        <f t="shared" si="2"/>
        <v>1706.4532226777001</v>
      </c>
      <c r="K40" s="9">
        <f t="shared" si="3"/>
        <v>343.83035046584001</v>
      </c>
      <c r="L40" s="10">
        <f t="shared" si="0"/>
        <v>0.20148829507691679</v>
      </c>
      <c r="M40" s="10">
        <f t="shared" si="4"/>
        <v>0.20417474755688525</v>
      </c>
      <c r="P40" s="8">
        <f t="shared" si="5"/>
        <v>-1.8275546381147134</v>
      </c>
    </row>
    <row r="41" spans="1:16" x14ac:dyDescent="0.2">
      <c r="A41" s="8">
        <v>19.5</v>
      </c>
      <c r="B41" s="8">
        <v>39</v>
      </c>
      <c r="D41">
        <v>1871.7269841269999</v>
      </c>
      <c r="E41">
        <v>471.68359788359999</v>
      </c>
      <c r="F41">
        <v>162.30074388948</v>
      </c>
      <c r="G41">
        <v>128.87353878851999</v>
      </c>
      <c r="I41" s="9">
        <f t="shared" si="1"/>
        <v>342.81005909507996</v>
      </c>
      <c r="J41" s="9">
        <f t="shared" si="2"/>
        <v>1709.42624023752</v>
      </c>
      <c r="K41" s="9">
        <f t="shared" si="3"/>
        <v>342.81005909507996</v>
      </c>
      <c r="L41" s="10">
        <f t="shared" si="0"/>
        <v>0.20054100669909422</v>
      </c>
      <c r="M41" s="10">
        <f t="shared" si="4"/>
        <v>0.20329815529695658</v>
      </c>
      <c r="P41" s="8">
        <f t="shared" si="5"/>
        <v>-2.2490426368620735</v>
      </c>
    </row>
    <row r="42" spans="1:16" x14ac:dyDescent="0.2">
      <c r="A42" s="8">
        <v>20</v>
      </c>
      <c r="B42" s="8">
        <v>40</v>
      </c>
      <c r="D42">
        <v>1867.7724867725001</v>
      </c>
      <c r="E42">
        <v>470.24232804232997</v>
      </c>
      <c r="F42">
        <v>161.72688629117999</v>
      </c>
      <c r="G42">
        <v>129.25717321997999</v>
      </c>
      <c r="I42" s="9">
        <f t="shared" si="1"/>
        <v>340.98515482234995</v>
      </c>
      <c r="J42" s="9">
        <f t="shared" si="2"/>
        <v>1706.04560048132</v>
      </c>
      <c r="K42" s="9">
        <f t="shared" si="3"/>
        <v>340.98515482234995</v>
      </c>
      <c r="L42" s="10">
        <f t="shared" si="0"/>
        <v>0.19986872257467744</v>
      </c>
      <c r="M42" s="10">
        <f t="shared" si="4"/>
        <v>0.20269656729043373</v>
      </c>
      <c r="P42" s="8">
        <f t="shared" si="5"/>
        <v>-2.5383015506475584</v>
      </c>
    </row>
    <row r="43" spans="1:16" x14ac:dyDescent="0.2">
      <c r="A43" s="8">
        <v>20.5</v>
      </c>
      <c r="B43" s="8">
        <v>41</v>
      </c>
      <c r="D43">
        <v>1871.7809523809999</v>
      </c>
      <c r="E43">
        <v>470.58201058201001</v>
      </c>
      <c r="F43">
        <v>162.72476089266999</v>
      </c>
      <c r="G43">
        <v>129.57066950052999</v>
      </c>
      <c r="I43" s="9">
        <f t="shared" si="1"/>
        <v>341.01134108148005</v>
      </c>
      <c r="J43" s="9">
        <f t="shared" si="2"/>
        <v>1709.0561914883299</v>
      </c>
      <c r="K43" s="9">
        <f t="shared" si="3"/>
        <v>341.01134108148005</v>
      </c>
      <c r="L43" s="10">
        <f t="shared" si="0"/>
        <v>0.19953196552566868</v>
      </c>
      <c r="M43" s="10">
        <f t="shared" si="4"/>
        <v>0.20243050635931886</v>
      </c>
      <c r="P43" s="8">
        <f t="shared" si="5"/>
        <v>-2.6662304573088926</v>
      </c>
    </row>
    <row r="44" spans="1:16" x14ac:dyDescent="0.2">
      <c r="A44" s="8">
        <v>21</v>
      </c>
      <c r="B44" s="8">
        <v>42</v>
      </c>
      <c r="D44">
        <v>1867.9682539682999</v>
      </c>
      <c r="E44">
        <v>470.18095238094998</v>
      </c>
      <c r="F44">
        <v>162.92879914983999</v>
      </c>
      <c r="G44">
        <v>129.05526036131999</v>
      </c>
      <c r="I44" s="9">
        <f t="shared" si="1"/>
        <v>341.12569201962998</v>
      </c>
      <c r="J44" s="9">
        <f t="shared" si="2"/>
        <v>1705.0394548184599</v>
      </c>
      <c r="K44" s="9">
        <f t="shared" si="3"/>
        <v>341.12569201962998</v>
      </c>
      <c r="L44" s="10">
        <f t="shared" si="0"/>
        <v>0.20006908992962308</v>
      </c>
      <c r="M44" s="10">
        <f t="shared" si="4"/>
        <v>0.20303832688116716</v>
      </c>
      <c r="P44" s="8">
        <f t="shared" si="5"/>
        <v>-2.3739747906067246</v>
      </c>
    </row>
    <row r="45" spans="1:16" x14ac:dyDescent="0.2">
      <c r="A45" s="8">
        <v>21.5</v>
      </c>
      <c r="B45" s="8">
        <v>43</v>
      </c>
      <c r="D45">
        <v>1869.0804232804001</v>
      </c>
      <c r="E45">
        <v>469.54179894179998</v>
      </c>
      <c r="F45">
        <v>162.17215727948999</v>
      </c>
      <c r="G45">
        <v>129.75982996811999</v>
      </c>
      <c r="I45" s="9">
        <f t="shared" si="1"/>
        <v>339.78196897368002</v>
      </c>
      <c r="J45" s="9">
        <f t="shared" si="2"/>
        <v>1706.9082660009101</v>
      </c>
      <c r="K45" s="9">
        <f t="shared" si="3"/>
        <v>339.78196897368002</v>
      </c>
      <c r="L45" s="10">
        <f t="shared" si="0"/>
        <v>0.19906281769303874</v>
      </c>
      <c r="M45" s="10">
        <f t="shared" si="4"/>
        <v>0.20210275076247675</v>
      </c>
      <c r="P45" s="8">
        <f t="shared" si="5"/>
        <v>-2.8238237385939358</v>
      </c>
    </row>
    <row r="46" spans="1:16" x14ac:dyDescent="0.2">
      <c r="A46" s="8">
        <v>22</v>
      </c>
      <c r="B46" s="8">
        <v>44</v>
      </c>
      <c r="D46">
        <v>1873.4730158729999</v>
      </c>
      <c r="E46">
        <v>470.89523809524002</v>
      </c>
      <c r="F46">
        <v>162.06163655685</v>
      </c>
      <c r="G46">
        <v>128.74920297556</v>
      </c>
      <c r="I46" s="9">
        <f t="shared" si="1"/>
        <v>342.14603511968005</v>
      </c>
      <c r="J46" s="9">
        <f t="shared" si="2"/>
        <v>1711.4113793161498</v>
      </c>
      <c r="K46" s="9">
        <f t="shared" si="3"/>
        <v>342.14603511968005</v>
      </c>
      <c r="L46" s="10">
        <f t="shared" si="0"/>
        <v>0.19992039275582921</v>
      </c>
      <c r="M46" s="10">
        <f t="shared" si="4"/>
        <v>0.20303102194316111</v>
      </c>
      <c r="P46" s="8">
        <f t="shared" si="5"/>
        <v>-2.3774871918015434</v>
      </c>
    </row>
    <row r="47" spans="1:16" x14ac:dyDescent="0.2">
      <c r="A47" s="8">
        <v>22.5</v>
      </c>
      <c r="B47" s="8">
        <v>45</v>
      </c>
      <c r="D47">
        <v>1871.5174603175001</v>
      </c>
      <c r="E47">
        <v>470.54814814815001</v>
      </c>
      <c r="F47">
        <v>162.20510095642999</v>
      </c>
      <c r="G47">
        <v>129.00425079702001</v>
      </c>
      <c r="I47" s="9">
        <f t="shared" si="1"/>
        <v>341.54389735113</v>
      </c>
      <c r="J47" s="9">
        <f t="shared" si="2"/>
        <v>1709.3123593610701</v>
      </c>
      <c r="K47" s="9">
        <f t="shared" si="3"/>
        <v>341.54389735113</v>
      </c>
      <c r="L47" s="10">
        <f t="shared" si="0"/>
        <v>0.19981362416334303</v>
      </c>
      <c r="M47" s="10">
        <f t="shared" si="4"/>
        <v>0.20299494946856883</v>
      </c>
      <c r="P47" s="8">
        <f t="shared" si="5"/>
        <v>-2.3948317610166567</v>
      </c>
    </row>
    <row r="48" spans="1:16" x14ac:dyDescent="0.2">
      <c r="A48" s="8">
        <v>23</v>
      </c>
      <c r="B48" s="8">
        <v>46</v>
      </c>
      <c r="D48">
        <v>1878.6232804233</v>
      </c>
      <c r="E48">
        <v>470.72910052909998</v>
      </c>
      <c r="F48">
        <v>162.30818278427</v>
      </c>
      <c r="G48">
        <v>128.66099893730001</v>
      </c>
      <c r="I48" s="9">
        <f t="shared" si="1"/>
        <v>342.06810159179997</v>
      </c>
      <c r="J48" s="9">
        <f t="shared" si="2"/>
        <v>1716.31509763903</v>
      </c>
      <c r="K48" s="9">
        <f t="shared" si="3"/>
        <v>342.06810159179997</v>
      </c>
      <c r="L48" s="10">
        <f t="shared" si="0"/>
        <v>0.19930378871708945</v>
      </c>
      <c r="M48" s="10">
        <f t="shared" si="4"/>
        <v>0.20255581014020918</v>
      </c>
      <c r="P48" s="8">
        <f t="shared" si="5"/>
        <v>-2.6059811917641169</v>
      </c>
    </row>
    <row r="49" spans="1:25" x14ac:dyDescent="0.2">
      <c r="A49" s="8">
        <v>23.5</v>
      </c>
      <c r="B49" s="8">
        <v>47</v>
      </c>
      <c r="D49">
        <v>1884.0074074074</v>
      </c>
      <c r="E49">
        <v>470.86349206349001</v>
      </c>
      <c r="F49">
        <v>161.99149840595001</v>
      </c>
      <c r="G49">
        <v>129.15302869288001</v>
      </c>
      <c r="I49" s="9">
        <f t="shared" si="1"/>
        <v>341.71046337061</v>
      </c>
      <c r="J49" s="9">
        <f t="shared" si="2"/>
        <v>1722.0159090014499</v>
      </c>
      <c r="K49" s="9">
        <f t="shared" si="3"/>
        <v>341.71046337061</v>
      </c>
      <c r="L49" s="10">
        <f t="shared" si="0"/>
        <v>0.19843629874985219</v>
      </c>
      <c r="M49" s="10">
        <f t="shared" si="4"/>
        <v>0.20175901629086582</v>
      </c>
      <c r="P49" s="8">
        <f t="shared" si="5"/>
        <v>-2.9891000719162952</v>
      </c>
    </row>
    <row r="50" spans="1:25" x14ac:dyDescent="0.2">
      <c r="A50" s="8">
        <v>24</v>
      </c>
      <c r="B50" s="8">
        <v>48</v>
      </c>
      <c r="D50">
        <v>1876.4148148147999</v>
      </c>
      <c r="E50">
        <v>471.42010582011</v>
      </c>
      <c r="F50">
        <v>162.65143464400001</v>
      </c>
      <c r="G50">
        <v>128.77364505845</v>
      </c>
      <c r="I50" s="9">
        <f t="shared" si="1"/>
        <v>342.64646076166002</v>
      </c>
      <c r="J50" s="9">
        <f t="shared" si="2"/>
        <v>1713.7633801707998</v>
      </c>
      <c r="K50" s="9">
        <f t="shared" si="3"/>
        <v>342.64646076166002</v>
      </c>
      <c r="L50" s="10">
        <f t="shared" si="0"/>
        <v>0.19993802220672416</v>
      </c>
      <c r="M50" s="10">
        <f t="shared" si="4"/>
        <v>0.20333143586563168</v>
      </c>
      <c r="P50" s="8">
        <f t="shared" si="5"/>
        <v>-2.2330404874828571</v>
      </c>
    </row>
    <row r="51" spans="1:25" x14ac:dyDescent="0.2">
      <c r="A51" s="8">
        <v>24.5</v>
      </c>
      <c r="B51" s="8">
        <v>49</v>
      </c>
      <c r="D51">
        <v>1884.3174603175</v>
      </c>
      <c r="E51">
        <v>472.16719576719998</v>
      </c>
      <c r="F51">
        <v>161.88841657811</v>
      </c>
      <c r="G51">
        <v>129.20722635493999</v>
      </c>
      <c r="I51" s="9">
        <f t="shared" si="1"/>
        <v>342.95996941225997</v>
      </c>
      <c r="J51" s="9">
        <f t="shared" si="2"/>
        <v>1722.42904373939</v>
      </c>
      <c r="K51" s="9">
        <f t="shared" si="3"/>
        <v>342.95996941225997</v>
      </c>
      <c r="L51" s="10">
        <f t="shared" si="0"/>
        <v>0.19911413515629914</v>
      </c>
      <c r="M51" s="10">
        <f t="shared" si="4"/>
        <v>0.20257824493310059</v>
      </c>
      <c r="P51" s="8">
        <f t="shared" si="5"/>
        <v>-2.5951939690262842</v>
      </c>
    </row>
    <row r="52" spans="1:25" x14ac:dyDescent="0.2">
      <c r="A52" s="8">
        <v>25</v>
      </c>
      <c r="B52" s="8">
        <v>50</v>
      </c>
      <c r="D52">
        <v>1886.1841269841</v>
      </c>
      <c r="E52">
        <v>475.13121693122002</v>
      </c>
      <c r="F52">
        <v>161.17109458023</v>
      </c>
      <c r="G52">
        <v>128.93836344315</v>
      </c>
      <c r="I52" s="9">
        <f t="shared" si="1"/>
        <v>346.19285348807</v>
      </c>
      <c r="J52" s="9">
        <f t="shared" si="2"/>
        <v>1725.0130324038701</v>
      </c>
      <c r="K52" s="9">
        <f t="shared" si="3"/>
        <v>346.19285348807</v>
      </c>
      <c r="L52" s="10">
        <f t="shared" si="0"/>
        <v>0.20068999305219007</v>
      </c>
      <c r="M52" s="10">
        <f t="shared" si="4"/>
        <v>0.20422479894688542</v>
      </c>
      <c r="P52" s="8">
        <f t="shared" si="5"/>
        <v>-1.8034886485206343</v>
      </c>
    </row>
    <row r="53" spans="1:25" x14ac:dyDescent="0.2">
      <c r="A53" s="8">
        <v>25.5</v>
      </c>
      <c r="B53" s="8">
        <v>51</v>
      </c>
      <c r="D53">
        <v>1863.6497354497001</v>
      </c>
      <c r="E53">
        <v>470.63386243385997</v>
      </c>
      <c r="F53">
        <v>162.39107332624999</v>
      </c>
      <c r="G53">
        <v>128.84165781083999</v>
      </c>
      <c r="I53" s="9">
        <f t="shared" si="1"/>
        <v>341.79220462301998</v>
      </c>
      <c r="J53" s="9">
        <f t="shared" si="2"/>
        <v>1701.25866212345</v>
      </c>
      <c r="K53" s="9">
        <f t="shared" si="3"/>
        <v>341.79220462301998</v>
      </c>
      <c r="L53" s="10">
        <f t="shared" si="0"/>
        <v>0.2009054897016114</v>
      </c>
      <c r="M53" s="10">
        <f t="shared" si="4"/>
        <v>0.20451099171420065</v>
      </c>
      <c r="P53" s="8">
        <f t="shared" si="5"/>
        <v>-1.6658798396526657</v>
      </c>
      <c r="S53" s="11"/>
      <c r="U53" s="12"/>
    </row>
    <row r="54" spans="1:25" x14ac:dyDescent="0.2">
      <c r="A54" s="8">
        <v>26</v>
      </c>
      <c r="B54" s="8">
        <v>52</v>
      </c>
      <c r="D54">
        <v>1871.1957671958</v>
      </c>
      <c r="E54">
        <v>471.00529100529002</v>
      </c>
      <c r="F54">
        <v>162.45696068013001</v>
      </c>
      <c r="G54">
        <v>128.90435706695001</v>
      </c>
      <c r="I54" s="9">
        <f t="shared" si="1"/>
        <v>342.10093393834001</v>
      </c>
      <c r="J54" s="9">
        <f t="shared" si="2"/>
        <v>1708.7388065156701</v>
      </c>
      <c r="K54" s="9">
        <f t="shared" si="3"/>
        <v>342.10093393834001</v>
      </c>
      <c r="L54" s="10">
        <f t="shared" si="0"/>
        <v>0.20020668614410775</v>
      </c>
      <c r="M54" s="10">
        <f t="shared" si="4"/>
        <v>0.20388288427459092</v>
      </c>
      <c r="P54" s="8">
        <f t="shared" si="5"/>
        <v>-1.9678899757460118</v>
      </c>
      <c r="S54" s="11"/>
    </row>
    <row r="55" spans="1:25" x14ac:dyDescent="0.2">
      <c r="A55" s="8">
        <v>26.5</v>
      </c>
      <c r="B55" s="8">
        <v>53</v>
      </c>
      <c r="D55">
        <v>1864.1735449734999</v>
      </c>
      <c r="E55">
        <v>469.94179894180002</v>
      </c>
      <c r="F55">
        <v>161.58979808714</v>
      </c>
      <c r="G55">
        <v>129.07332624867001</v>
      </c>
      <c r="I55" s="9">
        <f t="shared" si="1"/>
        <v>340.86847269313</v>
      </c>
      <c r="J55" s="9">
        <f t="shared" si="2"/>
        <v>1702.5837468863599</v>
      </c>
      <c r="K55" s="9">
        <f t="shared" si="3"/>
        <v>340.86847269313</v>
      </c>
      <c r="L55" s="10">
        <f t="shared" si="0"/>
        <v>0.20020658209412678</v>
      </c>
      <c r="M55" s="10">
        <f t="shared" si="4"/>
        <v>0.20395347634250385</v>
      </c>
      <c r="P55" s="8">
        <f t="shared" si="5"/>
        <v>-1.9339475023839026</v>
      </c>
      <c r="S55" s="11"/>
    </row>
    <row r="56" spans="1:25" x14ac:dyDescent="0.2">
      <c r="A56" s="8">
        <v>27</v>
      </c>
      <c r="B56" s="8">
        <v>54</v>
      </c>
      <c r="D56">
        <v>1859.8687830688</v>
      </c>
      <c r="E56">
        <v>471.39470899471002</v>
      </c>
      <c r="F56">
        <v>161.34112646121</v>
      </c>
      <c r="G56">
        <v>129.13390010627</v>
      </c>
      <c r="I56" s="9">
        <f t="shared" si="1"/>
        <v>342.26080888844001</v>
      </c>
      <c r="J56" s="9">
        <f t="shared" si="2"/>
        <v>1698.52765660759</v>
      </c>
      <c r="K56" s="9">
        <f t="shared" si="3"/>
        <v>342.26080888844001</v>
      </c>
      <c r="L56" s="10">
        <f t="shared" si="0"/>
        <v>0.201504407394829</v>
      </c>
      <c r="M56" s="10">
        <f t="shared" si="4"/>
        <v>0.20532199776109997</v>
      </c>
      <c r="P56" s="8">
        <f t="shared" si="5"/>
        <v>-1.275927371092862</v>
      </c>
      <c r="S56" s="11"/>
    </row>
    <row r="57" spans="1:25" x14ac:dyDescent="0.2">
      <c r="A57" s="8">
        <v>27.5</v>
      </c>
      <c r="B57" s="8">
        <v>55</v>
      </c>
      <c r="D57">
        <v>1866.7026455027001</v>
      </c>
      <c r="E57">
        <v>473.88042328042002</v>
      </c>
      <c r="F57">
        <v>162.45589798086999</v>
      </c>
      <c r="G57">
        <v>128.65462274175999</v>
      </c>
      <c r="I57" s="9">
        <f t="shared" si="1"/>
        <v>345.22580053866</v>
      </c>
      <c r="J57" s="9">
        <f t="shared" si="2"/>
        <v>1704.24674752183</v>
      </c>
      <c r="K57" s="9">
        <f t="shared" si="3"/>
        <v>345.22580053866</v>
      </c>
      <c r="L57" s="10">
        <f t="shared" si="0"/>
        <v>0.20256796795455698</v>
      </c>
      <c r="M57" s="10">
        <f t="shared" si="4"/>
        <v>0.20645625443872187</v>
      </c>
      <c r="P57" s="8">
        <f t="shared" si="5"/>
        <v>-0.73054772428239756</v>
      </c>
      <c r="S57" s="11"/>
    </row>
    <row r="58" spans="1:25" x14ac:dyDescent="0.2">
      <c r="A58" s="8">
        <v>28</v>
      </c>
      <c r="B58" s="8">
        <v>56</v>
      </c>
      <c r="D58">
        <v>1870.8095238095</v>
      </c>
      <c r="E58">
        <v>471.25291005291001</v>
      </c>
      <c r="F58">
        <v>161.95855472900999</v>
      </c>
      <c r="G58">
        <v>128.46121147714999</v>
      </c>
      <c r="I58" s="9">
        <f t="shared" si="1"/>
        <v>342.79169857576005</v>
      </c>
      <c r="J58" s="9">
        <f t="shared" si="2"/>
        <v>1708.8509690804899</v>
      </c>
      <c r="K58" s="9">
        <f t="shared" si="3"/>
        <v>342.79169857576005</v>
      </c>
      <c r="L58" s="10">
        <f t="shared" si="0"/>
        <v>0.2005977728767136</v>
      </c>
      <c r="M58" s="10">
        <f t="shared" si="4"/>
        <v>0.20455675547877239</v>
      </c>
      <c r="P58" s="8">
        <f t="shared" si="5"/>
        <v>-1.6438754501249062</v>
      </c>
      <c r="S58" s="11"/>
    </row>
    <row r="59" spans="1:25" x14ac:dyDescent="0.2">
      <c r="A59" s="8">
        <v>28.5</v>
      </c>
      <c r="B59" s="8">
        <v>57</v>
      </c>
      <c r="D59">
        <v>1862.2656084656001</v>
      </c>
      <c r="E59">
        <v>472.64232804233001</v>
      </c>
      <c r="F59">
        <v>161.67162592986</v>
      </c>
      <c r="G59">
        <v>128.912858661</v>
      </c>
      <c r="I59" s="9">
        <f t="shared" si="1"/>
        <v>343.72946938132998</v>
      </c>
      <c r="J59" s="9">
        <f t="shared" si="2"/>
        <v>1700.59398253574</v>
      </c>
      <c r="K59" s="9">
        <f t="shared" si="3"/>
        <v>343.72946938132998</v>
      </c>
      <c r="L59" s="10">
        <f t="shared" si="0"/>
        <v>0.20212318337666826</v>
      </c>
      <c r="M59" s="10">
        <f t="shared" si="4"/>
        <v>0.20615286209662095</v>
      </c>
      <c r="P59" s="8">
        <f t="shared" si="5"/>
        <v>-0.87642652900489781</v>
      </c>
      <c r="R59" s="1"/>
      <c r="S59" s="11"/>
    </row>
    <row r="60" spans="1:25" x14ac:dyDescent="0.2">
      <c r="A60" s="8">
        <v>29</v>
      </c>
      <c r="B60" s="8">
        <v>58</v>
      </c>
      <c r="D60">
        <v>1861.1460317460001</v>
      </c>
      <c r="E60">
        <v>473.42645502646002</v>
      </c>
      <c r="F60">
        <v>161.59829968119001</v>
      </c>
      <c r="G60">
        <v>128.72051009564001</v>
      </c>
      <c r="I60" s="9">
        <f t="shared" si="1"/>
        <v>344.70594493082001</v>
      </c>
      <c r="J60" s="9">
        <f t="shared" si="2"/>
        <v>1699.5477320648101</v>
      </c>
      <c r="K60" s="9">
        <f t="shared" si="3"/>
        <v>344.70594493082001</v>
      </c>
      <c r="L60" s="10">
        <f t="shared" si="0"/>
        <v>0.20282216170064887</v>
      </c>
      <c r="M60" s="10">
        <f t="shared" si="4"/>
        <v>0.20692253653849546</v>
      </c>
      <c r="P60" s="8">
        <f t="shared" si="5"/>
        <v>-0.50634735420237942</v>
      </c>
      <c r="S60" s="11"/>
    </row>
    <row r="61" spans="1:25" x14ac:dyDescent="0.2">
      <c r="A61" s="8">
        <v>29.5</v>
      </c>
      <c r="B61" s="8">
        <v>59</v>
      </c>
      <c r="C61" s="2"/>
      <c r="D61">
        <v>1862.871957672</v>
      </c>
      <c r="E61">
        <v>474.38306878306997</v>
      </c>
      <c r="F61">
        <v>161.69819341127001</v>
      </c>
      <c r="G61">
        <v>128.89904357066999</v>
      </c>
      <c r="I61" s="9">
        <f t="shared" si="1"/>
        <v>345.48402521239996</v>
      </c>
      <c r="J61" s="9">
        <f t="shared" si="2"/>
        <v>1701.17376426073</v>
      </c>
      <c r="K61" s="9">
        <f t="shared" si="3"/>
        <v>345.48402521239996</v>
      </c>
      <c r="L61" s="10">
        <f t="shared" si="0"/>
        <v>0.20308567676655601</v>
      </c>
      <c r="M61" s="10">
        <f t="shared" si="4"/>
        <v>0.20725674772229652</v>
      </c>
      <c r="P61" s="8">
        <f t="shared" si="5"/>
        <v>-0.34565006144878296</v>
      </c>
      <c r="S61" s="11"/>
    </row>
    <row r="62" spans="1:25" x14ac:dyDescent="0.2">
      <c r="A62" s="8">
        <v>30</v>
      </c>
      <c r="B62" s="8">
        <v>60</v>
      </c>
      <c r="D62">
        <v>1864.9174603174999</v>
      </c>
      <c r="E62">
        <v>473.29100529100998</v>
      </c>
      <c r="F62">
        <v>162.11795961742999</v>
      </c>
      <c r="G62">
        <v>128.93198724761001</v>
      </c>
      <c r="I62" s="9">
        <f t="shared" si="1"/>
        <v>344.35901804339994</v>
      </c>
      <c r="J62" s="9">
        <f t="shared" si="2"/>
        <v>1702.79950070007</v>
      </c>
      <c r="K62" s="9">
        <f t="shared" si="3"/>
        <v>344.35901804339994</v>
      </c>
      <c r="L62" s="10">
        <f t="shared" si="0"/>
        <v>0.20223110113775816</v>
      </c>
      <c r="M62" s="10">
        <f t="shared" si="4"/>
        <v>0.20647286821139257</v>
      </c>
      <c r="P62" s="8">
        <f t="shared" si="5"/>
        <v>-0.72255939708089068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1862.3174603175</v>
      </c>
      <c r="E63">
        <v>472.09100529100999</v>
      </c>
      <c r="F63">
        <v>161.12114771520001</v>
      </c>
      <c r="G63">
        <v>128.3655685441</v>
      </c>
      <c r="I63" s="9">
        <f t="shared" si="1"/>
        <v>343.72543674690996</v>
      </c>
      <c r="J63" s="9">
        <f t="shared" si="2"/>
        <v>1701.1963126022999</v>
      </c>
      <c r="K63" s="9">
        <f t="shared" si="3"/>
        <v>343.72543674690996</v>
      </c>
      <c r="L63" s="10">
        <f t="shared" si="0"/>
        <v>0.20204924863792892</v>
      </c>
      <c r="M63" s="10">
        <f t="shared" si="4"/>
        <v>0.20636171182945723</v>
      </c>
      <c r="P63" s="8">
        <f t="shared" si="5"/>
        <v>-0.77600623104419575</v>
      </c>
    </row>
    <row r="64" spans="1:25" x14ac:dyDescent="0.2">
      <c r="A64" s="8">
        <v>31</v>
      </c>
      <c r="B64" s="8">
        <v>62</v>
      </c>
      <c r="D64">
        <v>1863.0391534391999</v>
      </c>
      <c r="E64">
        <v>472.2</v>
      </c>
      <c r="F64">
        <v>161.70775770457001</v>
      </c>
      <c r="G64">
        <v>128.43676939426001</v>
      </c>
      <c r="I64" s="9">
        <f t="shared" si="1"/>
        <v>343.76323060573998</v>
      </c>
      <c r="J64" s="9">
        <f t="shared" si="2"/>
        <v>1701.33139573463</v>
      </c>
      <c r="K64" s="9">
        <f t="shared" si="3"/>
        <v>343.76323060573998</v>
      </c>
      <c r="L64" s="10">
        <f t="shared" si="0"/>
        <v>0.2020554205180608</v>
      </c>
      <c r="M64" s="10">
        <f t="shared" si="4"/>
        <v>0.20643857982748304</v>
      </c>
      <c r="P64" s="8">
        <f t="shared" si="5"/>
        <v>-0.73904612982421625</v>
      </c>
      <c r="U64" s="8">
        <v>30.5</v>
      </c>
      <c r="V64" s="10">
        <f>L62</f>
        <v>0.20223110113775816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1857.2560846561</v>
      </c>
      <c r="E65">
        <v>471.74074074074002</v>
      </c>
      <c r="F65">
        <v>161.57492029756</v>
      </c>
      <c r="G65">
        <v>129.14984059510999</v>
      </c>
      <c r="I65" s="9">
        <f t="shared" si="1"/>
        <v>342.59090014563003</v>
      </c>
      <c r="J65" s="9">
        <f t="shared" si="2"/>
        <v>1695.6811643585399</v>
      </c>
      <c r="K65" s="9">
        <f t="shared" si="3"/>
        <v>342.59090014563003</v>
      </c>
      <c r="L65" s="10">
        <f t="shared" si="0"/>
        <v>0.20203733304735322</v>
      </c>
      <c r="M65" s="10">
        <f t="shared" si="4"/>
        <v>0.20649118847466935</v>
      </c>
      <c r="P65" s="8">
        <f t="shared" si="5"/>
        <v>-0.71375054551096917</v>
      </c>
      <c r="U65" s="8">
        <v>31</v>
      </c>
      <c r="V65" s="10">
        <f t="shared" ref="V65:V83" si="6">L63</f>
        <v>0.20204924863792892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1861.2835978835999</v>
      </c>
      <c r="E66">
        <v>471.43386243385999</v>
      </c>
      <c r="F66">
        <v>161.77258235919001</v>
      </c>
      <c r="G66">
        <v>128.72263549415999</v>
      </c>
      <c r="I66" s="9">
        <f t="shared" si="1"/>
        <v>342.7112269397</v>
      </c>
      <c r="J66" s="9">
        <f t="shared" si="2"/>
        <v>1699.5110155244099</v>
      </c>
      <c r="K66" s="9">
        <f t="shared" si="3"/>
        <v>342.7112269397</v>
      </c>
      <c r="L66" s="10">
        <f t="shared" ref="L66:L129" si="7">K66/J66</f>
        <v>0.20165284238181372</v>
      </c>
      <c r="M66" s="10">
        <f t="shared" si="4"/>
        <v>0.20617739392702375</v>
      </c>
      <c r="P66" s="8">
        <f t="shared" si="5"/>
        <v>-0.86463099694883594</v>
      </c>
      <c r="U66" s="8">
        <v>31.5</v>
      </c>
      <c r="V66" s="10">
        <f t="shared" si="6"/>
        <v>0.2020554205180608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1856.1915343915</v>
      </c>
      <c r="E67">
        <v>471.19470899471003</v>
      </c>
      <c r="F67">
        <v>160.70775770457001</v>
      </c>
      <c r="G67">
        <v>129.18065887354001</v>
      </c>
      <c r="I67" s="9">
        <f t="shared" ref="I67:I130" si="8">E67-G67</f>
        <v>342.01405012117004</v>
      </c>
      <c r="J67" s="9">
        <f t="shared" ref="J67:J130" si="9">D67-F67</f>
        <v>1695.48377668693</v>
      </c>
      <c r="K67" s="9">
        <f t="shared" ref="K67:K130" si="10">I67*1</f>
        <v>342.01405012117004</v>
      </c>
      <c r="L67" s="10">
        <f t="shared" si="7"/>
        <v>0.20172062677561245</v>
      </c>
      <c r="M67" s="10">
        <f t="shared" ref="M67:M130" si="11">L67+ABS($N$2)*A67</f>
        <v>0.20631587443871641</v>
      </c>
      <c r="P67" s="8">
        <f t="shared" ref="P67:P130" si="12">(M67-$O$2)/$O$2*100</f>
        <v>-0.79804602191882856</v>
      </c>
      <c r="U67" s="8">
        <v>32</v>
      </c>
      <c r="V67" s="10">
        <f t="shared" si="6"/>
        <v>0.20203733304735322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1857.1650793650999</v>
      </c>
      <c r="E68">
        <v>473.82222222221998</v>
      </c>
      <c r="F68">
        <v>162.22635494155</v>
      </c>
      <c r="G68">
        <v>128.43039319873</v>
      </c>
      <c r="I68" s="9">
        <f t="shared" si="8"/>
        <v>345.39182902349</v>
      </c>
      <c r="J68" s="9">
        <f t="shared" si="9"/>
        <v>1694.93872442355</v>
      </c>
      <c r="K68" s="9">
        <f t="shared" si="10"/>
        <v>345.39182902349</v>
      </c>
      <c r="L68" s="10">
        <f t="shared" si="7"/>
        <v>0.20377835732141766</v>
      </c>
      <c r="M68" s="10">
        <f t="shared" si="11"/>
        <v>0.20844430110241552</v>
      </c>
      <c r="P68" s="8">
        <f t="shared" si="12"/>
        <v>0.22535600428210703</v>
      </c>
      <c r="U68" s="8">
        <v>32.5</v>
      </c>
      <c r="V68" s="10">
        <f t="shared" si="6"/>
        <v>0.20165284238181372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1849.6275132275</v>
      </c>
      <c r="E69">
        <v>471.65608465609</v>
      </c>
      <c r="F69">
        <v>161.92454835282001</v>
      </c>
      <c r="G69">
        <v>128.96493092455</v>
      </c>
      <c r="I69" s="9">
        <f t="shared" si="8"/>
        <v>342.69115373154</v>
      </c>
      <c r="J69" s="9">
        <f t="shared" si="9"/>
        <v>1687.70296487468</v>
      </c>
      <c r="K69" s="9">
        <f t="shared" si="10"/>
        <v>342.69115373154</v>
      </c>
      <c r="L69" s="10">
        <f t="shared" si="7"/>
        <v>0.20305181709329193</v>
      </c>
      <c r="M69" s="10">
        <f t="shared" si="11"/>
        <v>0.20778845699218368</v>
      </c>
      <c r="P69" s="8">
        <f t="shared" si="12"/>
        <v>-8.9990633086507968E-2</v>
      </c>
      <c r="U69" s="8">
        <v>33</v>
      </c>
      <c r="V69" s="10">
        <f t="shared" si="6"/>
        <v>0.20172062677561245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1856.4539682540001</v>
      </c>
      <c r="E70">
        <v>471.75343915344001</v>
      </c>
      <c r="F70">
        <v>162.01275239106999</v>
      </c>
      <c r="G70">
        <v>128.50797024441999</v>
      </c>
      <c r="I70" s="9">
        <f t="shared" si="8"/>
        <v>343.24546890902002</v>
      </c>
      <c r="J70" s="9">
        <f t="shared" si="9"/>
        <v>1694.44121586293</v>
      </c>
      <c r="K70" s="9">
        <f t="shared" si="10"/>
        <v>343.24546890902002</v>
      </c>
      <c r="L70" s="10">
        <f t="shared" si="7"/>
        <v>0.20257148238348005</v>
      </c>
      <c r="M70" s="10">
        <f t="shared" si="11"/>
        <v>0.20737881840026573</v>
      </c>
      <c r="P70" s="8">
        <f t="shared" si="12"/>
        <v>-0.28695535455374077</v>
      </c>
      <c r="U70" s="8">
        <v>33.5</v>
      </c>
      <c r="V70" s="10">
        <f t="shared" si="6"/>
        <v>0.20377835732141766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1856.8825396825</v>
      </c>
      <c r="E71">
        <v>471.90899470900001</v>
      </c>
      <c r="F71">
        <v>161.20722635493999</v>
      </c>
      <c r="G71">
        <v>128.44527098831</v>
      </c>
      <c r="I71" s="9">
        <f t="shared" si="8"/>
        <v>343.46372372069004</v>
      </c>
      <c r="J71" s="9">
        <f t="shared" si="9"/>
        <v>1695.6753133275599</v>
      </c>
      <c r="K71" s="9">
        <f t="shared" si="10"/>
        <v>343.46372372069004</v>
      </c>
      <c r="L71" s="10">
        <f t="shared" si="7"/>
        <v>0.20255276527360866</v>
      </c>
      <c r="M71" s="10">
        <f t="shared" si="11"/>
        <v>0.20743079740828824</v>
      </c>
      <c r="P71" s="8">
        <f t="shared" si="12"/>
        <v>-0.26196251686879235</v>
      </c>
      <c r="U71" s="8">
        <v>34</v>
      </c>
      <c r="V71" s="10">
        <f t="shared" si="6"/>
        <v>0.20305181709329193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1850.255026455</v>
      </c>
      <c r="E72">
        <v>470.98201058200999</v>
      </c>
      <c r="F72">
        <v>161.82678002124999</v>
      </c>
      <c r="G72">
        <v>128.19978746014999</v>
      </c>
      <c r="I72" s="9">
        <f t="shared" si="8"/>
        <v>342.78222312186</v>
      </c>
      <c r="J72" s="9">
        <f t="shared" si="9"/>
        <v>1688.42824643375</v>
      </c>
      <c r="K72" s="9">
        <f t="shared" si="10"/>
        <v>342.78222312186</v>
      </c>
      <c r="L72" s="10">
        <f t="shared" si="7"/>
        <v>0.20301853149275062</v>
      </c>
      <c r="M72" s="10">
        <f t="shared" si="11"/>
        <v>0.2079672597453241</v>
      </c>
      <c r="P72" s="8">
        <f t="shared" si="12"/>
        <v>-4.0176921460929873E-3</v>
      </c>
      <c r="U72" s="8">
        <v>34.5</v>
      </c>
      <c r="V72" s="10">
        <f t="shared" si="6"/>
        <v>0.20257148238348005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1850.7682539683001</v>
      </c>
      <c r="E73">
        <v>471.29206349205998</v>
      </c>
      <c r="F73">
        <v>162.08820403825999</v>
      </c>
      <c r="G73">
        <v>128.37194473964001</v>
      </c>
      <c r="I73" s="9">
        <f t="shared" si="8"/>
        <v>342.92011875241997</v>
      </c>
      <c r="J73" s="9">
        <f t="shared" si="9"/>
        <v>1688.68004993004</v>
      </c>
      <c r="K73" s="9">
        <f t="shared" si="10"/>
        <v>342.92011875241997</v>
      </c>
      <c r="L73" s="10">
        <f t="shared" si="7"/>
        <v>0.20306991769496344</v>
      </c>
      <c r="M73" s="10">
        <f t="shared" si="11"/>
        <v>0.20808934206543084</v>
      </c>
      <c r="P73" s="8">
        <f t="shared" si="12"/>
        <v>5.4682612586705377E-2</v>
      </c>
      <c r="U73" s="8">
        <v>35</v>
      </c>
      <c r="V73" s="10">
        <f t="shared" si="6"/>
        <v>0.20255276527360866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1854.2433862434</v>
      </c>
      <c r="E74">
        <v>471.88253968254003</v>
      </c>
      <c r="F74">
        <v>161.09989373006999</v>
      </c>
      <c r="G74">
        <v>128.03188097768</v>
      </c>
      <c r="I74" s="9">
        <f t="shared" si="8"/>
        <v>343.85065870486005</v>
      </c>
      <c r="J74" s="9">
        <f t="shared" si="9"/>
        <v>1693.1434925133299</v>
      </c>
      <c r="K74" s="9">
        <f t="shared" si="10"/>
        <v>343.85065870486005</v>
      </c>
      <c r="L74" s="10">
        <f t="shared" si="7"/>
        <v>0.20308418053477706</v>
      </c>
      <c r="M74" s="10">
        <f t="shared" si="11"/>
        <v>0.20817430102313836</v>
      </c>
      <c r="P74" s="8">
        <f t="shared" si="12"/>
        <v>9.5533054344790522E-2</v>
      </c>
      <c r="U74" s="8">
        <v>35.5</v>
      </c>
      <c r="V74" s="10">
        <f t="shared" si="6"/>
        <v>0.20301853149275062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1849.4539682540001</v>
      </c>
      <c r="E75">
        <v>472.59682539683001</v>
      </c>
      <c r="F75">
        <v>161.71625929862</v>
      </c>
      <c r="G75">
        <v>128.78214665249999</v>
      </c>
      <c r="I75" s="9">
        <f t="shared" si="8"/>
        <v>343.81467874433002</v>
      </c>
      <c r="J75" s="9">
        <f t="shared" si="9"/>
        <v>1687.7377089553802</v>
      </c>
      <c r="K75" s="9">
        <f t="shared" si="10"/>
        <v>343.81467874433002</v>
      </c>
      <c r="L75" s="10">
        <f t="shared" si="7"/>
        <v>0.20371333585781704</v>
      </c>
      <c r="M75" s="10">
        <f t="shared" si="11"/>
        <v>0.20887415246407223</v>
      </c>
      <c r="P75" s="8">
        <f t="shared" si="12"/>
        <v>0.43203954287308022</v>
      </c>
      <c r="U75" s="8">
        <v>36</v>
      </c>
      <c r="V75" s="10">
        <f t="shared" si="6"/>
        <v>0.20306991769496344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1850.2687830688001</v>
      </c>
      <c r="E76">
        <v>471.50793650793997</v>
      </c>
      <c r="F76">
        <v>161.51540913920999</v>
      </c>
      <c r="G76">
        <v>128.29968119022001</v>
      </c>
      <c r="I76" s="9">
        <f t="shared" si="8"/>
        <v>343.20825531771993</v>
      </c>
      <c r="J76" s="9">
        <f t="shared" si="9"/>
        <v>1688.75337392959</v>
      </c>
      <c r="K76" s="9">
        <f t="shared" si="10"/>
        <v>343.20825531771993</v>
      </c>
      <c r="L76" s="10">
        <f t="shared" si="7"/>
        <v>0.20323172146747667</v>
      </c>
      <c r="M76" s="10">
        <f t="shared" si="11"/>
        <v>0.2084632341916258</v>
      </c>
      <c r="P76" s="8">
        <f t="shared" si="12"/>
        <v>0.23445951824878764</v>
      </c>
      <c r="U76" s="8">
        <v>36.5</v>
      </c>
      <c r="V76" s="10">
        <f t="shared" si="6"/>
        <v>0.20308418053477706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1849.0412698412999</v>
      </c>
      <c r="E77">
        <v>473.71005291005002</v>
      </c>
      <c r="F77">
        <v>161.46333687565999</v>
      </c>
      <c r="G77">
        <v>128.83103081828</v>
      </c>
      <c r="I77" s="9">
        <f t="shared" si="8"/>
        <v>344.87902209177003</v>
      </c>
      <c r="J77" s="9">
        <f t="shared" si="9"/>
        <v>1687.57793296564</v>
      </c>
      <c r="K77" s="9">
        <f t="shared" si="10"/>
        <v>344.87902209177003</v>
      </c>
      <c r="L77" s="10">
        <f t="shared" si="7"/>
        <v>0.20436331582370362</v>
      </c>
      <c r="M77" s="10">
        <f t="shared" si="11"/>
        <v>0.20966552466574664</v>
      </c>
      <c r="P77" s="8">
        <f t="shared" si="12"/>
        <v>0.81255155603548423</v>
      </c>
      <c r="U77" s="8">
        <v>37</v>
      </c>
      <c r="V77" s="10">
        <f t="shared" si="6"/>
        <v>0.20371333585781704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1849.5015873016</v>
      </c>
      <c r="E78">
        <v>472.71534391533999</v>
      </c>
      <c r="F78">
        <v>161.17003188097999</v>
      </c>
      <c r="G78">
        <v>128.26673751327999</v>
      </c>
      <c r="I78" s="9">
        <f t="shared" si="8"/>
        <v>344.44860640206002</v>
      </c>
      <c r="J78" s="9">
        <f t="shared" si="9"/>
        <v>1688.3315554206201</v>
      </c>
      <c r="K78" s="9">
        <f t="shared" si="10"/>
        <v>344.44860640206002</v>
      </c>
      <c r="L78" s="10">
        <f t="shared" si="7"/>
        <v>0.2040171584166395</v>
      </c>
      <c r="M78" s="10">
        <f t="shared" si="11"/>
        <v>0.20939006337657642</v>
      </c>
      <c r="P78" s="8">
        <f t="shared" si="12"/>
        <v>0.68010271657827603</v>
      </c>
      <c r="U78" s="8">
        <v>37.5</v>
      </c>
      <c r="V78" s="10">
        <f t="shared" si="6"/>
        <v>0.20323172146747667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1847.5873015873001</v>
      </c>
      <c r="E79">
        <v>471.74814814814999</v>
      </c>
      <c r="F79">
        <v>161.4601487779</v>
      </c>
      <c r="G79">
        <v>128.60998937301</v>
      </c>
      <c r="I79" s="9">
        <f t="shared" si="8"/>
        <v>343.13815877514003</v>
      </c>
      <c r="J79" s="9">
        <f t="shared" si="9"/>
        <v>1686.1271528094001</v>
      </c>
      <c r="K79" s="9">
        <f t="shared" si="10"/>
        <v>343.13815877514003</v>
      </c>
      <c r="L79" s="10">
        <f t="shared" si="7"/>
        <v>0.20350669177197481</v>
      </c>
      <c r="M79" s="10">
        <f t="shared" si="11"/>
        <v>0.20895029284980565</v>
      </c>
      <c r="P79" s="8">
        <f t="shared" si="12"/>
        <v>0.4686497894764925</v>
      </c>
      <c r="U79" s="8">
        <v>38</v>
      </c>
      <c r="V79" s="10">
        <f t="shared" si="6"/>
        <v>0.20436331582370362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1854.8201058201</v>
      </c>
      <c r="E80">
        <v>473.90052910052998</v>
      </c>
      <c r="F80">
        <v>161.42507970244</v>
      </c>
      <c r="G80">
        <v>128.08501594049</v>
      </c>
      <c r="I80" s="9">
        <f t="shared" si="8"/>
        <v>345.81551316003998</v>
      </c>
      <c r="J80" s="9">
        <f t="shared" si="9"/>
        <v>1693.3950261176601</v>
      </c>
      <c r="K80" s="9">
        <f t="shared" si="10"/>
        <v>345.81551316003998</v>
      </c>
      <c r="L80" s="10">
        <f t="shared" si="7"/>
        <v>0.20421431965161099</v>
      </c>
      <c r="M80" s="10">
        <f t="shared" si="11"/>
        <v>0.20972861684733574</v>
      </c>
      <c r="P80" s="8">
        <f t="shared" si="12"/>
        <v>0.84288789206103298</v>
      </c>
      <c r="U80" s="8">
        <v>38.5</v>
      </c>
      <c r="V80" s="10">
        <f t="shared" si="6"/>
        <v>0.2040171584166395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1846.1449735450001</v>
      </c>
      <c r="E81">
        <v>474.48571428571</v>
      </c>
      <c r="F81">
        <v>161.29224229542999</v>
      </c>
      <c r="G81">
        <v>128.54410201913001</v>
      </c>
      <c r="I81" s="9">
        <f t="shared" si="8"/>
        <v>345.94161226658002</v>
      </c>
      <c r="J81" s="9">
        <f t="shared" si="9"/>
        <v>1684.8527312495701</v>
      </c>
      <c r="K81" s="9">
        <f t="shared" si="10"/>
        <v>345.94161226658002</v>
      </c>
      <c r="L81" s="10">
        <f t="shared" si="7"/>
        <v>0.20532454015135948</v>
      </c>
      <c r="M81" s="10">
        <f t="shared" si="11"/>
        <v>0.21090953346497812</v>
      </c>
      <c r="P81" s="8">
        <f t="shared" si="12"/>
        <v>1.410702832496501</v>
      </c>
      <c r="U81" s="8">
        <v>39</v>
      </c>
      <c r="V81" s="10">
        <f t="shared" si="6"/>
        <v>0.20350669177197481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1840.7936507937</v>
      </c>
      <c r="E82">
        <v>470.58941798941999</v>
      </c>
      <c r="F82">
        <v>161.43570669501</v>
      </c>
      <c r="G82">
        <v>128.24017003188001</v>
      </c>
      <c r="H82" s="13"/>
      <c r="I82" s="14">
        <f t="shared" si="8"/>
        <v>342.34924795754</v>
      </c>
      <c r="J82" s="14">
        <f t="shared" si="9"/>
        <v>1679.35794409869</v>
      </c>
      <c r="K82" s="9">
        <f t="shared" si="10"/>
        <v>342.34924795754</v>
      </c>
      <c r="L82" s="15">
        <f t="shared" si="7"/>
        <v>0.20385722362559136</v>
      </c>
      <c r="M82" s="15">
        <f t="shared" si="11"/>
        <v>0.2095129130571039</v>
      </c>
      <c r="N82" s="13"/>
      <c r="O82" s="13"/>
      <c r="P82" s="13">
        <f t="shared" si="12"/>
        <v>0.73917198784527494</v>
      </c>
      <c r="U82" s="8">
        <v>39.5</v>
      </c>
      <c r="V82" s="10">
        <f t="shared" si="6"/>
        <v>0.20421431965161099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1845.7227513227999</v>
      </c>
      <c r="E83">
        <v>471.20105820105999</v>
      </c>
      <c r="F83">
        <v>161.61105207226001</v>
      </c>
      <c r="G83">
        <v>128.36769394261</v>
      </c>
      <c r="I83" s="9">
        <f t="shared" si="8"/>
        <v>342.83336425844999</v>
      </c>
      <c r="J83" s="9">
        <f t="shared" si="9"/>
        <v>1684.1116992505399</v>
      </c>
      <c r="K83" s="9">
        <f t="shared" si="10"/>
        <v>342.83336425844999</v>
      </c>
      <c r="L83" s="10">
        <f t="shared" si="7"/>
        <v>0.20356925518124303</v>
      </c>
      <c r="M83" s="10">
        <f t="shared" si="11"/>
        <v>0.20929564073064949</v>
      </c>
      <c r="P83" s="8">
        <f t="shared" si="12"/>
        <v>0.63470189126022869</v>
      </c>
      <c r="U83" s="8">
        <v>40</v>
      </c>
      <c r="V83" s="10">
        <f t="shared" si="6"/>
        <v>0.20532454015135948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1841.4253968254</v>
      </c>
      <c r="E84">
        <v>472.75132275132</v>
      </c>
      <c r="F84">
        <v>161.48246546227</v>
      </c>
      <c r="G84">
        <v>128.48671625930001</v>
      </c>
      <c r="I84" s="9">
        <f t="shared" si="8"/>
        <v>344.26460649201999</v>
      </c>
      <c r="J84" s="9">
        <f t="shared" si="9"/>
        <v>1679.9429313631299</v>
      </c>
      <c r="K84" s="9">
        <f t="shared" si="10"/>
        <v>344.26460649201999</v>
      </c>
      <c r="L84" s="10">
        <f t="shared" si="7"/>
        <v>0.20492636985750387</v>
      </c>
      <c r="M84" s="10">
        <f t="shared" si="11"/>
        <v>0.21072345152480423</v>
      </c>
      <c r="P84" s="8">
        <f t="shared" si="12"/>
        <v>1.3212298720880895</v>
      </c>
      <c r="U84" s="8">
        <v>150.5</v>
      </c>
      <c r="V84" s="10">
        <f>L302</f>
        <v>0.18578390820314411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1843.3650793651</v>
      </c>
      <c r="E85">
        <v>472.76825396825001</v>
      </c>
      <c r="F85">
        <v>161.16259298618999</v>
      </c>
      <c r="G85">
        <v>128.57385759830001</v>
      </c>
      <c r="I85" s="9">
        <f t="shared" si="8"/>
        <v>344.19439636995003</v>
      </c>
      <c r="J85" s="9">
        <f t="shared" si="9"/>
        <v>1682.20248637891</v>
      </c>
      <c r="K85" s="9">
        <f t="shared" si="10"/>
        <v>344.19439636995003</v>
      </c>
      <c r="L85" s="10">
        <f t="shared" si="7"/>
        <v>0.20460937322168568</v>
      </c>
      <c r="M85" s="10">
        <f t="shared" si="11"/>
        <v>0.21047715100687994</v>
      </c>
      <c r="P85" s="8">
        <f t="shared" si="12"/>
        <v>1.2028022779421004</v>
      </c>
      <c r="U85" s="8">
        <v>151</v>
      </c>
      <c r="V85" s="10">
        <f t="shared" ref="V85:V103" si="13">L303</f>
        <v>0.18843275155357322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1840.2740740741001</v>
      </c>
      <c r="E86">
        <v>473.08148148148001</v>
      </c>
      <c r="F86">
        <v>161.1041445271</v>
      </c>
      <c r="G86">
        <v>128.04357066950001</v>
      </c>
      <c r="I86" s="9">
        <f t="shared" si="8"/>
        <v>345.03791081198</v>
      </c>
      <c r="J86" s="9">
        <f t="shared" si="9"/>
        <v>1679.169929547</v>
      </c>
      <c r="K86" s="9">
        <f t="shared" si="10"/>
        <v>345.03791081198</v>
      </c>
      <c r="L86" s="10">
        <f t="shared" si="7"/>
        <v>0.20548123494866477</v>
      </c>
      <c r="M86" s="10">
        <f t="shared" si="11"/>
        <v>0.21141970885175296</v>
      </c>
      <c r="P86" s="8">
        <f t="shared" si="12"/>
        <v>1.6560082186054124</v>
      </c>
      <c r="U86" s="8">
        <v>151.5</v>
      </c>
      <c r="V86" s="10">
        <f t="shared" si="13"/>
        <v>0.18645092368213348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1840.5608465609</v>
      </c>
      <c r="E87">
        <v>473.05925925925999</v>
      </c>
      <c r="F87">
        <v>161.58448459086</v>
      </c>
      <c r="G87">
        <v>127.94899043571</v>
      </c>
      <c r="I87" s="9">
        <f t="shared" si="8"/>
        <v>345.11026882354997</v>
      </c>
      <c r="J87" s="9">
        <f t="shared" si="9"/>
        <v>1678.97636197004</v>
      </c>
      <c r="K87" s="9">
        <f t="shared" si="10"/>
        <v>345.11026882354997</v>
      </c>
      <c r="L87" s="10">
        <f t="shared" si="7"/>
        <v>0.20554802118751223</v>
      </c>
      <c r="M87" s="10">
        <f t="shared" si="11"/>
        <v>0.21155719120849431</v>
      </c>
      <c r="P87" s="8">
        <f t="shared" si="12"/>
        <v>1.7221132551827358</v>
      </c>
      <c r="U87" s="8">
        <v>152</v>
      </c>
      <c r="V87" s="10">
        <f t="shared" si="13"/>
        <v>0.18765919973176204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1839.5248677249001</v>
      </c>
      <c r="E88">
        <v>472.80423280423003</v>
      </c>
      <c r="F88">
        <v>160.74495217853001</v>
      </c>
      <c r="G88">
        <v>128.34431455897999</v>
      </c>
      <c r="I88" s="9">
        <f t="shared" si="8"/>
        <v>344.45991824525004</v>
      </c>
      <c r="J88" s="9">
        <f t="shared" si="9"/>
        <v>1678.7799155463701</v>
      </c>
      <c r="K88" s="9">
        <f t="shared" si="10"/>
        <v>344.45991824525004</v>
      </c>
      <c r="L88" s="10">
        <f t="shared" si="7"/>
        <v>0.20518467909663027</v>
      </c>
      <c r="M88" s="10">
        <f t="shared" si="11"/>
        <v>0.21126454523550625</v>
      </c>
      <c r="P88" s="8">
        <f t="shared" si="12"/>
        <v>1.5814015798295358</v>
      </c>
      <c r="U88" s="8">
        <v>152.5</v>
      </c>
      <c r="V88" s="10">
        <f t="shared" si="13"/>
        <v>0.18931843926734013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1840.1005291004999</v>
      </c>
      <c r="E89">
        <v>482.84338624339</v>
      </c>
      <c r="F89">
        <v>160.10626992561001</v>
      </c>
      <c r="G89">
        <v>128.20722635493999</v>
      </c>
      <c r="I89" s="9">
        <f t="shared" si="8"/>
        <v>354.63615988845004</v>
      </c>
      <c r="J89" s="9">
        <f t="shared" si="9"/>
        <v>1679.99425917489</v>
      </c>
      <c r="K89" s="9">
        <f t="shared" si="10"/>
        <v>354.63615988845004</v>
      </c>
      <c r="L89" s="10">
        <f t="shared" si="7"/>
        <v>0.2110936736549478</v>
      </c>
      <c r="M89" s="10">
        <f t="shared" si="11"/>
        <v>0.21724423591171771</v>
      </c>
      <c r="P89" s="8">
        <f t="shared" si="12"/>
        <v>4.4565899330209042</v>
      </c>
      <c r="U89" s="8">
        <v>153</v>
      </c>
      <c r="V89" s="10">
        <f t="shared" si="13"/>
        <v>0.18651388339409369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1848.8867724868001</v>
      </c>
      <c r="E90">
        <v>493.17248677249</v>
      </c>
      <c r="F90">
        <v>159.96599362379999</v>
      </c>
      <c r="G90">
        <v>127.92454835282</v>
      </c>
      <c r="I90" s="9">
        <f t="shared" si="8"/>
        <v>365.24793841966999</v>
      </c>
      <c r="J90" s="9">
        <f t="shared" si="9"/>
        <v>1688.9207788630001</v>
      </c>
      <c r="K90" s="9">
        <f t="shared" si="10"/>
        <v>365.24793841966999</v>
      </c>
      <c r="L90" s="10">
        <f t="shared" si="7"/>
        <v>0.21626114320504652</v>
      </c>
      <c r="M90" s="10">
        <f t="shared" si="11"/>
        <v>0.22248240157971033</v>
      </c>
      <c r="P90" s="8">
        <f t="shared" si="12"/>
        <v>6.9752340797180139</v>
      </c>
      <c r="U90" s="8">
        <v>153.5</v>
      </c>
      <c r="V90" s="10">
        <f t="shared" si="13"/>
        <v>0.18587344000013301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1841.1555555555999</v>
      </c>
      <c r="E91">
        <v>494.60211640211998</v>
      </c>
      <c r="F91">
        <v>160.93304994687</v>
      </c>
      <c r="G91">
        <v>128.17215727948999</v>
      </c>
      <c r="I91" s="9">
        <f t="shared" si="8"/>
        <v>366.42995912262995</v>
      </c>
      <c r="J91" s="9">
        <f t="shared" si="9"/>
        <v>1680.22250560873</v>
      </c>
      <c r="K91" s="9">
        <f t="shared" si="10"/>
        <v>366.42995912262995</v>
      </c>
      <c r="L91" s="10">
        <f t="shared" si="7"/>
        <v>0.2180841870046703</v>
      </c>
      <c r="M91" s="10">
        <f t="shared" si="11"/>
        <v>0.22437614149722801</v>
      </c>
      <c r="P91" s="8">
        <f t="shared" si="12"/>
        <v>7.8857927105316898</v>
      </c>
      <c r="U91" s="8">
        <v>154</v>
      </c>
      <c r="V91" s="10">
        <f t="shared" si="13"/>
        <v>0.18668985700615448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1837.0825396825001</v>
      </c>
      <c r="E92">
        <v>495.19788359787998</v>
      </c>
      <c r="F92">
        <v>160.46121147714999</v>
      </c>
      <c r="G92">
        <v>128.174282678</v>
      </c>
      <c r="I92" s="9">
        <f t="shared" si="8"/>
        <v>367.02360091987998</v>
      </c>
      <c r="J92" s="9">
        <f t="shared" si="9"/>
        <v>1676.62132820535</v>
      </c>
      <c r="K92" s="9">
        <f t="shared" si="10"/>
        <v>367.02360091987998</v>
      </c>
      <c r="L92" s="10">
        <f t="shared" si="7"/>
        <v>0.21890667543442313</v>
      </c>
      <c r="M92" s="10">
        <f t="shared" si="11"/>
        <v>0.22526932604487476</v>
      </c>
      <c r="P92" s="8">
        <f t="shared" si="12"/>
        <v>8.315258705965336</v>
      </c>
      <c r="U92" s="8">
        <v>154.5</v>
      </c>
      <c r="V92" s="10">
        <f t="shared" si="13"/>
        <v>0.18650409854888361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1848.7746031746001</v>
      </c>
      <c r="E93">
        <v>494.95555555556001</v>
      </c>
      <c r="F93">
        <v>161.63230605739</v>
      </c>
      <c r="G93">
        <v>128.68437832094</v>
      </c>
      <c r="I93" s="9">
        <f t="shared" si="8"/>
        <v>366.27117723462004</v>
      </c>
      <c r="J93" s="9">
        <f t="shared" si="9"/>
        <v>1687.1422971172101</v>
      </c>
      <c r="K93" s="9">
        <f t="shared" si="10"/>
        <v>366.27117723462004</v>
      </c>
      <c r="L93" s="10">
        <f t="shared" si="7"/>
        <v>0.21709560471601067</v>
      </c>
      <c r="M93" s="10">
        <f t="shared" si="11"/>
        <v>0.22352895144435619</v>
      </c>
      <c r="P93" s="8">
        <f t="shared" si="12"/>
        <v>7.4784420456140381</v>
      </c>
      <c r="U93" s="8">
        <v>155</v>
      </c>
      <c r="V93" s="10">
        <f t="shared" si="13"/>
        <v>0.18747797972464603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1836.4962962963</v>
      </c>
      <c r="E94">
        <v>490.43492063491999</v>
      </c>
      <c r="F94">
        <v>161.17321997875001</v>
      </c>
      <c r="G94">
        <v>128.22210414452999</v>
      </c>
      <c r="I94" s="9">
        <f t="shared" si="8"/>
        <v>362.21281649038997</v>
      </c>
      <c r="J94" s="9">
        <f t="shared" si="9"/>
        <v>1675.32307631755</v>
      </c>
      <c r="K94" s="9">
        <f t="shared" si="10"/>
        <v>362.21281649038997</v>
      </c>
      <c r="L94" s="10">
        <f t="shared" si="7"/>
        <v>0.21620475573377357</v>
      </c>
      <c r="M94" s="10">
        <f t="shared" si="11"/>
        <v>0.222708798580013</v>
      </c>
      <c r="P94" s="8">
        <f t="shared" si="12"/>
        <v>7.0840915530748285</v>
      </c>
      <c r="U94" s="8">
        <v>155.5</v>
      </c>
      <c r="V94" s="10">
        <f t="shared" si="13"/>
        <v>0.18535532894645804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1809.4624338624001</v>
      </c>
      <c r="E95">
        <v>482.65502645503</v>
      </c>
      <c r="F95">
        <v>160.11370882040001</v>
      </c>
      <c r="G95">
        <v>128.15621679065001</v>
      </c>
      <c r="I95" s="9">
        <f t="shared" si="8"/>
        <v>354.49880966438002</v>
      </c>
      <c r="J95" s="9">
        <f t="shared" si="9"/>
        <v>1649.3487250420001</v>
      </c>
      <c r="K95" s="9">
        <f t="shared" si="10"/>
        <v>354.49880966438002</v>
      </c>
      <c r="L95" s="10">
        <f t="shared" si="7"/>
        <v>0.21493259992992253</v>
      </c>
      <c r="M95" s="10">
        <f t="shared" si="11"/>
        <v>0.22150733889405588</v>
      </c>
      <c r="P95" s="8">
        <f t="shared" si="12"/>
        <v>6.5063989795048753</v>
      </c>
      <c r="U95" s="8">
        <v>156</v>
      </c>
      <c r="V95" s="10">
        <f t="shared" si="13"/>
        <v>0.18611049675283745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1802.0380952380999</v>
      </c>
      <c r="E96">
        <v>478.25396825397002</v>
      </c>
      <c r="F96">
        <v>161.07120085016001</v>
      </c>
      <c r="G96">
        <v>128.41764080765</v>
      </c>
      <c r="I96" s="9">
        <f t="shared" si="8"/>
        <v>349.83632744632001</v>
      </c>
      <c r="J96" s="9">
        <f t="shared" si="9"/>
        <v>1640.9668943879399</v>
      </c>
      <c r="K96" s="9">
        <f t="shared" si="10"/>
        <v>349.83632744632001</v>
      </c>
      <c r="L96" s="10">
        <f t="shared" si="7"/>
        <v>0.21318914393870486</v>
      </c>
      <c r="M96" s="10">
        <f t="shared" si="11"/>
        <v>0.21983457902073211</v>
      </c>
      <c r="P96" s="8">
        <f t="shared" si="12"/>
        <v>5.7020932108804834</v>
      </c>
      <c r="U96" s="8">
        <v>156.5</v>
      </c>
      <c r="V96" s="10">
        <f t="shared" si="13"/>
        <v>0.1853613341781864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1798.7407407406999</v>
      </c>
      <c r="E97">
        <v>477.95132275131999</v>
      </c>
      <c r="F97">
        <v>161.79383634432</v>
      </c>
      <c r="G97">
        <v>127.94155154091</v>
      </c>
      <c r="I97" s="9">
        <f t="shared" si="8"/>
        <v>350.00977121041001</v>
      </c>
      <c r="J97" s="9">
        <f t="shared" si="9"/>
        <v>1636.94690439638</v>
      </c>
      <c r="K97" s="9">
        <f t="shared" si="10"/>
        <v>350.00977121041001</v>
      </c>
      <c r="L97" s="10">
        <f t="shared" si="7"/>
        <v>0.21381864632895667</v>
      </c>
      <c r="M97" s="10">
        <f t="shared" si="11"/>
        <v>0.22053477752887782</v>
      </c>
      <c r="P97" s="8">
        <f t="shared" si="12"/>
        <v>6.0387665782089091</v>
      </c>
      <c r="U97" s="8">
        <v>157</v>
      </c>
      <c r="V97" s="10">
        <f t="shared" si="13"/>
        <v>0.18484107639738451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1796.6931216931</v>
      </c>
      <c r="E98">
        <v>476.52698412697998</v>
      </c>
      <c r="F98">
        <v>160.738575983</v>
      </c>
      <c r="G98">
        <v>128.34643995748999</v>
      </c>
      <c r="I98" s="9">
        <f t="shared" si="8"/>
        <v>348.18054416948996</v>
      </c>
      <c r="J98" s="9">
        <f t="shared" si="9"/>
        <v>1635.9545457101001</v>
      </c>
      <c r="K98" s="9">
        <f t="shared" si="10"/>
        <v>348.18054416948996</v>
      </c>
      <c r="L98" s="10">
        <f t="shared" si="7"/>
        <v>0.21283020673313341</v>
      </c>
      <c r="M98" s="10">
        <f t="shared" si="11"/>
        <v>0.21961703405094848</v>
      </c>
      <c r="P98" s="8">
        <f t="shared" si="12"/>
        <v>5.5974920204032621</v>
      </c>
      <c r="U98" s="8">
        <v>157.5</v>
      </c>
      <c r="V98" s="10">
        <f t="shared" si="13"/>
        <v>0.18485129774532205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1799.5777777778001</v>
      </c>
      <c r="E99">
        <v>475.38624338623998</v>
      </c>
      <c r="F99">
        <v>160.6344314559</v>
      </c>
      <c r="G99">
        <v>127.95536663124</v>
      </c>
      <c r="I99" s="9">
        <f t="shared" si="8"/>
        <v>347.43087675499999</v>
      </c>
      <c r="J99" s="9">
        <f t="shared" si="9"/>
        <v>1638.9433463219</v>
      </c>
      <c r="K99" s="9">
        <f t="shared" si="10"/>
        <v>347.43087675499999</v>
      </c>
      <c r="L99" s="10">
        <f t="shared" si="7"/>
        <v>0.21198467752695713</v>
      </c>
      <c r="M99" s="10">
        <f t="shared" si="11"/>
        <v>0.2188422009626661</v>
      </c>
      <c r="P99" s="8">
        <f t="shared" si="12"/>
        <v>5.224932436349949</v>
      </c>
      <c r="U99" s="8">
        <v>158</v>
      </c>
      <c r="V99" s="10">
        <f t="shared" si="13"/>
        <v>0.18373711911716659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1792.0666666667</v>
      </c>
      <c r="E100">
        <v>473.64761904762003</v>
      </c>
      <c r="F100">
        <v>161.22741764080999</v>
      </c>
      <c r="G100">
        <v>127.94686503718999</v>
      </c>
      <c r="I100" s="9">
        <f t="shared" si="8"/>
        <v>345.70075401043005</v>
      </c>
      <c r="J100" s="9">
        <f t="shared" si="9"/>
        <v>1630.83924902589</v>
      </c>
      <c r="K100" s="9">
        <f t="shared" si="10"/>
        <v>345.70075401043005</v>
      </c>
      <c r="L100" s="10">
        <f t="shared" si="7"/>
        <v>0.21197721002662842</v>
      </c>
      <c r="M100" s="10">
        <f t="shared" si="11"/>
        <v>0.21890542958023129</v>
      </c>
      <c r="P100" s="8">
        <f t="shared" si="12"/>
        <v>5.2553343742854768</v>
      </c>
      <c r="U100" s="8">
        <v>158.5</v>
      </c>
      <c r="V100" s="10">
        <f t="shared" si="13"/>
        <v>0.18424662187975865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1794.3259259259</v>
      </c>
      <c r="E101">
        <v>473.83597883597997</v>
      </c>
      <c r="F101">
        <v>161.74707757704999</v>
      </c>
      <c r="G101">
        <v>127.94899043571</v>
      </c>
      <c r="I101" s="9">
        <f t="shared" si="8"/>
        <v>345.88698840026996</v>
      </c>
      <c r="J101" s="9">
        <f t="shared" si="9"/>
        <v>1632.57884834885</v>
      </c>
      <c r="K101" s="9">
        <f t="shared" si="10"/>
        <v>345.88698840026996</v>
      </c>
      <c r="L101" s="10">
        <f t="shared" si="7"/>
        <v>0.21186541081926397</v>
      </c>
      <c r="M101" s="10">
        <f t="shared" si="11"/>
        <v>0.21886432649076076</v>
      </c>
      <c r="P101" s="8">
        <f t="shared" si="12"/>
        <v>5.2355709566565363</v>
      </c>
      <c r="U101" s="8">
        <v>159</v>
      </c>
      <c r="V101" s="10">
        <f t="shared" si="13"/>
        <v>0.18586414949224112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1784.8380952381001</v>
      </c>
      <c r="E102">
        <v>472.70264550265</v>
      </c>
      <c r="F102">
        <v>160.67481402762999</v>
      </c>
      <c r="G102">
        <v>128.04888416578001</v>
      </c>
      <c r="I102" s="9">
        <f t="shared" si="8"/>
        <v>344.65376133686999</v>
      </c>
      <c r="J102" s="9">
        <f t="shared" si="9"/>
        <v>1624.1632812104701</v>
      </c>
      <c r="K102" s="9">
        <f t="shared" si="10"/>
        <v>344.65376133686999</v>
      </c>
      <c r="L102" s="10">
        <f t="shared" si="7"/>
        <v>0.21220388696387935</v>
      </c>
      <c r="M102" s="10">
        <f t="shared" si="11"/>
        <v>0.21927349875327004</v>
      </c>
      <c r="P102" s="8">
        <f t="shared" si="12"/>
        <v>5.43231145500636</v>
      </c>
      <c r="U102" s="8">
        <v>159.5</v>
      </c>
      <c r="V102" s="10">
        <f t="shared" si="13"/>
        <v>0.18416642516521828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1784.4666666666999</v>
      </c>
      <c r="E103">
        <v>471.04656084656</v>
      </c>
      <c r="F103">
        <v>161.17534537725999</v>
      </c>
      <c r="G103">
        <v>127.89373007439001</v>
      </c>
      <c r="I103" s="9">
        <f t="shared" si="8"/>
        <v>343.15283077216998</v>
      </c>
      <c r="J103" s="9">
        <f t="shared" si="9"/>
        <v>1623.29132128944</v>
      </c>
      <c r="K103" s="9">
        <f t="shared" si="10"/>
        <v>343.15283077216998</v>
      </c>
      <c r="L103" s="10">
        <f t="shared" si="7"/>
        <v>0.21139325164357503</v>
      </c>
      <c r="M103" s="10">
        <f t="shared" si="11"/>
        <v>0.21853355955085962</v>
      </c>
      <c r="P103" s="8">
        <f t="shared" si="12"/>
        <v>5.0765297445403545</v>
      </c>
      <c r="U103" s="8">
        <v>160</v>
      </c>
      <c r="V103" s="10">
        <f t="shared" si="13"/>
        <v>0.18599419729340119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1782.5894179894001</v>
      </c>
      <c r="E104">
        <v>468.14285714286001</v>
      </c>
      <c r="F104">
        <v>160.48990435707</v>
      </c>
      <c r="G104">
        <v>127.88097768332</v>
      </c>
      <c r="I104" s="9">
        <f t="shared" si="8"/>
        <v>340.26187945954001</v>
      </c>
      <c r="J104" s="9">
        <f t="shared" si="9"/>
        <v>1622.0995136323302</v>
      </c>
      <c r="K104" s="9">
        <f t="shared" si="10"/>
        <v>340.26187945954001</v>
      </c>
      <c r="L104" s="10">
        <f t="shared" si="7"/>
        <v>0.20976634084403331</v>
      </c>
      <c r="M104" s="10">
        <f t="shared" si="11"/>
        <v>0.2169773448692118</v>
      </c>
      <c r="P104" s="8">
        <f t="shared" si="12"/>
        <v>4.3282618875524612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1782.6973544974001</v>
      </c>
      <c r="E105">
        <v>468.38095238095002</v>
      </c>
      <c r="F105">
        <v>160.81402763017999</v>
      </c>
      <c r="G105">
        <v>128.16046758767001</v>
      </c>
      <c r="I105" s="9">
        <f t="shared" si="8"/>
        <v>340.22048479327998</v>
      </c>
      <c r="J105" s="9">
        <f t="shared" si="9"/>
        <v>1621.8833268672201</v>
      </c>
      <c r="K105" s="9">
        <f t="shared" si="10"/>
        <v>340.22048479327998</v>
      </c>
      <c r="L105" s="10">
        <f t="shared" si="7"/>
        <v>0.20976877877549885</v>
      </c>
      <c r="M105" s="10">
        <f t="shared" si="11"/>
        <v>0.21705047891857127</v>
      </c>
      <c r="P105" s="8">
        <f t="shared" si="12"/>
        <v>4.3634266106670818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1780.0687830688</v>
      </c>
      <c r="E106">
        <v>468.35978835979</v>
      </c>
      <c r="F106">
        <v>160.86503719447001</v>
      </c>
      <c r="G106">
        <v>127.6950053135</v>
      </c>
      <c r="I106" s="9">
        <f t="shared" si="8"/>
        <v>340.66478304628998</v>
      </c>
      <c r="J106" s="9">
        <f t="shared" si="9"/>
        <v>1619.20374587433</v>
      </c>
      <c r="K106" s="9">
        <f t="shared" si="10"/>
        <v>340.66478304628998</v>
      </c>
      <c r="L106" s="10">
        <f t="shared" si="7"/>
        <v>0.21039031308709047</v>
      </c>
      <c r="M106" s="10">
        <f t="shared" si="11"/>
        <v>0.21774270934805678</v>
      </c>
      <c r="P106" s="8">
        <f t="shared" si="12"/>
        <v>4.6962687217982229</v>
      </c>
      <c r="X106" s="8">
        <v>-13</v>
      </c>
    </row>
    <row r="107" spans="1:25" x14ac:dyDescent="0.2">
      <c r="A107" s="8">
        <v>52.5</v>
      </c>
      <c r="B107" s="8">
        <v>105</v>
      </c>
      <c r="D107">
        <v>1772.8095238095</v>
      </c>
      <c r="E107">
        <v>466.84973544974002</v>
      </c>
      <c r="F107">
        <v>160.60786397449999</v>
      </c>
      <c r="G107">
        <v>128.08607863975001</v>
      </c>
      <c r="I107" s="9">
        <f t="shared" si="8"/>
        <v>338.76365680999004</v>
      </c>
      <c r="J107" s="9">
        <f t="shared" si="9"/>
        <v>1612.2016598350001</v>
      </c>
      <c r="K107" s="9">
        <f t="shared" si="10"/>
        <v>338.76365680999004</v>
      </c>
      <c r="L107" s="10">
        <f t="shared" si="7"/>
        <v>0.21012486542450318</v>
      </c>
      <c r="M107" s="10">
        <f t="shared" si="11"/>
        <v>0.21754795780336339</v>
      </c>
      <c r="P107" s="8">
        <f t="shared" si="12"/>
        <v>4.6026271936007745</v>
      </c>
      <c r="X107" s="8">
        <v>-13</v>
      </c>
    </row>
    <row r="108" spans="1:25" x14ac:dyDescent="0.2">
      <c r="A108" s="8">
        <v>53</v>
      </c>
      <c r="B108" s="8">
        <v>106</v>
      </c>
      <c r="D108">
        <v>1770.8222222222</v>
      </c>
      <c r="E108">
        <v>466.22010582011001</v>
      </c>
      <c r="F108">
        <v>161.23485653559999</v>
      </c>
      <c r="G108">
        <v>128.02444208289</v>
      </c>
      <c r="I108" s="9">
        <f t="shared" si="8"/>
        <v>338.19566373722</v>
      </c>
      <c r="J108" s="9">
        <f t="shared" si="9"/>
        <v>1609.5873656866002</v>
      </c>
      <c r="K108" s="9">
        <f t="shared" si="10"/>
        <v>338.19566373722</v>
      </c>
      <c r="L108" s="10">
        <f t="shared" si="7"/>
        <v>0.21011326936761596</v>
      </c>
      <c r="M108" s="10">
        <f t="shared" si="11"/>
        <v>0.2176070578643701</v>
      </c>
      <c r="P108" s="8">
        <f t="shared" si="12"/>
        <v>4.6310440158547035</v>
      </c>
      <c r="X108" s="8">
        <v>-13</v>
      </c>
    </row>
    <row r="109" spans="1:25" x14ac:dyDescent="0.2">
      <c r="A109" s="8">
        <v>53.5</v>
      </c>
      <c r="B109" s="8">
        <v>107</v>
      </c>
      <c r="D109">
        <v>1782.2095238095001</v>
      </c>
      <c r="E109">
        <v>467.40105820105998</v>
      </c>
      <c r="F109">
        <v>159.81827842721</v>
      </c>
      <c r="G109">
        <v>127.88097768332</v>
      </c>
      <c r="I109" s="9">
        <f t="shared" si="8"/>
        <v>339.52008051773998</v>
      </c>
      <c r="J109" s="9">
        <f t="shared" si="9"/>
        <v>1622.39124538229</v>
      </c>
      <c r="K109" s="9">
        <f t="shared" si="10"/>
        <v>339.52008051773998</v>
      </c>
      <c r="L109" s="10">
        <f t="shared" si="7"/>
        <v>0.20927139583876245</v>
      </c>
      <c r="M109" s="10">
        <f t="shared" si="11"/>
        <v>0.21683588045341048</v>
      </c>
      <c r="P109" s="8">
        <f t="shared" si="12"/>
        <v>4.2602421750410668</v>
      </c>
      <c r="X109" s="8">
        <v>-13</v>
      </c>
    </row>
    <row r="110" spans="1:25" x14ac:dyDescent="0.2">
      <c r="A110" s="8">
        <v>54</v>
      </c>
      <c r="B110" s="8">
        <v>108</v>
      </c>
      <c r="D110">
        <v>1781.5449735449999</v>
      </c>
      <c r="E110">
        <v>467.35343915343998</v>
      </c>
      <c r="F110">
        <v>160.46652497343001</v>
      </c>
      <c r="G110">
        <v>127.88310308183</v>
      </c>
      <c r="I110" s="9">
        <f t="shared" si="8"/>
        <v>339.47033607160995</v>
      </c>
      <c r="J110" s="9">
        <f t="shared" si="9"/>
        <v>1621.0784485715699</v>
      </c>
      <c r="K110" s="9">
        <f t="shared" si="10"/>
        <v>339.47033607160995</v>
      </c>
      <c r="L110" s="10">
        <f t="shared" si="7"/>
        <v>0.20941018392461991</v>
      </c>
      <c r="M110" s="10">
        <f t="shared" si="11"/>
        <v>0.21704536465716184</v>
      </c>
      <c r="P110" s="8">
        <f t="shared" si="12"/>
        <v>4.360967542859771</v>
      </c>
      <c r="X110" s="8">
        <v>-13</v>
      </c>
    </row>
    <row r="111" spans="1:25" x14ac:dyDescent="0.2">
      <c r="A111" s="8">
        <v>54.5</v>
      </c>
      <c r="B111" s="8">
        <v>109</v>
      </c>
      <c r="D111">
        <v>1771.2031746032001</v>
      </c>
      <c r="E111">
        <v>466.09417989418</v>
      </c>
      <c r="F111">
        <v>160.62274176407999</v>
      </c>
      <c r="G111">
        <v>127.71625929862</v>
      </c>
      <c r="I111" s="9">
        <f t="shared" si="8"/>
        <v>338.37792059556</v>
      </c>
      <c r="J111" s="9">
        <f t="shared" si="9"/>
        <v>1610.58043283912</v>
      </c>
      <c r="K111" s="9">
        <f t="shared" si="10"/>
        <v>338.37792059556</v>
      </c>
      <c r="L111" s="10">
        <f t="shared" si="7"/>
        <v>0.21009687793056678</v>
      </c>
      <c r="M111" s="10">
        <f t="shared" si="11"/>
        <v>0.21780275478100264</v>
      </c>
      <c r="P111" s="8">
        <f t="shared" si="12"/>
        <v>4.7251401030813822</v>
      </c>
      <c r="X111" s="8">
        <v>-13</v>
      </c>
    </row>
    <row r="112" spans="1:25" x14ac:dyDescent="0.2">
      <c r="A112" s="8">
        <v>55</v>
      </c>
      <c r="B112" s="8">
        <v>110</v>
      </c>
      <c r="D112">
        <v>1779.1164021164</v>
      </c>
      <c r="E112">
        <v>468.23703703704001</v>
      </c>
      <c r="F112">
        <v>160.39213602551001</v>
      </c>
      <c r="G112">
        <v>128.14240170031999</v>
      </c>
      <c r="I112" s="9">
        <f t="shared" si="8"/>
        <v>340.09463533671999</v>
      </c>
      <c r="J112" s="9">
        <f t="shared" si="9"/>
        <v>1618.7242660908901</v>
      </c>
      <c r="K112" s="9">
        <f t="shared" si="10"/>
        <v>340.09463533671999</v>
      </c>
      <c r="L112" s="10">
        <f t="shared" si="7"/>
        <v>0.21010041207204833</v>
      </c>
      <c r="M112" s="10">
        <f t="shared" si="11"/>
        <v>0.21787698504037809</v>
      </c>
      <c r="P112" s="8">
        <f t="shared" si="12"/>
        <v>4.760831912033928</v>
      </c>
      <c r="X112" s="8">
        <v>-13</v>
      </c>
    </row>
    <row r="113" spans="1:24" x14ac:dyDescent="0.2">
      <c r="A113" s="8">
        <v>55.5</v>
      </c>
      <c r="B113" s="8">
        <v>111</v>
      </c>
      <c r="D113">
        <v>1772.3650793651</v>
      </c>
      <c r="E113">
        <v>467.44656084655998</v>
      </c>
      <c r="F113">
        <v>160.10520722635999</v>
      </c>
      <c r="G113">
        <v>127.39532412327</v>
      </c>
      <c r="I113" s="9">
        <f t="shared" si="8"/>
        <v>340.05123672329</v>
      </c>
      <c r="J113" s="9">
        <f t="shared" si="9"/>
        <v>1612.2598721387399</v>
      </c>
      <c r="K113" s="9">
        <f t="shared" si="10"/>
        <v>340.05123672329</v>
      </c>
      <c r="L113" s="10">
        <f t="shared" si="7"/>
        <v>0.21091589674820585</v>
      </c>
      <c r="M113" s="10">
        <f t="shared" si="11"/>
        <v>0.21876316583442951</v>
      </c>
      <c r="P113" s="8">
        <f t="shared" si="12"/>
        <v>5.1869303234475455</v>
      </c>
      <c r="X113" s="8">
        <v>-13</v>
      </c>
    </row>
    <row r="114" spans="1:24" x14ac:dyDescent="0.2">
      <c r="A114" s="8">
        <v>56</v>
      </c>
      <c r="B114" s="8">
        <v>112</v>
      </c>
      <c r="D114">
        <v>1761.5513227512999</v>
      </c>
      <c r="E114">
        <v>465.36719576719997</v>
      </c>
      <c r="F114">
        <v>160.80977683315999</v>
      </c>
      <c r="G114">
        <v>128.24442082890999</v>
      </c>
      <c r="I114" s="9">
        <f t="shared" si="8"/>
        <v>337.12277493828998</v>
      </c>
      <c r="J114" s="9">
        <f t="shared" si="9"/>
        <v>1600.74154591814</v>
      </c>
      <c r="K114" s="9">
        <f t="shared" si="10"/>
        <v>337.12277493828998</v>
      </c>
      <c r="L114" s="10">
        <f t="shared" si="7"/>
        <v>0.21060412644248944</v>
      </c>
      <c r="M114" s="10">
        <f t="shared" si="11"/>
        <v>0.21852209164660702</v>
      </c>
      <c r="P114" s="8">
        <f t="shared" si="12"/>
        <v>5.0710156826050481</v>
      </c>
      <c r="X114" s="8">
        <v>-13</v>
      </c>
    </row>
    <row r="115" spans="1:24" x14ac:dyDescent="0.2">
      <c r="A115" s="8">
        <v>56.5</v>
      </c>
      <c r="B115" s="8">
        <v>113</v>
      </c>
      <c r="D115">
        <v>1766.6455026455001</v>
      </c>
      <c r="E115">
        <v>463.06666666667002</v>
      </c>
      <c r="F115">
        <v>159.76301806589001</v>
      </c>
      <c r="G115">
        <v>127.80233793836</v>
      </c>
      <c r="I115" s="9">
        <f t="shared" si="8"/>
        <v>335.26432872831003</v>
      </c>
      <c r="J115" s="9">
        <f t="shared" si="9"/>
        <v>1606.88248457961</v>
      </c>
      <c r="K115" s="9">
        <f t="shared" si="10"/>
        <v>335.26432872831003</v>
      </c>
      <c r="L115" s="10">
        <f t="shared" si="7"/>
        <v>0.20864271777535826</v>
      </c>
      <c r="M115" s="10">
        <f t="shared" si="11"/>
        <v>0.21663137909736974</v>
      </c>
      <c r="P115" s="8">
        <f t="shared" si="12"/>
        <v>4.1619126879591821</v>
      </c>
      <c r="X115" s="8">
        <v>-13</v>
      </c>
    </row>
    <row r="116" spans="1:24" x14ac:dyDescent="0.2">
      <c r="A116" s="8">
        <v>57</v>
      </c>
      <c r="B116" s="8">
        <v>114</v>
      </c>
      <c r="D116">
        <v>1758.8962962963001</v>
      </c>
      <c r="E116">
        <v>464.18941798942001</v>
      </c>
      <c r="F116">
        <v>160.34856535599999</v>
      </c>
      <c r="G116">
        <v>127.75982996812</v>
      </c>
      <c r="I116" s="9">
        <f t="shared" si="8"/>
        <v>336.42958802129999</v>
      </c>
      <c r="J116" s="9">
        <f t="shared" si="9"/>
        <v>1598.5477309403</v>
      </c>
      <c r="K116" s="9">
        <f t="shared" si="10"/>
        <v>336.42958802129999</v>
      </c>
      <c r="L116" s="10">
        <f t="shared" si="7"/>
        <v>0.21045951991899856</v>
      </c>
      <c r="M116" s="10">
        <f t="shared" si="11"/>
        <v>0.21851887735890393</v>
      </c>
      <c r="P116" s="8">
        <f t="shared" si="12"/>
        <v>5.0694701707937968</v>
      </c>
      <c r="X116" s="8">
        <v>-13</v>
      </c>
    </row>
    <row r="117" spans="1:24" x14ac:dyDescent="0.2">
      <c r="A117" s="8">
        <v>57.5</v>
      </c>
      <c r="B117" s="8">
        <v>115</v>
      </c>
      <c r="D117">
        <v>1678.9798941798999</v>
      </c>
      <c r="E117">
        <v>447.78941798941997</v>
      </c>
      <c r="F117">
        <v>160.55047821466999</v>
      </c>
      <c r="G117">
        <v>127.90329436768999</v>
      </c>
      <c r="I117" s="9">
        <f t="shared" si="8"/>
        <v>319.88612362173001</v>
      </c>
      <c r="J117" s="9">
        <f t="shared" si="9"/>
        <v>1518.42941596523</v>
      </c>
      <c r="K117" s="9">
        <f t="shared" si="10"/>
        <v>319.88612362173001</v>
      </c>
      <c r="L117" s="10">
        <f t="shared" si="7"/>
        <v>0.21066907704655202</v>
      </c>
      <c r="M117" s="10">
        <f t="shared" si="11"/>
        <v>0.21879913060435133</v>
      </c>
      <c r="P117" s="8">
        <f t="shared" si="12"/>
        <v>5.2042231054999348</v>
      </c>
      <c r="X117" s="8">
        <v>-13</v>
      </c>
    </row>
    <row r="118" spans="1:24" x14ac:dyDescent="0.2">
      <c r="A118" s="8">
        <v>58</v>
      </c>
      <c r="B118" s="8">
        <v>116</v>
      </c>
      <c r="D118">
        <v>1714.1407407407</v>
      </c>
      <c r="E118">
        <v>454.4835978836</v>
      </c>
      <c r="F118">
        <v>159.61317747077999</v>
      </c>
      <c r="G118">
        <v>127.68969181721999</v>
      </c>
      <c r="I118" s="9">
        <f t="shared" si="8"/>
        <v>326.79390606638003</v>
      </c>
      <c r="J118" s="9">
        <f t="shared" si="9"/>
        <v>1554.5275632699199</v>
      </c>
      <c r="K118" s="9">
        <f t="shared" si="10"/>
        <v>326.79390606638003</v>
      </c>
      <c r="L118" s="10">
        <f t="shared" si="7"/>
        <v>0.21022072157985741</v>
      </c>
      <c r="M118" s="10">
        <f t="shared" si="11"/>
        <v>0.21842147125555061</v>
      </c>
      <c r="P118" s="8">
        <f t="shared" si="12"/>
        <v>5.0226348227706348</v>
      </c>
      <c r="X118" s="8">
        <v>-13</v>
      </c>
    </row>
    <row r="119" spans="1:24" x14ac:dyDescent="0.2">
      <c r="A119" s="8">
        <v>58.5</v>
      </c>
      <c r="B119" s="8">
        <v>117</v>
      </c>
      <c r="D119">
        <v>1704.9132275131999</v>
      </c>
      <c r="E119">
        <v>452.88359788359998</v>
      </c>
      <c r="F119">
        <v>160.27630180659</v>
      </c>
      <c r="G119">
        <v>127.20085015941</v>
      </c>
      <c r="I119" s="9">
        <f t="shared" si="8"/>
        <v>325.68274772418999</v>
      </c>
      <c r="J119" s="9">
        <f t="shared" si="9"/>
        <v>1544.6369257066099</v>
      </c>
      <c r="K119" s="9">
        <f t="shared" si="10"/>
        <v>325.68274772418999</v>
      </c>
      <c r="L119" s="10">
        <f t="shared" si="7"/>
        <v>0.21084744402002634</v>
      </c>
      <c r="M119" s="10">
        <f t="shared" si="11"/>
        <v>0.21911888981361344</v>
      </c>
      <c r="P119" s="8">
        <f t="shared" si="12"/>
        <v>5.3579715189343542</v>
      </c>
      <c r="X119" s="8">
        <v>-13</v>
      </c>
    </row>
    <row r="120" spans="1:24" x14ac:dyDescent="0.2">
      <c r="A120" s="8">
        <v>59</v>
      </c>
      <c r="B120" s="8">
        <v>118</v>
      </c>
      <c r="D120">
        <v>1739.1862433862</v>
      </c>
      <c r="E120">
        <v>458.91640211639998</v>
      </c>
      <c r="F120">
        <v>160.45058448459</v>
      </c>
      <c r="G120">
        <v>127.66099893729999</v>
      </c>
      <c r="I120" s="9">
        <f t="shared" si="8"/>
        <v>331.25540317909997</v>
      </c>
      <c r="J120" s="9">
        <f t="shared" si="9"/>
        <v>1578.7356589016099</v>
      </c>
      <c r="K120" s="9">
        <f t="shared" si="10"/>
        <v>331.25540317909997</v>
      </c>
      <c r="L120" s="10">
        <f t="shared" si="7"/>
        <v>0.20982322234335779</v>
      </c>
      <c r="M120" s="10">
        <f t="shared" si="11"/>
        <v>0.21816536425483882</v>
      </c>
      <c r="P120" s="8">
        <f t="shared" si="12"/>
        <v>4.8994920206610342</v>
      </c>
      <c r="X120" s="8">
        <v>-13</v>
      </c>
    </row>
    <row r="121" spans="1:24" x14ac:dyDescent="0.2">
      <c r="A121" s="8">
        <v>59.5</v>
      </c>
      <c r="B121" s="8">
        <v>119</v>
      </c>
      <c r="D121">
        <v>1728.7206349206001</v>
      </c>
      <c r="E121">
        <v>457.58201058201001</v>
      </c>
      <c r="F121">
        <v>159.92773645058</v>
      </c>
      <c r="G121">
        <v>127.72476089267001</v>
      </c>
      <c r="I121" s="9">
        <f t="shared" si="8"/>
        <v>329.85724968933999</v>
      </c>
      <c r="J121" s="9">
        <f t="shared" si="9"/>
        <v>1568.7928984700202</v>
      </c>
      <c r="K121" s="9">
        <f t="shared" si="10"/>
        <v>329.85724968933999</v>
      </c>
      <c r="L121" s="10">
        <f t="shared" si="7"/>
        <v>0.21026181977942171</v>
      </c>
      <c r="M121" s="10">
        <f t="shared" si="11"/>
        <v>0.21867465780879664</v>
      </c>
      <c r="P121" s="8">
        <f t="shared" si="12"/>
        <v>5.1443733989771943</v>
      </c>
      <c r="X121" s="8">
        <v>-13</v>
      </c>
    </row>
    <row r="122" spans="1:24" x14ac:dyDescent="0.2">
      <c r="A122" s="8">
        <v>60</v>
      </c>
      <c r="B122" s="8">
        <v>120</v>
      </c>
      <c r="D122">
        <v>1742.6761904762</v>
      </c>
      <c r="E122">
        <v>458.87301587301999</v>
      </c>
      <c r="F122">
        <v>161.30605738576</v>
      </c>
      <c r="G122">
        <v>127.68119022317001</v>
      </c>
      <c r="I122" s="9">
        <f t="shared" si="8"/>
        <v>331.19182564984999</v>
      </c>
      <c r="J122" s="9">
        <f t="shared" si="9"/>
        <v>1581.37013309044</v>
      </c>
      <c r="K122" s="9">
        <f t="shared" si="10"/>
        <v>331.19182564984999</v>
      </c>
      <c r="L122" s="10">
        <f t="shared" si="7"/>
        <v>0.20943346451257963</v>
      </c>
      <c r="M122" s="10">
        <f t="shared" si="11"/>
        <v>0.21791699865984845</v>
      </c>
      <c r="P122" s="8">
        <f t="shared" si="12"/>
        <v>4.7800714845970909</v>
      </c>
      <c r="X122" s="8">
        <v>-13</v>
      </c>
    </row>
    <row r="123" spans="1:24" x14ac:dyDescent="0.2">
      <c r="A123" s="8">
        <v>60.5</v>
      </c>
      <c r="B123" s="8">
        <v>121</v>
      </c>
      <c r="D123">
        <v>1731.3978835979001</v>
      </c>
      <c r="E123">
        <v>455.72063492064001</v>
      </c>
      <c r="F123">
        <v>160.08501594049</v>
      </c>
      <c r="G123">
        <v>127.78958554729</v>
      </c>
      <c r="I123" s="9">
        <f t="shared" si="8"/>
        <v>327.93104937334999</v>
      </c>
      <c r="J123" s="9">
        <f t="shared" si="9"/>
        <v>1571.3128676574102</v>
      </c>
      <c r="K123" s="9">
        <f t="shared" si="10"/>
        <v>327.93104937334999</v>
      </c>
      <c r="L123" s="10">
        <f t="shared" si="7"/>
        <v>0.20869876147723884</v>
      </c>
      <c r="M123" s="10">
        <f t="shared" si="11"/>
        <v>0.21725299174240159</v>
      </c>
      <c r="P123" s="8">
        <f t="shared" si="12"/>
        <v>4.4607999605571047</v>
      </c>
      <c r="X123" s="8">
        <v>-13</v>
      </c>
    </row>
    <row r="124" spans="1:24" x14ac:dyDescent="0.2">
      <c r="A124" s="8">
        <v>61</v>
      </c>
      <c r="B124" s="8">
        <v>122</v>
      </c>
      <c r="D124">
        <v>1738.0857142857001</v>
      </c>
      <c r="E124">
        <v>458.73756613757001</v>
      </c>
      <c r="F124">
        <v>159.54303931986999</v>
      </c>
      <c r="G124">
        <v>127.51540913921001</v>
      </c>
      <c r="I124" s="9">
        <f t="shared" si="8"/>
        <v>331.22215699835999</v>
      </c>
      <c r="J124" s="9">
        <f t="shared" si="9"/>
        <v>1578.54267496583</v>
      </c>
      <c r="K124" s="9">
        <f t="shared" si="10"/>
        <v>331.22215699835999</v>
      </c>
      <c r="L124" s="10">
        <f t="shared" si="7"/>
        <v>0.20982781286260113</v>
      </c>
      <c r="M124" s="10">
        <f t="shared" si="11"/>
        <v>0.21845273924565778</v>
      </c>
      <c r="P124" s="8">
        <f t="shared" si="12"/>
        <v>5.0376692728537247</v>
      </c>
      <c r="X124" s="8">
        <v>-13</v>
      </c>
    </row>
    <row r="125" spans="1:24" x14ac:dyDescent="0.2">
      <c r="A125" s="8">
        <v>61.5</v>
      </c>
      <c r="B125" s="8">
        <v>123</v>
      </c>
      <c r="D125">
        <v>1758.7153439153001</v>
      </c>
      <c r="E125">
        <v>460.79576719577</v>
      </c>
      <c r="F125">
        <v>159.89373007438999</v>
      </c>
      <c r="G125">
        <v>127.60998937301</v>
      </c>
      <c r="I125" s="9">
        <f t="shared" si="8"/>
        <v>333.18577782275997</v>
      </c>
      <c r="J125" s="9">
        <f t="shared" si="9"/>
        <v>1598.82161384091</v>
      </c>
      <c r="K125" s="9">
        <f t="shared" si="10"/>
        <v>333.18577782275997</v>
      </c>
      <c r="L125" s="10">
        <f t="shared" si="7"/>
        <v>0.20839459195346696</v>
      </c>
      <c r="M125" s="10">
        <f t="shared" si="11"/>
        <v>0.21709021445441751</v>
      </c>
      <c r="P125" s="8">
        <f t="shared" si="12"/>
        <v>4.3825324735050097</v>
      </c>
      <c r="X125" s="8">
        <v>-13</v>
      </c>
    </row>
    <row r="126" spans="1:24" x14ac:dyDescent="0.2">
      <c r="A126" s="8">
        <v>62</v>
      </c>
      <c r="B126" s="8">
        <v>124</v>
      </c>
      <c r="D126">
        <v>1769.6962962963</v>
      </c>
      <c r="E126">
        <v>463.64867724867997</v>
      </c>
      <c r="F126">
        <v>160.30393198725</v>
      </c>
      <c r="G126">
        <v>127.44739638682</v>
      </c>
      <c r="I126" s="9">
        <f t="shared" si="8"/>
        <v>336.20128086185997</v>
      </c>
      <c r="J126" s="9">
        <f t="shared" si="9"/>
        <v>1609.39236430905</v>
      </c>
      <c r="K126" s="9">
        <f t="shared" si="10"/>
        <v>336.20128086185997</v>
      </c>
      <c r="L126" s="10">
        <f t="shared" si="7"/>
        <v>0.20889951283334135</v>
      </c>
      <c r="M126" s="10">
        <f t="shared" si="11"/>
        <v>0.21766583145218582</v>
      </c>
      <c r="P126" s="8">
        <f t="shared" si="12"/>
        <v>4.6593038614409146</v>
      </c>
      <c r="X126" s="8">
        <v>-13</v>
      </c>
    </row>
    <row r="127" spans="1:24" x14ac:dyDescent="0.2">
      <c r="A127" s="8">
        <v>62.5</v>
      </c>
      <c r="B127" s="8">
        <v>125</v>
      </c>
      <c r="D127">
        <v>1754.5576719577</v>
      </c>
      <c r="E127">
        <v>459.58835978835998</v>
      </c>
      <c r="F127">
        <v>159.94580233793999</v>
      </c>
      <c r="G127">
        <v>127.45058448459</v>
      </c>
      <c r="I127" s="9">
        <f t="shared" si="8"/>
        <v>332.13777530377001</v>
      </c>
      <c r="J127" s="9">
        <f t="shared" si="9"/>
        <v>1594.61186961976</v>
      </c>
      <c r="K127" s="9">
        <f t="shared" si="10"/>
        <v>332.13777530377001</v>
      </c>
      <c r="L127" s="10">
        <f t="shared" si="7"/>
        <v>0.20828753481119469</v>
      </c>
      <c r="M127" s="10">
        <f t="shared" si="11"/>
        <v>0.21712454954793306</v>
      </c>
      <c r="P127" s="8">
        <f t="shared" si="12"/>
        <v>4.3990416654226419</v>
      </c>
      <c r="X127" s="8">
        <v>-13</v>
      </c>
    </row>
    <row r="128" spans="1:24" x14ac:dyDescent="0.2">
      <c r="A128" s="8">
        <v>63</v>
      </c>
      <c r="B128" s="8">
        <v>126</v>
      </c>
      <c r="D128">
        <v>1771.6285714286</v>
      </c>
      <c r="E128">
        <v>463.85291005290998</v>
      </c>
      <c r="F128">
        <v>159.37832093518</v>
      </c>
      <c r="G128">
        <v>127.07970244421</v>
      </c>
      <c r="I128" s="9">
        <f t="shared" si="8"/>
        <v>336.77320760869998</v>
      </c>
      <c r="J128" s="9">
        <f t="shared" si="9"/>
        <v>1612.25025049342</v>
      </c>
      <c r="K128" s="9">
        <f t="shared" si="10"/>
        <v>336.77320760869998</v>
      </c>
      <c r="L128" s="10">
        <f t="shared" si="7"/>
        <v>0.20888395427796178</v>
      </c>
      <c r="M128" s="10">
        <f t="shared" si="11"/>
        <v>0.21779166513259404</v>
      </c>
      <c r="P128" s="8">
        <f t="shared" si="12"/>
        <v>4.7198079162389712</v>
      </c>
      <c r="X128" s="8">
        <v>-13</v>
      </c>
    </row>
    <row r="129" spans="1:24" x14ac:dyDescent="0.2">
      <c r="A129" s="8">
        <v>63.5</v>
      </c>
      <c r="B129" s="8">
        <v>127</v>
      </c>
      <c r="D129">
        <v>1763.8634920635</v>
      </c>
      <c r="E129">
        <v>461.66666666666998</v>
      </c>
      <c r="F129">
        <v>159.83740701382001</v>
      </c>
      <c r="G129">
        <v>127.32731137088</v>
      </c>
      <c r="I129" s="9">
        <f t="shared" si="8"/>
        <v>334.33935529578997</v>
      </c>
      <c r="J129" s="9">
        <f t="shared" si="9"/>
        <v>1604.02608504968</v>
      </c>
      <c r="K129" s="9">
        <f t="shared" si="10"/>
        <v>334.33935529578997</v>
      </c>
      <c r="L129" s="10">
        <f t="shared" si="7"/>
        <v>0.20843760485692775</v>
      </c>
      <c r="M129" s="10">
        <f t="shared" si="11"/>
        <v>0.21741601182945391</v>
      </c>
      <c r="P129" s="8">
        <f t="shared" si="12"/>
        <v>4.5391841916167026</v>
      </c>
      <c r="X129" s="8">
        <v>-13</v>
      </c>
    </row>
    <row r="130" spans="1:24" x14ac:dyDescent="0.2">
      <c r="A130" s="8">
        <v>64</v>
      </c>
      <c r="B130" s="8">
        <v>128</v>
      </c>
      <c r="D130">
        <v>1775.0476190475999</v>
      </c>
      <c r="E130">
        <v>463.32486772486999</v>
      </c>
      <c r="F130">
        <v>159.92773645058</v>
      </c>
      <c r="G130">
        <v>127.24123273114</v>
      </c>
      <c r="I130" s="9">
        <f t="shared" si="8"/>
        <v>336.08363499373002</v>
      </c>
      <c r="J130" s="9">
        <f t="shared" si="9"/>
        <v>1615.11988259702</v>
      </c>
      <c r="K130" s="9">
        <f t="shared" si="10"/>
        <v>336.08363499373002</v>
      </c>
      <c r="L130" s="10">
        <f t="shared" ref="L130:L193" si="14">K130/J130</f>
        <v>0.20808587561520625</v>
      </c>
      <c r="M130" s="10">
        <f t="shared" si="11"/>
        <v>0.21713497870562634</v>
      </c>
      <c r="P130" s="8">
        <f t="shared" si="12"/>
        <v>4.4040562714210107</v>
      </c>
      <c r="X130" s="8">
        <v>-13</v>
      </c>
    </row>
    <row r="131" spans="1:24" x14ac:dyDescent="0.2">
      <c r="A131" s="8">
        <v>64.5</v>
      </c>
      <c r="B131" s="8">
        <v>129</v>
      </c>
      <c r="D131">
        <v>1778.3841269841</v>
      </c>
      <c r="E131">
        <v>463.72910052909998</v>
      </c>
      <c r="F131">
        <v>159.17959617427999</v>
      </c>
      <c r="G131">
        <v>127.5568544102</v>
      </c>
      <c r="I131" s="9">
        <f t="shared" ref="I131:I194" si="15">E131-G131</f>
        <v>336.17224611889998</v>
      </c>
      <c r="J131" s="9">
        <f t="shared" ref="J131:J194" si="16">D131-F131</f>
        <v>1619.20453080982</v>
      </c>
      <c r="K131" s="9">
        <f t="shared" ref="K131:K194" si="17">I131*1</f>
        <v>336.17224611889998</v>
      </c>
      <c r="L131" s="10">
        <f t="shared" si="14"/>
        <v>0.20761567777405407</v>
      </c>
      <c r="M131" s="10">
        <f t="shared" ref="M131:M181" si="18">L131+ABS($N$2)*A131</f>
        <v>0.21673547698236806</v>
      </c>
      <c r="P131" s="8">
        <f t="shared" ref="P131:P194" si="19">(M131-$O$2)/$O$2*100</f>
        <v>4.2119656159023817</v>
      </c>
      <c r="X131" s="8">
        <v>-13</v>
      </c>
    </row>
    <row r="132" spans="1:24" x14ac:dyDescent="0.2">
      <c r="A132" s="8">
        <v>65</v>
      </c>
      <c r="B132" s="8">
        <v>130</v>
      </c>
      <c r="D132">
        <v>1762.6476190476001</v>
      </c>
      <c r="E132">
        <v>463.66243386243002</v>
      </c>
      <c r="F132">
        <v>159.70244420828999</v>
      </c>
      <c r="G132">
        <v>128.11370882040001</v>
      </c>
      <c r="I132" s="9">
        <f t="shared" si="15"/>
        <v>335.54872504203001</v>
      </c>
      <c r="J132" s="9">
        <f t="shared" si="16"/>
        <v>1602.9451748393101</v>
      </c>
      <c r="K132" s="9">
        <f t="shared" si="17"/>
        <v>335.54872504203001</v>
      </c>
      <c r="L132" s="10">
        <f t="shared" si="14"/>
        <v>0.20933262740921108</v>
      </c>
      <c r="M132" s="10">
        <f t="shared" si="18"/>
        <v>0.21852312273541896</v>
      </c>
      <c r="P132" s="8">
        <f t="shared" si="19"/>
        <v>5.0715114565010122</v>
      </c>
      <c r="X132" s="8">
        <v>-13</v>
      </c>
    </row>
    <row r="133" spans="1:24" x14ac:dyDescent="0.2">
      <c r="A133" s="8">
        <v>65.5</v>
      </c>
      <c r="B133" s="8">
        <v>131</v>
      </c>
      <c r="D133">
        <v>1779.9470899471</v>
      </c>
      <c r="E133">
        <v>464.60211640211998</v>
      </c>
      <c r="F133">
        <v>160.01275239106999</v>
      </c>
      <c r="G133">
        <v>127.42720510095999</v>
      </c>
      <c r="I133" s="9">
        <f t="shared" si="15"/>
        <v>337.17491130115997</v>
      </c>
      <c r="J133" s="9">
        <f t="shared" si="16"/>
        <v>1619.93433755603</v>
      </c>
      <c r="K133" s="9">
        <f t="shared" si="17"/>
        <v>337.17491130115997</v>
      </c>
      <c r="L133" s="10">
        <f t="shared" si="14"/>
        <v>0.2081410977495857</v>
      </c>
      <c r="M133" s="10">
        <f t="shared" si="18"/>
        <v>0.21740228919368751</v>
      </c>
      <c r="P133" s="8">
        <f t="shared" si="19"/>
        <v>4.5325859970499476</v>
      </c>
      <c r="X133" s="8">
        <v>-13</v>
      </c>
    </row>
    <row r="134" spans="1:24" x14ac:dyDescent="0.2">
      <c r="A134" s="8">
        <v>66</v>
      </c>
      <c r="B134" s="8">
        <v>132</v>
      </c>
      <c r="D134">
        <v>1755.4328042328</v>
      </c>
      <c r="E134">
        <v>460.22433862434002</v>
      </c>
      <c r="F134">
        <v>159.37619553665999</v>
      </c>
      <c r="G134">
        <v>127.31455897981</v>
      </c>
      <c r="I134" s="9">
        <f t="shared" si="15"/>
        <v>332.90977964453003</v>
      </c>
      <c r="J134" s="9">
        <f t="shared" si="16"/>
        <v>1596.0566086961401</v>
      </c>
      <c r="K134" s="9">
        <f t="shared" si="17"/>
        <v>332.90977964453003</v>
      </c>
      <c r="L134" s="10">
        <f t="shared" si="14"/>
        <v>0.20858268925467038</v>
      </c>
      <c r="M134" s="10">
        <f t="shared" si="18"/>
        <v>0.21791457681666609</v>
      </c>
      <c r="P134" s="8">
        <f t="shared" si="19"/>
        <v>4.7789070003974512</v>
      </c>
      <c r="X134" s="8">
        <v>-13</v>
      </c>
    </row>
    <row r="135" spans="1:24" x14ac:dyDescent="0.2">
      <c r="A135" s="8">
        <v>66.5</v>
      </c>
      <c r="B135" s="8">
        <v>133</v>
      </c>
      <c r="D135">
        <v>1761.7555555556</v>
      </c>
      <c r="E135">
        <v>463.78201058201</v>
      </c>
      <c r="F135">
        <v>158.91923485653999</v>
      </c>
      <c r="G135">
        <v>126.91498405951</v>
      </c>
      <c r="I135" s="9">
        <f t="shared" si="15"/>
        <v>336.8670265225</v>
      </c>
      <c r="J135" s="9">
        <f t="shared" si="16"/>
        <v>1602.83632069906</v>
      </c>
      <c r="K135" s="9">
        <f t="shared" si="17"/>
        <v>336.8670265225</v>
      </c>
      <c r="L135" s="10">
        <f t="shared" si="14"/>
        <v>0.2101693243235086</v>
      </c>
      <c r="M135" s="10">
        <f t="shared" si="18"/>
        <v>0.21957190800339821</v>
      </c>
      <c r="P135" s="8">
        <f t="shared" si="19"/>
        <v>5.5757942615445515</v>
      </c>
      <c r="X135" s="8">
        <v>-13</v>
      </c>
    </row>
    <row r="136" spans="1:24" x14ac:dyDescent="0.2">
      <c r="A136" s="8">
        <v>67</v>
      </c>
      <c r="B136" s="8">
        <v>134</v>
      </c>
      <c r="D136">
        <v>1754.2867724867999</v>
      </c>
      <c r="E136">
        <v>462.34708994709001</v>
      </c>
      <c r="F136">
        <v>159.42826780020999</v>
      </c>
      <c r="G136">
        <v>126.51222104145</v>
      </c>
      <c r="I136" s="9">
        <f t="shared" si="15"/>
        <v>335.83486890564001</v>
      </c>
      <c r="J136" s="9">
        <f t="shared" si="16"/>
        <v>1594.8585046865899</v>
      </c>
      <c r="K136" s="9">
        <f t="shared" si="17"/>
        <v>335.83486890564001</v>
      </c>
      <c r="L136" s="10">
        <f t="shared" si="14"/>
        <v>0.21057345709275688</v>
      </c>
      <c r="M136" s="10">
        <f t="shared" si="18"/>
        <v>0.22004673689054041</v>
      </c>
      <c r="P136" s="8">
        <f t="shared" si="19"/>
        <v>5.8041041457834206</v>
      </c>
      <c r="X136" s="8">
        <v>-13</v>
      </c>
    </row>
    <row r="137" spans="1:24" x14ac:dyDescent="0.2">
      <c r="A137" s="8">
        <v>67.5</v>
      </c>
      <c r="B137" s="8">
        <v>135</v>
      </c>
      <c r="D137">
        <v>1749.4507936508001</v>
      </c>
      <c r="E137">
        <v>460.25820105819997</v>
      </c>
      <c r="F137">
        <v>159.825717322</v>
      </c>
      <c r="G137">
        <v>126.97874601488</v>
      </c>
      <c r="I137" s="9">
        <f t="shared" si="15"/>
        <v>333.27945504331996</v>
      </c>
      <c r="J137" s="9">
        <f t="shared" si="16"/>
        <v>1589.6250763288001</v>
      </c>
      <c r="K137" s="9">
        <f t="shared" si="17"/>
        <v>333.27945504331996</v>
      </c>
      <c r="L137" s="10">
        <f t="shared" si="14"/>
        <v>0.20965915800285476</v>
      </c>
      <c r="M137" s="10">
        <f t="shared" si="18"/>
        <v>0.21920313391853219</v>
      </c>
      <c r="P137" s="8">
        <f t="shared" si="19"/>
        <v>5.3984782411718477</v>
      </c>
      <c r="X137" s="8">
        <v>-13</v>
      </c>
    </row>
    <row r="138" spans="1:24" x14ac:dyDescent="0.2">
      <c r="A138" s="8">
        <v>68</v>
      </c>
      <c r="B138" s="8">
        <v>136</v>
      </c>
      <c r="D138">
        <v>1761.7788359788001</v>
      </c>
      <c r="E138">
        <v>462.31428571429001</v>
      </c>
      <c r="F138">
        <v>159.29649309246</v>
      </c>
      <c r="G138">
        <v>126.61849096706</v>
      </c>
      <c r="I138" s="9">
        <f t="shared" si="15"/>
        <v>335.69579474723002</v>
      </c>
      <c r="J138" s="9">
        <f t="shared" si="16"/>
        <v>1602.4823428863401</v>
      </c>
      <c r="K138" s="9">
        <f t="shared" si="17"/>
        <v>335.69579474723002</v>
      </c>
      <c r="L138" s="10">
        <f t="shared" si="14"/>
        <v>0.2094848634291879</v>
      </c>
      <c r="M138" s="10">
        <f t="shared" si="18"/>
        <v>0.21909953546275923</v>
      </c>
      <c r="P138" s="8">
        <f t="shared" si="19"/>
        <v>5.3486654515852567</v>
      </c>
      <c r="X138" s="8">
        <v>-13</v>
      </c>
    </row>
    <row r="139" spans="1:24" x14ac:dyDescent="0.2">
      <c r="A139" s="8">
        <v>68.5</v>
      </c>
      <c r="B139" s="8">
        <v>137</v>
      </c>
      <c r="D139">
        <v>1738.7671957672001</v>
      </c>
      <c r="E139">
        <v>458.65820105820001</v>
      </c>
      <c r="F139">
        <v>159.82252922423001</v>
      </c>
      <c r="G139">
        <v>126.9564293305</v>
      </c>
      <c r="I139" s="9">
        <f t="shared" si="15"/>
        <v>331.70177172770002</v>
      </c>
      <c r="J139" s="9">
        <f t="shared" si="16"/>
        <v>1578.94466654297</v>
      </c>
      <c r="K139" s="9">
        <f t="shared" si="17"/>
        <v>331.70177172770002</v>
      </c>
      <c r="L139" s="10">
        <f t="shared" si="14"/>
        <v>0.21007814824438811</v>
      </c>
      <c r="M139" s="10">
        <f t="shared" si="18"/>
        <v>0.21976351639585337</v>
      </c>
      <c r="P139" s="8">
        <f t="shared" si="19"/>
        <v>5.6679244816832695</v>
      </c>
      <c r="X139" s="8">
        <v>-13</v>
      </c>
    </row>
    <row r="140" spans="1:24" x14ac:dyDescent="0.2">
      <c r="A140" s="8">
        <v>69</v>
      </c>
      <c r="B140" s="8">
        <v>138</v>
      </c>
      <c r="D140">
        <v>1762.5301587301999</v>
      </c>
      <c r="E140">
        <v>461.12592592593001</v>
      </c>
      <c r="F140">
        <v>159.01062699255999</v>
      </c>
      <c r="G140">
        <v>126.55579171095</v>
      </c>
      <c r="I140" s="9">
        <f t="shared" si="15"/>
        <v>334.57013421497999</v>
      </c>
      <c r="J140" s="9">
        <f t="shared" si="16"/>
        <v>1603.5195317376399</v>
      </c>
      <c r="K140" s="9">
        <f t="shared" si="17"/>
        <v>334.57013421497999</v>
      </c>
      <c r="L140" s="10">
        <f t="shared" si="14"/>
        <v>0.20864737073232029</v>
      </c>
      <c r="M140" s="10">
        <f t="shared" si="18"/>
        <v>0.21840343500167944</v>
      </c>
      <c r="P140" s="8">
        <f t="shared" si="19"/>
        <v>5.0139625301933775</v>
      </c>
      <c r="X140" s="8">
        <v>-13</v>
      </c>
    </row>
    <row r="141" spans="1:24" x14ac:dyDescent="0.2">
      <c r="A141" s="8">
        <v>69.5</v>
      </c>
      <c r="B141" s="8">
        <v>139</v>
      </c>
      <c r="D141">
        <v>1759.2275132274999</v>
      </c>
      <c r="E141">
        <v>464.10476190475998</v>
      </c>
      <c r="F141">
        <v>159.21997874601999</v>
      </c>
      <c r="G141">
        <v>126.28692879915</v>
      </c>
      <c r="I141" s="9">
        <f t="shared" si="15"/>
        <v>337.81783310560996</v>
      </c>
      <c r="J141" s="9">
        <f t="shared" si="16"/>
        <v>1600.00753448148</v>
      </c>
      <c r="K141" s="9">
        <f t="shared" si="17"/>
        <v>337.81783310560996</v>
      </c>
      <c r="L141" s="10">
        <f t="shared" si="14"/>
        <v>0.21113515144482603</v>
      </c>
      <c r="M141" s="10">
        <f t="shared" si="18"/>
        <v>0.22096191183207908</v>
      </c>
      <c r="P141" s="8">
        <f t="shared" si="19"/>
        <v>6.2441436855396288</v>
      </c>
      <c r="X141" s="8">
        <v>-13</v>
      </c>
    </row>
    <row r="142" spans="1:24" x14ac:dyDescent="0.2">
      <c r="A142" s="8">
        <v>70</v>
      </c>
      <c r="B142" s="8">
        <v>140</v>
      </c>
      <c r="D142">
        <v>1767.2346723044</v>
      </c>
      <c r="E142">
        <v>462.35940803382999</v>
      </c>
      <c r="F142">
        <v>158.89691817216001</v>
      </c>
      <c r="G142">
        <v>127.10626992560999</v>
      </c>
      <c r="I142" s="9">
        <f t="shared" si="15"/>
        <v>335.25313810822001</v>
      </c>
      <c r="J142" s="9">
        <f t="shared" si="16"/>
        <v>1608.33775413224</v>
      </c>
      <c r="K142" s="9">
        <f t="shared" si="17"/>
        <v>335.25313810822001</v>
      </c>
      <c r="L142" s="10">
        <f t="shared" si="14"/>
        <v>0.20844697405558446</v>
      </c>
      <c r="M142" s="10">
        <f t="shared" si="18"/>
        <v>0.21834443056073144</v>
      </c>
      <c r="P142" s="8">
        <f t="shared" si="19"/>
        <v>4.9855916845114825</v>
      </c>
      <c r="X142" s="8">
        <v>-13</v>
      </c>
    </row>
    <row r="143" spans="1:24" x14ac:dyDescent="0.2">
      <c r="A143" s="8">
        <v>70.5</v>
      </c>
      <c r="B143" s="8">
        <v>141</v>
      </c>
      <c r="D143">
        <v>1783.5782241014999</v>
      </c>
      <c r="E143">
        <v>462.20401691332</v>
      </c>
      <c r="F143">
        <v>159.29861849097</v>
      </c>
      <c r="G143">
        <v>127.31774707757999</v>
      </c>
      <c r="I143" s="9">
        <f t="shared" si="15"/>
        <v>334.88626983573999</v>
      </c>
      <c r="J143" s="9">
        <f t="shared" si="16"/>
        <v>1624.2796056105299</v>
      </c>
      <c r="K143" s="9">
        <f t="shared" si="17"/>
        <v>334.88626983573999</v>
      </c>
      <c r="L143" s="10">
        <f t="shared" si="14"/>
        <v>0.20617525989921165</v>
      </c>
      <c r="M143" s="10">
        <f t="shared" si="18"/>
        <v>0.21614341252225253</v>
      </c>
      <c r="P143" s="8">
        <f t="shared" si="19"/>
        <v>3.9272858670259336</v>
      </c>
      <c r="X143" s="8">
        <v>-13</v>
      </c>
    </row>
    <row r="144" spans="1:24" x14ac:dyDescent="0.2">
      <c r="A144" s="8">
        <v>71</v>
      </c>
      <c r="B144" s="8">
        <v>142</v>
      </c>
      <c r="D144">
        <v>1783.6987315010999</v>
      </c>
      <c r="E144">
        <v>463.83298097251998</v>
      </c>
      <c r="F144">
        <v>159.87460148778001</v>
      </c>
      <c r="G144">
        <v>126.71625929862</v>
      </c>
      <c r="I144" s="9">
        <f t="shared" si="15"/>
        <v>337.11672167389997</v>
      </c>
      <c r="J144" s="9">
        <f t="shared" si="16"/>
        <v>1623.82413001332</v>
      </c>
      <c r="K144" s="9">
        <f t="shared" si="17"/>
        <v>337.11672167389997</v>
      </c>
      <c r="L144" s="10">
        <f t="shared" si="14"/>
        <v>0.2076066708474979</v>
      </c>
      <c r="M144" s="10">
        <f t="shared" si="18"/>
        <v>0.21764551958843267</v>
      </c>
      <c r="P144" s="8">
        <f t="shared" si="19"/>
        <v>4.6495373973783183</v>
      </c>
    </row>
    <row r="145" spans="1:16" x14ac:dyDescent="0.2">
      <c r="A145" s="8">
        <v>71.5</v>
      </c>
      <c r="B145" s="8">
        <v>143</v>
      </c>
      <c r="D145">
        <v>1779.7727272727</v>
      </c>
      <c r="E145">
        <v>462.33086680760999</v>
      </c>
      <c r="F145">
        <v>159.06163655685</v>
      </c>
      <c r="G145">
        <v>126.65993623804999</v>
      </c>
      <c r="I145" s="9">
        <f t="shared" si="15"/>
        <v>335.67093056956003</v>
      </c>
      <c r="J145" s="9">
        <f t="shared" si="16"/>
        <v>1620.7110907158499</v>
      </c>
      <c r="K145" s="9">
        <f t="shared" si="17"/>
        <v>335.67093056956003</v>
      </c>
      <c r="L145" s="10">
        <f t="shared" si="14"/>
        <v>0.20711336677612169</v>
      </c>
      <c r="M145" s="10">
        <f t="shared" si="18"/>
        <v>0.21722291163495039</v>
      </c>
      <c r="P145" s="8">
        <f t="shared" si="19"/>
        <v>4.4463366748639999</v>
      </c>
    </row>
    <row r="146" spans="1:16" x14ac:dyDescent="0.2">
      <c r="A146" s="8">
        <v>72</v>
      </c>
      <c r="B146" s="8">
        <v>144</v>
      </c>
      <c r="D146">
        <v>1777.9164904863001</v>
      </c>
      <c r="E146">
        <v>462.41437632135001</v>
      </c>
      <c r="F146">
        <v>158.5398512221</v>
      </c>
      <c r="G146">
        <v>127.08607863975</v>
      </c>
      <c r="I146" s="9">
        <f t="shared" si="15"/>
        <v>335.32829768160002</v>
      </c>
      <c r="J146" s="9">
        <f t="shared" si="16"/>
        <v>1619.3766392642001</v>
      </c>
      <c r="K146" s="9">
        <f t="shared" si="17"/>
        <v>335.32829768160002</v>
      </c>
      <c r="L146" s="10">
        <f t="shared" si="14"/>
        <v>0.20707245587657971</v>
      </c>
      <c r="M146" s="10">
        <f t="shared" si="18"/>
        <v>0.21725269685330231</v>
      </c>
      <c r="P146" s="8">
        <f t="shared" si="19"/>
        <v>4.460658170329209</v>
      </c>
    </row>
    <row r="147" spans="1:16" x14ac:dyDescent="0.2">
      <c r="A147" s="8">
        <v>72.5</v>
      </c>
      <c r="B147" s="8">
        <v>145</v>
      </c>
      <c r="D147">
        <v>1781.1522198732</v>
      </c>
      <c r="E147">
        <v>463.40909090909003</v>
      </c>
      <c r="F147">
        <v>158.72051009564001</v>
      </c>
      <c r="G147">
        <v>126.58767268862999</v>
      </c>
      <c r="I147" s="9">
        <f t="shared" si="15"/>
        <v>336.82141822046003</v>
      </c>
      <c r="J147" s="9">
        <f t="shared" si="16"/>
        <v>1622.4317097775599</v>
      </c>
      <c r="K147" s="9">
        <f t="shared" si="17"/>
        <v>336.82141822046003</v>
      </c>
      <c r="L147" s="10">
        <f t="shared" si="14"/>
        <v>0.20760283233532167</v>
      </c>
      <c r="M147" s="10">
        <f t="shared" si="18"/>
        <v>0.21785376942993817</v>
      </c>
      <c r="P147" s="8">
        <f t="shared" si="19"/>
        <v>4.7496692522303672</v>
      </c>
    </row>
    <row r="148" spans="1:16" x14ac:dyDescent="0.2">
      <c r="A148" s="8">
        <v>73</v>
      </c>
      <c r="B148" s="8">
        <v>146</v>
      </c>
      <c r="D148">
        <v>1778.5243128964</v>
      </c>
      <c r="E148">
        <v>462.48202959831002</v>
      </c>
      <c r="F148">
        <v>158.44208289054001</v>
      </c>
      <c r="G148">
        <v>126.90541976621</v>
      </c>
      <c r="I148" s="9">
        <f t="shared" si="15"/>
        <v>335.57660983210002</v>
      </c>
      <c r="J148" s="9">
        <f t="shared" si="16"/>
        <v>1620.0822300058601</v>
      </c>
      <c r="K148" s="9">
        <f t="shared" si="17"/>
        <v>335.57660983210002</v>
      </c>
      <c r="L148" s="10">
        <f t="shared" si="14"/>
        <v>0.20713554140451634</v>
      </c>
      <c r="M148" s="10">
        <f t="shared" si="18"/>
        <v>0.21745717461702674</v>
      </c>
      <c r="P148" s="8">
        <f t="shared" si="19"/>
        <v>4.5589763136214581</v>
      </c>
    </row>
    <row r="149" spans="1:16" x14ac:dyDescent="0.2">
      <c r="A149" s="8">
        <v>73.5</v>
      </c>
      <c r="B149" s="8">
        <v>147</v>
      </c>
      <c r="D149">
        <v>1775.3763213530999</v>
      </c>
      <c r="E149">
        <v>462.80549682874999</v>
      </c>
      <c r="F149">
        <v>159.02869287991999</v>
      </c>
      <c r="G149">
        <v>126.89904357067</v>
      </c>
      <c r="I149" s="9">
        <f t="shared" si="15"/>
        <v>335.90645325807998</v>
      </c>
      <c r="J149" s="9">
        <f t="shared" si="16"/>
        <v>1616.3476284731798</v>
      </c>
      <c r="K149" s="9">
        <f t="shared" si="17"/>
        <v>335.90645325807998</v>
      </c>
      <c r="L149" s="10">
        <f t="shared" si="14"/>
        <v>0.20781819909333551</v>
      </c>
      <c r="M149" s="10">
        <f t="shared" si="18"/>
        <v>0.21821052842373984</v>
      </c>
      <c r="P149" s="8">
        <f t="shared" si="19"/>
        <v>4.9212081092410616</v>
      </c>
    </row>
    <row r="150" spans="1:16" x14ac:dyDescent="0.2">
      <c r="A150" s="8">
        <v>74</v>
      </c>
      <c r="B150" s="8">
        <v>148</v>
      </c>
      <c r="D150">
        <v>1776.0454545455</v>
      </c>
      <c r="E150">
        <v>459.18710359407999</v>
      </c>
      <c r="F150">
        <v>159.21785334750001</v>
      </c>
      <c r="G150">
        <v>127.26461211477</v>
      </c>
      <c r="I150" s="9">
        <f t="shared" si="15"/>
        <v>331.92249147931</v>
      </c>
      <c r="J150" s="9">
        <f t="shared" si="16"/>
        <v>1616.8276011979999</v>
      </c>
      <c r="K150" s="9">
        <f t="shared" si="17"/>
        <v>331.92249147931</v>
      </c>
      <c r="L150" s="10">
        <f t="shared" si="14"/>
        <v>0.20529244505312111</v>
      </c>
      <c r="M150" s="10">
        <f t="shared" si="18"/>
        <v>0.21575547050141933</v>
      </c>
      <c r="P150" s="8">
        <f t="shared" si="19"/>
        <v>3.7407534123539103</v>
      </c>
    </row>
    <row r="151" spans="1:16" x14ac:dyDescent="0.2">
      <c r="A151" s="8">
        <v>74.5</v>
      </c>
      <c r="B151" s="8">
        <v>149</v>
      </c>
      <c r="D151">
        <v>1772.7928118392999</v>
      </c>
      <c r="E151">
        <v>459.30761099365998</v>
      </c>
      <c r="F151">
        <v>159.18809776833001</v>
      </c>
      <c r="G151">
        <v>126.97343251860001</v>
      </c>
      <c r="I151" s="9">
        <f t="shared" si="15"/>
        <v>332.33417847505996</v>
      </c>
      <c r="J151" s="9">
        <f t="shared" si="16"/>
        <v>1613.60471407097</v>
      </c>
      <c r="K151" s="9">
        <f t="shared" si="17"/>
        <v>332.33417847505996</v>
      </c>
      <c r="L151" s="10">
        <f t="shared" si="14"/>
        <v>0.20595761500758925</v>
      </c>
      <c r="M151" s="10">
        <f t="shared" si="18"/>
        <v>0.21649133657378136</v>
      </c>
      <c r="P151" s="8">
        <f t="shared" si="19"/>
        <v>4.0945766576232581</v>
      </c>
    </row>
    <row r="152" spans="1:16" x14ac:dyDescent="0.2">
      <c r="A152" s="8">
        <v>75</v>
      </c>
      <c r="B152" s="8">
        <v>150</v>
      </c>
      <c r="D152">
        <v>1780.8932346723</v>
      </c>
      <c r="E152">
        <v>461.00211416490998</v>
      </c>
      <c r="F152">
        <v>158.56323060573999</v>
      </c>
      <c r="G152">
        <v>126.83209351754</v>
      </c>
      <c r="I152" s="9">
        <f t="shared" si="15"/>
        <v>334.17002064737</v>
      </c>
      <c r="J152" s="9">
        <f t="shared" si="16"/>
        <v>1622.3300040665599</v>
      </c>
      <c r="K152" s="9">
        <f t="shared" si="17"/>
        <v>334.17002064737</v>
      </c>
      <c r="L152" s="10">
        <f t="shared" si="14"/>
        <v>0.20598153261650451</v>
      </c>
      <c r="M152" s="10">
        <f t="shared" si="18"/>
        <v>0.21658595030059055</v>
      </c>
      <c r="P152" s="8">
        <f t="shared" si="19"/>
        <v>4.1400693595210365</v>
      </c>
    </row>
    <row r="153" spans="1:16" x14ac:dyDescent="0.2">
      <c r="A153" s="8">
        <v>75.5</v>
      </c>
      <c r="B153" s="8">
        <v>151</v>
      </c>
      <c r="D153">
        <v>1782.3562367864999</v>
      </c>
      <c r="E153">
        <v>459.99154334038002</v>
      </c>
      <c r="F153">
        <v>158.37513283741001</v>
      </c>
      <c r="G153">
        <v>126.79064824655001</v>
      </c>
      <c r="I153" s="9">
        <f t="shared" si="15"/>
        <v>333.20089509383001</v>
      </c>
      <c r="J153" s="9">
        <f t="shared" si="16"/>
        <v>1623.9811039490899</v>
      </c>
      <c r="K153" s="9">
        <f t="shared" si="17"/>
        <v>333.20089509383001</v>
      </c>
      <c r="L153" s="10">
        <f t="shared" si="14"/>
        <v>0.20517535227692865</v>
      </c>
      <c r="M153" s="10">
        <f t="shared" si="18"/>
        <v>0.21585046607890859</v>
      </c>
      <c r="P153" s="8">
        <f t="shared" si="19"/>
        <v>3.7864297178337898</v>
      </c>
    </row>
    <row r="154" spans="1:16" x14ac:dyDescent="0.2">
      <c r="A154" s="8">
        <v>76</v>
      </c>
      <c r="B154" s="8">
        <v>152</v>
      </c>
      <c r="D154">
        <v>1765.1257928118</v>
      </c>
      <c r="E154">
        <v>457.73678646935002</v>
      </c>
      <c r="F154">
        <v>158.70669500531</v>
      </c>
      <c r="G154">
        <v>126.85653560043001</v>
      </c>
      <c r="I154" s="9">
        <f t="shared" si="15"/>
        <v>330.88025086892003</v>
      </c>
      <c r="J154" s="9">
        <f t="shared" si="16"/>
        <v>1606.4190978064901</v>
      </c>
      <c r="K154" s="9">
        <f t="shared" si="17"/>
        <v>330.88025086892003</v>
      </c>
      <c r="L154" s="10">
        <f t="shared" si="14"/>
        <v>0.20597380305097568</v>
      </c>
      <c r="M154" s="10">
        <f t="shared" si="18"/>
        <v>0.21671961297084952</v>
      </c>
      <c r="P154" s="8">
        <f t="shared" si="19"/>
        <v>4.2043377930562169</v>
      </c>
    </row>
    <row r="155" spans="1:16" x14ac:dyDescent="0.2">
      <c r="A155" s="8">
        <v>76.5</v>
      </c>
      <c r="B155" s="8">
        <v>153</v>
      </c>
      <c r="D155">
        <v>1757.6786469345</v>
      </c>
      <c r="E155">
        <v>457.70401691332</v>
      </c>
      <c r="F155">
        <v>157.80340063762</v>
      </c>
      <c r="G155">
        <v>126.68012752391</v>
      </c>
      <c r="I155" s="9">
        <f t="shared" si="15"/>
        <v>331.02388938940999</v>
      </c>
      <c r="J155" s="9">
        <f t="shared" si="16"/>
        <v>1599.8752462968801</v>
      </c>
      <c r="K155" s="9">
        <f t="shared" si="17"/>
        <v>331.02388938940999</v>
      </c>
      <c r="L155" s="10">
        <f t="shared" si="14"/>
        <v>0.20690606355439772</v>
      </c>
      <c r="M155" s="10">
        <f t="shared" si="18"/>
        <v>0.21772256959216549</v>
      </c>
      <c r="P155" s="8">
        <f t="shared" si="19"/>
        <v>4.6865850116014505</v>
      </c>
    </row>
    <row r="156" spans="1:16" x14ac:dyDescent="0.2">
      <c r="A156" s="8">
        <v>77</v>
      </c>
      <c r="B156" s="8">
        <v>154</v>
      </c>
      <c r="D156">
        <v>1759.1268498943</v>
      </c>
      <c r="E156">
        <v>459.75898520085002</v>
      </c>
      <c r="F156">
        <v>159.09883103082001</v>
      </c>
      <c r="G156">
        <v>126.61211477152</v>
      </c>
      <c r="I156" s="9">
        <f t="shared" si="15"/>
        <v>333.14687042933002</v>
      </c>
      <c r="J156" s="9">
        <f t="shared" si="16"/>
        <v>1600.0280188634799</v>
      </c>
      <c r="K156" s="9">
        <f t="shared" si="17"/>
        <v>333.14687042933002</v>
      </c>
      <c r="L156" s="10">
        <f t="shared" si="14"/>
        <v>0.20821314783347886</v>
      </c>
      <c r="M156" s="10">
        <f t="shared" si="18"/>
        <v>0.21910034998914052</v>
      </c>
      <c r="P156" s="8">
        <f t="shared" si="19"/>
        <v>5.3490570967207089</v>
      </c>
    </row>
    <row r="157" spans="1:16" x14ac:dyDescent="0.2">
      <c r="A157" s="8">
        <v>77.5</v>
      </c>
      <c r="B157" s="8">
        <v>155</v>
      </c>
      <c r="D157">
        <v>1754.0539112050999</v>
      </c>
      <c r="E157">
        <v>456.32875264271001</v>
      </c>
      <c r="F157">
        <v>158.19022316684001</v>
      </c>
      <c r="G157">
        <v>126.78639744952</v>
      </c>
      <c r="I157" s="9">
        <f t="shared" si="15"/>
        <v>329.54235519319002</v>
      </c>
      <c r="J157" s="9">
        <f t="shared" si="16"/>
        <v>1595.8636880382599</v>
      </c>
      <c r="K157" s="9">
        <f t="shared" si="17"/>
        <v>329.54235519319002</v>
      </c>
      <c r="L157" s="10">
        <f t="shared" si="14"/>
        <v>0.20649780909438767</v>
      </c>
      <c r="M157" s="10">
        <f t="shared" si="18"/>
        <v>0.21745570736794323</v>
      </c>
      <c r="P157" s="8">
        <f t="shared" si="19"/>
        <v>4.5582708227015152</v>
      </c>
    </row>
    <row r="158" spans="1:16" x14ac:dyDescent="0.2">
      <c r="A158" s="8">
        <v>78</v>
      </c>
      <c r="B158" s="8">
        <v>156</v>
      </c>
      <c r="D158">
        <v>1758.9260042282999</v>
      </c>
      <c r="E158">
        <v>457.09408033826998</v>
      </c>
      <c r="F158">
        <v>157.91604675876999</v>
      </c>
      <c r="G158">
        <v>126.18597236982001</v>
      </c>
      <c r="I158" s="9">
        <f t="shared" si="15"/>
        <v>330.90810796844994</v>
      </c>
      <c r="J158" s="9">
        <f t="shared" si="16"/>
        <v>1601.00995746953</v>
      </c>
      <c r="K158" s="9">
        <f t="shared" si="17"/>
        <v>330.90810796844994</v>
      </c>
      <c r="L158" s="10">
        <f t="shared" si="14"/>
        <v>0.2066871017413692</v>
      </c>
      <c r="M158" s="10">
        <f t="shared" si="18"/>
        <v>0.21771569613281869</v>
      </c>
      <c r="P158" s="8">
        <f t="shared" si="19"/>
        <v>4.6832800763915614</v>
      </c>
    </row>
    <row r="159" spans="1:16" x14ac:dyDescent="0.2">
      <c r="A159" s="8">
        <v>78.5</v>
      </c>
      <c r="B159" s="8">
        <v>157</v>
      </c>
      <c r="D159">
        <v>1755.6522198732</v>
      </c>
      <c r="E159">
        <v>457.89957716702003</v>
      </c>
      <c r="F159">
        <v>158.46121147714999</v>
      </c>
      <c r="G159">
        <v>126.3049946865</v>
      </c>
      <c r="I159" s="9">
        <f t="shared" si="15"/>
        <v>331.59458248052005</v>
      </c>
      <c r="J159" s="9">
        <f t="shared" si="16"/>
        <v>1597.1910083960499</v>
      </c>
      <c r="K159" s="9">
        <f t="shared" si="17"/>
        <v>331.59458248052005</v>
      </c>
      <c r="L159" s="10">
        <f t="shared" si="14"/>
        <v>0.20761110019866558</v>
      </c>
      <c r="M159" s="10">
        <f t="shared" si="18"/>
        <v>0.21871039070800896</v>
      </c>
      <c r="P159" s="8">
        <f t="shared" si="19"/>
        <v>5.1615546916567236</v>
      </c>
    </row>
    <row r="160" spans="1:16" x14ac:dyDescent="0.2">
      <c r="A160" s="8">
        <v>79</v>
      </c>
      <c r="B160" s="8">
        <v>158</v>
      </c>
      <c r="D160">
        <v>1756.6501057083001</v>
      </c>
      <c r="E160">
        <v>456.77906976743998</v>
      </c>
      <c r="F160">
        <v>158.27736450584999</v>
      </c>
      <c r="G160">
        <v>126.27948990436001</v>
      </c>
      <c r="I160" s="9">
        <f t="shared" si="15"/>
        <v>330.49957986307999</v>
      </c>
      <c r="J160" s="9">
        <f t="shared" si="16"/>
        <v>1598.37274120245</v>
      </c>
      <c r="K160" s="9">
        <f t="shared" si="17"/>
        <v>330.49957986307999</v>
      </c>
      <c r="L160" s="10">
        <f t="shared" si="14"/>
        <v>0.20677253267873322</v>
      </c>
      <c r="M160" s="10">
        <f t="shared" si="18"/>
        <v>0.2179425193059705</v>
      </c>
      <c r="P160" s="8">
        <f t="shared" si="19"/>
        <v>4.792342464563986</v>
      </c>
    </row>
    <row r="161" spans="1:16" x14ac:dyDescent="0.2">
      <c r="A161" s="8">
        <v>79.5</v>
      </c>
      <c r="B161" s="8">
        <v>159</v>
      </c>
      <c r="D161">
        <v>1755.0909090908999</v>
      </c>
      <c r="E161">
        <v>456.54756871036</v>
      </c>
      <c r="F161">
        <v>158.80765143464001</v>
      </c>
      <c r="G161">
        <v>126.60573857598</v>
      </c>
      <c r="I161" s="9">
        <f t="shared" si="15"/>
        <v>329.94183013437998</v>
      </c>
      <c r="J161" s="9">
        <f t="shared" si="16"/>
        <v>1596.2832576562598</v>
      </c>
      <c r="K161" s="9">
        <f t="shared" si="17"/>
        <v>329.94183013437998</v>
      </c>
      <c r="L161" s="10">
        <f t="shared" si="14"/>
        <v>0.20669378605073921</v>
      </c>
      <c r="M161" s="10">
        <f t="shared" si="18"/>
        <v>0.21793446879587042</v>
      </c>
      <c r="P161" s="8">
        <f t="shared" si="19"/>
        <v>4.7884715732202103</v>
      </c>
    </row>
    <row r="162" spans="1:16" x14ac:dyDescent="0.2">
      <c r="A162" s="8">
        <v>80</v>
      </c>
      <c r="B162" s="4">
        <v>160</v>
      </c>
      <c r="C162" s="4" t="s">
        <v>6</v>
      </c>
      <c r="D162">
        <v>1751.5602536997999</v>
      </c>
      <c r="E162">
        <v>454.18710359407999</v>
      </c>
      <c r="F162">
        <v>158.26354941552</v>
      </c>
      <c r="G162">
        <v>126.56641870351</v>
      </c>
      <c r="H162" s="4"/>
      <c r="I162" s="5">
        <f t="shared" si="15"/>
        <v>327.62068489056998</v>
      </c>
      <c r="J162" s="5">
        <f t="shared" si="16"/>
        <v>1593.2967042842799</v>
      </c>
      <c r="K162" s="9">
        <f t="shared" si="17"/>
        <v>327.62068489056998</v>
      </c>
      <c r="L162" s="6">
        <f t="shared" si="14"/>
        <v>0.2056244037972447</v>
      </c>
      <c r="M162" s="6">
        <f t="shared" si="18"/>
        <v>0.2169357826602698</v>
      </c>
      <c r="N162" s="4"/>
      <c r="O162" s="4"/>
      <c r="P162" s="4">
        <f t="shared" si="19"/>
        <v>4.3082777135284891</v>
      </c>
    </row>
    <row r="163" spans="1:16" x14ac:dyDescent="0.2">
      <c r="A163" s="8">
        <v>80.5</v>
      </c>
      <c r="B163" s="8">
        <v>161</v>
      </c>
      <c r="D163">
        <v>1751.2674418605</v>
      </c>
      <c r="E163">
        <v>457.22304439746</v>
      </c>
      <c r="F163">
        <v>158.90860786396999</v>
      </c>
      <c r="G163">
        <v>126.41870350691001</v>
      </c>
      <c r="I163" s="9">
        <f t="shared" si="15"/>
        <v>330.80434089055001</v>
      </c>
      <c r="J163" s="9">
        <f t="shared" si="16"/>
        <v>1592.3588339965299</v>
      </c>
      <c r="K163" s="9">
        <f t="shared" si="17"/>
        <v>330.80434089055001</v>
      </c>
      <c r="L163" s="10">
        <f t="shared" si="14"/>
        <v>0.20774484609118632</v>
      </c>
      <c r="M163" s="10">
        <f t="shared" si="18"/>
        <v>0.21912692107210532</v>
      </c>
      <c r="P163" s="8">
        <f t="shared" si="19"/>
        <v>5.3618331536120811</v>
      </c>
    </row>
    <row r="164" spans="1:16" x14ac:dyDescent="0.2">
      <c r="A164" s="8">
        <v>81</v>
      </c>
      <c r="B164" s="8">
        <v>162</v>
      </c>
      <c r="D164">
        <v>1753.9524312896001</v>
      </c>
      <c r="E164">
        <v>455.84249471458998</v>
      </c>
      <c r="F164">
        <v>158.92454835282001</v>
      </c>
      <c r="G164">
        <v>126.32518597236999</v>
      </c>
      <c r="I164" s="9">
        <f t="shared" si="15"/>
        <v>329.51730874222</v>
      </c>
      <c r="J164" s="9">
        <f t="shared" si="16"/>
        <v>1595.0278829367801</v>
      </c>
      <c r="K164" s="9">
        <f t="shared" si="17"/>
        <v>329.51730874222</v>
      </c>
      <c r="L164" s="10">
        <f t="shared" si="14"/>
        <v>0.206590312474983</v>
      </c>
      <c r="M164" s="10">
        <f t="shared" si="18"/>
        <v>0.21804308357379593</v>
      </c>
      <c r="P164" s="8">
        <f t="shared" si="19"/>
        <v>4.8406963389122284</v>
      </c>
    </row>
    <row r="165" spans="1:16" x14ac:dyDescent="0.2">
      <c r="A165" s="8">
        <v>81.5</v>
      </c>
      <c r="B165" s="8">
        <v>163</v>
      </c>
      <c r="D165">
        <v>1748.9619450317</v>
      </c>
      <c r="E165">
        <v>453.77695560254</v>
      </c>
      <c r="F165">
        <v>158.40382571731999</v>
      </c>
      <c r="G165">
        <v>126.06588735388</v>
      </c>
      <c r="I165" s="9">
        <f t="shared" si="15"/>
        <v>327.71106824866001</v>
      </c>
      <c r="J165" s="9">
        <f t="shared" si="16"/>
        <v>1590.5581193143801</v>
      </c>
      <c r="K165" s="9">
        <f t="shared" si="17"/>
        <v>327.71106824866001</v>
      </c>
      <c r="L165" s="10">
        <f t="shared" si="14"/>
        <v>0.20603526791584448</v>
      </c>
      <c r="M165" s="10">
        <f t="shared" si="18"/>
        <v>0.21755873513255131</v>
      </c>
      <c r="P165" s="8">
        <f t="shared" si="19"/>
        <v>4.60780920936672</v>
      </c>
    </row>
    <row r="166" spans="1:16" x14ac:dyDescent="0.2">
      <c r="A166" s="8">
        <v>82</v>
      </c>
      <c r="B166" s="8">
        <v>164</v>
      </c>
      <c r="D166">
        <v>1747.1257928118</v>
      </c>
      <c r="E166">
        <v>454.99048625793</v>
      </c>
      <c r="F166">
        <v>157.99681190223001</v>
      </c>
      <c r="G166">
        <v>126.71732199788001</v>
      </c>
      <c r="I166" s="9">
        <f t="shared" si="15"/>
        <v>328.27316426005001</v>
      </c>
      <c r="J166" s="9">
        <f t="shared" si="16"/>
        <v>1589.1289809095699</v>
      </c>
      <c r="K166" s="9">
        <f t="shared" si="17"/>
        <v>328.27316426005001</v>
      </c>
      <c r="L166" s="10">
        <f t="shared" si="14"/>
        <v>0.20657427320478183</v>
      </c>
      <c r="M166" s="10">
        <f t="shared" si="18"/>
        <v>0.21816843653938256</v>
      </c>
      <c r="P166" s="8">
        <f t="shared" si="19"/>
        <v>4.9009692537180873</v>
      </c>
    </row>
    <row r="167" spans="1:16" x14ac:dyDescent="0.2">
      <c r="A167" s="8">
        <v>82.5</v>
      </c>
      <c r="B167" s="8">
        <v>165</v>
      </c>
      <c r="D167">
        <v>1747.7283298097</v>
      </c>
      <c r="E167">
        <v>454.90063424946999</v>
      </c>
      <c r="F167">
        <v>157.83315621679</v>
      </c>
      <c r="G167">
        <v>126.39107332624999</v>
      </c>
      <c r="I167" s="9">
        <f t="shared" si="15"/>
        <v>328.50956092321996</v>
      </c>
      <c r="J167" s="9">
        <f t="shared" si="16"/>
        <v>1589.8951735929099</v>
      </c>
      <c r="K167" s="9">
        <f t="shared" si="17"/>
        <v>328.50956092321996</v>
      </c>
      <c r="L167" s="10">
        <f t="shared" si="14"/>
        <v>0.20662340912755944</v>
      </c>
      <c r="M167" s="10">
        <f t="shared" si="18"/>
        <v>0.21828826858005407</v>
      </c>
      <c r="P167" s="8">
        <f t="shared" si="19"/>
        <v>4.9585875664927821</v>
      </c>
    </row>
    <row r="168" spans="1:16" x14ac:dyDescent="0.2">
      <c r="A168" s="8">
        <v>83</v>
      </c>
      <c r="B168" s="8">
        <v>166</v>
      </c>
      <c r="D168">
        <v>1747.9894291754999</v>
      </c>
      <c r="E168">
        <v>454.16913319239001</v>
      </c>
      <c r="F168">
        <v>157.92029755579</v>
      </c>
      <c r="G168">
        <v>126.0340063762</v>
      </c>
      <c r="I168" s="9">
        <f t="shared" si="15"/>
        <v>328.13512681619</v>
      </c>
      <c r="J168" s="9">
        <f t="shared" si="16"/>
        <v>1590.0691316197099</v>
      </c>
      <c r="K168" s="9">
        <f t="shared" si="17"/>
        <v>328.13512681619</v>
      </c>
      <c r="L168" s="10">
        <f t="shared" si="14"/>
        <v>0.20636532103603447</v>
      </c>
      <c r="M168" s="10">
        <f t="shared" si="18"/>
        <v>0.21810087660642302</v>
      </c>
      <c r="P168" s="8">
        <f t="shared" si="19"/>
        <v>4.8684847084621916</v>
      </c>
    </row>
    <row r="169" spans="1:16" x14ac:dyDescent="0.2">
      <c r="A169" s="8">
        <v>83.5</v>
      </c>
      <c r="B169" s="8">
        <v>167</v>
      </c>
      <c r="D169">
        <v>1749.6797040168999</v>
      </c>
      <c r="E169">
        <v>454.69238900634002</v>
      </c>
      <c r="F169">
        <v>158.52497343252</v>
      </c>
      <c r="G169">
        <v>126.02869287992</v>
      </c>
      <c r="I169" s="9">
        <f t="shared" si="15"/>
        <v>328.66369612642001</v>
      </c>
      <c r="J169" s="9">
        <f t="shared" si="16"/>
        <v>1591.1547305843799</v>
      </c>
      <c r="K169" s="9">
        <f t="shared" si="17"/>
        <v>328.66369612642001</v>
      </c>
      <c r="L169" s="10">
        <f t="shared" si="14"/>
        <v>0.20655671620679683</v>
      </c>
      <c r="M169" s="10">
        <f t="shared" si="18"/>
        <v>0.21836296789507928</v>
      </c>
      <c r="P169" s="8">
        <f t="shared" si="19"/>
        <v>4.9945049094092449</v>
      </c>
    </row>
    <row r="170" spans="1:16" x14ac:dyDescent="0.2">
      <c r="A170" s="8">
        <v>84</v>
      </c>
      <c r="B170" s="8">
        <v>168</v>
      </c>
      <c r="D170">
        <v>1753.0126849894</v>
      </c>
      <c r="E170">
        <v>454.15961945032001</v>
      </c>
      <c r="F170">
        <v>158.39744952179001</v>
      </c>
      <c r="G170">
        <v>125.99574920297999</v>
      </c>
      <c r="I170" s="9">
        <f t="shared" si="15"/>
        <v>328.16387024734001</v>
      </c>
      <c r="J170" s="9">
        <f t="shared" si="16"/>
        <v>1594.6152354676101</v>
      </c>
      <c r="K170" s="9">
        <f t="shared" si="17"/>
        <v>328.16387024734001</v>
      </c>
      <c r="L170" s="10">
        <f t="shared" si="14"/>
        <v>0.20579501747398532</v>
      </c>
      <c r="M170" s="10">
        <f t="shared" si="18"/>
        <v>0.21767196528016169</v>
      </c>
      <c r="P170" s="8">
        <f t="shared" si="19"/>
        <v>4.6622531629535953</v>
      </c>
    </row>
    <row r="171" spans="1:16" x14ac:dyDescent="0.2">
      <c r="A171" s="8">
        <v>84.5</v>
      </c>
      <c r="B171" s="8">
        <v>169</v>
      </c>
      <c r="D171">
        <v>1733.9460887949001</v>
      </c>
      <c r="E171">
        <v>452.29598308668</v>
      </c>
      <c r="F171">
        <v>158.12221041445</v>
      </c>
      <c r="G171">
        <v>125.84909670563</v>
      </c>
      <c r="I171" s="9">
        <f t="shared" si="15"/>
        <v>326.44688638104998</v>
      </c>
      <c r="J171" s="9">
        <f t="shared" si="16"/>
        <v>1575.8238783804502</v>
      </c>
      <c r="K171" s="9">
        <f t="shared" si="17"/>
        <v>326.44688638104998</v>
      </c>
      <c r="L171" s="10">
        <f t="shared" si="14"/>
        <v>0.20715949977643131</v>
      </c>
      <c r="M171" s="10">
        <f t="shared" si="18"/>
        <v>0.21910714370050158</v>
      </c>
      <c r="P171" s="8">
        <f t="shared" si="19"/>
        <v>5.3523236870575568</v>
      </c>
    </row>
    <row r="172" spans="1:16" x14ac:dyDescent="0.2">
      <c r="A172" s="8">
        <v>85</v>
      </c>
      <c r="B172" s="8">
        <v>170</v>
      </c>
      <c r="D172">
        <v>1846.2025316455999</v>
      </c>
      <c r="E172">
        <v>469.20569620253002</v>
      </c>
      <c r="F172">
        <v>157.92348565355999</v>
      </c>
      <c r="G172">
        <v>126.5472901169</v>
      </c>
      <c r="I172" s="9">
        <f t="shared" si="15"/>
        <v>342.65840608563002</v>
      </c>
      <c r="J172" s="9">
        <f t="shared" si="16"/>
        <v>1688.27904599204</v>
      </c>
      <c r="K172" s="9">
        <f t="shared" si="17"/>
        <v>342.65840608563002</v>
      </c>
      <c r="L172" s="10">
        <f t="shared" si="14"/>
        <v>0.20296313390792722</v>
      </c>
      <c r="M172" s="10">
        <f t="shared" si="18"/>
        <v>0.21498147394989139</v>
      </c>
      <c r="P172" s="8">
        <f t="shared" si="19"/>
        <v>3.3685960565869171</v>
      </c>
    </row>
    <row r="173" spans="1:16" x14ac:dyDescent="0.2">
      <c r="A173" s="8">
        <v>85.5</v>
      </c>
      <c r="B173" s="8">
        <v>171</v>
      </c>
      <c r="D173">
        <v>1844.7911392404999</v>
      </c>
      <c r="E173">
        <v>468.40084388186</v>
      </c>
      <c r="F173">
        <v>158.31987247609001</v>
      </c>
      <c r="G173">
        <v>126.27523910732999</v>
      </c>
      <c r="I173" s="9">
        <f t="shared" si="15"/>
        <v>342.12560477453002</v>
      </c>
      <c r="J173" s="9">
        <f t="shared" si="16"/>
        <v>1686.4712667644098</v>
      </c>
      <c r="K173" s="9">
        <f t="shared" si="17"/>
        <v>342.12560477453002</v>
      </c>
      <c r="L173" s="10">
        <f t="shared" si="14"/>
        <v>0.20286476948458024</v>
      </c>
      <c r="M173" s="10">
        <f t="shared" si="18"/>
        <v>0.21495380564443831</v>
      </c>
      <c r="P173" s="8">
        <f t="shared" si="19"/>
        <v>3.3552924270350184</v>
      </c>
    </row>
    <row r="174" spans="1:16" x14ac:dyDescent="0.2">
      <c r="A174" s="8">
        <v>86</v>
      </c>
      <c r="B174" s="8">
        <v>172</v>
      </c>
      <c r="D174">
        <v>1847.0601265823</v>
      </c>
      <c r="E174">
        <v>469.07278481012997</v>
      </c>
      <c r="F174">
        <v>157.92136025504999</v>
      </c>
      <c r="G174">
        <v>125.42826780020999</v>
      </c>
      <c r="I174" s="9">
        <f t="shared" si="15"/>
        <v>343.64451700991998</v>
      </c>
      <c r="J174" s="9">
        <f t="shared" si="16"/>
        <v>1689.1387663272499</v>
      </c>
      <c r="K174" s="9">
        <f t="shared" si="17"/>
        <v>343.64451700991998</v>
      </c>
      <c r="L174" s="10">
        <f t="shared" si="14"/>
        <v>0.2034436269301412</v>
      </c>
      <c r="M174" s="10">
        <f t="shared" si="18"/>
        <v>0.2156033592078932</v>
      </c>
      <c r="P174" s="8">
        <f t="shared" si="19"/>
        <v>3.6676144084794999</v>
      </c>
    </row>
    <row r="175" spans="1:16" x14ac:dyDescent="0.2">
      <c r="A175" s="8">
        <v>86.5</v>
      </c>
      <c r="B175" s="8">
        <v>173</v>
      </c>
      <c r="D175">
        <v>1846.1371308017001</v>
      </c>
      <c r="E175">
        <v>468.72573839661999</v>
      </c>
      <c r="F175">
        <v>158.43145589797999</v>
      </c>
      <c r="G175">
        <v>126.37407013815</v>
      </c>
      <c r="I175" s="9">
        <f t="shared" si="15"/>
        <v>342.35166825847</v>
      </c>
      <c r="J175" s="9">
        <f t="shared" si="16"/>
        <v>1687.7056749037201</v>
      </c>
      <c r="K175" s="9">
        <f t="shared" si="17"/>
        <v>342.35166825847</v>
      </c>
      <c r="L175" s="10">
        <f t="shared" si="14"/>
        <v>0.20285033898342517</v>
      </c>
      <c r="M175" s="10">
        <f t="shared" si="18"/>
        <v>0.21508076737907106</v>
      </c>
      <c r="P175" s="8">
        <f t="shared" si="19"/>
        <v>3.41633887918166</v>
      </c>
    </row>
    <row r="176" spans="1:16" x14ac:dyDescent="0.2">
      <c r="A176" s="8">
        <v>87</v>
      </c>
      <c r="B176" s="8">
        <v>174</v>
      </c>
      <c r="D176">
        <v>1846.0569620253</v>
      </c>
      <c r="E176">
        <v>468.08755274262001</v>
      </c>
      <c r="F176">
        <v>157.87672688628999</v>
      </c>
      <c r="G176">
        <v>125.66312433581</v>
      </c>
      <c r="I176" s="9">
        <f t="shared" si="15"/>
        <v>342.42442840681002</v>
      </c>
      <c r="J176" s="9">
        <f t="shared" si="16"/>
        <v>1688.1802351390099</v>
      </c>
      <c r="K176" s="9">
        <f t="shared" si="17"/>
        <v>342.42442840681002</v>
      </c>
      <c r="L176" s="10">
        <f t="shared" si="14"/>
        <v>0.20283641596989421</v>
      </c>
      <c r="M176" s="10">
        <f t="shared" si="18"/>
        <v>0.215137540483434</v>
      </c>
      <c r="P176" s="8">
        <f t="shared" si="19"/>
        <v>3.4436368411127405</v>
      </c>
    </row>
    <row r="177" spans="1:16" x14ac:dyDescent="0.2">
      <c r="A177" s="8">
        <v>87.5</v>
      </c>
      <c r="B177" s="8">
        <v>175</v>
      </c>
      <c r="D177">
        <v>1846.1002109705</v>
      </c>
      <c r="E177">
        <v>468.52215189872999</v>
      </c>
      <c r="F177">
        <v>157.56535600424999</v>
      </c>
      <c r="G177">
        <v>125.79596174283</v>
      </c>
      <c r="I177" s="9">
        <f t="shared" si="15"/>
        <v>342.72619015589999</v>
      </c>
      <c r="J177" s="9">
        <f t="shared" si="16"/>
        <v>1688.5348549662501</v>
      </c>
      <c r="K177" s="9">
        <f t="shared" si="17"/>
        <v>342.72619015589999</v>
      </c>
      <c r="L177" s="10">
        <f t="shared" si="14"/>
        <v>0.2029725292006189</v>
      </c>
      <c r="M177" s="10">
        <f t="shared" si="18"/>
        <v>0.21534434983205261</v>
      </c>
      <c r="P177" s="8">
        <f t="shared" si="19"/>
        <v>3.5430760701091217</v>
      </c>
    </row>
    <row r="178" spans="1:16" x14ac:dyDescent="0.2">
      <c r="A178" s="8">
        <v>88</v>
      </c>
      <c r="B178" s="8">
        <v>176</v>
      </c>
      <c r="D178">
        <v>1847.8829113924</v>
      </c>
      <c r="E178">
        <v>469.39556962025</v>
      </c>
      <c r="F178">
        <v>157.34325185972</v>
      </c>
      <c r="G178">
        <v>126.55047821466999</v>
      </c>
      <c r="I178" s="9">
        <f t="shared" si="15"/>
        <v>342.84509140557998</v>
      </c>
      <c r="J178" s="9">
        <f t="shared" si="16"/>
        <v>1690.5396595326802</v>
      </c>
      <c r="K178" s="9">
        <f t="shared" si="17"/>
        <v>342.84509140557998</v>
      </c>
      <c r="L178" s="10">
        <f t="shared" si="14"/>
        <v>0.20280215815839153</v>
      </c>
      <c r="M178" s="10">
        <f t="shared" si="18"/>
        <v>0.21524467490771915</v>
      </c>
      <c r="P178" s="8">
        <f t="shared" si="19"/>
        <v>3.4951498148784115</v>
      </c>
    </row>
    <row r="179" spans="1:16" x14ac:dyDescent="0.2">
      <c r="A179" s="8">
        <v>88.5</v>
      </c>
      <c r="B179" s="8">
        <v>177</v>
      </c>
      <c r="D179">
        <v>1850.2341772151999</v>
      </c>
      <c r="E179">
        <v>468.79852320675002</v>
      </c>
      <c r="F179">
        <v>156.93836344315</v>
      </c>
      <c r="G179">
        <v>126.40276301807</v>
      </c>
      <c r="I179" s="9">
        <f t="shared" si="15"/>
        <v>342.39576018868001</v>
      </c>
      <c r="J179" s="9">
        <f t="shared" si="16"/>
        <v>1693.29581377205</v>
      </c>
      <c r="K179" s="9">
        <f t="shared" si="17"/>
        <v>342.39576018868001</v>
      </c>
      <c r="L179" s="10">
        <f t="shared" si="14"/>
        <v>0.20220670092247275</v>
      </c>
      <c r="M179" s="10">
        <f t="shared" si="18"/>
        <v>0.21471991378969427</v>
      </c>
      <c r="P179" s="8">
        <f t="shared" si="19"/>
        <v>3.2428312357995459</v>
      </c>
    </row>
    <row r="180" spans="1:16" x14ac:dyDescent="0.2">
      <c r="A180" s="8">
        <v>89</v>
      </c>
      <c r="B180" s="8">
        <v>178</v>
      </c>
      <c r="D180">
        <v>1849.3586497890001</v>
      </c>
      <c r="E180">
        <v>470.83755274262001</v>
      </c>
      <c r="F180">
        <v>157.65993623804999</v>
      </c>
      <c r="G180">
        <v>125.92561105207</v>
      </c>
      <c r="I180" s="9">
        <f t="shared" si="15"/>
        <v>344.91194169055001</v>
      </c>
      <c r="J180" s="9">
        <f t="shared" si="16"/>
        <v>1691.6987135509501</v>
      </c>
      <c r="K180" s="9">
        <f t="shared" si="17"/>
        <v>344.91194169055001</v>
      </c>
      <c r="L180" s="10">
        <f t="shared" si="14"/>
        <v>0.20388497013547091</v>
      </c>
      <c r="M180" s="10">
        <f t="shared" si="18"/>
        <v>0.21646887912058635</v>
      </c>
      <c r="P180" s="8">
        <f t="shared" si="19"/>
        <v>4.0837785392313624</v>
      </c>
    </row>
    <row r="181" spans="1:16" x14ac:dyDescent="0.2">
      <c r="A181" s="8">
        <v>89.5</v>
      </c>
      <c r="B181" s="8">
        <v>179</v>
      </c>
      <c r="D181">
        <v>1848.5021097045999</v>
      </c>
      <c r="E181">
        <v>469.52215189872999</v>
      </c>
      <c r="F181">
        <v>158.97980871413</v>
      </c>
      <c r="G181">
        <v>126.03081827843</v>
      </c>
      <c r="I181" s="9">
        <f t="shared" si="15"/>
        <v>343.4913336203</v>
      </c>
      <c r="J181" s="9">
        <f t="shared" si="16"/>
        <v>1689.5223009904698</v>
      </c>
      <c r="K181" s="9">
        <f t="shared" si="17"/>
        <v>343.4913336203</v>
      </c>
      <c r="L181" s="10">
        <f t="shared" si="14"/>
        <v>0.20330677696229921</v>
      </c>
      <c r="M181" s="10">
        <f t="shared" si="18"/>
        <v>0.21596138206530854</v>
      </c>
      <c r="P181" s="8">
        <f t="shared" si="19"/>
        <v>3.839760963469713</v>
      </c>
    </row>
    <row r="182" spans="1:16" x14ac:dyDescent="0.2">
      <c r="A182" s="8">
        <v>90</v>
      </c>
      <c r="B182" s="8">
        <v>180</v>
      </c>
      <c r="D182">
        <v>1848.7373417721999</v>
      </c>
      <c r="E182">
        <v>469.89556962025</v>
      </c>
      <c r="F182">
        <v>158.39319872476</v>
      </c>
      <c r="G182">
        <v>125.81083953241</v>
      </c>
      <c r="I182" s="9">
        <f t="shared" si="15"/>
        <v>344.08473008784</v>
      </c>
      <c r="J182" s="9">
        <f t="shared" si="16"/>
        <v>1690.34414304744</v>
      </c>
      <c r="K182" s="9">
        <f t="shared" si="17"/>
        <v>344.08473008784</v>
      </c>
      <c r="L182" s="10">
        <f t="shared" si="14"/>
        <v>0.20355898028404218</v>
      </c>
      <c r="M182" s="10">
        <f>L182+ABS($N$2)*A182</f>
        <v>0.21628428150494541</v>
      </c>
      <c r="P182" s="8">
        <f t="shared" si="19"/>
        <v>3.9950192800561064</v>
      </c>
    </row>
    <row r="183" spans="1:16" x14ac:dyDescent="0.2">
      <c r="A183" s="8">
        <v>90.5</v>
      </c>
      <c r="B183" s="8">
        <v>181</v>
      </c>
      <c r="D183">
        <v>1853.7805907172999</v>
      </c>
      <c r="E183">
        <v>468.83544303797999</v>
      </c>
      <c r="F183">
        <v>157.44208289054001</v>
      </c>
      <c r="G183">
        <v>126.02125398512</v>
      </c>
      <c r="I183" s="9">
        <f t="shared" si="15"/>
        <v>342.81418905286</v>
      </c>
      <c r="J183" s="9">
        <f t="shared" si="16"/>
        <v>1696.33850782676</v>
      </c>
      <c r="K183" s="9">
        <f t="shared" si="17"/>
        <v>342.81418905286</v>
      </c>
      <c r="L183" s="10">
        <f t="shared" si="14"/>
        <v>0.20209067203930395</v>
      </c>
      <c r="M183" s="10">
        <f t="shared" ref="M183:M241" si="20">L183+ABS($N$2)*A183</f>
        <v>0.21488666937810111</v>
      </c>
      <c r="P183" s="8">
        <f t="shared" si="19"/>
        <v>3.3230115915367247</v>
      </c>
    </row>
    <row r="184" spans="1:16" x14ac:dyDescent="0.2">
      <c r="A184" s="8">
        <v>91</v>
      </c>
      <c r="B184" s="8">
        <v>182</v>
      </c>
      <c r="D184">
        <v>1852.9113924051001</v>
      </c>
      <c r="E184">
        <v>471.03797468354003</v>
      </c>
      <c r="F184">
        <v>157.71094580234001</v>
      </c>
      <c r="G184">
        <v>125.45802337937999</v>
      </c>
      <c r="I184" s="9">
        <f t="shared" si="15"/>
        <v>345.57995130416003</v>
      </c>
      <c r="J184" s="9">
        <f t="shared" si="16"/>
        <v>1695.2004466027602</v>
      </c>
      <c r="K184" s="9">
        <f t="shared" si="17"/>
        <v>345.57995130416003</v>
      </c>
      <c r="L184" s="10">
        <f t="shared" si="14"/>
        <v>0.20385786943173245</v>
      </c>
      <c r="M184" s="10">
        <f t="shared" si="20"/>
        <v>0.21672456288842351</v>
      </c>
      <c r="P184" s="8">
        <f t="shared" si="19"/>
        <v>4.206717840140362</v>
      </c>
    </row>
    <row r="185" spans="1:16" x14ac:dyDescent="0.2">
      <c r="A185" s="8">
        <v>91.5</v>
      </c>
      <c r="B185" s="8">
        <v>183</v>
      </c>
      <c r="D185">
        <v>1854.5232067510999</v>
      </c>
      <c r="E185">
        <v>469.92194092826998</v>
      </c>
      <c r="F185">
        <v>158.08607863975001</v>
      </c>
      <c r="G185">
        <v>125.93730074389001</v>
      </c>
      <c r="I185" s="9">
        <f t="shared" si="15"/>
        <v>343.98464018437994</v>
      </c>
      <c r="J185" s="9">
        <f t="shared" si="16"/>
        <v>1696.4371281113499</v>
      </c>
      <c r="K185" s="9">
        <f t="shared" si="17"/>
        <v>343.98464018437994</v>
      </c>
      <c r="L185" s="10">
        <f t="shared" si="14"/>
        <v>0.20276887040743996</v>
      </c>
      <c r="M185" s="10">
        <f t="shared" si="20"/>
        <v>0.21570625998202492</v>
      </c>
      <c r="P185" s="8">
        <f t="shared" si="19"/>
        <v>3.7170917348728016</v>
      </c>
    </row>
    <row r="186" spans="1:16" x14ac:dyDescent="0.2">
      <c r="A186" s="8">
        <v>92</v>
      </c>
      <c r="B186" s="8">
        <v>184</v>
      </c>
      <c r="D186">
        <v>1857.3786919831</v>
      </c>
      <c r="E186">
        <v>469.72257383966001</v>
      </c>
      <c r="F186">
        <v>157.5568544102</v>
      </c>
      <c r="G186">
        <v>125.76301806588999</v>
      </c>
      <c r="I186" s="9">
        <f t="shared" si="15"/>
        <v>343.95955577377003</v>
      </c>
      <c r="J186" s="9">
        <f t="shared" si="16"/>
        <v>1699.8218375729</v>
      </c>
      <c r="K186" s="9">
        <f t="shared" si="17"/>
        <v>343.95955577377003</v>
      </c>
      <c r="L186" s="10">
        <f t="shared" si="14"/>
        <v>0.20235035706147569</v>
      </c>
      <c r="M186" s="10">
        <f t="shared" si="20"/>
        <v>0.21535844275395458</v>
      </c>
      <c r="P186" s="8">
        <f t="shared" si="19"/>
        <v>3.5498523077289312</v>
      </c>
    </row>
    <row r="187" spans="1:16" x14ac:dyDescent="0.2">
      <c r="A187" s="8">
        <v>92.5</v>
      </c>
      <c r="B187" s="8">
        <v>185</v>
      </c>
      <c r="D187">
        <v>1858.3196202531999</v>
      </c>
      <c r="E187">
        <v>470.24472573840001</v>
      </c>
      <c r="F187">
        <v>157.98831030817999</v>
      </c>
      <c r="G187">
        <v>125.94048884166</v>
      </c>
      <c r="I187" s="9">
        <f t="shared" si="15"/>
        <v>344.30423689674001</v>
      </c>
      <c r="J187" s="9">
        <f t="shared" si="16"/>
        <v>1700.3313099450199</v>
      </c>
      <c r="K187" s="9">
        <f t="shared" si="17"/>
        <v>344.30423689674001</v>
      </c>
      <c r="L187" s="10">
        <f t="shared" si="14"/>
        <v>0.20249244066903235</v>
      </c>
      <c r="M187" s="10">
        <f t="shared" si="20"/>
        <v>0.21557122247940513</v>
      </c>
      <c r="P187" s="8">
        <f t="shared" si="19"/>
        <v>3.6521622467437536</v>
      </c>
    </row>
    <row r="188" spans="1:16" x14ac:dyDescent="0.2">
      <c r="A188" s="8">
        <v>93</v>
      </c>
      <c r="B188" s="8">
        <v>186</v>
      </c>
      <c r="D188">
        <v>1853.8734177214999</v>
      </c>
      <c r="E188">
        <v>471.86603375527</v>
      </c>
      <c r="F188">
        <v>157.00637619554001</v>
      </c>
      <c r="G188">
        <v>126.36875664186999</v>
      </c>
      <c r="I188" s="9">
        <f t="shared" si="15"/>
        <v>345.4972771134</v>
      </c>
      <c r="J188" s="9">
        <f t="shared" si="16"/>
        <v>1696.8670415259598</v>
      </c>
      <c r="K188" s="9">
        <f t="shared" si="17"/>
        <v>345.4972771134</v>
      </c>
      <c r="L188" s="10">
        <f t="shared" si="14"/>
        <v>0.20360892672103581</v>
      </c>
      <c r="M188" s="10">
        <f t="shared" si="20"/>
        <v>0.21675840464930249</v>
      </c>
      <c r="P188" s="8">
        <f t="shared" si="19"/>
        <v>4.2229898250973434</v>
      </c>
    </row>
    <row r="189" spans="1:16" x14ac:dyDescent="0.2">
      <c r="A189" s="8">
        <v>93.5</v>
      </c>
      <c r="B189" s="8">
        <v>187</v>
      </c>
      <c r="D189">
        <v>1856.7679324895</v>
      </c>
      <c r="E189">
        <v>474.49578059072002</v>
      </c>
      <c r="F189">
        <v>157.49521785335</v>
      </c>
      <c r="G189">
        <v>126.02869287992</v>
      </c>
      <c r="I189" s="9">
        <f t="shared" si="15"/>
        <v>348.4670877108</v>
      </c>
      <c r="J189" s="9">
        <f t="shared" si="16"/>
        <v>1699.2727146361501</v>
      </c>
      <c r="K189" s="9">
        <f t="shared" si="17"/>
        <v>348.4670877108</v>
      </c>
      <c r="L189" s="10">
        <f t="shared" si="14"/>
        <v>0.20506837113865747</v>
      </c>
      <c r="M189" s="10">
        <f t="shared" si="20"/>
        <v>0.21828854518481808</v>
      </c>
      <c r="P189" s="8">
        <f t="shared" si="19"/>
        <v>4.9587205651442146</v>
      </c>
    </row>
    <row r="190" spans="1:16" x14ac:dyDescent="0.2">
      <c r="A190" s="8">
        <v>94</v>
      </c>
      <c r="B190" s="8">
        <v>188</v>
      </c>
      <c r="D190">
        <v>1857.9862869198</v>
      </c>
      <c r="E190">
        <v>471.83966244726003</v>
      </c>
      <c r="F190">
        <v>157.40170031880999</v>
      </c>
      <c r="G190">
        <v>125.63549415515</v>
      </c>
      <c r="I190" s="9">
        <f t="shared" si="15"/>
        <v>346.20416829211001</v>
      </c>
      <c r="J190" s="9">
        <f t="shared" si="16"/>
        <v>1700.58458660099</v>
      </c>
      <c r="K190" s="9">
        <f t="shared" si="17"/>
        <v>346.20416829211001</v>
      </c>
      <c r="L190" s="10">
        <f t="shared" si="14"/>
        <v>0.20357950496545354</v>
      </c>
      <c r="M190" s="10">
        <f t="shared" si="20"/>
        <v>0.21687037512950805</v>
      </c>
      <c r="P190" s="8">
        <f t="shared" si="19"/>
        <v>4.2768280983493367</v>
      </c>
    </row>
    <row r="191" spans="1:16" x14ac:dyDescent="0.2">
      <c r="A191" s="8">
        <v>94.5</v>
      </c>
      <c r="B191" s="8">
        <v>189</v>
      </c>
      <c r="D191">
        <v>1854.9229957806001</v>
      </c>
      <c r="E191">
        <v>472.59282700422</v>
      </c>
      <c r="F191">
        <v>157.24867162593</v>
      </c>
      <c r="G191">
        <v>126.28374070138</v>
      </c>
      <c r="I191" s="9">
        <f t="shared" si="15"/>
        <v>346.30908630284</v>
      </c>
      <c r="J191" s="9">
        <f t="shared" si="16"/>
        <v>1697.6743241546701</v>
      </c>
      <c r="K191" s="9">
        <f t="shared" si="17"/>
        <v>346.30908630284</v>
      </c>
      <c r="L191" s="10">
        <f t="shared" si="14"/>
        <v>0.20399029506161559</v>
      </c>
      <c r="M191" s="10">
        <f t="shared" si="20"/>
        <v>0.21735186134356399</v>
      </c>
      <c r="P191" s="8">
        <f t="shared" si="19"/>
        <v>4.5083389957914344</v>
      </c>
    </row>
    <row r="192" spans="1:16" x14ac:dyDescent="0.2">
      <c r="A192" s="8">
        <v>95</v>
      </c>
      <c r="B192" s="8">
        <v>190</v>
      </c>
      <c r="D192">
        <v>1856.1402953587001</v>
      </c>
      <c r="E192">
        <v>470.03797468354003</v>
      </c>
      <c r="F192">
        <v>157.04888416578001</v>
      </c>
      <c r="G192">
        <v>125.98618490967</v>
      </c>
      <c r="I192" s="9">
        <f t="shared" si="15"/>
        <v>344.05178977387004</v>
      </c>
      <c r="J192" s="9">
        <f t="shared" si="16"/>
        <v>1699.0914111929201</v>
      </c>
      <c r="K192" s="9">
        <f t="shared" si="17"/>
        <v>344.05178977387004</v>
      </c>
      <c r="L192" s="10">
        <f t="shared" si="14"/>
        <v>0.20249163023684152</v>
      </c>
      <c r="M192" s="10">
        <f t="shared" si="20"/>
        <v>0.21592389263668382</v>
      </c>
      <c r="P192" s="8">
        <f t="shared" si="19"/>
        <v>3.8217350864827297</v>
      </c>
    </row>
    <row r="193" spans="1:16" x14ac:dyDescent="0.2">
      <c r="A193" s="8">
        <v>95.5</v>
      </c>
      <c r="B193" s="8">
        <v>191</v>
      </c>
      <c r="D193">
        <v>1859.6075949367</v>
      </c>
      <c r="E193">
        <v>472.65822784810001</v>
      </c>
      <c r="F193">
        <v>156.78320935175</v>
      </c>
      <c r="G193">
        <v>125.57492029756</v>
      </c>
      <c r="I193" s="9">
        <f t="shared" si="15"/>
        <v>347.08330755053998</v>
      </c>
      <c r="J193" s="9">
        <f t="shared" si="16"/>
        <v>1702.8243855849501</v>
      </c>
      <c r="K193" s="9">
        <f t="shared" si="17"/>
        <v>347.08330755053998</v>
      </c>
      <c r="L193" s="10">
        <f t="shared" si="14"/>
        <v>0.2038280109732577</v>
      </c>
      <c r="M193" s="10">
        <f t="shared" si="20"/>
        <v>0.21733096949099392</v>
      </c>
      <c r="P193" s="8">
        <f t="shared" si="19"/>
        <v>4.4982936582583388</v>
      </c>
    </row>
    <row r="194" spans="1:16" x14ac:dyDescent="0.2">
      <c r="A194" s="8">
        <v>96</v>
      </c>
      <c r="B194" s="8">
        <v>192</v>
      </c>
      <c r="D194">
        <v>1856.5875527426001</v>
      </c>
      <c r="E194">
        <v>471.90611814345999</v>
      </c>
      <c r="F194">
        <v>156.95855472900999</v>
      </c>
      <c r="G194">
        <v>125.57173219979001</v>
      </c>
      <c r="I194" s="9">
        <f t="shared" si="15"/>
        <v>346.33438594366999</v>
      </c>
      <c r="J194" s="9">
        <f t="shared" si="16"/>
        <v>1699.62899801359</v>
      </c>
      <c r="K194" s="9">
        <f t="shared" si="17"/>
        <v>346.33438594366999</v>
      </c>
      <c r="L194" s="10">
        <f t="shared" ref="L194:L257" si="21">K194/J194</f>
        <v>0.20377057954909095</v>
      </c>
      <c r="M194" s="10">
        <f t="shared" si="20"/>
        <v>0.21734423418472107</v>
      </c>
      <c r="P194" s="8">
        <f t="shared" si="19"/>
        <v>4.5046716625696082</v>
      </c>
    </row>
    <row r="195" spans="1:16" x14ac:dyDescent="0.2">
      <c r="A195" s="8">
        <v>96.5</v>
      </c>
      <c r="B195" s="8">
        <v>193</v>
      </c>
      <c r="D195">
        <v>1858.0305907172999</v>
      </c>
      <c r="E195">
        <v>473.78059071730002</v>
      </c>
      <c r="F195">
        <v>157.20935175344999</v>
      </c>
      <c r="G195">
        <v>125.56641870351</v>
      </c>
      <c r="I195" s="9">
        <f t="shared" ref="I195:I241" si="22">E195-G195</f>
        <v>348.21417201379001</v>
      </c>
      <c r="J195" s="9">
        <f t="shared" ref="J195:J241" si="23">D195-F195</f>
        <v>1700.82123896385</v>
      </c>
      <c r="K195" s="9">
        <f t="shared" ref="K195:K258" si="24">I195*1</f>
        <v>348.21417201379001</v>
      </c>
      <c r="L195" s="10">
        <f t="shared" si="21"/>
        <v>0.20473296313369421</v>
      </c>
      <c r="M195" s="10">
        <f t="shared" si="20"/>
        <v>0.21837731388721823</v>
      </c>
      <c r="P195" s="8">
        <f t="shared" ref="P195:P241" si="25">(M195-$O$2)/$O$2*100</f>
        <v>5.001402829677426</v>
      </c>
    </row>
    <row r="196" spans="1:16" x14ac:dyDescent="0.2">
      <c r="A196" s="8">
        <v>97</v>
      </c>
      <c r="B196" s="8">
        <v>194</v>
      </c>
      <c r="D196">
        <v>1859.6160337552999</v>
      </c>
      <c r="E196">
        <v>472.68459915611999</v>
      </c>
      <c r="F196">
        <v>156.26248671626001</v>
      </c>
      <c r="G196">
        <v>125.16790648247</v>
      </c>
      <c r="I196" s="9">
        <f t="shared" si="22"/>
        <v>347.51669267364997</v>
      </c>
      <c r="J196" s="9">
        <f t="shared" si="23"/>
        <v>1703.3535470390398</v>
      </c>
      <c r="K196" s="9">
        <f t="shared" si="24"/>
        <v>347.51669267364997</v>
      </c>
      <c r="L196" s="10">
        <f t="shared" si="21"/>
        <v>0.20401912056234156</v>
      </c>
      <c r="M196" s="10">
        <f t="shared" si="20"/>
        <v>0.21773416743375951</v>
      </c>
      <c r="P196" s="8">
        <f t="shared" si="25"/>
        <v>4.6921615507368175</v>
      </c>
    </row>
    <row r="197" spans="1:16" x14ac:dyDescent="0.2">
      <c r="A197" s="8">
        <v>97.5</v>
      </c>
      <c r="B197" s="8">
        <v>195</v>
      </c>
      <c r="D197">
        <v>1859.170886076</v>
      </c>
      <c r="E197">
        <v>474.08227848101001</v>
      </c>
      <c r="F197">
        <v>156.59829968119001</v>
      </c>
      <c r="G197">
        <v>125.92773645058</v>
      </c>
      <c r="I197" s="9">
        <f t="shared" si="22"/>
        <v>348.15454203042998</v>
      </c>
      <c r="J197" s="9">
        <f t="shared" si="23"/>
        <v>1702.5725863948101</v>
      </c>
      <c r="K197" s="9">
        <f t="shared" si="24"/>
        <v>348.15454203042998</v>
      </c>
      <c r="L197" s="10">
        <f t="shared" si="21"/>
        <v>0.20448734157504891</v>
      </c>
      <c r="M197" s="10">
        <f t="shared" si="20"/>
        <v>0.21827308456436076</v>
      </c>
      <c r="P197" s="8">
        <f t="shared" si="25"/>
        <v>4.9512867030468257</v>
      </c>
    </row>
    <row r="198" spans="1:16" x14ac:dyDescent="0.2">
      <c r="A198" s="8">
        <v>98</v>
      </c>
      <c r="B198" s="8">
        <v>196</v>
      </c>
      <c r="D198">
        <v>1856.2457805907</v>
      </c>
      <c r="E198">
        <v>472.20886075948999</v>
      </c>
      <c r="F198">
        <v>156.56323060573999</v>
      </c>
      <c r="G198">
        <v>125.79383634432</v>
      </c>
      <c r="I198" s="9">
        <f t="shared" si="22"/>
        <v>346.41502441517002</v>
      </c>
      <c r="J198" s="9">
        <f t="shared" si="23"/>
        <v>1699.6825499849599</v>
      </c>
      <c r="K198" s="9">
        <f t="shared" si="24"/>
        <v>346.41502441517002</v>
      </c>
      <c r="L198" s="10">
        <f t="shared" si="21"/>
        <v>0.20381160259498773</v>
      </c>
      <c r="M198" s="10">
        <f t="shared" si="20"/>
        <v>0.21766804170219348</v>
      </c>
      <c r="P198" s="8">
        <f t="shared" si="25"/>
        <v>4.6603666062255122</v>
      </c>
    </row>
    <row r="199" spans="1:16" x14ac:dyDescent="0.2">
      <c r="A199" s="8">
        <v>98.5</v>
      </c>
      <c r="B199" s="8">
        <v>197</v>
      </c>
      <c r="D199">
        <v>1857.5263713080001</v>
      </c>
      <c r="E199">
        <v>471.29852320675002</v>
      </c>
      <c r="F199">
        <v>156.1647183847</v>
      </c>
      <c r="G199">
        <v>125.58448459086</v>
      </c>
      <c r="I199" s="9">
        <f t="shared" si="22"/>
        <v>345.71403861588999</v>
      </c>
      <c r="J199" s="9">
        <f t="shared" si="23"/>
        <v>1701.3616529233</v>
      </c>
      <c r="K199" s="9">
        <f t="shared" si="24"/>
        <v>345.71403861588999</v>
      </c>
      <c r="L199" s="10">
        <f t="shared" si="21"/>
        <v>0.20319844286009384</v>
      </c>
      <c r="M199" s="10">
        <f t="shared" si="20"/>
        <v>0.2171255780851935</v>
      </c>
      <c r="P199" s="8">
        <f t="shared" si="25"/>
        <v>4.3995362124673276</v>
      </c>
    </row>
    <row r="200" spans="1:16" x14ac:dyDescent="0.2">
      <c r="A200" s="8">
        <v>99</v>
      </c>
      <c r="B200" s="8">
        <v>198</v>
      </c>
      <c r="D200">
        <v>1859.2299578059001</v>
      </c>
      <c r="E200">
        <v>471.82594936709</v>
      </c>
      <c r="F200">
        <v>156.47608926673999</v>
      </c>
      <c r="G200">
        <v>125.46546227418</v>
      </c>
      <c r="I200" s="9">
        <f t="shared" si="22"/>
        <v>346.36048709291003</v>
      </c>
      <c r="J200" s="9">
        <f t="shared" si="23"/>
        <v>1702.7538685391601</v>
      </c>
      <c r="K200" s="9">
        <f t="shared" si="24"/>
        <v>346.36048709291003</v>
      </c>
      <c r="L200" s="10">
        <f t="shared" si="21"/>
        <v>0.20341195136444606</v>
      </c>
      <c r="M200" s="10">
        <f t="shared" si="20"/>
        <v>0.21740978270743963</v>
      </c>
      <c r="P200" s="8">
        <f t="shared" si="25"/>
        <v>4.5361890702908916</v>
      </c>
    </row>
    <row r="201" spans="1:16" x14ac:dyDescent="0.2">
      <c r="A201" s="8">
        <v>99.5</v>
      </c>
      <c r="B201" s="8">
        <v>199</v>
      </c>
      <c r="D201">
        <v>1857.8713080169</v>
      </c>
      <c r="E201">
        <v>471.63502109705001</v>
      </c>
      <c r="F201">
        <v>156.92986184910001</v>
      </c>
      <c r="G201">
        <v>126.25504782147</v>
      </c>
      <c r="I201" s="9">
        <f t="shared" si="22"/>
        <v>345.37997327558003</v>
      </c>
      <c r="J201" s="9">
        <f t="shared" si="23"/>
        <v>1700.9414461678</v>
      </c>
      <c r="K201" s="9">
        <f t="shared" si="24"/>
        <v>345.37997327558003</v>
      </c>
      <c r="L201" s="10">
        <f t="shared" si="21"/>
        <v>0.20305224148292514</v>
      </c>
      <c r="M201" s="10">
        <f t="shared" si="20"/>
        <v>0.2171207689438126</v>
      </c>
      <c r="P201" s="8">
        <f t="shared" si="25"/>
        <v>4.3972238541805977</v>
      </c>
    </row>
    <row r="202" spans="1:16" x14ac:dyDescent="0.2">
      <c r="A202" s="8">
        <v>100</v>
      </c>
      <c r="B202" s="8">
        <v>200</v>
      </c>
      <c r="D202">
        <v>1859.6075949367</v>
      </c>
      <c r="E202">
        <v>471.80907172996001</v>
      </c>
      <c r="F202">
        <v>155.88416578107999</v>
      </c>
      <c r="G202">
        <v>125.08607863975</v>
      </c>
      <c r="I202" s="9">
        <f t="shared" si="22"/>
        <v>346.72299309021003</v>
      </c>
      <c r="J202" s="9">
        <f t="shared" si="23"/>
        <v>1703.7234291556201</v>
      </c>
      <c r="K202" s="9">
        <f t="shared" si="24"/>
        <v>346.72299309021003</v>
      </c>
      <c r="L202" s="10">
        <f t="shared" si="21"/>
        <v>0.20350896580793568</v>
      </c>
      <c r="M202" s="10">
        <f t="shared" si="20"/>
        <v>0.21764818938671707</v>
      </c>
      <c r="P202" s="8">
        <f t="shared" si="25"/>
        <v>4.6508211047385002</v>
      </c>
    </row>
    <row r="203" spans="1:16" x14ac:dyDescent="0.2">
      <c r="A203" s="8">
        <v>100.5</v>
      </c>
      <c r="B203" s="8">
        <v>201</v>
      </c>
      <c r="D203">
        <v>1856.7331223629001</v>
      </c>
      <c r="E203">
        <v>472.48628691982998</v>
      </c>
      <c r="F203">
        <v>156.52072263548999</v>
      </c>
      <c r="G203">
        <v>125.81190223167</v>
      </c>
      <c r="I203" s="9">
        <f t="shared" si="22"/>
        <v>346.67438468815999</v>
      </c>
      <c r="J203" s="9">
        <f t="shared" si="23"/>
        <v>1700.21239972741</v>
      </c>
      <c r="K203" s="9">
        <f t="shared" si="24"/>
        <v>346.67438468815999</v>
      </c>
      <c r="L203" s="10">
        <f t="shared" si="21"/>
        <v>0.2039006330878079</v>
      </c>
      <c r="M203" s="10">
        <f t="shared" si="20"/>
        <v>0.21811055278448319</v>
      </c>
      <c r="P203" s="8">
        <f t="shared" si="25"/>
        <v>4.8731372625771838</v>
      </c>
    </row>
    <row r="204" spans="1:16" x14ac:dyDescent="0.2">
      <c r="A204" s="8">
        <v>101</v>
      </c>
      <c r="B204" s="8">
        <v>202</v>
      </c>
      <c r="D204">
        <v>1855.1656118144001</v>
      </c>
      <c r="E204">
        <v>470.65506329113998</v>
      </c>
      <c r="F204">
        <v>156.49946865037001</v>
      </c>
      <c r="G204">
        <v>125.45058448459</v>
      </c>
      <c r="I204" s="9">
        <f t="shared" si="22"/>
        <v>345.20447880655001</v>
      </c>
      <c r="J204" s="9">
        <f t="shared" si="23"/>
        <v>1698.66614316403</v>
      </c>
      <c r="K204" s="9">
        <f t="shared" si="24"/>
        <v>345.20447880655001</v>
      </c>
      <c r="L204" s="10">
        <f t="shared" si="21"/>
        <v>0.20322090965064679</v>
      </c>
      <c r="M204" s="10">
        <f t="shared" si="20"/>
        <v>0.21750152546521598</v>
      </c>
      <c r="P204" s="8">
        <f t="shared" si="25"/>
        <v>4.5803013367827976</v>
      </c>
    </row>
    <row r="205" spans="1:16" x14ac:dyDescent="0.2">
      <c r="A205" s="8">
        <v>101.5</v>
      </c>
      <c r="B205" s="8">
        <v>203</v>
      </c>
      <c r="D205">
        <v>1855.5949367088999</v>
      </c>
      <c r="E205">
        <v>470.53902953586999</v>
      </c>
      <c r="F205">
        <v>156.09139213603001</v>
      </c>
      <c r="G205">
        <v>125.8958554729</v>
      </c>
      <c r="I205" s="9">
        <f t="shared" si="22"/>
        <v>344.64317406296999</v>
      </c>
      <c r="J205" s="9">
        <f t="shared" si="23"/>
        <v>1699.5035445728699</v>
      </c>
      <c r="K205" s="9">
        <f t="shared" si="24"/>
        <v>344.64317406296999</v>
      </c>
      <c r="L205" s="10">
        <f t="shared" si="21"/>
        <v>0.20279050029847859</v>
      </c>
      <c r="M205" s="10">
        <f t="shared" si="20"/>
        <v>0.2171418122309417</v>
      </c>
      <c r="P205" s="8">
        <f t="shared" si="25"/>
        <v>4.4073420053262975</v>
      </c>
    </row>
    <row r="206" spans="1:16" x14ac:dyDescent="0.2">
      <c r="A206" s="8">
        <v>102</v>
      </c>
      <c r="B206" s="8">
        <v>204</v>
      </c>
      <c r="D206">
        <v>1851.4092827003999</v>
      </c>
      <c r="E206">
        <v>471.84915611814</v>
      </c>
      <c r="F206">
        <v>156.27736450584999</v>
      </c>
      <c r="G206">
        <v>125.81827842721</v>
      </c>
      <c r="I206" s="9">
        <f t="shared" si="22"/>
        <v>346.03087769092997</v>
      </c>
      <c r="J206" s="9">
        <f t="shared" si="23"/>
        <v>1695.1319181945498</v>
      </c>
      <c r="K206" s="9">
        <f t="shared" si="24"/>
        <v>346.03087769092997</v>
      </c>
      <c r="L206" s="10">
        <f t="shared" si="21"/>
        <v>0.20413212327420532</v>
      </c>
      <c r="M206" s="10">
        <f t="shared" si="20"/>
        <v>0.21855413132456233</v>
      </c>
      <c r="P206" s="8">
        <f t="shared" si="25"/>
        <v>5.0864211799602206</v>
      </c>
    </row>
    <row r="207" spans="1:16" x14ac:dyDescent="0.2">
      <c r="A207" s="8">
        <v>102.5</v>
      </c>
      <c r="B207" s="8">
        <v>205</v>
      </c>
      <c r="D207">
        <v>1849.5559071729999</v>
      </c>
      <c r="E207">
        <v>470.6276371308</v>
      </c>
      <c r="F207">
        <v>155.72688629117999</v>
      </c>
      <c r="G207">
        <v>125.6439957492</v>
      </c>
      <c r="I207" s="9">
        <f t="shared" si="22"/>
        <v>344.98364138160002</v>
      </c>
      <c r="J207" s="9">
        <f t="shared" si="23"/>
        <v>1693.8290208818198</v>
      </c>
      <c r="K207" s="9">
        <f t="shared" si="24"/>
        <v>344.98364138160002</v>
      </c>
      <c r="L207" s="10">
        <f t="shared" si="21"/>
        <v>0.2036708765339249</v>
      </c>
      <c r="M207" s="10">
        <f t="shared" si="20"/>
        <v>0.21816358070217581</v>
      </c>
      <c r="P207" s="8">
        <f t="shared" si="25"/>
        <v>4.8986344428829103</v>
      </c>
    </row>
    <row r="208" spans="1:16" x14ac:dyDescent="0.2">
      <c r="A208" s="8">
        <v>103</v>
      </c>
      <c r="B208" s="8">
        <v>206</v>
      </c>
      <c r="D208">
        <v>1843.7879746834999</v>
      </c>
      <c r="E208">
        <v>467.47995780590998</v>
      </c>
      <c r="F208">
        <v>155.61636556854</v>
      </c>
      <c r="G208">
        <v>124.92454835282</v>
      </c>
      <c r="I208" s="9">
        <f t="shared" si="22"/>
        <v>342.55540945308996</v>
      </c>
      <c r="J208" s="9">
        <f t="shared" si="23"/>
        <v>1688.1716091149599</v>
      </c>
      <c r="K208" s="9">
        <f t="shared" si="24"/>
        <v>342.55540945308996</v>
      </c>
      <c r="L208" s="10">
        <f t="shared" si="21"/>
        <v>0.20291503991864779</v>
      </c>
      <c r="M208" s="10">
        <f t="shared" si="20"/>
        <v>0.21747844020479262</v>
      </c>
      <c r="P208" s="8">
        <f t="shared" si="25"/>
        <v>4.5692013526040718</v>
      </c>
    </row>
    <row r="209" spans="1:16" x14ac:dyDescent="0.2">
      <c r="A209" s="8">
        <v>103.5</v>
      </c>
      <c r="B209" s="8">
        <v>207</v>
      </c>
      <c r="D209">
        <v>1853.8913502109999</v>
      </c>
      <c r="E209">
        <v>470.79852320675002</v>
      </c>
      <c r="F209">
        <v>155.74920297556</v>
      </c>
      <c r="G209">
        <v>125.64718384696999</v>
      </c>
      <c r="I209" s="9">
        <f t="shared" si="22"/>
        <v>345.15133935978002</v>
      </c>
      <c r="J209" s="9">
        <f t="shared" si="23"/>
        <v>1698.14214723544</v>
      </c>
      <c r="K209" s="9">
        <f t="shared" si="24"/>
        <v>345.15133935978002</v>
      </c>
      <c r="L209" s="10">
        <f t="shared" si="21"/>
        <v>0.20325232485495001</v>
      </c>
      <c r="M209" s="10">
        <f t="shared" si="20"/>
        <v>0.21788642125898874</v>
      </c>
      <c r="P209" s="8">
        <f t="shared" si="25"/>
        <v>4.7653690875027976</v>
      </c>
    </row>
    <row r="210" spans="1:16" x14ac:dyDescent="0.2">
      <c r="A210" s="8">
        <v>104</v>
      </c>
      <c r="B210" s="8">
        <v>208</v>
      </c>
      <c r="D210">
        <v>1858.6181434599</v>
      </c>
      <c r="E210">
        <v>471.84599156118003</v>
      </c>
      <c r="F210">
        <v>156.45164718385001</v>
      </c>
      <c r="G210">
        <v>124.87353878851999</v>
      </c>
      <c r="I210" s="9">
        <f t="shared" si="22"/>
        <v>346.97245277266006</v>
      </c>
      <c r="J210" s="9">
        <f t="shared" si="23"/>
        <v>1702.1664962760501</v>
      </c>
      <c r="K210" s="9">
        <f t="shared" si="24"/>
        <v>346.97245277266006</v>
      </c>
      <c r="L210" s="10">
        <f t="shared" si="21"/>
        <v>0.20384166503791268</v>
      </c>
      <c r="M210" s="10">
        <f t="shared" si="20"/>
        <v>0.21854645755984531</v>
      </c>
      <c r="P210" s="8">
        <f t="shared" si="25"/>
        <v>5.0827314374410468</v>
      </c>
    </row>
    <row r="211" spans="1:16" x14ac:dyDescent="0.2">
      <c r="A211" s="8">
        <v>104.5</v>
      </c>
      <c r="B211" s="8">
        <v>209</v>
      </c>
      <c r="D211">
        <v>1838.7267932489999</v>
      </c>
      <c r="E211">
        <v>469.5</v>
      </c>
      <c r="F211">
        <v>156.06269925610999</v>
      </c>
      <c r="G211">
        <v>125.52072263549</v>
      </c>
      <c r="I211" s="9">
        <f t="shared" si="22"/>
        <v>343.97927736450998</v>
      </c>
      <c r="J211" s="9">
        <f t="shared" si="23"/>
        <v>1682.66409399289</v>
      </c>
      <c r="K211" s="9">
        <f t="shared" si="24"/>
        <v>343.97927736450998</v>
      </c>
      <c r="L211" s="10">
        <f t="shared" si="21"/>
        <v>0.20442539814839802</v>
      </c>
      <c r="M211" s="10">
        <f t="shared" si="20"/>
        <v>0.21920088678822458</v>
      </c>
      <c r="P211" s="8">
        <f t="shared" si="25"/>
        <v>5.3973977633949204</v>
      </c>
    </row>
    <row r="212" spans="1:16" x14ac:dyDescent="0.2">
      <c r="A212" s="8">
        <v>105</v>
      </c>
      <c r="B212" s="8">
        <v>210</v>
      </c>
      <c r="D212">
        <v>1835.9061181435</v>
      </c>
      <c r="E212">
        <v>467.84071729957998</v>
      </c>
      <c r="F212">
        <v>156.11477151966</v>
      </c>
      <c r="G212">
        <v>125.34537725824001</v>
      </c>
      <c r="I212" s="9">
        <f t="shared" si="22"/>
        <v>342.49534004134</v>
      </c>
      <c r="J212" s="9">
        <f t="shared" si="23"/>
        <v>1679.7913466238399</v>
      </c>
      <c r="K212" s="9">
        <f t="shared" si="24"/>
        <v>342.49534004134</v>
      </c>
      <c r="L212" s="10">
        <f t="shared" si="21"/>
        <v>0.20389159685202016</v>
      </c>
      <c r="M212" s="10">
        <f t="shared" si="20"/>
        <v>0.21873778160974061</v>
      </c>
      <c r="P212" s="8">
        <f t="shared" si="25"/>
        <v>5.1747249383980058</v>
      </c>
    </row>
    <row r="213" spans="1:16" x14ac:dyDescent="0.2">
      <c r="A213" s="8">
        <v>105.5</v>
      </c>
      <c r="B213" s="8">
        <v>211</v>
      </c>
      <c r="D213">
        <v>1832.1613924051001</v>
      </c>
      <c r="E213">
        <v>467.83438818565003</v>
      </c>
      <c r="F213">
        <v>156.67056323061001</v>
      </c>
      <c r="G213">
        <v>125.63124335813001</v>
      </c>
      <c r="I213" s="9">
        <f t="shared" si="22"/>
        <v>342.20314482752002</v>
      </c>
      <c r="J213" s="9">
        <f t="shared" si="23"/>
        <v>1675.49082917449</v>
      </c>
      <c r="K213" s="9">
        <f t="shared" si="24"/>
        <v>342.20314482752002</v>
      </c>
      <c r="L213" s="10">
        <f t="shared" si="21"/>
        <v>0.20424053588889091</v>
      </c>
      <c r="M213" s="10">
        <f t="shared" si="20"/>
        <v>0.21915741676450526</v>
      </c>
      <c r="P213" s="8">
        <f t="shared" si="25"/>
        <v>5.3764962631872324</v>
      </c>
    </row>
    <row r="214" spans="1:16" x14ac:dyDescent="0.2">
      <c r="A214" s="8">
        <v>106</v>
      </c>
      <c r="B214" s="8">
        <v>212</v>
      </c>
      <c r="D214">
        <v>1875.8649789030001</v>
      </c>
      <c r="E214">
        <v>473.04219409283002</v>
      </c>
      <c r="F214">
        <v>155.7215727949</v>
      </c>
      <c r="G214">
        <v>125.52922422954001</v>
      </c>
      <c r="I214" s="9">
        <f t="shared" si="22"/>
        <v>347.51296986328998</v>
      </c>
      <c r="J214" s="9">
        <f t="shared" si="23"/>
        <v>1720.1434061081</v>
      </c>
      <c r="K214" s="9">
        <f t="shared" si="24"/>
        <v>347.51296986328998</v>
      </c>
      <c r="L214" s="10">
        <f t="shared" si="21"/>
        <v>0.2020255803262086</v>
      </c>
      <c r="M214" s="10">
        <f t="shared" si="20"/>
        <v>0.21701315731971688</v>
      </c>
      <c r="P214" s="8">
        <f t="shared" si="25"/>
        <v>4.345481430530004</v>
      </c>
    </row>
    <row r="215" spans="1:16" x14ac:dyDescent="0.2">
      <c r="A215" s="8">
        <v>106.5</v>
      </c>
      <c r="B215" s="8">
        <v>213</v>
      </c>
      <c r="D215">
        <v>1843.8670886076</v>
      </c>
      <c r="E215">
        <v>470.28270042193998</v>
      </c>
      <c r="F215">
        <v>155.49096705631999</v>
      </c>
      <c r="G215">
        <v>125.43464399574999</v>
      </c>
      <c r="I215" s="9">
        <f t="shared" si="22"/>
        <v>344.84805642619</v>
      </c>
      <c r="J215" s="9">
        <f t="shared" si="23"/>
        <v>1688.37612155128</v>
      </c>
      <c r="K215" s="9">
        <f t="shared" si="24"/>
        <v>344.84805642619</v>
      </c>
      <c r="L215" s="10">
        <f t="shared" si="21"/>
        <v>0.20424836150214185</v>
      </c>
      <c r="M215" s="10">
        <f t="shared" si="20"/>
        <v>0.21930663461354402</v>
      </c>
      <c r="P215" s="8">
        <f t="shared" si="25"/>
        <v>5.4482440248818786</v>
      </c>
    </row>
    <row r="216" spans="1:16" x14ac:dyDescent="0.2">
      <c r="A216" s="8">
        <v>107</v>
      </c>
      <c r="B216" s="8">
        <v>214</v>
      </c>
      <c r="D216">
        <v>1856.1234177214999</v>
      </c>
      <c r="E216">
        <v>470.34599156118003</v>
      </c>
      <c r="F216">
        <v>156.82146652496999</v>
      </c>
      <c r="G216">
        <v>125.21360255048</v>
      </c>
      <c r="I216" s="9">
        <f t="shared" si="22"/>
        <v>345.13238901070002</v>
      </c>
      <c r="J216" s="9">
        <f t="shared" si="23"/>
        <v>1699.3019511965299</v>
      </c>
      <c r="K216" s="9">
        <f t="shared" si="24"/>
        <v>345.13238901070002</v>
      </c>
      <c r="L216" s="10">
        <f t="shared" si="21"/>
        <v>0.2031024496662773</v>
      </c>
      <c r="M216" s="10">
        <f t="shared" si="20"/>
        <v>0.21823141889557338</v>
      </c>
      <c r="P216" s="8">
        <f t="shared" si="25"/>
        <v>4.9312527828806889</v>
      </c>
    </row>
    <row r="217" spans="1:16" x14ac:dyDescent="0.2">
      <c r="A217" s="8">
        <v>107.5</v>
      </c>
      <c r="B217" s="8">
        <v>215</v>
      </c>
      <c r="D217">
        <v>1841.9672995781</v>
      </c>
      <c r="E217">
        <v>468.07383966244998</v>
      </c>
      <c r="F217">
        <v>156.27736450584999</v>
      </c>
      <c r="G217">
        <v>125.19872476089</v>
      </c>
      <c r="I217" s="9">
        <f t="shared" si="22"/>
        <v>342.87511490155998</v>
      </c>
      <c r="J217" s="9">
        <f t="shared" si="23"/>
        <v>1685.6899350722499</v>
      </c>
      <c r="K217" s="9">
        <f t="shared" si="24"/>
        <v>342.87511490155998</v>
      </c>
      <c r="L217" s="10">
        <f t="shared" si="21"/>
        <v>0.20340343011353634</v>
      </c>
      <c r="M217" s="10">
        <f t="shared" si="20"/>
        <v>0.21860309546072632</v>
      </c>
      <c r="P217" s="8">
        <f t="shared" si="25"/>
        <v>5.1099643900768932</v>
      </c>
    </row>
    <row r="218" spans="1:16" x14ac:dyDescent="0.2">
      <c r="A218" s="8">
        <v>108</v>
      </c>
      <c r="B218" s="8">
        <v>216</v>
      </c>
      <c r="D218">
        <v>1830.4156118144001</v>
      </c>
      <c r="E218">
        <v>466.93881856540003</v>
      </c>
      <c r="F218">
        <v>156.18490967055999</v>
      </c>
      <c r="G218">
        <v>125.3560042508</v>
      </c>
      <c r="I218" s="9">
        <f t="shared" si="22"/>
        <v>341.5828143146</v>
      </c>
      <c r="J218" s="9">
        <f t="shared" si="23"/>
        <v>1674.2307021438401</v>
      </c>
      <c r="K218" s="9">
        <f t="shared" si="24"/>
        <v>341.5828143146</v>
      </c>
      <c r="L218" s="10">
        <f t="shared" si="21"/>
        <v>0.20402374289111155</v>
      </c>
      <c r="M218" s="10">
        <f t="shared" si="20"/>
        <v>0.21929410435619545</v>
      </c>
      <c r="P218" s="8">
        <f t="shared" si="25"/>
        <v>5.4422191563825058</v>
      </c>
    </row>
    <row r="219" spans="1:16" x14ac:dyDescent="0.2">
      <c r="A219" s="8">
        <v>108.5</v>
      </c>
      <c r="B219" s="8">
        <v>217</v>
      </c>
      <c r="D219">
        <v>1833.0601265823</v>
      </c>
      <c r="E219">
        <v>465.04113924051001</v>
      </c>
      <c r="F219">
        <v>156.49946865037001</v>
      </c>
      <c r="G219">
        <v>125.41020191286</v>
      </c>
      <c r="I219" s="9">
        <f t="shared" si="22"/>
        <v>339.63093732765003</v>
      </c>
      <c r="J219" s="9">
        <f t="shared" si="23"/>
        <v>1676.5606579319299</v>
      </c>
      <c r="K219" s="9">
        <f t="shared" si="24"/>
        <v>339.63093732765003</v>
      </c>
      <c r="L219" s="10">
        <f t="shared" si="21"/>
        <v>0.20257599134324875</v>
      </c>
      <c r="M219" s="10">
        <f t="shared" si="20"/>
        <v>0.21791704892622654</v>
      </c>
      <c r="P219" s="8">
        <f t="shared" si="25"/>
        <v>4.78009565395846</v>
      </c>
    </row>
    <row r="220" spans="1:16" x14ac:dyDescent="0.2">
      <c r="A220" s="8">
        <v>109</v>
      </c>
      <c r="B220" s="8">
        <v>218</v>
      </c>
      <c r="D220">
        <v>1825.332278481</v>
      </c>
      <c r="E220">
        <v>464.67616033755002</v>
      </c>
      <c r="F220">
        <v>155.94048884166</v>
      </c>
      <c r="G220">
        <v>125.05100956429</v>
      </c>
      <c r="I220" s="9">
        <f t="shared" si="22"/>
        <v>339.62515077326003</v>
      </c>
      <c r="J220" s="9">
        <f t="shared" si="23"/>
        <v>1669.39178963934</v>
      </c>
      <c r="K220" s="9">
        <f t="shared" si="24"/>
        <v>339.62515077326003</v>
      </c>
      <c r="L220" s="10">
        <f t="shared" si="21"/>
        <v>0.20344244705230854</v>
      </c>
      <c r="M220" s="10">
        <f t="shared" si="20"/>
        <v>0.21885420075318024</v>
      </c>
      <c r="P220" s="8">
        <f t="shared" si="25"/>
        <v>5.2307022428157328</v>
      </c>
    </row>
    <row r="221" spans="1:16" x14ac:dyDescent="0.2">
      <c r="A221" s="8">
        <v>109.5</v>
      </c>
      <c r="B221" s="8">
        <v>219</v>
      </c>
      <c r="D221">
        <v>1815.7510548523001</v>
      </c>
      <c r="E221">
        <v>464.84388185654001</v>
      </c>
      <c r="F221">
        <v>156.03400637620001</v>
      </c>
      <c r="G221">
        <v>124.68862911796001</v>
      </c>
      <c r="I221" s="9">
        <f t="shared" si="22"/>
        <v>340.15525273857997</v>
      </c>
      <c r="J221" s="9">
        <f t="shared" si="23"/>
        <v>1659.7170484761</v>
      </c>
      <c r="K221" s="9">
        <f t="shared" si="24"/>
        <v>340.15525273857997</v>
      </c>
      <c r="L221" s="10">
        <f t="shared" si="21"/>
        <v>0.20494773675482808</v>
      </c>
      <c r="M221" s="10">
        <f t="shared" si="20"/>
        <v>0.2204301865735937</v>
      </c>
      <c r="P221" s="8">
        <f t="shared" si="25"/>
        <v>5.9884765694500315</v>
      </c>
    </row>
    <row r="222" spans="1:16" x14ac:dyDescent="0.2">
      <c r="A222" s="8">
        <v>110</v>
      </c>
      <c r="B222" s="8">
        <v>220</v>
      </c>
      <c r="D222">
        <v>1810.5042194093</v>
      </c>
      <c r="E222">
        <v>460.72362869198002</v>
      </c>
      <c r="F222">
        <v>155.61530286928999</v>
      </c>
      <c r="G222">
        <v>125.11264612114999</v>
      </c>
      <c r="I222" s="9">
        <f t="shared" si="22"/>
        <v>335.61098257083006</v>
      </c>
      <c r="J222" s="9">
        <f t="shared" si="23"/>
        <v>1654.8889165400101</v>
      </c>
      <c r="K222" s="9">
        <f t="shared" si="24"/>
        <v>335.61098257083006</v>
      </c>
      <c r="L222" s="10">
        <f t="shared" si="21"/>
        <v>0.20279970408679454</v>
      </c>
      <c r="M222" s="10">
        <f t="shared" si="20"/>
        <v>0.21835285002345406</v>
      </c>
      <c r="P222" s="8">
        <f t="shared" si="25"/>
        <v>4.9896399777211142</v>
      </c>
    </row>
    <row r="223" spans="1:16" x14ac:dyDescent="0.2">
      <c r="A223" s="8">
        <v>110.5</v>
      </c>
      <c r="B223" s="8">
        <v>221</v>
      </c>
      <c r="D223">
        <v>1765.0126715945</v>
      </c>
      <c r="E223">
        <v>454.13938753960002</v>
      </c>
      <c r="F223">
        <v>155.36769394261</v>
      </c>
      <c r="G223">
        <v>125.28480340064</v>
      </c>
      <c r="I223" s="9">
        <f t="shared" si="22"/>
        <v>328.85458413896004</v>
      </c>
      <c r="J223" s="9">
        <f t="shared" si="23"/>
        <v>1609.64497765189</v>
      </c>
      <c r="K223" s="9">
        <f t="shared" si="24"/>
        <v>328.85458413896004</v>
      </c>
      <c r="L223" s="10">
        <f t="shared" si="21"/>
        <v>0.20430255659150684</v>
      </c>
      <c r="M223" s="10">
        <f t="shared" si="20"/>
        <v>0.21992639864606026</v>
      </c>
      <c r="P223" s="8">
        <f t="shared" si="25"/>
        <v>5.7462424372590508</v>
      </c>
    </row>
    <row r="224" spans="1:16" x14ac:dyDescent="0.2">
      <c r="A224" s="8">
        <v>111</v>
      </c>
      <c r="B224" s="8">
        <v>222</v>
      </c>
      <c r="D224">
        <v>1799.0295670539001</v>
      </c>
      <c r="E224">
        <v>456.53009503696001</v>
      </c>
      <c r="F224">
        <v>155.81190223166999</v>
      </c>
      <c r="G224">
        <v>125.62592986185</v>
      </c>
      <c r="I224" s="9">
        <f t="shared" si="22"/>
        <v>330.90416517510999</v>
      </c>
      <c r="J224" s="9">
        <f t="shared" si="23"/>
        <v>1643.2176648222301</v>
      </c>
      <c r="K224" s="9">
        <f t="shared" si="24"/>
        <v>330.90416517510999</v>
      </c>
      <c r="L224" s="10">
        <f t="shared" si="21"/>
        <v>0.20137573509527026</v>
      </c>
      <c r="M224" s="10">
        <f t="shared" si="20"/>
        <v>0.21707027326771761</v>
      </c>
      <c r="P224" s="8">
        <f t="shared" si="25"/>
        <v>4.3729442404586987</v>
      </c>
    </row>
    <row r="225" spans="1:16" x14ac:dyDescent="0.2">
      <c r="A225" s="8">
        <v>111.5</v>
      </c>
      <c r="B225" s="8">
        <v>223</v>
      </c>
      <c r="D225">
        <v>1765.7079831932999</v>
      </c>
      <c r="E225">
        <v>450.92647058824002</v>
      </c>
      <c r="F225">
        <v>155.51222104145</v>
      </c>
      <c r="G225">
        <v>124.80340063762</v>
      </c>
      <c r="I225" s="9">
        <f t="shared" si="22"/>
        <v>326.12306995061999</v>
      </c>
      <c r="J225" s="9">
        <f t="shared" si="23"/>
        <v>1610.19576215185</v>
      </c>
      <c r="K225" s="9">
        <f t="shared" si="24"/>
        <v>326.12306995061999</v>
      </c>
      <c r="L225" s="10">
        <f t="shared" si="21"/>
        <v>0.20253628634247073</v>
      </c>
      <c r="M225" s="10">
        <f t="shared" si="20"/>
        <v>0.21830152063281197</v>
      </c>
      <c r="P225" s="8">
        <f t="shared" si="25"/>
        <v>4.9649594927024383</v>
      </c>
    </row>
    <row r="226" spans="1:16" x14ac:dyDescent="0.2">
      <c r="A226" s="8">
        <v>112</v>
      </c>
      <c r="B226" s="8">
        <v>224</v>
      </c>
      <c r="D226">
        <v>1759.0399159664</v>
      </c>
      <c r="E226">
        <v>449.46533613445001</v>
      </c>
      <c r="F226">
        <v>155.10095642933001</v>
      </c>
      <c r="G226">
        <v>125.11689691817</v>
      </c>
      <c r="I226" s="9">
        <f t="shared" si="22"/>
        <v>324.34843921627998</v>
      </c>
      <c r="J226" s="9">
        <f t="shared" si="23"/>
        <v>1603.9389595370701</v>
      </c>
      <c r="K226" s="9">
        <f t="shared" si="24"/>
        <v>324.34843921627998</v>
      </c>
      <c r="L226" s="10">
        <f t="shared" si="21"/>
        <v>0.20221993941084493</v>
      </c>
      <c r="M226" s="10">
        <f t="shared" si="20"/>
        <v>0.21805586981908007</v>
      </c>
      <c r="P226" s="8">
        <f t="shared" si="25"/>
        <v>4.8468442929641427</v>
      </c>
    </row>
    <row r="227" spans="1:16" x14ac:dyDescent="0.2">
      <c r="A227" s="8">
        <v>112.5</v>
      </c>
      <c r="B227" s="8">
        <v>225</v>
      </c>
      <c r="D227">
        <v>1763.3298319328001</v>
      </c>
      <c r="E227">
        <v>447.24789915965999</v>
      </c>
      <c r="F227">
        <v>155.07438894793</v>
      </c>
      <c r="G227">
        <v>124.95430393199</v>
      </c>
      <c r="I227" s="9">
        <f t="shared" si="22"/>
        <v>322.29359522766998</v>
      </c>
      <c r="J227" s="9">
        <f t="shared" si="23"/>
        <v>1608.2554429848701</v>
      </c>
      <c r="K227" s="9">
        <f t="shared" si="24"/>
        <v>322.29359522766998</v>
      </c>
      <c r="L227" s="10">
        <f t="shared" si="21"/>
        <v>0.20039950533573417</v>
      </c>
      <c r="M227" s="10">
        <f t="shared" si="20"/>
        <v>0.21630613186186323</v>
      </c>
      <c r="P227" s="8">
        <f t="shared" si="25"/>
        <v>4.0055254910166687</v>
      </c>
    </row>
    <row r="228" spans="1:16" x14ac:dyDescent="0.2">
      <c r="A228" s="8">
        <v>113</v>
      </c>
      <c r="B228" s="8">
        <v>226</v>
      </c>
      <c r="D228">
        <v>1773.5588235293999</v>
      </c>
      <c r="E228">
        <v>447.45063025209998</v>
      </c>
      <c r="F228">
        <v>155.44633368756999</v>
      </c>
      <c r="G228">
        <v>125.24017003188</v>
      </c>
      <c r="I228" s="9">
        <f t="shared" si="22"/>
        <v>322.21046022022</v>
      </c>
      <c r="J228" s="9">
        <f t="shared" si="23"/>
        <v>1618.11248984183</v>
      </c>
      <c r="K228" s="9">
        <f t="shared" si="24"/>
        <v>322.21046022022</v>
      </c>
      <c r="L228" s="10">
        <f t="shared" si="21"/>
        <v>0.19912735501579126</v>
      </c>
      <c r="M228" s="10">
        <f t="shared" si="20"/>
        <v>0.21510467765981423</v>
      </c>
      <c r="P228" s="8">
        <f t="shared" si="25"/>
        <v>3.4278355542501178</v>
      </c>
    </row>
    <row r="229" spans="1:16" x14ac:dyDescent="0.2">
      <c r="A229" s="8">
        <v>113.5</v>
      </c>
      <c r="B229" s="8">
        <v>227</v>
      </c>
      <c r="D229">
        <v>1762.8109243698</v>
      </c>
      <c r="E229">
        <v>445.11659663865998</v>
      </c>
      <c r="F229">
        <v>155.73007438894999</v>
      </c>
      <c r="G229">
        <v>125.14346439958</v>
      </c>
      <c r="I229" s="9">
        <f t="shared" si="22"/>
        <v>319.97313223907997</v>
      </c>
      <c r="J229" s="9">
        <f t="shared" si="23"/>
        <v>1607.08084998085</v>
      </c>
      <c r="K229" s="9">
        <f t="shared" si="24"/>
        <v>319.97313223907997</v>
      </c>
      <c r="L229" s="10">
        <f t="shared" si="21"/>
        <v>0.19910207519608786</v>
      </c>
      <c r="M229" s="10">
        <f t="shared" si="20"/>
        <v>0.21515009395800472</v>
      </c>
      <c r="P229" s="8">
        <f t="shared" si="25"/>
        <v>3.4496728730468655</v>
      </c>
    </row>
    <row r="230" spans="1:16" x14ac:dyDescent="0.2">
      <c r="A230" s="8">
        <v>114</v>
      </c>
      <c r="B230" s="8">
        <v>228</v>
      </c>
      <c r="D230">
        <v>1761.4789915966001</v>
      </c>
      <c r="E230">
        <v>442.86869747898999</v>
      </c>
      <c r="F230">
        <v>155.85334750266</v>
      </c>
      <c r="G230">
        <v>125.02763018066</v>
      </c>
      <c r="I230" s="9">
        <f t="shared" si="22"/>
        <v>317.84106729833002</v>
      </c>
      <c r="J230" s="9">
        <f t="shared" si="23"/>
        <v>1605.6256440939401</v>
      </c>
      <c r="K230" s="9">
        <f t="shared" si="24"/>
        <v>317.84106729833002</v>
      </c>
      <c r="L230" s="10">
        <f t="shared" si="21"/>
        <v>0.19795465304597124</v>
      </c>
      <c r="M230" s="10">
        <f t="shared" si="20"/>
        <v>0.21407336792578202</v>
      </c>
      <c r="P230" s="8">
        <f t="shared" si="25"/>
        <v>2.9319554332902587</v>
      </c>
    </row>
    <row r="231" spans="1:16" x14ac:dyDescent="0.2">
      <c r="A231" s="8">
        <v>114.5</v>
      </c>
      <c r="B231" s="8">
        <v>229</v>
      </c>
      <c r="D231">
        <v>1771.1890756303001</v>
      </c>
      <c r="E231">
        <v>444.52415966387002</v>
      </c>
      <c r="F231">
        <v>155.30180658873999</v>
      </c>
      <c r="G231">
        <v>124.84590860786</v>
      </c>
      <c r="I231" s="9">
        <f t="shared" si="22"/>
        <v>319.67825105601003</v>
      </c>
      <c r="J231" s="9">
        <f t="shared" si="23"/>
        <v>1615.8872690415601</v>
      </c>
      <c r="K231" s="9">
        <f t="shared" si="24"/>
        <v>319.67825105601003</v>
      </c>
      <c r="L231" s="10">
        <f t="shared" si="21"/>
        <v>0.19783450069856823</v>
      </c>
      <c r="M231" s="10">
        <f t="shared" si="20"/>
        <v>0.21402391169627291</v>
      </c>
      <c r="P231" s="8">
        <f t="shared" si="25"/>
        <v>2.908175612095989</v>
      </c>
    </row>
    <row r="232" spans="1:16" x14ac:dyDescent="0.2">
      <c r="A232" s="8">
        <v>115</v>
      </c>
      <c r="B232" s="8">
        <v>230</v>
      </c>
      <c r="D232">
        <v>1760.6575630252</v>
      </c>
      <c r="E232">
        <v>440.02941176471001</v>
      </c>
      <c r="F232">
        <v>155.83103081828</v>
      </c>
      <c r="G232">
        <v>125.12327311371</v>
      </c>
      <c r="I232" s="9">
        <f t="shared" si="22"/>
        <v>314.90613865099999</v>
      </c>
      <c r="J232" s="9">
        <f t="shared" si="23"/>
        <v>1604.8265322069201</v>
      </c>
      <c r="K232" s="9">
        <f t="shared" si="24"/>
        <v>314.90613865099999</v>
      </c>
      <c r="L232" s="10">
        <f t="shared" si="21"/>
        <v>0.19622440951169245</v>
      </c>
      <c r="M232" s="10">
        <f t="shared" si="20"/>
        <v>0.21248451662729104</v>
      </c>
      <c r="P232" s="8">
        <f t="shared" si="25"/>
        <v>2.1679950554486815</v>
      </c>
    </row>
    <row r="233" spans="1:16" x14ac:dyDescent="0.2">
      <c r="A233" s="8">
        <v>115.5</v>
      </c>
      <c r="B233" s="8">
        <v>231</v>
      </c>
      <c r="D233">
        <v>1759.9159663866001</v>
      </c>
      <c r="E233">
        <v>439.59663865546003</v>
      </c>
      <c r="F233">
        <v>155.54622741764001</v>
      </c>
      <c r="G233">
        <v>124.71838469713001</v>
      </c>
      <c r="I233" s="9">
        <f t="shared" si="22"/>
        <v>314.87825395832999</v>
      </c>
      <c r="J233" s="9">
        <f t="shared" si="23"/>
        <v>1604.3697389689601</v>
      </c>
      <c r="K233" s="9">
        <f t="shared" si="24"/>
        <v>314.87825395832999</v>
      </c>
      <c r="L233" s="10">
        <f t="shared" si="21"/>
        <v>0.19626289770379543</v>
      </c>
      <c r="M233" s="10">
        <f t="shared" si="20"/>
        <v>0.21259370093728791</v>
      </c>
      <c r="P233" s="8">
        <f t="shared" si="25"/>
        <v>2.2204936667402508</v>
      </c>
    </row>
    <row r="234" spans="1:16" x14ac:dyDescent="0.2">
      <c r="A234" s="8">
        <v>116</v>
      </c>
      <c r="B234" s="8">
        <v>232</v>
      </c>
      <c r="D234">
        <v>1758.2048319328001</v>
      </c>
      <c r="E234">
        <v>438.69852941176998</v>
      </c>
      <c r="F234">
        <v>155.74176408077</v>
      </c>
      <c r="G234">
        <v>125.24654622742</v>
      </c>
      <c r="I234" s="9">
        <f t="shared" si="22"/>
        <v>313.45198318434996</v>
      </c>
      <c r="J234" s="9">
        <f t="shared" si="23"/>
        <v>1602.46306785203</v>
      </c>
      <c r="K234" s="9">
        <f t="shared" si="24"/>
        <v>313.45198318434996</v>
      </c>
      <c r="L234" s="10">
        <f t="shared" si="21"/>
        <v>0.19560636963977371</v>
      </c>
      <c r="M234" s="10">
        <f t="shared" si="20"/>
        <v>0.21200786899116011</v>
      </c>
      <c r="P234" s="8">
        <f t="shared" si="25"/>
        <v>1.9388106701372829</v>
      </c>
    </row>
    <row r="235" spans="1:16" x14ac:dyDescent="0.2">
      <c r="A235" s="8">
        <v>116.5</v>
      </c>
      <c r="B235" s="8">
        <v>233</v>
      </c>
      <c r="D235">
        <v>1768.1176470588</v>
      </c>
      <c r="E235">
        <v>438.48739495797997</v>
      </c>
      <c r="F235">
        <v>155.45377258235999</v>
      </c>
      <c r="G235">
        <v>124.82252922423</v>
      </c>
      <c r="I235" s="9">
        <f t="shared" si="22"/>
        <v>313.66486573374999</v>
      </c>
      <c r="J235" s="9">
        <f t="shared" si="23"/>
        <v>1612.66387447644</v>
      </c>
      <c r="K235" s="9">
        <f t="shared" si="24"/>
        <v>313.66486573374999</v>
      </c>
      <c r="L235" s="10">
        <f t="shared" si="21"/>
        <v>0.1945010802921241</v>
      </c>
      <c r="M235" s="10">
        <f t="shared" si="20"/>
        <v>0.2109732757614044</v>
      </c>
      <c r="P235" s="8">
        <f t="shared" si="25"/>
        <v>1.4413517603782722</v>
      </c>
    </row>
    <row r="236" spans="1:16" x14ac:dyDescent="0.2">
      <c r="A236" s="8">
        <v>117</v>
      </c>
      <c r="B236" s="8">
        <v>234</v>
      </c>
      <c r="D236">
        <v>1731.3203781513</v>
      </c>
      <c r="E236">
        <v>428.96008403360997</v>
      </c>
      <c r="F236">
        <v>154.84272051010001</v>
      </c>
      <c r="G236">
        <v>124.78002125399</v>
      </c>
      <c r="I236" s="9">
        <f t="shared" si="22"/>
        <v>304.18006277961996</v>
      </c>
      <c r="J236" s="9">
        <f t="shared" si="23"/>
        <v>1576.4776576412</v>
      </c>
      <c r="K236" s="9">
        <f t="shared" si="24"/>
        <v>304.18006277961996</v>
      </c>
      <c r="L236" s="10">
        <f t="shared" si="21"/>
        <v>0.1929491745761551</v>
      </c>
      <c r="M236" s="10">
        <f t="shared" si="20"/>
        <v>0.20949206616332933</v>
      </c>
      <c r="P236" s="8">
        <f t="shared" si="25"/>
        <v>0.72914826765196794</v>
      </c>
    </row>
    <row r="237" spans="1:16" x14ac:dyDescent="0.2">
      <c r="A237" s="8">
        <v>117.5</v>
      </c>
      <c r="B237" s="8">
        <v>235</v>
      </c>
      <c r="D237">
        <v>1742.4169312168999</v>
      </c>
      <c r="E237">
        <v>433.05502645502997</v>
      </c>
      <c r="F237">
        <v>155.15621679065001</v>
      </c>
      <c r="G237">
        <v>125.01275239106999</v>
      </c>
      <c r="I237" s="9">
        <f t="shared" si="22"/>
        <v>308.04227406396001</v>
      </c>
      <c r="J237" s="9">
        <f t="shared" si="23"/>
        <v>1587.2607144262499</v>
      </c>
      <c r="K237" s="9">
        <f t="shared" si="24"/>
        <v>308.04227406396001</v>
      </c>
      <c r="L237" s="10">
        <f t="shared" si="21"/>
        <v>0.19407162998758437</v>
      </c>
      <c r="M237" s="10">
        <f t="shared" si="20"/>
        <v>0.2106852176926525</v>
      </c>
      <c r="P237" s="8">
        <f t="shared" si="25"/>
        <v>1.3028460668290873</v>
      </c>
    </row>
    <row r="238" spans="1:16" x14ac:dyDescent="0.2">
      <c r="A238" s="8">
        <v>118</v>
      </c>
      <c r="B238" s="8">
        <v>236</v>
      </c>
      <c r="D238">
        <v>1720.746031746</v>
      </c>
      <c r="E238">
        <v>429.87936507937002</v>
      </c>
      <c r="F238">
        <v>154.84272051010001</v>
      </c>
      <c r="G238">
        <v>124.89798087141</v>
      </c>
      <c r="I238" s="9">
        <f t="shared" si="22"/>
        <v>304.98138420795999</v>
      </c>
      <c r="J238" s="9">
        <f t="shared" si="23"/>
        <v>1565.9033112359</v>
      </c>
      <c r="K238" s="9">
        <f t="shared" si="24"/>
        <v>304.98138420795999</v>
      </c>
      <c r="L238" s="10">
        <f t="shared" si="21"/>
        <v>0.19476386697672371</v>
      </c>
      <c r="M238" s="10">
        <f t="shared" si="20"/>
        <v>0.21144815079968574</v>
      </c>
      <c r="P238" s="8">
        <f t="shared" si="25"/>
        <v>1.6696838352662744</v>
      </c>
    </row>
    <row r="239" spans="1:16" x14ac:dyDescent="0.2">
      <c r="A239" s="8">
        <v>118.5</v>
      </c>
      <c r="B239" s="8">
        <v>237</v>
      </c>
      <c r="D239">
        <v>1731.2169312169001</v>
      </c>
      <c r="E239">
        <v>428.00634920635002</v>
      </c>
      <c r="F239">
        <v>154.79171094579999</v>
      </c>
      <c r="G239">
        <v>125.09245483527999</v>
      </c>
      <c r="I239" s="9">
        <f t="shared" si="22"/>
        <v>302.91389437107</v>
      </c>
      <c r="J239" s="9">
        <f t="shared" si="23"/>
        <v>1576.4252202711</v>
      </c>
      <c r="K239" s="9">
        <f t="shared" si="24"/>
        <v>302.91389437107</v>
      </c>
      <c r="L239" s="10">
        <f t="shared" si="21"/>
        <v>0.19215240309272488</v>
      </c>
      <c r="M239" s="10">
        <f t="shared" si="20"/>
        <v>0.20890738303358081</v>
      </c>
      <c r="P239" s="8">
        <f t="shared" si="25"/>
        <v>0.44801765137308425</v>
      </c>
    </row>
    <row r="240" spans="1:16" x14ac:dyDescent="0.2">
      <c r="A240" s="8">
        <v>119</v>
      </c>
      <c r="B240" s="8">
        <v>238</v>
      </c>
      <c r="D240">
        <v>1751.4984126984</v>
      </c>
      <c r="E240">
        <v>432.25714285714002</v>
      </c>
      <c r="F240">
        <v>154.85441020191001</v>
      </c>
      <c r="G240">
        <v>124.8522848034</v>
      </c>
      <c r="I240" s="9">
        <f t="shared" si="22"/>
        <v>307.40485805374004</v>
      </c>
      <c r="J240" s="9">
        <f t="shared" si="23"/>
        <v>1596.64400249649</v>
      </c>
      <c r="K240" s="9">
        <f t="shared" si="24"/>
        <v>307.40485805374004</v>
      </c>
      <c r="L240" s="10">
        <f t="shared" si="21"/>
        <v>0.19253187158382593</v>
      </c>
      <c r="M240" s="10">
        <f t="shared" si="20"/>
        <v>0.20935754764257578</v>
      </c>
      <c r="P240" s="8">
        <f t="shared" si="25"/>
        <v>0.66446831928979189</v>
      </c>
    </row>
    <row r="241" spans="1:16" x14ac:dyDescent="0.2">
      <c r="A241" s="8">
        <v>119.5</v>
      </c>
      <c r="B241" s="8">
        <v>239</v>
      </c>
      <c r="D241">
        <v>1746.253968254</v>
      </c>
      <c r="E241">
        <v>431.05820105819998</v>
      </c>
      <c r="F241">
        <v>155.22422954304</v>
      </c>
      <c r="G241">
        <v>124.88947927737</v>
      </c>
      <c r="I241" s="9">
        <f t="shared" si="22"/>
        <v>306.16872178082997</v>
      </c>
      <c r="J241" s="9">
        <f t="shared" si="23"/>
        <v>1591.0297387109599</v>
      </c>
      <c r="K241" s="9">
        <f t="shared" si="24"/>
        <v>306.16872178082997</v>
      </c>
      <c r="L241" s="10">
        <f t="shared" si="21"/>
        <v>0.19243431743072603</v>
      </c>
      <c r="M241" s="10">
        <f t="shared" si="20"/>
        <v>0.20933068960736978</v>
      </c>
      <c r="P241" s="8">
        <f t="shared" si="25"/>
        <v>0.65155428841507002</v>
      </c>
    </row>
    <row r="242" spans="1:16" x14ac:dyDescent="0.2">
      <c r="A242" s="8">
        <v>120</v>
      </c>
      <c r="B242" s="8">
        <v>240</v>
      </c>
      <c r="D242">
        <v>1738.3544973544999</v>
      </c>
      <c r="E242">
        <v>429.29523809523999</v>
      </c>
      <c r="F242">
        <v>154.93836344315</v>
      </c>
      <c r="G242">
        <v>124.6875664187</v>
      </c>
      <c r="I242" s="9">
        <f>E242-G242</f>
        <v>304.60767167654001</v>
      </c>
      <c r="J242" s="9">
        <f>D242-F242</f>
        <v>1583.41613391135</v>
      </c>
      <c r="K242" s="9">
        <f t="shared" si="24"/>
        <v>304.60767167654001</v>
      </c>
      <c r="L242" s="10">
        <f t="shared" si="21"/>
        <v>0.19237373243387321</v>
      </c>
      <c r="M242" s="10">
        <f>L242+ABS($N$2)*A242</f>
        <v>0.20934080072841085</v>
      </c>
      <c r="O242" s="11"/>
      <c r="P242" s="8">
        <f>(M242-$O$2)/$O$2*100</f>
        <v>0.65641597424953191</v>
      </c>
    </row>
    <row r="243" spans="1:16" x14ac:dyDescent="0.2">
      <c r="A243" s="8">
        <v>120.5</v>
      </c>
      <c r="B243" s="8">
        <v>241</v>
      </c>
      <c r="D243">
        <v>1751.8910052910001</v>
      </c>
      <c r="E243">
        <v>432.45820105820002</v>
      </c>
      <c r="F243">
        <v>155.19234856535999</v>
      </c>
      <c r="G243">
        <v>124.02975557917</v>
      </c>
      <c r="I243" s="9">
        <f t="shared" ref="I243:I274" si="26">E243-G243</f>
        <v>308.42844547903002</v>
      </c>
      <c r="J243" s="9">
        <f t="shared" ref="J243:J274" si="27">D243-F243</f>
        <v>1596.6986567256401</v>
      </c>
      <c r="K243" s="9">
        <f t="shared" si="24"/>
        <v>308.42844547903002</v>
      </c>
      <c r="L243" s="10">
        <f t="shared" si="21"/>
        <v>0.19316634618552642</v>
      </c>
      <c r="M243" s="10">
        <f t="shared" ref="M243:M274" si="28">L243+ABS($N$2)*A243</f>
        <v>0.21020411059795799</v>
      </c>
      <c r="P243" s="8">
        <f t="shared" ref="P243:P274" si="29">(M243-$O$2)/$O$2*100</f>
        <v>1.0715174596811685</v>
      </c>
    </row>
    <row r="244" spans="1:16" x14ac:dyDescent="0.2">
      <c r="A244" s="8">
        <v>121</v>
      </c>
      <c r="B244" s="8">
        <v>242</v>
      </c>
      <c r="D244">
        <v>1757.6380952381</v>
      </c>
      <c r="E244">
        <v>429.38518518518998</v>
      </c>
      <c r="F244">
        <v>154.81083953241</v>
      </c>
      <c r="G244">
        <v>124.9564293305</v>
      </c>
      <c r="I244" s="9">
        <f t="shared" si="26"/>
        <v>304.42875585469</v>
      </c>
      <c r="J244" s="9">
        <f t="shared" si="27"/>
        <v>1602.82725570569</v>
      </c>
      <c r="K244" s="9">
        <f t="shared" si="24"/>
        <v>304.42875585469</v>
      </c>
      <c r="L244" s="10">
        <f t="shared" si="21"/>
        <v>0.18993235532462707</v>
      </c>
      <c r="M244" s="10">
        <f t="shared" si="28"/>
        <v>0.20704081585495254</v>
      </c>
      <c r="N244" s="1"/>
      <c r="P244" s="8">
        <f t="shared" si="29"/>
        <v>-0.44947563097867932</v>
      </c>
    </row>
    <row r="245" spans="1:16" x14ac:dyDescent="0.2">
      <c r="A245" s="8">
        <v>121.5</v>
      </c>
      <c r="B245" s="8">
        <v>243</v>
      </c>
      <c r="D245">
        <v>1734.3139534884001</v>
      </c>
      <c r="E245">
        <v>432.48414376321</v>
      </c>
      <c r="F245">
        <v>154.46865037194999</v>
      </c>
      <c r="G245">
        <v>124.89373007439001</v>
      </c>
      <c r="I245" s="9">
        <f t="shared" si="26"/>
        <v>307.59041368881998</v>
      </c>
      <c r="J245" s="9">
        <f t="shared" si="27"/>
        <v>1579.8453031164502</v>
      </c>
      <c r="K245" s="9">
        <f t="shared" si="24"/>
        <v>307.59041368881998</v>
      </c>
      <c r="L245" s="10">
        <f t="shared" si="21"/>
        <v>0.19469653964350681</v>
      </c>
      <c r="M245" s="10">
        <f t="shared" si="28"/>
        <v>0.21187569629172617</v>
      </c>
      <c r="P245" s="8">
        <f t="shared" si="29"/>
        <v>1.8752586527170272</v>
      </c>
    </row>
    <row r="246" spans="1:16" x14ac:dyDescent="0.2">
      <c r="A246" s="8">
        <v>122</v>
      </c>
      <c r="B246" s="8">
        <v>244</v>
      </c>
      <c r="D246">
        <v>1745.9064824654999</v>
      </c>
      <c r="E246">
        <v>438.19447396387</v>
      </c>
      <c r="F246">
        <v>155.10733262487</v>
      </c>
      <c r="G246">
        <v>124.38575982997</v>
      </c>
      <c r="I246" s="9">
        <f t="shared" si="26"/>
        <v>313.80871413390003</v>
      </c>
      <c r="J246" s="9">
        <f t="shared" si="27"/>
        <v>1590.79914984063</v>
      </c>
      <c r="K246" s="9">
        <f t="shared" si="24"/>
        <v>313.80871413390003</v>
      </c>
      <c r="L246" s="10">
        <f t="shared" si="21"/>
        <v>0.19726482388762787</v>
      </c>
      <c r="M246" s="10">
        <f t="shared" si="28"/>
        <v>0.21451467665374116</v>
      </c>
      <c r="P246" s="8">
        <f t="shared" si="29"/>
        <v>3.1441479669003272</v>
      </c>
    </row>
    <row r="247" spans="1:16" x14ac:dyDescent="0.2">
      <c r="A247" s="8">
        <v>122.5</v>
      </c>
      <c r="B247" s="8">
        <v>245</v>
      </c>
      <c r="D247">
        <v>1769.1428571429001</v>
      </c>
      <c r="E247">
        <v>448.01470588234997</v>
      </c>
      <c r="F247">
        <v>155.01806588734999</v>
      </c>
      <c r="G247">
        <v>124.78639744952</v>
      </c>
      <c r="I247" s="9">
        <f t="shared" si="26"/>
        <v>323.22830843282998</v>
      </c>
      <c r="J247" s="9">
        <f t="shared" si="27"/>
        <v>1614.12479125555</v>
      </c>
      <c r="K247" s="9">
        <f t="shared" si="24"/>
        <v>323.22830843282998</v>
      </c>
      <c r="L247" s="10">
        <f t="shared" si="21"/>
        <v>0.20024988785495712</v>
      </c>
      <c r="M247" s="10">
        <f t="shared" si="28"/>
        <v>0.21757043673896431</v>
      </c>
      <c r="P247" s="8">
        <f t="shared" si="29"/>
        <v>4.6134356412833659</v>
      </c>
    </row>
    <row r="248" spans="1:16" x14ac:dyDescent="0.2">
      <c r="A248" s="8">
        <v>123</v>
      </c>
      <c r="B248" s="8">
        <v>246</v>
      </c>
      <c r="D248">
        <v>1742.6544117646999</v>
      </c>
      <c r="E248">
        <v>449.62710084034001</v>
      </c>
      <c r="F248">
        <v>155.08820403825999</v>
      </c>
      <c r="G248">
        <v>124.76301806588999</v>
      </c>
      <c r="I248" s="9">
        <f t="shared" si="26"/>
        <v>324.86408277445003</v>
      </c>
      <c r="J248" s="9">
        <f t="shared" si="27"/>
        <v>1587.5662077264399</v>
      </c>
      <c r="K248" s="9">
        <f t="shared" si="24"/>
        <v>324.86408277445003</v>
      </c>
      <c r="L248" s="10">
        <f t="shared" si="21"/>
        <v>0.20463025806003343</v>
      </c>
      <c r="M248" s="10">
        <f t="shared" si="28"/>
        <v>0.22202150306193452</v>
      </c>
      <c r="P248" s="8">
        <f t="shared" si="29"/>
        <v>6.7536222736786149</v>
      </c>
    </row>
    <row r="249" spans="1:16" x14ac:dyDescent="0.2">
      <c r="A249" s="8">
        <v>123.5</v>
      </c>
      <c r="B249" s="8">
        <v>247</v>
      </c>
      <c r="D249">
        <v>1812.9490445859999</v>
      </c>
      <c r="E249">
        <v>455.49044585987002</v>
      </c>
      <c r="F249">
        <v>154.87566418704</v>
      </c>
      <c r="G249">
        <v>124.96811902232</v>
      </c>
      <c r="I249" s="9">
        <f t="shared" si="26"/>
        <v>330.52232683755005</v>
      </c>
      <c r="J249" s="9">
        <f t="shared" si="27"/>
        <v>1658.0733803989599</v>
      </c>
      <c r="K249" s="9">
        <f t="shared" si="24"/>
        <v>330.52232683755005</v>
      </c>
      <c r="L249" s="10">
        <f t="shared" si="21"/>
        <v>0.19934119366781036</v>
      </c>
      <c r="M249" s="10">
        <f t="shared" si="28"/>
        <v>0.21680313478760538</v>
      </c>
      <c r="P249" s="8">
        <f t="shared" si="29"/>
        <v>4.2444972206548996</v>
      </c>
    </row>
    <row r="250" spans="1:16" x14ac:dyDescent="0.2">
      <c r="A250" s="8">
        <v>124</v>
      </c>
      <c r="B250" s="8">
        <v>248</v>
      </c>
      <c r="D250">
        <v>1795.2197452229</v>
      </c>
      <c r="E250">
        <v>451.41295116773</v>
      </c>
      <c r="F250">
        <v>154.70563230606001</v>
      </c>
      <c r="G250">
        <v>124.41020191286</v>
      </c>
      <c r="I250" s="9">
        <f t="shared" si="26"/>
        <v>327.00274925486997</v>
      </c>
      <c r="J250" s="9">
        <f t="shared" si="27"/>
        <v>1640.5141129168401</v>
      </c>
      <c r="K250" s="9">
        <f t="shared" si="24"/>
        <v>327.00274925486997</v>
      </c>
      <c r="L250" s="10">
        <f t="shared" si="21"/>
        <v>0.19932943379161663</v>
      </c>
      <c r="M250" s="10">
        <f t="shared" si="28"/>
        <v>0.21686207102930555</v>
      </c>
      <c r="P250" s="8">
        <f t="shared" si="29"/>
        <v>4.2728352743925821</v>
      </c>
    </row>
    <row r="251" spans="1:16" x14ac:dyDescent="0.2">
      <c r="A251" s="8">
        <v>124.5</v>
      </c>
      <c r="B251" s="8">
        <v>249</v>
      </c>
      <c r="D251">
        <v>1803.3609341826</v>
      </c>
      <c r="E251">
        <v>455.20700636943002</v>
      </c>
      <c r="F251">
        <v>155.21147715197</v>
      </c>
      <c r="G251">
        <v>124.30180658874001</v>
      </c>
      <c r="I251" s="9">
        <f t="shared" si="26"/>
        <v>330.90519978069</v>
      </c>
      <c r="J251" s="9">
        <f t="shared" si="27"/>
        <v>1648.1494570306299</v>
      </c>
      <c r="K251" s="9">
        <f t="shared" si="24"/>
        <v>330.90519978069</v>
      </c>
      <c r="L251" s="10">
        <f t="shared" si="21"/>
        <v>0.20077378199478441</v>
      </c>
      <c r="M251" s="10">
        <f t="shared" si="28"/>
        <v>0.21837711535036722</v>
      </c>
      <c r="P251" s="8">
        <f t="shared" si="29"/>
        <v>5.0013073680770477</v>
      </c>
    </row>
    <row r="252" spans="1:16" x14ac:dyDescent="0.2">
      <c r="A252" s="8">
        <v>125</v>
      </c>
      <c r="B252" s="8">
        <v>250</v>
      </c>
      <c r="D252">
        <v>1806.4670912951001</v>
      </c>
      <c r="E252">
        <v>452.42144373673</v>
      </c>
      <c r="F252">
        <v>155.17853347503001</v>
      </c>
      <c r="G252">
        <v>124.62167906483</v>
      </c>
      <c r="I252" s="9">
        <f t="shared" si="26"/>
        <v>327.79976467189999</v>
      </c>
      <c r="J252" s="9">
        <f t="shared" si="27"/>
        <v>1651.2885578200701</v>
      </c>
      <c r="K252" s="9">
        <f t="shared" si="24"/>
        <v>327.79976467189999</v>
      </c>
      <c r="L252" s="10">
        <f t="shared" si="21"/>
        <v>0.19851149765407516</v>
      </c>
      <c r="M252" s="10">
        <f t="shared" si="28"/>
        <v>0.2161855271275519</v>
      </c>
      <c r="P252" s="8">
        <f t="shared" si="29"/>
        <v>3.9475356473595098</v>
      </c>
    </row>
    <row r="253" spans="1:16" x14ac:dyDescent="0.2">
      <c r="A253" s="8">
        <v>125.5</v>
      </c>
      <c r="B253" s="8">
        <v>251</v>
      </c>
      <c r="D253">
        <v>1797.2070063694</v>
      </c>
      <c r="E253">
        <v>451.64968152865998</v>
      </c>
      <c r="F253">
        <v>154.62592986185001</v>
      </c>
      <c r="G253">
        <v>125.00106269926</v>
      </c>
      <c r="I253" s="9">
        <f t="shared" si="26"/>
        <v>326.64861882939999</v>
      </c>
      <c r="J253" s="9">
        <f t="shared" si="27"/>
        <v>1642.5810765075501</v>
      </c>
      <c r="K253" s="9">
        <f t="shared" si="24"/>
        <v>326.64861882939999</v>
      </c>
      <c r="L253" s="10">
        <f t="shared" si="21"/>
        <v>0.19886301108735474</v>
      </c>
      <c r="M253" s="10">
        <f t="shared" si="28"/>
        <v>0.21660773667872538</v>
      </c>
      <c r="P253" s="8">
        <f t="shared" si="29"/>
        <v>4.1505448078449216</v>
      </c>
    </row>
    <row r="254" spans="1:16" x14ac:dyDescent="0.2">
      <c r="A254" s="8">
        <v>126</v>
      </c>
      <c r="B254" s="8">
        <v>252</v>
      </c>
      <c r="D254">
        <v>1810.5456475584001</v>
      </c>
      <c r="E254">
        <v>453.22717622081001</v>
      </c>
      <c r="F254">
        <v>154.55579171094999</v>
      </c>
      <c r="G254">
        <v>124.9904357067</v>
      </c>
      <c r="I254" s="9">
        <f t="shared" si="26"/>
        <v>328.23674051411001</v>
      </c>
      <c r="J254" s="9">
        <f t="shared" si="27"/>
        <v>1655.9898558474501</v>
      </c>
      <c r="K254" s="9">
        <f t="shared" si="24"/>
        <v>328.23674051411001</v>
      </c>
      <c r="L254" s="10">
        <f t="shared" si="21"/>
        <v>0.19821180628315829</v>
      </c>
      <c r="M254" s="10">
        <f t="shared" si="28"/>
        <v>0.21602722799242283</v>
      </c>
      <c r="P254" s="8">
        <f t="shared" si="29"/>
        <v>3.8714213708378109</v>
      </c>
    </row>
    <row r="255" spans="1:16" x14ac:dyDescent="0.2">
      <c r="A255" s="8">
        <v>126.5</v>
      </c>
      <c r="B255" s="8">
        <v>253</v>
      </c>
      <c r="D255">
        <v>1816.6369426752001</v>
      </c>
      <c r="E255">
        <v>452.19002123142002</v>
      </c>
      <c r="F255">
        <v>155.88947927736999</v>
      </c>
      <c r="G255">
        <v>124.90116896918001</v>
      </c>
      <c r="I255" s="9">
        <f t="shared" si="26"/>
        <v>327.28885226224003</v>
      </c>
      <c r="J255" s="9">
        <f t="shared" si="27"/>
        <v>1660.7474633978302</v>
      </c>
      <c r="K255" s="9">
        <f t="shared" si="24"/>
        <v>327.28885226224003</v>
      </c>
      <c r="L255" s="10">
        <f t="shared" si="21"/>
        <v>0.19707322123052876</v>
      </c>
      <c r="M255" s="10">
        <f t="shared" si="28"/>
        <v>0.21495933905768722</v>
      </c>
      <c r="P255" s="8">
        <f t="shared" si="29"/>
        <v>3.3579530337767602</v>
      </c>
    </row>
    <row r="256" spans="1:16" x14ac:dyDescent="0.2">
      <c r="A256" s="8">
        <v>127</v>
      </c>
      <c r="B256" s="8">
        <v>254</v>
      </c>
      <c r="D256">
        <v>1819.0350318471001</v>
      </c>
      <c r="E256">
        <v>452.44055201699001</v>
      </c>
      <c r="F256">
        <v>154.38257173220001</v>
      </c>
      <c r="G256">
        <v>124.75026567481</v>
      </c>
      <c r="I256" s="9">
        <f t="shared" si="26"/>
        <v>327.69028634218</v>
      </c>
      <c r="J256" s="9">
        <f t="shared" si="27"/>
        <v>1664.6524601149001</v>
      </c>
      <c r="K256" s="9">
        <f t="shared" si="24"/>
        <v>327.69028634218</v>
      </c>
      <c r="L256" s="10">
        <f t="shared" si="21"/>
        <v>0.19685207224549542</v>
      </c>
      <c r="M256" s="10">
        <f t="shared" si="28"/>
        <v>0.21480888619054778</v>
      </c>
      <c r="P256" s="8">
        <f t="shared" si="29"/>
        <v>3.2856114437636736</v>
      </c>
    </row>
    <row r="257" spans="1:16" x14ac:dyDescent="0.2">
      <c r="A257" s="8">
        <v>127.5</v>
      </c>
      <c r="B257" s="8">
        <v>255</v>
      </c>
      <c r="D257">
        <v>1823.042462845</v>
      </c>
      <c r="E257">
        <v>452.63057324840997</v>
      </c>
      <c r="F257">
        <v>154.77895855473</v>
      </c>
      <c r="G257">
        <v>125.01487778959</v>
      </c>
      <c r="I257" s="9">
        <f t="shared" si="26"/>
        <v>327.61569545881997</v>
      </c>
      <c r="J257" s="9">
        <f t="shared" si="27"/>
        <v>1668.26350429027</v>
      </c>
      <c r="K257" s="9">
        <f t="shared" si="24"/>
        <v>327.61569545881997</v>
      </c>
      <c r="L257" s="10">
        <f t="shared" si="21"/>
        <v>0.19638126388085056</v>
      </c>
      <c r="M257" s="10">
        <f t="shared" si="28"/>
        <v>0.21440877394379682</v>
      </c>
      <c r="P257" s="8">
        <f t="shared" si="29"/>
        <v>3.0932272329207731</v>
      </c>
    </row>
    <row r="258" spans="1:16" x14ac:dyDescent="0.2">
      <c r="A258" s="8">
        <v>128</v>
      </c>
      <c r="B258" s="8">
        <v>256</v>
      </c>
      <c r="D258">
        <v>1832.4702760084999</v>
      </c>
      <c r="E258">
        <v>454.41719745223003</v>
      </c>
      <c r="F258">
        <v>154.66737513283999</v>
      </c>
      <c r="G258">
        <v>125.04569606801</v>
      </c>
      <c r="I258" s="9">
        <f t="shared" si="26"/>
        <v>329.37150138422004</v>
      </c>
      <c r="J258" s="9">
        <f t="shared" si="27"/>
        <v>1677.8029008756598</v>
      </c>
      <c r="K258" s="9">
        <f t="shared" si="24"/>
        <v>329.37150138422004</v>
      </c>
      <c r="L258" s="10">
        <f t="shared" ref="L258:L321" si="30">K258/J258</f>
        <v>0.19631120032771324</v>
      </c>
      <c r="M258" s="10">
        <f t="shared" si="28"/>
        <v>0.21440940650855339</v>
      </c>
      <c r="P258" s="8">
        <f t="shared" si="29"/>
        <v>3.093531386248968</v>
      </c>
    </row>
    <row r="259" spans="1:16" x14ac:dyDescent="0.2">
      <c r="A259" s="8">
        <v>128.5</v>
      </c>
      <c r="B259" s="8">
        <v>257</v>
      </c>
      <c r="D259">
        <v>1828.7770700637</v>
      </c>
      <c r="E259">
        <v>454.20169851380001</v>
      </c>
      <c r="F259">
        <v>154.83421891604999</v>
      </c>
      <c r="G259">
        <v>124.52284803401</v>
      </c>
      <c r="I259" s="9">
        <f t="shared" si="26"/>
        <v>329.67885047979001</v>
      </c>
      <c r="J259" s="9">
        <f t="shared" si="27"/>
        <v>1673.9428511476499</v>
      </c>
      <c r="K259" s="9">
        <f t="shared" ref="K259:K321" si="31">I259*1</f>
        <v>329.67885047979001</v>
      </c>
      <c r="L259" s="10">
        <f t="shared" si="30"/>
        <v>0.19694749450601809</v>
      </c>
      <c r="M259" s="10">
        <f t="shared" si="28"/>
        <v>0.21511639680475217</v>
      </c>
      <c r="P259" s="8">
        <f t="shared" si="29"/>
        <v>3.4334704191385281</v>
      </c>
    </row>
    <row r="260" spans="1:16" x14ac:dyDescent="0.2">
      <c r="A260" s="8">
        <v>129</v>
      </c>
      <c r="B260" s="8">
        <v>258</v>
      </c>
      <c r="D260">
        <v>1827.9915074309999</v>
      </c>
      <c r="E260">
        <v>453.40233545647999</v>
      </c>
      <c r="F260">
        <v>154.18597236982001</v>
      </c>
      <c r="G260">
        <v>124.13496280552999</v>
      </c>
      <c r="I260" s="9">
        <f t="shared" si="26"/>
        <v>329.26737265094999</v>
      </c>
      <c r="J260" s="9">
        <f t="shared" si="27"/>
        <v>1673.8055350611799</v>
      </c>
      <c r="K260" s="9">
        <f t="shared" si="31"/>
        <v>329.26737265094999</v>
      </c>
      <c r="L260" s="10">
        <f t="shared" si="30"/>
        <v>0.19671781802233962</v>
      </c>
      <c r="M260" s="10">
        <f t="shared" si="28"/>
        <v>0.2149574164389676</v>
      </c>
      <c r="P260" s="8">
        <f t="shared" si="29"/>
        <v>3.3570285894786189</v>
      </c>
    </row>
    <row r="261" spans="1:16" x14ac:dyDescent="0.2">
      <c r="A261" s="8">
        <v>129.5</v>
      </c>
      <c r="B261" s="8">
        <v>259</v>
      </c>
      <c r="D261">
        <v>1826.2802547771</v>
      </c>
      <c r="E261">
        <v>452.95435244161001</v>
      </c>
      <c r="F261">
        <v>154.36663124335999</v>
      </c>
      <c r="G261">
        <v>124.77683315621999</v>
      </c>
      <c r="I261" s="9">
        <f t="shared" si="26"/>
        <v>328.17751928539002</v>
      </c>
      <c r="J261" s="9">
        <f t="shared" si="27"/>
        <v>1671.9136235337401</v>
      </c>
      <c r="K261" s="9">
        <f t="shared" si="31"/>
        <v>328.17751928539002</v>
      </c>
      <c r="L261" s="10">
        <f t="shared" si="30"/>
        <v>0.19628856100338321</v>
      </c>
      <c r="M261" s="10">
        <f t="shared" si="28"/>
        <v>0.21459885553790509</v>
      </c>
      <c r="P261" s="8">
        <f t="shared" si="29"/>
        <v>3.1846233293292934</v>
      </c>
    </row>
    <row r="262" spans="1:16" x14ac:dyDescent="0.2">
      <c r="A262" s="8">
        <v>130</v>
      </c>
      <c r="B262" s="8">
        <v>260</v>
      </c>
      <c r="D262">
        <v>1841.457537155</v>
      </c>
      <c r="E262">
        <v>454.60509554139998</v>
      </c>
      <c r="F262">
        <v>154.48671625930001</v>
      </c>
      <c r="G262">
        <v>124.84378320934999</v>
      </c>
      <c r="I262" s="9">
        <f t="shared" si="26"/>
        <v>329.76131233205001</v>
      </c>
      <c r="J262" s="9">
        <f t="shared" si="27"/>
        <v>1686.9708208956999</v>
      </c>
      <c r="K262" s="9">
        <f t="shared" si="31"/>
        <v>329.76131233205001</v>
      </c>
      <c r="L262" s="10">
        <f t="shared" si="30"/>
        <v>0.19547540967955965</v>
      </c>
      <c r="M262" s="10">
        <f t="shared" si="28"/>
        <v>0.21385640033197545</v>
      </c>
      <c r="P262" s="8">
        <f t="shared" si="29"/>
        <v>2.827631859963244</v>
      </c>
    </row>
    <row r="263" spans="1:16" x14ac:dyDescent="0.2">
      <c r="A263" s="8">
        <v>130.5</v>
      </c>
      <c r="B263" s="8">
        <v>261</v>
      </c>
      <c r="D263">
        <v>1851.7462845011</v>
      </c>
      <c r="E263">
        <v>454.35668789809</v>
      </c>
      <c r="F263">
        <v>154.86716259299001</v>
      </c>
      <c r="G263">
        <v>124.50797024441999</v>
      </c>
      <c r="I263" s="9">
        <f t="shared" si="26"/>
        <v>329.84871765367001</v>
      </c>
      <c r="J263" s="9">
        <f t="shared" si="27"/>
        <v>1696.8791219081099</v>
      </c>
      <c r="K263" s="9">
        <f t="shared" si="31"/>
        <v>329.84871765367001</v>
      </c>
      <c r="L263" s="10">
        <f t="shared" si="30"/>
        <v>0.19438551243577154</v>
      </c>
      <c r="M263" s="10">
        <f t="shared" si="28"/>
        <v>0.21283719920608124</v>
      </c>
      <c r="P263" s="8">
        <f t="shared" si="29"/>
        <v>2.3375738677683762</v>
      </c>
    </row>
    <row r="264" spans="1:16" x14ac:dyDescent="0.2">
      <c r="A264" s="8">
        <v>131</v>
      </c>
      <c r="B264" s="8">
        <v>262</v>
      </c>
      <c r="D264">
        <v>1834.610403397</v>
      </c>
      <c r="E264">
        <v>452.21656050954999</v>
      </c>
      <c r="F264">
        <v>154.60573857598001</v>
      </c>
      <c r="G264">
        <v>124.51540913921001</v>
      </c>
      <c r="I264" s="9">
        <f t="shared" si="26"/>
        <v>327.70115137033997</v>
      </c>
      <c r="J264" s="9">
        <f t="shared" si="27"/>
        <v>1680.00466482102</v>
      </c>
      <c r="K264" s="9">
        <f t="shared" si="31"/>
        <v>327.70115137033997</v>
      </c>
      <c r="L264" s="10">
        <f t="shared" si="30"/>
        <v>0.19505966753089449</v>
      </c>
      <c r="M264" s="10">
        <f t="shared" si="28"/>
        <v>0.21358205041909809</v>
      </c>
      <c r="P264" s="8">
        <f t="shared" si="29"/>
        <v>2.6957173986781284</v>
      </c>
    </row>
    <row r="265" spans="1:16" x14ac:dyDescent="0.2">
      <c r="A265" s="8">
        <v>131.5</v>
      </c>
      <c r="B265" s="8">
        <v>263</v>
      </c>
      <c r="D265">
        <v>1840.3715498938</v>
      </c>
      <c r="E265">
        <v>452.40870488322997</v>
      </c>
      <c r="F265">
        <v>155.18809776833001</v>
      </c>
      <c r="G265">
        <v>124.38682252922</v>
      </c>
      <c r="I265" s="9">
        <f t="shared" si="26"/>
        <v>328.02188235400996</v>
      </c>
      <c r="J265" s="9">
        <f t="shared" si="27"/>
        <v>1685.18345212547</v>
      </c>
      <c r="K265" s="9">
        <f t="shared" si="31"/>
        <v>328.02188235400996</v>
      </c>
      <c r="L265" s="10">
        <f t="shared" si="30"/>
        <v>0.19465054795089878</v>
      </c>
      <c r="M265" s="10">
        <f t="shared" si="28"/>
        <v>0.21324362695699631</v>
      </c>
      <c r="P265" s="8">
        <f t="shared" si="29"/>
        <v>2.532994734686048</v>
      </c>
    </row>
    <row r="266" spans="1:16" x14ac:dyDescent="0.2">
      <c r="A266" s="8">
        <v>132</v>
      </c>
      <c r="B266" s="8">
        <v>264</v>
      </c>
      <c r="D266">
        <v>1836.610403397</v>
      </c>
      <c r="E266">
        <v>452.74203821655999</v>
      </c>
      <c r="F266">
        <v>154.56323060573999</v>
      </c>
      <c r="G266">
        <v>124.59192348565</v>
      </c>
      <c r="I266" s="9">
        <f t="shared" si="26"/>
        <v>328.15011473090999</v>
      </c>
      <c r="J266" s="9">
        <f t="shared" si="27"/>
        <v>1682.04717279126</v>
      </c>
      <c r="K266" s="9">
        <f t="shared" si="31"/>
        <v>328.15011473090999</v>
      </c>
      <c r="L266" s="10">
        <f t="shared" si="30"/>
        <v>0.19508972164339711</v>
      </c>
      <c r="M266" s="10">
        <f t="shared" si="28"/>
        <v>0.21375349676738853</v>
      </c>
      <c r="P266" s="8">
        <f t="shared" si="29"/>
        <v>2.7781531918476485</v>
      </c>
    </row>
    <row r="267" spans="1:16" x14ac:dyDescent="0.2">
      <c r="A267" s="8">
        <v>132.5</v>
      </c>
      <c r="B267" s="8">
        <v>265</v>
      </c>
      <c r="D267">
        <v>1836.144373673</v>
      </c>
      <c r="E267">
        <v>452.52760084926001</v>
      </c>
      <c r="F267">
        <v>154.47077577045999</v>
      </c>
      <c r="G267">
        <v>124.93517534538</v>
      </c>
      <c r="I267" s="9">
        <f t="shared" si="26"/>
        <v>327.59242550388001</v>
      </c>
      <c r="J267" s="9">
        <f t="shared" si="27"/>
        <v>1681.67359790254</v>
      </c>
      <c r="K267" s="9">
        <f t="shared" si="31"/>
        <v>327.59242550388001</v>
      </c>
      <c r="L267" s="10">
        <f t="shared" si="30"/>
        <v>0.19480143228297586</v>
      </c>
      <c r="M267" s="10">
        <f t="shared" si="28"/>
        <v>0.21353590352486118</v>
      </c>
      <c r="P267" s="8">
        <f t="shared" si="29"/>
        <v>2.6735287905994976</v>
      </c>
    </row>
    <row r="268" spans="1:16" x14ac:dyDescent="0.2">
      <c r="A268" s="8">
        <v>133</v>
      </c>
      <c r="B268" s="8">
        <v>266</v>
      </c>
      <c r="D268">
        <v>1831.0212314225</v>
      </c>
      <c r="E268">
        <v>451.21762208067997</v>
      </c>
      <c r="F268">
        <v>154.33368756642</v>
      </c>
      <c r="G268">
        <v>124.35812964931</v>
      </c>
      <c r="I268" s="9">
        <f t="shared" si="26"/>
        <v>326.85949243136997</v>
      </c>
      <c r="J268" s="9">
        <f t="shared" si="27"/>
        <v>1676.6875438560801</v>
      </c>
      <c r="K268" s="9">
        <f t="shared" si="31"/>
        <v>326.85949243136997</v>
      </c>
      <c r="L268" s="10">
        <f t="shared" si="30"/>
        <v>0.19494359198235103</v>
      </c>
      <c r="M268" s="10">
        <f t="shared" si="28"/>
        <v>0.21374875934213028</v>
      </c>
      <c r="P268" s="8">
        <f t="shared" si="29"/>
        <v>2.7758753165085741</v>
      </c>
    </row>
    <row r="269" spans="1:16" x14ac:dyDescent="0.2">
      <c r="A269" s="8">
        <v>133.5</v>
      </c>
      <c r="B269" s="8">
        <v>267</v>
      </c>
      <c r="D269">
        <v>1826.1942675159</v>
      </c>
      <c r="E269">
        <v>448.69320594480001</v>
      </c>
      <c r="F269">
        <v>154.96599362379999</v>
      </c>
      <c r="G269">
        <v>124.63974495218</v>
      </c>
      <c r="I269" s="9">
        <f t="shared" si="26"/>
        <v>324.05346099261999</v>
      </c>
      <c r="J269" s="9">
        <f t="shared" si="27"/>
        <v>1671.2282738921001</v>
      </c>
      <c r="K269" s="9">
        <f t="shared" si="31"/>
        <v>324.05346099261999</v>
      </c>
      <c r="L269" s="10">
        <f t="shared" si="30"/>
        <v>0.19390137544641728</v>
      </c>
      <c r="M269" s="10">
        <f t="shared" si="28"/>
        <v>0.21277723892409042</v>
      </c>
      <c r="P269" s="8">
        <f t="shared" si="29"/>
        <v>2.3087434292442057</v>
      </c>
    </row>
    <row r="270" spans="1:16" x14ac:dyDescent="0.2">
      <c r="A270" s="8">
        <v>134</v>
      </c>
      <c r="B270" s="8">
        <v>268</v>
      </c>
      <c r="D270">
        <v>1825.8588110403</v>
      </c>
      <c r="E270">
        <v>449.63588110402998</v>
      </c>
      <c r="F270">
        <v>155.05844845908999</v>
      </c>
      <c r="G270">
        <v>124.35706695005</v>
      </c>
      <c r="I270" s="9">
        <f t="shared" si="26"/>
        <v>325.27881415397997</v>
      </c>
      <c r="J270" s="9">
        <f t="shared" si="27"/>
        <v>1670.80036258121</v>
      </c>
      <c r="K270" s="9">
        <f t="shared" si="31"/>
        <v>325.27881415397997</v>
      </c>
      <c r="L270" s="10">
        <f t="shared" si="30"/>
        <v>0.19468442875572434</v>
      </c>
      <c r="M270" s="10">
        <f t="shared" si="28"/>
        <v>0.21363098835129138</v>
      </c>
      <c r="P270" s="8">
        <f t="shared" si="29"/>
        <v>2.7192480092548905</v>
      </c>
    </row>
    <row r="271" spans="1:16" x14ac:dyDescent="0.2">
      <c r="A271" s="8">
        <v>134.5</v>
      </c>
      <c r="B271" s="8">
        <v>269</v>
      </c>
      <c r="D271">
        <v>1826.6093418258999</v>
      </c>
      <c r="E271">
        <v>448.50530785563001</v>
      </c>
      <c r="F271">
        <v>153.91604675876999</v>
      </c>
      <c r="G271">
        <v>124.41232731137001</v>
      </c>
      <c r="I271" s="9">
        <f t="shared" si="26"/>
        <v>324.09298054426</v>
      </c>
      <c r="J271" s="9">
        <f t="shared" si="27"/>
        <v>1672.6932950671298</v>
      </c>
      <c r="K271" s="9">
        <f t="shared" si="31"/>
        <v>324.09298054426</v>
      </c>
      <c r="L271" s="10">
        <f t="shared" si="30"/>
        <v>0.19375517406569939</v>
      </c>
      <c r="M271" s="10">
        <f t="shared" si="28"/>
        <v>0.21277242977916036</v>
      </c>
      <c r="P271" s="8">
        <f t="shared" si="29"/>
        <v>2.3064310692509484</v>
      </c>
    </row>
    <row r="272" spans="1:16" x14ac:dyDescent="0.2">
      <c r="A272" s="8">
        <v>135</v>
      </c>
      <c r="B272" s="8">
        <v>270</v>
      </c>
      <c r="D272">
        <v>1827.9012738854001</v>
      </c>
      <c r="E272">
        <v>451.46709129511999</v>
      </c>
      <c r="F272">
        <v>153.92986184910001</v>
      </c>
      <c r="G272">
        <v>124.21466524973</v>
      </c>
      <c r="I272" s="9">
        <f t="shared" si="26"/>
        <v>327.25242604539</v>
      </c>
      <c r="J272" s="9">
        <f t="shared" si="27"/>
        <v>1673.9714120363001</v>
      </c>
      <c r="K272" s="9">
        <f t="shared" si="31"/>
        <v>327.25242604539</v>
      </c>
      <c r="L272" s="10">
        <f t="shared" si="30"/>
        <v>0.19549463252021984</v>
      </c>
      <c r="M272" s="10">
        <f t="shared" si="28"/>
        <v>0.21458258435157471</v>
      </c>
      <c r="P272" s="8">
        <f t="shared" si="29"/>
        <v>3.1767997264101946</v>
      </c>
    </row>
    <row r="273" spans="1:16" x14ac:dyDescent="0.2">
      <c r="A273" s="8">
        <v>135.5</v>
      </c>
      <c r="B273" s="8">
        <v>271</v>
      </c>
      <c r="D273">
        <v>1832.2218683652</v>
      </c>
      <c r="E273">
        <v>451.30148619957998</v>
      </c>
      <c r="F273">
        <v>154.92773645058</v>
      </c>
      <c r="G273">
        <v>124.73751328374</v>
      </c>
      <c r="I273" s="9">
        <f t="shared" si="26"/>
        <v>326.56397291584</v>
      </c>
      <c r="J273" s="9">
        <f t="shared" si="27"/>
        <v>1677.29413191462</v>
      </c>
      <c r="K273" s="9">
        <f t="shared" si="31"/>
        <v>326.56397291584</v>
      </c>
      <c r="L273" s="10">
        <f t="shared" si="30"/>
        <v>0.19469690300714843</v>
      </c>
      <c r="M273" s="10">
        <f t="shared" si="28"/>
        <v>0.21385555095639719</v>
      </c>
      <c r="P273" s="8">
        <f t="shared" si="29"/>
        <v>2.8272234584417717</v>
      </c>
    </row>
    <row r="274" spans="1:16" x14ac:dyDescent="0.2">
      <c r="A274" s="8">
        <v>136</v>
      </c>
      <c r="B274" s="8">
        <v>272</v>
      </c>
      <c r="D274">
        <v>1833.8821656051</v>
      </c>
      <c r="E274">
        <v>451.15817409766998</v>
      </c>
      <c r="F274">
        <v>154.58767268862999</v>
      </c>
      <c r="G274">
        <v>124.07970244421</v>
      </c>
      <c r="I274" s="9">
        <f t="shared" si="26"/>
        <v>327.07847165345999</v>
      </c>
      <c r="J274" s="9">
        <f t="shared" si="27"/>
        <v>1679.2944929164701</v>
      </c>
      <c r="K274" s="9">
        <f t="shared" si="31"/>
        <v>327.07847165345999</v>
      </c>
      <c r="L274" s="10">
        <f t="shared" si="30"/>
        <v>0.19477135965914777</v>
      </c>
      <c r="M274" s="10">
        <f t="shared" si="28"/>
        <v>0.21400070372629046</v>
      </c>
      <c r="P274" s="8">
        <f t="shared" si="29"/>
        <v>2.8970166260199668</v>
      </c>
    </row>
    <row r="275" spans="1:16" x14ac:dyDescent="0.2">
      <c r="A275" s="8">
        <v>136.5</v>
      </c>
      <c r="B275" s="8">
        <v>273</v>
      </c>
      <c r="D275">
        <v>1839.0732484076</v>
      </c>
      <c r="E275">
        <v>452.83227176220998</v>
      </c>
      <c r="F275">
        <v>154.24335812965001</v>
      </c>
      <c r="G275">
        <v>124.09883103081999</v>
      </c>
      <c r="I275" s="9">
        <f>E275-G275</f>
        <v>328.73344073138998</v>
      </c>
      <c r="J275" s="9">
        <f>D275-F275</f>
        <v>1684.82989027795</v>
      </c>
      <c r="K275" s="9">
        <f t="shared" si="31"/>
        <v>328.73344073138998</v>
      </c>
      <c r="L275" s="10">
        <f t="shared" si="30"/>
        <v>0.19511372787739309</v>
      </c>
      <c r="M275" s="10">
        <f>L275+ABS($N$2)*A275</f>
        <v>0.21441376806242968</v>
      </c>
      <c r="O275" s="11"/>
      <c r="P275" s="8">
        <f>(M275-$O$2)/$O$2*100</f>
        <v>3.0956285330055389</v>
      </c>
    </row>
    <row r="276" spans="1:16" x14ac:dyDescent="0.2">
      <c r="A276" s="8">
        <v>137</v>
      </c>
      <c r="B276" s="8">
        <v>274</v>
      </c>
      <c r="D276">
        <v>1850.135881104</v>
      </c>
      <c r="E276">
        <v>454.38004246284999</v>
      </c>
      <c r="F276">
        <v>154.22848034006</v>
      </c>
      <c r="G276">
        <v>124.1041445271</v>
      </c>
      <c r="I276" s="9">
        <f t="shared" ref="I276:I291" si="32">E276-G276</f>
        <v>330.27589793574998</v>
      </c>
      <c r="J276" s="9">
        <f t="shared" ref="J276:J291" si="33">D276-F276</f>
        <v>1695.9074007639399</v>
      </c>
      <c r="K276" s="9">
        <f t="shared" si="31"/>
        <v>330.27589793574998</v>
      </c>
      <c r="L276" s="10">
        <f t="shared" si="30"/>
        <v>0.19474878037973867</v>
      </c>
      <c r="M276" s="10">
        <f t="shared" ref="M276:M291" si="34">L276+ABS($N$2)*A276</f>
        <v>0.21411951668266915</v>
      </c>
      <c r="P276" s="8">
        <f t="shared" ref="P276:P291" si="35">(M276-$O$2)/$O$2*100</f>
        <v>2.9541449369788015</v>
      </c>
    </row>
    <row r="277" spans="1:16" x14ac:dyDescent="0.2">
      <c r="A277" s="8">
        <v>137.5</v>
      </c>
      <c r="B277" s="8">
        <v>275</v>
      </c>
      <c r="D277">
        <v>1836.1985138004</v>
      </c>
      <c r="E277">
        <v>453.30467091294997</v>
      </c>
      <c r="F277">
        <v>154.03081827842999</v>
      </c>
      <c r="G277">
        <v>124.38788522848</v>
      </c>
      <c r="I277" s="9">
        <f t="shared" si="32"/>
        <v>328.91678568446997</v>
      </c>
      <c r="J277" s="9">
        <f t="shared" si="33"/>
        <v>1682.16769552197</v>
      </c>
      <c r="K277" s="9">
        <f t="shared" si="31"/>
        <v>328.91678568446997</v>
      </c>
      <c r="L277" s="10">
        <f t="shared" si="30"/>
        <v>0.19553150768503397</v>
      </c>
      <c r="M277" s="10">
        <f t="shared" si="34"/>
        <v>0.21497294010585838</v>
      </c>
      <c r="N277" s="1"/>
      <c r="P277" s="8">
        <f t="shared" si="35"/>
        <v>3.3644927659151627</v>
      </c>
    </row>
    <row r="278" spans="1:16" x14ac:dyDescent="0.2">
      <c r="A278" s="8">
        <v>138</v>
      </c>
      <c r="B278" s="8">
        <v>276</v>
      </c>
      <c r="D278">
        <v>1841.8004246285</v>
      </c>
      <c r="E278">
        <v>452.03821656051002</v>
      </c>
      <c r="F278">
        <v>155.15940488842</v>
      </c>
      <c r="G278">
        <v>124.09564293305</v>
      </c>
      <c r="I278" s="9">
        <f t="shared" si="32"/>
        <v>327.94257362746004</v>
      </c>
      <c r="J278" s="9">
        <f t="shared" si="33"/>
        <v>1686.6410197400801</v>
      </c>
      <c r="K278" s="9">
        <f t="shared" si="31"/>
        <v>327.94257362746004</v>
      </c>
      <c r="L278" s="10">
        <f t="shared" si="30"/>
        <v>0.19443531242824727</v>
      </c>
      <c r="M278" s="10">
        <f t="shared" si="34"/>
        <v>0.21394744096696558</v>
      </c>
      <c r="P278" s="8">
        <f t="shared" si="35"/>
        <v>2.8714065278456657</v>
      </c>
    </row>
    <row r="279" spans="1:16" x14ac:dyDescent="0.2">
      <c r="A279" s="8">
        <v>138.5</v>
      </c>
      <c r="B279" s="8">
        <v>277</v>
      </c>
      <c r="D279">
        <v>1833.4649681528999</v>
      </c>
      <c r="E279">
        <v>451.53290870488001</v>
      </c>
      <c r="F279">
        <v>154.03825717321999</v>
      </c>
      <c r="G279">
        <v>124.42933049947</v>
      </c>
      <c r="I279" s="9">
        <f t="shared" si="32"/>
        <v>327.10357820541003</v>
      </c>
      <c r="J279" s="9">
        <f t="shared" si="33"/>
        <v>1679.4267109796799</v>
      </c>
      <c r="K279" s="9">
        <f t="shared" si="31"/>
        <v>327.10357820541003</v>
      </c>
      <c r="L279" s="10">
        <f t="shared" si="30"/>
        <v>0.19477097515889621</v>
      </c>
      <c r="M279" s="10">
        <f t="shared" si="34"/>
        <v>0.21435379981550842</v>
      </c>
      <c r="P279" s="8">
        <f t="shared" si="35"/>
        <v>3.0667942647389177</v>
      </c>
    </row>
    <row r="280" spans="1:16" x14ac:dyDescent="0.2">
      <c r="A280" s="8">
        <v>139</v>
      </c>
      <c r="B280" s="8">
        <v>278</v>
      </c>
      <c r="D280">
        <v>1837.3995793900999</v>
      </c>
      <c r="E280">
        <v>449.76130389064002</v>
      </c>
      <c r="F280">
        <v>154.65993623804999</v>
      </c>
      <c r="G280">
        <v>124.01806588735001</v>
      </c>
      <c r="I280" s="9">
        <f t="shared" si="32"/>
        <v>325.74323800329</v>
      </c>
      <c r="J280" s="9">
        <f t="shared" si="33"/>
        <v>1682.7396431520499</v>
      </c>
      <c r="K280" s="9">
        <f t="shared" si="31"/>
        <v>325.74323800329</v>
      </c>
      <c r="L280" s="10">
        <f t="shared" si="30"/>
        <v>0.19357910733779291</v>
      </c>
      <c r="M280" s="10">
        <f t="shared" si="34"/>
        <v>0.21323262811229904</v>
      </c>
      <c r="P280" s="8">
        <f t="shared" si="35"/>
        <v>2.5277062085925577</v>
      </c>
    </row>
    <row r="281" spans="1:16" x14ac:dyDescent="0.2">
      <c r="A281" s="8">
        <v>139.5</v>
      </c>
      <c r="B281" s="8">
        <v>279</v>
      </c>
      <c r="D281">
        <v>1863.6971608833001</v>
      </c>
      <c r="E281">
        <v>450.32702418507</v>
      </c>
      <c r="F281">
        <v>153.98831030817999</v>
      </c>
      <c r="G281">
        <v>124.4091392136</v>
      </c>
      <c r="I281" s="9">
        <f t="shared" si="32"/>
        <v>325.91788497147002</v>
      </c>
      <c r="J281" s="9">
        <f t="shared" si="33"/>
        <v>1709.7088505751201</v>
      </c>
      <c r="K281" s="9">
        <f t="shared" si="31"/>
        <v>325.91788497147002</v>
      </c>
      <c r="L281" s="10">
        <f t="shared" si="30"/>
        <v>0.19062771118125532</v>
      </c>
      <c r="M281" s="10">
        <f t="shared" si="34"/>
        <v>0.21035192807365535</v>
      </c>
      <c r="P281" s="8">
        <f t="shared" si="35"/>
        <v>1.1425918860246529</v>
      </c>
    </row>
    <row r="282" spans="1:16" x14ac:dyDescent="0.2">
      <c r="A282" s="8">
        <v>140</v>
      </c>
      <c r="B282" s="8">
        <v>280</v>
      </c>
      <c r="D282">
        <v>1721.0400421495999</v>
      </c>
      <c r="E282">
        <v>425.22550052687001</v>
      </c>
      <c r="F282">
        <v>154.19553666312001</v>
      </c>
      <c r="G282">
        <v>124.1211477152</v>
      </c>
      <c r="I282" s="9">
        <f t="shared" si="32"/>
        <v>301.10435281167003</v>
      </c>
      <c r="J282" s="9">
        <f t="shared" si="33"/>
        <v>1566.8445054864799</v>
      </c>
      <c r="K282" s="9">
        <f t="shared" si="31"/>
        <v>301.10435281167003</v>
      </c>
      <c r="L282" s="10">
        <f t="shared" si="30"/>
        <v>0.19217245346128459</v>
      </c>
      <c r="M282" s="10">
        <f t="shared" si="34"/>
        <v>0.21196736647157852</v>
      </c>
      <c r="P282" s="8">
        <f t="shared" si="35"/>
        <v>1.9193360218851268</v>
      </c>
    </row>
    <row r="283" spans="1:16" x14ac:dyDescent="0.2">
      <c r="A283" s="8">
        <v>140.5</v>
      </c>
      <c r="B283" s="8">
        <v>281</v>
      </c>
      <c r="D283">
        <v>1738.1875658588001</v>
      </c>
      <c r="E283">
        <v>426.54267650157999</v>
      </c>
      <c r="F283">
        <v>154.05419766206001</v>
      </c>
      <c r="G283">
        <v>124.54197662062001</v>
      </c>
      <c r="I283" s="9">
        <f t="shared" si="32"/>
        <v>302.00069988095998</v>
      </c>
      <c r="J283" s="9">
        <f t="shared" si="33"/>
        <v>1584.1333681967401</v>
      </c>
      <c r="K283" s="9">
        <f t="shared" si="31"/>
        <v>302.00069988095998</v>
      </c>
      <c r="L283" s="10">
        <f t="shared" si="30"/>
        <v>0.19064095608612497</v>
      </c>
      <c r="M283" s="10">
        <f t="shared" si="34"/>
        <v>0.21050656521431282</v>
      </c>
      <c r="P283" s="8">
        <f t="shared" si="35"/>
        <v>1.2169453818598031</v>
      </c>
    </row>
    <row r="284" spans="1:16" x14ac:dyDescent="0.2">
      <c r="A284" s="8">
        <v>141</v>
      </c>
      <c r="B284" s="8">
        <v>282</v>
      </c>
      <c r="D284">
        <v>1744.2156448203</v>
      </c>
      <c r="E284">
        <v>428.99154334038002</v>
      </c>
      <c r="F284">
        <v>153.99362380445999</v>
      </c>
      <c r="G284">
        <v>123.84059511158</v>
      </c>
      <c r="I284" s="9">
        <f t="shared" si="32"/>
        <v>305.15094822880002</v>
      </c>
      <c r="J284" s="9">
        <f t="shared" si="33"/>
        <v>1590.22202101584</v>
      </c>
      <c r="K284" s="9">
        <f t="shared" si="31"/>
        <v>305.15094822880002</v>
      </c>
      <c r="L284" s="10">
        <f t="shared" si="30"/>
        <v>0.19189204035413143</v>
      </c>
      <c r="M284" s="10">
        <f t="shared" si="34"/>
        <v>0.21182834560021319</v>
      </c>
      <c r="P284" s="8">
        <f t="shared" si="35"/>
        <v>1.8524912280916528</v>
      </c>
    </row>
    <row r="285" spans="1:16" x14ac:dyDescent="0.2">
      <c r="A285" s="8">
        <v>141.5</v>
      </c>
      <c r="B285" s="8">
        <v>283</v>
      </c>
      <c r="D285">
        <v>1753.6057082452</v>
      </c>
      <c r="E285">
        <v>432.71987315011</v>
      </c>
      <c r="F285">
        <v>153.94367693942999</v>
      </c>
      <c r="G285">
        <v>124.27417640808</v>
      </c>
      <c r="I285" s="9">
        <f t="shared" si="32"/>
        <v>308.44569674203001</v>
      </c>
      <c r="J285" s="9">
        <f t="shared" si="33"/>
        <v>1599.6620313057701</v>
      </c>
      <c r="K285" s="9">
        <f t="shared" si="31"/>
        <v>308.44569674203001</v>
      </c>
      <c r="L285" s="10">
        <f t="shared" si="30"/>
        <v>0.19281928976600909</v>
      </c>
      <c r="M285" s="10">
        <f t="shared" si="34"/>
        <v>0.21282629112998475</v>
      </c>
      <c r="P285" s="8">
        <f t="shared" si="35"/>
        <v>2.3323289855417531</v>
      </c>
    </row>
    <row r="286" spans="1:16" x14ac:dyDescent="0.2">
      <c r="A286" s="8">
        <v>142</v>
      </c>
      <c r="B286" s="8">
        <v>284</v>
      </c>
      <c r="D286">
        <v>1754.2156448203</v>
      </c>
      <c r="E286">
        <v>430.95243128964</v>
      </c>
      <c r="F286">
        <v>154.28586609989</v>
      </c>
      <c r="G286">
        <v>124.1912858661</v>
      </c>
      <c r="I286" s="9">
        <f t="shared" si="32"/>
        <v>306.76114542354003</v>
      </c>
      <c r="J286" s="9">
        <f t="shared" si="33"/>
        <v>1599.92977872041</v>
      </c>
      <c r="K286" s="9">
        <f t="shared" si="31"/>
        <v>306.76114542354003</v>
      </c>
      <c r="L286" s="10">
        <f t="shared" si="30"/>
        <v>0.19173413077471507</v>
      </c>
      <c r="M286" s="10">
        <f t="shared" si="34"/>
        <v>0.21181182825658462</v>
      </c>
      <c r="P286" s="8">
        <f t="shared" si="35"/>
        <v>1.8445492664421259</v>
      </c>
    </row>
    <row r="287" spans="1:16" x14ac:dyDescent="0.2">
      <c r="A287" s="8">
        <v>142.5</v>
      </c>
      <c r="B287" s="8">
        <v>285</v>
      </c>
      <c r="D287">
        <v>1771.3890063424999</v>
      </c>
      <c r="E287">
        <v>433.84566596194998</v>
      </c>
      <c r="F287">
        <v>153.99149840595001</v>
      </c>
      <c r="G287">
        <v>123.91604675876999</v>
      </c>
      <c r="I287" s="9">
        <f t="shared" si="32"/>
        <v>309.92961920317998</v>
      </c>
      <c r="J287" s="9">
        <f t="shared" si="33"/>
        <v>1617.3975079365498</v>
      </c>
      <c r="K287" s="9">
        <f t="shared" si="31"/>
        <v>309.92961920317998</v>
      </c>
      <c r="L287" s="10">
        <f t="shared" si="30"/>
        <v>0.19162241668010438</v>
      </c>
      <c r="M287" s="10">
        <f t="shared" si="34"/>
        <v>0.21177081027986785</v>
      </c>
      <c r="P287" s="8">
        <f t="shared" si="35"/>
        <v>1.8248267732040233</v>
      </c>
    </row>
    <row r="288" spans="1:16" x14ac:dyDescent="0.2">
      <c r="A288" s="8">
        <v>143</v>
      </c>
      <c r="B288" s="8">
        <v>286</v>
      </c>
      <c r="D288">
        <v>1779.2019027484</v>
      </c>
      <c r="E288">
        <v>433.47463002114</v>
      </c>
      <c r="F288">
        <v>153.82678002124999</v>
      </c>
      <c r="G288">
        <v>123.91179596174</v>
      </c>
      <c r="I288" s="9">
        <f t="shared" si="32"/>
        <v>309.56283405940002</v>
      </c>
      <c r="J288" s="9">
        <f t="shared" si="33"/>
        <v>1625.37512272715</v>
      </c>
      <c r="K288" s="9">
        <f t="shared" si="31"/>
        <v>309.56283405940002</v>
      </c>
      <c r="L288" s="10">
        <f t="shared" si="30"/>
        <v>0.19045623975097961</v>
      </c>
      <c r="M288" s="10">
        <f t="shared" si="34"/>
        <v>0.21067532946863698</v>
      </c>
      <c r="P288" s="8">
        <f t="shared" si="35"/>
        <v>1.2980915555905284</v>
      </c>
    </row>
    <row r="289" spans="1:16" x14ac:dyDescent="0.2">
      <c r="A289" s="8">
        <v>143.5</v>
      </c>
      <c r="B289" s="8">
        <v>287</v>
      </c>
      <c r="D289">
        <v>1765.955602537</v>
      </c>
      <c r="E289">
        <v>430.09302325581001</v>
      </c>
      <c r="F289">
        <v>154.17003188097999</v>
      </c>
      <c r="G289">
        <v>124.39851222103999</v>
      </c>
      <c r="I289" s="9">
        <f t="shared" si="32"/>
        <v>305.69451103477002</v>
      </c>
      <c r="J289" s="9">
        <f t="shared" si="33"/>
        <v>1611.7855706560199</v>
      </c>
      <c r="K289" s="9">
        <f t="shared" si="31"/>
        <v>305.69451103477002</v>
      </c>
      <c r="L289" s="10">
        <f t="shared" si="30"/>
        <v>0.1896620224179994</v>
      </c>
      <c r="M289" s="10">
        <f t="shared" si="34"/>
        <v>0.20995180825355067</v>
      </c>
      <c r="P289" s="8">
        <f t="shared" si="35"/>
        <v>0.95020403371940954</v>
      </c>
    </row>
    <row r="290" spans="1:16" x14ac:dyDescent="0.2">
      <c r="A290" s="8">
        <v>144</v>
      </c>
      <c r="B290" s="8">
        <v>288</v>
      </c>
      <c r="D290">
        <v>1761.5496828753001</v>
      </c>
      <c r="E290">
        <v>428.04228329810002</v>
      </c>
      <c r="F290">
        <v>153.58235919235</v>
      </c>
      <c r="G290">
        <v>124.18809776833</v>
      </c>
      <c r="I290" s="9">
        <f t="shared" si="32"/>
        <v>303.85418552977001</v>
      </c>
      <c r="J290" s="9">
        <f t="shared" si="33"/>
        <v>1607.9673236829501</v>
      </c>
      <c r="K290" s="9">
        <f t="shared" si="31"/>
        <v>303.85418552977001</v>
      </c>
      <c r="L290" s="10">
        <f t="shared" si="30"/>
        <v>0.18896788576139142</v>
      </c>
      <c r="M290" s="10">
        <f t="shared" si="34"/>
        <v>0.20932836771483662</v>
      </c>
      <c r="P290" s="8">
        <f t="shared" si="35"/>
        <v>0.65043786304623674</v>
      </c>
    </row>
    <row r="291" spans="1:16" x14ac:dyDescent="0.2">
      <c r="A291" s="8">
        <v>144.5</v>
      </c>
      <c r="B291" s="8">
        <v>289</v>
      </c>
      <c r="D291">
        <v>1775.4038054968</v>
      </c>
      <c r="E291">
        <v>429.10253699789001</v>
      </c>
      <c r="F291">
        <v>153.42082890542</v>
      </c>
      <c r="G291">
        <v>123.43039319873</v>
      </c>
      <c r="I291" s="9">
        <f t="shared" si="32"/>
        <v>305.67214379916004</v>
      </c>
      <c r="J291" s="9">
        <f t="shared" si="33"/>
        <v>1621.9829765913801</v>
      </c>
      <c r="K291" s="9">
        <f t="shared" si="31"/>
        <v>305.67214379916004</v>
      </c>
      <c r="L291" s="10">
        <f t="shared" si="30"/>
        <v>0.18845582734877669</v>
      </c>
      <c r="M291" s="10">
        <f t="shared" si="34"/>
        <v>0.20888700542011579</v>
      </c>
      <c r="P291" s="8">
        <f t="shared" si="35"/>
        <v>0.43821957316587296</v>
      </c>
    </row>
    <row r="292" spans="1:16" x14ac:dyDescent="0.2">
      <c r="A292" s="8">
        <v>145</v>
      </c>
      <c r="B292" s="8">
        <v>290</v>
      </c>
      <c r="D292">
        <v>1791.6659597031</v>
      </c>
      <c r="E292">
        <v>432.60763520679001</v>
      </c>
      <c r="F292">
        <v>153.31243358130001</v>
      </c>
      <c r="G292">
        <v>124.16790648247</v>
      </c>
      <c r="I292" s="9">
        <f>E292-G292</f>
        <v>308.43972872431999</v>
      </c>
      <c r="J292" s="9">
        <f>D292-F292</f>
        <v>1638.3535261218001</v>
      </c>
      <c r="K292" s="9">
        <f t="shared" si="31"/>
        <v>308.43972872431999</v>
      </c>
      <c r="L292" s="10">
        <f t="shared" si="30"/>
        <v>0.18826201049198318</v>
      </c>
      <c r="M292" s="10">
        <f>L292+ABS($N$2)*A292</f>
        <v>0.20876388468121618</v>
      </c>
      <c r="O292" s="11"/>
      <c r="P292" s="8">
        <f>(M292-$O$2)/$O$2*100</f>
        <v>0.37901997009463823</v>
      </c>
    </row>
    <row r="293" spans="1:16" x14ac:dyDescent="0.2">
      <c r="A293" s="8">
        <v>145.5</v>
      </c>
      <c r="B293" s="8">
        <v>291</v>
      </c>
      <c r="D293">
        <v>1758.1168969181999</v>
      </c>
      <c r="E293">
        <v>427.90754516471998</v>
      </c>
      <c r="F293">
        <v>154.62274176407999</v>
      </c>
      <c r="G293">
        <v>123.97024442083</v>
      </c>
      <c r="I293" s="9">
        <f t="shared" ref="I293:I301" si="36">E293-G293</f>
        <v>303.93730074388998</v>
      </c>
      <c r="J293" s="9">
        <f t="shared" ref="J293:J301" si="37">D293-F293</f>
        <v>1603.4941551541199</v>
      </c>
      <c r="K293" s="9">
        <f t="shared" si="31"/>
        <v>303.93730074388998</v>
      </c>
      <c r="L293" s="10">
        <f t="shared" si="30"/>
        <v>0.1895468716034559</v>
      </c>
      <c r="M293" s="10">
        <f t="shared" ref="M293:M301" si="38">L293+ABS($N$2)*A293</f>
        <v>0.21011944191058282</v>
      </c>
      <c r="P293" s="8">
        <f t="shared" ref="P293:P301" si="39">(M293-$O$2)/$O$2*100</f>
        <v>1.0308065873296046</v>
      </c>
    </row>
    <row r="294" spans="1:16" x14ac:dyDescent="0.2">
      <c r="A294" s="8">
        <v>146</v>
      </c>
      <c r="B294" s="8">
        <v>292</v>
      </c>
      <c r="D294">
        <v>1714.5547290116999</v>
      </c>
      <c r="E294">
        <v>427.4431455898</v>
      </c>
      <c r="F294">
        <v>153.63336875664001</v>
      </c>
      <c r="G294">
        <v>123.49946865037001</v>
      </c>
      <c r="I294" s="9">
        <f t="shared" si="36"/>
        <v>303.94367693943002</v>
      </c>
      <c r="J294" s="9">
        <f t="shared" si="37"/>
        <v>1560.9213602550599</v>
      </c>
      <c r="K294" s="9">
        <f t="shared" si="31"/>
        <v>303.94367693943002</v>
      </c>
      <c r="L294" s="10">
        <f t="shared" si="30"/>
        <v>0.19472068528152153</v>
      </c>
      <c r="M294" s="10">
        <f t="shared" si="38"/>
        <v>0.21536395170654235</v>
      </c>
      <c r="N294" s="1"/>
      <c r="P294" s="8">
        <f t="shared" si="39"/>
        <v>3.5525011531586221</v>
      </c>
    </row>
    <row r="295" spans="1:16" x14ac:dyDescent="0.2">
      <c r="A295" s="8">
        <v>146.5</v>
      </c>
      <c r="B295" s="8">
        <v>293</v>
      </c>
      <c r="D295">
        <v>1766.7747077577001</v>
      </c>
      <c r="E295">
        <v>431.97449521785001</v>
      </c>
      <c r="F295">
        <v>154.07226354942</v>
      </c>
      <c r="G295">
        <v>123.88629117959999</v>
      </c>
      <c r="I295" s="9">
        <f t="shared" si="36"/>
        <v>308.08820403825001</v>
      </c>
      <c r="J295" s="9">
        <f t="shared" si="37"/>
        <v>1612.70244420828</v>
      </c>
      <c r="K295" s="9">
        <f t="shared" si="31"/>
        <v>308.08820403825001</v>
      </c>
      <c r="L295" s="10">
        <f t="shared" si="30"/>
        <v>0.19103846784922496</v>
      </c>
      <c r="M295" s="10">
        <f t="shared" si="38"/>
        <v>0.21175243039213967</v>
      </c>
      <c r="P295" s="8">
        <f t="shared" si="39"/>
        <v>1.8159892526715211</v>
      </c>
    </row>
    <row r="296" spans="1:16" x14ac:dyDescent="0.2">
      <c r="A296" s="8">
        <v>147</v>
      </c>
      <c r="B296" s="8">
        <v>294</v>
      </c>
      <c r="D296">
        <v>1721.3645058448999</v>
      </c>
      <c r="E296">
        <v>423.85759829967998</v>
      </c>
      <c r="F296">
        <v>153.75557917110001</v>
      </c>
      <c r="G296">
        <v>123.59617428268</v>
      </c>
      <c r="I296" s="9">
        <f t="shared" si="36"/>
        <v>300.26142401699997</v>
      </c>
      <c r="J296" s="9">
        <f t="shared" si="37"/>
        <v>1567.6089266737999</v>
      </c>
      <c r="K296" s="9">
        <f t="shared" si="31"/>
        <v>300.26142401699997</v>
      </c>
      <c r="L296" s="10">
        <f t="shared" si="30"/>
        <v>0.19154102717066288</v>
      </c>
      <c r="M296" s="10">
        <f t="shared" si="38"/>
        <v>0.21232568583147152</v>
      </c>
      <c r="P296" s="8">
        <f t="shared" si="39"/>
        <v>2.0916251428568597</v>
      </c>
    </row>
    <row r="297" spans="1:16" x14ac:dyDescent="0.2">
      <c r="A297" s="8">
        <v>147.5</v>
      </c>
      <c r="B297" s="8">
        <v>295</v>
      </c>
      <c r="D297">
        <v>1760.7555321391001</v>
      </c>
      <c r="E297">
        <v>426.25395152791998</v>
      </c>
      <c r="F297">
        <v>154.33368756642</v>
      </c>
      <c r="G297">
        <v>124.34431455898</v>
      </c>
      <c r="I297" s="9">
        <f t="shared" si="36"/>
        <v>301.90963696893999</v>
      </c>
      <c r="J297" s="9">
        <f t="shared" si="37"/>
        <v>1606.4218445726801</v>
      </c>
      <c r="K297" s="9">
        <f t="shared" si="31"/>
        <v>301.90963696893999</v>
      </c>
      <c r="L297" s="10">
        <f t="shared" si="30"/>
        <v>0.18793920039679873</v>
      </c>
      <c r="M297" s="10">
        <f t="shared" si="38"/>
        <v>0.20879455517550127</v>
      </c>
      <c r="P297" s="8">
        <f t="shared" si="39"/>
        <v>0.3937671288909857</v>
      </c>
    </row>
    <row r="298" spans="1:16" x14ac:dyDescent="0.2">
      <c r="A298" s="8">
        <v>148</v>
      </c>
      <c r="B298" s="8">
        <v>296</v>
      </c>
      <c r="D298">
        <v>1810.8901918977001</v>
      </c>
      <c r="E298">
        <v>436.72921108742003</v>
      </c>
      <c r="F298">
        <v>152.87885228479999</v>
      </c>
      <c r="G298">
        <v>123.94155154091</v>
      </c>
      <c r="I298" s="9">
        <f t="shared" si="36"/>
        <v>312.78765954651004</v>
      </c>
      <c r="J298" s="9">
        <f t="shared" si="37"/>
        <v>1658.0113396129002</v>
      </c>
      <c r="K298" s="9">
        <f t="shared" si="31"/>
        <v>312.78765954651004</v>
      </c>
      <c r="L298" s="10">
        <f t="shared" si="30"/>
        <v>0.18865230416309295</v>
      </c>
      <c r="M298" s="10">
        <f t="shared" si="38"/>
        <v>0.20957835505968939</v>
      </c>
      <c r="P298" s="8">
        <f t="shared" si="39"/>
        <v>0.770638177959731</v>
      </c>
    </row>
    <row r="299" spans="1:16" x14ac:dyDescent="0.2">
      <c r="A299" s="8">
        <v>148.5</v>
      </c>
      <c r="B299" s="8">
        <v>297</v>
      </c>
      <c r="D299">
        <v>1784.9829424306999</v>
      </c>
      <c r="E299">
        <v>431.07675906182999</v>
      </c>
      <c r="F299">
        <v>153.69287991498001</v>
      </c>
      <c r="G299">
        <v>123.94367693943001</v>
      </c>
      <c r="I299" s="9">
        <f t="shared" si="36"/>
        <v>307.13308212239997</v>
      </c>
      <c r="J299" s="9">
        <f t="shared" si="37"/>
        <v>1631.2900625157199</v>
      </c>
      <c r="K299" s="9">
        <f t="shared" si="31"/>
        <v>307.13308212239997</v>
      </c>
      <c r="L299" s="10">
        <f t="shared" si="30"/>
        <v>0.18827619267707044</v>
      </c>
      <c r="M299" s="10">
        <f t="shared" si="38"/>
        <v>0.2092729396915608</v>
      </c>
      <c r="P299" s="8">
        <f t="shared" si="39"/>
        <v>0.62378665053501814</v>
      </c>
    </row>
    <row r="300" spans="1:16" x14ac:dyDescent="0.2">
      <c r="A300" s="8">
        <v>149</v>
      </c>
      <c r="B300" s="8">
        <v>298</v>
      </c>
      <c r="D300">
        <v>1761.9989339019</v>
      </c>
      <c r="E300">
        <v>426.16950959488003</v>
      </c>
      <c r="F300">
        <v>153.25292242295001</v>
      </c>
      <c r="G300">
        <v>124.00425079702001</v>
      </c>
      <c r="I300" s="9">
        <f t="shared" si="36"/>
        <v>302.16525879786002</v>
      </c>
      <c r="J300" s="9">
        <f t="shared" si="37"/>
        <v>1608.7460114789501</v>
      </c>
      <c r="K300" s="9">
        <f t="shared" si="31"/>
        <v>302.16525879786002</v>
      </c>
      <c r="L300" s="10">
        <f t="shared" si="30"/>
        <v>0.18782657836713074</v>
      </c>
      <c r="M300" s="10">
        <f t="shared" si="38"/>
        <v>0.208894021499515</v>
      </c>
      <c r="P300" s="8">
        <f t="shared" si="39"/>
        <v>0.44159308374793693</v>
      </c>
    </row>
    <row r="301" spans="1:16" x14ac:dyDescent="0.2">
      <c r="A301" s="8">
        <v>149.5</v>
      </c>
      <c r="B301" s="8">
        <v>299</v>
      </c>
      <c r="D301">
        <v>1785.0927505330999</v>
      </c>
      <c r="E301">
        <v>429.30810234542002</v>
      </c>
      <c r="F301">
        <v>153.76620616366</v>
      </c>
      <c r="G301">
        <v>124.23698193411001</v>
      </c>
      <c r="I301" s="9">
        <f t="shared" si="36"/>
        <v>305.07112041131001</v>
      </c>
      <c r="J301" s="9">
        <f t="shared" si="37"/>
        <v>1631.3265443694399</v>
      </c>
      <c r="K301" s="9">
        <f t="shared" si="31"/>
        <v>305.07112041131001</v>
      </c>
      <c r="L301" s="10">
        <f t="shared" si="30"/>
        <v>0.1870080036791345</v>
      </c>
      <c r="M301" s="10">
        <f t="shared" si="38"/>
        <v>0.20814614292941266</v>
      </c>
      <c r="P301" s="8">
        <f t="shared" si="39"/>
        <v>8.1993922053171631E-2</v>
      </c>
    </row>
    <row r="302" spans="1:16" x14ac:dyDescent="0.2">
      <c r="A302" s="8">
        <v>150</v>
      </c>
      <c r="B302" s="8">
        <v>300</v>
      </c>
      <c r="D302">
        <v>1791.8976545841999</v>
      </c>
      <c r="E302">
        <v>428.02878464819003</v>
      </c>
      <c r="F302">
        <v>153.43676939426001</v>
      </c>
      <c r="G302">
        <v>123.62911795962</v>
      </c>
      <c r="I302" s="9">
        <f>E302-G302</f>
        <v>304.39966668857005</v>
      </c>
      <c r="J302" s="9">
        <f>D302-F302</f>
        <v>1638.46088518994</v>
      </c>
      <c r="K302" s="9">
        <f t="shared" si="31"/>
        <v>304.39966668857005</v>
      </c>
      <c r="L302" s="10">
        <f t="shared" si="30"/>
        <v>0.18578390820314411</v>
      </c>
      <c r="M302" s="10">
        <f>L302+ABS($N$2)*A302</f>
        <v>0.2069927435713162</v>
      </c>
      <c r="O302" s="11"/>
      <c r="P302" s="8">
        <f>(M302-$O$2)/$O$2*100</f>
        <v>-0.47259001556923919</v>
      </c>
    </row>
    <row r="303" spans="1:16" x14ac:dyDescent="0.2">
      <c r="A303" s="8">
        <v>150.5</v>
      </c>
      <c r="B303" s="8">
        <v>301</v>
      </c>
      <c r="D303">
        <v>1790.2441364606</v>
      </c>
      <c r="E303">
        <v>431.95735607675999</v>
      </c>
      <c r="F303">
        <v>153.98937300744001</v>
      </c>
      <c r="G303">
        <v>123.63336875664</v>
      </c>
      <c r="I303" s="9">
        <f t="shared" ref="I303:I309" si="40">E303-G303</f>
        <v>308.32398732012001</v>
      </c>
      <c r="J303" s="9">
        <f t="shared" ref="J303:J309" si="41">D303-F303</f>
        <v>1636.25476345316</v>
      </c>
      <c r="K303" s="9">
        <f t="shared" si="31"/>
        <v>308.32398732012001</v>
      </c>
      <c r="L303" s="10">
        <f t="shared" si="30"/>
        <v>0.18843275155357322</v>
      </c>
      <c r="M303" s="10">
        <f t="shared" ref="M303:M309" si="42">L303+ABS($N$2)*A303</f>
        <v>0.20971228303963921</v>
      </c>
      <c r="P303" s="8">
        <f t="shared" ref="P303:P309" si="43">(M303-$O$2)/$O$2*100</f>
        <v>0.83503417918602529</v>
      </c>
    </row>
    <row r="304" spans="1:16" x14ac:dyDescent="0.2">
      <c r="A304" s="8">
        <v>151</v>
      </c>
      <c r="B304" s="8">
        <v>302</v>
      </c>
      <c r="D304">
        <v>1786.4626865672001</v>
      </c>
      <c r="E304">
        <v>428.69083155649997</v>
      </c>
      <c r="F304">
        <v>153.27630180659</v>
      </c>
      <c r="G304">
        <v>124.1817215728</v>
      </c>
      <c r="I304" s="9">
        <f t="shared" si="40"/>
        <v>304.5091099837</v>
      </c>
      <c r="J304" s="9">
        <f t="shared" si="41"/>
        <v>1633.1863847606101</v>
      </c>
      <c r="K304" s="9">
        <f t="shared" si="31"/>
        <v>304.5091099837</v>
      </c>
      <c r="L304" s="10">
        <f t="shared" si="30"/>
        <v>0.18645092368213348</v>
      </c>
      <c r="M304" s="10">
        <f t="shared" si="42"/>
        <v>0.20780115128609336</v>
      </c>
      <c r="N304" s="1"/>
      <c r="P304" s="8">
        <f t="shared" si="43"/>
        <v>-8.3886891609326775E-2</v>
      </c>
    </row>
    <row r="305" spans="1:16" x14ac:dyDescent="0.2">
      <c r="A305" s="8">
        <v>151.5</v>
      </c>
      <c r="B305" s="8">
        <v>303</v>
      </c>
      <c r="D305">
        <v>1791.1695095949001</v>
      </c>
      <c r="E305">
        <v>431.29957356077</v>
      </c>
      <c r="F305">
        <v>153.28905419765999</v>
      </c>
      <c r="G305">
        <v>123.93623804463</v>
      </c>
      <c r="I305" s="9">
        <f t="shared" si="40"/>
        <v>307.36333551614001</v>
      </c>
      <c r="J305" s="9">
        <f t="shared" si="41"/>
        <v>1637.88045539724</v>
      </c>
      <c r="K305" s="9">
        <f t="shared" si="31"/>
        <v>307.36333551614001</v>
      </c>
      <c r="L305" s="10">
        <f t="shared" si="30"/>
        <v>0.18765919973176204</v>
      </c>
      <c r="M305" s="10">
        <f t="shared" si="42"/>
        <v>0.20908012345361582</v>
      </c>
      <c r="P305" s="8">
        <f t="shared" si="43"/>
        <v>0.53107566736476064</v>
      </c>
    </row>
    <row r="306" spans="1:16" x14ac:dyDescent="0.2">
      <c r="A306" s="8">
        <v>152</v>
      </c>
      <c r="B306" s="8">
        <v>304</v>
      </c>
      <c r="D306">
        <v>1793.5597014924999</v>
      </c>
      <c r="E306">
        <v>433.92217484009001</v>
      </c>
      <c r="F306">
        <v>153.68331562168001</v>
      </c>
      <c r="G306">
        <v>123.46333687566</v>
      </c>
      <c r="I306" s="9">
        <f t="shared" si="40"/>
        <v>310.45883796443002</v>
      </c>
      <c r="J306" s="9">
        <f t="shared" si="41"/>
        <v>1639.8763858708198</v>
      </c>
      <c r="K306" s="9">
        <f t="shared" si="31"/>
        <v>310.45883796443002</v>
      </c>
      <c r="L306" s="10">
        <f t="shared" si="30"/>
        <v>0.18931843926734013</v>
      </c>
      <c r="M306" s="10">
        <f t="shared" si="42"/>
        <v>0.21081005910708783</v>
      </c>
      <c r="P306" s="8">
        <f t="shared" si="43"/>
        <v>1.3628730147460359</v>
      </c>
    </row>
    <row r="307" spans="1:16" x14ac:dyDescent="0.2">
      <c r="A307" s="8">
        <v>152.5</v>
      </c>
      <c r="B307" s="8">
        <v>305</v>
      </c>
      <c r="D307">
        <v>1799.0735607675999</v>
      </c>
      <c r="E307">
        <v>431.02985074626997</v>
      </c>
      <c r="F307">
        <v>153.06588735387999</v>
      </c>
      <c r="G307">
        <v>124.02656748139999</v>
      </c>
      <c r="I307" s="9">
        <f t="shared" si="40"/>
        <v>307.00328326486999</v>
      </c>
      <c r="J307" s="9">
        <f t="shared" si="41"/>
        <v>1646.0076734137199</v>
      </c>
      <c r="K307" s="9">
        <f t="shared" si="31"/>
        <v>307.00328326486999</v>
      </c>
      <c r="L307" s="10">
        <f t="shared" si="30"/>
        <v>0.18651388339409369</v>
      </c>
      <c r="M307" s="10">
        <f t="shared" si="42"/>
        <v>0.2080761993517353</v>
      </c>
      <c r="P307" s="8">
        <f t="shared" si="43"/>
        <v>4.8363259397237568E-2</v>
      </c>
    </row>
    <row r="308" spans="1:16" x14ac:dyDescent="0.2">
      <c r="A308" s="8">
        <v>153</v>
      </c>
      <c r="B308" s="8">
        <v>306</v>
      </c>
      <c r="D308">
        <v>1779.4232409382</v>
      </c>
      <c r="E308">
        <v>425.82302771855001</v>
      </c>
      <c r="F308">
        <v>153.40701381509001</v>
      </c>
      <c r="G308">
        <v>123.58979808714</v>
      </c>
      <c r="I308" s="9">
        <f t="shared" si="40"/>
        <v>302.23322963141004</v>
      </c>
      <c r="J308" s="9">
        <f t="shared" si="41"/>
        <v>1626.01622712311</v>
      </c>
      <c r="K308" s="9">
        <f t="shared" si="31"/>
        <v>302.23322963141004</v>
      </c>
      <c r="L308" s="10">
        <f t="shared" si="30"/>
        <v>0.18587344000013301</v>
      </c>
      <c r="M308" s="10">
        <f t="shared" si="42"/>
        <v>0.20750645207566851</v>
      </c>
      <c r="P308" s="8">
        <f t="shared" si="43"/>
        <v>-0.22558581608363815</v>
      </c>
    </row>
    <row r="309" spans="1:16" x14ac:dyDescent="0.2">
      <c r="A309" s="8">
        <v>153.5</v>
      </c>
      <c r="B309" s="8">
        <v>307</v>
      </c>
      <c r="D309">
        <v>1786.8262260127999</v>
      </c>
      <c r="E309">
        <v>428.34754797441002</v>
      </c>
      <c r="F309">
        <v>153.31668437831999</v>
      </c>
      <c r="G309">
        <v>123.38788522848</v>
      </c>
      <c r="I309" s="9">
        <f t="shared" si="40"/>
        <v>304.95966274593002</v>
      </c>
      <c r="J309" s="9">
        <f t="shared" si="41"/>
        <v>1633.50954163448</v>
      </c>
      <c r="K309" s="9">
        <f t="shared" si="31"/>
        <v>304.95966274593002</v>
      </c>
      <c r="L309" s="10">
        <f t="shared" si="30"/>
        <v>0.18668985700615448</v>
      </c>
      <c r="M309" s="10">
        <f t="shared" si="42"/>
        <v>0.20839356519958391</v>
      </c>
      <c r="P309" s="8">
        <f t="shared" si="43"/>
        <v>0.20096088339559998</v>
      </c>
    </row>
    <row r="310" spans="1:16" x14ac:dyDescent="0.2">
      <c r="A310" s="8">
        <v>154</v>
      </c>
      <c r="B310" s="8">
        <v>308</v>
      </c>
      <c r="D310">
        <v>1778.4115138592999</v>
      </c>
      <c r="E310">
        <v>426.59594882728999</v>
      </c>
      <c r="F310">
        <v>152.78639744952</v>
      </c>
      <c r="G310">
        <v>123.41020191286</v>
      </c>
      <c r="I310" s="9">
        <f>E310-G310</f>
        <v>303.18574691442996</v>
      </c>
      <c r="J310" s="9">
        <f>D310-F310</f>
        <v>1625.6251164097798</v>
      </c>
      <c r="K310" s="9">
        <f t="shared" si="31"/>
        <v>303.18574691442996</v>
      </c>
      <c r="L310" s="10">
        <f t="shared" si="30"/>
        <v>0.18650409854888361</v>
      </c>
      <c r="M310" s="10">
        <f>L310+ABS($N$2)*A310</f>
        <v>0.20827850286020694</v>
      </c>
      <c r="O310" s="11"/>
      <c r="P310" s="8">
        <f>(M310-$O$2)/$O$2*100</f>
        <v>0.1456359651044723</v>
      </c>
    </row>
    <row r="311" spans="1:16" x14ac:dyDescent="0.2">
      <c r="A311" s="8">
        <v>154.5</v>
      </c>
      <c r="B311" s="8">
        <v>309</v>
      </c>
      <c r="D311">
        <v>1778.0319829424</v>
      </c>
      <c r="E311">
        <v>428.38699360341002</v>
      </c>
      <c r="F311">
        <v>153.14027630180999</v>
      </c>
      <c r="G311">
        <v>123.7555791711</v>
      </c>
      <c r="I311" s="9">
        <f t="shared" ref="I311:I319" si="44">E311-G311</f>
        <v>304.63141443231001</v>
      </c>
      <c r="J311" s="9">
        <f t="shared" ref="J311:J319" si="45">D311-F311</f>
        <v>1624.89170664059</v>
      </c>
      <c r="K311" s="9">
        <f t="shared" si="31"/>
        <v>304.63141443231001</v>
      </c>
      <c r="L311" s="10">
        <f t="shared" si="30"/>
        <v>0.18747797972464603</v>
      </c>
      <c r="M311" s="10">
        <f t="shared" ref="M311:M319" si="46">L311+ABS($N$2)*A311</f>
        <v>0.20932308015386325</v>
      </c>
      <c r="P311" s="8">
        <f t="shared" ref="P311:P319" si="47">(M311-$O$2)/$O$2*100</f>
        <v>0.64789546837222678</v>
      </c>
    </row>
    <row r="312" spans="1:16" x14ac:dyDescent="0.2">
      <c r="A312" s="8">
        <v>155</v>
      </c>
      <c r="B312" s="8">
        <v>310</v>
      </c>
      <c r="D312">
        <v>1781.0522388060001</v>
      </c>
      <c r="E312">
        <v>425.99680170575999</v>
      </c>
      <c r="F312">
        <v>152.73538788523001</v>
      </c>
      <c r="G312">
        <v>124.17959617427999</v>
      </c>
      <c r="I312" s="9">
        <f t="shared" si="44"/>
        <v>301.81720553148</v>
      </c>
      <c r="J312" s="9">
        <f t="shared" si="45"/>
        <v>1628.3168509207701</v>
      </c>
      <c r="K312" s="9">
        <f t="shared" si="31"/>
        <v>301.81720553148</v>
      </c>
      <c r="L312" s="10">
        <f t="shared" si="30"/>
        <v>0.18535532894645804</v>
      </c>
      <c r="M312" s="10">
        <f t="shared" si="46"/>
        <v>0.20727112549356919</v>
      </c>
      <c r="N312" s="1"/>
      <c r="P312" s="8">
        <f t="shared" si="47"/>
        <v>-0.33873686095958783</v>
      </c>
    </row>
    <row r="313" spans="1:16" x14ac:dyDescent="0.2">
      <c r="A313" s="8">
        <v>155.5</v>
      </c>
      <c r="B313" s="8">
        <v>311</v>
      </c>
      <c r="D313">
        <v>1784.670575693</v>
      </c>
      <c r="E313">
        <v>427.46695095949002</v>
      </c>
      <c r="F313">
        <v>153.50265674814</v>
      </c>
      <c r="G313">
        <v>123.88947927737</v>
      </c>
      <c r="I313" s="9">
        <f t="shared" si="44"/>
        <v>303.57747168212001</v>
      </c>
      <c r="J313" s="9">
        <f t="shared" si="45"/>
        <v>1631.16791894486</v>
      </c>
      <c r="K313" s="9">
        <f t="shared" si="31"/>
        <v>303.57747168212001</v>
      </c>
      <c r="L313" s="10">
        <f t="shared" si="30"/>
        <v>0.18611049675283745</v>
      </c>
      <c r="M313" s="10">
        <f t="shared" si="46"/>
        <v>0.20809698941784249</v>
      </c>
      <c r="P313" s="8">
        <f t="shared" si="47"/>
        <v>5.835965539331938E-2</v>
      </c>
    </row>
    <row r="314" spans="1:16" x14ac:dyDescent="0.2">
      <c r="A314" s="8">
        <v>156</v>
      </c>
      <c r="B314" s="8">
        <v>312</v>
      </c>
      <c r="D314">
        <v>1785.9392324093999</v>
      </c>
      <c r="E314">
        <v>425.99786780383999</v>
      </c>
      <c r="F314">
        <v>153.30074388948</v>
      </c>
      <c r="G314">
        <v>123.36981934113</v>
      </c>
      <c r="I314" s="9">
        <f t="shared" si="44"/>
        <v>302.62804846271001</v>
      </c>
      <c r="J314" s="9">
        <f t="shared" si="45"/>
        <v>1632.63848851992</v>
      </c>
      <c r="K314" s="9">
        <f t="shared" si="31"/>
        <v>302.62804846271001</v>
      </c>
      <c r="L314" s="10">
        <f t="shared" si="30"/>
        <v>0.1853613341781864</v>
      </c>
      <c r="M314" s="10">
        <f t="shared" si="46"/>
        <v>0.20741852296108534</v>
      </c>
      <c r="P314" s="8">
        <f t="shared" si="47"/>
        <v>-0.26786438530155521</v>
      </c>
    </row>
    <row r="315" spans="1:16" x14ac:dyDescent="0.2">
      <c r="A315" s="8">
        <v>156.5</v>
      </c>
      <c r="B315" s="8">
        <v>313</v>
      </c>
      <c r="D315">
        <v>1785.7931769723</v>
      </c>
      <c r="E315">
        <v>425.82515991471001</v>
      </c>
      <c r="F315">
        <v>153.46652497343001</v>
      </c>
      <c r="G315">
        <v>124.1041445271</v>
      </c>
      <c r="I315" s="9">
        <f t="shared" si="44"/>
        <v>301.72101538761001</v>
      </c>
      <c r="J315" s="9">
        <f t="shared" si="45"/>
        <v>1632.3266519988699</v>
      </c>
      <c r="K315" s="9">
        <f t="shared" si="31"/>
        <v>301.72101538761001</v>
      </c>
      <c r="L315" s="10">
        <f t="shared" si="30"/>
        <v>0.18484107639738451</v>
      </c>
      <c r="M315" s="10">
        <f t="shared" si="46"/>
        <v>0.20696896129817738</v>
      </c>
      <c r="P315" s="8">
        <f t="shared" si="47"/>
        <v>-0.48402514130461671</v>
      </c>
    </row>
    <row r="316" spans="1:16" x14ac:dyDescent="0.2">
      <c r="A316" s="8">
        <v>157</v>
      </c>
      <c r="B316" s="8">
        <v>314</v>
      </c>
      <c r="D316">
        <v>1793.2212765956999</v>
      </c>
      <c r="E316">
        <v>426.52659574467998</v>
      </c>
      <c r="F316">
        <v>153.49946865037001</v>
      </c>
      <c r="G316">
        <v>123.42189160468</v>
      </c>
      <c r="I316" s="9">
        <f t="shared" si="44"/>
        <v>303.10470413999997</v>
      </c>
      <c r="J316" s="9">
        <f t="shared" si="45"/>
        <v>1639.7218079453298</v>
      </c>
      <c r="K316" s="9">
        <f t="shared" si="31"/>
        <v>303.10470413999997</v>
      </c>
      <c r="L316" s="10">
        <f t="shared" si="30"/>
        <v>0.18485129774532205</v>
      </c>
      <c r="M316" s="10">
        <f t="shared" si="46"/>
        <v>0.20704987876400882</v>
      </c>
      <c r="P316" s="8">
        <f t="shared" si="47"/>
        <v>-0.44511795230002998</v>
      </c>
    </row>
    <row r="317" spans="1:16" x14ac:dyDescent="0.2">
      <c r="A317" s="8">
        <v>157.5</v>
      </c>
      <c r="B317" s="8">
        <v>315</v>
      </c>
      <c r="D317">
        <v>1789.3968085106001</v>
      </c>
      <c r="E317">
        <v>424.54361702128</v>
      </c>
      <c r="F317">
        <v>152.82040382572001</v>
      </c>
      <c r="G317">
        <v>123.84378320934999</v>
      </c>
      <c r="I317" s="9">
        <f t="shared" si="44"/>
        <v>300.69983381193003</v>
      </c>
      <c r="J317" s="9">
        <f t="shared" si="45"/>
        <v>1636.5764046848801</v>
      </c>
      <c r="K317" s="9">
        <f t="shared" si="31"/>
        <v>300.69983381193003</v>
      </c>
      <c r="L317" s="10">
        <f t="shared" si="30"/>
        <v>0.18373711911716659</v>
      </c>
      <c r="M317" s="10">
        <f t="shared" si="46"/>
        <v>0.20600639625374725</v>
      </c>
      <c r="P317" s="8">
        <f t="shared" si="47"/>
        <v>-0.94685105568587058</v>
      </c>
    </row>
    <row r="318" spans="1:16" x14ac:dyDescent="0.2">
      <c r="A318" s="8">
        <v>158</v>
      </c>
      <c r="B318" s="8">
        <v>316</v>
      </c>
      <c r="D318">
        <v>1771.5382978723001</v>
      </c>
      <c r="E318">
        <v>421.58510638297997</v>
      </c>
      <c r="F318">
        <v>153.45696068013001</v>
      </c>
      <c r="G318">
        <v>123.45908607864</v>
      </c>
      <c r="I318" s="9">
        <f t="shared" si="44"/>
        <v>298.12602030433999</v>
      </c>
      <c r="J318" s="9">
        <f t="shared" si="45"/>
        <v>1618.0813371921699</v>
      </c>
      <c r="K318" s="9">
        <f t="shared" si="31"/>
        <v>298.12602030433999</v>
      </c>
      <c r="L318" s="10">
        <f t="shared" si="30"/>
        <v>0.18424662187975865</v>
      </c>
      <c r="M318" s="10">
        <f t="shared" si="46"/>
        <v>0.20658659513423325</v>
      </c>
      <c r="P318" s="8">
        <f t="shared" si="47"/>
        <v>-0.66787658124618177</v>
      </c>
    </row>
    <row r="319" spans="1:16" x14ac:dyDescent="0.2">
      <c r="A319" s="8">
        <v>158.5</v>
      </c>
      <c r="B319" s="8">
        <v>317</v>
      </c>
      <c r="D319">
        <v>1787.0531914894</v>
      </c>
      <c r="E319">
        <v>426.99042553191998</v>
      </c>
      <c r="F319">
        <v>153.50265674814</v>
      </c>
      <c r="G319">
        <v>123.37194473964</v>
      </c>
      <c r="I319" s="9">
        <f t="shared" si="44"/>
        <v>303.61848079227997</v>
      </c>
      <c r="J319" s="9">
        <f t="shared" si="45"/>
        <v>1633.55053474126</v>
      </c>
      <c r="K319" s="9">
        <f t="shared" si="31"/>
        <v>303.61848079227997</v>
      </c>
      <c r="L319" s="10">
        <f t="shared" si="30"/>
        <v>0.18586414949224112</v>
      </c>
      <c r="M319" s="10">
        <f t="shared" si="46"/>
        <v>0.20827481886460961</v>
      </c>
      <c r="P319" s="8">
        <f t="shared" si="47"/>
        <v>0.14386460571346019</v>
      </c>
    </row>
    <row r="320" spans="1:16" x14ac:dyDescent="0.2">
      <c r="A320" s="8">
        <v>159</v>
      </c>
      <c r="B320" s="8">
        <v>318</v>
      </c>
      <c r="D320">
        <v>1789.6680851064</v>
      </c>
      <c r="E320">
        <v>425.30106382979</v>
      </c>
      <c r="F320">
        <v>152.83421891604999</v>
      </c>
      <c r="G320">
        <v>123.85122210415</v>
      </c>
      <c r="I320" s="9">
        <f>E320-G320</f>
        <v>301.44984172564</v>
      </c>
      <c r="J320" s="9">
        <f>D320-F320</f>
        <v>1636.8338661903499</v>
      </c>
      <c r="K320" s="9">
        <f t="shared" si="31"/>
        <v>301.44984172564</v>
      </c>
      <c r="L320" s="10">
        <f t="shared" si="30"/>
        <v>0.18416642516521828</v>
      </c>
      <c r="M320" s="10">
        <f>L320+ABS($N$2)*A320</f>
        <v>0.20664779065548067</v>
      </c>
      <c r="O320" s="11"/>
      <c r="P320" s="8">
        <f>(M320-$O$2)/$O$2*100</f>
        <v>-0.63845220806614078</v>
      </c>
    </row>
    <row r="321" spans="1:16" x14ac:dyDescent="0.2">
      <c r="A321" s="8">
        <v>159.5</v>
      </c>
      <c r="B321" s="8">
        <v>319</v>
      </c>
      <c r="D321">
        <v>1785.2542553192</v>
      </c>
      <c r="E321">
        <v>427.13723404255001</v>
      </c>
      <c r="F321">
        <v>153.47927736451001</v>
      </c>
      <c r="G321">
        <v>123.63655685441</v>
      </c>
      <c r="I321" s="9">
        <f t="shared" ref="I321:I322" si="48">E321-G321</f>
        <v>303.50067718814</v>
      </c>
      <c r="J321" s="9">
        <f t="shared" ref="J321:J322" si="49">D321-F321</f>
        <v>1631.77497795469</v>
      </c>
      <c r="K321" s="9">
        <f t="shared" si="31"/>
        <v>303.50067718814</v>
      </c>
      <c r="L321" s="10">
        <f t="shared" si="30"/>
        <v>0.18599419729340119</v>
      </c>
      <c r="M321" s="10">
        <f t="shared" ref="M321:M322" si="50">L321+ABS($N$2)*A321</f>
        <v>0.20854625890155748</v>
      </c>
      <c r="P321" s="8">
        <f t="shared" ref="P321:P322" si="51">(M321-$O$2)/$O$2*100</f>
        <v>0.27437992416080537</v>
      </c>
    </row>
    <row r="322" spans="1:16" x14ac:dyDescent="0.2">
      <c r="A322" s="8">
        <v>160</v>
      </c>
      <c r="B322" s="8">
        <v>320</v>
      </c>
      <c r="D322">
        <v>1700.6925531915001</v>
      </c>
      <c r="E322">
        <v>411.30212765956998</v>
      </c>
      <c r="F322">
        <v>152.79596174283</v>
      </c>
      <c r="G322">
        <v>123.62380446333999</v>
      </c>
      <c r="I322" s="9">
        <f t="shared" si="48"/>
        <v>287.67832319623</v>
      </c>
      <c r="J322" s="9">
        <f t="shared" si="49"/>
        <v>1547.8965914486701</v>
      </c>
      <c r="K322" s="9">
        <f t="shared" ref="K322" si="52">I322*1</f>
        <v>287.67832319623</v>
      </c>
      <c r="L322" s="10">
        <f t="shared" ref="L322" si="53">K322/J322</f>
        <v>0.18585112518853281</v>
      </c>
      <c r="M322" s="10">
        <f t="shared" si="50"/>
        <v>0.20847388291458302</v>
      </c>
      <c r="P322" s="8">
        <f t="shared" si="51"/>
        <v>0.23957969684678324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A94-F5CD-234C-A351-81E254FF4BD0}">
  <dimension ref="A1:Y798"/>
  <sheetViews>
    <sheetView topLeftCell="E1" zoomScale="70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2327.5373364125999</v>
      </c>
      <c r="E2">
        <v>536.40877598151997</v>
      </c>
      <c r="F2">
        <v>127.0773395205</v>
      </c>
      <c r="G2">
        <v>111.29389017788</v>
      </c>
      <c r="H2" s="4"/>
      <c r="I2" s="5">
        <f>E2-G2</f>
        <v>425.11488580363994</v>
      </c>
      <c r="J2" s="5">
        <f>D2-F2</f>
        <v>2200.4599968920998</v>
      </c>
      <c r="K2" s="9">
        <f>I2*1</f>
        <v>425.11488580363994</v>
      </c>
      <c r="L2" s="6">
        <f t="shared" ref="L2:L65" si="0">K2/J2</f>
        <v>0.19319364423987098</v>
      </c>
      <c r="M2" s="6">
        <f>L2+ABS($N$2)*A2</f>
        <v>0.19319364423987098</v>
      </c>
      <c r="N2" s="4">
        <f>LINEST(V64:V103,U64:U103)</f>
        <v>-2.1957098723305731E-4</v>
      </c>
      <c r="O2" s="7">
        <f>AVERAGE(M62:M81)</f>
        <v>0.20336457938745678</v>
      </c>
      <c r="P2" s="4">
        <f>(M2-$O$2)/$O$2*100</f>
        <v>-5.0013307028299172</v>
      </c>
    </row>
    <row r="3" spans="1:16" x14ac:dyDescent="0.2">
      <c r="A3" s="8">
        <v>0.5</v>
      </c>
      <c r="B3" s="8">
        <v>1</v>
      </c>
      <c r="D3">
        <v>2338.7759815242998</v>
      </c>
      <c r="E3">
        <v>541.29330254041997</v>
      </c>
      <c r="F3">
        <v>126.98143851508</v>
      </c>
      <c r="G3">
        <v>111.22660479504999</v>
      </c>
      <c r="I3" s="9">
        <f t="shared" ref="I3:I66" si="1">E3-G3</f>
        <v>430.06669774536999</v>
      </c>
      <c r="J3" s="9">
        <f t="shared" ref="J3:J66" si="2">D3-F3</f>
        <v>2211.79454300922</v>
      </c>
      <c r="K3" s="9">
        <f t="shared" ref="K3:K66" si="3">I3*1</f>
        <v>430.06669774536999</v>
      </c>
      <c r="L3" s="10">
        <f t="shared" si="0"/>
        <v>0.19444242644719159</v>
      </c>
      <c r="M3" s="10">
        <f t="shared" ref="M3:M66" si="4">L3+ABS($N$2)*A3</f>
        <v>0.19455221194080813</v>
      </c>
      <c r="P3" s="8">
        <f t="shared" ref="P3:P66" si="5">(M3-$O$2)/$O$2*100</f>
        <v>-4.333285311135251</v>
      </c>
    </row>
    <row r="4" spans="1:16" ht="16" x14ac:dyDescent="0.2">
      <c r="A4" s="8">
        <v>1</v>
      </c>
      <c r="B4" s="8">
        <v>2</v>
      </c>
      <c r="D4">
        <v>2343.7913779831001</v>
      </c>
      <c r="E4">
        <v>539.04926866820995</v>
      </c>
      <c r="F4">
        <v>126.77880897138</v>
      </c>
      <c r="G4">
        <v>111.05800464037</v>
      </c>
      <c r="I4" s="9">
        <f t="shared" si="1"/>
        <v>427.99126402783997</v>
      </c>
      <c r="J4" s="9">
        <f t="shared" si="2"/>
        <v>2217.0125690117202</v>
      </c>
      <c r="K4" s="9">
        <f t="shared" si="3"/>
        <v>427.99126402783997</v>
      </c>
      <c r="L4" s="10">
        <f t="shared" si="0"/>
        <v>0.19304864122562285</v>
      </c>
      <c r="M4" s="10">
        <f t="shared" si="4"/>
        <v>0.19326821221285589</v>
      </c>
      <c r="N4" s="1" t="s">
        <v>7</v>
      </c>
      <c r="P4" s="8">
        <f t="shared" si="5"/>
        <v>-4.9646635638377115</v>
      </c>
    </row>
    <row r="5" spans="1:16" x14ac:dyDescent="0.2">
      <c r="A5" s="8">
        <v>1.5</v>
      </c>
      <c r="B5" s="8">
        <v>3</v>
      </c>
      <c r="D5">
        <v>2349.2224788299</v>
      </c>
      <c r="E5">
        <v>543.75057736720998</v>
      </c>
      <c r="F5">
        <v>127.14307811291999</v>
      </c>
      <c r="G5">
        <v>110.98530549111</v>
      </c>
      <c r="I5" s="9">
        <f t="shared" si="1"/>
        <v>432.76527187609997</v>
      </c>
      <c r="J5" s="9">
        <f t="shared" si="2"/>
        <v>2222.0794007169798</v>
      </c>
      <c r="K5" s="9">
        <f t="shared" si="3"/>
        <v>432.76527187609997</v>
      </c>
      <c r="L5" s="10">
        <f t="shared" si="0"/>
        <v>0.19475688930668419</v>
      </c>
      <c r="M5" s="10">
        <f t="shared" si="4"/>
        <v>0.19508624578753378</v>
      </c>
      <c r="N5" s="8">
        <f>RSQ(V64:V83,U64:U83)</f>
        <v>0.39760967718268686</v>
      </c>
      <c r="P5" s="8">
        <f t="shared" si="5"/>
        <v>-4.0706860677792127</v>
      </c>
    </row>
    <row r="6" spans="1:16" x14ac:dyDescent="0.2">
      <c r="A6" s="8">
        <v>2</v>
      </c>
      <c r="B6" s="8">
        <v>4</v>
      </c>
      <c r="D6">
        <v>2335.0769822941002</v>
      </c>
      <c r="E6">
        <v>550.39799846034998</v>
      </c>
      <c r="F6">
        <v>127.03866976025</v>
      </c>
      <c r="G6">
        <v>110.98066511988</v>
      </c>
      <c r="I6" s="9">
        <f t="shared" si="1"/>
        <v>439.41733334047001</v>
      </c>
      <c r="J6" s="9">
        <f t="shared" si="2"/>
        <v>2208.0383125338503</v>
      </c>
      <c r="K6" s="9">
        <f t="shared" si="3"/>
        <v>439.41733334047001</v>
      </c>
      <c r="L6" s="10">
        <f t="shared" si="0"/>
        <v>0.19900802030749795</v>
      </c>
      <c r="M6" s="10">
        <f t="shared" si="4"/>
        <v>0.19944716228196407</v>
      </c>
      <c r="P6" s="8">
        <f t="shared" si="5"/>
        <v>-1.9263025632546928</v>
      </c>
    </row>
    <row r="7" spans="1:16" x14ac:dyDescent="0.2">
      <c r="A7" s="8">
        <v>2.5</v>
      </c>
      <c r="B7" s="8">
        <v>5</v>
      </c>
      <c r="D7">
        <v>2341.5889145496999</v>
      </c>
      <c r="E7">
        <v>549.17321016165999</v>
      </c>
      <c r="F7">
        <v>127.39365815932</v>
      </c>
      <c r="G7">
        <v>111.17324052591</v>
      </c>
      <c r="I7" s="9">
        <f t="shared" si="1"/>
        <v>437.99996963575001</v>
      </c>
      <c r="J7" s="9">
        <f t="shared" si="2"/>
        <v>2214.1952563903801</v>
      </c>
      <c r="K7" s="9">
        <f t="shared" si="3"/>
        <v>437.99996963575001</v>
      </c>
      <c r="L7" s="10">
        <f t="shared" si="0"/>
        <v>0.19781451900939631</v>
      </c>
      <c r="M7" s="10">
        <f t="shared" si="4"/>
        <v>0.19836344647747894</v>
      </c>
      <c r="P7" s="8">
        <f t="shared" si="5"/>
        <v>-2.4591956598545681</v>
      </c>
    </row>
    <row r="8" spans="1:16" x14ac:dyDescent="0.2">
      <c r="A8" s="8">
        <v>3</v>
      </c>
      <c r="B8" s="8">
        <v>6</v>
      </c>
      <c r="D8">
        <v>2348.1162432640999</v>
      </c>
      <c r="E8">
        <v>547.85758275597004</v>
      </c>
      <c r="F8">
        <v>127.14617169374</v>
      </c>
      <c r="G8">
        <v>111.31399845321</v>
      </c>
      <c r="I8" s="9">
        <f t="shared" si="1"/>
        <v>436.54358430276005</v>
      </c>
      <c r="J8" s="9">
        <f t="shared" si="2"/>
        <v>2220.9700715703598</v>
      </c>
      <c r="K8" s="9">
        <f t="shared" si="3"/>
        <v>436.54358430276005</v>
      </c>
      <c r="L8" s="10">
        <f t="shared" si="0"/>
        <v>0.19655536555433969</v>
      </c>
      <c r="M8" s="10">
        <f t="shared" si="4"/>
        <v>0.19721407851603887</v>
      </c>
      <c r="P8" s="8">
        <f t="shared" si="5"/>
        <v>-3.0243717415999862</v>
      </c>
    </row>
    <row r="9" spans="1:16" x14ac:dyDescent="0.2">
      <c r="A9" s="8">
        <v>3.5</v>
      </c>
      <c r="B9" s="8">
        <v>7</v>
      </c>
      <c r="D9">
        <v>2350.5773672055002</v>
      </c>
      <c r="E9">
        <v>546.47959969207</v>
      </c>
      <c r="F9">
        <v>127.11059551431001</v>
      </c>
      <c r="G9">
        <v>111.32869296210001</v>
      </c>
      <c r="I9" s="9">
        <f t="shared" si="1"/>
        <v>435.15090672996996</v>
      </c>
      <c r="J9" s="9">
        <f t="shared" si="2"/>
        <v>2223.4667716911904</v>
      </c>
      <c r="K9" s="9">
        <f t="shared" si="3"/>
        <v>435.15090672996996</v>
      </c>
      <c r="L9" s="10">
        <f t="shared" si="0"/>
        <v>0.19570830212991669</v>
      </c>
      <c r="M9" s="10">
        <f t="shared" si="4"/>
        <v>0.1964768005852324</v>
      </c>
      <c r="P9" s="8">
        <f t="shared" si="5"/>
        <v>-3.3869117340741837</v>
      </c>
    </row>
    <row r="10" spans="1:16" x14ac:dyDescent="0.2">
      <c r="A10" s="8">
        <v>4</v>
      </c>
      <c r="B10" s="8">
        <v>8</v>
      </c>
      <c r="D10">
        <v>2062.6243264048999</v>
      </c>
      <c r="E10">
        <v>526.41570438798999</v>
      </c>
      <c r="F10">
        <v>127.11523588554</v>
      </c>
      <c r="G10">
        <v>111.37819025522001</v>
      </c>
      <c r="I10" s="9">
        <f t="shared" si="1"/>
        <v>415.03751413276996</v>
      </c>
      <c r="J10" s="9">
        <f t="shared" si="2"/>
        <v>1935.5090905193599</v>
      </c>
      <c r="K10" s="9">
        <f t="shared" si="3"/>
        <v>415.03751413276996</v>
      </c>
      <c r="L10" s="10">
        <f t="shared" si="0"/>
        <v>0.21443325488148543</v>
      </c>
      <c r="M10" s="10">
        <f t="shared" si="4"/>
        <v>0.21531153883041765</v>
      </c>
      <c r="P10" s="8">
        <f t="shared" si="5"/>
        <v>5.8746510719544407</v>
      </c>
    </row>
    <row r="11" spans="1:16" x14ac:dyDescent="0.2">
      <c r="A11" s="8">
        <v>4.5</v>
      </c>
      <c r="B11" s="8">
        <v>9</v>
      </c>
      <c r="D11">
        <v>2089.6535796766998</v>
      </c>
      <c r="E11">
        <v>528.82602001539999</v>
      </c>
      <c r="F11">
        <v>127.52822892498</v>
      </c>
      <c r="G11">
        <v>111.47099767981</v>
      </c>
      <c r="I11" s="9">
        <f t="shared" si="1"/>
        <v>417.35502233558998</v>
      </c>
      <c r="J11" s="9">
        <f t="shared" si="2"/>
        <v>1962.1253507517199</v>
      </c>
      <c r="K11" s="9">
        <f t="shared" si="3"/>
        <v>417.35502233558998</v>
      </c>
      <c r="L11" s="10">
        <f t="shared" si="0"/>
        <v>0.21270558589730007</v>
      </c>
      <c r="M11" s="10">
        <f t="shared" si="4"/>
        <v>0.21369365533984883</v>
      </c>
      <c r="P11" s="8">
        <f t="shared" si="5"/>
        <v>5.0790929194767775</v>
      </c>
    </row>
    <row r="12" spans="1:16" x14ac:dyDescent="0.2">
      <c r="A12" s="8">
        <v>5</v>
      </c>
      <c r="B12" s="8">
        <v>10</v>
      </c>
      <c r="D12">
        <v>1308.2532717475001</v>
      </c>
      <c r="E12">
        <v>399.61354888376002</v>
      </c>
      <c r="F12">
        <v>127.6249033256</v>
      </c>
      <c r="G12">
        <v>111.59860788863</v>
      </c>
      <c r="I12" s="9">
        <f t="shared" si="1"/>
        <v>288.01494099513002</v>
      </c>
      <c r="J12" s="9">
        <f t="shared" si="2"/>
        <v>1180.6283684219002</v>
      </c>
      <c r="K12" s="9">
        <f t="shared" si="3"/>
        <v>288.01494099513002</v>
      </c>
      <c r="L12" s="10">
        <f t="shared" si="0"/>
        <v>0.24395055099354282</v>
      </c>
      <c r="M12" s="10">
        <f t="shared" si="4"/>
        <v>0.24504840592970811</v>
      </c>
      <c r="P12" s="8">
        <f t="shared" si="5"/>
        <v>20.497092791578989</v>
      </c>
    </row>
    <row r="13" spans="1:16" x14ac:dyDescent="0.2">
      <c r="A13" s="8">
        <v>5.5</v>
      </c>
      <c r="B13" s="8">
        <v>11</v>
      </c>
      <c r="D13">
        <v>2337.3456505004001</v>
      </c>
      <c r="E13">
        <v>549.04080061586001</v>
      </c>
      <c r="F13">
        <v>127.79040989946</v>
      </c>
      <c r="G13">
        <v>111.33410672853999</v>
      </c>
      <c r="I13" s="9">
        <f t="shared" si="1"/>
        <v>437.70669388732</v>
      </c>
      <c r="J13" s="9">
        <f t="shared" si="2"/>
        <v>2209.5552406009401</v>
      </c>
      <c r="K13" s="9">
        <f t="shared" si="3"/>
        <v>437.70669388732</v>
      </c>
      <c r="L13" s="10">
        <f t="shared" si="0"/>
        <v>0.19809719433322492</v>
      </c>
      <c r="M13" s="10">
        <f t="shared" si="4"/>
        <v>0.19930483476300673</v>
      </c>
      <c r="P13" s="8">
        <f t="shared" si="5"/>
        <v>-1.9962889489793079</v>
      </c>
    </row>
    <row r="14" spans="1:16" x14ac:dyDescent="0.2">
      <c r="A14" s="8">
        <v>6</v>
      </c>
      <c r="B14" s="8">
        <v>12</v>
      </c>
      <c r="D14">
        <v>2322.6982294072</v>
      </c>
      <c r="E14">
        <v>536.42340261740003</v>
      </c>
      <c r="F14">
        <v>127.73240525909</v>
      </c>
      <c r="G14">
        <v>111.47950502707</v>
      </c>
      <c r="I14" s="9">
        <f t="shared" si="1"/>
        <v>424.94389759033004</v>
      </c>
      <c r="J14" s="9">
        <f t="shared" si="2"/>
        <v>2194.9658241481102</v>
      </c>
      <c r="K14" s="9">
        <f t="shared" si="3"/>
        <v>424.94389759033004</v>
      </c>
      <c r="L14" s="10">
        <f t="shared" si="0"/>
        <v>0.19359932301235502</v>
      </c>
      <c r="M14" s="10">
        <f t="shared" si="4"/>
        <v>0.19491674893575336</v>
      </c>
      <c r="P14" s="8">
        <f t="shared" si="5"/>
        <v>-4.1540323674597897</v>
      </c>
    </row>
    <row r="15" spans="1:16" x14ac:dyDescent="0.2">
      <c r="A15" s="8">
        <v>6.5</v>
      </c>
      <c r="B15" s="8">
        <v>13</v>
      </c>
      <c r="D15">
        <v>2165.3214837712999</v>
      </c>
      <c r="E15">
        <v>510.21561051005</v>
      </c>
      <c r="F15">
        <v>127.86852281516001</v>
      </c>
      <c r="G15">
        <v>111.20649651972001</v>
      </c>
      <c r="I15" s="9">
        <f t="shared" si="1"/>
        <v>399.00911399032998</v>
      </c>
      <c r="J15" s="9">
        <f t="shared" si="2"/>
        <v>2037.4529609561398</v>
      </c>
      <c r="K15" s="9">
        <f t="shared" si="3"/>
        <v>399.00911399032998</v>
      </c>
      <c r="L15" s="10">
        <f t="shared" si="0"/>
        <v>0.19583721520769845</v>
      </c>
      <c r="M15" s="10">
        <f t="shared" si="4"/>
        <v>0.19726442662471333</v>
      </c>
      <c r="P15" s="8">
        <f t="shared" si="5"/>
        <v>-2.9996141811506125</v>
      </c>
    </row>
    <row r="16" spans="1:16" x14ac:dyDescent="0.2">
      <c r="A16" s="8">
        <v>7</v>
      </c>
      <c r="B16" s="8">
        <v>14</v>
      </c>
      <c r="D16">
        <v>2180.6081916538001</v>
      </c>
      <c r="E16">
        <v>511.34389489953998</v>
      </c>
      <c r="F16">
        <v>128.06109822119001</v>
      </c>
      <c r="G16">
        <v>111.46017014695001</v>
      </c>
      <c r="I16" s="9">
        <f t="shared" si="1"/>
        <v>399.88372475258996</v>
      </c>
      <c r="J16" s="9">
        <f t="shared" si="2"/>
        <v>2052.5470934326099</v>
      </c>
      <c r="K16" s="9">
        <f t="shared" si="3"/>
        <v>399.88372475258996</v>
      </c>
      <c r="L16" s="10">
        <f t="shared" si="0"/>
        <v>0.19482316680190662</v>
      </c>
      <c r="M16" s="10">
        <f t="shared" si="4"/>
        <v>0.19636016371253801</v>
      </c>
      <c r="P16" s="8">
        <f t="shared" si="5"/>
        <v>-3.4442653170067214</v>
      </c>
    </row>
    <row r="17" spans="1:16" x14ac:dyDescent="0.2">
      <c r="A17" s="8">
        <v>7.5</v>
      </c>
      <c r="B17" s="8">
        <v>15</v>
      </c>
      <c r="D17">
        <v>2177.4737248841002</v>
      </c>
      <c r="E17">
        <v>512.71329211747002</v>
      </c>
      <c r="F17">
        <v>127.92498066512</v>
      </c>
      <c r="G17">
        <v>111.75096674401</v>
      </c>
      <c r="I17" s="9">
        <f t="shared" si="1"/>
        <v>400.96232537346003</v>
      </c>
      <c r="J17" s="9">
        <f t="shared" si="2"/>
        <v>2049.5487442189801</v>
      </c>
      <c r="K17" s="9">
        <f t="shared" si="3"/>
        <v>400.96232537346003</v>
      </c>
      <c r="L17" s="10">
        <f t="shared" si="0"/>
        <v>0.19563444221779386</v>
      </c>
      <c r="M17" s="10">
        <f t="shared" si="4"/>
        <v>0.19728122462204178</v>
      </c>
      <c r="P17" s="8">
        <f t="shared" si="5"/>
        <v>-2.9913541403022745</v>
      </c>
    </row>
    <row r="18" spans="1:16" x14ac:dyDescent="0.2">
      <c r="A18" s="8">
        <v>8</v>
      </c>
      <c r="B18" s="8">
        <v>16</v>
      </c>
      <c r="D18">
        <v>2193.1058732612</v>
      </c>
      <c r="E18">
        <v>515.45595054095998</v>
      </c>
      <c r="F18">
        <v>127.50038669760001</v>
      </c>
      <c r="G18">
        <v>111.65738592421</v>
      </c>
      <c r="I18" s="9">
        <f t="shared" si="1"/>
        <v>403.79856461674996</v>
      </c>
      <c r="J18" s="9">
        <f t="shared" si="2"/>
        <v>2065.6054865636002</v>
      </c>
      <c r="K18" s="9">
        <f t="shared" si="3"/>
        <v>403.79856461674996</v>
      </c>
      <c r="L18" s="10">
        <f t="shared" si="0"/>
        <v>0.19548677966019576</v>
      </c>
      <c r="M18" s="10">
        <f t="shared" si="4"/>
        <v>0.19724334755806022</v>
      </c>
      <c r="P18" s="8">
        <f t="shared" si="5"/>
        <v>-3.0099793424371053</v>
      </c>
    </row>
    <row r="19" spans="1:16" x14ac:dyDescent="0.2">
      <c r="A19" s="8">
        <v>8.5</v>
      </c>
      <c r="B19" s="8">
        <v>17</v>
      </c>
      <c r="D19">
        <v>2197.1707882535002</v>
      </c>
      <c r="E19">
        <v>515.25811437403001</v>
      </c>
      <c r="F19">
        <v>128.06805877804001</v>
      </c>
      <c r="G19">
        <v>111.58546017015</v>
      </c>
      <c r="I19" s="9">
        <f t="shared" si="1"/>
        <v>403.67265420388003</v>
      </c>
      <c r="J19" s="9">
        <f t="shared" si="2"/>
        <v>2069.1027294754604</v>
      </c>
      <c r="K19" s="9">
        <f t="shared" si="3"/>
        <v>403.67265420388003</v>
      </c>
      <c r="L19" s="10">
        <f t="shared" si="0"/>
        <v>0.19509551094459934</v>
      </c>
      <c r="M19" s="10">
        <f t="shared" si="4"/>
        <v>0.19696186433608032</v>
      </c>
      <c r="P19" s="8">
        <f t="shared" si="5"/>
        <v>-3.1483924440832944</v>
      </c>
    </row>
    <row r="20" spans="1:16" x14ac:dyDescent="0.2">
      <c r="A20" s="8">
        <v>9</v>
      </c>
      <c r="B20" s="8">
        <v>18</v>
      </c>
      <c r="D20">
        <v>2051.6901081916999</v>
      </c>
      <c r="E20">
        <v>482.24111282844001</v>
      </c>
      <c r="F20">
        <v>128.28770301623999</v>
      </c>
      <c r="G20">
        <v>111.66666666667</v>
      </c>
      <c r="I20" s="9">
        <f t="shared" si="1"/>
        <v>370.57444616177003</v>
      </c>
      <c r="J20" s="9">
        <f t="shared" si="2"/>
        <v>1923.40240517546</v>
      </c>
      <c r="K20" s="9">
        <f t="shared" si="3"/>
        <v>370.57444616177003</v>
      </c>
      <c r="L20" s="10">
        <f t="shared" si="0"/>
        <v>0.19266610313298679</v>
      </c>
      <c r="M20" s="10">
        <f t="shared" si="4"/>
        <v>0.1946422420180843</v>
      </c>
      <c r="P20" s="8">
        <f t="shared" si="5"/>
        <v>-4.2890150269258021</v>
      </c>
    </row>
    <row r="21" spans="1:16" x14ac:dyDescent="0.2">
      <c r="A21" s="8">
        <v>9.5</v>
      </c>
      <c r="B21" s="8">
        <v>19</v>
      </c>
      <c r="D21">
        <v>2059.4853168469999</v>
      </c>
      <c r="E21">
        <v>483.86476043277003</v>
      </c>
      <c r="F21">
        <v>128.44006187162</v>
      </c>
      <c r="G21">
        <v>111.60247486466</v>
      </c>
      <c r="I21" s="9">
        <f t="shared" si="1"/>
        <v>372.26228556811003</v>
      </c>
      <c r="J21" s="9">
        <f t="shared" si="2"/>
        <v>1931.04525497538</v>
      </c>
      <c r="K21" s="9">
        <f t="shared" si="3"/>
        <v>372.26228556811003</v>
      </c>
      <c r="L21" s="10">
        <f t="shared" si="0"/>
        <v>0.19277760819378426</v>
      </c>
      <c r="M21" s="10">
        <f t="shared" si="4"/>
        <v>0.1948635325724983</v>
      </c>
      <c r="P21" s="8">
        <f t="shared" si="5"/>
        <v>-4.1802003281810469</v>
      </c>
    </row>
    <row r="22" spans="1:16" x14ac:dyDescent="0.2">
      <c r="A22" s="8">
        <v>10</v>
      </c>
      <c r="B22" s="8">
        <v>20</v>
      </c>
      <c r="D22">
        <v>2086.5239567233002</v>
      </c>
      <c r="E22">
        <v>489.73802163833</v>
      </c>
      <c r="F22">
        <v>128.47409126062999</v>
      </c>
      <c r="G22">
        <v>111.85150812065</v>
      </c>
      <c r="I22" s="9">
        <f t="shared" si="1"/>
        <v>377.88651351767999</v>
      </c>
      <c r="J22" s="9">
        <f t="shared" si="2"/>
        <v>1958.0498654626701</v>
      </c>
      <c r="K22" s="9">
        <f t="shared" si="3"/>
        <v>377.88651351767999</v>
      </c>
      <c r="L22" s="10">
        <f t="shared" si="0"/>
        <v>0.19299126145001863</v>
      </c>
      <c r="M22" s="10">
        <f t="shared" si="4"/>
        <v>0.19518697132234919</v>
      </c>
      <c r="P22" s="8">
        <f t="shared" si="5"/>
        <v>-4.0211565306696526</v>
      </c>
    </row>
    <row r="23" spans="1:16" x14ac:dyDescent="0.2">
      <c r="A23" s="8">
        <v>10.5</v>
      </c>
      <c r="B23" s="8">
        <v>21</v>
      </c>
      <c r="D23">
        <v>2095.9891808346001</v>
      </c>
      <c r="E23">
        <v>492.95285935085002</v>
      </c>
      <c r="F23">
        <v>128.50348027842</v>
      </c>
      <c r="G23">
        <v>111.73627223510999</v>
      </c>
      <c r="I23" s="9">
        <f t="shared" si="1"/>
        <v>381.21658711574003</v>
      </c>
      <c r="J23" s="9">
        <f t="shared" si="2"/>
        <v>1967.4857005561801</v>
      </c>
      <c r="K23" s="9">
        <f t="shared" si="3"/>
        <v>381.21658711574003</v>
      </c>
      <c r="L23" s="10">
        <f t="shared" si="0"/>
        <v>0.19375825044521316</v>
      </c>
      <c r="M23" s="10">
        <f t="shared" si="4"/>
        <v>0.19606374581116026</v>
      </c>
      <c r="P23" s="8">
        <f t="shared" si="5"/>
        <v>-3.5900222144323042</v>
      </c>
    </row>
    <row r="24" spans="1:16" x14ac:dyDescent="0.2">
      <c r="A24" s="8">
        <v>11</v>
      </c>
      <c r="B24" s="8">
        <v>22</v>
      </c>
      <c r="D24">
        <v>2098.4149922719998</v>
      </c>
      <c r="E24">
        <v>493.75965996909002</v>
      </c>
      <c r="F24">
        <v>128.27996906419</v>
      </c>
      <c r="G24">
        <v>111.59551430781001</v>
      </c>
      <c r="I24" s="9">
        <f t="shared" si="1"/>
        <v>382.16414566128003</v>
      </c>
      <c r="J24" s="9">
        <f t="shared" si="2"/>
        <v>1970.1350232078098</v>
      </c>
      <c r="K24" s="9">
        <f t="shared" si="3"/>
        <v>382.16414566128003</v>
      </c>
      <c r="L24" s="10">
        <f t="shared" si="0"/>
        <v>0.19397865687349358</v>
      </c>
      <c r="M24" s="10">
        <f t="shared" si="4"/>
        <v>0.19639393773305722</v>
      </c>
      <c r="P24" s="8">
        <f t="shared" si="5"/>
        <v>-3.4276576950595072</v>
      </c>
    </row>
    <row r="25" spans="1:16" x14ac:dyDescent="0.2">
      <c r="A25" s="8">
        <v>11.5</v>
      </c>
      <c r="B25" s="8">
        <v>23</v>
      </c>
      <c r="D25">
        <v>2095.8292117464998</v>
      </c>
      <c r="E25">
        <v>492.68778979907</v>
      </c>
      <c r="F25">
        <v>128.15622583140001</v>
      </c>
      <c r="G25">
        <v>111.85614849188001</v>
      </c>
      <c r="I25" s="9">
        <f t="shared" si="1"/>
        <v>380.83164130719001</v>
      </c>
      <c r="J25" s="9">
        <f t="shared" si="2"/>
        <v>1967.6729859150998</v>
      </c>
      <c r="K25" s="9">
        <f t="shared" si="3"/>
        <v>380.83164130719001</v>
      </c>
      <c r="L25" s="10">
        <f t="shared" si="0"/>
        <v>0.19354417326112641</v>
      </c>
      <c r="M25" s="10">
        <f t="shared" si="4"/>
        <v>0.19606923961430658</v>
      </c>
      <c r="P25" s="8">
        <f t="shared" si="5"/>
        <v>-3.5873207591627239</v>
      </c>
    </row>
    <row r="26" spans="1:16" x14ac:dyDescent="0.2">
      <c r="A26" s="8">
        <v>12</v>
      </c>
      <c r="B26" s="8">
        <v>24</v>
      </c>
      <c r="D26">
        <v>2097.0850077280002</v>
      </c>
      <c r="E26">
        <v>494.57727975271001</v>
      </c>
      <c r="F26">
        <v>128.27687548336999</v>
      </c>
      <c r="G26">
        <v>111.905645785</v>
      </c>
      <c r="I26" s="9">
        <f t="shared" si="1"/>
        <v>382.67163396771002</v>
      </c>
      <c r="J26" s="9">
        <f t="shared" si="2"/>
        <v>1968.8081322446301</v>
      </c>
      <c r="K26" s="9">
        <f t="shared" si="3"/>
        <v>382.67163396771002</v>
      </c>
      <c r="L26" s="10">
        <f t="shared" si="0"/>
        <v>0.19436715426984125</v>
      </c>
      <c r="M26" s="10">
        <f t="shared" si="4"/>
        <v>0.19700200611663793</v>
      </c>
      <c r="P26" s="8">
        <f t="shared" si="5"/>
        <v>-3.1286536180406666</v>
      </c>
    </row>
    <row r="27" spans="1:16" x14ac:dyDescent="0.2">
      <c r="A27" s="8">
        <v>12.5</v>
      </c>
      <c r="B27" s="8">
        <v>25</v>
      </c>
      <c r="D27">
        <v>2087.5772797527002</v>
      </c>
      <c r="E27">
        <v>495.87094281297999</v>
      </c>
      <c r="F27">
        <v>128.54060324826</v>
      </c>
      <c r="G27">
        <v>111.8275328693</v>
      </c>
      <c r="I27" s="9">
        <f t="shared" si="1"/>
        <v>384.04340994367999</v>
      </c>
      <c r="J27" s="9">
        <f t="shared" si="2"/>
        <v>1959.0366765044403</v>
      </c>
      <c r="K27" s="9">
        <f t="shared" si="3"/>
        <v>384.04340994367999</v>
      </c>
      <c r="L27" s="10">
        <f t="shared" si="0"/>
        <v>0.19603686574614751</v>
      </c>
      <c r="M27" s="10">
        <f t="shared" si="4"/>
        <v>0.19878150308656073</v>
      </c>
      <c r="P27" s="8">
        <f t="shared" si="5"/>
        <v>-2.2536256385947251</v>
      </c>
    </row>
    <row r="28" spans="1:16" x14ac:dyDescent="0.2">
      <c r="A28" s="8">
        <v>13</v>
      </c>
      <c r="B28" s="8">
        <v>26</v>
      </c>
      <c r="D28">
        <v>2100.2387944359002</v>
      </c>
      <c r="E28">
        <v>497.92349304482002</v>
      </c>
      <c r="F28">
        <v>128.44934261408</v>
      </c>
      <c r="G28">
        <v>111.77262180975001</v>
      </c>
      <c r="I28" s="9">
        <f t="shared" si="1"/>
        <v>386.15087123506999</v>
      </c>
      <c r="J28" s="9">
        <f t="shared" si="2"/>
        <v>1971.7894518218202</v>
      </c>
      <c r="K28" s="9">
        <f t="shared" si="3"/>
        <v>386.15087123506999</v>
      </c>
      <c r="L28" s="10">
        <f t="shared" si="0"/>
        <v>0.19583778119833675</v>
      </c>
      <c r="M28" s="10">
        <f t="shared" si="4"/>
        <v>0.19869220403236651</v>
      </c>
      <c r="P28" s="8">
        <f t="shared" si="5"/>
        <v>-2.2975364584942337</v>
      </c>
    </row>
    <row r="29" spans="1:16" x14ac:dyDescent="0.2">
      <c r="A29" s="8">
        <v>13.5</v>
      </c>
      <c r="B29" s="8">
        <v>27</v>
      </c>
      <c r="D29">
        <v>2104.3887171561</v>
      </c>
      <c r="E29">
        <v>495.96522411128001</v>
      </c>
      <c r="F29">
        <v>128.36194895592001</v>
      </c>
      <c r="G29">
        <v>112.00386697603</v>
      </c>
      <c r="I29" s="9">
        <f t="shared" si="1"/>
        <v>383.96135713525001</v>
      </c>
      <c r="J29" s="9">
        <f t="shared" si="2"/>
        <v>1976.02676820018</v>
      </c>
      <c r="K29" s="9">
        <f t="shared" si="3"/>
        <v>383.96135713525001</v>
      </c>
      <c r="L29" s="10">
        <f t="shared" si="0"/>
        <v>0.19430979545128971</v>
      </c>
      <c r="M29" s="10">
        <f t="shared" si="4"/>
        <v>0.19727400377893597</v>
      </c>
      <c r="P29" s="8">
        <f t="shared" si="5"/>
        <v>-2.9949048289854066</v>
      </c>
    </row>
    <row r="30" spans="1:16" x14ac:dyDescent="0.2">
      <c r="A30" s="8">
        <v>14</v>
      </c>
      <c r="B30" s="8">
        <v>28</v>
      </c>
      <c r="D30">
        <v>2110.828438949</v>
      </c>
      <c r="E30">
        <v>498.21947449767998</v>
      </c>
      <c r="F30">
        <v>128.56612529002001</v>
      </c>
      <c r="G30">
        <v>111.56689868523</v>
      </c>
      <c r="I30" s="9">
        <f t="shared" si="1"/>
        <v>386.65257581244998</v>
      </c>
      <c r="J30" s="9">
        <f t="shared" si="2"/>
        <v>1982.26231365898</v>
      </c>
      <c r="K30" s="9">
        <f t="shared" si="3"/>
        <v>386.65257581244998</v>
      </c>
      <c r="L30" s="10">
        <f t="shared" si="0"/>
        <v>0.19505621084968477</v>
      </c>
      <c r="M30" s="10">
        <f t="shared" si="4"/>
        <v>0.19813020467094758</v>
      </c>
      <c r="P30" s="8">
        <f t="shared" si="5"/>
        <v>-2.573887120498255</v>
      </c>
    </row>
    <row r="31" spans="1:16" x14ac:dyDescent="0.2">
      <c r="A31" s="8">
        <v>14.5</v>
      </c>
      <c r="B31" s="8">
        <v>29</v>
      </c>
      <c r="D31">
        <v>2111.2465224111002</v>
      </c>
      <c r="E31">
        <v>501.40803709428002</v>
      </c>
      <c r="F31">
        <v>128.65351894817999</v>
      </c>
      <c r="G31">
        <v>111.79814385151001</v>
      </c>
      <c r="I31" s="9">
        <f t="shared" si="1"/>
        <v>389.60989324277</v>
      </c>
      <c r="J31" s="9">
        <f t="shared" si="2"/>
        <v>1982.5930034629203</v>
      </c>
      <c r="K31" s="9">
        <f t="shared" si="3"/>
        <v>389.60989324277</v>
      </c>
      <c r="L31" s="10">
        <f t="shared" si="0"/>
        <v>0.19651531734564437</v>
      </c>
      <c r="M31" s="10">
        <f t="shared" si="4"/>
        <v>0.19969909666052371</v>
      </c>
      <c r="P31" s="8">
        <f t="shared" si="5"/>
        <v>-1.8024194468740158</v>
      </c>
    </row>
    <row r="32" spans="1:16" x14ac:dyDescent="0.2">
      <c r="A32" s="8">
        <v>15</v>
      </c>
      <c r="B32" s="8">
        <v>30</v>
      </c>
      <c r="D32">
        <v>2118.8183925810999</v>
      </c>
      <c r="E32">
        <v>501.05873261206</v>
      </c>
      <c r="F32">
        <v>128.75870069606</v>
      </c>
      <c r="G32">
        <v>111.89791183295</v>
      </c>
      <c r="I32" s="9">
        <f t="shared" si="1"/>
        <v>389.16082077911</v>
      </c>
      <c r="J32" s="9">
        <f t="shared" si="2"/>
        <v>1990.0596918850399</v>
      </c>
      <c r="K32" s="9">
        <f t="shared" si="3"/>
        <v>389.16082077911</v>
      </c>
      <c r="L32" s="10">
        <f t="shared" si="0"/>
        <v>0.19555233562390587</v>
      </c>
      <c r="M32" s="10">
        <f t="shared" si="4"/>
        <v>0.19884590043240172</v>
      </c>
      <c r="P32" s="8">
        <f t="shared" si="5"/>
        <v>-2.2219596788514129</v>
      </c>
    </row>
    <row r="33" spans="1:16" x14ac:dyDescent="0.2">
      <c r="A33" s="8">
        <v>15.5</v>
      </c>
      <c r="B33" s="8">
        <v>31</v>
      </c>
      <c r="D33">
        <v>2117.4119010818999</v>
      </c>
      <c r="E33">
        <v>502.34621329212001</v>
      </c>
      <c r="F33">
        <v>128.8909512761</v>
      </c>
      <c r="G33">
        <v>112.13070378963999</v>
      </c>
      <c r="I33" s="9">
        <f t="shared" si="1"/>
        <v>390.21550950248002</v>
      </c>
      <c r="J33" s="9">
        <f t="shared" si="2"/>
        <v>1988.5209498058</v>
      </c>
      <c r="K33" s="9">
        <f t="shared" si="3"/>
        <v>390.21550950248002</v>
      </c>
      <c r="L33" s="10">
        <f t="shared" si="0"/>
        <v>0.19623404497729263</v>
      </c>
      <c r="M33" s="10">
        <f t="shared" si="4"/>
        <v>0.19963739527940502</v>
      </c>
      <c r="P33" s="8">
        <f t="shared" si="5"/>
        <v>-1.832759726043838</v>
      </c>
    </row>
    <row r="34" spans="1:16" x14ac:dyDescent="0.2">
      <c r="A34" s="8">
        <v>16</v>
      </c>
      <c r="B34" s="8">
        <v>32</v>
      </c>
      <c r="D34">
        <v>2126.8624420402002</v>
      </c>
      <c r="E34">
        <v>502.97217928903001</v>
      </c>
      <c r="F34">
        <v>129.35498839907001</v>
      </c>
      <c r="G34">
        <v>111.7965970611</v>
      </c>
      <c r="I34" s="9">
        <f t="shared" si="1"/>
        <v>391.17558222793002</v>
      </c>
      <c r="J34" s="9">
        <f t="shared" si="2"/>
        <v>1997.5074536411303</v>
      </c>
      <c r="K34" s="9">
        <f t="shared" si="3"/>
        <v>391.17558222793002</v>
      </c>
      <c r="L34" s="10">
        <f t="shared" si="0"/>
        <v>0.19583185109766713</v>
      </c>
      <c r="M34" s="10">
        <f t="shared" si="4"/>
        <v>0.19934498689339605</v>
      </c>
      <c r="P34" s="8">
        <f t="shared" si="5"/>
        <v>-1.9765450336375774</v>
      </c>
    </row>
    <row r="35" spans="1:16" x14ac:dyDescent="0.2">
      <c r="A35" s="8">
        <v>16.5</v>
      </c>
      <c r="B35" s="8">
        <v>33</v>
      </c>
      <c r="D35">
        <v>2110.2704791345</v>
      </c>
      <c r="E35">
        <v>500.68238021638001</v>
      </c>
      <c r="F35">
        <v>128.89791183295</v>
      </c>
      <c r="G35">
        <v>111.57153905646</v>
      </c>
      <c r="I35" s="9">
        <f t="shared" si="1"/>
        <v>389.11084115992003</v>
      </c>
      <c r="J35" s="9">
        <f t="shared" si="2"/>
        <v>1981.3725673015499</v>
      </c>
      <c r="K35" s="9">
        <f t="shared" si="3"/>
        <v>389.11084115992003</v>
      </c>
      <c r="L35" s="10">
        <f t="shared" si="0"/>
        <v>0.19638449001535022</v>
      </c>
      <c r="M35" s="10">
        <f t="shared" si="4"/>
        <v>0.20000741130469565</v>
      </c>
      <c r="P35" s="8">
        <f t="shared" si="5"/>
        <v>-1.6508125912944456</v>
      </c>
    </row>
    <row r="36" spans="1:16" x14ac:dyDescent="0.2">
      <c r="A36" s="8">
        <v>17</v>
      </c>
      <c r="B36" s="8">
        <v>34</v>
      </c>
      <c r="D36">
        <v>2108.9706336939998</v>
      </c>
      <c r="E36">
        <v>501.20556414219999</v>
      </c>
      <c r="F36">
        <v>128.76334106729001</v>
      </c>
      <c r="G36">
        <v>111.50889404486</v>
      </c>
      <c r="I36" s="9">
        <f t="shared" si="1"/>
        <v>389.69667009733996</v>
      </c>
      <c r="J36" s="9">
        <f t="shared" si="2"/>
        <v>1980.2072926267099</v>
      </c>
      <c r="K36" s="9">
        <f t="shared" si="3"/>
        <v>389.69667009733996</v>
      </c>
      <c r="L36" s="10">
        <f t="shared" si="0"/>
        <v>0.1967958968479579</v>
      </c>
      <c r="M36" s="10">
        <f t="shared" si="4"/>
        <v>0.20052860363091987</v>
      </c>
      <c r="P36" s="8">
        <f t="shared" si="5"/>
        <v>-1.394527879475862</v>
      </c>
    </row>
    <row r="37" spans="1:16" x14ac:dyDescent="0.2">
      <c r="A37" s="8">
        <v>17.5</v>
      </c>
      <c r="B37" s="8">
        <v>35</v>
      </c>
      <c r="D37">
        <v>2101.9026275115998</v>
      </c>
      <c r="E37">
        <v>499.34312210201</v>
      </c>
      <c r="F37">
        <v>128.93503480278</v>
      </c>
      <c r="G37">
        <v>112.06883217324</v>
      </c>
      <c r="I37" s="9">
        <f t="shared" si="1"/>
        <v>387.27428992877003</v>
      </c>
      <c r="J37" s="9">
        <f t="shared" si="2"/>
        <v>1972.9675927088199</v>
      </c>
      <c r="K37" s="9">
        <f t="shared" si="3"/>
        <v>387.27428992877003</v>
      </c>
      <c r="L37" s="10">
        <f t="shared" si="0"/>
        <v>0.19629024387423166</v>
      </c>
      <c r="M37" s="10">
        <f t="shared" si="4"/>
        <v>0.20013273615081018</v>
      </c>
      <c r="P37" s="8">
        <f t="shared" si="5"/>
        <v>-1.5891868910412321</v>
      </c>
    </row>
    <row r="38" spans="1:16" x14ac:dyDescent="0.2">
      <c r="A38" s="8">
        <v>18</v>
      </c>
      <c r="B38" s="8">
        <v>36</v>
      </c>
      <c r="D38">
        <v>2117.2789799072998</v>
      </c>
      <c r="E38">
        <v>500.78902627512002</v>
      </c>
      <c r="F38">
        <v>129.48955916473</v>
      </c>
      <c r="G38">
        <v>111.5150812065</v>
      </c>
      <c r="I38" s="9">
        <f t="shared" si="1"/>
        <v>389.27394506862004</v>
      </c>
      <c r="J38" s="9">
        <f t="shared" si="2"/>
        <v>1987.7894207425697</v>
      </c>
      <c r="K38" s="9">
        <f t="shared" si="3"/>
        <v>389.27394506862004</v>
      </c>
      <c r="L38" s="10">
        <f t="shared" si="0"/>
        <v>0.19583258719789376</v>
      </c>
      <c r="M38" s="10">
        <f t="shared" si="4"/>
        <v>0.19978486496808878</v>
      </c>
      <c r="P38" s="8">
        <f t="shared" si="5"/>
        <v>-1.760244792947846</v>
      </c>
    </row>
    <row r="39" spans="1:16" x14ac:dyDescent="0.2">
      <c r="A39" s="8">
        <v>18.5</v>
      </c>
      <c r="B39" s="8">
        <v>37</v>
      </c>
      <c r="D39">
        <v>2118.3809891808</v>
      </c>
      <c r="E39">
        <v>502.37635239566998</v>
      </c>
      <c r="F39">
        <v>128.98375870070001</v>
      </c>
      <c r="G39">
        <v>112.09667440062</v>
      </c>
      <c r="I39" s="9">
        <f t="shared" si="1"/>
        <v>390.27967799504995</v>
      </c>
      <c r="J39" s="9">
        <f t="shared" si="2"/>
        <v>1989.3972304801</v>
      </c>
      <c r="K39" s="9">
        <f t="shared" si="3"/>
        <v>390.27967799504995</v>
      </c>
      <c r="L39" s="10">
        <f t="shared" si="0"/>
        <v>0.19617986393841716</v>
      </c>
      <c r="M39" s="10">
        <f t="shared" si="4"/>
        <v>0.20024192720222872</v>
      </c>
      <c r="P39" s="8">
        <f t="shared" si="5"/>
        <v>-1.5354946247933769</v>
      </c>
    </row>
    <row r="40" spans="1:16" x14ac:dyDescent="0.2">
      <c r="A40" s="8">
        <v>19</v>
      </c>
      <c r="B40" s="8">
        <v>38</v>
      </c>
      <c r="D40">
        <v>2120.8122102009002</v>
      </c>
      <c r="E40">
        <v>503.68933539413001</v>
      </c>
      <c r="F40">
        <v>129.52822892498</v>
      </c>
      <c r="G40">
        <v>112.03248259861</v>
      </c>
      <c r="I40" s="9">
        <f t="shared" si="1"/>
        <v>391.65685279552002</v>
      </c>
      <c r="J40" s="9">
        <f t="shared" si="2"/>
        <v>1991.2839812759203</v>
      </c>
      <c r="K40" s="9">
        <f t="shared" si="3"/>
        <v>391.65685279552002</v>
      </c>
      <c r="L40" s="10">
        <f t="shared" si="0"/>
        <v>0.1966855840142725</v>
      </c>
      <c r="M40" s="10">
        <f t="shared" si="4"/>
        <v>0.20085743277170059</v>
      </c>
      <c r="P40" s="8">
        <f t="shared" si="5"/>
        <v>-1.232833477347836</v>
      </c>
    </row>
    <row r="41" spans="1:16" x14ac:dyDescent="0.2">
      <c r="A41" s="8">
        <v>19.5</v>
      </c>
      <c r="B41" s="8">
        <v>39</v>
      </c>
      <c r="D41">
        <v>2114.0370942813001</v>
      </c>
      <c r="E41">
        <v>501.39026275115998</v>
      </c>
      <c r="F41">
        <v>128.61562258314001</v>
      </c>
      <c r="G41">
        <v>111.78731631863999</v>
      </c>
      <c r="I41" s="9">
        <f t="shared" si="1"/>
        <v>389.60294643251996</v>
      </c>
      <c r="J41" s="9">
        <f t="shared" si="2"/>
        <v>1985.4214716981601</v>
      </c>
      <c r="K41" s="9">
        <f t="shared" si="3"/>
        <v>389.60294643251996</v>
      </c>
      <c r="L41" s="10">
        <f t="shared" si="0"/>
        <v>0.19623185907186086</v>
      </c>
      <c r="M41" s="10">
        <f t="shared" si="4"/>
        <v>0.20051349332290547</v>
      </c>
      <c r="P41" s="8">
        <f t="shared" si="5"/>
        <v>-1.4019580367136255</v>
      </c>
    </row>
    <row r="42" spans="1:16" x14ac:dyDescent="0.2">
      <c r="A42" s="8">
        <v>20</v>
      </c>
      <c r="B42" s="8">
        <v>40</v>
      </c>
      <c r="D42">
        <v>2093.0888717155999</v>
      </c>
      <c r="E42">
        <v>497.04791344668001</v>
      </c>
      <c r="F42">
        <v>129.11523588553999</v>
      </c>
      <c r="G42">
        <v>111.68445475638001</v>
      </c>
      <c r="I42" s="9">
        <f t="shared" si="1"/>
        <v>385.36345869030004</v>
      </c>
      <c r="J42" s="9">
        <f t="shared" si="2"/>
        <v>1963.9736358300599</v>
      </c>
      <c r="K42" s="9">
        <f t="shared" si="3"/>
        <v>385.36345869030004</v>
      </c>
      <c r="L42" s="10">
        <f t="shared" si="0"/>
        <v>0.19621620762105027</v>
      </c>
      <c r="M42" s="10">
        <f t="shared" si="4"/>
        <v>0.20060762736571142</v>
      </c>
      <c r="P42" s="8">
        <f t="shared" si="5"/>
        <v>-1.3556697189104541</v>
      </c>
    </row>
    <row r="43" spans="1:16" x14ac:dyDescent="0.2">
      <c r="A43" s="8">
        <v>20.5</v>
      </c>
      <c r="B43" s="8">
        <v>41</v>
      </c>
      <c r="D43">
        <v>2033.9219474498</v>
      </c>
      <c r="E43">
        <v>486.04095826893001</v>
      </c>
      <c r="F43">
        <v>129.86465583912999</v>
      </c>
      <c r="G43">
        <v>111.9528228925</v>
      </c>
      <c r="I43" s="9">
        <f t="shared" si="1"/>
        <v>374.08813537643005</v>
      </c>
      <c r="J43" s="9">
        <f t="shared" si="2"/>
        <v>1904.0572916106701</v>
      </c>
      <c r="K43" s="9">
        <f t="shared" si="3"/>
        <v>374.08813537643005</v>
      </c>
      <c r="L43" s="10">
        <f t="shared" si="0"/>
        <v>0.19646894924048394</v>
      </c>
      <c r="M43" s="10">
        <f t="shared" si="4"/>
        <v>0.20097015447876163</v>
      </c>
      <c r="P43" s="8">
        <f t="shared" si="5"/>
        <v>-1.1774050898673054</v>
      </c>
    </row>
    <row r="44" spans="1:16" x14ac:dyDescent="0.2">
      <c r="A44" s="8">
        <v>21</v>
      </c>
      <c r="B44" s="8">
        <v>42</v>
      </c>
      <c r="D44">
        <v>2027.9652241112999</v>
      </c>
      <c r="E44">
        <v>484.09119010819001</v>
      </c>
      <c r="F44">
        <v>129.71229698376001</v>
      </c>
      <c r="G44">
        <v>112.20108275329</v>
      </c>
      <c r="I44" s="9">
        <f t="shared" si="1"/>
        <v>371.89010735490001</v>
      </c>
      <c r="J44" s="9">
        <f t="shared" si="2"/>
        <v>1898.2529271275398</v>
      </c>
      <c r="K44" s="9">
        <f t="shared" si="3"/>
        <v>371.89010735490001</v>
      </c>
      <c r="L44" s="10">
        <f t="shared" si="0"/>
        <v>0.19591177868886461</v>
      </c>
      <c r="M44" s="10">
        <f t="shared" si="4"/>
        <v>0.20052276942075881</v>
      </c>
      <c r="P44" s="8">
        <f t="shared" si="5"/>
        <v>-1.3973967223090822</v>
      </c>
    </row>
    <row r="45" spans="1:16" x14ac:dyDescent="0.2">
      <c r="A45" s="8">
        <v>21.5</v>
      </c>
      <c r="B45" s="8">
        <v>43</v>
      </c>
      <c r="D45">
        <v>2025.6854714065</v>
      </c>
      <c r="E45">
        <v>484.47836166923997</v>
      </c>
      <c r="F45">
        <v>129.55916473318001</v>
      </c>
      <c r="G45">
        <v>111.97447795824</v>
      </c>
      <c r="I45" s="9">
        <f t="shared" si="1"/>
        <v>372.50388371099996</v>
      </c>
      <c r="J45" s="9">
        <f t="shared" si="2"/>
        <v>1896.12630667332</v>
      </c>
      <c r="K45" s="9">
        <f t="shared" si="3"/>
        <v>372.50388371099996</v>
      </c>
      <c r="L45" s="10">
        <f t="shared" si="0"/>
        <v>0.19645520575290343</v>
      </c>
      <c r="M45" s="10">
        <f t="shared" si="4"/>
        <v>0.20117598197841416</v>
      </c>
      <c r="P45" s="8">
        <f t="shared" si="5"/>
        <v>-1.0761940037123343</v>
      </c>
    </row>
    <row r="46" spans="1:16" x14ac:dyDescent="0.2">
      <c r="A46" s="8">
        <v>22</v>
      </c>
      <c r="B46" s="8">
        <v>44</v>
      </c>
      <c r="D46">
        <v>2045.4134466769999</v>
      </c>
      <c r="E46">
        <v>489.47217928903001</v>
      </c>
      <c r="F46">
        <v>129.21423047177001</v>
      </c>
      <c r="G46">
        <v>112.21655065739</v>
      </c>
      <c r="I46" s="9">
        <f t="shared" si="1"/>
        <v>377.25562863163998</v>
      </c>
      <c r="J46" s="9">
        <f t="shared" si="2"/>
        <v>1916.19921620523</v>
      </c>
      <c r="K46" s="9">
        <f t="shared" si="3"/>
        <v>377.25562863163998</v>
      </c>
      <c r="L46" s="10">
        <f t="shared" si="0"/>
        <v>0.19687703942325113</v>
      </c>
      <c r="M46" s="10">
        <f t="shared" si="4"/>
        <v>0.2017076011423784</v>
      </c>
      <c r="P46" s="8">
        <f t="shared" si="5"/>
        <v>-0.8147821267937958</v>
      </c>
    </row>
    <row r="47" spans="1:16" x14ac:dyDescent="0.2">
      <c r="A47" s="8">
        <v>22.5</v>
      </c>
      <c r="B47" s="8">
        <v>45</v>
      </c>
      <c r="D47">
        <v>2028.0486862442001</v>
      </c>
      <c r="E47">
        <v>485.19397217928997</v>
      </c>
      <c r="F47">
        <v>129.47099767981001</v>
      </c>
      <c r="G47">
        <v>112.18174787316001</v>
      </c>
      <c r="I47" s="9">
        <f t="shared" si="1"/>
        <v>373.01222430612995</v>
      </c>
      <c r="J47" s="9">
        <f t="shared" si="2"/>
        <v>1898.57768856439</v>
      </c>
      <c r="K47" s="9">
        <f t="shared" si="3"/>
        <v>373.01222430612995</v>
      </c>
      <c r="L47" s="10">
        <f t="shared" si="0"/>
        <v>0.19646929728126283</v>
      </c>
      <c r="M47" s="10">
        <f t="shared" si="4"/>
        <v>0.20140964449400661</v>
      </c>
      <c r="P47" s="8">
        <f t="shared" si="5"/>
        <v>-0.96129566876322214</v>
      </c>
    </row>
    <row r="48" spans="1:16" x14ac:dyDescent="0.2">
      <c r="A48" s="8">
        <v>23</v>
      </c>
      <c r="B48" s="8">
        <v>46</v>
      </c>
      <c r="D48">
        <v>2044.6924265841999</v>
      </c>
      <c r="E48">
        <v>489.23106646059</v>
      </c>
      <c r="F48">
        <v>129.13147718484001</v>
      </c>
      <c r="G48">
        <v>112.10750193349</v>
      </c>
      <c r="I48" s="9">
        <f t="shared" si="1"/>
        <v>377.12356452710003</v>
      </c>
      <c r="J48" s="9">
        <f t="shared" si="2"/>
        <v>1915.56094939936</v>
      </c>
      <c r="K48" s="9">
        <f t="shared" si="3"/>
        <v>377.12356452710003</v>
      </c>
      <c r="L48" s="10">
        <f t="shared" si="0"/>
        <v>0.19687369626393264</v>
      </c>
      <c r="M48" s="10">
        <f t="shared" si="4"/>
        <v>0.20192382897029296</v>
      </c>
      <c r="P48" s="8">
        <f t="shared" si="5"/>
        <v>-0.70845691098392194</v>
      </c>
    </row>
    <row r="49" spans="1:25" x14ac:dyDescent="0.2">
      <c r="A49" s="8">
        <v>23.5</v>
      </c>
      <c r="B49" s="8">
        <v>47</v>
      </c>
      <c r="D49">
        <v>2031.7851622875</v>
      </c>
      <c r="E49">
        <v>486.2171561051</v>
      </c>
      <c r="F49">
        <v>129.65738592420999</v>
      </c>
      <c r="G49">
        <v>111.97525135344</v>
      </c>
      <c r="I49" s="9">
        <f t="shared" si="1"/>
        <v>374.24190475166</v>
      </c>
      <c r="J49" s="9">
        <f t="shared" si="2"/>
        <v>1902.12777636329</v>
      </c>
      <c r="K49" s="9">
        <f t="shared" si="3"/>
        <v>374.24190475166</v>
      </c>
      <c r="L49" s="10">
        <f t="shared" si="0"/>
        <v>0.19674908773330643</v>
      </c>
      <c r="M49" s="10">
        <f t="shared" si="4"/>
        <v>0.20190900593328329</v>
      </c>
      <c r="P49" s="8">
        <f t="shared" si="5"/>
        <v>-0.71574580910684871</v>
      </c>
    </row>
    <row r="50" spans="1:25" x14ac:dyDescent="0.2">
      <c r="A50" s="8">
        <v>24</v>
      </c>
      <c r="B50" s="8">
        <v>48</v>
      </c>
      <c r="D50">
        <v>2031.5904173107001</v>
      </c>
      <c r="E50">
        <v>485.85857805255</v>
      </c>
      <c r="F50">
        <v>129.6249033256</v>
      </c>
      <c r="G50">
        <v>112.26063418407</v>
      </c>
      <c r="I50" s="9">
        <f t="shared" si="1"/>
        <v>373.59794386848</v>
      </c>
      <c r="J50" s="9">
        <f t="shared" si="2"/>
        <v>1901.9655139851002</v>
      </c>
      <c r="K50" s="9">
        <f t="shared" si="3"/>
        <v>373.59794386848</v>
      </c>
      <c r="L50" s="10">
        <f t="shared" si="0"/>
        <v>0.19642729645801912</v>
      </c>
      <c r="M50" s="10">
        <f t="shared" si="4"/>
        <v>0.20169700015161249</v>
      </c>
      <c r="P50" s="8">
        <f t="shared" si="5"/>
        <v>-0.81999492776328819</v>
      </c>
    </row>
    <row r="51" spans="1:25" x14ac:dyDescent="0.2">
      <c r="A51" s="8">
        <v>24.5</v>
      </c>
      <c r="B51" s="8">
        <v>49</v>
      </c>
      <c r="D51">
        <v>2038.2635239567001</v>
      </c>
      <c r="E51">
        <v>487.43276661515</v>
      </c>
      <c r="F51">
        <v>129.2343387471</v>
      </c>
      <c r="G51">
        <v>112.17092034029</v>
      </c>
      <c r="I51" s="9">
        <f t="shared" si="1"/>
        <v>375.26184627485998</v>
      </c>
      <c r="J51" s="9">
        <f t="shared" si="2"/>
        <v>1909.0291852096</v>
      </c>
      <c r="K51" s="9">
        <f t="shared" si="3"/>
        <v>375.26184627485998</v>
      </c>
      <c r="L51" s="10">
        <f t="shared" si="0"/>
        <v>0.19657208448264685</v>
      </c>
      <c r="M51" s="10">
        <f t="shared" si="4"/>
        <v>0.20195157366985675</v>
      </c>
      <c r="P51" s="8">
        <f t="shared" si="5"/>
        <v>-0.6948140732550705</v>
      </c>
    </row>
    <row r="52" spans="1:25" x14ac:dyDescent="0.2">
      <c r="A52" s="8">
        <v>25</v>
      </c>
      <c r="B52" s="8">
        <v>50</v>
      </c>
      <c r="D52">
        <v>2010.0726429675001</v>
      </c>
      <c r="E52">
        <v>483.96676970634002</v>
      </c>
      <c r="F52">
        <v>129.78267594741001</v>
      </c>
      <c r="G52">
        <v>112.50425367363</v>
      </c>
      <c r="I52" s="9">
        <f t="shared" si="1"/>
        <v>371.46251603271003</v>
      </c>
      <c r="J52" s="9">
        <f t="shared" si="2"/>
        <v>1880.28996702009</v>
      </c>
      <c r="K52" s="9">
        <f t="shared" si="3"/>
        <v>371.46251603271003</v>
      </c>
      <c r="L52" s="10">
        <f t="shared" si="0"/>
        <v>0.19755597410404155</v>
      </c>
      <c r="M52" s="10">
        <f t="shared" si="4"/>
        <v>0.20304524878486799</v>
      </c>
      <c r="P52" s="8">
        <f t="shared" si="5"/>
        <v>-0.15702370764399046</v>
      </c>
    </row>
    <row r="53" spans="1:25" x14ac:dyDescent="0.2">
      <c r="A53" s="8">
        <v>25.5</v>
      </c>
      <c r="B53" s="8">
        <v>51</v>
      </c>
      <c r="D53">
        <v>2030.6483771252001</v>
      </c>
      <c r="E53">
        <v>487.69706336939998</v>
      </c>
      <c r="F53">
        <v>129.76875483372001</v>
      </c>
      <c r="G53">
        <v>112.04098994586001</v>
      </c>
      <c r="I53" s="9">
        <f t="shared" si="1"/>
        <v>375.65607342353997</v>
      </c>
      <c r="J53" s="9">
        <f t="shared" si="2"/>
        <v>1900.87962229148</v>
      </c>
      <c r="K53" s="9">
        <f t="shared" si="3"/>
        <v>375.65607342353997</v>
      </c>
      <c r="L53" s="10">
        <f t="shared" si="0"/>
        <v>0.19762223184374642</v>
      </c>
      <c r="M53" s="10">
        <f t="shared" si="4"/>
        <v>0.20322129201818936</v>
      </c>
      <c r="P53" s="8">
        <f t="shared" si="5"/>
        <v>-7.0458370724637551E-2</v>
      </c>
      <c r="S53" s="11"/>
      <c r="U53" s="12"/>
    </row>
    <row r="54" spans="1:25" x14ac:dyDescent="0.2">
      <c r="A54" s="8">
        <v>26</v>
      </c>
      <c r="B54" s="8">
        <v>52</v>
      </c>
      <c r="D54">
        <v>2041.9289026275001</v>
      </c>
      <c r="E54">
        <v>488.55873261206</v>
      </c>
      <c r="F54">
        <v>129.64114462489999</v>
      </c>
      <c r="G54">
        <v>112.27455529776</v>
      </c>
      <c r="I54" s="9">
        <f t="shared" si="1"/>
        <v>376.2841773143</v>
      </c>
      <c r="J54" s="9">
        <f t="shared" si="2"/>
        <v>1912.2877580026002</v>
      </c>
      <c r="K54" s="9">
        <f t="shared" si="3"/>
        <v>376.2841773143</v>
      </c>
      <c r="L54" s="10">
        <f t="shared" si="0"/>
        <v>0.1967717336157252</v>
      </c>
      <c r="M54" s="10">
        <f t="shared" si="4"/>
        <v>0.20248057928378468</v>
      </c>
      <c r="P54" s="8">
        <f t="shared" si="5"/>
        <v>-0.43468735132476982</v>
      </c>
      <c r="S54" s="11"/>
    </row>
    <row r="55" spans="1:25" x14ac:dyDescent="0.2">
      <c r="A55" s="8">
        <v>26.5</v>
      </c>
      <c r="B55" s="8">
        <v>53</v>
      </c>
      <c r="D55">
        <v>2025.4374034002999</v>
      </c>
      <c r="E55">
        <v>485.95904173106999</v>
      </c>
      <c r="F55">
        <v>129.91647331786999</v>
      </c>
      <c r="G55">
        <v>112.35730858469</v>
      </c>
      <c r="I55" s="9">
        <f t="shared" si="1"/>
        <v>373.60173314637996</v>
      </c>
      <c r="J55" s="9">
        <f t="shared" si="2"/>
        <v>1895.5209300824299</v>
      </c>
      <c r="K55" s="9">
        <f t="shared" si="3"/>
        <v>373.60173314637996</v>
      </c>
      <c r="L55" s="10">
        <f t="shared" si="0"/>
        <v>0.19709712893021616</v>
      </c>
      <c r="M55" s="10">
        <f t="shared" si="4"/>
        <v>0.20291576009189219</v>
      </c>
      <c r="P55" s="8">
        <f t="shared" si="5"/>
        <v>-0.2206968868012579</v>
      </c>
      <c r="S55" s="11"/>
    </row>
    <row r="56" spans="1:25" x14ac:dyDescent="0.2">
      <c r="A56" s="8">
        <v>27</v>
      </c>
      <c r="B56" s="8">
        <v>54</v>
      </c>
      <c r="D56">
        <v>2035.4544049459</v>
      </c>
      <c r="E56">
        <v>487.96136012365002</v>
      </c>
      <c r="F56">
        <v>129.78267594741001</v>
      </c>
      <c r="G56">
        <v>112.26372776489001</v>
      </c>
      <c r="I56" s="9">
        <f t="shared" si="1"/>
        <v>375.69763235876002</v>
      </c>
      <c r="J56" s="9">
        <f t="shared" si="2"/>
        <v>1905.6717289984899</v>
      </c>
      <c r="K56" s="9">
        <f t="shared" si="3"/>
        <v>375.69763235876002</v>
      </c>
      <c r="L56" s="10">
        <f t="shared" si="0"/>
        <v>0.19714708815888496</v>
      </c>
      <c r="M56" s="10">
        <f t="shared" si="4"/>
        <v>0.20307550481417749</v>
      </c>
      <c r="P56" s="8">
        <f t="shared" si="5"/>
        <v>-0.14214597947685431</v>
      </c>
      <c r="S56" s="11"/>
    </row>
    <row r="57" spans="1:25" x14ac:dyDescent="0.2">
      <c r="A57" s="8">
        <v>27.5</v>
      </c>
      <c r="B57" s="8">
        <v>55</v>
      </c>
      <c r="D57">
        <v>2012.3578052549999</v>
      </c>
      <c r="E57">
        <v>483.15224111282998</v>
      </c>
      <c r="F57">
        <v>129.68522815159</v>
      </c>
      <c r="G57">
        <v>112.02010827533</v>
      </c>
      <c r="I57" s="9">
        <f t="shared" si="1"/>
        <v>371.13213283749997</v>
      </c>
      <c r="J57" s="9">
        <f t="shared" si="2"/>
        <v>1882.6725771034098</v>
      </c>
      <c r="K57" s="9">
        <f t="shared" si="3"/>
        <v>371.13213283749997</v>
      </c>
      <c r="L57" s="10">
        <f t="shared" si="0"/>
        <v>0.19713047151752014</v>
      </c>
      <c r="M57" s="10">
        <f t="shared" si="4"/>
        <v>0.20316867366642921</v>
      </c>
      <c r="P57" s="8">
        <f t="shared" si="5"/>
        <v>-9.6332272619766929E-2</v>
      </c>
      <c r="S57" s="11"/>
    </row>
    <row r="58" spans="1:25" x14ac:dyDescent="0.2">
      <c r="A58" s="8">
        <v>28</v>
      </c>
      <c r="B58" s="8">
        <v>56</v>
      </c>
      <c r="D58">
        <v>2042.7758887171999</v>
      </c>
      <c r="E58">
        <v>488.72102009273999</v>
      </c>
      <c r="F58">
        <v>129.71771075019001</v>
      </c>
      <c r="G58">
        <v>112.31399845321</v>
      </c>
      <c r="I58" s="9">
        <f t="shared" si="1"/>
        <v>376.40702163953</v>
      </c>
      <c r="J58" s="9">
        <f t="shared" si="2"/>
        <v>1913.0581779670099</v>
      </c>
      <c r="K58" s="9">
        <f t="shared" si="3"/>
        <v>376.40702163953</v>
      </c>
      <c r="L58" s="10">
        <f t="shared" si="0"/>
        <v>0.1967567039908501</v>
      </c>
      <c r="M58" s="10">
        <f t="shared" si="4"/>
        <v>0.20290469163337571</v>
      </c>
      <c r="P58" s="8">
        <f t="shared" si="5"/>
        <v>-0.22613955461972288</v>
      </c>
      <c r="S58" s="11"/>
    </row>
    <row r="59" spans="1:25" x14ac:dyDescent="0.2">
      <c r="A59" s="8">
        <v>28.5</v>
      </c>
      <c r="B59" s="8">
        <v>57</v>
      </c>
      <c r="D59">
        <v>2011.5896445131</v>
      </c>
      <c r="E59">
        <v>483.47836166923997</v>
      </c>
      <c r="F59">
        <v>130.25522041763</v>
      </c>
      <c r="G59">
        <v>112.43155452436</v>
      </c>
      <c r="I59" s="9">
        <f t="shared" si="1"/>
        <v>371.04680714487995</v>
      </c>
      <c r="J59" s="9">
        <f t="shared" si="2"/>
        <v>1881.33442409547</v>
      </c>
      <c r="K59" s="9">
        <f t="shared" si="3"/>
        <v>371.04680714487995</v>
      </c>
      <c r="L59" s="10">
        <f t="shared" si="0"/>
        <v>0.19722533239845233</v>
      </c>
      <c r="M59" s="10">
        <f t="shared" si="4"/>
        <v>0.20348310553459448</v>
      </c>
      <c r="P59" s="8">
        <f t="shared" si="5"/>
        <v>5.8282591538164945E-2</v>
      </c>
      <c r="R59" s="1"/>
      <c r="S59" s="11"/>
    </row>
    <row r="60" spans="1:25" x14ac:dyDescent="0.2">
      <c r="A60" s="8">
        <v>29</v>
      </c>
      <c r="B60" s="8">
        <v>58</v>
      </c>
      <c r="D60">
        <v>2009.1105100463999</v>
      </c>
      <c r="E60">
        <v>482.69551777433998</v>
      </c>
      <c r="F60">
        <v>130.23124516627999</v>
      </c>
      <c r="G60">
        <v>112.50193348801</v>
      </c>
      <c r="I60" s="9">
        <f t="shared" si="1"/>
        <v>370.19358428632995</v>
      </c>
      <c r="J60" s="9">
        <f t="shared" si="2"/>
        <v>1878.87926488012</v>
      </c>
      <c r="K60" s="9">
        <f t="shared" si="3"/>
        <v>370.19358428632995</v>
      </c>
      <c r="L60" s="10">
        <f t="shared" si="0"/>
        <v>0.19702893698704466</v>
      </c>
      <c r="M60" s="10">
        <f t="shared" si="4"/>
        <v>0.20339649561680331</v>
      </c>
      <c r="P60" s="8">
        <f t="shared" si="5"/>
        <v>1.5694094538325119E-2</v>
      </c>
      <c r="S60" s="11"/>
    </row>
    <row r="61" spans="1:25" x14ac:dyDescent="0.2">
      <c r="A61" s="8">
        <v>29.5</v>
      </c>
      <c r="B61" s="8">
        <v>59</v>
      </c>
      <c r="C61" s="2"/>
      <c r="D61">
        <v>2006.4085692425001</v>
      </c>
      <c r="E61">
        <v>485.60443764346002</v>
      </c>
      <c r="F61">
        <v>130.33488012373999</v>
      </c>
      <c r="G61">
        <v>112.18406805878</v>
      </c>
      <c r="I61" s="9">
        <f t="shared" si="1"/>
        <v>373.42036958468003</v>
      </c>
      <c r="J61" s="9">
        <f t="shared" si="2"/>
        <v>1876.0736891187601</v>
      </c>
      <c r="K61" s="9">
        <f t="shared" si="3"/>
        <v>373.42036958468003</v>
      </c>
      <c r="L61" s="10">
        <f t="shared" si="0"/>
        <v>0.19904355130106066</v>
      </c>
      <c r="M61" s="10">
        <f t="shared" si="4"/>
        <v>0.20552089542443586</v>
      </c>
      <c r="P61" s="8">
        <f t="shared" si="5"/>
        <v>1.060320358380008</v>
      </c>
      <c r="S61" s="11"/>
    </row>
    <row r="62" spans="1:25" x14ac:dyDescent="0.2">
      <c r="A62" s="8">
        <v>30</v>
      </c>
      <c r="B62" s="8">
        <v>60</v>
      </c>
      <c r="D62">
        <v>2010.0153022187999</v>
      </c>
      <c r="E62">
        <v>482.59066564651999</v>
      </c>
      <c r="F62">
        <v>129.82985305490999</v>
      </c>
      <c r="G62">
        <v>112.15158546017</v>
      </c>
      <c r="I62" s="9">
        <f t="shared" si="1"/>
        <v>370.43908018635</v>
      </c>
      <c r="J62" s="9">
        <f t="shared" si="2"/>
        <v>1880.1854491638899</v>
      </c>
      <c r="K62" s="9">
        <f t="shared" si="3"/>
        <v>370.43908018635</v>
      </c>
      <c r="L62" s="10">
        <f t="shared" si="0"/>
        <v>0.19702262899177453</v>
      </c>
      <c r="M62" s="10">
        <f t="shared" si="4"/>
        <v>0.20360975860876626</v>
      </c>
      <c r="P62" s="8">
        <f t="shared" si="5"/>
        <v>0.1205614183394048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1999.0221882173</v>
      </c>
      <c r="E63">
        <v>481.81331293037999</v>
      </c>
      <c r="F63">
        <v>130.46171693735999</v>
      </c>
      <c r="G63">
        <v>112.86465583912999</v>
      </c>
      <c r="I63" s="9">
        <f t="shared" si="1"/>
        <v>368.94865709124997</v>
      </c>
      <c r="J63" s="9">
        <f t="shared" si="2"/>
        <v>1868.56047127994</v>
      </c>
      <c r="K63" s="9">
        <f t="shared" si="3"/>
        <v>368.94865709124997</v>
      </c>
      <c r="L63" s="10">
        <f t="shared" si="0"/>
        <v>0.19745074497831203</v>
      </c>
      <c r="M63" s="10">
        <f t="shared" si="4"/>
        <v>0.20414766008892027</v>
      </c>
      <c r="P63" s="8">
        <f t="shared" si="5"/>
        <v>0.38506248424487888</v>
      </c>
    </row>
    <row r="64" spans="1:25" x14ac:dyDescent="0.2">
      <c r="A64" s="8">
        <v>31</v>
      </c>
      <c r="B64" s="8">
        <v>62</v>
      </c>
      <c r="D64">
        <v>1973.6579954092999</v>
      </c>
      <c r="E64">
        <v>475.89747513389</v>
      </c>
      <c r="F64">
        <v>130.02242846094001</v>
      </c>
      <c r="G64">
        <v>112.02010827533</v>
      </c>
      <c r="I64" s="9">
        <f t="shared" si="1"/>
        <v>363.87736685855998</v>
      </c>
      <c r="J64" s="9">
        <f t="shared" si="2"/>
        <v>1843.6355669483598</v>
      </c>
      <c r="K64" s="9">
        <f t="shared" si="3"/>
        <v>363.87736685855998</v>
      </c>
      <c r="L64" s="10">
        <f t="shared" si="0"/>
        <v>0.19736946573495573</v>
      </c>
      <c r="M64" s="10">
        <f t="shared" si="4"/>
        <v>0.20417616633918051</v>
      </c>
      <c r="P64" s="8">
        <f t="shared" si="5"/>
        <v>0.39907979755779838</v>
      </c>
      <c r="U64" s="8">
        <v>30.5</v>
      </c>
      <c r="V64" s="10">
        <f>L62</f>
        <v>0.19702262899177453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1983.5271614384001</v>
      </c>
      <c r="E65">
        <v>473.34200459067</v>
      </c>
      <c r="F65">
        <v>130.26450116008999</v>
      </c>
      <c r="G65">
        <v>112.81051817479</v>
      </c>
      <c r="I65" s="9">
        <f t="shared" si="1"/>
        <v>360.53148641588001</v>
      </c>
      <c r="J65" s="9">
        <f t="shared" si="2"/>
        <v>1853.26266027831</v>
      </c>
      <c r="K65" s="9">
        <f t="shared" si="3"/>
        <v>360.53148641588001</v>
      </c>
      <c r="L65" s="10">
        <f t="shared" si="0"/>
        <v>0.19453879589941014</v>
      </c>
      <c r="M65" s="10">
        <f t="shared" si="4"/>
        <v>0.20145528199725146</v>
      </c>
      <c r="P65" s="8">
        <f t="shared" si="5"/>
        <v>-0.93885444355954506</v>
      </c>
      <c r="U65" s="8">
        <v>31</v>
      </c>
      <c r="V65" s="10">
        <f t="shared" ref="V65:V83" si="6">L63</f>
        <v>0.19745074497831203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1992.1499617444999</v>
      </c>
      <c r="E66">
        <v>477.55470543229001</v>
      </c>
      <c r="F66">
        <v>129.75174013921</v>
      </c>
      <c r="G66">
        <v>112.6094354215</v>
      </c>
      <c r="I66" s="9">
        <f t="shared" si="1"/>
        <v>364.94527001079001</v>
      </c>
      <c r="J66" s="9">
        <f t="shared" si="2"/>
        <v>1862.39822160529</v>
      </c>
      <c r="K66" s="9">
        <f t="shared" si="3"/>
        <v>364.94527001079001</v>
      </c>
      <c r="L66" s="10">
        <f t="shared" ref="L66:L129" si="7">K66/J66</f>
        <v>0.19595447728479157</v>
      </c>
      <c r="M66" s="10">
        <f t="shared" si="4"/>
        <v>0.20298074887624939</v>
      </c>
      <c r="P66" s="8">
        <f t="shared" si="5"/>
        <v>-0.18874010034761135</v>
      </c>
      <c r="U66" s="8">
        <v>31.5</v>
      </c>
      <c r="V66" s="10">
        <f t="shared" si="6"/>
        <v>0.19736946573495573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2011.2578423872001</v>
      </c>
      <c r="E67">
        <v>483.19586840092001</v>
      </c>
      <c r="F67">
        <v>130.40448569219001</v>
      </c>
      <c r="G67">
        <v>112.54137664347</v>
      </c>
      <c r="I67" s="9">
        <f t="shared" ref="I67:I130" si="8">E67-G67</f>
        <v>370.65449175744999</v>
      </c>
      <c r="J67" s="9">
        <f t="shared" ref="J67:J130" si="9">D67-F67</f>
        <v>1880.85335669501</v>
      </c>
      <c r="K67" s="9">
        <f t="shared" ref="K67:K130" si="10">I67*1</f>
        <v>370.65449175744999</v>
      </c>
      <c r="L67" s="10">
        <f t="shared" si="7"/>
        <v>0.19706719316425342</v>
      </c>
      <c r="M67" s="10">
        <f t="shared" ref="M67:M130" si="11">L67+ABS($N$2)*A67</f>
        <v>0.20420325024932778</v>
      </c>
      <c r="P67" s="8">
        <f t="shared" ref="P67:P130" si="12">(M67-$O$2)/$O$2*100</f>
        <v>0.4123977068165553</v>
      </c>
      <c r="U67" s="8">
        <v>32</v>
      </c>
      <c r="V67" s="10">
        <f t="shared" si="6"/>
        <v>0.19453879589941014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1971.791889824</v>
      </c>
      <c r="E68">
        <v>476.29839326702</v>
      </c>
      <c r="F68">
        <v>129.85460170146999</v>
      </c>
      <c r="G68">
        <v>112.4068058778</v>
      </c>
      <c r="I68" s="9">
        <f t="shared" si="8"/>
        <v>363.89158738922004</v>
      </c>
      <c r="J68" s="9">
        <f t="shared" si="9"/>
        <v>1841.9372881225299</v>
      </c>
      <c r="K68" s="9">
        <f t="shared" si="10"/>
        <v>363.89158738922004</v>
      </c>
      <c r="L68" s="10">
        <f t="shared" si="7"/>
        <v>0.19755916215808381</v>
      </c>
      <c r="M68" s="10">
        <f t="shared" si="11"/>
        <v>0.20480500473677471</v>
      </c>
      <c r="P68" s="8">
        <f t="shared" si="12"/>
        <v>0.70829706611473675</v>
      </c>
      <c r="U68" s="8">
        <v>32.5</v>
      </c>
      <c r="V68" s="10">
        <f t="shared" si="6"/>
        <v>0.19595447728479157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1993.3075745983001</v>
      </c>
      <c r="E69">
        <v>475.97781178270998</v>
      </c>
      <c r="F69">
        <v>130.45862335653999</v>
      </c>
      <c r="G69">
        <v>112.76024748647001</v>
      </c>
      <c r="I69" s="9">
        <f t="shared" si="8"/>
        <v>363.21756429623997</v>
      </c>
      <c r="J69" s="9">
        <f t="shared" si="9"/>
        <v>1862.84895124176</v>
      </c>
      <c r="K69" s="9">
        <f t="shared" si="10"/>
        <v>363.21756429623997</v>
      </c>
      <c r="L69" s="10">
        <f t="shared" si="7"/>
        <v>0.19497961123156124</v>
      </c>
      <c r="M69" s="10">
        <f t="shared" si="11"/>
        <v>0.20233523930386865</v>
      </c>
      <c r="P69" s="8">
        <f t="shared" si="12"/>
        <v>-0.50615504759410146</v>
      </c>
      <c r="U69" s="8">
        <v>33</v>
      </c>
      <c r="V69" s="10">
        <f t="shared" si="6"/>
        <v>0.19706719316425342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1981.1614384085999</v>
      </c>
      <c r="E70">
        <v>473.94261667941998</v>
      </c>
      <c r="F70">
        <v>130.33101314772</v>
      </c>
      <c r="G70">
        <v>112.19876256767</v>
      </c>
      <c r="I70" s="9">
        <f t="shared" si="8"/>
        <v>361.74385411175001</v>
      </c>
      <c r="J70" s="9">
        <f t="shared" si="9"/>
        <v>1850.83042526088</v>
      </c>
      <c r="K70" s="9">
        <f t="shared" si="10"/>
        <v>361.74385411175001</v>
      </c>
      <c r="L70" s="10">
        <f t="shared" si="7"/>
        <v>0.19544948536317752</v>
      </c>
      <c r="M70" s="10">
        <f t="shared" si="11"/>
        <v>0.20291489892910147</v>
      </c>
      <c r="P70" s="8">
        <f t="shared" si="12"/>
        <v>-0.22112034441285877</v>
      </c>
      <c r="U70" s="8">
        <v>33.5</v>
      </c>
      <c r="V70" s="10">
        <f t="shared" si="6"/>
        <v>0.19755916215808381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1999.0099464422001</v>
      </c>
      <c r="E71">
        <v>477.03213465953002</v>
      </c>
      <c r="F71">
        <v>130.57231245166</v>
      </c>
      <c r="G71">
        <v>112.19644238206</v>
      </c>
      <c r="I71" s="9">
        <f t="shared" si="8"/>
        <v>364.83569227747</v>
      </c>
      <c r="J71" s="9">
        <f t="shared" si="9"/>
        <v>1868.43763399054</v>
      </c>
      <c r="K71" s="9">
        <f t="shared" si="10"/>
        <v>364.83569227747</v>
      </c>
      <c r="L71" s="10">
        <f t="shared" si="7"/>
        <v>0.19526244046918892</v>
      </c>
      <c r="M71" s="10">
        <f t="shared" si="11"/>
        <v>0.20283763952872941</v>
      </c>
      <c r="P71" s="8">
        <f t="shared" si="12"/>
        <v>-0.25911093284510878</v>
      </c>
      <c r="U71" s="8">
        <v>34</v>
      </c>
      <c r="V71" s="10">
        <f t="shared" si="6"/>
        <v>0.19497961123156124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2009.8079571538001</v>
      </c>
      <c r="E72">
        <v>481.29303749043999</v>
      </c>
      <c r="F72">
        <v>130.04253673626999</v>
      </c>
      <c r="G72">
        <v>112.31322505801</v>
      </c>
      <c r="I72" s="9">
        <f t="shared" si="8"/>
        <v>368.97981243242998</v>
      </c>
      <c r="J72" s="9">
        <f t="shared" si="9"/>
        <v>1879.7654204175301</v>
      </c>
      <c r="K72" s="9">
        <f t="shared" si="10"/>
        <v>368.97981243242998</v>
      </c>
      <c r="L72" s="10">
        <f t="shared" si="7"/>
        <v>0.19629035007489012</v>
      </c>
      <c r="M72" s="10">
        <f t="shared" si="11"/>
        <v>0.20397533462804712</v>
      </c>
      <c r="P72" s="8">
        <f t="shared" si="12"/>
        <v>0.3003252790775886</v>
      </c>
      <c r="U72" s="8">
        <v>34.5</v>
      </c>
      <c r="V72" s="10">
        <f t="shared" si="6"/>
        <v>0.19544948536317752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1986.104055088</v>
      </c>
      <c r="E73">
        <v>476.89441469013002</v>
      </c>
      <c r="F73">
        <v>129.77880897137999</v>
      </c>
      <c r="G73">
        <v>112.23201856148999</v>
      </c>
      <c r="I73" s="9">
        <f t="shared" si="8"/>
        <v>364.66239612864001</v>
      </c>
      <c r="J73" s="9">
        <f t="shared" si="9"/>
        <v>1856.3252461166201</v>
      </c>
      <c r="K73" s="9">
        <f t="shared" si="10"/>
        <v>364.66239612864001</v>
      </c>
      <c r="L73" s="10">
        <f t="shared" si="7"/>
        <v>0.19644315935017501</v>
      </c>
      <c r="M73" s="10">
        <f t="shared" si="11"/>
        <v>0.20423792939694854</v>
      </c>
      <c r="P73" s="8">
        <f t="shared" si="12"/>
        <v>0.42945040484549124</v>
      </c>
      <c r="U73" s="8">
        <v>35</v>
      </c>
      <c r="V73" s="10">
        <f t="shared" si="6"/>
        <v>0.19526244046918892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1982.4483550115001</v>
      </c>
      <c r="E74">
        <v>473.76205049731999</v>
      </c>
      <c r="F74">
        <v>129.88863109049001</v>
      </c>
      <c r="G74">
        <v>112.76179427688</v>
      </c>
      <c r="I74" s="9">
        <f t="shared" si="8"/>
        <v>361.00025622044001</v>
      </c>
      <c r="J74" s="9">
        <f t="shared" si="9"/>
        <v>1852.5597239210101</v>
      </c>
      <c r="K74" s="9">
        <f t="shared" si="10"/>
        <v>361.00025622044001</v>
      </c>
      <c r="L74" s="10">
        <f t="shared" si="7"/>
        <v>0.19486565078526583</v>
      </c>
      <c r="M74" s="10">
        <f t="shared" si="11"/>
        <v>0.2027702063256559</v>
      </c>
      <c r="P74" s="8">
        <f t="shared" si="12"/>
        <v>-0.29226970772941746</v>
      </c>
      <c r="U74" s="8">
        <v>35.5</v>
      </c>
      <c r="V74" s="10">
        <f t="shared" si="6"/>
        <v>0.19629035007489012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1970.4850803367001</v>
      </c>
      <c r="E75">
        <v>471.10711553175003</v>
      </c>
      <c r="F75">
        <v>130.38051044084</v>
      </c>
      <c r="G75">
        <v>112.31090487239</v>
      </c>
      <c r="I75" s="9">
        <f t="shared" si="8"/>
        <v>358.79621065936004</v>
      </c>
      <c r="J75" s="9">
        <f t="shared" si="9"/>
        <v>1840.1045698958601</v>
      </c>
      <c r="K75" s="9">
        <f t="shared" si="10"/>
        <v>358.79621065936004</v>
      </c>
      <c r="L75" s="10">
        <f t="shared" si="7"/>
        <v>0.19498685918684824</v>
      </c>
      <c r="M75" s="10">
        <f t="shared" si="11"/>
        <v>0.20300120022085483</v>
      </c>
      <c r="P75" s="8">
        <f t="shared" si="12"/>
        <v>-0.17868360738948041</v>
      </c>
      <c r="U75" s="8">
        <v>36</v>
      </c>
      <c r="V75" s="10">
        <f t="shared" si="6"/>
        <v>0.19644315935017501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1996.2983932669999</v>
      </c>
      <c r="E76">
        <v>474.76817138485001</v>
      </c>
      <c r="F76">
        <v>129.71384377416999</v>
      </c>
      <c r="G76">
        <v>112.66202629544</v>
      </c>
      <c r="I76" s="9">
        <f t="shared" si="8"/>
        <v>362.10614508941001</v>
      </c>
      <c r="J76" s="9">
        <f t="shared" si="9"/>
        <v>1866.5845494928299</v>
      </c>
      <c r="K76" s="9">
        <f t="shared" si="10"/>
        <v>362.10614508941001</v>
      </c>
      <c r="L76" s="10">
        <f t="shared" si="7"/>
        <v>0.19399396892457829</v>
      </c>
      <c r="M76" s="10">
        <f t="shared" si="11"/>
        <v>0.20211809545220141</v>
      </c>
      <c r="P76" s="8">
        <f t="shared" si="12"/>
        <v>-0.61293069767106512</v>
      </c>
      <c r="U76" s="8">
        <v>36.5</v>
      </c>
      <c r="V76" s="10">
        <f t="shared" si="6"/>
        <v>0.19486565078526583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1977.0627390971999</v>
      </c>
      <c r="E77">
        <v>473.47360367252998</v>
      </c>
      <c r="F77">
        <v>130.42150038669999</v>
      </c>
      <c r="G77">
        <v>112.32250580045999</v>
      </c>
      <c r="I77" s="9">
        <f t="shared" si="8"/>
        <v>361.15109787206995</v>
      </c>
      <c r="J77" s="9">
        <f t="shared" si="9"/>
        <v>1846.6412387104999</v>
      </c>
      <c r="K77" s="9">
        <f t="shared" si="10"/>
        <v>361.15109787206995</v>
      </c>
      <c r="L77" s="10">
        <f t="shared" si="7"/>
        <v>0.19557187952991881</v>
      </c>
      <c r="M77" s="10">
        <f t="shared" si="11"/>
        <v>0.20380579155115847</v>
      </c>
      <c r="P77" s="8">
        <f t="shared" si="12"/>
        <v>0.21695624923014534</v>
      </c>
      <c r="U77" s="8">
        <v>37</v>
      </c>
      <c r="V77" s="10">
        <f t="shared" si="6"/>
        <v>0.19498685918684824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1990.2609028309</v>
      </c>
      <c r="E78">
        <v>474.99234889058999</v>
      </c>
      <c r="F78">
        <v>130.45166279969001</v>
      </c>
      <c r="G78">
        <v>112.42846094354</v>
      </c>
      <c r="I78" s="9">
        <f t="shared" si="8"/>
        <v>362.56388794704998</v>
      </c>
      <c r="J78" s="9">
        <f t="shared" si="9"/>
        <v>1859.80924003121</v>
      </c>
      <c r="K78" s="9">
        <f t="shared" si="10"/>
        <v>362.56388794704998</v>
      </c>
      <c r="L78" s="10">
        <f t="shared" si="7"/>
        <v>0.19494681505129294</v>
      </c>
      <c r="M78" s="10">
        <f t="shared" si="11"/>
        <v>0.20329051256614911</v>
      </c>
      <c r="P78" s="8">
        <f t="shared" si="12"/>
        <v>-3.6420708822925245E-2</v>
      </c>
      <c r="U78" s="8">
        <v>37.5</v>
      </c>
      <c r="V78" s="10">
        <f t="shared" si="6"/>
        <v>0.19399396892457829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1996.4927314460999</v>
      </c>
      <c r="E79">
        <v>478.01530221882001</v>
      </c>
      <c r="F79">
        <v>130.61871616395999</v>
      </c>
      <c r="G79">
        <v>112.47718484145</v>
      </c>
      <c r="I79" s="9">
        <f t="shared" si="8"/>
        <v>365.53811737736999</v>
      </c>
      <c r="J79" s="9">
        <f t="shared" si="9"/>
        <v>1865.8740152821399</v>
      </c>
      <c r="K79" s="9">
        <f t="shared" si="10"/>
        <v>365.53811737736999</v>
      </c>
      <c r="L79" s="10">
        <f t="shared" si="7"/>
        <v>0.19590718043313163</v>
      </c>
      <c r="M79" s="10">
        <f t="shared" si="11"/>
        <v>0.20436066344160433</v>
      </c>
      <c r="P79" s="8">
        <f t="shared" si="12"/>
        <v>0.48980213621654545</v>
      </c>
      <c r="U79" s="8">
        <v>38</v>
      </c>
      <c r="V79" s="10">
        <f t="shared" si="6"/>
        <v>0.19557187952991881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2007.5348125477999</v>
      </c>
      <c r="E80">
        <v>479.01759755165</v>
      </c>
      <c r="F80">
        <v>130.67362722351001</v>
      </c>
      <c r="G80">
        <v>112.39597834493</v>
      </c>
      <c r="I80" s="9">
        <f t="shared" si="8"/>
        <v>366.62161920671997</v>
      </c>
      <c r="J80" s="9">
        <f t="shared" si="9"/>
        <v>1876.8611853242899</v>
      </c>
      <c r="K80" s="9">
        <f t="shared" si="10"/>
        <v>366.62161920671997</v>
      </c>
      <c r="L80" s="10">
        <f t="shared" si="7"/>
        <v>0.19533763182564509</v>
      </c>
      <c r="M80" s="10">
        <f t="shared" si="11"/>
        <v>0.20390090032773434</v>
      </c>
      <c r="P80" s="8">
        <f t="shared" si="12"/>
        <v>0.26372387064304892</v>
      </c>
      <c r="U80" s="8">
        <v>38.5</v>
      </c>
      <c r="V80" s="10">
        <f t="shared" si="6"/>
        <v>0.19494681505129294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2010.8110175976001</v>
      </c>
      <c r="E81">
        <v>477.27926549350002</v>
      </c>
      <c r="F81">
        <v>130.13534416087001</v>
      </c>
      <c r="G81">
        <v>113.00696055685</v>
      </c>
      <c r="I81" s="9">
        <f t="shared" si="8"/>
        <v>364.27230493665002</v>
      </c>
      <c r="J81" s="9">
        <f t="shared" si="9"/>
        <v>1880.67567343673</v>
      </c>
      <c r="K81" s="9">
        <f t="shared" si="10"/>
        <v>364.27230493665002</v>
      </c>
      <c r="L81" s="10">
        <f t="shared" si="7"/>
        <v>0.19369225118490635</v>
      </c>
      <c r="M81" s="10">
        <f t="shared" si="11"/>
        <v>0.2023653051806121</v>
      </c>
      <c r="P81" s="8">
        <f t="shared" si="12"/>
        <v>-0.49137082271383414</v>
      </c>
      <c r="U81" s="8">
        <v>39</v>
      </c>
      <c r="V81" s="10">
        <f t="shared" si="6"/>
        <v>0.19590718043313163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2001.1836266258999</v>
      </c>
      <c r="E82">
        <v>472.79648048966999</v>
      </c>
      <c r="F82">
        <v>130.70224284609</v>
      </c>
      <c r="G82">
        <v>112.562258314</v>
      </c>
      <c r="H82" s="13"/>
      <c r="I82" s="14">
        <f t="shared" si="8"/>
        <v>360.23422217566997</v>
      </c>
      <c r="J82" s="14">
        <f t="shared" si="9"/>
        <v>1870.4813837798099</v>
      </c>
      <c r="K82" s="9">
        <f t="shared" si="10"/>
        <v>360.23422217566997</v>
      </c>
      <c r="L82" s="15">
        <f t="shared" si="7"/>
        <v>0.19258904434949253</v>
      </c>
      <c r="M82" s="15">
        <f t="shared" si="11"/>
        <v>0.20137188383881482</v>
      </c>
      <c r="N82" s="13"/>
      <c r="O82" s="13"/>
      <c r="P82" s="13">
        <f t="shared" si="12"/>
        <v>-0.97986362946981331</v>
      </c>
      <c r="U82" s="8">
        <v>39.5</v>
      </c>
      <c r="V82" s="10">
        <f t="shared" si="6"/>
        <v>0.19533763182564509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2083.8140780413</v>
      </c>
      <c r="E83">
        <v>492.04208110176</v>
      </c>
      <c r="F83">
        <v>129.89017788090001</v>
      </c>
      <c r="G83">
        <v>112.21036349575</v>
      </c>
      <c r="I83" s="9">
        <f t="shared" si="8"/>
        <v>379.83171760600999</v>
      </c>
      <c r="J83" s="9">
        <f t="shared" si="9"/>
        <v>1953.9239001604001</v>
      </c>
      <c r="K83" s="9">
        <f t="shared" si="10"/>
        <v>379.83171760600999</v>
      </c>
      <c r="L83" s="10">
        <f t="shared" si="7"/>
        <v>0.1943943249656904</v>
      </c>
      <c r="M83" s="10">
        <f t="shared" si="11"/>
        <v>0.20328694994862923</v>
      </c>
      <c r="P83" s="8">
        <f t="shared" si="12"/>
        <v>-3.8172546596549263E-2</v>
      </c>
      <c r="U83" s="8">
        <v>40</v>
      </c>
      <c r="V83" s="10">
        <f t="shared" si="6"/>
        <v>0.19369225118490635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2042.0780413160001</v>
      </c>
      <c r="E84">
        <v>481.70619739862002</v>
      </c>
      <c r="F84">
        <v>130.15545243619999</v>
      </c>
      <c r="G84">
        <v>112.28383604022</v>
      </c>
      <c r="I84" s="9">
        <f t="shared" si="8"/>
        <v>369.42236135840005</v>
      </c>
      <c r="J84" s="9">
        <f t="shared" si="9"/>
        <v>1911.9225888798001</v>
      </c>
      <c r="K84" s="9">
        <f t="shared" si="10"/>
        <v>369.42236135840005</v>
      </c>
      <c r="L84" s="10">
        <f t="shared" si="7"/>
        <v>0.1932203550013212</v>
      </c>
      <c r="M84" s="10">
        <f t="shared" si="11"/>
        <v>0.20222276547787654</v>
      </c>
      <c r="P84" s="8">
        <f t="shared" si="12"/>
        <v>-0.56146154508293955</v>
      </c>
      <c r="U84" s="8">
        <v>150.5</v>
      </c>
      <c r="V84" s="10">
        <f>L302</f>
        <v>0.17222277701938615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2005.5547054322999</v>
      </c>
      <c r="E85">
        <v>471.77964804896999</v>
      </c>
      <c r="F85">
        <v>130.32946635731</v>
      </c>
      <c r="G85">
        <v>112.50270688322</v>
      </c>
      <c r="I85" s="9">
        <f t="shared" si="8"/>
        <v>359.27694116574997</v>
      </c>
      <c r="J85" s="9">
        <f t="shared" si="9"/>
        <v>1875.22523907499</v>
      </c>
      <c r="K85" s="9">
        <f t="shared" si="10"/>
        <v>359.27694116574997</v>
      </c>
      <c r="L85" s="10">
        <f t="shared" si="7"/>
        <v>0.1915913532301719</v>
      </c>
      <c r="M85" s="10">
        <f t="shared" si="11"/>
        <v>0.20070354920034378</v>
      </c>
      <c r="P85" s="8">
        <f t="shared" si="12"/>
        <v>-1.3085022943170057</v>
      </c>
      <c r="U85" s="8">
        <v>151</v>
      </c>
      <c r="V85" s="10">
        <f t="shared" ref="V85:V103" si="13">L303</f>
        <v>0.17419670280602337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1997.5508798776</v>
      </c>
      <c r="E86">
        <v>472.60749808721999</v>
      </c>
      <c r="F86">
        <v>130.55684454755999</v>
      </c>
      <c r="G86">
        <v>112.41067285382999</v>
      </c>
      <c r="I86" s="9">
        <f t="shared" si="8"/>
        <v>360.19682523338997</v>
      </c>
      <c r="J86" s="9">
        <f t="shared" si="9"/>
        <v>1866.9940353300399</v>
      </c>
      <c r="K86" s="9">
        <f t="shared" si="10"/>
        <v>360.19682523338997</v>
      </c>
      <c r="L86" s="10">
        <f t="shared" si="7"/>
        <v>0.19292874986058314</v>
      </c>
      <c r="M86" s="10">
        <f t="shared" si="11"/>
        <v>0.20215073132437156</v>
      </c>
      <c r="P86" s="8">
        <f t="shared" si="12"/>
        <v>-0.59688273481123688</v>
      </c>
      <c r="U86" s="8">
        <v>151.5</v>
      </c>
      <c r="V86" s="10">
        <f t="shared" si="13"/>
        <v>0.17352484382950231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1987.4085692425001</v>
      </c>
      <c r="E87">
        <v>471.57765876052002</v>
      </c>
      <c r="F87">
        <v>130.57231245166</v>
      </c>
      <c r="G87">
        <v>112.45784996133</v>
      </c>
      <c r="I87" s="9">
        <f t="shared" si="8"/>
        <v>359.11980879919003</v>
      </c>
      <c r="J87" s="9">
        <f t="shared" si="9"/>
        <v>1856.83625679084</v>
      </c>
      <c r="K87" s="9">
        <f t="shared" si="10"/>
        <v>359.11980879919003</v>
      </c>
      <c r="L87" s="10">
        <f t="shared" si="7"/>
        <v>0.1934041343095351</v>
      </c>
      <c r="M87" s="10">
        <f t="shared" si="11"/>
        <v>0.20273590126694002</v>
      </c>
      <c r="P87" s="8">
        <f t="shared" si="12"/>
        <v>-0.30913845587582833</v>
      </c>
      <c r="U87" s="8">
        <v>152</v>
      </c>
      <c r="V87" s="10">
        <f t="shared" si="13"/>
        <v>0.17337227228009289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1974.4866105584999</v>
      </c>
      <c r="E88">
        <v>468.44912012242003</v>
      </c>
      <c r="F88">
        <v>130.83604021655</v>
      </c>
      <c r="G88">
        <v>112.57308584687</v>
      </c>
      <c r="I88" s="9">
        <f t="shared" si="8"/>
        <v>355.87603427555001</v>
      </c>
      <c r="J88" s="9">
        <f t="shared" si="9"/>
        <v>1843.65057034195</v>
      </c>
      <c r="K88" s="9">
        <f t="shared" si="10"/>
        <v>355.87603427555001</v>
      </c>
      <c r="L88" s="10">
        <f t="shared" si="7"/>
        <v>0.19302791971558045</v>
      </c>
      <c r="M88" s="10">
        <f t="shared" si="11"/>
        <v>0.20246947216660191</v>
      </c>
      <c r="P88" s="8">
        <f t="shared" si="12"/>
        <v>-0.4401490286808899</v>
      </c>
      <c r="U88" s="8">
        <v>152.5</v>
      </c>
      <c r="V88" s="10">
        <f t="shared" si="13"/>
        <v>0.16965656729436157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1961.8270849272999</v>
      </c>
      <c r="E89">
        <v>466.34965570008001</v>
      </c>
      <c r="F89">
        <v>130.74709976797999</v>
      </c>
      <c r="G89">
        <v>112.19566898685</v>
      </c>
      <c r="I89" s="9">
        <f t="shared" si="8"/>
        <v>354.15398671322998</v>
      </c>
      <c r="J89" s="9">
        <f t="shared" si="9"/>
        <v>1831.0799851593199</v>
      </c>
      <c r="K89" s="9">
        <f t="shared" si="10"/>
        <v>354.15398671322998</v>
      </c>
      <c r="L89" s="10">
        <f t="shared" si="7"/>
        <v>0.19341262510846324</v>
      </c>
      <c r="M89" s="10">
        <f t="shared" si="11"/>
        <v>0.20296396305310124</v>
      </c>
      <c r="P89" s="8">
        <f t="shared" si="12"/>
        <v>-0.19699415481408325</v>
      </c>
      <c r="U89" s="8">
        <v>153</v>
      </c>
      <c r="V89" s="10">
        <f t="shared" si="13"/>
        <v>0.16775058890067504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1960.5960214231</v>
      </c>
      <c r="E90">
        <v>463.83856159142999</v>
      </c>
      <c r="F90">
        <v>130.82443928847999</v>
      </c>
      <c r="G90">
        <v>112.64191802011</v>
      </c>
      <c r="I90" s="9">
        <f t="shared" si="8"/>
        <v>351.19664357132001</v>
      </c>
      <c r="J90" s="9">
        <f t="shared" si="9"/>
        <v>1829.7715821346201</v>
      </c>
      <c r="K90" s="9">
        <f t="shared" si="10"/>
        <v>351.19664357132001</v>
      </c>
      <c r="L90" s="10">
        <f t="shared" si="7"/>
        <v>0.19193469119331955</v>
      </c>
      <c r="M90" s="10">
        <f t="shared" si="11"/>
        <v>0.20159581463157406</v>
      </c>
      <c r="P90" s="8">
        <f t="shared" si="12"/>
        <v>-0.8697506523556473</v>
      </c>
      <c r="U90" s="8">
        <v>153.5</v>
      </c>
      <c r="V90" s="10">
        <f t="shared" si="13"/>
        <v>0.16594823985359089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1975.104055088</v>
      </c>
      <c r="E91">
        <v>467.54016832440999</v>
      </c>
      <c r="F91">
        <v>130.83758700696001</v>
      </c>
      <c r="G91">
        <v>112.4849187935</v>
      </c>
      <c r="I91" s="9">
        <f t="shared" si="8"/>
        <v>355.05524953090998</v>
      </c>
      <c r="J91" s="9">
        <f t="shared" si="9"/>
        <v>1844.2664680810399</v>
      </c>
      <c r="K91" s="9">
        <f t="shared" si="10"/>
        <v>355.05524953090998</v>
      </c>
      <c r="L91" s="10">
        <f t="shared" si="7"/>
        <v>0.19251841080228776</v>
      </c>
      <c r="M91" s="10">
        <f t="shared" si="11"/>
        <v>0.20228931973415881</v>
      </c>
      <c r="P91" s="8">
        <f t="shared" si="12"/>
        <v>-0.52873497269617775</v>
      </c>
      <c r="U91" s="8">
        <v>154</v>
      </c>
      <c r="V91" s="10">
        <f t="shared" si="13"/>
        <v>0.16709698126111175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1962.5508798776</v>
      </c>
      <c r="E92">
        <v>465.58071920429001</v>
      </c>
      <c r="F92">
        <v>130.60866202630001</v>
      </c>
      <c r="G92">
        <v>112.60015467904</v>
      </c>
      <c r="I92" s="9">
        <f t="shared" si="8"/>
        <v>352.98056452524997</v>
      </c>
      <c r="J92" s="9">
        <f t="shared" si="9"/>
        <v>1831.9422178513</v>
      </c>
      <c r="K92" s="9">
        <f t="shared" si="10"/>
        <v>352.98056452524997</v>
      </c>
      <c r="L92" s="10">
        <f t="shared" si="7"/>
        <v>0.19268105788798501</v>
      </c>
      <c r="M92" s="10">
        <f t="shared" si="11"/>
        <v>0.20256175231347259</v>
      </c>
      <c r="P92" s="8">
        <f t="shared" si="12"/>
        <v>-0.39477232289041531</v>
      </c>
      <c r="U92" s="8">
        <v>154.5</v>
      </c>
      <c r="V92" s="10">
        <f t="shared" si="13"/>
        <v>0.16763691478318776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1962.9877582249001</v>
      </c>
      <c r="E93">
        <v>465.45600612088998</v>
      </c>
      <c r="F93">
        <v>130.66047950503</v>
      </c>
      <c r="G93">
        <v>112.51817478732001</v>
      </c>
      <c r="I93" s="9">
        <f t="shared" si="8"/>
        <v>352.93783133356999</v>
      </c>
      <c r="J93" s="9">
        <f t="shared" si="9"/>
        <v>1832.32727871987</v>
      </c>
      <c r="K93" s="9">
        <f t="shared" si="10"/>
        <v>352.93783133356999</v>
      </c>
      <c r="L93" s="10">
        <f t="shared" si="7"/>
        <v>0.19261724443689179</v>
      </c>
      <c r="M93" s="10">
        <f t="shared" si="11"/>
        <v>0.20260772435599589</v>
      </c>
      <c r="P93" s="8">
        <f t="shared" si="12"/>
        <v>-0.37216659545166197</v>
      </c>
      <c r="U93" s="8">
        <v>155</v>
      </c>
      <c r="V93" s="10">
        <f t="shared" si="13"/>
        <v>0.17069536469216892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1974.2257077275999</v>
      </c>
      <c r="E94">
        <v>469.10252486611</v>
      </c>
      <c r="F94">
        <v>130.84145398299</v>
      </c>
      <c r="G94">
        <v>112.54833720031</v>
      </c>
      <c r="I94" s="9">
        <f t="shared" si="8"/>
        <v>356.55418766579999</v>
      </c>
      <c r="J94" s="9">
        <f t="shared" si="9"/>
        <v>1843.3842537446099</v>
      </c>
      <c r="K94" s="9">
        <f t="shared" si="10"/>
        <v>356.55418766579999</v>
      </c>
      <c r="L94" s="10">
        <f t="shared" si="7"/>
        <v>0.19342369174603924</v>
      </c>
      <c r="M94" s="10">
        <f t="shared" si="11"/>
        <v>0.20352395715875987</v>
      </c>
      <c r="P94" s="8">
        <f t="shared" si="12"/>
        <v>7.8370467356284973E-2</v>
      </c>
      <c r="U94" s="8">
        <v>155.5</v>
      </c>
      <c r="V94" s="10">
        <f t="shared" si="13"/>
        <v>0.16619653159582251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1898.1981637337001</v>
      </c>
      <c r="E95">
        <v>455.33970925784001</v>
      </c>
      <c r="F95">
        <v>130.39675174013999</v>
      </c>
      <c r="G95">
        <v>113.00541376644</v>
      </c>
      <c r="I95" s="9">
        <f t="shared" si="8"/>
        <v>342.33429549139998</v>
      </c>
      <c r="J95" s="9">
        <f t="shared" si="9"/>
        <v>1767.8014119935601</v>
      </c>
      <c r="K95" s="9">
        <f t="shared" si="10"/>
        <v>342.33429549139998</v>
      </c>
      <c r="L95" s="10">
        <f t="shared" si="7"/>
        <v>0.19364974661115786</v>
      </c>
      <c r="M95" s="10">
        <f t="shared" si="11"/>
        <v>0.20385979751749503</v>
      </c>
      <c r="P95" s="8">
        <f t="shared" si="12"/>
        <v>0.24351247967068249</v>
      </c>
      <c r="U95" s="8">
        <v>156</v>
      </c>
      <c r="V95" s="10">
        <f t="shared" si="13"/>
        <v>0.16733821953125252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1903.0664605873001</v>
      </c>
      <c r="E96">
        <v>472.94281298300001</v>
      </c>
      <c r="F96">
        <v>130.61948955917001</v>
      </c>
      <c r="G96">
        <v>112.65815931941</v>
      </c>
      <c r="I96" s="9">
        <f t="shared" si="8"/>
        <v>360.28465366359001</v>
      </c>
      <c r="J96" s="9">
        <f t="shared" si="9"/>
        <v>1772.4469710281301</v>
      </c>
      <c r="K96" s="9">
        <f t="shared" si="10"/>
        <v>360.28465366359001</v>
      </c>
      <c r="L96" s="10">
        <f t="shared" si="7"/>
        <v>0.20326963771141901</v>
      </c>
      <c r="M96" s="10">
        <f t="shared" si="11"/>
        <v>0.21358947411137269</v>
      </c>
      <c r="P96" s="8">
        <f t="shared" si="12"/>
        <v>5.0278641220185705</v>
      </c>
      <c r="U96" s="8">
        <v>156.5</v>
      </c>
      <c r="V96" s="10">
        <f t="shared" si="13"/>
        <v>0.16646068974279302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2016.2828438949</v>
      </c>
      <c r="E97">
        <v>486.99381761977997</v>
      </c>
      <c r="F97">
        <v>130.80742459397001</v>
      </c>
      <c r="G97">
        <v>112.77494199536</v>
      </c>
      <c r="I97" s="9">
        <f t="shared" si="8"/>
        <v>374.21887562441998</v>
      </c>
      <c r="J97" s="9">
        <f t="shared" si="9"/>
        <v>1885.4754193009301</v>
      </c>
      <c r="K97" s="9">
        <f t="shared" si="10"/>
        <v>374.21887562441998</v>
      </c>
      <c r="L97" s="10">
        <f t="shared" si="7"/>
        <v>0.19847454482496918</v>
      </c>
      <c r="M97" s="10">
        <f t="shared" si="11"/>
        <v>0.2089041667185394</v>
      </c>
      <c r="P97" s="8">
        <f t="shared" si="12"/>
        <v>2.7239686221504766</v>
      </c>
      <c r="U97" s="8">
        <v>157</v>
      </c>
      <c r="V97" s="10">
        <f t="shared" si="13"/>
        <v>0.16687456502432585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2003.1383307573001</v>
      </c>
      <c r="E98">
        <v>488.53554868624002</v>
      </c>
      <c r="F98">
        <v>130.23820572312999</v>
      </c>
      <c r="G98">
        <v>112.67440061872</v>
      </c>
      <c r="I98" s="9">
        <f t="shared" si="8"/>
        <v>375.86114806752005</v>
      </c>
      <c r="J98" s="9">
        <f t="shared" si="9"/>
        <v>1872.9001250341701</v>
      </c>
      <c r="K98" s="9">
        <f t="shared" si="10"/>
        <v>375.86114806752005</v>
      </c>
      <c r="L98" s="10">
        <f t="shared" si="7"/>
        <v>0.20068403170225785</v>
      </c>
      <c r="M98" s="10">
        <f t="shared" si="11"/>
        <v>0.2112234390894446</v>
      </c>
      <c r="P98" s="8">
        <f t="shared" si="12"/>
        <v>3.8644191263095387</v>
      </c>
      <c r="U98" s="8">
        <v>157.5</v>
      </c>
      <c r="V98" s="10">
        <f t="shared" si="13"/>
        <v>0.1709034431574003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2027.6081916538001</v>
      </c>
      <c r="E99">
        <v>492.39799072643001</v>
      </c>
      <c r="F99">
        <v>130.32559938128</v>
      </c>
      <c r="G99">
        <v>112.18406805878</v>
      </c>
      <c r="I99" s="9">
        <f t="shared" si="8"/>
        <v>380.21392266765002</v>
      </c>
      <c r="J99" s="9">
        <f t="shared" si="9"/>
        <v>1897.2825922725201</v>
      </c>
      <c r="K99" s="9">
        <f t="shared" si="10"/>
        <v>380.21392266765002</v>
      </c>
      <c r="L99" s="10">
        <f t="shared" si="7"/>
        <v>0.20039920474484446</v>
      </c>
      <c r="M99" s="10">
        <f t="shared" si="11"/>
        <v>0.21104839762564775</v>
      </c>
      <c r="P99" s="8">
        <f t="shared" si="12"/>
        <v>3.7783463872297625</v>
      </c>
      <c r="U99" s="8">
        <v>158</v>
      </c>
      <c r="V99" s="10">
        <f t="shared" si="13"/>
        <v>0.16900625672824676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2024.5726429675001</v>
      </c>
      <c r="E100">
        <v>490.04327666152</v>
      </c>
      <c r="F100">
        <v>130.75638051044001</v>
      </c>
      <c r="G100">
        <v>112.66666666667</v>
      </c>
      <c r="I100" s="9">
        <f t="shared" si="8"/>
        <v>377.37660999485001</v>
      </c>
      <c r="J100" s="9">
        <f t="shared" si="9"/>
        <v>1893.81626245706</v>
      </c>
      <c r="K100" s="9">
        <f t="shared" si="10"/>
        <v>377.37660999485001</v>
      </c>
      <c r="L100" s="10">
        <f t="shared" si="7"/>
        <v>0.1992678051593226</v>
      </c>
      <c r="M100" s="10">
        <f t="shared" si="11"/>
        <v>0.21002678353374241</v>
      </c>
      <c r="P100" s="8">
        <f t="shared" si="12"/>
        <v>3.2759904238744446</v>
      </c>
      <c r="U100" s="8">
        <v>158.5</v>
      </c>
      <c r="V100" s="10">
        <f t="shared" si="13"/>
        <v>0.16949874253733058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2020.3292117465001</v>
      </c>
      <c r="E101">
        <v>489.14374034002998</v>
      </c>
      <c r="F101">
        <v>130.67672080432999</v>
      </c>
      <c r="G101">
        <v>112.80201082753</v>
      </c>
      <c r="I101" s="9">
        <f t="shared" si="8"/>
        <v>376.34172951249997</v>
      </c>
      <c r="J101" s="9">
        <f t="shared" si="9"/>
        <v>1889.6524909421701</v>
      </c>
      <c r="K101" s="9">
        <f t="shared" si="10"/>
        <v>376.34172951249997</v>
      </c>
      <c r="L101" s="10">
        <f t="shared" si="7"/>
        <v>0.19915922706235689</v>
      </c>
      <c r="M101" s="10">
        <f t="shared" si="11"/>
        <v>0.21002799093039323</v>
      </c>
      <c r="P101" s="8">
        <f t="shared" si="12"/>
        <v>3.2765841342710456</v>
      </c>
      <c r="U101" s="8">
        <v>159</v>
      </c>
      <c r="V101" s="10">
        <f t="shared" si="13"/>
        <v>0.17014878168867523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2003.9536321483999</v>
      </c>
      <c r="E102">
        <v>483.18856259659998</v>
      </c>
      <c r="F102">
        <v>130.88089713843999</v>
      </c>
      <c r="G102">
        <v>112.27764887858</v>
      </c>
      <c r="I102" s="9">
        <f t="shared" si="8"/>
        <v>370.91091371801997</v>
      </c>
      <c r="J102" s="9">
        <f t="shared" si="9"/>
        <v>1873.0727350099601</v>
      </c>
      <c r="K102" s="9">
        <f t="shared" si="10"/>
        <v>370.91091371801997</v>
      </c>
      <c r="L102" s="10">
        <f t="shared" si="7"/>
        <v>0.19802269649504436</v>
      </c>
      <c r="M102" s="10">
        <f t="shared" si="11"/>
        <v>0.20900124585669722</v>
      </c>
      <c r="P102" s="8">
        <f t="shared" si="12"/>
        <v>2.7717051249624336</v>
      </c>
      <c r="U102" s="8">
        <v>159.5</v>
      </c>
      <c r="V102" s="10">
        <f t="shared" si="13"/>
        <v>0.16827151305778373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1995.3238021638001</v>
      </c>
      <c r="E103">
        <v>482.52472952086998</v>
      </c>
      <c r="F103">
        <v>130.96287703016</v>
      </c>
      <c r="G103">
        <v>112.77726218097</v>
      </c>
      <c r="I103" s="9">
        <f t="shared" si="8"/>
        <v>369.74746733989997</v>
      </c>
      <c r="J103" s="9">
        <f t="shared" si="9"/>
        <v>1864.3609251336402</v>
      </c>
      <c r="K103" s="9">
        <f t="shared" si="10"/>
        <v>369.74746733989997</v>
      </c>
      <c r="L103" s="10">
        <f t="shared" si="7"/>
        <v>0.19832397383752071</v>
      </c>
      <c r="M103" s="10">
        <f t="shared" si="11"/>
        <v>0.20941230869279009</v>
      </c>
      <c r="P103" s="8">
        <f t="shared" si="12"/>
        <v>2.973836114208948</v>
      </c>
      <c r="U103" s="8">
        <v>160</v>
      </c>
      <c r="V103" s="10">
        <f t="shared" si="13"/>
        <v>0.17121897951886905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1994.4350850077001</v>
      </c>
      <c r="E104">
        <v>481.04327666152</v>
      </c>
      <c r="F104">
        <v>130.46635730859001</v>
      </c>
      <c r="G104">
        <v>112.80587780355999</v>
      </c>
      <c r="I104" s="9">
        <f t="shared" si="8"/>
        <v>368.23739885795999</v>
      </c>
      <c r="J104" s="9">
        <f t="shared" si="9"/>
        <v>1863.9687276991101</v>
      </c>
      <c r="K104" s="9">
        <f t="shared" si="10"/>
        <v>368.23739885795999</v>
      </c>
      <c r="L104" s="10">
        <f t="shared" si="7"/>
        <v>0.19755556699307589</v>
      </c>
      <c r="M104" s="10">
        <f t="shared" si="11"/>
        <v>0.20875368734196181</v>
      </c>
      <c r="P104" s="8">
        <f t="shared" si="12"/>
        <v>2.6499737421026164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1981.6607418855999</v>
      </c>
      <c r="E105">
        <v>477.08655332302999</v>
      </c>
      <c r="F105">
        <v>130.74013921113999</v>
      </c>
      <c r="G105">
        <v>112.65429234339</v>
      </c>
      <c r="I105" s="9">
        <f t="shared" si="8"/>
        <v>364.43226097963998</v>
      </c>
      <c r="J105" s="9">
        <f t="shared" si="9"/>
        <v>1850.92060267446</v>
      </c>
      <c r="K105" s="9">
        <f t="shared" si="10"/>
        <v>364.43226097963998</v>
      </c>
      <c r="L105" s="10">
        <f t="shared" si="7"/>
        <v>0.19689243312385146</v>
      </c>
      <c r="M105" s="10">
        <f t="shared" si="11"/>
        <v>0.20820033896635393</v>
      </c>
      <c r="P105" s="8">
        <f t="shared" si="12"/>
        <v>2.3778770095867587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1997.6831530139</v>
      </c>
      <c r="E106">
        <v>477.49536321483998</v>
      </c>
      <c r="F106">
        <v>130.81902552203999</v>
      </c>
      <c r="G106">
        <v>112.75251353442</v>
      </c>
      <c r="I106" s="9">
        <f t="shared" si="8"/>
        <v>364.74284968041997</v>
      </c>
      <c r="J106" s="9">
        <f t="shared" si="9"/>
        <v>1866.86412749186</v>
      </c>
      <c r="K106" s="9">
        <f t="shared" si="10"/>
        <v>364.74284968041997</v>
      </c>
      <c r="L106" s="10">
        <f t="shared" si="7"/>
        <v>0.19537728767141374</v>
      </c>
      <c r="M106" s="10">
        <f t="shared" si="11"/>
        <v>0.20679497900753271</v>
      </c>
      <c r="P106" s="8">
        <f t="shared" si="12"/>
        <v>1.6868225678279143</v>
      </c>
      <c r="X106" s="8">
        <v>-13</v>
      </c>
    </row>
    <row r="107" spans="1:25" x14ac:dyDescent="0.2">
      <c r="A107" s="8">
        <v>52.5</v>
      </c>
      <c r="B107" s="8">
        <v>105</v>
      </c>
      <c r="D107">
        <v>1995.6004636785001</v>
      </c>
      <c r="E107">
        <v>481.11591962905999</v>
      </c>
      <c r="F107">
        <v>130.79891724671</v>
      </c>
      <c r="G107">
        <v>112.86078886311</v>
      </c>
      <c r="I107" s="9">
        <f t="shared" si="8"/>
        <v>368.25513076594996</v>
      </c>
      <c r="J107" s="9">
        <f t="shared" si="9"/>
        <v>1864.80154643179</v>
      </c>
      <c r="K107" s="9">
        <f t="shared" si="10"/>
        <v>368.25513076594996</v>
      </c>
      <c r="L107" s="10">
        <f t="shared" si="7"/>
        <v>0.1974768475876636</v>
      </c>
      <c r="M107" s="10">
        <f t="shared" si="11"/>
        <v>0.20900432441739911</v>
      </c>
      <c r="P107" s="8">
        <f t="shared" si="12"/>
        <v>2.7732189385828607</v>
      </c>
      <c r="X107" s="8">
        <v>-13</v>
      </c>
    </row>
    <row r="108" spans="1:25" x14ac:dyDescent="0.2">
      <c r="A108" s="8">
        <v>53</v>
      </c>
      <c r="B108" s="8">
        <v>106</v>
      </c>
      <c r="D108">
        <v>1963.2782071096999</v>
      </c>
      <c r="E108">
        <v>472.45517774343</v>
      </c>
      <c r="F108">
        <v>130.49342614075999</v>
      </c>
      <c r="G108">
        <v>112.66202629544</v>
      </c>
      <c r="I108" s="9">
        <f t="shared" si="8"/>
        <v>359.79315144799</v>
      </c>
      <c r="J108" s="9">
        <f t="shared" si="9"/>
        <v>1832.7847809689399</v>
      </c>
      <c r="K108" s="9">
        <f t="shared" si="10"/>
        <v>359.79315144799</v>
      </c>
      <c r="L108" s="10">
        <f t="shared" si="7"/>
        <v>0.19630954773521081</v>
      </c>
      <c r="M108" s="10">
        <f t="shared" si="11"/>
        <v>0.20794681005856286</v>
      </c>
      <c r="P108" s="8">
        <f t="shared" si="12"/>
        <v>2.2532098189900935</v>
      </c>
      <c r="X108" s="8">
        <v>-13</v>
      </c>
    </row>
    <row r="109" spans="1:25" x14ac:dyDescent="0.2">
      <c r="A109" s="8">
        <v>53.5</v>
      </c>
      <c r="B109" s="8">
        <v>107</v>
      </c>
      <c r="D109">
        <v>1953.6537867079001</v>
      </c>
      <c r="E109">
        <v>473.15610510046002</v>
      </c>
      <c r="F109">
        <v>130.86156225830999</v>
      </c>
      <c r="G109">
        <v>112.57308584687</v>
      </c>
      <c r="I109" s="9">
        <f t="shared" si="8"/>
        <v>360.58301925359001</v>
      </c>
      <c r="J109" s="9">
        <f t="shared" si="9"/>
        <v>1822.7922244495901</v>
      </c>
      <c r="K109" s="9">
        <f t="shared" si="10"/>
        <v>360.58301925359001</v>
      </c>
      <c r="L109" s="10">
        <f t="shared" si="7"/>
        <v>0.19781904619571852</v>
      </c>
      <c r="M109" s="10">
        <f t="shared" si="11"/>
        <v>0.20956609401268708</v>
      </c>
      <c r="P109" s="8">
        <f t="shared" si="12"/>
        <v>3.0494566182122487</v>
      </c>
      <c r="X109" s="8">
        <v>-13</v>
      </c>
    </row>
    <row r="110" spans="1:25" x14ac:dyDescent="0.2">
      <c r="A110" s="8">
        <v>54</v>
      </c>
      <c r="B110" s="8">
        <v>108</v>
      </c>
      <c r="D110">
        <v>1956.1074188563</v>
      </c>
      <c r="E110">
        <v>472.92967542503999</v>
      </c>
      <c r="F110">
        <v>131.04253673626999</v>
      </c>
      <c r="G110">
        <v>112.59706109822</v>
      </c>
      <c r="I110" s="9">
        <f t="shared" si="8"/>
        <v>360.33261432682002</v>
      </c>
      <c r="J110" s="9">
        <f t="shared" si="9"/>
        <v>1825.06488212003</v>
      </c>
      <c r="K110" s="9">
        <f t="shared" si="10"/>
        <v>360.33261432682002</v>
      </c>
      <c r="L110" s="10">
        <f t="shared" si="7"/>
        <v>0.19743550920132266</v>
      </c>
      <c r="M110" s="10">
        <f t="shared" si="11"/>
        <v>0.20929234251190776</v>
      </c>
      <c r="P110" s="8">
        <f t="shared" si="12"/>
        <v>2.9148454181675434</v>
      </c>
      <c r="X110" s="8">
        <v>-13</v>
      </c>
    </row>
    <row r="111" spans="1:25" x14ac:dyDescent="0.2">
      <c r="A111" s="8">
        <v>54.5</v>
      </c>
      <c r="B111" s="8">
        <v>109</v>
      </c>
      <c r="D111">
        <v>1968.2264296753999</v>
      </c>
      <c r="E111">
        <v>472.62132921174998</v>
      </c>
      <c r="F111">
        <v>130.30471771075</v>
      </c>
      <c r="G111">
        <v>112.78499613302</v>
      </c>
      <c r="I111" s="9">
        <f t="shared" si="8"/>
        <v>359.83633307872998</v>
      </c>
      <c r="J111" s="9">
        <f t="shared" si="9"/>
        <v>1837.9217119646498</v>
      </c>
      <c r="K111" s="9">
        <f t="shared" si="10"/>
        <v>359.83633307872998</v>
      </c>
      <c r="L111" s="10">
        <f t="shared" si="7"/>
        <v>0.19578436379321199</v>
      </c>
      <c r="M111" s="10">
        <f t="shared" si="11"/>
        <v>0.20775098259741362</v>
      </c>
      <c r="P111" s="8">
        <f t="shared" si="12"/>
        <v>2.1569160289214984</v>
      </c>
      <c r="X111" s="8">
        <v>-13</v>
      </c>
    </row>
    <row r="112" spans="1:25" x14ac:dyDescent="0.2">
      <c r="A112" s="8">
        <v>55</v>
      </c>
      <c r="B112" s="8">
        <v>110</v>
      </c>
      <c r="D112">
        <v>1963.9945904173001</v>
      </c>
      <c r="E112">
        <v>471.50077279752998</v>
      </c>
      <c r="F112">
        <v>130.74245939675001</v>
      </c>
      <c r="G112">
        <v>112.59551430781001</v>
      </c>
      <c r="I112" s="9">
        <f t="shared" si="8"/>
        <v>358.90525848971998</v>
      </c>
      <c r="J112" s="9">
        <f t="shared" si="9"/>
        <v>1833.25213102055</v>
      </c>
      <c r="K112" s="9">
        <f t="shared" si="10"/>
        <v>358.90525848971998</v>
      </c>
      <c r="L112" s="10">
        <f t="shared" si="7"/>
        <v>0.19577517593825003</v>
      </c>
      <c r="M112" s="10">
        <f t="shared" si="11"/>
        <v>0.20785158023606817</v>
      </c>
      <c r="P112" s="8">
        <f t="shared" si="12"/>
        <v>2.2063826759440812</v>
      </c>
      <c r="X112" s="8">
        <v>-13</v>
      </c>
    </row>
    <row r="113" spans="1:24" x14ac:dyDescent="0.2">
      <c r="A113" s="8">
        <v>55.5</v>
      </c>
      <c r="B113" s="8">
        <v>111</v>
      </c>
      <c r="D113">
        <v>1965.9103554869</v>
      </c>
      <c r="E113">
        <v>471.57727975271001</v>
      </c>
      <c r="F113">
        <v>130.65583913379999</v>
      </c>
      <c r="G113">
        <v>112.63186388244</v>
      </c>
      <c r="I113" s="9">
        <f t="shared" si="8"/>
        <v>358.94541587027004</v>
      </c>
      <c r="J113" s="9">
        <f t="shared" si="9"/>
        <v>1835.2545163530999</v>
      </c>
      <c r="K113" s="9">
        <f t="shared" si="10"/>
        <v>358.94541587027004</v>
      </c>
      <c r="L113" s="10">
        <f t="shared" si="7"/>
        <v>0.1955834532332569</v>
      </c>
      <c r="M113" s="10">
        <f t="shared" si="11"/>
        <v>0.20776964302469159</v>
      </c>
      <c r="P113" s="8">
        <f t="shared" si="12"/>
        <v>2.1660918781938605</v>
      </c>
      <c r="X113" s="8">
        <v>-13</v>
      </c>
    </row>
    <row r="114" spans="1:24" x14ac:dyDescent="0.2">
      <c r="A114" s="8">
        <v>56</v>
      </c>
      <c r="B114" s="8">
        <v>112</v>
      </c>
      <c r="D114">
        <v>1966.4582689335</v>
      </c>
      <c r="E114">
        <v>469.11128284390003</v>
      </c>
      <c r="F114">
        <v>130.80201082753001</v>
      </c>
      <c r="G114">
        <v>112.61330239753001</v>
      </c>
      <c r="I114" s="9">
        <f t="shared" si="8"/>
        <v>356.49798044637004</v>
      </c>
      <c r="J114" s="9">
        <f t="shared" si="9"/>
        <v>1835.65625810597</v>
      </c>
      <c r="K114" s="9">
        <f t="shared" si="10"/>
        <v>356.49798044637004</v>
      </c>
      <c r="L114" s="10">
        <f t="shared" si="7"/>
        <v>0.1942073734513915</v>
      </c>
      <c r="M114" s="10">
        <f t="shared" si="11"/>
        <v>0.20650334873644272</v>
      </c>
      <c r="P114" s="8">
        <f t="shared" si="12"/>
        <v>1.5434198809055395</v>
      </c>
      <c r="X114" s="8">
        <v>-13</v>
      </c>
    </row>
    <row r="115" spans="1:24" x14ac:dyDescent="0.2">
      <c r="A115" s="8">
        <v>56.5</v>
      </c>
      <c r="B115" s="8">
        <v>113</v>
      </c>
      <c r="D115">
        <v>1966.7372488408</v>
      </c>
      <c r="E115">
        <v>469.53477588871999</v>
      </c>
      <c r="F115">
        <v>130.65506573859</v>
      </c>
      <c r="G115">
        <v>112.78576952823001</v>
      </c>
      <c r="I115" s="9">
        <f t="shared" si="8"/>
        <v>356.74900636049</v>
      </c>
      <c r="J115" s="9">
        <f t="shared" si="9"/>
        <v>1836.0821831022099</v>
      </c>
      <c r="K115" s="9">
        <f t="shared" si="10"/>
        <v>356.74900636049</v>
      </c>
      <c r="L115" s="10">
        <f t="shared" si="7"/>
        <v>0.19429904044803353</v>
      </c>
      <c r="M115" s="10">
        <f t="shared" si="11"/>
        <v>0.20670480122670126</v>
      </c>
      <c r="P115" s="8">
        <f t="shared" si="12"/>
        <v>1.6424796536866852</v>
      </c>
      <c r="X115" s="8">
        <v>-13</v>
      </c>
    </row>
    <row r="116" spans="1:24" x14ac:dyDescent="0.2">
      <c r="A116" s="8">
        <v>57</v>
      </c>
      <c r="B116" s="8">
        <v>114</v>
      </c>
      <c r="D116">
        <v>1945.4404945904</v>
      </c>
      <c r="E116">
        <v>465.89644513138001</v>
      </c>
      <c r="F116">
        <v>131.03480278422001</v>
      </c>
      <c r="G116">
        <v>112.72776488786</v>
      </c>
      <c r="I116" s="9">
        <f t="shared" si="8"/>
        <v>353.16868024351999</v>
      </c>
      <c r="J116" s="9">
        <f t="shared" si="9"/>
        <v>1814.4056918061801</v>
      </c>
      <c r="K116" s="9">
        <f t="shared" si="10"/>
        <v>353.16868024351999</v>
      </c>
      <c r="L116" s="10">
        <f t="shared" si="7"/>
        <v>0.19464703061637356</v>
      </c>
      <c r="M116" s="10">
        <f t="shared" si="11"/>
        <v>0.20716257688865783</v>
      </c>
      <c r="P116" s="8">
        <f t="shared" si="12"/>
        <v>1.8675806340714733</v>
      </c>
      <c r="X116" s="8">
        <v>-13</v>
      </c>
    </row>
    <row r="117" spans="1:24" x14ac:dyDescent="0.2">
      <c r="A117" s="8">
        <v>57.5</v>
      </c>
      <c r="B117" s="8">
        <v>115</v>
      </c>
      <c r="D117">
        <v>1933.6653786708</v>
      </c>
      <c r="E117">
        <v>464.02086553322999</v>
      </c>
      <c r="F117">
        <v>130.75483372003001</v>
      </c>
      <c r="G117">
        <v>112.79350348027999</v>
      </c>
      <c r="I117" s="9">
        <f t="shared" si="8"/>
        <v>351.22736205295001</v>
      </c>
      <c r="J117" s="9">
        <f t="shared" si="9"/>
        <v>1802.9105449507699</v>
      </c>
      <c r="K117" s="9">
        <f t="shared" si="10"/>
        <v>351.22736205295001</v>
      </c>
      <c r="L117" s="10">
        <f t="shared" si="7"/>
        <v>0.19481130832397489</v>
      </c>
      <c r="M117" s="10">
        <f t="shared" si="11"/>
        <v>0.2074366400898757</v>
      </c>
      <c r="P117" s="8">
        <f t="shared" si="12"/>
        <v>2.0023451058606896</v>
      </c>
      <c r="X117" s="8">
        <v>-13</v>
      </c>
    </row>
    <row r="118" spans="1:24" x14ac:dyDescent="0.2">
      <c r="A118" s="8">
        <v>58</v>
      </c>
      <c r="B118" s="8">
        <v>116</v>
      </c>
      <c r="D118">
        <v>1930.1429675424999</v>
      </c>
      <c r="E118">
        <v>461.56568778979999</v>
      </c>
      <c r="F118">
        <v>130.86697602474999</v>
      </c>
      <c r="G118">
        <v>112.62026295437001</v>
      </c>
      <c r="I118" s="9">
        <f t="shared" si="8"/>
        <v>348.94542483543</v>
      </c>
      <c r="J118" s="9">
        <f t="shared" si="9"/>
        <v>1799.2759915177498</v>
      </c>
      <c r="K118" s="9">
        <f t="shared" si="10"/>
        <v>348.94542483543</v>
      </c>
      <c r="L118" s="10">
        <f t="shared" si="7"/>
        <v>0.19393657586743143</v>
      </c>
      <c r="M118" s="10">
        <f t="shared" si="11"/>
        <v>0.20667169312694875</v>
      </c>
      <c r="P118" s="8">
        <f t="shared" si="12"/>
        <v>1.6261994834366647</v>
      </c>
      <c r="X118" s="8">
        <v>-13</v>
      </c>
    </row>
    <row r="119" spans="1:24" x14ac:dyDescent="0.2">
      <c r="A119" s="8">
        <v>58.5</v>
      </c>
      <c r="B119" s="8">
        <v>117</v>
      </c>
      <c r="D119">
        <v>1934.1676970634001</v>
      </c>
      <c r="E119">
        <v>463.7171561051</v>
      </c>
      <c r="F119">
        <v>130.20340293890001</v>
      </c>
      <c r="G119">
        <v>112.24284609435</v>
      </c>
      <c r="I119" s="9">
        <f t="shared" si="8"/>
        <v>351.47431001075</v>
      </c>
      <c r="J119" s="9">
        <f t="shared" si="9"/>
        <v>1803.9642941245002</v>
      </c>
      <c r="K119" s="9">
        <f t="shared" si="10"/>
        <v>351.47431001075</v>
      </c>
      <c r="L119" s="10">
        <f t="shared" si="7"/>
        <v>0.19483440506860336</v>
      </c>
      <c r="M119" s="10">
        <f t="shared" si="11"/>
        <v>0.20767930782173721</v>
      </c>
      <c r="P119" s="8">
        <f t="shared" si="12"/>
        <v>2.1216715552317864</v>
      </c>
      <c r="X119" s="8">
        <v>-13</v>
      </c>
    </row>
    <row r="120" spans="1:24" x14ac:dyDescent="0.2">
      <c r="A120" s="8">
        <v>59</v>
      </c>
      <c r="B120" s="8">
        <v>118</v>
      </c>
      <c r="D120">
        <v>1948.9080370943</v>
      </c>
      <c r="E120">
        <v>465.92812982998998</v>
      </c>
      <c r="F120">
        <v>130.60247486466</v>
      </c>
      <c r="G120">
        <v>112.53596287703</v>
      </c>
      <c r="I120" s="9">
        <f t="shared" si="8"/>
        <v>353.39216695296</v>
      </c>
      <c r="J120" s="9">
        <f t="shared" si="9"/>
        <v>1818.3055622296399</v>
      </c>
      <c r="K120" s="9">
        <f t="shared" si="10"/>
        <v>353.39216695296</v>
      </c>
      <c r="L120" s="10">
        <f t="shared" si="7"/>
        <v>0.19435246434577474</v>
      </c>
      <c r="M120" s="10">
        <f t="shared" si="11"/>
        <v>0.20730715259252513</v>
      </c>
      <c r="P120" s="8">
        <f t="shared" si="12"/>
        <v>1.9386725146254884</v>
      </c>
      <c r="X120" s="8">
        <v>-13</v>
      </c>
    </row>
    <row r="121" spans="1:24" x14ac:dyDescent="0.2">
      <c r="A121" s="8">
        <v>59.5</v>
      </c>
      <c r="B121" s="8">
        <v>119</v>
      </c>
      <c r="D121">
        <v>1912.7202472951999</v>
      </c>
      <c r="E121">
        <v>460.55255023183997</v>
      </c>
      <c r="F121">
        <v>131.04253673626999</v>
      </c>
      <c r="G121">
        <v>112.63882443929</v>
      </c>
      <c r="I121" s="9">
        <f t="shared" si="8"/>
        <v>347.91372579254994</v>
      </c>
      <c r="J121" s="9">
        <f t="shared" si="9"/>
        <v>1781.6777105589299</v>
      </c>
      <c r="K121" s="9">
        <f t="shared" si="10"/>
        <v>347.91372579254994</v>
      </c>
      <c r="L121" s="10">
        <f t="shared" si="7"/>
        <v>0.19527309778344029</v>
      </c>
      <c r="M121" s="10">
        <f t="shared" si="11"/>
        <v>0.20833757152380719</v>
      </c>
      <c r="P121" s="8">
        <f t="shared" si="12"/>
        <v>2.4453580615313086</v>
      </c>
      <c r="X121" s="8">
        <v>-13</v>
      </c>
    </row>
    <row r="122" spans="1:24" x14ac:dyDescent="0.2">
      <c r="A122" s="8">
        <v>60</v>
      </c>
      <c r="B122" s="8">
        <v>120</v>
      </c>
      <c r="D122">
        <v>1920.4799072643</v>
      </c>
      <c r="E122">
        <v>459.15765069551998</v>
      </c>
      <c r="F122">
        <v>131.03944315544999</v>
      </c>
      <c r="G122">
        <v>112.85614849188001</v>
      </c>
      <c r="I122" s="9">
        <f t="shared" si="8"/>
        <v>346.30150220363998</v>
      </c>
      <c r="J122" s="9">
        <f t="shared" si="9"/>
        <v>1789.4404641088499</v>
      </c>
      <c r="K122" s="9">
        <f t="shared" si="10"/>
        <v>346.30150220363998</v>
      </c>
      <c r="L122" s="10">
        <f t="shared" si="7"/>
        <v>0.19352502033427518</v>
      </c>
      <c r="M122" s="10">
        <f t="shared" si="11"/>
        <v>0.20669927956825862</v>
      </c>
      <c r="P122" s="8">
        <f t="shared" si="12"/>
        <v>1.6397645011958857</v>
      </c>
      <c r="X122" s="8">
        <v>-13</v>
      </c>
    </row>
    <row r="123" spans="1:24" x14ac:dyDescent="0.2">
      <c r="A123" s="8">
        <v>60.5</v>
      </c>
      <c r="B123" s="8">
        <v>121</v>
      </c>
      <c r="D123">
        <v>1936.7928902628</v>
      </c>
      <c r="E123">
        <v>461.08964451314</v>
      </c>
      <c r="F123">
        <v>130.86852281515999</v>
      </c>
      <c r="G123">
        <v>112.73085846868</v>
      </c>
      <c r="I123" s="9">
        <f t="shared" si="8"/>
        <v>348.35878604445998</v>
      </c>
      <c r="J123" s="9">
        <f t="shared" si="9"/>
        <v>1805.92436744764</v>
      </c>
      <c r="K123" s="9">
        <f t="shared" si="10"/>
        <v>348.35878604445998</v>
      </c>
      <c r="L123" s="10">
        <f t="shared" si="7"/>
        <v>0.19289777153669205</v>
      </c>
      <c r="M123" s="10">
        <f t="shared" si="11"/>
        <v>0.20618181626429202</v>
      </c>
      <c r="P123" s="8">
        <f t="shared" si="12"/>
        <v>1.3853134529724338</v>
      </c>
      <c r="X123" s="8">
        <v>-13</v>
      </c>
    </row>
    <row r="124" spans="1:24" x14ac:dyDescent="0.2">
      <c r="A124" s="8">
        <v>61</v>
      </c>
      <c r="B124" s="8">
        <v>122</v>
      </c>
      <c r="D124">
        <v>1967.6035548686</v>
      </c>
      <c r="E124">
        <v>467.37248840804</v>
      </c>
      <c r="F124">
        <v>130.43928847641001</v>
      </c>
      <c r="G124">
        <v>112.57231245166</v>
      </c>
      <c r="I124" s="9">
        <f t="shared" si="8"/>
        <v>354.80017595638003</v>
      </c>
      <c r="J124" s="9">
        <f t="shared" si="9"/>
        <v>1837.16426639219</v>
      </c>
      <c r="K124" s="9">
        <f t="shared" si="10"/>
        <v>354.80017595638003</v>
      </c>
      <c r="L124" s="10">
        <f t="shared" si="7"/>
        <v>0.19312381720396404</v>
      </c>
      <c r="M124" s="10">
        <f t="shared" si="11"/>
        <v>0.20651764742518053</v>
      </c>
      <c r="P124" s="8">
        <f t="shared" si="12"/>
        <v>1.5504509424507118</v>
      </c>
      <c r="X124" s="8">
        <v>-13</v>
      </c>
    </row>
    <row r="125" spans="1:24" x14ac:dyDescent="0.2">
      <c r="A125" s="8">
        <v>61.5</v>
      </c>
      <c r="B125" s="8">
        <v>123</v>
      </c>
      <c r="D125">
        <v>1993.1607418855999</v>
      </c>
      <c r="E125">
        <v>470.25656877898001</v>
      </c>
      <c r="F125">
        <v>130.48182521268001</v>
      </c>
      <c r="G125">
        <v>112.64733178653999</v>
      </c>
      <c r="I125" s="9">
        <f t="shared" si="8"/>
        <v>357.60923699244</v>
      </c>
      <c r="J125" s="9">
        <f t="shared" si="9"/>
        <v>1862.67891667292</v>
      </c>
      <c r="K125" s="9">
        <f t="shared" si="10"/>
        <v>357.60923699244</v>
      </c>
      <c r="L125" s="10">
        <f t="shared" si="7"/>
        <v>0.19198651672677677</v>
      </c>
      <c r="M125" s="10">
        <f t="shared" si="11"/>
        <v>0.2054901324416098</v>
      </c>
      <c r="P125" s="8">
        <f t="shared" si="12"/>
        <v>1.0451933471184012</v>
      </c>
      <c r="X125" s="8">
        <v>-13</v>
      </c>
    </row>
    <row r="126" spans="1:24" x14ac:dyDescent="0.2">
      <c r="A126" s="8">
        <v>62</v>
      </c>
      <c r="B126" s="8">
        <v>124</v>
      </c>
      <c r="D126">
        <v>1977.9327666152001</v>
      </c>
      <c r="E126">
        <v>468.79907264296997</v>
      </c>
      <c r="F126">
        <v>130.75638051044001</v>
      </c>
      <c r="G126">
        <v>112.67285382831</v>
      </c>
      <c r="I126" s="9">
        <f t="shared" si="8"/>
        <v>356.12621881465998</v>
      </c>
      <c r="J126" s="9">
        <f t="shared" si="9"/>
        <v>1847.17638610476</v>
      </c>
      <c r="K126" s="9">
        <f t="shared" si="10"/>
        <v>356.12621881465998</v>
      </c>
      <c r="L126" s="10">
        <f t="shared" si="7"/>
        <v>0.19279491741751986</v>
      </c>
      <c r="M126" s="10">
        <f t="shared" si="11"/>
        <v>0.20640831862596942</v>
      </c>
      <c r="P126" s="8">
        <f t="shared" si="12"/>
        <v>1.4966909417955294</v>
      </c>
      <c r="X126" s="8">
        <v>-13</v>
      </c>
    </row>
    <row r="127" spans="1:24" x14ac:dyDescent="0.2">
      <c r="A127" s="8">
        <v>62.5</v>
      </c>
      <c r="B127" s="8">
        <v>125</v>
      </c>
      <c r="D127">
        <v>2072.1816074189001</v>
      </c>
      <c r="E127">
        <v>487.86089644512998</v>
      </c>
      <c r="F127">
        <v>130.62645011601001</v>
      </c>
      <c r="G127">
        <v>112.40061871616</v>
      </c>
      <c r="I127" s="9">
        <f t="shared" si="8"/>
        <v>375.46027772896997</v>
      </c>
      <c r="J127" s="9">
        <f t="shared" si="9"/>
        <v>1941.5551573028902</v>
      </c>
      <c r="K127" s="9">
        <f t="shared" si="10"/>
        <v>375.46027772896997</v>
      </c>
      <c r="L127" s="10">
        <f t="shared" si="7"/>
        <v>0.19338120594551655</v>
      </c>
      <c r="M127" s="10">
        <f t="shared" si="11"/>
        <v>0.20710439264758262</v>
      </c>
      <c r="P127" s="8">
        <f t="shared" si="12"/>
        <v>1.8389698301397084</v>
      </c>
      <c r="X127" s="8">
        <v>-13</v>
      </c>
    </row>
    <row r="128" spans="1:24" x14ac:dyDescent="0.2">
      <c r="A128" s="8">
        <v>63</v>
      </c>
      <c r="B128" s="8">
        <v>126</v>
      </c>
      <c r="D128">
        <v>2068.2302936630999</v>
      </c>
      <c r="E128">
        <v>485.07727975271001</v>
      </c>
      <c r="F128">
        <v>130.77494199536</v>
      </c>
      <c r="G128">
        <v>112.71229698376</v>
      </c>
      <c r="I128" s="9">
        <f t="shared" si="8"/>
        <v>372.36498276895003</v>
      </c>
      <c r="J128" s="9">
        <f t="shared" si="9"/>
        <v>1937.4553516677399</v>
      </c>
      <c r="K128" s="9">
        <f t="shared" si="10"/>
        <v>372.36498276895003</v>
      </c>
      <c r="L128" s="10">
        <f t="shared" si="7"/>
        <v>0.1921928071521351</v>
      </c>
      <c r="M128" s="10">
        <f t="shared" si="11"/>
        <v>0.20602577934781771</v>
      </c>
      <c r="P128" s="8">
        <f t="shared" si="12"/>
        <v>1.3085857765283344</v>
      </c>
      <c r="X128" s="8">
        <v>-13</v>
      </c>
    </row>
    <row r="129" spans="1:24" x14ac:dyDescent="0.2">
      <c r="A129" s="8">
        <v>63.5</v>
      </c>
      <c r="B129" s="8">
        <v>127</v>
      </c>
      <c r="D129">
        <v>2071.9876352396</v>
      </c>
      <c r="E129">
        <v>484.95054095826998</v>
      </c>
      <c r="F129">
        <v>130.39288476410999</v>
      </c>
      <c r="G129">
        <v>112.39520494973</v>
      </c>
      <c r="I129" s="9">
        <f t="shared" si="8"/>
        <v>372.55533600854</v>
      </c>
      <c r="J129" s="9">
        <f t="shared" si="9"/>
        <v>1941.5947504754899</v>
      </c>
      <c r="K129" s="9">
        <f t="shared" si="10"/>
        <v>372.55533600854</v>
      </c>
      <c r="L129" s="10">
        <f t="shared" si="7"/>
        <v>0.19188109975951598</v>
      </c>
      <c r="M129" s="10">
        <f t="shared" si="11"/>
        <v>0.20582385744881512</v>
      </c>
      <c r="P129" s="8">
        <f t="shared" si="12"/>
        <v>1.2092951824579283</v>
      </c>
      <c r="X129" s="8">
        <v>-13</v>
      </c>
    </row>
    <row r="130" spans="1:24" x14ac:dyDescent="0.2">
      <c r="A130" s="8">
        <v>64</v>
      </c>
      <c r="B130" s="8">
        <v>128</v>
      </c>
      <c r="D130">
        <v>2086.328438949</v>
      </c>
      <c r="E130">
        <v>488.75888717155999</v>
      </c>
      <c r="F130">
        <v>130.47641144625001</v>
      </c>
      <c r="G130">
        <v>112.43464810518</v>
      </c>
      <c r="I130" s="9">
        <f t="shared" si="8"/>
        <v>376.32423906637996</v>
      </c>
      <c r="J130" s="9">
        <f t="shared" si="9"/>
        <v>1955.8520275027499</v>
      </c>
      <c r="K130" s="9">
        <f t="shared" si="10"/>
        <v>376.32423906637996</v>
      </c>
      <c r="L130" s="10">
        <f t="shared" ref="L130:L193" si="14">K130/J130</f>
        <v>0.19240936112476476</v>
      </c>
      <c r="M130" s="10">
        <f t="shared" si="11"/>
        <v>0.20646190430768041</v>
      </c>
      <c r="P130" s="8">
        <f t="shared" si="12"/>
        <v>1.5230405066373471</v>
      </c>
      <c r="X130" s="8">
        <v>-13</v>
      </c>
    </row>
    <row r="131" spans="1:24" x14ac:dyDescent="0.2">
      <c r="A131" s="8">
        <v>64.5</v>
      </c>
      <c r="B131" s="8">
        <v>129</v>
      </c>
      <c r="D131">
        <v>2098.2488408037002</v>
      </c>
      <c r="E131">
        <v>492.19165378670999</v>
      </c>
      <c r="F131">
        <v>129.85305491106001</v>
      </c>
      <c r="G131">
        <v>112.33333333333</v>
      </c>
      <c r="I131" s="9">
        <f t="shared" ref="I131:I194" si="15">E131-G131</f>
        <v>379.85832045337997</v>
      </c>
      <c r="J131" s="9">
        <f t="shared" ref="J131:J194" si="16">D131-F131</f>
        <v>1968.3957858926401</v>
      </c>
      <c r="K131" s="9">
        <f t="shared" ref="K131:K194" si="17">I131*1</f>
        <v>379.85832045337997</v>
      </c>
      <c r="L131" s="10">
        <f t="shared" si="14"/>
        <v>0.19297862918413</v>
      </c>
      <c r="M131" s="10">
        <f t="shared" ref="M131:M181" si="18">L131+ABS($N$2)*A131</f>
        <v>0.20714095786066219</v>
      </c>
      <c r="P131" s="8">
        <f t="shared" ref="P131:P194" si="19">(M131-$O$2)/$O$2*100</f>
        <v>1.856949958827657</v>
      </c>
      <c r="X131" s="8">
        <v>-13</v>
      </c>
    </row>
    <row r="132" spans="1:24" x14ac:dyDescent="0.2">
      <c r="A132" s="8">
        <v>65</v>
      </c>
      <c r="B132" s="8">
        <v>130</v>
      </c>
      <c r="D132">
        <v>2168.9636785162002</v>
      </c>
      <c r="E132">
        <v>496.92117465223998</v>
      </c>
      <c r="F132">
        <v>130.0935808198</v>
      </c>
      <c r="G132">
        <v>112.42536736272</v>
      </c>
      <c r="I132" s="9">
        <f t="shared" si="15"/>
        <v>384.49580728951997</v>
      </c>
      <c r="J132" s="9">
        <f t="shared" si="16"/>
        <v>2038.8700976964001</v>
      </c>
      <c r="K132" s="9">
        <f t="shared" si="17"/>
        <v>384.49580728951997</v>
      </c>
      <c r="L132" s="10">
        <f t="shared" si="14"/>
        <v>0.18858278794904063</v>
      </c>
      <c r="M132" s="10">
        <f t="shared" si="18"/>
        <v>0.20285490211918936</v>
      </c>
      <c r="P132" s="8">
        <f t="shared" si="19"/>
        <v>-0.25062243867766598</v>
      </c>
      <c r="X132" s="8">
        <v>-13</v>
      </c>
    </row>
    <row r="133" spans="1:24" x14ac:dyDescent="0.2">
      <c r="A133" s="8">
        <v>65.5</v>
      </c>
      <c r="B133" s="8">
        <v>131</v>
      </c>
      <c r="D133">
        <v>2102.6282843895001</v>
      </c>
      <c r="E133">
        <v>487.95672333849001</v>
      </c>
      <c r="F133">
        <v>130.11214230472001</v>
      </c>
      <c r="G133">
        <v>112.58159319412</v>
      </c>
      <c r="I133" s="9">
        <f t="shared" si="15"/>
        <v>375.37513014437002</v>
      </c>
      <c r="J133" s="9">
        <f t="shared" si="16"/>
        <v>1972.5161420847801</v>
      </c>
      <c r="K133" s="9">
        <f t="shared" si="17"/>
        <v>375.37513014437002</v>
      </c>
      <c r="L133" s="10">
        <f t="shared" si="14"/>
        <v>0.19030269113419307</v>
      </c>
      <c r="M133" s="10">
        <f t="shared" si="18"/>
        <v>0.20468459079795831</v>
      </c>
      <c r="P133" s="8">
        <f t="shared" si="19"/>
        <v>0.64908619508739673</v>
      </c>
      <c r="X133" s="8">
        <v>-13</v>
      </c>
    </row>
    <row r="134" spans="1:24" x14ac:dyDescent="0.2">
      <c r="A134" s="8">
        <v>66</v>
      </c>
      <c r="B134" s="8">
        <v>132</v>
      </c>
      <c r="D134">
        <v>2067.1066460586999</v>
      </c>
      <c r="E134">
        <v>481.99690880988999</v>
      </c>
      <c r="F134">
        <v>130.10286156225999</v>
      </c>
      <c r="G134">
        <v>112.6094354215</v>
      </c>
      <c r="I134" s="9">
        <f t="shared" si="15"/>
        <v>369.38747338838999</v>
      </c>
      <c r="J134" s="9">
        <f t="shared" si="16"/>
        <v>1937.0037844964399</v>
      </c>
      <c r="K134" s="9">
        <f t="shared" si="17"/>
        <v>369.38747338838999</v>
      </c>
      <c r="L134" s="10">
        <f t="shared" si="14"/>
        <v>0.19070043969192302</v>
      </c>
      <c r="M134" s="10">
        <f t="shared" si="18"/>
        <v>0.2051921248493048</v>
      </c>
      <c r="P134" s="8">
        <f t="shared" si="19"/>
        <v>0.89865475460508759</v>
      </c>
      <c r="X134" s="8">
        <v>-13</v>
      </c>
    </row>
    <row r="135" spans="1:24" x14ac:dyDescent="0.2">
      <c r="A135" s="8">
        <v>66.5</v>
      </c>
      <c r="B135" s="8">
        <v>133</v>
      </c>
      <c r="D135">
        <v>2065.0911901082</v>
      </c>
      <c r="E135">
        <v>484.44513137557999</v>
      </c>
      <c r="F135">
        <v>130.44624903325999</v>
      </c>
      <c r="G135">
        <v>112.85305491106</v>
      </c>
      <c r="I135" s="9">
        <f t="shared" si="15"/>
        <v>371.59207646452001</v>
      </c>
      <c r="J135" s="9">
        <f t="shared" si="16"/>
        <v>1934.6449410749399</v>
      </c>
      <c r="K135" s="9">
        <f t="shared" si="17"/>
        <v>371.59207646452001</v>
      </c>
      <c r="L135" s="10">
        <f t="shared" si="14"/>
        <v>0.19207249277381802</v>
      </c>
      <c r="M135" s="10">
        <f t="shared" si="18"/>
        <v>0.20667396342481634</v>
      </c>
      <c r="P135" s="8">
        <f t="shared" si="19"/>
        <v>1.6273158518201998</v>
      </c>
      <c r="X135" s="8">
        <v>-13</v>
      </c>
    </row>
    <row r="136" spans="1:24" x14ac:dyDescent="0.2">
      <c r="A136" s="8">
        <v>67</v>
      </c>
      <c r="B136" s="8">
        <v>134</v>
      </c>
      <c r="D136">
        <v>2016.6483771252001</v>
      </c>
      <c r="E136">
        <v>474.50386398763999</v>
      </c>
      <c r="F136">
        <v>130.19721577726</v>
      </c>
      <c r="G136">
        <v>112.52281515855</v>
      </c>
      <c r="I136" s="9">
        <f t="shared" si="15"/>
        <v>361.98104882909001</v>
      </c>
      <c r="J136" s="9">
        <f t="shared" si="16"/>
        <v>1886.4511613479401</v>
      </c>
      <c r="K136" s="9">
        <f t="shared" si="17"/>
        <v>361.98104882909001</v>
      </c>
      <c r="L136" s="10">
        <f t="shared" si="14"/>
        <v>0.19188466483830993</v>
      </c>
      <c r="M136" s="10">
        <f t="shared" si="18"/>
        <v>0.20659592098292479</v>
      </c>
      <c r="P136" s="8">
        <f t="shared" si="19"/>
        <v>1.5889402201705687</v>
      </c>
      <c r="X136" s="8">
        <v>-13</v>
      </c>
    </row>
    <row r="137" spans="1:24" x14ac:dyDescent="0.2">
      <c r="A137" s="8">
        <v>67.5</v>
      </c>
      <c r="B137" s="8">
        <v>135</v>
      </c>
      <c r="D137">
        <v>1970.8833075734001</v>
      </c>
      <c r="E137">
        <v>464.2086553323</v>
      </c>
      <c r="F137">
        <v>130.82521268368001</v>
      </c>
      <c r="G137">
        <v>112.60324825986</v>
      </c>
      <c r="I137" s="9">
        <f t="shared" si="15"/>
        <v>351.60540707244002</v>
      </c>
      <c r="J137" s="9">
        <f t="shared" si="16"/>
        <v>1840.05809488972</v>
      </c>
      <c r="K137" s="9">
        <f t="shared" si="17"/>
        <v>351.60540707244002</v>
      </c>
      <c r="L137" s="10">
        <f t="shared" si="14"/>
        <v>0.19108386199812499</v>
      </c>
      <c r="M137" s="10">
        <f t="shared" si="18"/>
        <v>0.20590490363635636</v>
      </c>
      <c r="P137" s="8">
        <f t="shared" si="19"/>
        <v>1.2491478390932917</v>
      </c>
      <c r="X137" s="8">
        <v>-13</v>
      </c>
    </row>
    <row r="138" spans="1:24" x14ac:dyDescent="0.2">
      <c r="A138" s="8">
        <v>68</v>
      </c>
      <c r="B138" s="8">
        <v>136</v>
      </c>
      <c r="D138">
        <v>2039.6207430341001</v>
      </c>
      <c r="E138">
        <v>480.73916408668998</v>
      </c>
      <c r="F138">
        <v>130.33720030936001</v>
      </c>
      <c r="G138">
        <v>112.08739365816</v>
      </c>
      <c r="I138" s="9">
        <f t="shared" si="15"/>
        <v>368.65177042852997</v>
      </c>
      <c r="J138" s="9">
        <f t="shared" si="16"/>
        <v>1909.2835427247401</v>
      </c>
      <c r="K138" s="9">
        <f t="shared" si="17"/>
        <v>368.65177042852997</v>
      </c>
      <c r="L138" s="10">
        <f t="shared" si="14"/>
        <v>0.19308382551835476</v>
      </c>
      <c r="M138" s="10">
        <f t="shared" si="18"/>
        <v>0.20801465265020266</v>
      </c>
      <c r="P138" s="8">
        <f t="shared" si="19"/>
        <v>2.2865699015787873</v>
      </c>
      <c r="X138" s="8">
        <v>-13</v>
      </c>
    </row>
    <row r="139" spans="1:24" x14ac:dyDescent="0.2">
      <c r="A139" s="8">
        <v>68.5</v>
      </c>
      <c r="B139" s="8">
        <v>137</v>
      </c>
      <c r="D139">
        <v>2122.2631578946998</v>
      </c>
      <c r="E139">
        <v>484.11068111455</v>
      </c>
      <c r="F139">
        <v>129.95901005414001</v>
      </c>
      <c r="G139">
        <v>112.86465583912999</v>
      </c>
      <c r="I139" s="9">
        <f t="shared" si="15"/>
        <v>371.24602527542004</v>
      </c>
      <c r="J139" s="9">
        <f t="shared" si="16"/>
        <v>1992.3041478405598</v>
      </c>
      <c r="K139" s="9">
        <f t="shared" si="17"/>
        <v>371.24602527542004</v>
      </c>
      <c r="L139" s="10">
        <f t="shared" si="14"/>
        <v>0.18634003531931115</v>
      </c>
      <c r="M139" s="10">
        <f t="shared" si="18"/>
        <v>0.20138064794477556</v>
      </c>
      <c r="P139" s="8">
        <f t="shared" si="19"/>
        <v>-0.97555407566888475</v>
      </c>
      <c r="X139" s="8">
        <v>-13</v>
      </c>
    </row>
    <row r="140" spans="1:24" x14ac:dyDescent="0.2">
      <c r="A140" s="8">
        <v>69</v>
      </c>
      <c r="B140" s="8">
        <v>138</v>
      </c>
      <c r="D140">
        <v>2292.8401544402</v>
      </c>
      <c r="E140">
        <v>514.91737451737004</v>
      </c>
      <c r="F140">
        <v>130.25908739366</v>
      </c>
      <c r="G140">
        <v>112.10286156226</v>
      </c>
      <c r="I140" s="9">
        <f t="shared" si="15"/>
        <v>402.81451295511005</v>
      </c>
      <c r="J140" s="9">
        <f t="shared" si="16"/>
        <v>2162.5810670465398</v>
      </c>
      <c r="K140" s="9">
        <f t="shared" si="17"/>
        <v>402.81451295511005</v>
      </c>
      <c r="L140" s="10">
        <f t="shared" si="14"/>
        <v>0.18626562448603981</v>
      </c>
      <c r="M140" s="10">
        <f t="shared" si="18"/>
        <v>0.20141602260512076</v>
      </c>
      <c r="P140" s="8">
        <f t="shared" si="19"/>
        <v>-0.95815937475698076</v>
      </c>
      <c r="X140" s="8">
        <v>-13</v>
      </c>
    </row>
    <row r="141" spans="1:24" x14ac:dyDescent="0.2">
      <c r="A141" s="8">
        <v>69.5</v>
      </c>
      <c r="B141" s="8">
        <v>139</v>
      </c>
      <c r="D141">
        <v>2225.5881447267002</v>
      </c>
      <c r="E141">
        <v>506.68899153195002</v>
      </c>
      <c r="F141">
        <v>130.20804331012999</v>
      </c>
      <c r="G141">
        <v>112.46867749419999</v>
      </c>
      <c r="I141" s="9">
        <f t="shared" si="15"/>
        <v>394.22031403775003</v>
      </c>
      <c r="J141" s="9">
        <f t="shared" si="16"/>
        <v>2095.3801014165701</v>
      </c>
      <c r="K141" s="9">
        <f t="shared" si="17"/>
        <v>394.22031403775003</v>
      </c>
      <c r="L141" s="10">
        <f t="shared" si="14"/>
        <v>0.1881378532569053</v>
      </c>
      <c r="M141" s="10">
        <f t="shared" si="18"/>
        <v>0.20339803686960278</v>
      </c>
      <c r="P141" s="8">
        <f t="shared" si="19"/>
        <v>1.6451971256144868E-2</v>
      </c>
      <c r="X141" s="8">
        <v>-13</v>
      </c>
    </row>
    <row r="142" spans="1:24" x14ac:dyDescent="0.2">
      <c r="A142" s="8">
        <v>70</v>
      </c>
      <c r="B142" s="8">
        <v>140</v>
      </c>
      <c r="D142">
        <v>2330.0739030023001</v>
      </c>
      <c r="E142">
        <v>518.75750577367</v>
      </c>
      <c r="F142">
        <v>130.0618716164</v>
      </c>
      <c r="G142">
        <v>112.45707656613</v>
      </c>
      <c r="I142" s="9">
        <f t="shared" si="15"/>
        <v>406.30042920753999</v>
      </c>
      <c r="J142" s="9">
        <f t="shared" si="16"/>
        <v>2200.0120313859002</v>
      </c>
      <c r="K142" s="9">
        <f t="shared" si="17"/>
        <v>406.30042920753999</v>
      </c>
      <c r="L142" s="10">
        <f t="shared" si="14"/>
        <v>0.18468100329050954</v>
      </c>
      <c r="M142" s="10">
        <f t="shared" si="18"/>
        <v>0.20005097239682357</v>
      </c>
      <c r="P142" s="8">
        <f t="shared" si="19"/>
        <v>-1.6293923949853726</v>
      </c>
      <c r="X142" s="8">
        <v>-13</v>
      </c>
    </row>
    <row r="143" spans="1:24" x14ac:dyDescent="0.2">
      <c r="A143" s="8">
        <v>70.5</v>
      </c>
      <c r="B143" s="8">
        <v>141</v>
      </c>
      <c r="D143">
        <v>2371.9030023095002</v>
      </c>
      <c r="E143">
        <v>522.52578906850999</v>
      </c>
      <c r="F143">
        <v>129.91183294664</v>
      </c>
      <c r="G143">
        <v>112.34261407579</v>
      </c>
      <c r="I143" s="9">
        <f t="shared" si="15"/>
        <v>410.18317499272001</v>
      </c>
      <c r="J143" s="9">
        <f t="shared" si="16"/>
        <v>2241.9911693628601</v>
      </c>
      <c r="K143" s="9">
        <f t="shared" si="17"/>
        <v>410.18317499272001</v>
      </c>
      <c r="L143" s="10">
        <f t="shared" si="14"/>
        <v>0.18295485753821583</v>
      </c>
      <c r="M143" s="10">
        <f t="shared" si="18"/>
        <v>0.19843461213814637</v>
      </c>
      <c r="P143" s="8">
        <f t="shared" si="19"/>
        <v>-2.424201532125061</v>
      </c>
      <c r="X143" s="8">
        <v>-13</v>
      </c>
    </row>
    <row r="144" spans="1:24" x14ac:dyDescent="0.2">
      <c r="A144" s="8">
        <v>71</v>
      </c>
      <c r="B144" s="8">
        <v>142</v>
      </c>
      <c r="D144">
        <v>2364.8752886836</v>
      </c>
      <c r="E144">
        <v>511.36797536567002</v>
      </c>
      <c r="F144">
        <v>130.01546790410001</v>
      </c>
      <c r="G144">
        <v>112.56767208043</v>
      </c>
      <c r="I144" s="9">
        <f t="shared" si="15"/>
        <v>398.80030328524003</v>
      </c>
      <c r="J144" s="9">
        <f t="shared" si="16"/>
        <v>2234.8598207794998</v>
      </c>
      <c r="K144" s="9">
        <f t="shared" si="17"/>
        <v>398.80030328524003</v>
      </c>
      <c r="L144" s="10">
        <f t="shared" si="14"/>
        <v>0.17844533226524334</v>
      </c>
      <c r="M144" s="10">
        <f t="shared" si="18"/>
        <v>0.19403487235879041</v>
      </c>
      <c r="P144" s="8">
        <f t="shared" si="19"/>
        <v>-4.5876755218474434</v>
      </c>
    </row>
    <row r="145" spans="1:16" x14ac:dyDescent="0.2">
      <c r="A145" s="8">
        <v>71.5</v>
      </c>
      <c r="B145" s="8">
        <v>143</v>
      </c>
      <c r="D145">
        <v>2348.5551242236002</v>
      </c>
      <c r="E145">
        <v>510.32996894410002</v>
      </c>
      <c r="F145">
        <v>130.29621036349999</v>
      </c>
      <c r="G145">
        <v>112.48105181747999</v>
      </c>
      <c r="I145" s="9">
        <f t="shared" si="15"/>
        <v>397.84891712661999</v>
      </c>
      <c r="J145" s="9">
        <f t="shared" si="16"/>
        <v>2218.2589138601002</v>
      </c>
      <c r="K145" s="9">
        <f t="shared" si="17"/>
        <v>397.84891712661999</v>
      </c>
      <c r="L145" s="10">
        <f t="shared" si="14"/>
        <v>0.17935188477809552</v>
      </c>
      <c r="M145" s="10">
        <f t="shared" si="18"/>
        <v>0.19505121036525913</v>
      </c>
      <c r="P145" s="8">
        <f t="shared" si="19"/>
        <v>-4.0879139559297331</v>
      </c>
    </row>
    <row r="146" spans="1:16" x14ac:dyDescent="0.2">
      <c r="A146" s="8">
        <v>72</v>
      </c>
      <c r="B146" s="8">
        <v>144</v>
      </c>
      <c r="D146">
        <v>2337.3913043478001</v>
      </c>
      <c r="E146">
        <v>510.36956521739</v>
      </c>
      <c r="F146">
        <v>129.86774941995</v>
      </c>
      <c r="G146">
        <v>112.23047177108</v>
      </c>
      <c r="I146" s="9">
        <f t="shared" si="15"/>
        <v>398.13909344630997</v>
      </c>
      <c r="J146" s="9">
        <f t="shared" si="16"/>
        <v>2207.52355492785</v>
      </c>
      <c r="K146" s="9">
        <f t="shared" si="17"/>
        <v>398.13909344630997</v>
      </c>
      <c r="L146" s="10">
        <f t="shared" si="14"/>
        <v>0.18035553575749846</v>
      </c>
      <c r="M146" s="10">
        <f t="shared" si="18"/>
        <v>0.19616464683827858</v>
      </c>
      <c r="P146" s="8">
        <f t="shared" si="19"/>
        <v>-3.5404063828935768</v>
      </c>
    </row>
    <row r="147" spans="1:16" x14ac:dyDescent="0.2">
      <c r="A147" s="8">
        <v>72.5</v>
      </c>
      <c r="B147" s="8">
        <v>145</v>
      </c>
      <c r="D147">
        <v>2277.2686335404001</v>
      </c>
      <c r="E147">
        <v>503.74689440994001</v>
      </c>
      <c r="F147">
        <v>130.03712296984</v>
      </c>
      <c r="G147">
        <v>112.19953596288001</v>
      </c>
      <c r="I147" s="9">
        <f t="shared" si="15"/>
        <v>391.54735844705999</v>
      </c>
      <c r="J147" s="9">
        <f t="shared" si="16"/>
        <v>2147.2315105705602</v>
      </c>
      <c r="K147" s="9">
        <f t="shared" si="17"/>
        <v>391.54735844705999</v>
      </c>
      <c r="L147" s="10">
        <f t="shared" si="14"/>
        <v>0.18234985678978716</v>
      </c>
      <c r="M147" s="10">
        <f t="shared" si="18"/>
        <v>0.19826875336418381</v>
      </c>
      <c r="P147" s="8">
        <f t="shared" si="19"/>
        <v>-2.5057588881120898</v>
      </c>
    </row>
    <row r="148" spans="1:16" x14ac:dyDescent="0.2">
      <c r="A148" s="8">
        <v>73</v>
      </c>
      <c r="B148" s="8">
        <v>146</v>
      </c>
      <c r="D148">
        <v>2160.6927244581998</v>
      </c>
      <c r="E148">
        <v>489.87693498452001</v>
      </c>
      <c r="F148">
        <v>130.02474864656</v>
      </c>
      <c r="G148">
        <v>112.47409126063</v>
      </c>
      <c r="I148" s="9">
        <f t="shared" si="15"/>
        <v>377.40284372388999</v>
      </c>
      <c r="J148" s="9">
        <f t="shared" si="16"/>
        <v>2030.6679758116397</v>
      </c>
      <c r="K148" s="9">
        <f t="shared" si="17"/>
        <v>377.40284372388999</v>
      </c>
      <c r="L148" s="10">
        <f t="shared" si="14"/>
        <v>0.18585157604262975</v>
      </c>
      <c r="M148" s="10">
        <f t="shared" si="18"/>
        <v>0.20188025811064295</v>
      </c>
      <c r="P148" s="8">
        <f t="shared" si="19"/>
        <v>-0.72988191025431992</v>
      </c>
    </row>
    <row r="149" spans="1:16" x14ac:dyDescent="0.2">
      <c r="A149" s="8">
        <v>73.5</v>
      </c>
      <c r="B149" s="8">
        <v>147</v>
      </c>
      <c r="D149">
        <v>2134.4256965944001</v>
      </c>
      <c r="E149">
        <v>476.75386996904001</v>
      </c>
      <c r="F149">
        <v>130.53673627224001</v>
      </c>
      <c r="G149">
        <v>112.27378190255</v>
      </c>
      <c r="I149" s="9">
        <f t="shared" si="15"/>
        <v>364.48008806649</v>
      </c>
      <c r="J149" s="9">
        <f t="shared" si="16"/>
        <v>2003.8889603221601</v>
      </c>
      <c r="K149" s="9">
        <f t="shared" si="17"/>
        <v>364.48008806649</v>
      </c>
      <c r="L149" s="10">
        <f t="shared" si="14"/>
        <v>0.18188636959599472</v>
      </c>
      <c r="M149" s="10">
        <f t="shared" si="18"/>
        <v>0.19802483715762442</v>
      </c>
      <c r="P149" s="8">
        <f t="shared" si="19"/>
        <v>-2.6256992470940115</v>
      </c>
    </row>
    <row r="150" spans="1:16" x14ac:dyDescent="0.2">
      <c r="A150" s="8">
        <v>74</v>
      </c>
      <c r="B150" s="8">
        <v>148</v>
      </c>
      <c r="D150">
        <v>2261.4370199692999</v>
      </c>
      <c r="E150">
        <v>502.03993855607001</v>
      </c>
      <c r="F150">
        <v>129.88089713843999</v>
      </c>
      <c r="G150">
        <v>112.41144624903001</v>
      </c>
      <c r="I150" s="9">
        <f t="shared" si="15"/>
        <v>389.62849230704001</v>
      </c>
      <c r="J150" s="9">
        <f t="shared" si="16"/>
        <v>2131.5561228308597</v>
      </c>
      <c r="K150" s="9">
        <f t="shared" si="17"/>
        <v>389.62849230704001</v>
      </c>
      <c r="L150" s="10">
        <f t="shared" si="14"/>
        <v>0.18279063269025511</v>
      </c>
      <c r="M150" s="10">
        <f t="shared" si="18"/>
        <v>0.19903888574550135</v>
      </c>
      <c r="P150" s="8">
        <f t="shared" si="19"/>
        <v>-2.1270634517498612</v>
      </c>
    </row>
    <row r="151" spans="1:16" x14ac:dyDescent="0.2">
      <c r="A151" s="8">
        <v>74.5</v>
      </c>
      <c r="B151" s="8">
        <v>149</v>
      </c>
      <c r="D151">
        <v>2158.8168469860998</v>
      </c>
      <c r="E151">
        <v>492.85935085007998</v>
      </c>
      <c r="F151">
        <v>130.20340293890001</v>
      </c>
      <c r="G151">
        <v>112.29156999227</v>
      </c>
      <c r="I151" s="9">
        <f t="shared" si="15"/>
        <v>380.56778085780996</v>
      </c>
      <c r="J151" s="9">
        <f t="shared" si="16"/>
        <v>2028.6134440471997</v>
      </c>
      <c r="K151" s="9">
        <f t="shared" si="17"/>
        <v>380.56778085780996</v>
      </c>
      <c r="L151" s="10">
        <f t="shared" si="14"/>
        <v>0.18759995009130745</v>
      </c>
      <c r="M151" s="10">
        <f t="shared" si="18"/>
        <v>0.20395798864017023</v>
      </c>
      <c r="P151" s="8">
        <f t="shared" si="19"/>
        <v>0.29179577608884777</v>
      </c>
    </row>
    <row r="152" spans="1:16" x14ac:dyDescent="0.2">
      <c r="A152" s="8">
        <v>75</v>
      </c>
      <c r="B152" s="8">
        <v>150</v>
      </c>
      <c r="D152">
        <v>2192.9714064915001</v>
      </c>
      <c r="E152">
        <v>486.56877897991001</v>
      </c>
      <c r="F152">
        <v>130.01856148492001</v>
      </c>
      <c r="G152">
        <v>112.46094354215001</v>
      </c>
      <c r="I152" s="9">
        <f t="shared" si="15"/>
        <v>374.10783543776</v>
      </c>
      <c r="J152" s="9">
        <f t="shared" si="16"/>
        <v>2062.95284500658</v>
      </c>
      <c r="K152" s="9">
        <f t="shared" si="17"/>
        <v>374.10783543776</v>
      </c>
      <c r="L152" s="10">
        <f t="shared" si="14"/>
        <v>0.18134580067755585</v>
      </c>
      <c r="M152" s="10">
        <f t="shared" si="18"/>
        <v>0.19781362472003514</v>
      </c>
      <c r="P152" s="8">
        <f t="shared" si="19"/>
        <v>-2.7295582564777829</v>
      </c>
    </row>
    <row r="153" spans="1:16" x14ac:dyDescent="0.2">
      <c r="A153" s="8">
        <v>75.5</v>
      </c>
      <c r="B153" s="8">
        <v>151</v>
      </c>
      <c r="D153">
        <v>2292.6228748068002</v>
      </c>
      <c r="E153">
        <v>511.51854714065001</v>
      </c>
      <c r="F153">
        <v>130.14849187934999</v>
      </c>
      <c r="G153">
        <v>112.40757927301</v>
      </c>
      <c r="I153" s="9">
        <f t="shared" si="15"/>
        <v>399.11096786764</v>
      </c>
      <c r="J153" s="9">
        <f t="shared" si="16"/>
        <v>2162.4743829274503</v>
      </c>
      <c r="K153" s="9">
        <f t="shared" si="17"/>
        <v>399.11096786764</v>
      </c>
      <c r="L153" s="10">
        <f t="shared" si="14"/>
        <v>0.18456217147291401</v>
      </c>
      <c r="M153" s="10">
        <f t="shared" si="18"/>
        <v>0.20113978100900984</v>
      </c>
      <c r="P153" s="8">
        <f t="shared" si="19"/>
        <v>-1.0939950236900313</v>
      </c>
    </row>
    <row r="154" spans="1:16" x14ac:dyDescent="0.2">
      <c r="A154" s="8">
        <v>76</v>
      </c>
      <c r="B154" s="8">
        <v>152</v>
      </c>
      <c r="D154">
        <v>2130.630317092</v>
      </c>
      <c r="E154">
        <v>493.97602474864999</v>
      </c>
      <c r="F154">
        <v>130.08894044857001</v>
      </c>
      <c r="G154">
        <v>112.26140757927</v>
      </c>
      <c r="I154" s="9">
        <f t="shared" si="15"/>
        <v>381.71461716938001</v>
      </c>
      <c r="J154" s="9">
        <f t="shared" si="16"/>
        <v>2000.5413766434301</v>
      </c>
      <c r="K154" s="9">
        <f t="shared" si="17"/>
        <v>381.71461716938001</v>
      </c>
      <c r="L154" s="10">
        <f t="shared" si="14"/>
        <v>0.19080565972088642</v>
      </c>
      <c r="M154" s="10">
        <f t="shared" si="18"/>
        <v>0.20749305475059879</v>
      </c>
      <c r="P154" s="8">
        <f t="shared" si="19"/>
        <v>2.0300857580888283</v>
      </c>
    </row>
    <row r="155" spans="1:16" x14ac:dyDescent="0.2">
      <c r="A155" s="8">
        <v>76.5</v>
      </c>
      <c r="B155" s="8">
        <v>153</v>
      </c>
      <c r="D155">
        <v>2135.5993812838001</v>
      </c>
      <c r="E155">
        <v>491.71461716937</v>
      </c>
      <c r="F155">
        <v>130.08352668213999</v>
      </c>
      <c r="G155">
        <v>112.24516627996999</v>
      </c>
      <c r="I155" s="9">
        <f t="shared" si="15"/>
        <v>379.46945088940004</v>
      </c>
      <c r="J155" s="9">
        <f t="shared" si="16"/>
        <v>2005.5158546016601</v>
      </c>
      <c r="K155" s="9">
        <f t="shared" si="17"/>
        <v>379.46945088940004</v>
      </c>
      <c r="L155" s="10">
        <f t="shared" si="14"/>
        <v>0.18921289004956338</v>
      </c>
      <c r="M155" s="10">
        <f t="shared" si="18"/>
        <v>0.20601007057289225</v>
      </c>
      <c r="P155" s="8">
        <f t="shared" si="19"/>
        <v>1.3008613365237005</v>
      </c>
    </row>
    <row r="156" spans="1:16" x14ac:dyDescent="0.2">
      <c r="A156" s="8">
        <v>77</v>
      </c>
      <c r="B156" s="8">
        <v>154</v>
      </c>
      <c r="D156">
        <v>2156.2301158301002</v>
      </c>
      <c r="E156">
        <v>500.67567567568</v>
      </c>
      <c r="F156">
        <v>129.65815931941</v>
      </c>
      <c r="G156">
        <v>112.78422273782</v>
      </c>
      <c r="I156" s="9">
        <f t="shared" si="15"/>
        <v>387.89145293785998</v>
      </c>
      <c r="J156" s="9">
        <f t="shared" si="16"/>
        <v>2026.5719565106901</v>
      </c>
      <c r="K156" s="9">
        <f t="shared" si="17"/>
        <v>387.89145293785998</v>
      </c>
      <c r="L156" s="10">
        <f t="shared" si="14"/>
        <v>0.19140275364597639</v>
      </c>
      <c r="M156" s="10">
        <f t="shared" si="18"/>
        <v>0.20830971966292181</v>
      </c>
      <c r="P156" s="8">
        <f t="shared" si="19"/>
        <v>2.4316625296106187</v>
      </c>
    </row>
    <row r="157" spans="1:16" x14ac:dyDescent="0.2">
      <c r="A157" s="8">
        <v>77.5</v>
      </c>
      <c r="B157" s="8">
        <v>155</v>
      </c>
      <c r="D157">
        <v>2269.9359073359001</v>
      </c>
      <c r="E157">
        <v>515.95521235521005</v>
      </c>
      <c r="F157">
        <v>129.97370456303</v>
      </c>
      <c r="G157">
        <v>112.83217324053</v>
      </c>
      <c r="I157" s="9">
        <f t="shared" si="15"/>
        <v>403.12303911468007</v>
      </c>
      <c r="J157" s="9">
        <f t="shared" si="16"/>
        <v>2139.9622027728701</v>
      </c>
      <c r="K157" s="9">
        <f t="shared" si="17"/>
        <v>403.12303911468007</v>
      </c>
      <c r="L157" s="10">
        <f t="shared" si="14"/>
        <v>0.18837857911337441</v>
      </c>
      <c r="M157" s="10">
        <f t="shared" si="18"/>
        <v>0.20539533062393636</v>
      </c>
      <c r="P157" s="8">
        <f t="shared" si="19"/>
        <v>0.99857666590529026</v>
      </c>
    </row>
    <row r="158" spans="1:16" x14ac:dyDescent="0.2">
      <c r="A158" s="8">
        <v>78</v>
      </c>
      <c r="B158" s="8">
        <v>156</v>
      </c>
      <c r="D158">
        <v>2238.8496932515</v>
      </c>
      <c r="E158">
        <v>514.10659509203003</v>
      </c>
      <c r="F158">
        <v>129.98685228151999</v>
      </c>
      <c r="G158">
        <v>112.24825986079</v>
      </c>
      <c r="I158" s="9">
        <f t="shared" si="15"/>
        <v>401.85833523124006</v>
      </c>
      <c r="J158" s="9">
        <f t="shared" si="16"/>
        <v>2108.86284096998</v>
      </c>
      <c r="K158" s="9">
        <f t="shared" si="17"/>
        <v>401.85833523124006</v>
      </c>
      <c r="L158" s="10">
        <f t="shared" si="14"/>
        <v>0.19055688564667567</v>
      </c>
      <c r="M158" s="10">
        <f t="shared" si="18"/>
        <v>0.20768342265085413</v>
      </c>
      <c r="P158" s="8">
        <f t="shared" si="19"/>
        <v>2.1236949307523947</v>
      </c>
    </row>
    <row r="159" spans="1:16" x14ac:dyDescent="0.2">
      <c r="A159" s="8">
        <v>78.5</v>
      </c>
      <c r="B159" s="8">
        <v>157</v>
      </c>
      <c r="D159">
        <v>2229.1483771252001</v>
      </c>
      <c r="E159">
        <v>519.50231839258004</v>
      </c>
      <c r="F159">
        <v>130.49729311678001</v>
      </c>
      <c r="G159">
        <v>112.50038669760001</v>
      </c>
      <c r="I159" s="9">
        <f t="shared" si="15"/>
        <v>407.00193169498004</v>
      </c>
      <c r="J159" s="9">
        <f t="shared" si="16"/>
        <v>2098.6510840084202</v>
      </c>
      <c r="K159" s="9">
        <f t="shared" si="17"/>
        <v>407.00193169498004</v>
      </c>
      <c r="L159" s="10">
        <f t="shared" si="14"/>
        <v>0.19393501606641872</v>
      </c>
      <c r="M159" s="10">
        <f t="shared" si="18"/>
        <v>0.21117133856421372</v>
      </c>
      <c r="P159" s="8">
        <f t="shared" si="19"/>
        <v>3.8387998540705799</v>
      </c>
    </row>
    <row r="160" spans="1:16" x14ac:dyDescent="0.2">
      <c r="A160" s="8">
        <v>79</v>
      </c>
      <c r="B160" s="8">
        <v>158</v>
      </c>
      <c r="D160">
        <v>2204.5718701699998</v>
      </c>
      <c r="E160">
        <v>509.27743431221</v>
      </c>
      <c r="F160">
        <v>129.89945862336</v>
      </c>
      <c r="G160">
        <v>112.62412993039</v>
      </c>
      <c r="I160" s="9">
        <f t="shared" si="15"/>
        <v>396.65330438182002</v>
      </c>
      <c r="J160" s="9">
        <f t="shared" si="16"/>
        <v>2074.67241154664</v>
      </c>
      <c r="K160" s="9">
        <f t="shared" si="17"/>
        <v>396.65330438182002</v>
      </c>
      <c r="L160" s="10">
        <f t="shared" si="14"/>
        <v>0.19118840264816575</v>
      </c>
      <c r="M160" s="10">
        <f t="shared" si="18"/>
        <v>0.20853451063957729</v>
      </c>
      <c r="P160" s="8">
        <f t="shared" si="19"/>
        <v>2.5421984829868469</v>
      </c>
    </row>
    <row r="161" spans="1:16" x14ac:dyDescent="0.2">
      <c r="A161" s="8">
        <v>79.5</v>
      </c>
      <c r="B161" s="8">
        <v>159</v>
      </c>
      <c r="D161">
        <v>2180.6213292118</v>
      </c>
      <c r="E161">
        <v>512.18856259660004</v>
      </c>
      <c r="F161">
        <v>130.0618716164</v>
      </c>
      <c r="G161">
        <v>112.55529775715</v>
      </c>
      <c r="I161" s="9">
        <f t="shared" si="15"/>
        <v>399.63326483945002</v>
      </c>
      <c r="J161" s="9">
        <f t="shared" si="16"/>
        <v>2050.5594575954001</v>
      </c>
      <c r="K161" s="9">
        <f t="shared" si="17"/>
        <v>399.63326483945002</v>
      </c>
      <c r="L161" s="10">
        <f t="shared" si="14"/>
        <v>0.19488986937646868</v>
      </c>
      <c r="M161" s="10">
        <f t="shared" si="18"/>
        <v>0.21234576286149673</v>
      </c>
      <c r="P161" s="8">
        <f t="shared" si="19"/>
        <v>4.4162968305944315</v>
      </c>
    </row>
    <row r="162" spans="1:16" x14ac:dyDescent="0.2">
      <c r="A162" s="8">
        <v>80</v>
      </c>
      <c r="B162" s="4">
        <v>160</v>
      </c>
      <c r="C162" s="4" t="s">
        <v>6</v>
      </c>
      <c r="D162">
        <v>2161.9001536097999</v>
      </c>
      <c r="E162">
        <v>521.16205837174005</v>
      </c>
      <c r="F162">
        <v>129.83294663573</v>
      </c>
      <c r="G162">
        <v>112.45862335654</v>
      </c>
      <c r="H162" s="4"/>
      <c r="I162" s="5">
        <f t="shared" si="15"/>
        <v>408.70343501520006</v>
      </c>
      <c r="J162" s="5">
        <f t="shared" si="16"/>
        <v>2032.0672069740699</v>
      </c>
      <c r="K162" s="9">
        <f t="shared" si="17"/>
        <v>408.70343501520006</v>
      </c>
      <c r="L162" s="6">
        <f t="shared" si="14"/>
        <v>0.20112692809200738</v>
      </c>
      <c r="M162" s="6">
        <f t="shared" si="18"/>
        <v>0.21869260707065197</v>
      </c>
      <c r="N162" s="4"/>
      <c r="O162" s="4"/>
      <c r="P162" s="4">
        <f t="shared" si="19"/>
        <v>7.5372160330790612</v>
      </c>
    </row>
    <row r="163" spans="1:16" x14ac:dyDescent="0.2">
      <c r="A163" s="8">
        <v>80.5</v>
      </c>
      <c r="B163" s="8">
        <v>161</v>
      </c>
      <c r="D163">
        <v>2227.4872783346</v>
      </c>
      <c r="E163">
        <v>534.03392444101996</v>
      </c>
      <c r="F163">
        <v>129.97061098220999</v>
      </c>
      <c r="G163">
        <v>112.5475638051</v>
      </c>
      <c r="I163" s="9">
        <f t="shared" si="15"/>
        <v>421.48636063591994</v>
      </c>
      <c r="J163" s="9">
        <f t="shared" si="16"/>
        <v>2097.51666735239</v>
      </c>
      <c r="K163" s="9">
        <f t="shared" si="17"/>
        <v>421.48636063591994</v>
      </c>
      <c r="L163" s="10">
        <f t="shared" si="14"/>
        <v>0.20094541664259816</v>
      </c>
      <c r="M163" s="10">
        <f t="shared" si="18"/>
        <v>0.21862088111485928</v>
      </c>
      <c r="P163" s="8">
        <f t="shared" si="19"/>
        <v>7.5019463927076995</v>
      </c>
    </row>
    <row r="164" spans="1:16" x14ac:dyDescent="0.2">
      <c r="A164" s="8">
        <v>81</v>
      </c>
      <c r="B164" s="8">
        <v>162</v>
      </c>
      <c r="D164">
        <v>2194.0619674671002</v>
      </c>
      <c r="E164">
        <v>521.85747482572003</v>
      </c>
      <c r="F164">
        <v>129.72699149265</v>
      </c>
      <c r="G164">
        <v>111.82289249807</v>
      </c>
      <c r="I164" s="9">
        <f t="shared" si="15"/>
        <v>410.03458232765001</v>
      </c>
      <c r="J164" s="9">
        <f t="shared" si="16"/>
        <v>2064.3349759744501</v>
      </c>
      <c r="K164" s="9">
        <f t="shared" si="17"/>
        <v>410.03458232765001</v>
      </c>
      <c r="L164" s="10">
        <f t="shared" si="14"/>
        <v>0.19862792962372641</v>
      </c>
      <c r="M164" s="10">
        <f t="shared" si="18"/>
        <v>0.21641317958960404</v>
      </c>
      <c r="P164" s="8">
        <f t="shared" si="19"/>
        <v>6.416358365576853</v>
      </c>
    </row>
    <row r="165" spans="1:16" x14ac:dyDescent="0.2">
      <c r="A165" s="8">
        <v>81.5</v>
      </c>
      <c r="B165" s="8">
        <v>163</v>
      </c>
      <c r="D165">
        <v>1993.846630519</v>
      </c>
      <c r="E165">
        <v>511.99845081332001</v>
      </c>
      <c r="F165">
        <v>130.19334880124001</v>
      </c>
      <c r="G165">
        <v>112.34802784223</v>
      </c>
      <c r="I165" s="9">
        <f t="shared" si="15"/>
        <v>399.65042297108999</v>
      </c>
      <c r="J165" s="9">
        <f t="shared" si="16"/>
        <v>1863.6532817177599</v>
      </c>
      <c r="K165" s="9">
        <f t="shared" si="17"/>
        <v>399.65042297108999</v>
      </c>
      <c r="L165" s="10">
        <f t="shared" si="14"/>
        <v>0.21444462169633058</v>
      </c>
      <c r="M165" s="10">
        <f t="shared" si="18"/>
        <v>0.23233965715582475</v>
      </c>
      <c r="P165" s="8">
        <f t="shared" si="19"/>
        <v>14.247848792371906</v>
      </c>
    </row>
    <row r="166" spans="1:16" x14ac:dyDescent="0.2">
      <c r="A166" s="8">
        <v>82</v>
      </c>
      <c r="B166" s="8">
        <v>164</v>
      </c>
      <c r="D166">
        <v>2246.8319132455999</v>
      </c>
      <c r="E166">
        <v>517.13245546088001</v>
      </c>
      <c r="F166">
        <v>129.45939675174</v>
      </c>
      <c r="G166">
        <v>112.15081206497</v>
      </c>
      <c r="I166" s="9">
        <f t="shared" si="15"/>
        <v>404.98164339591</v>
      </c>
      <c r="J166" s="9">
        <f t="shared" si="16"/>
        <v>2117.3725164938601</v>
      </c>
      <c r="K166" s="9">
        <f t="shared" si="17"/>
        <v>404.98164339591</v>
      </c>
      <c r="L166" s="10">
        <f t="shared" si="14"/>
        <v>0.19126612829872555</v>
      </c>
      <c r="M166" s="10">
        <f t="shared" si="18"/>
        <v>0.20927094925183626</v>
      </c>
      <c r="P166" s="8">
        <f t="shared" si="19"/>
        <v>2.9043257592692542</v>
      </c>
    </row>
    <row r="167" spans="1:16" x14ac:dyDescent="0.2">
      <c r="A167" s="8">
        <v>82.5</v>
      </c>
      <c r="B167" s="8">
        <v>165</v>
      </c>
      <c r="D167">
        <v>2274.3137103020999</v>
      </c>
      <c r="E167">
        <v>519.18667699458001</v>
      </c>
      <c r="F167">
        <v>130.02242846094001</v>
      </c>
      <c r="G167">
        <v>112.27300850735</v>
      </c>
      <c r="I167" s="9">
        <f t="shared" si="15"/>
        <v>406.91366848722998</v>
      </c>
      <c r="J167" s="9">
        <f t="shared" si="16"/>
        <v>2144.2912818411601</v>
      </c>
      <c r="K167" s="9">
        <f t="shared" si="17"/>
        <v>406.91366848722998</v>
      </c>
      <c r="L167" s="10">
        <f t="shared" si="14"/>
        <v>0.18976604155095958</v>
      </c>
      <c r="M167" s="10">
        <f t="shared" si="18"/>
        <v>0.2078806479976868</v>
      </c>
      <c r="P167" s="8">
        <f t="shared" si="19"/>
        <v>2.2206760999543862</v>
      </c>
    </row>
    <row r="168" spans="1:16" x14ac:dyDescent="0.2">
      <c r="A168" s="8">
        <v>83</v>
      </c>
      <c r="B168" s="8">
        <v>166</v>
      </c>
      <c r="D168">
        <v>2151.8597986056998</v>
      </c>
      <c r="E168">
        <v>514.12935708753002</v>
      </c>
      <c r="F168">
        <v>130.35421500387</v>
      </c>
      <c r="G168">
        <v>112.38205723125</v>
      </c>
      <c r="I168" s="9">
        <f t="shared" si="15"/>
        <v>401.74729985628005</v>
      </c>
      <c r="J168" s="9">
        <f t="shared" si="16"/>
        <v>2021.5055836018298</v>
      </c>
      <c r="K168" s="9">
        <f t="shared" si="17"/>
        <v>401.74729985628005</v>
      </c>
      <c r="L168" s="10">
        <f t="shared" si="14"/>
        <v>0.19873667582973695</v>
      </c>
      <c r="M168" s="10">
        <f t="shared" si="18"/>
        <v>0.2169610677700807</v>
      </c>
      <c r="P168" s="8">
        <f t="shared" si="19"/>
        <v>6.6857701688156093</v>
      </c>
    </row>
    <row r="169" spans="1:16" x14ac:dyDescent="0.2">
      <c r="A169" s="8">
        <v>83.5</v>
      </c>
      <c r="B169" s="8">
        <v>167</v>
      </c>
      <c r="D169">
        <v>2230.2223082882001</v>
      </c>
      <c r="E169">
        <v>514.72656855151001</v>
      </c>
      <c r="F169">
        <v>129.94740912605999</v>
      </c>
      <c r="G169">
        <v>112.52668213457</v>
      </c>
      <c r="I169" s="9">
        <f t="shared" si="15"/>
        <v>402.19988641693999</v>
      </c>
      <c r="J169" s="9">
        <f t="shared" si="16"/>
        <v>2100.2748991621402</v>
      </c>
      <c r="K169" s="9">
        <f t="shared" si="17"/>
        <v>402.19988641693999</v>
      </c>
      <c r="L169" s="10">
        <f t="shared" si="14"/>
        <v>0.19149868742296022</v>
      </c>
      <c r="M169" s="10">
        <f t="shared" si="18"/>
        <v>0.20983286485692051</v>
      </c>
      <c r="P169" s="8">
        <f t="shared" si="19"/>
        <v>3.1806352359621828</v>
      </c>
    </row>
    <row r="170" spans="1:16" x14ac:dyDescent="0.2">
      <c r="A170" s="8">
        <v>84</v>
      </c>
      <c r="B170" s="8">
        <v>168</v>
      </c>
      <c r="D170">
        <v>2275.7764976959002</v>
      </c>
      <c r="E170">
        <v>526.77188940092003</v>
      </c>
      <c r="F170">
        <v>129.36040216551001</v>
      </c>
      <c r="G170">
        <v>112.87935034803</v>
      </c>
      <c r="I170" s="9">
        <f t="shared" si="15"/>
        <v>413.89253905289002</v>
      </c>
      <c r="J170" s="9">
        <f t="shared" si="16"/>
        <v>2146.4160955303901</v>
      </c>
      <c r="K170" s="9">
        <f t="shared" si="17"/>
        <v>413.89253905289002</v>
      </c>
      <c r="L170" s="10">
        <f t="shared" si="14"/>
        <v>0.19282959157581939</v>
      </c>
      <c r="M170" s="10">
        <f t="shared" si="18"/>
        <v>0.21127355450339619</v>
      </c>
      <c r="P170" s="8">
        <f t="shared" si="19"/>
        <v>3.8890622643144628</v>
      </c>
    </row>
    <row r="171" spans="1:16" x14ac:dyDescent="0.2">
      <c r="A171" s="8">
        <v>84.5</v>
      </c>
      <c r="B171" s="8">
        <v>169</v>
      </c>
      <c r="D171">
        <v>2263.3371735791002</v>
      </c>
      <c r="E171">
        <v>511.54070660522001</v>
      </c>
      <c r="F171">
        <v>129.79969064191999</v>
      </c>
      <c r="G171">
        <v>112.34570765661</v>
      </c>
      <c r="I171" s="9">
        <f t="shared" si="15"/>
        <v>399.19499894861002</v>
      </c>
      <c r="J171" s="9">
        <f t="shared" si="16"/>
        <v>2133.5374829371804</v>
      </c>
      <c r="K171" s="9">
        <f t="shared" si="17"/>
        <v>399.19499894861002</v>
      </c>
      <c r="L171" s="10">
        <f t="shared" si="14"/>
        <v>0.18710475074431296</v>
      </c>
      <c r="M171" s="10">
        <f t="shared" si="18"/>
        <v>0.2056584991655063</v>
      </c>
      <c r="P171" s="8">
        <f t="shared" si="19"/>
        <v>1.1279839315965978</v>
      </c>
    </row>
    <row r="172" spans="1:16" x14ac:dyDescent="0.2">
      <c r="A172" s="8">
        <v>85</v>
      </c>
      <c r="B172" s="8">
        <v>170</v>
      </c>
      <c r="D172">
        <v>2342.8393822394</v>
      </c>
      <c r="E172">
        <v>528.36679536680003</v>
      </c>
      <c r="F172">
        <v>129.80046403712001</v>
      </c>
      <c r="G172">
        <v>112.30317092033999</v>
      </c>
      <c r="I172" s="9">
        <f t="shared" si="15"/>
        <v>416.06362444646004</v>
      </c>
      <c r="J172" s="9">
        <f t="shared" si="16"/>
        <v>2213.03891820228</v>
      </c>
      <c r="K172" s="9">
        <f t="shared" si="17"/>
        <v>416.06362444646004</v>
      </c>
      <c r="L172" s="10">
        <f t="shared" si="14"/>
        <v>0.18800556150383538</v>
      </c>
      <c r="M172" s="10">
        <f t="shared" si="18"/>
        <v>0.20666909541864525</v>
      </c>
      <c r="P172" s="8">
        <f t="shared" si="19"/>
        <v>1.6249221182675107</v>
      </c>
    </row>
    <row r="173" spans="1:16" x14ac:dyDescent="0.2">
      <c r="A173" s="8">
        <v>85.5</v>
      </c>
      <c r="B173" s="8">
        <v>171</v>
      </c>
      <c r="D173">
        <v>2227.7382239382</v>
      </c>
      <c r="E173">
        <v>514.15830115829999</v>
      </c>
      <c r="F173">
        <v>129.42382057231001</v>
      </c>
      <c r="G173">
        <v>112.27223511214</v>
      </c>
      <c r="I173" s="9">
        <f t="shared" si="15"/>
        <v>401.88606604616001</v>
      </c>
      <c r="J173" s="9">
        <f t="shared" si="16"/>
        <v>2098.31440336589</v>
      </c>
      <c r="K173" s="9">
        <f t="shared" si="17"/>
        <v>401.88606604616001</v>
      </c>
      <c r="L173" s="10">
        <f t="shared" si="14"/>
        <v>0.19152805003935428</v>
      </c>
      <c r="M173" s="10">
        <f t="shared" si="18"/>
        <v>0.21030136944778066</v>
      </c>
      <c r="P173" s="8">
        <f t="shared" si="19"/>
        <v>3.4110119280446014</v>
      </c>
    </row>
    <row r="174" spans="1:16" x14ac:dyDescent="0.2">
      <c r="A174" s="8">
        <v>86</v>
      </c>
      <c r="B174" s="8">
        <v>172</v>
      </c>
      <c r="D174">
        <v>2118.8787644787999</v>
      </c>
      <c r="E174">
        <v>511.97760617761003</v>
      </c>
      <c r="F174">
        <v>130.33488012373999</v>
      </c>
      <c r="G174">
        <v>112.35498839907</v>
      </c>
      <c r="I174" s="9">
        <f t="shared" si="15"/>
        <v>399.62261777854002</v>
      </c>
      <c r="J174" s="9">
        <f t="shared" si="16"/>
        <v>1988.5438843550598</v>
      </c>
      <c r="K174" s="9">
        <f t="shared" si="17"/>
        <v>399.62261777854002</v>
      </c>
      <c r="L174" s="10">
        <f t="shared" si="14"/>
        <v>0.20096243332751429</v>
      </c>
      <c r="M174" s="10">
        <f t="shared" si="18"/>
        <v>0.21984553822955721</v>
      </c>
      <c r="P174" s="8">
        <f t="shared" si="19"/>
        <v>8.1041442377732746</v>
      </c>
    </row>
    <row r="175" spans="1:16" x14ac:dyDescent="0.2">
      <c r="A175" s="8">
        <v>86.5</v>
      </c>
      <c r="B175" s="8">
        <v>173</v>
      </c>
      <c r="D175">
        <v>2182.9543696829001</v>
      </c>
      <c r="E175">
        <v>510.23897911833001</v>
      </c>
      <c r="F175">
        <v>130.41608662025999</v>
      </c>
      <c r="G175">
        <v>112.34570765661</v>
      </c>
      <c r="I175" s="9">
        <f t="shared" si="15"/>
        <v>397.89327146172002</v>
      </c>
      <c r="J175" s="9">
        <f t="shared" si="16"/>
        <v>2052.5382830626399</v>
      </c>
      <c r="K175" s="9">
        <f t="shared" si="17"/>
        <v>397.89327146172002</v>
      </c>
      <c r="L175" s="10">
        <f t="shared" si="14"/>
        <v>0.19385425097553563</v>
      </c>
      <c r="M175" s="10">
        <f t="shared" si="18"/>
        <v>0.21284714137119509</v>
      </c>
      <c r="P175" s="8">
        <f t="shared" si="19"/>
        <v>4.6628385396809096</v>
      </c>
    </row>
    <row r="176" spans="1:16" x14ac:dyDescent="0.2">
      <c r="A176" s="8">
        <v>87</v>
      </c>
      <c r="B176" s="8">
        <v>174</v>
      </c>
      <c r="D176">
        <v>2196.7099767980999</v>
      </c>
      <c r="E176">
        <v>528.29156999226996</v>
      </c>
      <c r="F176">
        <v>129.90564578499999</v>
      </c>
      <c r="G176">
        <v>112.25908739366</v>
      </c>
      <c r="I176" s="9">
        <f t="shared" si="15"/>
        <v>416.03248259860993</v>
      </c>
      <c r="J176" s="9">
        <f t="shared" si="16"/>
        <v>2066.8043310130997</v>
      </c>
      <c r="K176" s="9">
        <f t="shared" si="17"/>
        <v>416.03248259860993</v>
      </c>
      <c r="L176" s="10">
        <f t="shared" si="14"/>
        <v>0.20129263150647667</v>
      </c>
      <c r="M176" s="10">
        <f t="shared" si="18"/>
        <v>0.22039530739575264</v>
      </c>
      <c r="P176" s="8">
        <f t="shared" si="19"/>
        <v>8.3744809738220756</v>
      </c>
    </row>
    <row r="177" spans="1:16" x14ac:dyDescent="0.2">
      <c r="A177" s="8">
        <v>87.5</v>
      </c>
      <c r="B177" s="8">
        <v>175</v>
      </c>
      <c r="D177">
        <v>2210.3217324052998</v>
      </c>
      <c r="E177">
        <v>542.08430007734</v>
      </c>
      <c r="F177">
        <v>130.06109822119001</v>
      </c>
      <c r="G177">
        <v>112.33720030936</v>
      </c>
      <c r="I177" s="9">
        <f t="shared" si="15"/>
        <v>429.74709976797999</v>
      </c>
      <c r="J177" s="9">
        <f t="shared" si="16"/>
        <v>2080.2606341841097</v>
      </c>
      <c r="K177" s="9">
        <f t="shared" si="17"/>
        <v>429.74709976797999</v>
      </c>
      <c r="L177" s="10">
        <f t="shared" si="14"/>
        <v>0.20658329668221084</v>
      </c>
      <c r="M177" s="10">
        <f t="shared" si="18"/>
        <v>0.22579575806510335</v>
      </c>
      <c r="P177" s="8">
        <f t="shared" si="19"/>
        <v>11.030032243181328</v>
      </c>
    </row>
    <row r="178" spans="1:16" x14ac:dyDescent="0.2">
      <c r="A178" s="8">
        <v>88</v>
      </c>
      <c r="B178" s="8">
        <v>176</v>
      </c>
      <c r="D178">
        <v>2305.3456221197998</v>
      </c>
      <c r="E178">
        <v>538.17818740399002</v>
      </c>
      <c r="F178">
        <v>129.92266047951</v>
      </c>
      <c r="G178">
        <v>112.36658932715</v>
      </c>
      <c r="I178" s="9">
        <f t="shared" si="15"/>
        <v>425.81159807684003</v>
      </c>
      <c r="J178" s="9">
        <f t="shared" si="16"/>
        <v>2175.4229616402899</v>
      </c>
      <c r="K178" s="9">
        <f t="shared" si="17"/>
        <v>425.81159807684003</v>
      </c>
      <c r="L178" s="10">
        <f t="shared" si="14"/>
        <v>0.19573738329753307</v>
      </c>
      <c r="M178" s="10">
        <f t="shared" si="18"/>
        <v>0.21505963017404212</v>
      </c>
      <c r="P178" s="8">
        <f t="shared" si="19"/>
        <v>5.7507806038845866</v>
      </c>
    </row>
    <row r="179" spans="1:16" x14ac:dyDescent="0.2">
      <c r="A179" s="8">
        <v>88.5</v>
      </c>
      <c r="B179" s="8">
        <v>177</v>
      </c>
      <c r="D179">
        <v>2307.7619047619</v>
      </c>
      <c r="E179">
        <v>522.75883256528004</v>
      </c>
      <c r="F179">
        <v>129.87084300077001</v>
      </c>
      <c r="G179">
        <v>112.41144624903001</v>
      </c>
      <c r="I179" s="9">
        <f t="shared" si="15"/>
        <v>410.34738631625004</v>
      </c>
      <c r="J179" s="9">
        <f t="shared" si="16"/>
        <v>2177.89106176113</v>
      </c>
      <c r="K179" s="9">
        <f t="shared" si="17"/>
        <v>410.34738631625004</v>
      </c>
      <c r="L179" s="10">
        <f t="shared" si="14"/>
        <v>0.18841501924546525</v>
      </c>
      <c r="M179" s="10">
        <f t="shared" si="18"/>
        <v>0.20784705161559081</v>
      </c>
      <c r="P179" s="8">
        <f t="shared" si="19"/>
        <v>2.2041558277431763</v>
      </c>
    </row>
    <row r="180" spans="1:16" x14ac:dyDescent="0.2">
      <c r="A180" s="8">
        <v>89</v>
      </c>
      <c r="B180" s="8">
        <v>178</v>
      </c>
      <c r="D180">
        <v>2104.6324324324</v>
      </c>
      <c r="E180">
        <v>507.69266409265998</v>
      </c>
      <c r="F180">
        <v>130.28924980664999</v>
      </c>
      <c r="G180">
        <v>112.11600928074</v>
      </c>
      <c r="I180" s="9">
        <f t="shared" si="15"/>
        <v>395.57665481191998</v>
      </c>
      <c r="J180" s="9">
        <f t="shared" si="16"/>
        <v>1974.3431826257502</v>
      </c>
      <c r="K180" s="9">
        <f t="shared" si="17"/>
        <v>395.57665481191998</v>
      </c>
      <c r="L180" s="10">
        <f t="shared" si="14"/>
        <v>0.20035860953303383</v>
      </c>
      <c r="M180" s="10">
        <f t="shared" si="18"/>
        <v>0.21990042739677593</v>
      </c>
      <c r="P180" s="8">
        <f t="shared" si="19"/>
        <v>8.1311347625657646</v>
      </c>
    </row>
    <row r="181" spans="1:16" x14ac:dyDescent="0.2">
      <c r="A181" s="8">
        <v>89.5</v>
      </c>
      <c r="B181" s="8">
        <v>179</v>
      </c>
      <c r="D181">
        <v>2026.0741312741</v>
      </c>
      <c r="E181">
        <v>503.99768339768002</v>
      </c>
      <c r="F181">
        <v>130.27146171694</v>
      </c>
      <c r="G181">
        <v>112.39829853054999</v>
      </c>
      <c r="I181" s="9">
        <f t="shared" si="15"/>
        <v>391.59938486713003</v>
      </c>
      <c r="J181" s="9">
        <f t="shared" si="16"/>
        <v>1895.80266955716</v>
      </c>
      <c r="K181" s="9">
        <f t="shared" si="17"/>
        <v>391.59938486713003</v>
      </c>
      <c r="L181" s="10">
        <f t="shared" si="14"/>
        <v>0.20656125827621269</v>
      </c>
      <c r="M181" s="10">
        <f t="shared" si="18"/>
        <v>0.22621286163357132</v>
      </c>
      <c r="P181" s="8">
        <f t="shared" si="19"/>
        <v>11.235133627957529</v>
      </c>
    </row>
    <row r="182" spans="1:16" x14ac:dyDescent="0.2">
      <c r="A182" s="8">
        <v>90</v>
      </c>
      <c r="B182" s="8">
        <v>180</v>
      </c>
      <c r="D182">
        <v>2012.7289575289999</v>
      </c>
      <c r="E182">
        <v>500.91814671815001</v>
      </c>
      <c r="F182">
        <v>129.60092807424999</v>
      </c>
      <c r="G182">
        <v>112.75483372003001</v>
      </c>
      <c r="I182" s="9">
        <f t="shared" si="15"/>
        <v>388.16331299811998</v>
      </c>
      <c r="J182" s="9">
        <f t="shared" si="16"/>
        <v>1883.1280294547498</v>
      </c>
      <c r="K182" s="9">
        <f t="shared" si="17"/>
        <v>388.16331299811998</v>
      </c>
      <c r="L182" s="10">
        <f t="shared" si="14"/>
        <v>0.20612688406029978</v>
      </c>
      <c r="M182" s="10">
        <f>L182+ABS($N$2)*A182</f>
        <v>0.22588827291127495</v>
      </c>
      <c r="P182" s="8">
        <f t="shared" si="19"/>
        <v>11.075524357122829</v>
      </c>
    </row>
    <row r="183" spans="1:16" x14ac:dyDescent="0.2">
      <c r="A183" s="8">
        <v>90.5</v>
      </c>
      <c r="B183" s="8">
        <v>181</v>
      </c>
      <c r="D183">
        <v>2109.9374517374999</v>
      </c>
      <c r="E183">
        <v>509.65637065636997</v>
      </c>
      <c r="F183">
        <v>130.05027068832001</v>
      </c>
      <c r="G183">
        <v>112.59087393658</v>
      </c>
      <c r="I183" s="9">
        <f t="shared" si="15"/>
        <v>397.06549671978996</v>
      </c>
      <c r="J183" s="9">
        <f t="shared" si="16"/>
        <v>1979.8871810491798</v>
      </c>
      <c r="K183" s="9">
        <f t="shared" si="17"/>
        <v>397.06549671978996</v>
      </c>
      <c r="L183" s="10">
        <f t="shared" si="14"/>
        <v>0.20054955682342335</v>
      </c>
      <c r="M183" s="10">
        <f t="shared" ref="M183:M241" si="20">L183+ABS($N$2)*A183</f>
        <v>0.22042073116801503</v>
      </c>
      <c r="P183" s="8">
        <f t="shared" si="19"/>
        <v>8.3869825472715771</v>
      </c>
    </row>
    <row r="184" spans="1:16" x14ac:dyDescent="0.2">
      <c r="A184" s="8">
        <v>91</v>
      </c>
      <c r="B184" s="8">
        <v>182</v>
      </c>
      <c r="D184">
        <v>2124.1319444443998</v>
      </c>
      <c r="E184">
        <v>514.10030864197995</v>
      </c>
      <c r="F184">
        <v>130.17710750193001</v>
      </c>
      <c r="G184">
        <v>112.49110595514</v>
      </c>
      <c r="I184" s="9">
        <f t="shared" si="15"/>
        <v>401.60920268683992</v>
      </c>
      <c r="J184" s="9">
        <f t="shared" si="16"/>
        <v>1993.9548369424697</v>
      </c>
      <c r="K184" s="9">
        <f t="shared" si="17"/>
        <v>401.60920268683992</v>
      </c>
      <c r="L184" s="10">
        <f t="shared" si="14"/>
        <v>0.20141338973487857</v>
      </c>
      <c r="M184" s="10">
        <f t="shared" si="20"/>
        <v>0.22139434957308679</v>
      </c>
      <c r="P184" s="8">
        <f t="shared" si="19"/>
        <v>8.8657377011948135</v>
      </c>
    </row>
    <row r="185" spans="1:16" x14ac:dyDescent="0.2">
      <c r="A185" s="8">
        <v>91.5</v>
      </c>
      <c r="B185" s="8">
        <v>183</v>
      </c>
      <c r="D185">
        <v>2270.9736434109</v>
      </c>
      <c r="E185">
        <v>537.28992248062002</v>
      </c>
      <c r="F185">
        <v>130.07347254447001</v>
      </c>
      <c r="G185">
        <v>112.30471771075</v>
      </c>
      <c r="I185" s="9">
        <f t="shared" si="15"/>
        <v>424.98520476987005</v>
      </c>
      <c r="J185" s="9">
        <f t="shared" si="16"/>
        <v>2140.90017086643</v>
      </c>
      <c r="K185" s="9">
        <f t="shared" si="17"/>
        <v>424.98520476987005</v>
      </c>
      <c r="L185" s="10">
        <f t="shared" si="14"/>
        <v>0.19850771677872164</v>
      </c>
      <c r="M185" s="10">
        <f t="shared" si="20"/>
        <v>0.2185984621105464</v>
      </c>
      <c r="P185" s="8">
        <f t="shared" si="19"/>
        <v>7.49092234693709</v>
      </c>
    </row>
    <row r="186" spans="1:16" x14ac:dyDescent="0.2">
      <c r="A186" s="8">
        <v>92</v>
      </c>
      <c r="B186" s="8">
        <v>184</v>
      </c>
      <c r="D186">
        <v>2241.7697674419001</v>
      </c>
      <c r="E186">
        <v>504.13410852713002</v>
      </c>
      <c r="F186">
        <v>129.79582366589</v>
      </c>
      <c r="G186">
        <v>112</v>
      </c>
      <c r="I186" s="9">
        <f t="shared" si="15"/>
        <v>392.13410852713002</v>
      </c>
      <c r="J186" s="9">
        <f t="shared" si="16"/>
        <v>2111.9739437760099</v>
      </c>
      <c r="K186" s="9">
        <f t="shared" si="17"/>
        <v>392.13410852713002</v>
      </c>
      <c r="L186" s="10">
        <f t="shared" si="14"/>
        <v>0.18567184963751554</v>
      </c>
      <c r="M186" s="10">
        <f t="shared" si="20"/>
        <v>0.20587238046295681</v>
      </c>
      <c r="P186" s="8">
        <f t="shared" si="19"/>
        <v>1.2331552933424474</v>
      </c>
    </row>
    <row r="187" spans="1:16" x14ac:dyDescent="0.2">
      <c r="A187" s="8">
        <v>92.5</v>
      </c>
      <c r="B187" s="8">
        <v>185</v>
      </c>
      <c r="D187">
        <v>2291.4010777520998</v>
      </c>
      <c r="E187">
        <v>521.89992301770997</v>
      </c>
      <c r="F187">
        <v>129.57695282289001</v>
      </c>
      <c r="G187">
        <v>112.10750193349</v>
      </c>
      <c r="I187" s="9">
        <f t="shared" si="15"/>
        <v>409.79242108422</v>
      </c>
      <c r="J187" s="9">
        <f t="shared" si="16"/>
        <v>2161.8241249292096</v>
      </c>
      <c r="K187" s="9">
        <f t="shared" si="17"/>
        <v>409.79242108422</v>
      </c>
      <c r="L187" s="10">
        <f t="shared" si="14"/>
        <v>0.18955863076865187</v>
      </c>
      <c r="M187" s="10">
        <f t="shared" si="20"/>
        <v>0.20986894708770967</v>
      </c>
      <c r="P187" s="8">
        <f t="shared" si="19"/>
        <v>3.1983778688719253</v>
      </c>
    </row>
    <row r="188" spans="1:16" x14ac:dyDescent="0.2">
      <c r="A188" s="8">
        <v>93</v>
      </c>
      <c r="B188" s="8">
        <v>186</v>
      </c>
      <c r="D188">
        <v>2142.1316397229002</v>
      </c>
      <c r="E188">
        <v>493.53348729791998</v>
      </c>
      <c r="F188">
        <v>130.00696055685</v>
      </c>
      <c r="G188">
        <v>112.32559938128</v>
      </c>
      <c r="I188" s="9">
        <f t="shared" si="15"/>
        <v>381.20788791663995</v>
      </c>
      <c r="J188" s="9">
        <f t="shared" si="16"/>
        <v>2012.1246791660501</v>
      </c>
      <c r="K188" s="9">
        <f t="shared" si="17"/>
        <v>381.20788791663995</v>
      </c>
      <c r="L188" s="10">
        <f t="shared" si="14"/>
        <v>0.18945540098173055</v>
      </c>
      <c r="M188" s="10">
        <f t="shared" si="20"/>
        <v>0.20987550279440489</v>
      </c>
      <c r="P188" s="8">
        <f t="shared" si="19"/>
        <v>3.2016014915474997</v>
      </c>
    </row>
    <row r="189" spans="1:16" x14ac:dyDescent="0.2">
      <c r="A189" s="8">
        <v>93.5</v>
      </c>
      <c r="B189" s="8">
        <v>187</v>
      </c>
      <c r="D189">
        <v>2116.7643410853002</v>
      </c>
      <c r="E189">
        <v>505.31627906977002</v>
      </c>
      <c r="F189">
        <v>130.41376643465</v>
      </c>
      <c r="G189">
        <v>112.09048723898</v>
      </c>
      <c r="I189" s="9">
        <f t="shared" si="15"/>
        <v>393.22579183079</v>
      </c>
      <c r="J189" s="9">
        <f t="shared" si="16"/>
        <v>1986.3505746506503</v>
      </c>
      <c r="K189" s="9">
        <f t="shared" si="17"/>
        <v>393.22579183079</v>
      </c>
      <c r="L189" s="10">
        <f t="shared" si="14"/>
        <v>0.19796394294594682</v>
      </c>
      <c r="M189" s="10">
        <f t="shared" si="20"/>
        <v>0.21849383025223768</v>
      </c>
      <c r="P189" s="8">
        <f t="shared" si="19"/>
        <v>7.4394719623008481</v>
      </c>
    </row>
    <row r="190" spans="1:16" x14ac:dyDescent="0.2">
      <c r="A190" s="8">
        <v>94</v>
      </c>
      <c r="B190" s="8">
        <v>188</v>
      </c>
      <c r="D190">
        <v>2064.292248062</v>
      </c>
      <c r="E190">
        <v>496.16511627906999</v>
      </c>
      <c r="F190">
        <v>129.86620262954</v>
      </c>
      <c r="G190">
        <v>112.2807424594</v>
      </c>
      <c r="I190" s="9">
        <f t="shared" si="15"/>
        <v>383.88437381966997</v>
      </c>
      <c r="J190" s="9">
        <f t="shared" si="16"/>
        <v>1934.4260454324599</v>
      </c>
      <c r="K190" s="9">
        <f t="shared" si="17"/>
        <v>383.88437381966997</v>
      </c>
      <c r="L190" s="10">
        <f t="shared" si="14"/>
        <v>0.19844872060428076</v>
      </c>
      <c r="M190" s="10">
        <f t="shared" si="20"/>
        <v>0.21908839340418815</v>
      </c>
      <c r="P190" s="8">
        <f t="shared" si="19"/>
        <v>7.7318351426252301</v>
      </c>
    </row>
    <row r="191" spans="1:16" x14ac:dyDescent="0.2">
      <c r="A191" s="8">
        <v>94.5</v>
      </c>
      <c r="B191" s="8">
        <v>189</v>
      </c>
      <c r="D191">
        <v>2056.3232558139998</v>
      </c>
      <c r="E191">
        <v>491.76589147287001</v>
      </c>
      <c r="F191">
        <v>130.45862335653999</v>
      </c>
      <c r="G191">
        <v>112.52204176334</v>
      </c>
      <c r="I191" s="9">
        <f t="shared" si="15"/>
        <v>379.24384970953002</v>
      </c>
      <c r="J191" s="9">
        <f t="shared" si="16"/>
        <v>1925.8646324574597</v>
      </c>
      <c r="K191" s="9">
        <f t="shared" si="17"/>
        <v>379.24384970953002</v>
      </c>
      <c r="L191" s="10">
        <f t="shared" si="14"/>
        <v>0.19692134292201199</v>
      </c>
      <c r="M191" s="10">
        <f t="shared" si="20"/>
        <v>0.21767080121553592</v>
      </c>
      <c r="P191" s="8">
        <f t="shared" si="19"/>
        <v>7.034765774438263</v>
      </c>
    </row>
    <row r="192" spans="1:16" x14ac:dyDescent="0.2">
      <c r="A192" s="8">
        <v>95</v>
      </c>
      <c r="B192" s="8">
        <v>190</v>
      </c>
      <c r="D192">
        <v>2042.5147286822</v>
      </c>
      <c r="E192">
        <v>491.09457364341</v>
      </c>
      <c r="F192">
        <v>129.73704563032001</v>
      </c>
      <c r="G192">
        <v>112.45939675174</v>
      </c>
      <c r="I192" s="9">
        <f t="shared" si="15"/>
        <v>378.63517689166997</v>
      </c>
      <c r="J192" s="9">
        <f t="shared" si="16"/>
        <v>1912.7776830518801</v>
      </c>
      <c r="K192" s="9">
        <f t="shared" si="17"/>
        <v>378.63517689166997</v>
      </c>
      <c r="L192" s="10">
        <f t="shared" si="14"/>
        <v>0.19795043629301914</v>
      </c>
      <c r="M192" s="10">
        <f t="shared" si="20"/>
        <v>0.21880968008015958</v>
      </c>
      <c r="P192" s="8">
        <f t="shared" si="19"/>
        <v>7.5947840765703338</v>
      </c>
    </row>
    <row r="193" spans="1:16" x14ac:dyDescent="0.2">
      <c r="A193" s="8">
        <v>95.5</v>
      </c>
      <c r="B193" s="8">
        <v>191</v>
      </c>
      <c r="D193">
        <v>2040.5147286822</v>
      </c>
      <c r="E193">
        <v>492</v>
      </c>
      <c r="F193">
        <v>129.67517401392001</v>
      </c>
      <c r="G193">
        <v>112.09512761021</v>
      </c>
      <c r="I193" s="9">
        <f t="shared" si="15"/>
        <v>379.90487238979</v>
      </c>
      <c r="J193" s="9">
        <f t="shared" si="16"/>
        <v>1910.83955466828</v>
      </c>
      <c r="K193" s="9">
        <f t="shared" si="17"/>
        <v>379.90487238979</v>
      </c>
      <c r="L193" s="10">
        <f t="shared" si="14"/>
        <v>0.19881568364107952</v>
      </c>
      <c r="M193" s="10">
        <f t="shared" si="20"/>
        <v>0.21978471292183649</v>
      </c>
      <c r="P193" s="8">
        <f t="shared" si="19"/>
        <v>8.0742347481738896</v>
      </c>
    </row>
    <row r="194" spans="1:16" x14ac:dyDescent="0.2">
      <c r="A194" s="8">
        <v>96</v>
      </c>
      <c r="B194" s="8">
        <v>192</v>
      </c>
      <c r="D194">
        <v>2085.5868217053999</v>
      </c>
      <c r="E194">
        <v>490.74186046512</v>
      </c>
      <c r="F194">
        <v>130.06883217324</v>
      </c>
      <c r="G194">
        <v>112.74245939674999</v>
      </c>
      <c r="I194" s="9">
        <f t="shared" si="15"/>
        <v>377.99940106836999</v>
      </c>
      <c r="J194" s="9">
        <f t="shared" si="16"/>
        <v>1955.5179895321598</v>
      </c>
      <c r="K194" s="9">
        <f t="shared" si="17"/>
        <v>377.99940106836999</v>
      </c>
      <c r="L194" s="10">
        <f t="shared" ref="L194:L257" si="21">K194/J194</f>
        <v>0.19329886152507497</v>
      </c>
      <c r="M194" s="10">
        <f t="shared" si="20"/>
        <v>0.21437767629944848</v>
      </c>
      <c r="P194" s="8">
        <f t="shared" si="19"/>
        <v>5.4154449831743783</v>
      </c>
    </row>
    <row r="195" spans="1:16" x14ac:dyDescent="0.2">
      <c r="A195" s="8">
        <v>96.5</v>
      </c>
      <c r="B195" s="8">
        <v>193</v>
      </c>
      <c r="D195">
        <v>2107.7170542635999</v>
      </c>
      <c r="E195">
        <v>490.97751937984998</v>
      </c>
      <c r="F195">
        <v>129.95978344933999</v>
      </c>
      <c r="G195">
        <v>112.30471771075</v>
      </c>
      <c r="I195" s="9">
        <f t="shared" ref="I195:I241" si="22">E195-G195</f>
        <v>378.67280166909995</v>
      </c>
      <c r="J195" s="9">
        <f t="shared" ref="J195:J241" si="23">D195-F195</f>
        <v>1977.75727081426</v>
      </c>
      <c r="K195" s="9">
        <f t="shared" ref="K195:K258" si="24">I195*1</f>
        <v>378.67280166909995</v>
      </c>
      <c r="L195" s="10">
        <f t="shared" si="21"/>
        <v>0.19146576137383989</v>
      </c>
      <c r="M195" s="10">
        <f t="shared" si="20"/>
        <v>0.21265436164182991</v>
      </c>
      <c r="P195" s="8">
        <f t="shared" ref="P195:P241" si="25">(M195-$O$2)/$O$2*100</f>
        <v>4.5680434037994075</v>
      </c>
    </row>
    <row r="196" spans="1:16" x14ac:dyDescent="0.2">
      <c r="A196" s="8">
        <v>97</v>
      </c>
      <c r="B196" s="8">
        <v>194</v>
      </c>
      <c r="D196">
        <v>2105.1782945735999</v>
      </c>
      <c r="E196">
        <v>487.34961240310002</v>
      </c>
      <c r="F196">
        <v>130.21887084299999</v>
      </c>
      <c r="G196">
        <v>112.55761794276999</v>
      </c>
      <c r="I196" s="9">
        <f t="shared" si="22"/>
        <v>374.79199446033005</v>
      </c>
      <c r="J196" s="9">
        <f t="shared" si="23"/>
        <v>1974.9594237306001</v>
      </c>
      <c r="K196" s="9">
        <f t="shared" si="24"/>
        <v>374.79199446033005</v>
      </c>
      <c r="L196" s="10">
        <f t="shared" si="21"/>
        <v>0.18977199731646466</v>
      </c>
      <c r="M196" s="10">
        <f t="shared" si="20"/>
        <v>0.21107038307807122</v>
      </c>
      <c r="P196" s="8">
        <f t="shared" si="25"/>
        <v>3.7891572435203145</v>
      </c>
    </row>
    <row r="197" spans="1:16" x14ac:dyDescent="0.2">
      <c r="A197" s="8">
        <v>97.5</v>
      </c>
      <c r="B197" s="8">
        <v>195</v>
      </c>
      <c r="D197">
        <v>2005.2372093023</v>
      </c>
      <c r="E197">
        <v>468.81395348836998</v>
      </c>
      <c r="F197">
        <v>130.0317092034</v>
      </c>
      <c r="G197">
        <v>112.22969837587</v>
      </c>
      <c r="I197" s="9">
        <f t="shared" si="22"/>
        <v>356.58425511249999</v>
      </c>
      <c r="J197" s="9">
        <f t="shared" si="23"/>
        <v>1875.2055000989001</v>
      </c>
      <c r="K197" s="9">
        <f t="shared" si="24"/>
        <v>356.58425511249999</v>
      </c>
      <c r="L197" s="10">
        <f t="shared" si="21"/>
        <v>0.19015742812918018</v>
      </c>
      <c r="M197" s="10">
        <f t="shared" si="20"/>
        <v>0.21156559938440328</v>
      </c>
      <c r="P197" s="8">
        <f t="shared" si="25"/>
        <v>4.0326688264241204</v>
      </c>
    </row>
    <row r="198" spans="1:16" x14ac:dyDescent="0.2">
      <c r="A198" s="8">
        <v>98</v>
      </c>
      <c r="B198" s="8">
        <v>196</v>
      </c>
      <c r="D198">
        <v>2012.4821705426</v>
      </c>
      <c r="E198">
        <v>473.80465116278998</v>
      </c>
      <c r="F198">
        <v>130.30935808198001</v>
      </c>
      <c r="G198">
        <v>112.46713070379</v>
      </c>
      <c r="I198" s="9">
        <f t="shared" si="22"/>
        <v>361.33752045899996</v>
      </c>
      <c r="J198" s="9">
        <f t="shared" si="23"/>
        <v>1882.17281246062</v>
      </c>
      <c r="K198" s="9">
        <f t="shared" si="24"/>
        <v>361.33752045899996</v>
      </c>
      <c r="L198" s="10">
        <f t="shared" si="21"/>
        <v>0.19197892885649154</v>
      </c>
      <c r="M198" s="10">
        <f t="shared" si="20"/>
        <v>0.21349688560533114</v>
      </c>
      <c r="P198" s="8">
        <f t="shared" si="25"/>
        <v>4.9823357874775072</v>
      </c>
    </row>
    <row r="199" spans="1:16" x14ac:dyDescent="0.2">
      <c r="A199" s="8">
        <v>98.5</v>
      </c>
      <c r="B199" s="8">
        <v>197</v>
      </c>
      <c r="D199">
        <v>2008.7139534884</v>
      </c>
      <c r="E199">
        <v>469.38682170543001</v>
      </c>
      <c r="F199">
        <v>129.91415313224999</v>
      </c>
      <c r="G199">
        <v>112.44934261408</v>
      </c>
      <c r="I199" s="9">
        <f t="shared" si="22"/>
        <v>356.93747909135004</v>
      </c>
      <c r="J199" s="9">
        <f t="shared" si="23"/>
        <v>1878.7998003561499</v>
      </c>
      <c r="K199" s="9">
        <f t="shared" si="24"/>
        <v>356.93747909135004</v>
      </c>
      <c r="L199" s="10">
        <f t="shared" si="21"/>
        <v>0.18998164627422681</v>
      </c>
      <c r="M199" s="10">
        <f t="shared" si="20"/>
        <v>0.21160938851668296</v>
      </c>
      <c r="P199" s="8">
        <f t="shared" si="25"/>
        <v>4.0542011563960214</v>
      </c>
    </row>
    <row r="200" spans="1:16" x14ac:dyDescent="0.2">
      <c r="A200" s="8">
        <v>99</v>
      </c>
      <c r="B200" s="8">
        <v>198</v>
      </c>
      <c r="D200">
        <v>2072.0069767442001</v>
      </c>
      <c r="E200">
        <v>481.5</v>
      </c>
      <c r="F200">
        <v>129.76643464810999</v>
      </c>
      <c r="G200">
        <v>112.23897911832999</v>
      </c>
      <c r="I200" s="9">
        <f t="shared" si="22"/>
        <v>369.26102088166999</v>
      </c>
      <c r="J200" s="9">
        <f t="shared" si="23"/>
        <v>1942.2405420960902</v>
      </c>
      <c r="K200" s="9">
        <f t="shared" si="24"/>
        <v>369.26102088166999</v>
      </c>
      <c r="L200" s="10">
        <f t="shared" si="21"/>
        <v>0.19012115795047657</v>
      </c>
      <c r="M200" s="10">
        <f t="shared" si="20"/>
        <v>0.21185868568654925</v>
      </c>
      <c r="P200" s="8">
        <f t="shared" si="25"/>
        <v>4.1767874841710899</v>
      </c>
    </row>
    <row r="201" spans="1:16" x14ac:dyDescent="0.2">
      <c r="A201" s="8">
        <v>99.5</v>
      </c>
      <c r="B201" s="8">
        <v>199</v>
      </c>
      <c r="D201">
        <v>2068.9372093022998</v>
      </c>
      <c r="E201">
        <v>473.62170542635999</v>
      </c>
      <c r="F201">
        <v>129.89713843774001</v>
      </c>
      <c r="G201">
        <v>112.69218870843</v>
      </c>
      <c r="I201" s="9">
        <f t="shared" si="22"/>
        <v>360.92951671793003</v>
      </c>
      <c r="J201" s="9">
        <f t="shared" si="23"/>
        <v>1939.0400708645598</v>
      </c>
      <c r="K201" s="9">
        <f t="shared" si="24"/>
        <v>360.92951671793003</v>
      </c>
      <c r="L201" s="10">
        <f t="shared" si="21"/>
        <v>0.18613824548607827</v>
      </c>
      <c r="M201" s="10">
        <f t="shared" si="20"/>
        <v>0.20798555871576746</v>
      </c>
      <c r="P201" s="8">
        <f t="shared" si="25"/>
        <v>2.2722636076691813</v>
      </c>
    </row>
    <row r="202" spans="1:16" x14ac:dyDescent="0.2">
      <c r="A202" s="8">
        <v>100</v>
      </c>
      <c r="B202" s="8">
        <v>200</v>
      </c>
      <c r="D202">
        <v>2051.9054263565999</v>
      </c>
      <c r="E202">
        <v>467.47209302326002</v>
      </c>
      <c r="F202">
        <v>130.13379737046</v>
      </c>
      <c r="G202">
        <v>112.30394431555</v>
      </c>
      <c r="I202" s="9">
        <f t="shared" si="22"/>
        <v>355.16814870771003</v>
      </c>
      <c r="J202" s="9">
        <f t="shared" si="23"/>
        <v>1921.7716289861401</v>
      </c>
      <c r="K202" s="9">
        <f t="shared" si="24"/>
        <v>355.16814870771003</v>
      </c>
      <c r="L202" s="10">
        <f t="shared" si="21"/>
        <v>0.18481287961103079</v>
      </c>
      <c r="M202" s="10">
        <f t="shared" si="20"/>
        <v>0.20676997833433652</v>
      </c>
      <c r="P202" s="8">
        <f t="shared" si="25"/>
        <v>1.674529043915592</v>
      </c>
    </row>
    <row r="203" spans="1:16" x14ac:dyDescent="0.2">
      <c r="A203" s="8">
        <v>100.5</v>
      </c>
      <c r="B203" s="8">
        <v>201</v>
      </c>
      <c r="D203">
        <v>1997.9116279069999</v>
      </c>
      <c r="E203">
        <v>447.37829457364001</v>
      </c>
      <c r="F203">
        <v>130.13379737046</v>
      </c>
      <c r="G203">
        <v>112.33101314772</v>
      </c>
      <c r="I203" s="9">
        <f t="shared" si="22"/>
        <v>335.04728142592</v>
      </c>
      <c r="J203" s="9">
        <f t="shared" si="23"/>
        <v>1867.77783053654</v>
      </c>
      <c r="K203" s="9">
        <f t="shared" si="24"/>
        <v>335.04728142592</v>
      </c>
      <c r="L203" s="10">
        <f t="shared" si="21"/>
        <v>0.17938283448287526</v>
      </c>
      <c r="M203" s="10">
        <f t="shared" si="20"/>
        <v>0.20144971869979753</v>
      </c>
      <c r="P203" s="8">
        <f t="shared" si="25"/>
        <v>-0.9415900711062366</v>
      </c>
    </row>
    <row r="204" spans="1:16" x14ac:dyDescent="0.2">
      <c r="A204" s="8">
        <v>101</v>
      </c>
      <c r="B204" s="8">
        <v>202</v>
      </c>
      <c r="D204">
        <v>1994.4875968992001</v>
      </c>
      <c r="E204">
        <v>449.12170542635999</v>
      </c>
      <c r="F204">
        <v>130.35112142304999</v>
      </c>
      <c r="G204">
        <v>112.13379737046</v>
      </c>
      <c r="I204" s="9">
        <f t="shared" si="22"/>
        <v>336.98790805589999</v>
      </c>
      <c r="J204" s="9">
        <f t="shared" si="23"/>
        <v>1864.1364754761501</v>
      </c>
      <c r="K204" s="9">
        <f t="shared" si="24"/>
        <v>336.98790805589999</v>
      </c>
      <c r="L204" s="10">
        <f t="shared" si="21"/>
        <v>0.18077426867033666</v>
      </c>
      <c r="M204" s="10">
        <f t="shared" si="20"/>
        <v>0.20295093838087544</v>
      </c>
      <c r="P204" s="8">
        <f t="shared" si="25"/>
        <v>-0.20339874713052009</v>
      </c>
    </row>
    <row r="205" spans="1:16" x14ac:dyDescent="0.2">
      <c r="A205" s="8">
        <v>101.5</v>
      </c>
      <c r="B205" s="8">
        <v>203</v>
      </c>
      <c r="D205">
        <v>2092.3976923076998</v>
      </c>
      <c r="E205">
        <v>473.38076923077</v>
      </c>
      <c r="F205">
        <v>129.80510440834999</v>
      </c>
      <c r="G205">
        <v>112.47331786543</v>
      </c>
      <c r="I205" s="9">
        <f t="shared" si="22"/>
        <v>360.90745136533997</v>
      </c>
      <c r="J205" s="9">
        <f t="shared" si="23"/>
        <v>1962.5925878993498</v>
      </c>
      <c r="K205" s="9">
        <f t="shared" si="24"/>
        <v>360.90745136533997</v>
      </c>
      <c r="L205" s="10">
        <f t="shared" si="21"/>
        <v>0.18389321023149041</v>
      </c>
      <c r="M205" s="10">
        <f t="shared" si="20"/>
        <v>0.20617966543564573</v>
      </c>
      <c r="P205" s="8">
        <f t="shared" si="25"/>
        <v>1.3842558309161372</v>
      </c>
    </row>
    <row r="206" spans="1:16" x14ac:dyDescent="0.2">
      <c r="A206" s="8">
        <v>102</v>
      </c>
      <c r="B206" s="8">
        <v>204</v>
      </c>
      <c r="D206">
        <v>2056.9638461538998</v>
      </c>
      <c r="E206">
        <v>470.59769230769001</v>
      </c>
      <c r="F206">
        <v>129.89249806651</v>
      </c>
      <c r="G206">
        <v>112.28692962104</v>
      </c>
      <c r="I206" s="9">
        <f t="shared" si="22"/>
        <v>358.31076268665004</v>
      </c>
      <c r="J206" s="9">
        <f t="shared" si="23"/>
        <v>1927.0713480873899</v>
      </c>
      <c r="K206" s="9">
        <f t="shared" si="24"/>
        <v>358.31076268665004</v>
      </c>
      <c r="L206" s="10">
        <f t="shared" si="21"/>
        <v>0.18593539001151771</v>
      </c>
      <c r="M206" s="10">
        <f t="shared" si="20"/>
        <v>0.20833163070928956</v>
      </c>
      <c r="P206" s="8">
        <f t="shared" si="25"/>
        <v>2.4424367983813915</v>
      </c>
    </row>
    <row r="207" spans="1:16" x14ac:dyDescent="0.2">
      <c r="A207" s="8">
        <v>102.5</v>
      </c>
      <c r="B207" s="8">
        <v>205</v>
      </c>
      <c r="D207">
        <v>2041.0923076923</v>
      </c>
      <c r="E207">
        <v>465.63230769231001</v>
      </c>
      <c r="F207">
        <v>129.69450889404999</v>
      </c>
      <c r="G207">
        <v>112.12451662799999</v>
      </c>
      <c r="I207" s="9">
        <f t="shared" si="22"/>
        <v>353.50779106431003</v>
      </c>
      <c r="J207" s="9">
        <f t="shared" si="23"/>
        <v>1911.3977987982501</v>
      </c>
      <c r="K207" s="9">
        <f t="shared" si="24"/>
        <v>353.50779106431003</v>
      </c>
      <c r="L207" s="10">
        <f t="shared" si="21"/>
        <v>0.18494726282858043</v>
      </c>
      <c r="M207" s="10">
        <f t="shared" si="20"/>
        <v>0.20745328901996879</v>
      </c>
      <c r="P207" s="8">
        <f t="shared" si="25"/>
        <v>2.0105318462179538</v>
      </c>
    </row>
    <row r="208" spans="1:16" x14ac:dyDescent="0.2">
      <c r="A208" s="8">
        <v>103</v>
      </c>
      <c r="B208" s="8">
        <v>206</v>
      </c>
      <c r="D208">
        <v>2047.0846153846001</v>
      </c>
      <c r="E208">
        <v>466.49153846154002</v>
      </c>
      <c r="F208">
        <v>129.66279969063999</v>
      </c>
      <c r="G208">
        <v>112.48182521267999</v>
      </c>
      <c r="I208" s="9">
        <f t="shared" si="22"/>
        <v>354.00971324886001</v>
      </c>
      <c r="J208" s="9">
        <f t="shared" si="23"/>
        <v>1917.4218156939601</v>
      </c>
      <c r="K208" s="9">
        <f t="shared" si="24"/>
        <v>354.00971324886001</v>
      </c>
      <c r="L208" s="10">
        <f t="shared" si="21"/>
        <v>0.18462797823166291</v>
      </c>
      <c r="M208" s="10">
        <f t="shared" si="20"/>
        <v>0.20724378991666781</v>
      </c>
      <c r="P208" s="8">
        <f t="shared" si="25"/>
        <v>1.9075153307893566</v>
      </c>
    </row>
    <row r="209" spans="1:16" x14ac:dyDescent="0.2">
      <c r="A209" s="8">
        <v>103.5</v>
      </c>
      <c r="B209" s="8">
        <v>207</v>
      </c>
      <c r="D209">
        <v>1994.2615384615001</v>
      </c>
      <c r="E209">
        <v>472.13076923077</v>
      </c>
      <c r="F209">
        <v>129.94895591647</v>
      </c>
      <c r="G209">
        <v>112.26450116009001</v>
      </c>
      <c r="I209" s="9">
        <f t="shared" si="22"/>
        <v>359.86626807068001</v>
      </c>
      <c r="J209" s="9">
        <f t="shared" si="23"/>
        <v>1864.3125825450302</v>
      </c>
      <c r="K209" s="9">
        <f t="shared" si="24"/>
        <v>359.86626807068001</v>
      </c>
      <c r="L209" s="10">
        <f t="shared" si="21"/>
        <v>0.19302893272297478</v>
      </c>
      <c r="M209" s="10">
        <f t="shared" si="20"/>
        <v>0.21575452990159621</v>
      </c>
      <c r="P209" s="8">
        <f t="shared" si="25"/>
        <v>6.0924820592939648</v>
      </c>
    </row>
    <row r="210" spans="1:16" x14ac:dyDescent="0.2">
      <c r="A210" s="8">
        <v>104</v>
      </c>
      <c r="B210" s="8">
        <v>208</v>
      </c>
      <c r="D210">
        <v>2089.8384615384998</v>
      </c>
      <c r="E210">
        <v>479.15615384615</v>
      </c>
      <c r="F210">
        <v>130.0935808198</v>
      </c>
      <c r="G210">
        <v>112.25522041763</v>
      </c>
      <c r="I210" s="9">
        <f t="shared" si="22"/>
        <v>366.90093342852003</v>
      </c>
      <c r="J210" s="9">
        <f t="shared" si="23"/>
        <v>1959.7448807186997</v>
      </c>
      <c r="K210" s="9">
        <f t="shared" si="24"/>
        <v>366.90093342852003</v>
      </c>
      <c r="L210" s="10">
        <f t="shared" si="21"/>
        <v>0.1872187227216871</v>
      </c>
      <c r="M210" s="10">
        <f t="shared" si="20"/>
        <v>0.21005410539392505</v>
      </c>
      <c r="P210" s="8">
        <f t="shared" si="25"/>
        <v>3.2894253397604558</v>
      </c>
    </row>
    <row r="211" spans="1:16" x14ac:dyDescent="0.2">
      <c r="A211" s="8">
        <v>104.5</v>
      </c>
      <c r="B211" s="8">
        <v>209</v>
      </c>
      <c r="D211">
        <v>2161.2715384614999</v>
      </c>
      <c r="E211">
        <v>497.93615384614998</v>
      </c>
      <c r="F211">
        <v>129.66125290023001</v>
      </c>
      <c r="G211">
        <v>112.15699922661</v>
      </c>
      <c r="I211" s="9">
        <f t="shared" si="22"/>
        <v>385.77915461954001</v>
      </c>
      <c r="J211" s="9">
        <f t="shared" si="23"/>
        <v>2031.6102855612698</v>
      </c>
      <c r="K211" s="9">
        <f t="shared" si="24"/>
        <v>385.77915461954001</v>
      </c>
      <c r="L211" s="10">
        <f t="shared" si="21"/>
        <v>0.1898883645949653</v>
      </c>
      <c r="M211" s="10">
        <f t="shared" si="20"/>
        <v>0.21283353276081979</v>
      </c>
      <c r="P211" s="8">
        <f t="shared" si="25"/>
        <v>4.6561468087923279</v>
      </c>
    </row>
    <row r="212" spans="1:16" x14ac:dyDescent="0.2">
      <c r="A212" s="8">
        <v>105</v>
      </c>
      <c r="B212" s="8">
        <v>210</v>
      </c>
      <c r="D212">
        <v>2129.2074016962001</v>
      </c>
      <c r="E212">
        <v>497.87124132614002</v>
      </c>
      <c r="F212">
        <v>129.78654292343001</v>
      </c>
      <c r="G212">
        <v>111.99613302397999</v>
      </c>
      <c r="I212" s="9">
        <f t="shared" si="22"/>
        <v>385.87510830216002</v>
      </c>
      <c r="J212" s="9">
        <f t="shared" si="23"/>
        <v>1999.4208587727701</v>
      </c>
      <c r="K212" s="9">
        <f t="shared" si="24"/>
        <v>385.87510830216002</v>
      </c>
      <c r="L212" s="10">
        <f t="shared" si="21"/>
        <v>0.19299343937974486</v>
      </c>
      <c r="M212" s="10">
        <f t="shared" si="20"/>
        <v>0.21604839303921589</v>
      </c>
      <c r="P212" s="8">
        <f t="shared" si="25"/>
        <v>6.2369827085735983</v>
      </c>
    </row>
    <row r="213" spans="1:16" x14ac:dyDescent="0.2">
      <c r="A213" s="8">
        <v>105.5</v>
      </c>
      <c r="B213" s="8">
        <v>211</v>
      </c>
      <c r="D213">
        <v>2044.3161141094999</v>
      </c>
      <c r="E213">
        <v>489.56900539706999</v>
      </c>
      <c r="F213">
        <v>130.07037896365</v>
      </c>
      <c r="G213">
        <v>112.42382057231001</v>
      </c>
      <c r="I213" s="9">
        <f t="shared" si="22"/>
        <v>377.14518482476001</v>
      </c>
      <c r="J213" s="9">
        <f t="shared" si="23"/>
        <v>1914.2457351458499</v>
      </c>
      <c r="K213" s="9">
        <f t="shared" si="24"/>
        <v>377.14518482476001</v>
      </c>
      <c r="L213" s="10">
        <f t="shared" si="21"/>
        <v>0.19702025602059112</v>
      </c>
      <c r="M213" s="10">
        <f t="shared" si="20"/>
        <v>0.22018499517367868</v>
      </c>
      <c r="P213" s="8">
        <f t="shared" si="25"/>
        <v>8.2710646253569546</v>
      </c>
    </row>
    <row r="214" spans="1:16" x14ac:dyDescent="0.2">
      <c r="A214" s="8">
        <v>106</v>
      </c>
      <c r="B214" s="8">
        <v>212</v>
      </c>
      <c r="D214">
        <v>1972.3677717810001</v>
      </c>
      <c r="E214">
        <v>506.09560524287002</v>
      </c>
      <c r="F214">
        <v>130.09512761021</v>
      </c>
      <c r="G214">
        <v>112.09744779582</v>
      </c>
      <c r="I214" s="9">
        <f t="shared" si="22"/>
        <v>393.99815744705</v>
      </c>
      <c r="J214" s="9">
        <f t="shared" si="23"/>
        <v>1842.27264417079</v>
      </c>
      <c r="K214" s="9">
        <f t="shared" si="24"/>
        <v>393.99815744705</v>
      </c>
      <c r="L214" s="10">
        <f t="shared" si="21"/>
        <v>0.21386528139236916</v>
      </c>
      <c r="M214" s="10">
        <f t="shared" si="20"/>
        <v>0.23713980603907323</v>
      </c>
      <c r="P214" s="8">
        <f t="shared" si="25"/>
        <v>16.608215035946252</v>
      </c>
    </row>
    <row r="215" spans="1:16" x14ac:dyDescent="0.2">
      <c r="A215" s="8">
        <v>106.5</v>
      </c>
      <c r="B215" s="8">
        <v>213</v>
      </c>
      <c r="D215">
        <v>2087.5844255974998</v>
      </c>
      <c r="E215">
        <v>492.66615265999002</v>
      </c>
      <c r="F215">
        <v>129.56999226605001</v>
      </c>
      <c r="G215">
        <v>112.01933488012</v>
      </c>
      <c r="I215" s="9">
        <f t="shared" si="22"/>
        <v>380.64681777987005</v>
      </c>
      <c r="J215" s="9">
        <f t="shared" si="23"/>
        <v>1958.0144333314497</v>
      </c>
      <c r="K215" s="9">
        <f t="shared" si="24"/>
        <v>380.64681777987005</v>
      </c>
      <c r="L215" s="10">
        <f t="shared" si="21"/>
        <v>0.19440450044702748</v>
      </c>
      <c r="M215" s="10">
        <f t="shared" si="20"/>
        <v>0.21778881058734809</v>
      </c>
      <c r="P215" s="8">
        <f t="shared" si="25"/>
        <v>7.0927942532262689</v>
      </c>
    </row>
    <row r="216" spans="1:16" x14ac:dyDescent="0.2">
      <c r="A216" s="8">
        <v>107</v>
      </c>
      <c r="B216" s="8">
        <v>214</v>
      </c>
      <c r="D216">
        <v>1935.9976869699001</v>
      </c>
      <c r="E216">
        <v>477.01542020046003</v>
      </c>
      <c r="F216">
        <v>129.74555297756999</v>
      </c>
      <c r="G216">
        <v>112.39675174014</v>
      </c>
      <c r="I216" s="9">
        <f t="shared" si="22"/>
        <v>364.61866846032001</v>
      </c>
      <c r="J216" s="9">
        <f t="shared" si="23"/>
        <v>1806.2521339923301</v>
      </c>
      <c r="K216" s="9">
        <f t="shared" si="24"/>
        <v>364.61866846032001</v>
      </c>
      <c r="L216" s="10">
        <f t="shared" si="21"/>
        <v>0.2018647682671019</v>
      </c>
      <c r="M216" s="10">
        <f t="shared" si="20"/>
        <v>0.22535886390103904</v>
      </c>
      <c r="P216" s="8">
        <f t="shared" si="25"/>
        <v>10.815199274047641</v>
      </c>
    </row>
    <row r="217" spans="1:16" x14ac:dyDescent="0.2">
      <c r="A217" s="8">
        <v>107.5</v>
      </c>
      <c r="B217" s="8">
        <v>215</v>
      </c>
      <c r="D217">
        <v>2190.6129529683999</v>
      </c>
      <c r="E217">
        <v>500.84117193524003</v>
      </c>
      <c r="F217">
        <v>129.47331786543</v>
      </c>
      <c r="G217">
        <v>112.22969837587</v>
      </c>
      <c r="I217" s="9">
        <f t="shared" si="22"/>
        <v>388.61147355937004</v>
      </c>
      <c r="J217" s="9">
        <f t="shared" si="23"/>
        <v>2061.1396351029698</v>
      </c>
      <c r="K217" s="9">
        <f t="shared" si="24"/>
        <v>388.61147355937004</v>
      </c>
      <c r="L217" s="10">
        <f t="shared" si="21"/>
        <v>0.18854204098595964</v>
      </c>
      <c r="M217" s="10">
        <f t="shared" si="20"/>
        <v>0.2121459221135133</v>
      </c>
      <c r="P217" s="8">
        <f t="shared" si="25"/>
        <v>4.3180295961599189</v>
      </c>
    </row>
    <row r="218" spans="1:16" x14ac:dyDescent="0.2">
      <c r="A218" s="8">
        <v>108</v>
      </c>
      <c r="B218" s="8">
        <v>216</v>
      </c>
      <c r="D218">
        <v>2194.4063222822001</v>
      </c>
      <c r="E218">
        <v>498.40015420201001</v>
      </c>
      <c r="F218">
        <v>129.60402165507</v>
      </c>
      <c r="G218">
        <v>111.97834493425999</v>
      </c>
      <c r="I218" s="9">
        <f t="shared" si="22"/>
        <v>386.42180926775001</v>
      </c>
      <c r="J218" s="9">
        <f t="shared" si="23"/>
        <v>2064.8023006271301</v>
      </c>
      <c r="K218" s="9">
        <f t="shared" si="24"/>
        <v>386.42180926775001</v>
      </c>
      <c r="L218" s="10">
        <f t="shared" si="21"/>
        <v>0.18714712258427085</v>
      </c>
      <c r="M218" s="10">
        <f t="shared" si="20"/>
        <v>0.21086078920544105</v>
      </c>
      <c r="P218" s="8">
        <f t="shared" si="25"/>
        <v>3.6860941273859913</v>
      </c>
    </row>
    <row r="219" spans="1:16" x14ac:dyDescent="0.2">
      <c r="A219" s="8">
        <v>108.5</v>
      </c>
      <c r="B219" s="8">
        <v>217</v>
      </c>
      <c r="D219">
        <v>2113.8735543562002</v>
      </c>
      <c r="E219">
        <v>478.18658442560002</v>
      </c>
      <c r="F219">
        <v>129.48569218871</v>
      </c>
      <c r="G219">
        <v>111.97370456303</v>
      </c>
      <c r="I219" s="9">
        <f t="shared" si="22"/>
        <v>366.21287986257005</v>
      </c>
      <c r="J219" s="9">
        <f t="shared" si="23"/>
        <v>1984.3878621674903</v>
      </c>
      <c r="K219" s="9">
        <f t="shared" si="24"/>
        <v>366.21287986257005</v>
      </c>
      <c r="L219" s="10">
        <f t="shared" si="21"/>
        <v>0.18454702674030982</v>
      </c>
      <c r="M219" s="10">
        <f t="shared" si="20"/>
        <v>0.20837047885509652</v>
      </c>
      <c r="P219" s="8">
        <f t="shared" si="25"/>
        <v>2.4615395083636167</v>
      </c>
    </row>
    <row r="220" spans="1:16" x14ac:dyDescent="0.2">
      <c r="A220" s="8">
        <v>109</v>
      </c>
      <c r="B220" s="8">
        <v>218</v>
      </c>
      <c r="D220">
        <v>2187.0432098765</v>
      </c>
      <c r="E220">
        <v>495.7962962963</v>
      </c>
      <c r="F220">
        <v>129.54215003867</v>
      </c>
      <c r="G220">
        <v>112.13225058005</v>
      </c>
      <c r="I220" s="9">
        <f t="shared" si="22"/>
        <v>383.66404571625003</v>
      </c>
      <c r="J220" s="9">
        <f t="shared" si="23"/>
        <v>2057.5010598378299</v>
      </c>
      <c r="K220" s="9">
        <f t="shared" si="24"/>
        <v>383.66404571625003</v>
      </c>
      <c r="L220" s="10">
        <f t="shared" si="21"/>
        <v>0.1864708860691863</v>
      </c>
      <c r="M220" s="10">
        <f t="shared" si="20"/>
        <v>0.21040412367758954</v>
      </c>
      <c r="P220" s="8">
        <f t="shared" si="25"/>
        <v>3.4615390307083866</v>
      </c>
    </row>
    <row r="221" spans="1:16" x14ac:dyDescent="0.2">
      <c r="A221" s="8">
        <v>109.5</v>
      </c>
      <c r="B221" s="8">
        <v>219</v>
      </c>
      <c r="D221">
        <v>2195.4814814814999</v>
      </c>
      <c r="E221">
        <v>504.75617283950999</v>
      </c>
      <c r="F221">
        <v>129.19721577726</v>
      </c>
      <c r="G221">
        <v>111.59474091261001</v>
      </c>
      <c r="I221" s="9">
        <f t="shared" si="22"/>
        <v>393.16143192689998</v>
      </c>
      <c r="J221" s="9">
        <f t="shared" si="23"/>
        <v>2066.2842657042402</v>
      </c>
      <c r="K221" s="9">
        <f t="shared" si="24"/>
        <v>393.16143192689998</v>
      </c>
      <c r="L221" s="10">
        <f t="shared" si="21"/>
        <v>0.19027460957454514</v>
      </c>
      <c r="M221" s="10">
        <f t="shared" si="20"/>
        <v>0.21431763267656492</v>
      </c>
      <c r="P221" s="8">
        <f t="shared" si="25"/>
        <v>5.3859198696740762</v>
      </c>
    </row>
    <row r="222" spans="1:16" x14ac:dyDescent="0.2">
      <c r="A222" s="8">
        <v>110</v>
      </c>
      <c r="B222" s="8">
        <v>220</v>
      </c>
      <c r="D222">
        <v>2142.8388589052001</v>
      </c>
      <c r="E222">
        <v>498.75636083269001</v>
      </c>
      <c r="F222">
        <v>129.29853054911001</v>
      </c>
      <c r="G222">
        <v>112.00773395205</v>
      </c>
      <c r="I222" s="9">
        <f t="shared" si="22"/>
        <v>386.74862688064002</v>
      </c>
      <c r="J222" s="9">
        <f t="shared" si="23"/>
        <v>2013.5403283560902</v>
      </c>
      <c r="K222" s="9">
        <f t="shared" si="24"/>
        <v>386.74862688064002</v>
      </c>
      <c r="L222" s="10">
        <f t="shared" si="21"/>
        <v>0.19207394132323749</v>
      </c>
      <c r="M222" s="10">
        <f t="shared" si="20"/>
        <v>0.21622674991887381</v>
      </c>
      <c r="P222" s="8">
        <f t="shared" si="25"/>
        <v>6.3246857295200867</v>
      </c>
    </row>
    <row r="223" spans="1:16" x14ac:dyDescent="0.2">
      <c r="A223" s="8">
        <v>110.5</v>
      </c>
      <c r="B223" s="8">
        <v>221</v>
      </c>
      <c r="D223">
        <v>2017.4001542020001</v>
      </c>
      <c r="E223">
        <v>497.89822667695</v>
      </c>
      <c r="F223">
        <v>129.60711523589001</v>
      </c>
      <c r="G223">
        <v>112.00618716164</v>
      </c>
      <c r="I223" s="9">
        <f t="shared" si="22"/>
        <v>385.89203951530999</v>
      </c>
      <c r="J223" s="9">
        <f t="shared" si="23"/>
        <v>1887.7930389661101</v>
      </c>
      <c r="K223" s="9">
        <f t="shared" si="24"/>
        <v>385.89203951530999</v>
      </c>
      <c r="L223" s="10">
        <f t="shared" si="21"/>
        <v>0.20441437782112595</v>
      </c>
      <c r="M223" s="10">
        <f t="shared" si="20"/>
        <v>0.22867697191037878</v>
      </c>
      <c r="P223" s="8">
        <f t="shared" si="25"/>
        <v>12.446804944678203</v>
      </c>
    </row>
    <row r="224" spans="1:16" x14ac:dyDescent="0.2">
      <c r="A224" s="8">
        <v>111</v>
      </c>
      <c r="B224" s="8">
        <v>222</v>
      </c>
      <c r="D224">
        <v>2005.6707787201001</v>
      </c>
      <c r="E224">
        <v>487.83346183499998</v>
      </c>
      <c r="F224">
        <v>129.90255220418001</v>
      </c>
      <c r="G224">
        <v>112.14694508894</v>
      </c>
      <c r="I224" s="9">
        <f t="shared" si="22"/>
        <v>375.68651674605997</v>
      </c>
      <c r="J224" s="9">
        <f t="shared" si="23"/>
        <v>1875.7682265159201</v>
      </c>
      <c r="K224" s="9">
        <f t="shared" si="24"/>
        <v>375.68651674605997</v>
      </c>
      <c r="L224" s="10">
        <f t="shared" si="21"/>
        <v>0.20028408170867981</v>
      </c>
      <c r="M224" s="10">
        <f t="shared" si="20"/>
        <v>0.22465646129154918</v>
      </c>
      <c r="P224" s="8">
        <f t="shared" si="25"/>
        <v>10.469808443645643</v>
      </c>
    </row>
    <row r="225" spans="1:16" x14ac:dyDescent="0.2">
      <c r="A225" s="8">
        <v>111.5</v>
      </c>
      <c r="B225" s="8">
        <v>223</v>
      </c>
      <c r="D225">
        <v>1963.1842713955</v>
      </c>
      <c r="E225">
        <v>476.69853508096003</v>
      </c>
      <c r="F225">
        <v>130.04021655066001</v>
      </c>
      <c r="G225">
        <v>112.03248259861</v>
      </c>
      <c r="I225" s="9">
        <f t="shared" si="22"/>
        <v>364.66605248235004</v>
      </c>
      <c r="J225" s="9">
        <f t="shared" si="23"/>
        <v>1833.14405484484</v>
      </c>
      <c r="K225" s="9">
        <f t="shared" si="24"/>
        <v>364.66605248235004</v>
      </c>
      <c r="L225" s="10">
        <f t="shared" si="21"/>
        <v>0.19892929391913824</v>
      </c>
      <c r="M225" s="10">
        <f t="shared" si="20"/>
        <v>0.22341145899562415</v>
      </c>
      <c r="P225" s="8">
        <f t="shared" si="25"/>
        <v>9.8576063090974184</v>
      </c>
    </row>
    <row r="226" spans="1:16" x14ac:dyDescent="0.2">
      <c r="A226" s="8">
        <v>112</v>
      </c>
      <c r="B226" s="8">
        <v>224</v>
      </c>
      <c r="D226">
        <v>2098.4443585781</v>
      </c>
      <c r="E226">
        <v>492.23956723339001</v>
      </c>
      <c r="F226">
        <v>129.47950502706999</v>
      </c>
      <c r="G226">
        <v>112.07115235886</v>
      </c>
      <c r="I226" s="9">
        <f t="shared" si="22"/>
        <v>380.16841487453001</v>
      </c>
      <c r="J226" s="9">
        <f t="shared" si="23"/>
        <v>1968.96485355103</v>
      </c>
      <c r="K226" s="9">
        <f t="shared" si="24"/>
        <v>380.16841487453001</v>
      </c>
      <c r="L226" s="10">
        <f t="shared" si="21"/>
        <v>0.19308034584207834</v>
      </c>
      <c r="M226" s="10">
        <f t="shared" si="20"/>
        <v>0.21767229641218075</v>
      </c>
      <c r="P226" s="8">
        <f t="shared" si="25"/>
        <v>7.0355010040683856</v>
      </c>
    </row>
    <row r="227" spans="1:16" x14ac:dyDescent="0.2">
      <c r="A227" s="8">
        <v>112.5</v>
      </c>
      <c r="B227" s="8">
        <v>225</v>
      </c>
      <c r="D227">
        <v>2047.8585780526</v>
      </c>
      <c r="E227">
        <v>480.55950540958003</v>
      </c>
      <c r="F227">
        <v>129.85692188708001</v>
      </c>
      <c r="G227">
        <v>112.03789636504</v>
      </c>
      <c r="I227" s="9">
        <f t="shared" si="22"/>
        <v>368.52160904454001</v>
      </c>
      <c r="J227" s="9">
        <f t="shared" si="23"/>
        <v>1918.00165616552</v>
      </c>
      <c r="K227" s="9">
        <f t="shared" si="24"/>
        <v>368.52160904454001</v>
      </c>
      <c r="L227" s="10">
        <f t="shared" si="21"/>
        <v>0.19213831638774001</v>
      </c>
      <c r="M227" s="10">
        <f t="shared" si="20"/>
        <v>0.21684005245145896</v>
      </c>
      <c r="P227" s="8">
        <f t="shared" si="25"/>
        <v>6.6262635826705454</v>
      </c>
    </row>
    <row r="228" spans="1:16" x14ac:dyDescent="0.2">
      <c r="A228" s="8">
        <v>113</v>
      </c>
      <c r="B228" s="8">
        <v>226</v>
      </c>
      <c r="D228">
        <v>2111.1308049536001</v>
      </c>
      <c r="E228">
        <v>497.28328173375002</v>
      </c>
      <c r="F228">
        <v>129.67672080432999</v>
      </c>
      <c r="G228">
        <v>112.16550657386</v>
      </c>
      <c r="I228" s="9">
        <f t="shared" si="22"/>
        <v>385.11777515989002</v>
      </c>
      <c r="J228" s="9">
        <f t="shared" si="23"/>
        <v>1981.4540841492701</v>
      </c>
      <c r="K228" s="9">
        <f t="shared" si="24"/>
        <v>385.11777515989002</v>
      </c>
      <c r="L228" s="10">
        <f t="shared" si="21"/>
        <v>0.19436119072385111</v>
      </c>
      <c r="M228" s="10">
        <f t="shared" si="20"/>
        <v>0.21917271228118659</v>
      </c>
      <c r="P228" s="8">
        <f t="shared" si="25"/>
        <v>7.7732970713703535</v>
      </c>
    </row>
    <row r="229" spans="1:16" x14ac:dyDescent="0.2">
      <c r="A229" s="8">
        <v>113.5</v>
      </c>
      <c r="B229" s="8">
        <v>227</v>
      </c>
      <c r="D229">
        <v>2108.0146604938</v>
      </c>
      <c r="E229">
        <v>489.625</v>
      </c>
      <c r="F229">
        <v>129.16086620262999</v>
      </c>
      <c r="G229">
        <v>112.23975251352999</v>
      </c>
      <c r="I229" s="9">
        <f t="shared" si="22"/>
        <v>377.38524748647001</v>
      </c>
      <c r="J229" s="9">
        <f t="shared" si="23"/>
        <v>1978.8537942911701</v>
      </c>
      <c r="K229" s="9">
        <f t="shared" si="24"/>
        <v>377.38524748647001</v>
      </c>
      <c r="L229" s="10">
        <f t="shared" si="21"/>
        <v>0.19070900971824969</v>
      </c>
      <c r="M229" s="10">
        <f t="shared" si="20"/>
        <v>0.21563031676920169</v>
      </c>
      <c r="P229" s="8">
        <f t="shared" si="25"/>
        <v>6.0314030194883799</v>
      </c>
    </row>
    <row r="230" spans="1:16" x14ac:dyDescent="0.2">
      <c r="A230" s="8">
        <v>114</v>
      </c>
      <c r="B230" s="8">
        <v>228</v>
      </c>
      <c r="D230">
        <v>2048.1161538462002</v>
      </c>
      <c r="E230">
        <v>486.97230769230998</v>
      </c>
      <c r="F230">
        <v>128.84918793503999</v>
      </c>
      <c r="G230">
        <v>112.42536736272</v>
      </c>
      <c r="I230" s="9">
        <f t="shared" si="22"/>
        <v>374.54694032958997</v>
      </c>
      <c r="J230" s="9">
        <f t="shared" si="23"/>
        <v>1919.2669659111602</v>
      </c>
      <c r="K230" s="9">
        <f t="shared" si="24"/>
        <v>374.54694032958997</v>
      </c>
      <c r="L230" s="10">
        <f t="shared" si="21"/>
        <v>0.19515103786084084</v>
      </c>
      <c r="M230" s="10">
        <f t="shared" si="20"/>
        <v>0.22018213040540938</v>
      </c>
      <c r="P230" s="8">
        <f t="shared" si="25"/>
        <v>8.269655939400959</v>
      </c>
    </row>
    <row r="231" spans="1:16" x14ac:dyDescent="0.2">
      <c r="A231" s="8">
        <v>114.5</v>
      </c>
      <c r="B231" s="8">
        <v>229</v>
      </c>
      <c r="D231">
        <v>1977.6638461539001</v>
      </c>
      <c r="E231">
        <v>456.93923076922999</v>
      </c>
      <c r="F231">
        <v>129.29234338747</v>
      </c>
      <c r="G231">
        <v>111.87935034803</v>
      </c>
      <c r="I231" s="9">
        <f t="shared" si="22"/>
        <v>345.05988042119998</v>
      </c>
      <c r="J231" s="9">
        <f t="shared" si="23"/>
        <v>1848.37150276643</v>
      </c>
      <c r="K231" s="9">
        <f t="shared" si="24"/>
        <v>345.05988042119998</v>
      </c>
      <c r="L231" s="10">
        <f t="shared" si="21"/>
        <v>0.18668318566086634</v>
      </c>
      <c r="M231" s="10">
        <f t="shared" si="20"/>
        <v>0.21182406369905141</v>
      </c>
      <c r="P231" s="8">
        <f t="shared" si="25"/>
        <v>4.1597628933588009</v>
      </c>
    </row>
    <row r="232" spans="1:16" x14ac:dyDescent="0.2">
      <c r="A232" s="8">
        <v>115</v>
      </c>
      <c r="B232" s="8">
        <v>230</v>
      </c>
      <c r="D232">
        <v>2011.13</v>
      </c>
      <c r="E232">
        <v>471.61769230768999</v>
      </c>
      <c r="F232">
        <v>129.08662026294999</v>
      </c>
      <c r="G232">
        <v>112.10827532869</v>
      </c>
      <c r="I232" s="9">
        <f t="shared" si="22"/>
        <v>359.50941697899998</v>
      </c>
      <c r="J232" s="9">
        <f t="shared" si="23"/>
        <v>1882.0433797370501</v>
      </c>
      <c r="K232" s="9">
        <f t="shared" si="24"/>
        <v>359.50941697899998</v>
      </c>
      <c r="L232" s="10">
        <f t="shared" si="21"/>
        <v>0.19102079200173849</v>
      </c>
      <c r="M232" s="10">
        <f t="shared" si="20"/>
        <v>0.21627145553354007</v>
      </c>
      <c r="P232" s="8">
        <f t="shared" si="25"/>
        <v>6.3466687192820821</v>
      </c>
    </row>
    <row r="233" spans="1:16" x14ac:dyDescent="0.2">
      <c r="A233" s="8">
        <v>115.5</v>
      </c>
      <c r="B233" s="8">
        <v>231</v>
      </c>
      <c r="D233">
        <v>1972.1676923077</v>
      </c>
      <c r="E233">
        <v>465.98153846154003</v>
      </c>
      <c r="F233">
        <v>129.39288476410999</v>
      </c>
      <c r="G233">
        <v>111.79118329466</v>
      </c>
      <c r="I233" s="9">
        <f t="shared" si="22"/>
        <v>354.19035516688001</v>
      </c>
      <c r="J233" s="9">
        <f t="shared" si="23"/>
        <v>1842.77480754359</v>
      </c>
      <c r="K233" s="9">
        <f t="shared" si="24"/>
        <v>354.19035516688001</v>
      </c>
      <c r="L233" s="10">
        <f t="shared" si="21"/>
        <v>0.19220490410275037</v>
      </c>
      <c r="M233" s="10">
        <f t="shared" si="20"/>
        <v>0.21756535312816849</v>
      </c>
      <c r="P233" s="8">
        <f t="shared" si="25"/>
        <v>6.9829140273518036</v>
      </c>
    </row>
    <row r="234" spans="1:16" x14ac:dyDescent="0.2">
      <c r="A234" s="8">
        <v>116</v>
      </c>
      <c r="B234" s="8">
        <v>232</v>
      </c>
      <c r="D234">
        <v>1989.7913779830999</v>
      </c>
      <c r="E234">
        <v>475.84757505774002</v>
      </c>
      <c r="F234">
        <v>129.67440061872</v>
      </c>
      <c r="G234">
        <v>111.74091260634</v>
      </c>
      <c r="I234" s="9">
        <f t="shared" si="22"/>
        <v>364.10666245139998</v>
      </c>
      <c r="J234" s="9">
        <f t="shared" si="23"/>
        <v>1860.1169773643799</v>
      </c>
      <c r="K234" s="9">
        <f t="shared" si="24"/>
        <v>364.10666245139998</v>
      </c>
      <c r="L234" s="10">
        <f t="shared" si="21"/>
        <v>0.19574395959081387</v>
      </c>
      <c r="M234" s="10">
        <f t="shared" si="20"/>
        <v>0.22121419410984852</v>
      </c>
      <c r="P234" s="8">
        <f t="shared" si="25"/>
        <v>8.7771502668535408</v>
      </c>
    </row>
    <row r="235" spans="1:16" x14ac:dyDescent="0.2">
      <c r="A235" s="8">
        <v>116.5</v>
      </c>
      <c r="B235" s="8">
        <v>233</v>
      </c>
      <c r="D235">
        <v>2009.2478829869001</v>
      </c>
      <c r="E235">
        <v>473.30100076982001</v>
      </c>
      <c r="F235">
        <v>129.62877030161999</v>
      </c>
      <c r="G235">
        <v>112.32946635731</v>
      </c>
      <c r="I235" s="9">
        <f t="shared" si="22"/>
        <v>360.97153441250998</v>
      </c>
      <c r="J235" s="9">
        <f t="shared" si="23"/>
        <v>1879.61911268528</v>
      </c>
      <c r="K235" s="9">
        <f t="shared" si="24"/>
        <v>360.97153441250998</v>
      </c>
      <c r="L235" s="10">
        <f t="shared" si="21"/>
        <v>0.19204504358163035</v>
      </c>
      <c r="M235" s="10">
        <f t="shared" si="20"/>
        <v>0.21762506359428152</v>
      </c>
      <c r="P235" s="8">
        <f t="shared" si="25"/>
        <v>7.0122753184344884</v>
      </c>
    </row>
    <row r="236" spans="1:16" x14ac:dyDescent="0.2">
      <c r="A236" s="8">
        <v>117</v>
      </c>
      <c r="B236" s="8">
        <v>234</v>
      </c>
      <c r="D236">
        <v>2008.8960739029999</v>
      </c>
      <c r="E236">
        <v>466.81447267128999</v>
      </c>
      <c r="F236">
        <v>129.73859242072999</v>
      </c>
      <c r="G236">
        <v>112.04872389790999</v>
      </c>
      <c r="I236" s="9">
        <f t="shared" si="22"/>
        <v>354.76574877337998</v>
      </c>
      <c r="J236" s="9">
        <f t="shared" si="23"/>
        <v>1879.15748148227</v>
      </c>
      <c r="K236" s="9">
        <f t="shared" si="24"/>
        <v>354.76574877337998</v>
      </c>
      <c r="L236" s="10">
        <f t="shared" si="21"/>
        <v>0.18878979131304235</v>
      </c>
      <c r="M236" s="10">
        <f t="shared" si="20"/>
        <v>0.21447959681931006</v>
      </c>
      <c r="P236" s="8">
        <f t="shared" si="25"/>
        <v>5.4655621275505357</v>
      </c>
    </row>
    <row r="237" spans="1:16" x14ac:dyDescent="0.2">
      <c r="A237" s="8">
        <v>117.5</v>
      </c>
      <c r="B237" s="8">
        <v>235</v>
      </c>
      <c r="D237">
        <v>2017.4526558892001</v>
      </c>
      <c r="E237">
        <v>466.76751347189997</v>
      </c>
      <c r="F237">
        <v>130.05491105954999</v>
      </c>
      <c r="G237">
        <v>112.3124516628</v>
      </c>
      <c r="I237" s="9">
        <f t="shared" si="22"/>
        <v>354.45506180909996</v>
      </c>
      <c r="J237" s="9">
        <f t="shared" si="23"/>
        <v>1887.39774482965</v>
      </c>
      <c r="K237" s="9">
        <f t="shared" si="24"/>
        <v>354.45506180909996</v>
      </c>
      <c r="L237" s="10">
        <f t="shared" si="21"/>
        <v>0.18780093532489192</v>
      </c>
      <c r="M237" s="10">
        <f t="shared" si="20"/>
        <v>0.21360052632477616</v>
      </c>
      <c r="P237" s="8">
        <f t="shared" si="25"/>
        <v>5.0332988016647313</v>
      </c>
    </row>
    <row r="238" spans="1:16" x14ac:dyDescent="0.2">
      <c r="A238" s="8">
        <v>118</v>
      </c>
      <c r="B238" s="8">
        <v>236</v>
      </c>
      <c r="D238">
        <v>2038.9561200923999</v>
      </c>
      <c r="E238">
        <v>475.63972286374002</v>
      </c>
      <c r="F238">
        <v>129.78499613302</v>
      </c>
      <c r="G238">
        <v>111.88089713844001</v>
      </c>
      <c r="I238" s="9">
        <f t="shared" si="22"/>
        <v>363.75882572530003</v>
      </c>
      <c r="J238" s="9">
        <f t="shared" si="23"/>
        <v>1909.1711239593799</v>
      </c>
      <c r="K238" s="9">
        <f t="shared" si="24"/>
        <v>363.75882572530003</v>
      </c>
      <c r="L238" s="10">
        <f t="shared" si="21"/>
        <v>0.19053233162824615</v>
      </c>
      <c r="M238" s="10">
        <f t="shared" si="20"/>
        <v>0.2164417081217469</v>
      </c>
      <c r="P238" s="8">
        <f t="shared" si="25"/>
        <v>6.4303866355090058</v>
      </c>
    </row>
    <row r="239" spans="1:16" x14ac:dyDescent="0.2">
      <c r="A239" s="8">
        <v>118.5</v>
      </c>
      <c r="B239" s="8">
        <v>237</v>
      </c>
      <c r="D239">
        <v>2020.3837209302001</v>
      </c>
      <c r="E239">
        <v>485.2</v>
      </c>
      <c r="F239">
        <v>128.88167053364</v>
      </c>
      <c r="G239">
        <v>111.92343387471</v>
      </c>
      <c r="I239" s="9">
        <f t="shared" si="22"/>
        <v>373.27656612529</v>
      </c>
      <c r="J239" s="9">
        <f t="shared" si="23"/>
        <v>1891.50205039656</v>
      </c>
      <c r="K239" s="9">
        <f t="shared" si="24"/>
        <v>373.27656612529</v>
      </c>
      <c r="L239" s="10">
        <f t="shared" si="21"/>
        <v>0.19734399232981603</v>
      </c>
      <c r="M239" s="10">
        <f t="shared" si="20"/>
        <v>0.22336315431693332</v>
      </c>
      <c r="P239" s="8">
        <f t="shared" si="25"/>
        <v>9.8338535598053234</v>
      </c>
    </row>
    <row r="240" spans="1:16" x14ac:dyDescent="0.2">
      <c r="A240" s="8">
        <v>119</v>
      </c>
      <c r="B240" s="8">
        <v>238</v>
      </c>
      <c r="D240">
        <v>2035.2682170543001</v>
      </c>
      <c r="E240">
        <v>483.98682170542997</v>
      </c>
      <c r="F240">
        <v>129.43387470997999</v>
      </c>
      <c r="G240">
        <v>112.01933488012</v>
      </c>
      <c r="I240" s="9">
        <f t="shared" si="22"/>
        <v>371.96748682530995</v>
      </c>
      <c r="J240" s="9">
        <f t="shared" si="23"/>
        <v>1905.83434234432</v>
      </c>
      <c r="K240" s="9">
        <f t="shared" si="24"/>
        <v>371.96748682530995</v>
      </c>
      <c r="L240" s="10">
        <f t="shared" si="21"/>
        <v>0.19517304235779584</v>
      </c>
      <c r="M240" s="10">
        <f t="shared" si="20"/>
        <v>0.22130198983852967</v>
      </c>
      <c r="P240" s="8">
        <f t="shared" si="25"/>
        <v>8.8203218599331166</v>
      </c>
    </row>
    <row r="241" spans="1:16" x14ac:dyDescent="0.2">
      <c r="A241" s="8">
        <v>119.5</v>
      </c>
      <c r="B241" s="8">
        <v>239</v>
      </c>
      <c r="D241">
        <v>2104.8457364341002</v>
      </c>
      <c r="E241">
        <v>493.78062015504003</v>
      </c>
      <c r="F241">
        <v>129.72931167826999</v>
      </c>
      <c r="G241">
        <v>111.66976024749</v>
      </c>
      <c r="I241" s="9">
        <f t="shared" si="22"/>
        <v>382.11085990755004</v>
      </c>
      <c r="J241" s="9">
        <f t="shared" si="23"/>
        <v>1975.1164247558302</v>
      </c>
      <c r="K241" s="9">
        <f t="shared" si="24"/>
        <v>382.11085990755004</v>
      </c>
      <c r="L241" s="10">
        <f t="shared" si="21"/>
        <v>0.19346244865276119</v>
      </c>
      <c r="M241" s="10">
        <f t="shared" si="20"/>
        <v>0.21970118162711152</v>
      </c>
      <c r="P241" s="8">
        <f t="shared" si="25"/>
        <v>8.033160095460735</v>
      </c>
    </row>
    <row r="242" spans="1:16" x14ac:dyDescent="0.2">
      <c r="A242" s="8">
        <v>120</v>
      </c>
      <c r="B242" s="8">
        <v>240</v>
      </c>
      <c r="D242">
        <v>2092.8085271318</v>
      </c>
      <c r="E242">
        <v>477.89224806201997</v>
      </c>
      <c r="F242">
        <v>129.49497293117</v>
      </c>
      <c r="G242">
        <v>111.80587780355999</v>
      </c>
      <c r="I242" s="9">
        <f>E242-G242</f>
        <v>366.08637025845997</v>
      </c>
      <c r="J242" s="9">
        <f>D242-F242</f>
        <v>1963.3135542006301</v>
      </c>
      <c r="K242" s="9">
        <f t="shared" si="24"/>
        <v>366.08637025845997</v>
      </c>
      <c r="L242" s="10">
        <f t="shared" si="21"/>
        <v>0.18646352717078515</v>
      </c>
      <c r="M242" s="10">
        <f>L242+ABS($N$2)*A242</f>
        <v>0.21281204563875203</v>
      </c>
      <c r="O242" s="11"/>
      <c r="P242" s="8">
        <f>(M242-$O$2)/$O$2*100</f>
        <v>4.6455809953490625</v>
      </c>
    </row>
    <row r="243" spans="1:16" x14ac:dyDescent="0.2">
      <c r="A243" s="8">
        <v>120.5</v>
      </c>
      <c r="B243" s="8">
        <v>241</v>
      </c>
      <c r="D243">
        <v>2089.3348837209001</v>
      </c>
      <c r="E243">
        <v>482.22015503876003</v>
      </c>
      <c r="F243">
        <v>129.27842227378</v>
      </c>
      <c r="G243">
        <v>112.21732405259</v>
      </c>
      <c r="I243" s="9">
        <f t="shared" ref="I243:I274" si="26">E243-G243</f>
        <v>370.00283098617001</v>
      </c>
      <c r="J243" s="9">
        <f t="shared" ref="J243:J274" si="27">D243-F243</f>
        <v>1960.05646144712</v>
      </c>
      <c r="K243" s="9">
        <f t="shared" si="24"/>
        <v>370.00283098617001</v>
      </c>
      <c r="L243" s="10">
        <f t="shared" si="21"/>
        <v>0.18877151666998152</v>
      </c>
      <c r="M243" s="10">
        <f t="shared" ref="M243:M274" si="28">L243+ABS($N$2)*A243</f>
        <v>0.21522982063156493</v>
      </c>
      <c r="P243" s="8">
        <f t="shared" ref="P243:P274" si="29">(M243-$O$2)/$O$2*100</f>
        <v>5.8344679687322083</v>
      </c>
    </row>
    <row r="244" spans="1:16" x14ac:dyDescent="0.2">
      <c r="A244" s="8">
        <v>121</v>
      </c>
      <c r="B244" s="8">
        <v>242</v>
      </c>
      <c r="D244">
        <v>2072.6736434108998</v>
      </c>
      <c r="E244">
        <v>475.37596899225002</v>
      </c>
      <c r="F244">
        <v>129.42846094353999</v>
      </c>
      <c r="G244">
        <v>111.90409899459</v>
      </c>
      <c r="I244" s="9">
        <f t="shared" si="26"/>
        <v>363.47186999766001</v>
      </c>
      <c r="J244" s="9">
        <f t="shared" si="27"/>
        <v>1943.2451824673599</v>
      </c>
      <c r="K244" s="9">
        <f t="shared" si="24"/>
        <v>363.47186999766001</v>
      </c>
      <c r="L244" s="10">
        <f t="shared" si="21"/>
        <v>0.18704375200671064</v>
      </c>
      <c r="M244" s="10">
        <f t="shared" si="28"/>
        <v>0.21361184146191056</v>
      </c>
      <c r="N244" s="1"/>
      <c r="P244" s="8">
        <f t="shared" si="29"/>
        <v>5.0388627681964069</v>
      </c>
    </row>
    <row r="245" spans="1:16" x14ac:dyDescent="0.2">
      <c r="A245" s="8">
        <v>121.5</v>
      </c>
      <c r="B245" s="8">
        <v>243</v>
      </c>
      <c r="D245">
        <v>2053.7744186046998</v>
      </c>
      <c r="E245">
        <v>471.58449612403001</v>
      </c>
      <c r="F245">
        <v>128.98685228151999</v>
      </c>
      <c r="G245">
        <v>112.10518174787001</v>
      </c>
      <c r="I245" s="9">
        <f t="shared" si="26"/>
        <v>359.47931437616</v>
      </c>
      <c r="J245" s="9">
        <f t="shared" si="27"/>
        <v>1924.7875663231798</v>
      </c>
      <c r="K245" s="9">
        <f t="shared" si="24"/>
        <v>359.47931437616</v>
      </c>
      <c r="L245" s="10">
        <f t="shared" si="21"/>
        <v>0.18676311124705278</v>
      </c>
      <c r="M245" s="10">
        <f t="shared" si="28"/>
        <v>0.21344098619586924</v>
      </c>
      <c r="P245" s="8">
        <f t="shared" si="29"/>
        <v>4.9548484985748491</v>
      </c>
    </row>
    <row r="246" spans="1:16" x14ac:dyDescent="0.2">
      <c r="A246" s="8">
        <v>122</v>
      </c>
      <c r="B246" s="8">
        <v>244</v>
      </c>
      <c r="D246">
        <v>2089.2201550387999</v>
      </c>
      <c r="E246">
        <v>477.03565891472999</v>
      </c>
      <c r="F246">
        <v>129.15158546017</v>
      </c>
      <c r="G246">
        <v>111.78499613302</v>
      </c>
      <c r="I246" s="9">
        <f t="shared" si="26"/>
        <v>365.25066278170999</v>
      </c>
      <c r="J246" s="9">
        <f t="shared" si="27"/>
        <v>1960.0685695786299</v>
      </c>
      <c r="K246" s="9">
        <f t="shared" si="24"/>
        <v>365.25066278170999</v>
      </c>
      <c r="L246" s="10">
        <f t="shared" si="21"/>
        <v>0.18634585975746276</v>
      </c>
      <c r="M246" s="10">
        <f t="shared" si="28"/>
        <v>0.21313352019989576</v>
      </c>
      <c r="P246" s="8">
        <f t="shared" si="29"/>
        <v>4.8036589468350233</v>
      </c>
    </row>
    <row r="247" spans="1:16" x14ac:dyDescent="0.2">
      <c r="A247" s="8">
        <v>122.5</v>
      </c>
      <c r="B247" s="8">
        <v>245</v>
      </c>
      <c r="D247">
        <v>2124.7984496124</v>
      </c>
      <c r="E247">
        <v>475.22015503876003</v>
      </c>
      <c r="F247">
        <v>129.38669760248001</v>
      </c>
      <c r="G247">
        <v>111.72467130704</v>
      </c>
      <c r="I247" s="9">
        <f t="shared" si="26"/>
        <v>363.49548373172001</v>
      </c>
      <c r="J247" s="9">
        <f t="shared" si="27"/>
        <v>1995.4117520099198</v>
      </c>
      <c r="K247" s="9">
        <f t="shared" si="24"/>
        <v>363.49548373172001</v>
      </c>
      <c r="L247" s="10">
        <f t="shared" si="21"/>
        <v>0.18216565246024119</v>
      </c>
      <c r="M247" s="10">
        <f t="shared" si="28"/>
        <v>0.20906309839629073</v>
      </c>
      <c r="P247" s="8">
        <f t="shared" si="29"/>
        <v>2.8021197329437317</v>
      </c>
    </row>
    <row r="248" spans="1:16" x14ac:dyDescent="0.2">
      <c r="A248" s="8">
        <v>123</v>
      </c>
      <c r="B248" s="8">
        <v>246</v>
      </c>
      <c r="D248">
        <v>2125.3426356588998</v>
      </c>
      <c r="E248">
        <v>478.14341085271002</v>
      </c>
      <c r="F248">
        <v>129.35498839907001</v>
      </c>
      <c r="G248">
        <v>111.79582366589</v>
      </c>
      <c r="I248" s="9">
        <f t="shared" si="26"/>
        <v>366.34758718682002</v>
      </c>
      <c r="J248" s="9">
        <f t="shared" si="27"/>
        <v>1995.9876472598298</v>
      </c>
      <c r="K248" s="9">
        <f t="shared" si="24"/>
        <v>366.34758718682002</v>
      </c>
      <c r="L248" s="10">
        <f t="shared" si="21"/>
        <v>0.18354201123927613</v>
      </c>
      <c r="M248" s="10">
        <f t="shared" si="28"/>
        <v>0.21054924266894218</v>
      </c>
      <c r="P248" s="8">
        <f t="shared" si="29"/>
        <v>3.5328980607763287</v>
      </c>
    </row>
    <row r="249" spans="1:16" x14ac:dyDescent="0.2">
      <c r="A249" s="8">
        <v>123.5</v>
      </c>
      <c r="B249" s="8">
        <v>247</v>
      </c>
      <c r="D249">
        <v>2091.6658914729001</v>
      </c>
      <c r="E249">
        <v>490.36899224806001</v>
      </c>
      <c r="F249">
        <v>129.32637277648999</v>
      </c>
      <c r="G249">
        <v>112.03325599381</v>
      </c>
      <c r="I249" s="9">
        <f t="shared" si="26"/>
        <v>378.33573625425004</v>
      </c>
      <c r="J249" s="9">
        <f t="shared" si="27"/>
        <v>1962.3395186964101</v>
      </c>
      <c r="K249" s="9">
        <f t="shared" si="24"/>
        <v>378.33573625425004</v>
      </c>
      <c r="L249" s="10">
        <f t="shared" si="21"/>
        <v>0.19279830663838435</v>
      </c>
      <c r="M249" s="10">
        <f t="shared" si="28"/>
        <v>0.21991532356166693</v>
      </c>
      <c r="P249" s="8">
        <f t="shared" si="29"/>
        <v>8.1384596196947054</v>
      </c>
    </row>
    <row r="250" spans="1:16" x14ac:dyDescent="0.2">
      <c r="A250" s="8">
        <v>124</v>
      </c>
      <c r="B250" s="8">
        <v>248</v>
      </c>
      <c r="D250">
        <v>2096.6147286822002</v>
      </c>
      <c r="E250">
        <v>479.75193798449999</v>
      </c>
      <c r="F250">
        <v>129.46867749419999</v>
      </c>
      <c r="G250">
        <v>111.69373549884</v>
      </c>
      <c r="I250" s="9">
        <f t="shared" si="26"/>
        <v>368.05820248565999</v>
      </c>
      <c r="J250" s="9">
        <f t="shared" si="27"/>
        <v>1967.1460511880002</v>
      </c>
      <c r="K250" s="9">
        <f t="shared" si="24"/>
        <v>368.05820248565999</v>
      </c>
      <c r="L250" s="10">
        <f t="shared" si="21"/>
        <v>0.18710263137980121</v>
      </c>
      <c r="M250" s="10">
        <f t="shared" si="28"/>
        <v>0.21432943379670033</v>
      </c>
      <c r="P250" s="8">
        <f t="shared" si="29"/>
        <v>5.3917228075165227</v>
      </c>
    </row>
    <row r="251" spans="1:16" x14ac:dyDescent="0.2">
      <c r="A251" s="8">
        <v>124.5</v>
      </c>
      <c r="B251" s="8">
        <v>249</v>
      </c>
      <c r="D251">
        <v>2060.1844961239999</v>
      </c>
      <c r="E251">
        <v>465.83023255813998</v>
      </c>
      <c r="F251">
        <v>129.40835266821</v>
      </c>
      <c r="G251">
        <v>111.77803557618</v>
      </c>
      <c r="I251" s="9">
        <f t="shared" si="26"/>
        <v>354.05219698195998</v>
      </c>
      <c r="J251" s="9">
        <f t="shared" si="27"/>
        <v>1930.7761434557899</v>
      </c>
      <c r="K251" s="9">
        <f t="shared" si="24"/>
        <v>354.05219698195998</v>
      </c>
      <c r="L251" s="10">
        <f t="shared" si="21"/>
        <v>0.18337299131335932</v>
      </c>
      <c r="M251" s="10">
        <f t="shared" si="28"/>
        <v>0.21070957922387495</v>
      </c>
      <c r="P251" s="8">
        <f t="shared" si="29"/>
        <v>3.6117399886163284</v>
      </c>
    </row>
    <row r="252" spans="1:16" x14ac:dyDescent="0.2">
      <c r="A252" s="8">
        <v>125</v>
      </c>
      <c r="B252" s="8">
        <v>250</v>
      </c>
      <c r="D252">
        <v>2103.8426356588998</v>
      </c>
      <c r="E252">
        <v>465.06666666667002</v>
      </c>
      <c r="F252">
        <v>129.47795823665999</v>
      </c>
      <c r="G252">
        <v>111.84996133024001</v>
      </c>
      <c r="I252" s="9">
        <f t="shared" si="26"/>
        <v>353.21670533642998</v>
      </c>
      <c r="J252" s="9">
        <f t="shared" si="27"/>
        <v>1974.3646774222398</v>
      </c>
      <c r="K252" s="9">
        <f t="shared" si="24"/>
        <v>353.21670533642998</v>
      </c>
      <c r="L252" s="10">
        <f t="shared" si="21"/>
        <v>0.17890145086955012</v>
      </c>
      <c r="M252" s="10">
        <f t="shared" si="28"/>
        <v>0.20634782427368228</v>
      </c>
      <c r="P252" s="8">
        <f t="shared" si="29"/>
        <v>1.4669441921553756</v>
      </c>
    </row>
    <row r="253" spans="1:16" x14ac:dyDescent="0.2">
      <c r="A253" s="8">
        <v>125.5</v>
      </c>
      <c r="B253" s="8">
        <v>251</v>
      </c>
      <c r="D253">
        <v>2078.2069767441999</v>
      </c>
      <c r="E253">
        <v>458.53798449611998</v>
      </c>
      <c r="F253">
        <v>129.51894818252001</v>
      </c>
      <c r="G253">
        <v>111.84454756381</v>
      </c>
      <c r="I253" s="9">
        <f t="shared" si="26"/>
        <v>346.69343693230996</v>
      </c>
      <c r="J253" s="9">
        <f t="shared" si="27"/>
        <v>1948.6880285616799</v>
      </c>
      <c r="K253" s="9">
        <f t="shared" si="24"/>
        <v>346.69343693230996</v>
      </c>
      <c r="L253" s="10">
        <f t="shared" si="21"/>
        <v>0.17791120582200284</v>
      </c>
      <c r="M253" s="10">
        <f t="shared" si="28"/>
        <v>0.20546736471975152</v>
      </c>
      <c r="P253" s="8">
        <f t="shared" si="29"/>
        <v>1.0339978272659018</v>
      </c>
    </row>
    <row r="254" spans="1:16" x14ac:dyDescent="0.2">
      <c r="A254" s="8">
        <v>126</v>
      </c>
      <c r="B254" s="8">
        <v>252</v>
      </c>
      <c r="D254">
        <v>2062.2441860465001</v>
      </c>
      <c r="E254">
        <v>464.74883720930001</v>
      </c>
      <c r="F254">
        <v>129.2815158546</v>
      </c>
      <c r="G254">
        <v>111.83139984531999</v>
      </c>
      <c r="I254" s="9">
        <f t="shared" si="26"/>
        <v>352.91743736398001</v>
      </c>
      <c r="J254" s="9">
        <f t="shared" si="27"/>
        <v>1932.9626701919001</v>
      </c>
      <c r="K254" s="9">
        <f t="shared" si="24"/>
        <v>352.91743736398001</v>
      </c>
      <c r="L254" s="10">
        <f t="shared" si="21"/>
        <v>0.18257850645865975</v>
      </c>
      <c r="M254" s="10">
        <f t="shared" si="28"/>
        <v>0.21024445085002497</v>
      </c>
      <c r="P254" s="8">
        <f t="shared" si="29"/>
        <v>3.3830234760107531</v>
      </c>
    </row>
    <row r="255" spans="1:16" x14ac:dyDescent="0.2">
      <c r="A255" s="8">
        <v>126.5</v>
      </c>
      <c r="B255" s="8">
        <v>253</v>
      </c>
      <c r="D255">
        <v>2053.3542635659001</v>
      </c>
      <c r="E255">
        <v>460.47441860465</v>
      </c>
      <c r="F255">
        <v>129.05259087394001</v>
      </c>
      <c r="G255">
        <v>111.92343387471</v>
      </c>
      <c r="I255" s="9">
        <f t="shared" si="26"/>
        <v>348.55098472994001</v>
      </c>
      <c r="J255" s="9">
        <f t="shared" si="27"/>
        <v>1924.30167269196</v>
      </c>
      <c r="K255" s="9">
        <f t="shared" si="24"/>
        <v>348.55098472994001</v>
      </c>
      <c r="L255" s="10">
        <f t="shared" si="21"/>
        <v>0.18113115509708111</v>
      </c>
      <c r="M255" s="10">
        <f t="shared" si="28"/>
        <v>0.20890688498206286</v>
      </c>
      <c r="P255" s="8">
        <f t="shared" si="29"/>
        <v>2.7253052676625185</v>
      </c>
    </row>
    <row r="256" spans="1:16" x14ac:dyDescent="0.2">
      <c r="A256" s="8">
        <v>127</v>
      </c>
      <c r="B256" s="8">
        <v>254</v>
      </c>
      <c r="D256">
        <v>1975.7720930232999</v>
      </c>
      <c r="E256">
        <v>438.78837209301997</v>
      </c>
      <c r="F256">
        <v>129.34261407579001</v>
      </c>
      <c r="G256">
        <v>112.21036349575</v>
      </c>
      <c r="I256" s="9">
        <f t="shared" si="26"/>
        <v>326.57800859726996</v>
      </c>
      <c r="J256" s="9">
        <f t="shared" si="27"/>
        <v>1846.42947894751</v>
      </c>
      <c r="K256" s="9">
        <f t="shared" si="24"/>
        <v>326.57800859726996</v>
      </c>
      <c r="L256" s="10">
        <f t="shared" si="21"/>
        <v>0.1768700144364159</v>
      </c>
      <c r="M256" s="10">
        <f t="shared" si="28"/>
        <v>0.20475552981501416</v>
      </c>
      <c r="P256" s="8">
        <f t="shared" si="29"/>
        <v>0.68396887587159239</v>
      </c>
    </row>
    <row r="257" spans="1:16" x14ac:dyDescent="0.2">
      <c r="A257" s="8">
        <v>127.5</v>
      </c>
      <c r="B257" s="8">
        <v>255</v>
      </c>
      <c r="D257">
        <v>1982.915503876</v>
      </c>
      <c r="E257">
        <v>447.00232558139999</v>
      </c>
      <c r="F257">
        <v>129.35421500387</v>
      </c>
      <c r="G257">
        <v>111.95359628769999</v>
      </c>
      <c r="I257" s="9">
        <f t="shared" si="26"/>
        <v>335.04872929369998</v>
      </c>
      <c r="J257" s="9">
        <f t="shared" si="27"/>
        <v>1853.56128887213</v>
      </c>
      <c r="K257" s="9">
        <f t="shared" si="24"/>
        <v>335.04872929369998</v>
      </c>
      <c r="L257" s="10">
        <f t="shared" si="21"/>
        <v>0.1807594554899089</v>
      </c>
      <c r="M257" s="10">
        <f t="shared" si="28"/>
        <v>0.20875475636212371</v>
      </c>
      <c r="P257" s="8">
        <f t="shared" si="29"/>
        <v>2.6504994089444591</v>
      </c>
    </row>
    <row r="258" spans="1:16" x14ac:dyDescent="0.2">
      <c r="A258" s="8">
        <v>128</v>
      </c>
      <c r="B258" s="8">
        <v>256</v>
      </c>
      <c r="D258">
        <v>1955.7713178295</v>
      </c>
      <c r="E258">
        <v>435.98992248062001</v>
      </c>
      <c r="F258">
        <v>129.13534416087001</v>
      </c>
      <c r="G258">
        <v>111.62645011601001</v>
      </c>
      <c r="I258" s="9">
        <f t="shared" si="26"/>
        <v>324.36347236461</v>
      </c>
      <c r="J258" s="9">
        <f t="shared" si="27"/>
        <v>1826.63597366863</v>
      </c>
      <c r="K258" s="9">
        <f t="shared" si="24"/>
        <v>324.36347236461</v>
      </c>
      <c r="L258" s="10">
        <f t="shared" ref="L258:L321" si="30">K258/J258</f>
        <v>0.17757422772812029</v>
      </c>
      <c r="M258" s="10">
        <f t="shared" si="28"/>
        <v>0.20567931409395163</v>
      </c>
      <c r="P258" s="8">
        <f t="shared" si="29"/>
        <v>1.1382192088056495</v>
      </c>
    </row>
    <row r="259" spans="1:16" x14ac:dyDescent="0.2">
      <c r="A259" s="8">
        <v>128.5</v>
      </c>
      <c r="B259" s="8">
        <v>257</v>
      </c>
      <c r="D259">
        <v>2000.6325581394999</v>
      </c>
      <c r="E259">
        <v>446.80697674419002</v>
      </c>
      <c r="F259">
        <v>129.14307811291999</v>
      </c>
      <c r="G259">
        <v>111.87006960557</v>
      </c>
      <c r="I259" s="9">
        <f t="shared" si="26"/>
        <v>334.93690713862003</v>
      </c>
      <c r="J259" s="9">
        <f t="shared" si="27"/>
        <v>1871.4894800265799</v>
      </c>
      <c r="K259" s="9">
        <f t="shared" ref="K259:K321" si="31">I259*1</f>
        <v>334.93690713862003</v>
      </c>
      <c r="L259" s="10">
        <f t="shared" si="30"/>
        <v>0.17896809504580441</v>
      </c>
      <c r="M259" s="10">
        <f t="shared" si="28"/>
        <v>0.20718296690525229</v>
      </c>
      <c r="P259" s="8">
        <f t="shared" si="29"/>
        <v>1.8776069703468821</v>
      </c>
    </row>
    <row r="260" spans="1:16" x14ac:dyDescent="0.2">
      <c r="A260" s="8">
        <v>129</v>
      </c>
      <c r="B260" s="8">
        <v>258</v>
      </c>
      <c r="D260">
        <v>2050.9814528594002</v>
      </c>
      <c r="E260">
        <v>455.24652241113</v>
      </c>
      <c r="F260">
        <v>129.09048723897999</v>
      </c>
      <c r="G260">
        <v>111.75560711524</v>
      </c>
      <c r="I260" s="9">
        <f t="shared" si="26"/>
        <v>343.49091529588998</v>
      </c>
      <c r="J260" s="9">
        <f t="shared" si="27"/>
        <v>1921.8909656204203</v>
      </c>
      <c r="K260" s="9">
        <f t="shared" si="31"/>
        <v>343.49091529588998</v>
      </c>
      <c r="L260" s="10">
        <f t="shared" si="30"/>
        <v>0.17872549558762563</v>
      </c>
      <c r="M260" s="10">
        <f t="shared" si="28"/>
        <v>0.20705015294069001</v>
      </c>
      <c r="P260" s="8">
        <f t="shared" si="29"/>
        <v>1.8122986629895663</v>
      </c>
    </row>
    <row r="261" spans="1:16" x14ac:dyDescent="0.2">
      <c r="A261" s="8">
        <v>129.5</v>
      </c>
      <c r="B261" s="8">
        <v>259</v>
      </c>
      <c r="D261">
        <v>2030.5540123456999</v>
      </c>
      <c r="E261">
        <v>443.24382716049001</v>
      </c>
      <c r="F261">
        <v>129.53750966743999</v>
      </c>
      <c r="G261">
        <v>112.03944315545</v>
      </c>
      <c r="I261" s="9">
        <f t="shared" si="26"/>
        <v>331.20438400504003</v>
      </c>
      <c r="J261" s="9">
        <f t="shared" si="27"/>
        <v>1901.0165026782599</v>
      </c>
      <c r="K261" s="9">
        <f t="shared" si="31"/>
        <v>331.20438400504003</v>
      </c>
      <c r="L261" s="10">
        <f t="shared" si="30"/>
        <v>0.17422488628500621</v>
      </c>
      <c r="M261" s="10">
        <f t="shared" si="28"/>
        <v>0.20265932913168713</v>
      </c>
      <c r="P261" s="8">
        <f t="shared" si="29"/>
        <v>-0.34679109700120414</v>
      </c>
    </row>
    <row r="262" spans="1:16" x14ac:dyDescent="0.2">
      <c r="A262" s="8">
        <v>130</v>
      </c>
      <c r="B262" s="8">
        <v>260</v>
      </c>
      <c r="D262">
        <v>1960.8726851852</v>
      </c>
      <c r="E262">
        <v>425.02469135803</v>
      </c>
      <c r="F262">
        <v>129.12374323278999</v>
      </c>
      <c r="G262">
        <v>111.81206496519999</v>
      </c>
      <c r="I262" s="9">
        <f t="shared" si="26"/>
        <v>313.21262639282997</v>
      </c>
      <c r="J262" s="9">
        <f t="shared" si="27"/>
        <v>1831.74894195241</v>
      </c>
      <c r="K262" s="9">
        <f t="shared" si="31"/>
        <v>313.21262639282997</v>
      </c>
      <c r="L262" s="10">
        <f t="shared" si="30"/>
        <v>0.17099102350728557</v>
      </c>
      <c r="M262" s="10">
        <f t="shared" si="28"/>
        <v>0.19953525184758303</v>
      </c>
      <c r="P262" s="8">
        <f t="shared" si="29"/>
        <v>-1.8829864824090097</v>
      </c>
    </row>
    <row r="263" spans="1:16" x14ac:dyDescent="0.2">
      <c r="A263" s="8">
        <v>130.5</v>
      </c>
      <c r="B263" s="8">
        <v>261</v>
      </c>
      <c r="D263">
        <v>1976.3491078355</v>
      </c>
      <c r="E263">
        <v>441.83553141970998</v>
      </c>
      <c r="F263">
        <v>129.09280742459001</v>
      </c>
      <c r="G263">
        <v>111.80355761794</v>
      </c>
      <c r="I263" s="9">
        <f t="shared" si="26"/>
        <v>330.03197380176999</v>
      </c>
      <c r="J263" s="9">
        <f t="shared" si="27"/>
        <v>1847.2563004109099</v>
      </c>
      <c r="K263" s="9">
        <f t="shared" si="31"/>
        <v>330.03197380176999</v>
      </c>
      <c r="L263" s="10">
        <f t="shared" si="30"/>
        <v>0.17866062967459176</v>
      </c>
      <c r="M263" s="10">
        <f t="shared" si="28"/>
        <v>0.20731464350850573</v>
      </c>
      <c r="P263" s="8">
        <f t="shared" si="29"/>
        <v>1.9423560056263101</v>
      </c>
    </row>
    <row r="264" spans="1:16" x14ac:dyDescent="0.2">
      <c r="A264" s="8">
        <v>131</v>
      </c>
      <c r="B264" s="8">
        <v>262</v>
      </c>
      <c r="D264">
        <v>1985.8906128782</v>
      </c>
      <c r="E264">
        <v>435.98913886733999</v>
      </c>
      <c r="F264">
        <v>128.87470997680001</v>
      </c>
      <c r="G264">
        <v>111.84532095901</v>
      </c>
      <c r="I264" s="9">
        <f t="shared" si="26"/>
        <v>324.14381790832999</v>
      </c>
      <c r="J264" s="9">
        <f t="shared" si="27"/>
        <v>1857.0159029014001</v>
      </c>
      <c r="K264" s="9">
        <f t="shared" si="31"/>
        <v>324.14381790832999</v>
      </c>
      <c r="L264" s="10">
        <f t="shared" si="30"/>
        <v>0.17455091116984403</v>
      </c>
      <c r="M264" s="10">
        <f t="shared" si="28"/>
        <v>0.20331471049737454</v>
      </c>
      <c r="P264" s="8">
        <f t="shared" si="29"/>
        <v>-2.4521915385877883E-2</v>
      </c>
    </row>
    <row r="265" spans="1:16" x14ac:dyDescent="0.2">
      <c r="A265" s="8">
        <v>131.5</v>
      </c>
      <c r="B265" s="8">
        <v>263</v>
      </c>
      <c r="D265">
        <v>2000.5771916214001</v>
      </c>
      <c r="E265">
        <v>433.10861132661</v>
      </c>
      <c r="F265">
        <v>129.16009280743</v>
      </c>
      <c r="G265">
        <v>111.61562258314</v>
      </c>
      <c r="I265" s="9">
        <f t="shared" si="26"/>
        <v>321.49298874346999</v>
      </c>
      <c r="J265" s="9">
        <f t="shared" si="27"/>
        <v>1871.4170988139701</v>
      </c>
      <c r="K265" s="9">
        <f t="shared" si="31"/>
        <v>321.49298874346999</v>
      </c>
      <c r="L265" s="10">
        <f t="shared" si="30"/>
        <v>0.17179119980640312</v>
      </c>
      <c r="M265" s="10">
        <f t="shared" si="28"/>
        <v>0.20066478462755016</v>
      </c>
      <c r="P265" s="8">
        <f t="shared" si="29"/>
        <v>-1.327563909132317</v>
      </c>
    </row>
    <row r="266" spans="1:16" x14ac:dyDescent="0.2">
      <c r="A266" s="8">
        <v>132</v>
      </c>
      <c r="B266" s="8">
        <v>264</v>
      </c>
      <c r="D266">
        <v>1990.1770186335</v>
      </c>
      <c r="E266">
        <v>440.87267080744999</v>
      </c>
      <c r="F266">
        <v>129.40989945862</v>
      </c>
      <c r="G266">
        <v>111.85769528229</v>
      </c>
      <c r="I266" s="9">
        <f t="shared" si="26"/>
        <v>329.01497552516003</v>
      </c>
      <c r="J266" s="9">
        <f t="shared" si="27"/>
        <v>1860.76711917488</v>
      </c>
      <c r="K266" s="9">
        <f t="shared" si="31"/>
        <v>329.01497552516003</v>
      </c>
      <c r="L266" s="10">
        <f t="shared" si="30"/>
        <v>0.17681684727482455</v>
      </c>
      <c r="M266" s="10">
        <f t="shared" si="28"/>
        <v>0.20580021758958811</v>
      </c>
      <c r="P266" s="8">
        <f t="shared" si="29"/>
        <v>1.1976708084896499</v>
      </c>
    </row>
    <row r="267" spans="1:16" x14ac:dyDescent="0.2">
      <c r="A267" s="8">
        <v>132.5</v>
      </c>
      <c r="B267" s="8">
        <v>265</v>
      </c>
      <c r="D267">
        <v>1980.6809006210999</v>
      </c>
      <c r="E267">
        <v>442.03493788819998</v>
      </c>
      <c r="F267">
        <v>129.11832946636</v>
      </c>
      <c r="G267">
        <v>111.87470997680001</v>
      </c>
      <c r="I267" s="9">
        <f t="shared" si="26"/>
        <v>330.16022791139994</v>
      </c>
      <c r="J267" s="9">
        <f t="shared" si="27"/>
        <v>1851.56257115474</v>
      </c>
      <c r="K267" s="9">
        <f t="shared" si="31"/>
        <v>330.16022791139994</v>
      </c>
      <c r="L267" s="10">
        <f t="shared" si="30"/>
        <v>0.17831437784222068</v>
      </c>
      <c r="M267" s="10">
        <f t="shared" si="28"/>
        <v>0.20740753365060077</v>
      </c>
      <c r="P267" s="8">
        <f t="shared" si="29"/>
        <v>1.9880326629748177</v>
      </c>
    </row>
    <row r="268" spans="1:16" x14ac:dyDescent="0.2">
      <c r="A268" s="8">
        <v>133</v>
      </c>
      <c r="B268" s="8">
        <v>266</v>
      </c>
      <c r="D268">
        <v>1955.0807453416</v>
      </c>
      <c r="E268">
        <v>430.22826086957002</v>
      </c>
      <c r="F268">
        <v>129.48569218871</v>
      </c>
      <c r="G268">
        <v>111.93503480278</v>
      </c>
      <c r="I268" s="9">
        <f t="shared" si="26"/>
        <v>318.29322606679</v>
      </c>
      <c r="J268" s="9">
        <f t="shared" si="27"/>
        <v>1825.5950531528902</v>
      </c>
      <c r="K268" s="9">
        <f t="shared" si="31"/>
        <v>318.29322606679</v>
      </c>
      <c r="L268" s="10">
        <f t="shared" si="30"/>
        <v>0.17435039907513022</v>
      </c>
      <c r="M268" s="10">
        <f t="shared" si="28"/>
        <v>0.20355334037712686</v>
      </c>
      <c r="P268" s="8">
        <f t="shared" si="29"/>
        <v>9.2819010192745813E-2</v>
      </c>
    </row>
    <row r="269" spans="1:16" x14ac:dyDescent="0.2">
      <c r="A269" s="8">
        <v>133.5</v>
      </c>
      <c r="B269" s="8">
        <v>267</v>
      </c>
      <c r="D269">
        <v>1988.0302795031</v>
      </c>
      <c r="E269">
        <v>425.28881987578001</v>
      </c>
      <c r="F269">
        <v>128.94895591647</v>
      </c>
      <c r="G269">
        <v>111.9682907966</v>
      </c>
      <c r="I269" s="9">
        <f t="shared" si="26"/>
        <v>313.32052907918001</v>
      </c>
      <c r="J269" s="9">
        <f t="shared" si="27"/>
        <v>1859.0813235866301</v>
      </c>
      <c r="K269" s="9">
        <f t="shared" si="31"/>
        <v>313.32052907918001</v>
      </c>
      <c r="L269" s="10">
        <f t="shared" si="30"/>
        <v>0.16853513889037774</v>
      </c>
      <c r="M269" s="10">
        <f t="shared" si="28"/>
        <v>0.19784786568599089</v>
      </c>
      <c r="P269" s="8">
        <f t="shared" si="29"/>
        <v>-2.7127210245178786</v>
      </c>
    </row>
    <row r="270" spans="1:16" x14ac:dyDescent="0.2">
      <c r="A270" s="8">
        <v>134</v>
      </c>
      <c r="B270" s="8">
        <v>268</v>
      </c>
      <c r="D270">
        <v>1969.2360248447001</v>
      </c>
      <c r="E270">
        <v>430.52872670808</v>
      </c>
      <c r="F270">
        <v>129.24748646558001</v>
      </c>
      <c r="G270">
        <v>111.46790409899999</v>
      </c>
      <c r="I270" s="9">
        <f t="shared" si="26"/>
        <v>319.06082260907999</v>
      </c>
      <c r="J270" s="9">
        <f t="shared" si="27"/>
        <v>1839.98853837912</v>
      </c>
      <c r="K270" s="9">
        <f t="shared" si="31"/>
        <v>319.06082260907999</v>
      </c>
      <c r="L270" s="10">
        <f t="shared" si="30"/>
        <v>0.17340370113943568</v>
      </c>
      <c r="M270" s="10">
        <f t="shared" si="28"/>
        <v>0.20282621342866536</v>
      </c>
      <c r="P270" s="8">
        <f t="shared" si="29"/>
        <v>-0.26472946292466598</v>
      </c>
    </row>
    <row r="271" spans="1:16" x14ac:dyDescent="0.2">
      <c r="A271" s="8">
        <v>134.5</v>
      </c>
      <c r="B271" s="8">
        <v>269</v>
      </c>
      <c r="D271">
        <v>1966.3074534161999</v>
      </c>
      <c r="E271">
        <v>427.39906832297999</v>
      </c>
      <c r="F271">
        <v>129.41221964424</v>
      </c>
      <c r="G271">
        <v>111.59783449343</v>
      </c>
      <c r="I271" s="9">
        <f t="shared" si="26"/>
        <v>315.80123382954997</v>
      </c>
      <c r="J271" s="9">
        <f t="shared" si="27"/>
        <v>1836.89523377196</v>
      </c>
      <c r="K271" s="9">
        <f t="shared" si="31"/>
        <v>315.80123382954997</v>
      </c>
      <c r="L271" s="10">
        <f t="shared" si="30"/>
        <v>0.17192120052544863</v>
      </c>
      <c r="M271" s="10">
        <f t="shared" si="28"/>
        <v>0.20145349830829484</v>
      </c>
      <c r="P271" s="8">
        <f t="shared" si="29"/>
        <v>-0.93973153285503186</v>
      </c>
    </row>
    <row r="272" spans="1:16" x14ac:dyDescent="0.2">
      <c r="A272" s="8">
        <v>135</v>
      </c>
      <c r="B272" s="8">
        <v>270</v>
      </c>
      <c r="D272">
        <v>1976.1358695652</v>
      </c>
      <c r="E272">
        <v>426.25543478261</v>
      </c>
      <c r="F272">
        <v>129.80046403712001</v>
      </c>
      <c r="G272">
        <v>111.72003093581</v>
      </c>
      <c r="I272" s="9">
        <f t="shared" si="26"/>
        <v>314.53540384680002</v>
      </c>
      <c r="J272" s="9">
        <f t="shared" si="27"/>
        <v>1846.3354055280799</v>
      </c>
      <c r="K272" s="9">
        <f t="shared" si="31"/>
        <v>314.53540384680002</v>
      </c>
      <c r="L272" s="10">
        <f t="shared" si="30"/>
        <v>0.1703565900892412</v>
      </c>
      <c r="M272" s="10">
        <f t="shared" si="28"/>
        <v>0.19999867336570393</v>
      </c>
      <c r="P272" s="8">
        <f t="shared" si="29"/>
        <v>-1.6551092780714867</v>
      </c>
    </row>
    <row r="273" spans="1:16" x14ac:dyDescent="0.2">
      <c r="A273" s="8">
        <v>135.5</v>
      </c>
      <c r="B273" s="8">
        <v>271</v>
      </c>
      <c r="D273">
        <v>1933.7888198758001</v>
      </c>
      <c r="E273">
        <v>423.13121118011998</v>
      </c>
      <c r="F273">
        <v>129.43542150038999</v>
      </c>
      <c r="G273">
        <v>111.92730085074</v>
      </c>
      <c r="I273" s="9">
        <f t="shared" si="26"/>
        <v>311.20391032937999</v>
      </c>
      <c r="J273" s="9">
        <f t="shared" si="27"/>
        <v>1804.3533983754101</v>
      </c>
      <c r="K273" s="9">
        <f t="shared" si="31"/>
        <v>311.20391032937999</v>
      </c>
      <c r="L273" s="10">
        <f t="shared" si="30"/>
        <v>0.17247392368345324</v>
      </c>
      <c r="M273" s="10">
        <f t="shared" si="28"/>
        <v>0.2022257924535325</v>
      </c>
      <c r="P273" s="8">
        <f t="shared" si="29"/>
        <v>-0.55997309725929223</v>
      </c>
    </row>
    <row r="274" spans="1:16" x14ac:dyDescent="0.2">
      <c r="A274" s="8">
        <v>136</v>
      </c>
      <c r="B274" s="8">
        <v>272</v>
      </c>
      <c r="D274">
        <v>1953.6312111801001</v>
      </c>
      <c r="E274">
        <v>417.36878881988002</v>
      </c>
      <c r="F274">
        <v>129.40061871616001</v>
      </c>
      <c r="G274">
        <v>111.50116009281</v>
      </c>
      <c r="I274" s="9">
        <f t="shared" si="26"/>
        <v>305.86762872707004</v>
      </c>
      <c r="J274" s="9">
        <f t="shared" si="27"/>
        <v>1824.23059246394</v>
      </c>
      <c r="K274" s="9">
        <f t="shared" si="31"/>
        <v>305.86762872707004</v>
      </c>
      <c r="L274" s="10">
        <f t="shared" si="30"/>
        <v>0.16766938894163744</v>
      </c>
      <c r="M274" s="10">
        <f t="shared" si="28"/>
        <v>0.19753104320533324</v>
      </c>
      <c r="P274" s="8">
        <f t="shared" si="29"/>
        <v>-2.8685114190949137</v>
      </c>
    </row>
    <row r="275" spans="1:16" x14ac:dyDescent="0.2">
      <c r="A275" s="8">
        <v>136.5</v>
      </c>
      <c r="B275" s="8">
        <v>273</v>
      </c>
      <c r="D275">
        <v>1959.5698757764001</v>
      </c>
      <c r="E275">
        <v>418.79658385093001</v>
      </c>
      <c r="F275">
        <v>128.73085846868</v>
      </c>
      <c r="G275">
        <v>111.74864655839001</v>
      </c>
      <c r="I275" s="9">
        <f>E275-G275</f>
        <v>307.04793729253998</v>
      </c>
      <c r="J275" s="9">
        <f>D275-F275</f>
        <v>1830.83901730772</v>
      </c>
      <c r="K275" s="9">
        <f t="shared" si="31"/>
        <v>307.04793729253998</v>
      </c>
      <c r="L275" s="10">
        <f t="shared" si="30"/>
        <v>0.167708867022104</v>
      </c>
      <c r="M275" s="10">
        <f>L275+ABS($N$2)*A275</f>
        <v>0.19768030677941631</v>
      </c>
      <c r="O275" s="11"/>
      <c r="P275" s="8">
        <f>(M275-$O$2)/$O$2*100</f>
        <v>-2.7951143828299663</v>
      </c>
    </row>
    <row r="276" spans="1:16" x14ac:dyDescent="0.2">
      <c r="A276" s="8">
        <v>137</v>
      </c>
      <c r="B276" s="8">
        <v>274</v>
      </c>
      <c r="D276">
        <v>1964.6209302325999</v>
      </c>
      <c r="E276">
        <v>422.31240310077999</v>
      </c>
      <c r="F276">
        <v>129.26063418407</v>
      </c>
      <c r="G276">
        <v>111.54060324826</v>
      </c>
      <c r="I276" s="9">
        <f t="shared" ref="I276:I291" si="32">E276-G276</f>
        <v>310.77179985251996</v>
      </c>
      <c r="J276" s="9">
        <f t="shared" ref="J276:J291" si="33">D276-F276</f>
        <v>1835.36029604853</v>
      </c>
      <c r="K276" s="9">
        <f t="shared" si="31"/>
        <v>310.77179985251996</v>
      </c>
      <c r="L276" s="10">
        <f t="shared" si="30"/>
        <v>0.16932468274572648</v>
      </c>
      <c r="M276" s="10">
        <f t="shared" ref="M276:M291" si="34">L276+ABS($N$2)*A276</f>
        <v>0.19940590799665533</v>
      </c>
      <c r="P276" s="8">
        <f t="shared" ref="P276:P291" si="35">(M276-$O$2)/$O$2*100</f>
        <v>-1.9465884387168793</v>
      </c>
    </row>
    <row r="277" spans="1:16" x14ac:dyDescent="0.2">
      <c r="A277" s="8">
        <v>137.5</v>
      </c>
      <c r="B277" s="8">
        <v>275</v>
      </c>
      <c r="D277">
        <v>1914.4069767441999</v>
      </c>
      <c r="E277">
        <v>416.03565891472999</v>
      </c>
      <c r="F277">
        <v>129.30935808198001</v>
      </c>
      <c r="G277">
        <v>111.76720804331001</v>
      </c>
      <c r="I277" s="9">
        <f t="shared" si="32"/>
        <v>304.26845087141999</v>
      </c>
      <c r="J277" s="9">
        <f t="shared" si="33"/>
        <v>1785.0976186622199</v>
      </c>
      <c r="K277" s="9">
        <f t="shared" si="31"/>
        <v>304.26845087141999</v>
      </c>
      <c r="L277" s="10">
        <f t="shared" si="30"/>
        <v>0.17044919431321831</v>
      </c>
      <c r="M277" s="10">
        <f t="shared" si="34"/>
        <v>0.2006402050577637</v>
      </c>
      <c r="N277" s="1"/>
      <c r="P277" s="8">
        <f t="shared" si="35"/>
        <v>-1.3396503648270597</v>
      </c>
    </row>
    <row r="278" spans="1:16" x14ac:dyDescent="0.2">
      <c r="A278" s="8">
        <v>138</v>
      </c>
      <c r="B278" s="8">
        <v>276</v>
      </c>
      <c r="D278">
        <v>2026.680620155</v>
      </c>
      <c r="E278">
        <v>431.93720930233002</v>
      </c>
      <c r="F278">
        <v>128.91415313224999</v>
      </c>
      <c r="G278">
        <v>111.65815931941</v>
      </c>
      <c r="I278" s="9">
        <f t="shared" si="32"/>
        <v>320.27904998292001</v>
      </c>
      <c r="J278" s="9">
        <f t="shared" si="33"/>
        <v>1897.76646702275</v>
      </c>
      <c r="K278" s="9">
        <f t="shared" si="31"/>
        <v>320.27904998292001</v>
      </c>
      <c r="L278" s="10">
        <f t="shared" si="30"/>
        <v>0.168766313215229</v>
      </c>
      <c r="M278" s="10">
        <f t="shared" si="34"/>
        <v>0.1990671094533909</v>
      </c>
      <c r="P278" s="8">
        <f t="shared" si="35"/>
        <v>-2.1131850723513654</v>
      </c>
    </row>
    <row r="279" spans="1:16" x14ac:dyDescent="0.2">
      <c r="A279" s="8">
        <v>138.5</v>
      </c>
      <c r="B279" s="8">
        <v>277</v>
      </c>
      <c r="D279">
        <v>2000.1612403101001</v>
      </c>
      <c r="E279">
        <v>424.37674418605002</v>
      </c>
      <c r="F279">
        <v>128.9064191802</v>
      </c>
      <c r="G279">
        <v>111.78886310905</v>
      </c>
      <c r="I279" s="9">
        <f t="shared" si="32"/>
        <v>312.58788107700002</v>
      </c>
      <c r="J279" s="9">
        <f t="shared" si="33"/>
        <v>1871.2548211299002</v>
      </c>
      <c r="K279" s="9">
        <f t="shared" si="31"/>
        <v>312.58788107700002</v>
      </c>
      <c r="L279" s="10">
        <f t="shared" si="30"/>
        <v>0.16704720145397053</v>
      </c>
      <c r="M279" s="10">
        <f t="shared" si="34"/>
        <v>0.19745778318574897</v>
      </c>
      <c r="P279" s="8">
        <f t="shared" si="35"/>
        <v>-2.9045354011496713</v>
      </c>
    </row>
    <row r="280" spans="1:16" x14ac:dyDescent="0.2">
      <c r="A280" s="8">
        <v>139</v>
      </c>
      <c r="B280" s="8">
        <v>278</v>
      </c>
      <c r="D280">
        <v>2001.1434108527001</v>
      </c>
      <c r="E280">
        <v>425.22790697673997</v>
      </c>
      <c r="F280">
        <v>129.13070378963999</v>
      </c>
      <c r="G280">
        <v>111.45862335654</v>
      </c>
      <c r="I280" s="9">
        <f t="shared" si="32"/>
        <v>313.76928362019999</v>
      </c>
      <c r="J280" s="9">
        <f t="shared" si="33"/>
        <v>1872.0127070630601</v>
      </c>
      <c r="K280" s="9">
        <f t="shared" si="31"/>
        <v>313.76928362019999</v>
      </c>
      <c r="L280" s="10">
        <f t="shared" si="30"/>
        <v>0.16761065907103934</v>
      </c>
      <c r="M280" s="10">
        <f t="shared" si="34"/>
        <v>0.19813102629643431</v>
      </c>
      <c r="P280" s="8">
        <f t="shared" si="35"/>
        <v>-2.5734831044748137</v>
      </c>
    </row>
    <row r="281" spans="1:16" x14ac:dyDescent="0.2">
      <c r="A281" s="8">
        <v>139.5</v>
      </c>
      <c r="B281" s="8">
        <v>279</v>
      </c>
      <c r="D281">
        <v>1973.0488372093</v>
      </c>
      <c r="E281">
        <v>423.98837209302002</v>
      </c>
      <c r="F281">
        <v>128.87238979118001</v>
      </c>
      <c r="G281">
        <v>111.79814385151001</v>
      </c>
      <c r="I281" s="9">
        <f t="shared" si="32"/>
        <v>312.19022824151</v>
      </c>
      <c r="J281" s="9">
        <f t="shared" si="33"/>
        <v>1844.17644741812</v>
      </c>
      <c r="K281" s="9">
        <f t="shared" si="31"/>
        <v>312.19022824151</v>
      </c>
      <c r="L281" s="10">
        <f t="shared" si="30"/>
        <v>0.16928435924804369</v>
      </c>
      <c r="M281" s="10">
        <f t="shared" si="34"/>
        <v>0.19991451196705518</v>
      </c>
      <c r="P281" s="8">
        <f t="shared" si="35"/>
        <v>-1.6964937703475018</v>
      </c>
    </row>
    <row r="282" spans="1:16" x14ac:dyDescent="0.2">
      <c r="A282" s="8">
        <v>140</v>
      </c>
      <c r="B282" s="8">
        <v>280</v>
      </c>
      <c r="D282">
        <v>1977.3255813953999</v>
      </c>
      <c r="E282">
        <v>418.90930232557997</v>
      </c>
      <c r="F282">
        <v>129.36504253673999</v>
      </c>
      <c r="G282">
        <v>111.13070378963999</v>
      </c>
      <c r="I282" s="9">
        <f t="shared" si="32"/>
        <v>307.77859853593998</v>
      </c>
      <c r="J282" s="9">
        <f t="shared" si="33"/>
        <v>1847.9605388586599</v>
      </c>
      <c r="K282" s="9">
        <f t="shared" si="31"/>
        <v>307.77859853593998</v>
      </c>
      <c r="L282" s="10">
        <f t="shared" si="30"/>
        <v>0.16655041710253762</v>
      </c>
      <c r="M282" s="10">
        <f t="shared" si="34"/>
        <v>0.19729035531516564</v>
      </c>
      <c r="P282" s="8">
        <f t="shared" si="35"/>
        <v>-2.9868643254331553</v>
      </c>
    </row>
    <row r="283" spans="1:16" x14ac:dyDescent="0.2">
      <c r="A283" s="8">
        <v>140.5</v>
      </c>
      <c r="B283" s="8">
        <v>281</v>
      </c>
      <c r="D283">
        <v>1982.1651162790999</v>
      </c>
      <c r="E283">
        <v>419.87441860464997</v>
      </c>
      <c r="F283">
        <v>129.29311678267999</v>
      </c>
      <c r="G283">
        <v>111.66047950503</v>
      </c>
      <c r="I283" s="9">
        <f t="shared" si="32"/>
        <v>308.21393909962001</v>
      </c>
      <c r="J283" s="9">
        <f t="shared" si="33"/>
        <v>1852.8719994964199</v>
      </c>
      <c r="K283" s="9">
        <f t="shared" si="31"/>
        <v>308.21393909962001</v>
      </c>
      <c r="L283" s="10">
        <f t="shared" si="30"/>
        <v>0.1663438916360048</v>
      </c>
      <c r="M283" s="10">
        <f t="shared" si="34"/>
        <v>0.19719361534224936</v>
      </c>
      <c r="P283" s="8">
        <f t="shared" si="35"/>
        <v>-3.0344340512957775</v>
      </c>
    </row>
    <row r="284" spans="1:16" x14ac:dyDescent="0.2">
      <c r="A284" s="8">
        <v>141</v>
      </c>
      <c r="B284" s="8">
        <v>282</v>
      </c>
      <c r="D284">
        <v>1991.3147286822</v>
      </c>
      <c r="E284">
        <v>421.82480620155002</v>
      </c>
      <c r="F284">
        <v>128.65815931941</v>
      </c>
      <c r="G284">
        <v>111.82134570766</v>
      </c>
      <c r="I284" s="9">
        <f t="shared" si="32"/>
        <v>310.00346049389003</v>
      </c>
      <c r="J284" s="9">
        <f t="shared" si="33"/>
        <v>1862.6565693627899</v>
      </c>
      <c r="K284" s="9">
        <f t="shared" si="31"/>
        <v>310.00346049389003</v>
      </c>
      <c r="L284" s="10">
        <f t="shared" si="30"/>
        <v>0.16643082014841923</v>
      </c>
      <c r="M284" s="10">
        <f t="shared" si="34"/>
        <v>0.1973903293482803</v>
      </c>
      <c r="P284" s="8">
        <f t="shared" si="35"/>
        <v>-2.9377043225379715</v>
      </c>
    </row>
    <row r="285" spans="1:16" x14ac:dyDescent="0.2">
      <c r="A285" s="8">
        <v>141.5</v>
      </c>
      <c r="B285" s="8">
        <v>283</v>
      </c>
      <c r="D285">
        <v>2045.384496124</v>
      </c>
      <c r="E285">
        <v>427.77209302326003</v>
      </c>
      <c r="F285">
        <v>129.28692962104</v>
      </c>
      <c r="G285">
        <v>111.63959783449</v>
      </c>
      <c r="I285" s="9">
        <f t="shared" si="32"/>
        <v>316.13249518877001</v>
      </c>
      <c r="J285" s="9">
        <f t="shared" si="33"/>
        <v>1916.09756650296</v>
      </c>
      <c r="K285" s="9">
        <f t="shared" si="31"/>
        <v>316.13249518877001</v>
      </c>
      <c r="L285" s="10">
        <f t="shared" si="30"/>
        <v>0.16498768158541036</v>
      </c>
      <c r="M285" s="10">
        <f t="shared" si="34"/>
        <v>0.19605697627888796</v>
      </c>
      <c r="P285" s="8">
        <f t="shared" si="35"/>
        <v>-3.5933509810703734</v>
      </c>
    </row>
    <row r="286" spans="1:16" x14ac:dyDescent="0.2">
      <c r="A286" s="8">
        <v>142</v>
      </c>
      <c r="B286" s="8">
        <v>284</v>
      </c>
      <c r="D286">
        <v>2067.8279069767</v>
      </c>
      <c r="E286">
        <v>425.52790697673998</v>
      </c>
      <c r="F286">
        <v>128.94276875483001</v>
      </c>
      <c r="G286">
        <v>111.66976024749</v>
      </c>
      <c r="I286" s="9">
        <f t="shared" si="32"/>
        <v>313.85814672925</v>
      </c>
      <c r="J286" s="9">
        <f t="shared" si="33"/>
        <v>1938.88513822187</v>
      </c>
      <c r="K286" s="9">
        <f t="shared" si="31"/>
        <v>313.85814672925</v>
      </c>
      <c r="L286" s="10">
        <f t="shared" si="30"/>
        <v>0.16187557506221634</v>
      </c>
      <c r="M286" s="10">
        <f t="shared" si="34"/>
        <v>0.19305465524931048</v>
      </c>
      <c r="P286" s="8">
        <f t="shared" si="35"/>
        <v>-5.0696754416134073</v>
      </c>
    </row>
    <row r="287" spans="1:16" x14ac:dyDescent="0.2">
      <c r="A287" s="8">
        <v>142.5</v>
      </c>
      <c r="B287" s="8">
        <v>285</v>
      </c>
      <c r="D287">
        <v>2063.4488372093001</v>
      </c>
      <c r="E287">
        <v>427.23333333332999</v>
      </c>
      <c r="F287">
        <v>128.7339520495</v>
      </c>
      <c r="G287">
        <v>111.37354988398999</v>
      </c>
      <c r="I287" s="9">
        <f t="shared" si="32"/>
        <v>315.85978344934</v>
      </c>
      <c r="J287" s="9">
        <f t="shared" si="33"/>
        <v>1934.7148851598001</v>
      </c>
      <c r="K287" s="9">
        <f t="shared" si="31"/>
        <v>315.85978344934</v>
      </c>
      <c r="L287" s="10">
        <f t="shared" si="30"/>
        <v>0.16325908580749415</v>
      </c>
      <c r="M287" s="10">
        <f t="shared" si="34"/>
        <v>0.19454795148820481</v>
      </c>
      <c r="P287" s="8">
        <f t="shared" si="35"/>
        <v>-4.335380293760128</v>
      </c>
    </row>
    <row r="288" spans="1:16" x14ac:dyDescent="0.2">
      <c r="A288" s="8">
        <v>143</v>
      </c>
      <c r="B288" s="8">
        <v>286</v>
      </c>
      <c r="D288">
        <v>2088.4914728682002</v>
      </c>
      <c r="E288">
        <v>431.12868217054</v>
      </c>
      <c r="F288">
        <v>128.80201082753001</v>
      </c>
      <c r="G288">
        <v>111.2815158546</v>
      </c>
      <c r="I288" s="9">
        <f t="shared" si="32"/>
        <v>319.84716631594</v>
      </c>
      <c r="J288" s="9">
        <f t="shared" si="33"/>
        <v>1959.6894620406702</v>
      </c>
      <c r="K288" s="9">
        <f t="shared" si="31"/>
        <v>319.84716631594</v>
      </c>
      <c r="L288" s="10">
        <f t="shared" si="30"/>
        <v>0.16321318888089326</v>
      </c>
      <c r="M288" s="10">
        <f t="shared" si="34"/>
        <v>0.19461184005522045</v>
      </c>
      <c r="P288" s="8">
        <f t="shared" si="35"/>
        <v>-4.3039645146662089</v>
      </c>
    </row>
    <row r="289" spans="1:16" x14ac:dyDescent="0.2">
      <c r="A289" s="8">
        <v>143.5</v>
      </c>
      <c r="B289" s="8">
        <v>287</v>
      </c>
      <c r="D289">
        <v>2016.0503875969</v>
      </c>
      <c r="E289">
        <v>424.96124031007997</v>
      </c>
      <c r="F289">
        <v>129.1407579273</v>
      </c>
      <c r="G289">
        <v>111.80355761794</v>
      </c>
      <c r="I289" s="9">
        <f t="shared" si="32"/>
        <v>313.15768269213999</v>
      </c>
      <c r="J289" s="9">
        <f t="shared" si="33"/>
        <v>1886.9096296696</v>
      </c>
      <c r="K289" s="9">
        <f t="shared" si="31"/>
        <v>313.15768269213999</v>
      </c>
      <c r="L289" s="10">
        <f t="shared" si="30"/>
        <v>0.16596326488988997</v>
      </c>
      <c r="M289" s="10">
        <f t="shared" si="34"/>
        <v>0.1974717015578337</v>
      </c>
      <c r="P289" s="8">
        <f t="shared" si="35"/>
        <v>-2.8976913518434211</v>
      </c>
    </row>
    <row r="290" spans="1:16" x14ac:dyDescent="0.2">
      <c r="A290" s="8">
        <v>144</v>
      </c>
      <c r="B290" s="8">
        <v>288</v>
      </c>
      <c r="D290">
        <v>2042.1899224806</v>
      </c>
      <c r="E290">
        <v>425.58527131783001</v>
      </c>
      <c r="F290">
        <v>129.27687548336999</v>
      </c>
      <c r="G290">
        <v>111.6086620263</v>
      </c>
      <c r="I290" s="9">
        <f t="shared" si="32"/>
        <v>313.97660929153</v>
      </c>
      <c r="J290" s="9">
        <f t="shared" si="33"/>
        <v>1912.9130469972299</v>
      </c>
      <c r="K290" s="9">
        <f t="shared" si="31"/>
        <v>313.97660929153</v>
      </c>
      <c r="L290" s="10">
        <f t="shared" si="30"/>
        <v>0.16413532741824866</v>
      </c>
      <c r="M290" s="10">
        <f t="shared" si="34"/>
        <v>0.19575354957980889</v>
      </c>
      <c r="P290" s="8">
        <f t="shared" si="35"/>
        <v>-3.7425542985767959</v>
      </c>
    </row>
    <row r="291" spans="1:16" x14ac:dyDescent="0.2">
      <c r="A291" s="8">
        <v>144.5</v>
      </c>
      <c r="B291" s="8">
        <v>289</v>
      </c>
      <c r="D291">
        <v>2026.7162790698001</v>
      </c>
      <c r="E291">
        <v>423.46356589147001</v>
      </c>
      <c r="F291">
        <v>129.34725444701999</v>
      </c>
      <c r="G291">
        <v>111.94431554524</v>
      </c>
      <c r="I291" s="9">
        <f t="shared" si="32"/>
        <v>311.51925034623002</v>
      </c>
      <c r="J291" s="9">
        <f t="shared" si="33"/>
        <v>1897.36902462278</v>
      </c>
      <c r="K291" s="9">
        <f t="shared" si="31"/>
        <v>311.51925034623002</v>
      </c>
      <c r="L291" s="10">
        <f t="shared" si="30"/>
        <v>0.16418485086640636</v>
      </c>
      <c r="M291" s="10">
        <f t="shared" si="34"/>
        <v>0.19591285852158313</v>
      </c>
      <c r="P291" s="8">
        <f t="shared" si="35"/>
        <v>-3.6642176766074814</v>
      </c>
    </row>
    <row r="292" spans="1:16" x14ac:dyDescent="0.2">
      <c r="A292" s="8">
        <v>145</v>
      </c>
      <c r="B292" s="8">
        <v>290</v>
      </c>
      <c r="D292">
        <v>2020.4875968992001</v>
      </c>
      <c r="E292">
        <v>420.57674418605001</v>
      </c>
      <c r="F292">
        <v>128.38128383604001</v>
      </c>
      <c r="G292">
        <v>111.81283836039999</v>
      </c>
      <c r="I292" s="9">
        <f>E292-G292</f>
        <v>308.76390582565</v>
      </c>
      <c r="J292" s="9">
        <f>D292-F292</f>
        <v>1892.1063130631601</v>
      </c>
      <c r="K292" s="9">
        <f t="shared" si="31"/>
        <v>308.76390582565</v>
      </c>
      <c r="L292" s="10">
        <f t="shared" si="30"/>
        <v>0.16318528387857201</v>
      </c>
      <c r="M292" s="10">
        <f>L292+ABS($N$2)*A292</f>
        <v>0.19502307702736532</v>
      </c>
      <c r="O292" s="11"/>
      <c r="P292" s="8">
        <f>(M292-$O$2)/$O$2*100</f>
        <v>-4.1017478978966917</v>
      </c>
    </row>
    <row r="293" spans="1:16" x14ac:dyDescent="0.2">
      <c r="A293" s="8">
        <v>145.5</v>
      </c>
      <c r="B293" s="8">
        <v>291</v>
      </c>
      <c r="D293">
        <v>1952.6395348837</v>
      </c>
      <c r="E293">
        <v>409.78992248062002</v>
      </c>
      <c r="F293">
        <v>128.55839133796999</v>
      </c>
      <c r="G293">
        <v>111.64269141531</v>
      </c>
      <c r="I293" s="9">
        <f t="shared" ref="I293:I301" si="36">E293-G293</f>
        <v>298.14723106531005</v>
      </c>
      <c r="J293" s="9">
        <f t="shared" ref="J293:J301" si="37">D293-F293</f>
        <v>1824.0811435457299</v>
      </c>
      <c r="K293" s="9">
        <f t="shared" si="31"/>
        <v>298.14723106531005</v>
      </c>
      <c r="L293" s="10">
        <f t="shared" si="30"/>
        <v>0.16345064040613799</v>
      </c>
      <c r="M293" s="10">
        <f t="shared" ref="M293:M301" si="38">L293+ABS($N$2)*A293</f>
        <v>0.19539821904854782</v>
      </c>
      <c r="P293" s="8">
        <f t="shared" ref="P293:P301" si="39">(M293-$O$2)/$O$2*100</f>
        <v>-3.9172801688986332</v>
      </c>
    </row>
    <row r="294" spans="1:16" x14ac:dyDescent="0.2">
      <c r="A294" s="8">
        <v>146</v>
      </c>
      <c r="B294" s="8">
        <v>292</v>
      </c>
      <c r="D294">
        <v>1954.0968992247999</v>
      </c>
      <c r="E294">
        <v>417.44108527131999</v>
      </c>
      <c r="F294">
        <v>129.32018561485</v>
      </c>
      <c r="G294">
        <v>111.42691415313</v>
      </c>
      <c r="I294" s="9">
        <f t="shared" si="36"/>
        <v>306.01417111819001</v>
      </c>
      <c r="J294" s="9">
        <f t="shared" si="37"/>
        <v>1824.7767136099499</v>
      </c>
      <c r="K294" s="9">
        <f t="shared" si="31"/>
        <v>306.01417111819001</v>
      </c>
      <c r="L294" s="10">
        <f t="shared" si="30"/>
        <v>0.16769951569186958</v>
      </c>
      <c r="M294" s="10">
        <f t="shared" si="38"/>
        <v>0.19975687982789594</v>
      </c>
      <c r="N294" s="1"/>
      <c r="P294" s="8">
        <f t="shared" si="39"/>
        <v>-1.7740058619978891</v>
      </c>
    </row>
    <row r="295" spans="1:16" x14ac:dyDescent="0.2">
      <c r="A295" s="8">
        <v>146.5</v>
      </c>
      <c r="B295" s="8">
        <v>293</v>
      </c>
      <c r="D295">
        <v>1945.0547417115999</v>
      </c>
      <c r="E295">
        <v>415.13415574403001</v>
      </c>
      <c r="F295">
        <v>129.37819025522001</v>
      </c>
      <c r="G295">
        <v>111.56380510440999</v>
      </c>
      <c r="I295" s="9">
        <f t="shared" si="36"/>
        <v>303.57035063962002</v>
      </c>
      <c r="J295" s="9">
        <f t="shared" si="37"/>
        <v>1815.6765514563799</v>
      </c>
      <c r="K295" s="9">
        <f t="shared" si="31"/>
        <v>303.57035063962002</v>
      </c>
      <c r="L295" s="10">
        <f t="shared" si="30"/>
        <v>0.16719406900756742</v>
      </c>
      <c r="M295" s="10">
        <f t="shared" si="38"/>
        <v>0.19936121863721032</v>
      </c>
      <c r="P295" s="8">
        <f t="shared" si="39"/>
        <v>-1.9685634353360657</v>
      </c>
    </row>
    <row r="296" spans="1:16" x14ac:dyDescent="0.2">
      <c r="A296" s="8">
        <v>147</v>
      </c>
      <c r="B296" s="8">
        <v>294</v>
      </c>
      <c r="D296">
        <v>1967.9899768697001</v>
      </c>
      <c r="E296">
        <v>420.41634541248999</v>
      </c>
      <c r="F296">
        <v>129.08971384377</v>
      </c>
      <c r="G296">
        <v>111.84300077339999</v>
      </c>
      <c r="I296" s="9">
        <f t="shared" si="36"/>
        <v>308.57334463909001</v>
      </c>
      <c r="J296" s="9">
        <f t="shared" si="37"/>
        <v>1838.9002630259301</v>
      </c>
      <c r="K296" s="9">
        <f t="shared" si="31"/>
        <v>308.57334463909001</v>
      </c>
      <c r="L296" s="10">
        <f t="shared" si="30"/>
        <v>0.16780319783702094</v>
      </c>
      <c r="M296" s="10">
        <f t="shared" si="38"/>
        <v>0.20008013296028038</v>
      </c>
      <c r="P296" s="8">
        <f t="shared" si="39"/>
        <v>-1.615053337739198</v>
      </c>
    </row>
    <row r="297" spans="1:16" x14ac:dyDescent="0.2">
      <c r="A297" s="8">
        <v>147.5</v>
      </c>
      <c r="B297" s="8">
        <v>295</v>
      </c>
      <c r="D297">
        <v>1957.6468774094001</v>
      </c>
      <c r="E297">
        <v>416.10485736315002</v>
      </c>
      <c r="F297">
        <v>128.95978344933999</v>
      </c>
      <c r="G297">
        <v>111.98453209589999</v>
      </c>
      <c r="I297" s="9">
        <f t="shared" si="36"/>
        <v>304.12032526725</v>
      </c>
      <c r="J297" s="9">
        <f t="shared" si="37"/>
        <v>1828.6870939600601</v>
      </c>
      <c r="K297" s="9">
        <f t="shared" si="31"/>
        <v>304.12032526725</v>
      </c>
      <c r="L297" s="10">
        <f t="shared" si="30"/>
        <v>0.16630528332141892</v>
      </c>
      <c r="M297" s="10">
        <f t="shared" si="38"/>
        <v>0.19869200393829486</v>
      </c>
      <c r="P297" s="8">
        <f t="shared" si="39"/>
        <v>-2.297634850294934</v>
      </c>
    </row>
    <row r="298" spans="1:16" x14ac:dyDescent="0.2">
      <c r="A298" s="8">
        <v>148</v>
      </c>
      <c r="B298" s="8">
        <v>296</v>
      </c>
      <c r="D298">
        <v>1955.3477255204</v>
      </c>
      <c r="E298">
        <v>412.56823438704998</v>
      </c>
      <c r="F298">
        <v>128.76643464810999</v>
      </c>
      <c r="G298">
        <v>111.52049497293</v>
      </c>
      <c r="I298" s="9">
        <f t="shared" si="36"/>
        <v>301.04773941411997</v>
      </c>
      <c r="J298" s="9">
        <f t="shared" si="37"/>
        <v>1826.5812908722901</v>
      </c>
      <c r="K298" s="9">
        <f t="shared" si="31"/>
        <v>301.04773941411997</v>
      </c>
      <c r="L298" s="10">
        <f t="shared" si="30"/>
        <v>0.16481485982501967</v>
      </c>
      <c r="M298" s="10">
        <f t="shared" si="38"/>
        <v>0.19731136593551216</v>
      </c>
      <c r="P298" s="8">
        <f t="shared" si="39"/>
        <v>-2.976532821092627</v>
      </c>
    </row>
    <row r="299" spans="1:16" x14ac:dyDescent="0.2">
      <c r="A299" s="8">
        <v>148.5</v>
      </c>
      <c r="B299" s="8">
        <v>297</v>
      </c>
      <c r="D299">
        <v>1966.067077872</v>
      </c>
      <c r="E299">
        <v>418.18889745566997</v>
      </c>
      <c r="F299">
        <v>128.73936581593</v>
      </c>
      <c r="G299">
        <v>111.43464810518</v>
      </c>
      <c r="I299" s="9">
        <f t="shared" si="36"/>
        <v>306.75424935049</v>
      </c>
      <c r="J299" s="9">
        <f t="shared" si="37"/>
        <v>1837.3277120560701</v>
      </c>
      <c r="K299" s="9">
        <f t="shared" si="31"/>
        <v>306.75424935049</v>
      </c>
      <c r="L299" s="10">
        <f t="shared" si="30"/>
        <v>0.16695674230440646</v>
      </c>
      <c r="M299" s="10">
        <f t="shared" si="38"/>
        <v>0.19956303390851549</v>
      </c>
      <c r="P299" s="8">
        <f t="shared" si="39"/>
        <v>-1.8693252730597028</v>
      </c>
    </row>
    <row r="300" spans="1:16" x14ac:dyDescent="0.2">
      <c r="A300" s="8">
        <v>149</v>
      </c>
      <c r="B300" s="8">
        <v>298</v>
      </c>
      <c r="D300">
        <v>1936.531996916</v>
      </c>
      <c r="E300">
        <v>422.23515805706</v>
      </c>
      <c r="F300">
        <v>128.49574632637001</v>
      </c>
      <c r="G300">
        <v>111.61484918794</v>
      </c>
      <c r="I300" s="9">
        <f t="shared" si="36"/>
        <v>310.62030886911998</v>
      </c>
      <c r="J300" s="9">
        <f t="shared" si="37"/>
        <v>1808.0362505896301</v>
      </c>
      <c r="K300" s="9">
        <f t="shared" si="31"/>
        <v>310.62030886911998</v>
      </c>
      <c r="L300" s="10">
        <f t="shared" si="30"/>
        <v>0.17179982357534129</v>
      </c>
      <c r="M300" s="10">
        <f t="shared" si="38"/>
        <v>0.20451590067306682</v>
      </c>
      <c r="P300" s="8">
        <f t="shared" si="39"/>
        <v>0.56613658537680334</v>
      </c>
    </row>
    <row r="301" spans="1:16" x14ac:dyDescent="0.2">
      <c r="A301" s="8">
        <v>149.5</v>
      </c>
      <c r="B301" s="8">
        <v>299</v>
      </c>
      <c r="D301">
        <v>1935.4456437934</v>
      </c>
      <c r="E301">
        <v>421.35774865073</v>
      </c>
      <c r="F301">
        <v>128.82289249806999</v>
      </c>
      <c r="G301">
        <v>111.45088940449</v>
      </c>
      <c r="I301" s="9">
        <f t="shared" si="36"/>
        <v>309.90685924624</v>
      </c>
      <c r="J301" s="9">
        <f t="shared" si="37"/>
        <v>1806.6227512953301</v>
      </c>
      <c r="K301" s="9">
        <f t="shared" si="31"/>
        <v>309.90685924624</v>
      </c>
      <c r="L301" s="10">
        <f t="shared" si="30"/>
        <v>0.17153933161975291</v>
      </c>
      <c r="M301" s="10">
        <f t="shared" si="38"/>
        <v>0.20436519421109497</v>
      </c>
      <c r="P301" s="8">
        <f t="shared" si="39"/>
        <v>0.49203004114683729</v>
      </c>
    </row>
    <row r="302" spans="1:16" x14ac:dyDescent="0.2">
      <c r="A302" s="8">
        <v>150</v>
      </c>
      <c r="B302" s="8">
        <v>300</v>
      </c>
      <c r="D302">
        <v>1937.5558982267</v>
      </c>
      <c r="E302">
        <v>422.92829606785</v>
      </c>
      <c r="F302">
        <v>128.75870069606</v>
      </c>
      <c r="G302">
        <v>111.41221964424</v>
      </c>
      <c r="I302" s="9">
        <f>E302-G302</f>
        <v>311.51607642361</v>
      </c>
      <c r="J302" s="9">
        <f>D302-F302</f>
        <v>1808.79719753064</v>
      </c>
      <c r="K302" s="9">
        <f t="shared" si="31"/>
        <v>311.51607642361</v>
      </c>
      <c r="L302" s="10">
        <f t="shared" si="30"/>
        <v>0.17222277701938615</v>
      </c>
      <c r="M302" s="10">
        <f>L302+ABS($N$2)*A302</f>
        <v>0.20515842510434473</v>
      </c>
      <c r="O302" s="11"/>
      <c r="P302" s="8">
        <f>(M302-$O$2)/$O$2*100</f>
        <v>0.88208365600887706</v>
      </c>
    </row>
    <row r="303" spans="1:16" x14ac:dyDescent="0.2">
      <c r="A303" s="8">
        <v>150.5</v>
      </c>
      <c r="B303" s="8">
        <v>301</v>
      </c>
      <c r="D303">
        <v>1958.6044718580999</v>
      </c>
      <c r="E303">
        <v>430.06707787200997</v>
      </c>
      <c r="F303">
        <v>128.94972931167999</v>
      </c>
      <c r="G303">
        <v>111.34725444702001</v>
      </c>
      <c r="I303" s="9">
        <f t="shared" ref="I303:I309" si="40">E303-G303</f>
        <v>318.71982342498995</v>
      </c>
      <c r="J303" s="9">
        <f t="shared" ref="J303:J309" si="41">D303-F303</f>
        <v>1829.65474254642</v>
      </c>
      <c r="K303" s="9">
        <f t="shared" si="31"/>
        <v>318.71982342498995</v>
      </c>
      <c r="L303" s="10">
        <f t="shared" si="30"/>
        <v>0.17419670280602337</v>
      </c>
      <c r="M303" s="10">
        <f t="shared" ref="M303:M309" si="42">L303+ABS($N$2)*A303</f>
        <v>0.20724213638459849</v>
      </c>
      <c r="P303" s="8">
        <f t="shared" ref="P303:P309" si="43">(M303-$O$2)/$O$2*100</f>
        <v>1.9067022432426934</v>
      </c>
    </row>
    <row r="304" spans="1:16" x14ac:dyDescent="0.2">
      <c r="A304" s="8">
        <v>151</v>
      </c>
      <c r="B304" s="8">
        <v>302</v>
      </c>
      <c r="D304">
        <v>2018.2015325671</v>
      </c>
      <c r="E304">
        <v>439.31954022988998</v>
      </c>
      <c r="F304">
        <v>128.88631090486999</v>
      </c>
      <c r="G304">
        <v>111.47641144625</v>
      </c>
      <c r="I304" s="9">
        <f t="shared" si="40"/>
        <v>327.84312878364</v>
      </c>
      <c r="J304" s="9">
        <f t="shared" si="41"/>
        <v>1889.31522166223</v>
      </c>
      <c r="K304" s="9">
        <f t="shared" si="31"/>
        <v>327.84312878364</v>
      </c>
      <c r="L304" s="10">
        <f t="shared" si="30"/>
        <v>0.17352484382950231</v>
      </c>
      <c r="M304" s="10">
        <f t="shared" si="42"/>
        <v>0.20668006290169397</v>
      </c>
      <c r="N304" s="1"/>
      <c r="P304" s="8">
        <f t="shared" si="43"/>
        <v>1.6303151336499078</v>
      </c>
    </row>
    <row r="305" spans="1:16" x14ac:dyDescent="0.2">
      <c r="A305" s="8">
        <v>151.5</v>
      </c>
      <c r="B305" s="8">
        <v>303</v>
      </c>
      <c r="D305">
        <v>2042.337164751</v>
      </c>
      <c r="E305">
        <v>443.24827586206999</v>
      </c>
      <c r="F305">
        <v>128.68522815159</v>
      </c>
      <c r="G305">
        <v>111.47409126063</v>
      </c>
      <c r="I305" s="9">
        <f t="shared" si="40"/>
        <v>331.77418460143997</v>
      </c>
      <c r="J305" s="9">
        <f t="shared" si="41"/>
        <v>1913.65193659941</v>
      </c>
      <c r="K305" s="9">
        <f t="shared" si="31"/>
        <v>331.77418460143997</v>
      </c>
      <c r="L305" s="10">
        <f t="shared" si="30"/>
        <v>0.17337227228009289</v>
      </c>
      <c r="M305" s="10">
        <f t="shared" si="42"/>
        <v>0.20663727684590105</v>
      </c>
      <c r="P305" s="8">
        <f t="shared" si="43"/>
        <v>1.6092760441871368</v>
      </c>
    </row>
    <row r="306" spans="1:16" x14ac:dyDescent="0.2">
      <c r="A306" s="8">
        <v>152</v>
      </c>
      <c r="B306" s="8">
        <v>304</v>
      </c>
      <c r="D306">
        <v>2031.7800766283999</v>
      </c>
      <c r="E306">
        <v>433.93563218391</v>
      </c>
      <c r="F306">
        <v>128.75096674400999</v>
      </c>
      <c r="G306">
        <v>111.07424593968</v>
      </c>
      <c r="I306" s="9">
        <f t="shared" si="40"/>
        <v>322.86138624423</v>
      </c>
      <c r="J306" s="9">
        <f t="shared" si="41"/>
        <v>1903.02910988439</v>
      </c>
      <c r="K306" s="9">
        <f t="shared" si="31"/>
        <v>322.86138624423</v>
      </c>
      <c r="L306" s="10">
        <f t="shared" si="30"/>
        <v>0.16965656729436157</v>
      </c>
      <c r="M306" s="10">
        <f t="shared" si="42"/>
        <v>0.20303135735378627</v>
      </c>
      <c r="P306" s="8">
        <f t="shared" si="43"/>
        <v>-0.16385450931238107</v>
      </c>
    </row>
    <row r="307" spans="1:16" x14ac:dyDescent="0.2">
      <c r="A307" s="8">
        <v>152.5</v>
      </c>
      <c r="B307" s="8">
        <v>305</v>
      </c>
      <c r="D307">
        <v>2082.7823754789001</v>
      </c>
      <c r="E307">
        <v>439.39233716475002</v>
      </c>
      <c r="F307">
        <v>128.44702242846</v>
      </c>
      <c r="G307">
        <v>111.55143078112999</v>
      </c>
      <c r="I307" s="9">
        <f t="shared" si="40"/>
        <v>327.84090638361999</v>
      </c>
      <c r="J307" s="9">
        <f t="shared" si="41"/>
        <v>1954.3353530504401</v>
      </c>
      <c r="K307" s="9">
        <f t="shared" si="31"/>
        <v>327.84090638361999</v>
      </c>
      <c r="L307" s="10">
        <f t="shared" si="30"/>
        <v>0.16775058890067504</v>
      </c>
      <c r="M307" s="10">
        <f t="shared" si="42"/>
        <v>0.20123516445371628</v>
      </c>
      <c r="P307" s="8">
        <f t="shared" si="43"/>
        <v>-1.0470923403448087</v>
      </c>
    </row>
    <row r="308" spans="1:16" x14ac:dyDescent="0.2">
      <c r="A308" s="8">
        <v>153</v>
      </c>
      <c r="B308" s="8">
        <v>306</v>
      </c>
      <c r="D308">
        <v>2025.2314176245</v>
      </c>
      <c r="E308">
        <v>425.95632183907998</v>
      </c>
      <c r="F308">
        <v>128.76179427688001</v>
      </c>
      <c r="G308">
        <v>111.24052590874</v>
      </c>
      <c r="I308" s="9">
        <f t="shared" si="40"/>
        <v>314.71579593033999</v>
      </c>
      <c r="J308" s="9">
        <f t="shared" si="41"/>
        <v>1896.46962334762</v>
      </c>
      <c r="K308" s="9">
        <f t="shared" si="31"/>
        <v>314.71579593033999</v>
      </c>
      <c r="L308" s="10">
        <f t="shared" si="30"/>
        <v>0.16594823985359089</v>
      </c>
      <c r="M308" s="10">
        <f t="shared" si="42"/>
        <v>0.19954260090024867</v>
      </c>
      <c r="P308" s="8">
        <f t="shared" si="43"/>
        <v>-1.8793727495319397</v>
      </c>
    </row>
    <row r="309" spans="1:16" x14ac:dyDescent="0.2">
      <c r="A309" s="8">
        <v>153.5</v>
      </c>
      <c r="B309" s="8">
        <v>307</v>
      </c>
      <c r="D309">
        <v>1923.3340996168999</v>
      </c>
      <c r="E309">
        <v>411.40229885058</v>
      </c>
      <c r="F309">
        <v>129.03789636504001</v>
      </c>
      <c r="G309">
        <v>111.58081979892</v>
      </c>
      <c r="I309" s="9">
        <f t="shared" si="40"/>
        <v>299.82147905165999</v>
      </c>
      <c r="J309" s="9">
        <f t="shared" si="41"/>
        <v>1794.2962032518599</v>
      </c>
      <c r="K309" s="9">
        <f t="shared" si="31"/>
        <v>299.82147905165999</v>
      </c>
      <c r="L309" s="10">
        <f t="shared" si="30"/>
        <v>0.16709698126111175</v>
      </c>
      <c r="M309" s="10">
        <f t="shared" si="42"/>
        <v>0.20080112780138604</v>
      </c>
      <c r="P309" s="8">
        <f t="shared" si="43"/>
        <v>-1.2605201917619937</v>
      </c>
    </row>
    <row r="310" spans="1:16" x14ac:dyDescent="0.2">
      <c r="A310" s="8">
        <v>154</v>
      </c>
      <c r="B310" s="8">
        <v>308</v>
      </c>
      <c r="D310">
        <v>1990.9969040248</v>
      </c>
      <c r="E310">
        <v>423.74148606811002</v>
      </c>
      <c r="F310">
        <v>128.75328692962</v>
      </c>
      <c r="G310">
        <v>111.56071152359</v>
      </c>
      <c r="I310" s="9">
        <f>E310-G310</f>
        <v>312.18077454452003</v>
      </c>
      <c r="J310" s="9">
        <f>D310-F310</f>
        <v>1862.2436170951801</v>
      </c>
      <c r="K310" s="9">
        <f t="shared" si="31"/>
        <v>312.18077454452003</v>
      </c>
      <c r="L310" s="10">
        <f t="shared" si="30"/>
        <v>0.16763691478318776</v>
      </c>
      <c r="M310" s="10">
        <f>L310+ABS($N$2)*A310</f>
        <v>0.20145084681707859</v>
      </c>
      <c r="O310" s="11"/>
      <c r="P310" s="8">
        <f>(M310-$O$2)/$O$2*100</f>
        <v>-0.9410353445730022</v>
      </c>
    </row>
    <row r="311" spans="1:16" x14ac:dyDescent="0.2">
      <c r="A311" s="8">
        <v>154.5</v>
      </c>
      <c r="B311" s="8">
        <v>309</v>
      </c>
      <c r="D311">
        <v>2018.9388544891999</v>
      </c>
      <c r="E311">
        <v>433.93653250774003</v>
      </c>
      <c r="F311">
        <v>129.02165506573999</v>
      </c>
      <c r="G311">
        <v>111.33642691415</v>
      </c>
      <c r="I311" s="9">
        <f t="shared" ref="I311:I319" si="44">E311-G311</f>
        <v>322.60010559359</v>
      </c>
      <c r="J311" s="9">
        <f t="shared" ref="J311:J319" si="45">D311-F311</f>
        <v>1889.9171994234598</v>
      </c>
      <c r="K311" s="9">
        <f t="shared" si="31"/>
        <v>322.60010559359</v>
      </c>
      <c r="L311" s="10">
        <f t="shared" si="30"/>
        <v>0.17069536469216892</v>
      </c>
      <c r="M311" s="10">
        <f t="shared" ref="M311:M319" si="46">L311+ABS($N$2)*A311</f>
        <v>0.20461908221967628</v>
      </c>
      <c r="P311" s="8">
        <f t="shared" ref="P311:P319" si="47">(M311-$O$2)/$O$2*100</f>
        <v>0.61687381155465959</v>
      </c>
    </row>
    <row r="312" spans="1:16" x14ac:dyDescent="0.2">
      <c r="A312" s="8">
        <v>155</v>
      </c>
      <c r="B312" s="8">
        <v>310</v>
      </c>
      <c r="D312">
        <v>2038.8831269350001</v>
      </c>
      <c r="E312">
        <v>428.64164086686998</v>
      </c>
      <c r="F312">
        <v>128.42382057231001</v>
      </c>
      <c r="G312">
        <v>111.12993039443</v>
      </c>
      <c r="I312" s="9">
        <f t="shared" si="44"/>
        <v>317.51171047243997</v>
      </c>
      <c r="J312" s="9">
        <f t="shared" si="45"/>
        <v>1910.4593063626901</v>
      </c>
      <c r="K312" s="9">
        <f t="shared" si="31"/>
        <v>317.51171047243997</v>
      </c>
      <c r="L312" s="10">
        <f t="shared" si="30"/>
        <v>0.16619653159582251</v>
      </c>
      <c r="M312" s="10">
        <f t="shared" si="46"/>
        <v>0.20023003461694638</v>
      </c>
      <c r="N312" s="1"/>
      <c r="P312" s="8">
        <f t="shared" si="47"/>
        <v>-1.5413425385835546</v>
      </c>
    </row>
    <row r="313" spans="1:16" x14ac:dyDescent="0.2">
      <c r="A313" s="8">
        <v>155.5</v>
      </c>
      <c r="B313" s="8">
        <v>311</v>
      </c>
      <c r="D313">
        <v>1983.5634674923001</v>
      </c>
      <c r="E313">
        <v>421.79179566564</v>
      </c>
      <c r="F313">
        <v>128.79195668987001</v>
      </c>
      <c r="G313">
        <v>111.41763341067001</v>
      </c>
      <c r="I313" s="9">
        <f t="shared" si="44"/>
        <v>310.37416225496997</v>
      </c>
      <c r="J313" s="9">
        <f t="shared" si="45"/>
        <v>1854.7715108024302</v>
      </c>
      <c r="K313" s="9">
        <f t="shared" si="31"/>
        <v>310.37416225496997</v>
      </c>
      <c r="L313" s="10">
        <f t="shared" si="30"/>
        <v>0.16733821953125252</v>
      </c>
      <c r="M313" s="10">
        <f t="shared" si="46"/>
        <v>0.20148150804599294</v>
      </c>
      <c r="P313" s="8">
        <f t="shared" si="47"/>
        <v>-0.92595836852992719</v>
      </c>
    </row>
    <row r="314" spans="1:16" x14ac:dyDescent="0.2">
      <c r="A314" s="8">
        <v>156</v>
      </c>
      <c r="B314" s="8">
        <v>312</v>
      </c>
      <c r="D314">
        <v>1992.4945820432999</v>
      </c>
      <c r="E314">
        <v>421.85758513932001</v>
      </c>
      <c r="F314">
        <v>128.66047950503</v>
      </c>
      <c r="G314">
        <v>111.60247486466</v>
      </c>
      <c r="I314" s="9">
        <f t="shared" si="44"/>
        <v>310.25511027466001</v>
      </c>
      <c r="J314" s="9">
        <f t="shared" si="45"/>
        <v>1863.8341025382699</v>
      </c>
      <c r="K314" s="9">
        <f t="shared" si="31"/>
        <v>310.25511027466001</v>
      </c>
      <c r="L314" s="10">
        <f t="shared" si="30"/>
        <v>0.16646068974279302</v>
      </c>
      <c r="M314" s="10">
        <f t="shared" si="46"/>
        <v>0.20071376375114997</v>
      </c>
      <c r="P314" s="8">
        <f t="shared" si="47"/>
        <v>-1.3034795165860196</v>
      </c>
    </row>
    <row r="315" spans="1:16" x14ac:dyDescent="0.2">
      <c r="A315" s="8">
        <v>156.5</v>
      </c>
      <c r="B315" s="8">
        <v>313</v>
      </c>
      <c r="D315">
        <v>1992.3513931888999</v>
      </c>
      <c r="E315">
        <v>422.24226006191998</v>
      </c>
      <c r="F315">
        <v>128.53596287702999</v>
      </c>
      <c r="G315">
        <v>111.218870843</v>
      </c>
      <c r="I315" s="9">
        <f t="shared" si="44"/>
        <v>311.02338921891999</v>
      </c>
      <c r="J315" s="9">
        <f t="shared" si="45"/>
        <v>1863.8154303118699</v>
      </c>
      <c r="K315" s="9">
        <f t="shared" si="31"/>
        <v>311.02338921891999</v>
      </c>
      <c r="L315" s="10">
        <f t="shared" si="30"/>
        <v>0.16687456502432585</v>
      </c>
      <c r="M315" s="10">
        <f t="shared" si="46"/>
        <v>0.20123742452629931</v>
      </c>
      <c r="P315" s="8">
        <f t="shared" si="47"/>
        <v>-1.0459810000170908</v>
      </c>
    </row>
    <row r="316" spans="1:16" x14ac:dyDescent="0.2">
      <c r="A316" s="8">
        <v>157</v>
      </c>
      <c r="B316" s="8">
        <v>314</v>
      </c>
      <c r="D316">
        <v>1991.9380804954001</v>
      </c>
      <c r="E316">
        <v>429.74380804954001</v>
      </c>
      <c r="F316">
        <v>128.30703789636999</v>
      </c>
      <c r="G316">
        <v>111.24284609435</v>
      </c>
      <c r="I316" s="9">
        <f t="shared" si="44"/>
        <v>318.50096195519001</v>
      </c>
      <c r="J316" s="9">
        <f t="shared" si="45"/>
        <v>1863.63104259903</v>
      </c>
      <c r="K316" s="9">
        <f t="shared" si="31"/>
        <v>318.50096195519001</v>
      </c>
      <c r="L316" s="10">
        <f t="shared" si="30"/>
        <v>0.1709034431574003</v>
      </c>
      <c r="M316" s="10">
        <f t="shared" si="46"/>
        <v>0.2053760881529903</v>
      </c>
      <c r="P316" s="8">
        <f t="shared" si="47"/>
        <v>0.98911460962979647</v>
      </c>
    </row>
    <row r="317" spans="1:16" x14ac:dyDescent="0.2">
      <c r="A317" s="8">
        <v>157.5</v>
      </c>
      <c r="B317" s="8">
        <v>315</v>
      </c>
      <c r="D317">
        <v>1972.1300309598</v>
      </c>
      <c r="E317">
        <v>423.07894736842002</v>
      </c>
      <c r="F317">
        <v>128.36426914153</v>
      </c>
      <c r="G317">
        <v>111.47099767981</v>
      </c>
      <c r="I317" s="9">
        <f t="shared" si="44"/>
        <v>311.60794968861001</v>
      </c>
      <c r="J317" s="9">
        <f t="shared" si="45"/>
        <v>1843.76576181827</v>
      </c>
      <c r="K317" s="9">
        <f t="shared" si="31"/>
        <v>311.60794968861001</v>
      </c>
      <c r="L317" s="10">
        <f t="shared" si="30"/>
        <v>0.16900625672824676</v>
      </c>
      <c r="M317" s="10">
        <f t="shared" si="46"/>
        <v>0.2035886872174533</v>
      </c>
      <c r="P317" s="8">
        <f t="shared" si="47"/>
        <v>0.11020003123038435</v>
      </c>
    </row>
    <row r="318" spans="1:16" x14ac:dyDescent="0.2">
      <c r="A318" s="8">
        <v>158</v>
      </c>
      <c r="B318" s="8">
        <v>316</v>
      </c>
      <c r="D318">
        <v>2016.5534055728001</v>
      </c>
      <c r="E318">
        <v>431.55959752322002</v>
      </c>
      <c r="F318">
        <v>128.54911059551</v>
      </c>
      <c r="G318">
        <v>111.54524361948999</v>
      </c>
      <c r="I318" s="9">
        <f t="shared" si="44"/>
        <v>320.01435390373001</v>
      </c>
      <c r="J318" s="9">
        <f t="shared" si="45"/>
        <v>1888.0042949772901</v>
      </c>
      <c r="K318" s="9">
        <f t="shared" si="31"/>
        <v>320.01435390373001</v>
      </c>
      <c r="L318" s="10">
        <f t="shared" si="30"/>
        <v>0.16949874253733058</v>
      </c>
      <c r="M318" s="10">
        <f t="shared" si="46"/>
        <v>0.20419095852015362</v>
      </c>
      <c r="P318" s="8">
        <f t="shared" si="47"/>
        <v>0.40635352291236393</v>
      </c>
    </row>
    <row r="319" spans="1:16" x14ac:dyDescent="0.2">
      <c r="A319" s="8">
        <v>158.5</v>
      </c>
      <c r="B319" s="8">
        <v>317</v>
      </c>
      <c r="D319">
        <v>1986.4527863777</v>
      </c>
      <c r="E319">
        <v>427.5193498452</v>
      </c>
      <c r="F319">
        <v>128.81593194121999</v>
      </c>
      <c r="G319">
        <v>111.44470224285</v>
      </c>
      <c r="I319" s="9">
        <f t="shared" si="44"/>
        <v>316.07464760235001</v>
      </c>
      <c r="J319" s="9">
        <f t="shared" si="45"/>
        <v>1857.63685443648</v>
      </c>
      <c r="K319" s="9">
        <f t="shared" si="31"/>
        <v>316.07464760235001</v>
      </c>
      <c r="L319" s="10">
        <f t="shared" si="30"/>
        <v>0.17014878168867523</v>
      </c>
      <c r="M319" s="10">
        <f t="shared" si="46"/>
        <v>0.20495078316511481</v>
      </c>
      <c r="P319" s="8">
        <f t="shared" si="47"/>
        <v>0.77998035962592227</v>
      </c>
    </row>
    <row r="320" spans="1:16" x14ac:dyDescent="0.2">
      <c r="A320" s="8">
        <v>159</v>
      </c>
      <c r="B320" s="8">
        <v>318</v>
      </c>
      <c r="D320">
        <v>2004.7407120743001</v>
      </c>
      <c r="E320">
        <v>427.24767801858002</v>
      </c>
      <c r="F320">
        <v>128.59628770302001</v>
      </c>
      <c r="G320">
        <v>111.5460170147</v>
      </c>
      <c r="I320" s="9">
        <f>E320-G320</f>
        <v>315.70166100388002</v>
      </c>
      <c r="J320" s="9">
        <f>D320-F320</f>
        <v>1876.1444243712801</v>
      </c>
      <c r="K320" s="9">
        <f t="shared" si="31"/>
        <v>315.70166100388002</v>
      </c>
      <c r="L320" s="10">
        <f t="shared" si="30"/>
        <v>0.16827151305778373</v>
      </c>
      <c r="M320" s="10">
        <f>L320+ABS($N$2)*A320</f>
        <v>0.20318330002783985</v>
      </c>
      <c r="O320" s="11"/>
      <c r="P320" s="8">
        <f>(M320-$O$2)/$O$2*100</f>
        <v>-8.914008533981066E-2</v>
      </c>
    </row>
    <row r="321" spans="1:16" x14ac:dyDescent="0.2">
      <c r="A321" s="8">
        <v>159.5</v>
      </c>
      <c r="B321" s="8">
        <v>319</v>
      </c>
      <c r="D321">
        <v>1982.3444272446</v>
      </c>
      <c r="E321">
        <v>428.71517027864002</v>
      </c>
      <c r="F321">
        <v>129.00928074245999</v>
      </c>
      <c r="G321">
        <v>111.38901778809</v>
      </c>
      <c r="I321" s="9">
        <f t="shared" ref="I321" si="48">E321-G321</f>
        <v>317.32615249055004</v>
      </c>
      <c r="J321" s="9">
        <f t="shared" ref="J321" si="49">D321-F321</f>
        <v>1853.3351465021399</v>
      </c>
      <c r="K321" s="9">
        <f t="shared" si="31"/>
        <v>317.32615249055004</v>
      </c>
      <c r="L321" s="10">
        <f t="shared" si="30"/>
        <v>0.17121897951886905</v>
      </c>
      <c r="M321" s="10">
        <f t="shared" ref="M321" si="50">L321+ABS($N$2)*A321</f>
        <v>0.20624055198254171</v>
      </c>
      <c r="P321" s="8">
        <f t="shared" ref="P321" si="51">(M321-$O$2)/$O$2*100</f>
        <v>1.4141954335152604</v>
      </c>
    </row>
    <row r="322" spans="1:16" x14ac:dyDescent="0.2">
      <c r="A322" s="8">
        <v>160</v>
      </c>
      <c r="D322">
        <v>2002.3815789473999</v>
      </c>
      <c r="E322">
        <v>427.50154798761997</v>
      </c>
      <c r="F322">
        <v>128.79505027069001</v>
      </c>
      <c r="G322">
        <v>111.35421500387</v>
      </c>
      <c r="I322" s="9">
        <f t="shared" ref="I322" si="52">E322-G322</f>
        <v>316.14733298374995</v>
      </c>
      <c r="J322" s="9">
        <f t="shared" ref="J322" si="53">D322-F322</f>
        <v>1873.5865286767098</v>
      </c>
      <c r="K322" s="9">
        <f t="shared" ref="K322" si="54">I322*1</f>
        <v>316.14733298374995</v>
      </c>
      <c r="L322" s="10">
        <f t="shared" ref="L322" si="55">K322/J322</f>
        <v>0.16873911513819476</v>
      </c>
      <c r="M322" s="10">
        <f t="shared" ref="M322" si="56">L322+ABS($N$2)*A322</f>
        <v>0.20387047309548392</v>
      </c>
      <c r="P322" s="8">
        <f t="shared" ref="P322" si="57">(M322-$O$2)/$O$2*100</f>
        <v>0.24876195724492373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FFF5-28DE-444B-BB66-E226CACA11C0}">
  <dimension ref="A1:Y798"/>
  <sheetViews>
    <sheetView topLeftCell="F1" zoomScale="75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3148.9474522292999</v>
      </c>
      <c r="E2">
        <v>1245.4020700637</v>
      </c>
      <c r="F2">
        <v>148.86698717949</v>
      </c>
      <c r="G2">
        <v>122.38221153846</v>
      </c>
      <c r="H2" s="4"/>
      <c r="I2" s="5">
        <f>E2-G2</f>
        <v>1123.0198585252399</v>
      </c>
      <c r="J2" s="5">
        <f>D2-F2</f>
        <v>3000.0804650498098</v>
      </c>
      <c r="K2" s="9">
        <f>I2*1</f>
        <v>1123.0198585252399</v>
      </c>
      <c r="L2" s="6">
        <f t="shared" ref="L2:L65" si="0">K2/J2</f>
        <v>0.37432991268339016</v>
      </c>
      <c r="M2" s="6">
        <f>L2+ABS($N$2)*A2</f>
        <v>0.37432991268339016</v>
      </c>
      <c r="N2" s="4">
        <f>LINEST(V64:V103,U64:U103)</f>
        <v>-5.6798983916017199E-4</v>
      </c>
      <c r="O2" s="7">
        <f>AVERAGE(M62:M81)</f>
        <v>0.28183402067146252</v>
      </c>
      <c r="P2" s="4">
        <f>(M2-$O$2)/$O$2*100</f>
        <v>32.819278450329911</v>
      </c>
    </row>
    <row r="3" spans="1:16" x14ac:dyDescent="0.2">
      <c r="A3" s="8">
        <v>0.5</v>
      </c>
      <c r="B3" s="8">
        <v>1</v>
      </c>
      <c r="D3">
        <v>3130.4434713375999</v>
      </c>
      <c r="E3">
        <v>1219.1162420382</v>
      </c>
      <c r="F3">
        <v>149.40705128204999</v>
      </c>
      <c r="G3">
        <v>122.30929487180001</v>
      </c>
      <c r="I3" s="9">
        <f t="shared" ref="I3:I66" si="1">E3-G3</f>
        <v>1096.8069471664001</v>
      </c>
      <c r="J3" s="9">
        <f t="shared" ref="J3:J66" si="2">D3-F3</f>
        <v>2981.03642005555</v>
      </c>
      <c r="K3" s="9">
        <f t="shared" ref="K3:K66" si="3">I3*1</f>
        <v>1096.8069471664001</v>
      </c>
      <c r="L3" s="10">
        <f t="shared" si="0"/>
        <v>0.36792806011607254</v>
      </c>
      <c r="M3" s="10">
        <f t="shared" ref="M3:M66" si="4">L3+ABS($N$2)*A3</f>
        <v>0.36821205503565263</v>
      </c>
      <c r="P3" s="8">
        <f t="shared" ref="P3:P66" si="5">(M3-$O$2)/$O$2*100</f>
        <v>30.648547736854692</v>
      </c>
    </row>
    <row r="4" spans="1:16" ht="16" x14ac:dyDescent="0.2">
      <c r="A4" s="8">
        <v>1</v>
      </c>
      <c r="B4" s="8">
        <v>2</v>
      </c>
      <c r="D4">
        <v>3069.4020700637002</v>
      </c>
      <c r="E4">
        <v>1181.6106687898</v>
      </c>
      <c r="F4">
        <v>148.68429487180001</v>
      </c>
      <c r="G4">
        <v>122.39743589744</v>
      </c>
      <c r="I4" s="9">
        <f t="shared" si="1"/>
        <v>1059.2132328923599</v>
      </c>
      <c r="J4" s="9">
        <f t="shared" si="2"/>
        <v>2920.7177751919003</v>
      </c>
      <c r="K4" s="9">
        <f t="shared" si="3"/>
        <v>1059.2132328923599</v>
      </c>
      <c r="L4" s="10">
        <f t="shared" si="0"/>
        <v>0.36265511234571995</v>
      </c>
      <c r="M4" s="10">
        <f t="shared" si="4"/>
        <v>0.36322310218488013</v>
      </c>
      <c r="N4" s="1" t="s">
        <v>7</v>
      </c>
      <c r="P4" s="8">
        <f t="shared" si="5"/>
        <v>28.878373632647385</v>
      </c>
    </row>
    <row r="5" spans="1:16" x14ac:dyDescent="0.2">
      <c r="A5" s="8">
        <v>1.5</v>
      </c>
      <c r="B5" s="8">
        <v>3</v>
      </c>
      <c r="D5">
        <v>3029.9824840763999</v>
      </c>
      <c r="E5">
        <v>1176.4856687898</v>
      </c>
      <c r="F5">
        <v>148.91105769231001</v>
      </c>
      <c r="G5">
        <v>122.26282051282</v>
      </c>
      <c r="I5" s="9">
        <f t="shared" si="1"/>
        <v>1054.2228482769799</v>
      </c>
      <c r="J5" s="9">
        <f t="shared" si="2"/>
        <v>2881.07142638409</v>
      </c>
      <c r="K5" s="9">
        <f t="shared" si="3"/>
        <v>1054.2228482769799</v>
      </c>
      <c r="L5" s="10">
        <f t="shared" si="0"/>
        <v>0.3659134718503283</v>
      </c>
      <c r="M5" s="10">
        <f t="shared" si="4"/>
        <v>0.36676545660906856</v>
      </c>
      <c r="N5" s="8">
        <f>RSQ(V64:V83,U64:U83)</f>
        <v>0.16575783804013239</v>
      </c>
      <c r="P5" s="8">
        <f t="shared" si="5"/>
        <v>30.135267465318428</v>
      </c>
    </row>
    <row r="6" spans="1:16" x14ac:dyDescent="0.2">
      <c r="A6" s="8">
        <v>2</v>
      </c>
      <c r="B6" s="8">
        <v>4</v>
      </c>
      <c r="D6">
        <v>2593.2953821656001</v>
      </c>
      <c r="E6">
        <v>1047.2181528661999</v>
      </c>
      <c r="F6">
        <v>149.15384615385</v>
      </c>
      <c r="G6">
        <v>122.39102564103</v>
      </c>
      <c r="I6" s="9">
        <f t="shared" si="1"/>
        <v>924.82712722516999</v>
      </c>
      <c r="J6" s="9">
        <f t="shared" si="2"/>
        <v>2444.1415360117503</v>
      </c>
      <c r="K6" s="9">
        <f t="shared" si="3"/>
        <v>924.82712722516999</v>
      </c>
      <c r="L6" s="10">
        <f t="shared" si="0"/>
        <v>0.37838525862715172</v>
      </c>
      <c r="M6" s="10">
        <f t="shared" si="4"/>
        <v>0.37952123830547208</v>
      </c>
      <c r="P6" s="8">
        <f t="shared" si="5"/>
        <v>34.661258211933465</v>
      </c>
    </row>
    <row r="7" spans="1:16" x14ac:dyDescent="0.2">
      <c r="A7" s="8">
        <v>2.5</v>
      </c>
      <c r="B7" s="8">
        <v>5</v>
      </c>
      <c r="D7">
        <v>3150</v>
      </c>
      <c r="E7">
        <v>1247.6674679487001</v>
      </c>
      <c r="F7">
        <v>148.60016025640999</v>
      </c>
      <c r="G7">
        <v>122.42548076923001</v>
      </c>
      <c r="I7" s="9">
        <f t="shared" si="1"/>
        <v>1125.24198717947</v>
      </c>
      <c r="J7" s="9">
        <f t="shared" si="2"/>
        <v>3001.3998397435898</v>
      </c>
      <c r="K7" s="9">
        <f t="shared" si="3"/>
        <v>1125.24198717947</v>
      </c>
      <c r="L7" s="10">
        <f t="shared" si="0"/>
        <v>0.37490572641451186</v>
      </c>
      <c r="M7" s="10">
        <f t="shared" si="4"/>
        <v>0.37632570101241231</v>
      </c>
      <c r="P7" s="8">
        <f t="shared" si="5"/>
        <v>33.527421606456784</v>
      </c>
    </row>
    <row r="8" spans="1:16" x14ac:dyDescent="0.2">
      <c r="A8" s="8">
        <v>3</v>
      </c>
      <c r="B8" s="8">
        <v>6</v>
      </c>
      <c r="D8">
        <v>3193.1770833332998</v>
      </c>
      <c r="E8">
        <v>1296.7355769231001</v>
      </c>
      <c r="F8">
        <v>149.40064102564</v>
      </c>
      <c r="G8">
        <v>122.49759615385</v>
      </c>
      <c r="I8" s="9">
        <f t="shared" si="1"/>
        <v>1174.23798076925</v>
      </c>
      <c r="J8" s="9">
        <f t="shared" si="2"/>
        <v>3043.7764423076596</v>
      </c>
      <c r="K8" s="9">
        <f t="shared" si="3"/>
        <v>1174.23798076925</v>
      </c>
      <c r="L8" s="10">
        <f t="shared" si="0"/>
        <v>0.38578325413380016</v>
      </c>
      <c r="M8" s="10">
        <f t="shared" si="4"/>
        <v>0.38748722365128069</v>
      </c>
      <c r="P8" s="8">
        <f t="shared" si="5"/>
        <v>37.487739318376846</v>
      </c>
    </row>
    <row r="9" spans="1:16" x14ac:dyDescent="0.2">
      <c r="A9" s="8">
        <v>3.5</v>
      </c>
      <c r="B9" s="8">
        <v>7</v>
      </c>
      <c r="D9">
        <v>2855.3910256409999</v>
      </c>
      <c r="E9">
        <v>1233.6089743590001</v>
      </c>
      <c r="F9">
        <v>148.75721153846001</v>
      </c>
      <c r="G9">
        <v>122.85016025641001</v>
      </c>
      <c r="I9" s="9">
        <f t="shared" si="1"/>
        <v>1110.7588141025901</v>
      </c>
      <c r="J9" s="9">
        <f t="shared" si="2"/>
        <v>2706.6338141025399</v>
      </c>
      <c r="K9" s="9">
        <f t="shared" si="3"/>
        <v>1110.7588141025901</v>
      </c>
      <c r="L9" s="10">
        <f t="shared" si="0"/>
        <v>0.41038385329967264</v>
      </c>
      <c r="M9" s="10">
        <f t="shared" si="4"/>
        <v>0.41237181773673326</v>
      </c>
      <c r="P9" s="8">
        <f t="shared" si="5"/>
        <v>46.317260334386781</v>
      </c>
    </row>
    <row r="10" spans="1:16" x14ac:dyDescent="0.2">
      <c r="A10" s="8">
        <v>4</v>
      </c>
      <c r="B10" s="8">
        <v>8</v>
      </c>
      <c r="D10">
        <v>2853.3373397435998</v>
      </c>
      <c r="E10">
        <v>1248.8485576922999</v>
      </c>
      <c r="F10">
        <v>149.35657051282001</v>
      </c>
      <c r="G10">
        <v>122.72355769231</v>
      </c>
      <c r="I10" s="9">
        <f t="shared" si="1"/>
        <v>1126.12499999999</v>
      </c>
      <c r="J10" s="9">
        <f t="shared" si="2"/>
        <v>2703.98076923078</v>
      </c>
      <c r="K10" s="9">
        <f t="shared" si="3"/>
        <v>1126.12499999999</v>
      </c>
      <c r="L10" s="10">
        <f t="shared" si="0"/>
        <v>0.41646930807142779</v>
      </c>
      <c r="M10" s="10">
        <f t="shared" si="4"/>
        <v>0.4187412674280685</v>
      </c>
      <c r="P10" s="8">
        <f t="shared" si="5"/>
        <v>48.577260626814287</v>
      </c>
    </row>
    <row r="11" spans="1:16" x14ac:dyDescent="0.2">
      <c r="A11" s="8">
        <v>4.5</v>
      </c>
      <c r="B11" s="8">
        <v>9</v>
      </c>
      <c r="D11">
        <v>2564.4423076922999</v>
      </c>
      <c r="E11">
        <v>1164.3589743590001</v>
      </c>
      <c r="F11">
        <v>149.02644230768999</v>
      </c>
      <c r="G11">
        <v>122.42307692308</v>
      </c>
      <c r="I11" s="9">
        <f t="shared" si="1"/>
        <v>1041.93589743592</v>
      </c>
      <c r="J11" s="9">
        <f t="shared" si="2"/>
        <v>2415.4158653846098</v>
      </c>
      <c r="K11" s="9">
        <f t="shared" si="3"/>
        <v>1041.93589743592</v>
      </c>
      <c r="L11" s="10">
        <f t="shared" si="0"/>
        <v>0.43136915359708095</v>
      </c>
      <c r="M11" s="10">
        <f t="shared" si="4"/>
        <v>0.43392510787330174</v>
      </c>
      <c r="P11" s="8">
        <f t="shared" si="5"/>
        <v>53.96477218736262</v>
      </c>
    </row>
    <row r="12" spans="1:16" x14ac:dyDescent="0.2">
      <c r="A12" s="8">
        <v>5</v>
      </c>
      <c r="B12" s="8">
        <v>10</v>
      </c>
      <c r="D12">
        <v>2505.6201923077001</v>
      </c>
      <c r="E12">
        <v>1123.5865384614999</v>
      </c>
      <c r="F12">
        <v>149.02323717949</v>
      </c>
      <c r="G12">
        <v>122.11858974358999</v>
      </c>
      <c r="I12" s="9">
        <f t="shared" si="1"/>
        <v>1001.46794871791</v>
      </c>
      <c r="J12" s="9">
        <f t="shared" si="2"/>
        <v>2356.5969551282101</v>
      </c>
      <c r="K12" s="9">
        <f t="shared" si="3"/>
        <v>1001.46794871791</v>
      </c>
      <c r="L12" s="10">
        <f t="shared" si="0"/>
        <v>0.42496360972486502</v>
      </c>
      <c r="M12" s="10">
        <f t="shared" si="4"/>
        <v>0.42780355892066591</v>
      </c>
      <c r="P12" s="8">
        <f t="shared" si="5"/>
        <v>51.792731729631015</v>
      </c>
    </row>
    <row r="13" spans="1:16" x14ac:dyDescent="0.2">
      <c r="A13" s="8">
        <v>5.5</v>
      </c>
      <c r="B13" s="8">
        <v>11</v>
      </c>
      <c r="D13">
        <v>3168.6025641025999</v>
      </c>
      <c r="E13">
        <v>1297.1450320512999</v>
      </c>
      <c r="F13">
        <v>149.27483974359001</v>
      </c>
      <c r="G13">
        <v>122.32051282051</v>
      </c>
      <c r="I13" s="9">
        <f t="shared" si="1"/>
        <v>1174.82451923079</v>
      </c>
      <c r="J13" s="9">
        <f t="shared" si="2"/>
        <v>3019.3277243590101</v>
      </c>
      <c r="K13" s="9">
        <f t="shared" si="3"/>
        <v>1174.82451923079</v>
      </c>
      <c r="L13" s="10">
        <f t="shared" si="0"/>
        <v>0.38910135847548649</v>
      </c>
      <c r="M13" s="10">
        <f t="shared" si="4"/>
        <v>0.39222530259086746</v>
      </c>
      <c r="P13" s="8">
        <f t="shared" si="5"/>
        <v>39.16889865048956</v>
      </c>
    </row>
    <row r="14" spans="1:16" x14ac:dyDescent="0.2">
      <c r="A14" s="8">
        <v>6</v>
      </c>
      <c r="B14" s="8">
        <v>12</v>
      </c>
      <c r="D14">
        <v>3311.0440705127999</v>
      </c>
      <c r="E14">
        <v>1293.6089743590001</v>
      </c>
      <c r="F14">
        <v>148.98958333332999</v>
      </c>
      <c r="G14">
        <v>121.99358974358999</v>
      </c>
      <c r="I14" s="9">
        <f t="shared" si="1"/>
        <v>1171.61538461541</v>
      </c>
      <c r="J14" s="9">
        <f t="shared" si="2"/>
        <v>3162.05448717947</v>
      </c>
      <c r="K14" s="9">
        <f t="shared" si="3"/>
        <v>1171.61538461541</v>
      </c>
      <c r="L14" s="10">
        <f t="shared" si="0"/>
        <v>0.37052346484404908</v>
      </c>
      <c r="M14" s="10">
        <f t="shared" si="4"/>
        <v>0.37393140387901008</v>
      </c>
      <c r="P14" s="8">
        <f t="shared" si="5"/>
        <v>32.677880047315739</v>
      </c>
    </row>
    <row r="15" spans="1:16" x14ac:dyDescent="0.2">
      <c r="A15" s="8">
        <v>6.5</v>
      </c>
      <c r="B15" s="8">
        <v>13</v>
      </c>
      <c r="D15">
        <v>3336.1129807692</v>
      </c>
      <c r="E15">
        <v>1260.7660256409999</v>
      </c>
      <c r="F15">
        <v>149.28044871795001</v>
      </c>
      <c r="G15">
        <v>122.07211538462001</v>
      </c>
      <c r="I15" s="9">
        <f t="shared" si="1"/>
        <v>1138.6939102563799</v>
      </c>
      <c r="J15" s="9">
        <f t="shared" si="2"/>
        <v>3186.8325320512499</v>
      </c>
      <c r="K15" s="9">
        <f t="shared" si="3"/>
        <v>1138.6939102563799</v>
      </c>
      <c r="L15" s="10">
        <f t="shared" si="0"/>
        <v>0.35731212694864872</v>
      </c>
      <c r="M15" s="10">
        <f t="shared" si="4"/>
        <v>0.36100406090318982</v>
      </c>
      <c r="P15" s="8">
        <f t="shared" si="5"/>
        <v>28.091016138898585</v>
      </c>
    </row>
    <row r="16" spans="1:16" x14ac:dyDescent="0.2">
      <c r="A16" s="8">
        <v>7</v>
      </c>
      <c r="B16" s="8">
        <v>14</v>
      </c>
      <c r="D16">
        <v>4061.4908073541001</v>
      </c>
      <c r="E16">
        <v>1333.5595523581001</v>
      </c>
      <c r="F16">
        <v>148.47035256410001</v>
      </c>
      <c r="G16">
        <v>121.86698717949</v>
      </c>
      <c r="I16" s="9">
        <f t="shared" si="1"/>
        <v>1211.69256517861</v>
      </c>
      <c r="J16" s="9">
        <f t="shared" si="2"/>
        <v>3913.0204547900003</v>
      </c>
      <c r="K16" s="9">
        <f t="shared" si="3"/>
        <v>1211.69256517861</v>
      </c>
      <c r="L16" s="10">
        <f t="shared" si="0"/>
        <v>0.30965658860672574</v>
      </c>
      <c r="M16" s="10">
        <f t="shared" si="4"/>
        <v>0.31363251748084692</v>
      </c>
      <c r="P16" s="8">
        <f t="shared" si="5"/>
        <v>11.282703462706625</v>
      </c>
    </row>
    <row r="17" spans="1:16" x14ac:dyDescent="0.2">
      <c r="A17" s="8">
        <v>7.5</v>
      </c>
      <c r="B17" s="8">
        <v>15</v>
      </c>
      <c r="D17">
        <v>4000.5851318945001</v>
      </c>
      <c r="E17">
        <v>1302.8097521981999</v>
      </c>
      <c r="F17">
        <v>149.13701923076999</v>
      </c>
      <c r="G17">
        <v>122.28205128205001</v>
      </c>
      <c r="I17" s="9">
        <f t="shared" si="1"/>
        <v>1180.52770091615</v>
      </c>
      <c r="J17" s="9">
        <f t="shared" si="2"/>
        <v>3851.4481126637302</v>
      </c>
      <c r="K17" s="9">
        <f t="shared" si="3"/>
        <v>1180.52770091615</v>
      </c>
      <c r="L17" s="10">
        <f t="shared" si="0"/>
        <v>0.30651528110544268</v>
      </c>
      <c r="M17" s="10">
        <f t="shared" si="4"/>
        <v>0.31077520489914395</v>
      </c>
      <c r="P17" s="8">
        <f t="shared" si="5"/>
        <v>10.268875332626553</v>
      </c>
    </row>
    <row r="18" spans="1:16" x14ac:dyDescent="0.2">
      <c r="A18" s="8">
        <v>8</v>
      </c>
      <c r="B18" s="8">
        <v>16</v>
      </c>
      <c r="D18">
        <v>4213.2597921663</v>
      </c>
      <c r="E18">
        <v>1294.2933653078001</v>
      </c>
      <c r="F18">
        <v>148.95833333332999</v>
      </c>
      <c r="G18">
        <v>122.30929487180001</v>
      </c>
      <c r="I18" s="9">
        <f t="shared" si="1"/>
        <v>1171.9840704360001</v>
      </c>
      <c r="J18" s="9">
        <f t="shared" si="2"/>
        <v>4064.3014588329702</v>
      </c>
      <c r="K18" s="9">
        <f t="shared" si="3"/>
        <v>1171.9840704360001</v>
      </c>
      <c r="L18" s="10">
        <f t="shared" si="0"/>
        <v>0.28836051712869876</v>
      </c>
      <c r="M18" s="10">
        <f t="shared" si="4"/>
        <v>0.29290443584198012</v>
      </c>
      <c r="P18" s="8">
        <f t="shared" si="5"/>
        <v>3.927991072242667</v>
      </c>
    </row>
    <row r="19" spans="1:16" x14ac:dyDescent="0.2">
      <c r="A19" s="8">
        <v>8.5</v>
      </c>
      <c r="B19" s="8">
        <v>17</v>
      </c>
      <c r="D19">
        <v>4198.3709032774004</v>
      </c>
      <c r="E19">
        <v>1272.3485211831</v>
      </c>
      <c r="F19">
        <v>148.55128205128</v>
      </c>
      <c r="G19">
        <v>122.04166666667</v>
      </c>
      <c r="I19" s="9">
        <f t="shared" si="1"/>
        <v>1150.3068545164301</v>
      </c>
      <c r="J19" s="9">
        <f t="shared" si="2"/>
        <v>4049.8196212261205</v>
      </c>
      <c r="K19" s="9">
        <f t="shared" si="3"/>
        <v>1150.3068545164301</v>
      </c>
      <c r="L19" s="10">
        <f t="shared" si="0"/>
        <v>0.28403903435288408</v>
      </c>
      <c r="M19" s="10">
        <f t="shared" si="4"/>
        <v>0.28886694798574553</v>
      </c>
      <c r="P19" s="8">
        <f t="shared" si="5"/>
        <v>2.4954146052088522</v>
      </c>
    </row>
    <row r="20" spans="1:16" x14ac:dyDescent="0.2">
      <c r="A20" s="8">
        <v>9</v>
      </c>
      <c r="B20" s="8">
        <v>18</v>
      </c>
      <c r="D20">
        <v>4177.8289368505002</v>
      </c>
      <c r="E20">
        <v>1242.3445243804999</v>
      </c>
      <c r="F20">
        <v>148.8125</v>
      </c>
      <c r="G20">
        <v>122.22435897436</v>
      </c>
      <c r="I20" s="9">
        <f t="shared" si="1"/>
        <v>1120.1201654061399</v>
      </c>
      <c r="J20" s="9">
        <f t="shared" si="2"/>
        <v>4029.0164368505002</v>
      </c>
      <c r="K20" s="9">
        <f t="shared" si="3"/>
        <v>1120.1201654061399</v>
      </c>
      <c r="L20" s="10">
        <f t="shared" si="0"/>
        <v>0.27801330249269046</v>
      </c>
      <c r="M20" s="10">
        <f t="shared" si="4"/>
        <v>0.283125211045132</v>
      </c>
      <c r="P20" s="8">
        <f t="shared" si="5"/>
        <v>0.45813857766115429</v>
      </c>
    </row>
    <row r="21" spans="1:16" x14ac:dyDescent="0.2">
      <c r="A21" s="8">
        <v>9.5</v>
      </c>
      <c r="B21" s="8">
        <v>19</v>
      </c>
      <c r="D21">
        <v>4135.9184652278</v>
      </c>
      <c r="E21">
        <v>1206.0015987209999</v>
      </c>
      <c r="F21">
        <v>148.34134615385</v>
      </c>
      <c r="G21">
        <v>121.99198717949</v>
      </c>
      <c r="I21" s="9">
        <f t="shared" si="1"/>
        <v>1084.0096115415099</v>
      </c>
      <c r="J21" s="9">
        <f t="shared" si="2"/>
        <v>3987.5771190739501</v>
      </c>
      <c r="K21" s="9">
        <f t="shared" si="3"/>
        <v>1084.0096115415099</v>
      </c>
      <c r="L21" s="10">
        <f t="shared" si="0"/>
        <v>0.27184668262748318</v>
      </c>
      <c r="M21" s="10">
        <f t="shared" si="4"/>
        <v>0.27724258609950481</v>
      </c>
      <c r="P21" s="8">
        <f t="shared" si="5"/>
        <v>-1.6291271582539009</v>
      </c>
    </row>
    <row r="22" spans="1:16" x14ac:dyDescent="0.2">
      <c r="A22" s="8">
        <v>10</v>
      </c>
      <c r="B22" s="8">
        <v>20</v>
      </c>
      <c r="D22">
        <v>4132.9296562749996</v>
      </c>
      <c r="E22">
        <v>1190.8081534772</v>
      </c>
      <c r="F22">
        <v>148.86618589744</v>
      </c>
      <c r="G22">
        <v>122.06490384615</v>
      </c>
      <c r="I22" s="9">
        <f t="shared" si="1"/>
        <v>1068.74324963105</v>
      </c>
      <c r="J22" s="9">
        <f t="shared" si="2"/>
        <v>3984.0634703775595</v>
      </c>
      <c r="K22" s="9">
        <f t="shared" si="3"/>
        <v>1068.74324963105</v>
      </c>
      <c r="L22" s="10">
        <f t="shared" si="0"/>
        <v>0.26825457414958503</v>
      </c>
      <c r="M22" s="10">
        <f t="shared" si="4"/>
        <v>0.27393447254118675</v>
      </c>
      <c r="P22" s="8">
        <f t="shared" si="5"/>
        <v>-2.802907935477517</v>
      </c>
    </row>
    <row r="23" spans="1:16" x14ac:dyDescent="0.2">
      <c r="A23" s="8">
        <v>10.5</v>
      </c>
      <c r="B23" s="8">
        <v>21</v>
      </c>
      <c r="D23">
        <v>4226.6166666667004</v>
      </c>
      <c r="E23">
        <v>1209.2333333332999</v>
      </c>
      <c r="F23">
        <v>148.62580128204999</v>
      </c>
      <c r="G23">
        <v>122.26201923076999</v>
      </c>
      <c r="I23" s="9">
        <f t="shared" si="1"/>
        <v>1086.97131410253</v>
      </c>
      <c r="J23" s="9">
        <f t="shared" si="2"/>
        <v>4077.9908653846505</v>
      </c>
      <c r="K23" s="9">
        <f t="shared" si="3"/>
        <v>1086.97131410253</v>
      </c>
      <c r="L23" s="10">
        <f t="shared" si="0"/>
        <v>0.2665457942363495</v>
      </c>
      <c r="M23" s="10">
        <f t="shared" si="4"/>
        <v>0.2725096875475313</v>
      </c>
      <c r="P23" s="8">
        <f t="shared" si="5"/>
        <v>-3.3084483916158258</v>
      </c>
    </row>
    <row r="24" spans="1:16" x14ac:dyDescent="0.2">
      <c r="A24" s="8">
        <v>11</v>
      </c>
      <c r="B24" s="8">
        <v>22</v>
      </c>
      <c r="D24">
        <v>4169.2293650793999</v>
      </c>
      <c r="E24">
        <v>1173.3603174602999</v>
      </c>
      <c r="F24">
        <v>148.57932692308</v>
      </c>
      <c r="G24">
        <v>122.35576923076999</v>
      </c>
      <c r="I24" s="9">
        <f t="shared" si="1"/>
        <v>1051.00454822953</v>
      </c>
      <c r="J24" s="9">
        <f t="shared" si="2"/>
        <v>4020.6500381563201</v>
      </c>
      <c r="K24" s="9">
        <f t="shared" si="3"/>
        <v>1051.00454822953</v>
      </c>
      <c r="L24" s="10">
        <f t="shared" si="0"/>
        <v>0.26140164855319536</v>
      </c>
      <c r="M24" s="10">
        <f t="shared" si="4"/>
        <v>0.26764953678395725</v>
      </c>
      <c r="P24" s="8">
        <f t="shared" si="5"/>
        <v>-5.0329210979253265</v>
      </c>
    </row>
    <row r="25" spans="1:16" x14ac:dyDescent="0.2">
      <c r="A25" s="8">
        <v>11.5</v>
      </c>
      <c r="B25" s="8">
        <v>23</v>
      </c>
      <c r="D25">
        <v>4163.2253968253999</v>
      </c>
      <c r="E25">
        <v>1156.1444444444001</v>
      </c>
      <c r="F25">
        <v>147.85096153846001</v>
      </c>
      <c r="G25">
        <v>121.94551282051</v>
      </c>
      <c r="I25" s="9">
        <f t="shared" si="1"/>
        <v>1034.1989316238901</v>
      </c>
      <c r="J25" s="9">
        <f t="shared" si="2"/>
        <v>4015.3744352869398</v>
      </c>
      <c r="K25" s="9">
        <f t="shared" si="3"/>
        <v>1034.1989316238901</v>
      </c>
      <c r="L25" s="10">
        <f t="shared" si="0"/>
        <v>0.25755977388693663</v>
      </c>
      <c r="M25" s="10">
        <f t="shared" si="4"/>
        <v>0.2640916570372786</v>
      </c>
      <c r="P25" s="8">
        <f t="shared" si="5"/>
        <v>-6.2953236063954146</v>
      </c>
    </row>
    <row r="26" spans="1:16" x14ac:dyDescent="0.2">
      <c r="A26" s="8">
        <v>12</v>
      </c>
      <c r="B26" s="8">
        <v>24</v>
      </c>
      <c r="D26">
        <v>4147.1515873015996</v>
      </c>
      <c r="E26">
        <v>1143.2880952380999</v>
      </c>
      <c r="F26">
        <v>148.76121794872</v>
      </c>
      <c r="G26">
        <v>122.04647435897</v>
      </c>
      <c r="I26" s="9">
        <f t="shared" si="1"/>
        <v>1021.2416208791299</v>
      </c>
      <c r="J26" s="9">
        <f t="shared" si="2"/>
        <v>3998.3903693528796</v>
      </c>
      <c r="K26" s="9">
        <f t="shared" si="3"/>
        <v>1021.2416208791299</v>
      </c>
      <c r="L26" s="10">
        <f t="shared" si="0"/>
        <v>0.25541318544252423</v>
      </c>
      <c r="M26" s="10">
        <f t="shared" si="4"/>
        <v>0.26222906351244629</v>
      </c>
      <c r="P26" s="8">
        <f t="shared" si="5"/>
        <v>-6.9562067461933452</v>
      </c>
    </row>
    <row r="27" spans="1:16" x14ac:dyDescent="0.2">
      <c r="A27" s="8">
        <v>12.5</v>
      </c>
      <c r="B27" s="8">
        <v>25</v>
      </c>
      <c r="D27">
        <v>4142.2579365079</v>
      </c>
      <c r="E27">
        <v>1129.1976190476</v>
      </c>
      <c r="F27">
        <v>148.50801282051</v>
      </c>
      <c r="G27">
        <v>122.16826923076999</v>
      </c>
      <c r="I27" s="9">
        <f t="shared" si="1"/>
        <v>1007.0293498168301</v>
      </c>
      <c r="J27" s="9">
        <f t="shared" si="2"/>
        <v>3993.74992368739</v>
      </c>
      <c r="K27" s="9">
        <f t="shared" si="3"/>
        <v>1007.0293498168301</v>
      </c>
      <c r="L27" s="10">
        <f t="shared" si="0"/>
        <v>0.25215132871590762</v>
      </c>
      <c r="M27" s="10">
        <f t="shared" si="4"/>
        <v>0.25925120170540977</v>
      </c>
      <c r="P27" s="8">
        <f t="shared" si="5"/>
        <v>-8.0128080038917027</v>
      </c>
    </row>
    <row r="28" spans="1:16" x14ac:dyDescent="0.2">
      <c r="A28" s="8">
        <v>13</v>
      </c>
      <c r="B28" s="8">
        <v>26</v>
      </c>
      <c r="D28">
        <v>4132.4587301586998</v>
      </c>
      <c r="E28">
        <v>1122.6261904762</v>
      </c>
      <c r="F28">
        <v>148.49839743589999</v>
      </c>
      <c r="G28">
        <v>122.07051282051</v>
      </c>
      <c r="I28" s="9">
        <f t="shared" si="1"/>
        <v>1000.55567765569</v>
      </c>
      <c r="J28" s="9">
        <f t="shared" si="2"/>
        <v>3983.9603327227996</v>
      </c>
      <c r="K28" s="9">
        <f t="shared" si="3"/>
        <v>1000.55567765569</v>
      </c>
      <c r="L28" s="10">
        <f t="shared" si="0"/>
        <v>0.25114599395919934</v>
      </c>
      <c r="M28" s="10">
        <f t="shared" si="4"/>
        <v>0.25852986186828159</v>
      </c>
      <c r="P28" s="8">
        <f t="shared" si="5"/>
        <v>-8.2687529162232991</v>
      </c>
    </row>
    <row r="29" spans="1:16" x14ac:dyDescent="0.2">
      <c r="A29" s="8">
        <v>13.5</v>
      </c>
      <c r="B29" s="8">
        <v>27</v>
      </c>
      <c r="D29">
        <v>4095.2388888889</v>
      </c>
      <c r="E29">
        <v>1103.5404761904999</v>
      </c>
      <c r="F29">
        <v>148.98397435896999</v>
      </c>
      <c r="G29">
        <v>122.01121794872</v>
      </c>
      <c r="I29" s="9">
        <f t="shared" si="1"/>
        <v>981.52925824177987</v>
      </c>
      <c r="J29" s="9">
        <f t="shared" si="2"/>
        <v>3946.2549145299299</v>
      </c>
      <c r="K29" s="9">
        <f t="shared" si="3"/>
        <v>981.52925824177987</v>
      </c>
      <c r="L29" s="10">
        <f t="shared" si="0"/>
        <v>0.24872424095763151</v>
      </c>
      <c r="M29" s="10">
        <f t="shared" si="4"/>
        <v>0.25639210378629385</v>
      </c>
      <c r="P29" s="8">
        <f t="shared" si="5"/>
        <v>-9.0272696051931334</v>
      </c>
    </row>
    <row r="30" spans="1:16" x14ac:dyDescent="0.2">
      <c r="A30" s="8">
        <v>14</v>
      </c>
      <c r="B30" s="8">
        <v>28</v>
      </c>
      <c r="D30">
        <v>3991.3849206349</v>
      </c>
      <c r="E30">
        <v>1061.4976190476</v>
      </c>
      <c r="F30">
        <v>148.71794871795001</v>
      </c>
      <c r="G30">
        <v>122.09294871794999</v>
      </c>
      <c r="I30" s="9">
        <f t="shared" si="1"/>
        <v>939.40467032965</v>
      </c>
      <c r="J30" s="9">
        <f t="shared" si="2"/>
        <v>3842.6669719169499</v>
      </c>
      <c r="K30" s="9">
        <f t="shared" si="3"/>
        <v>939.40467032965</v>
      </c>
      <c r="L30" s="10">
        <f t="shared" si="0"/>
        <v>0.24446684482288594</v>
      </c>
      <c r="M30" s="10">
        <f t="shared" si="4"/>
        <v>0.25241870257112836</v>
      </c>
      <c r="P30" s="8">
        <f t="shared" si="5"/>
        <v>-10.437106929196444</v>
      </c>
    </row>
    <row r="31" spans="1:16" x14ac:dyDescent="0.2">
      <c r="A31" s="8">
        <v>14.5</v>
      </c>
      <c r="B31" s="8">
        <v>29</v>
      </c>
      <c r="D31">
        <v>4086.9992000000002</v>
      </c>
      <c r="E31">
        <v>1077.452</v>
      </c>
      <c r="F31">
        <v>148.76522435896999</v>
      </c>
      <c r="G31">
        <v>122.06650641026</v>
      </c>
      <c r="I31" s="9">
        <f t="shared" si="1"/>
        <v>955.38549358974001</v>
      </c>
      <c r="J31" s="9">
        <f t="shared" si="2"/>
        <v>3938.2339756410302</v>
      </c>
      <c r="K31" s="9">
        <f t="shared" si="3"/>
        <v>955.38549358974001</v>
      </c>
      <c r="L31" s="10">
        <f t="shared" si="0"/>
        <v>0.24259236487700836</v>
      </c>
      <c r="M31" s="10">
        <f t="shared" si="4"/>
        <v>0.25082821754483087</v>
      </c>
      <c r="P31" s="8">
        <f t="shared" si="5"/>
        <v>-11.001440866777225</v>
      </c>
    </row>
    <row r="32" spans="1:16" x14ac:dyDescent="0.2">
      <c r="A32" s="8">
        <v>15</v>
      </c>
      <c r="B32" s="8">
        <v>30</v>
      </c>
      <c r="D32">
        <v>3825.7608</v>
      </c>
      <c r="E32">
        <v>1003.0119999999999</v>
      </c>
      <c r="F32">
        <v>148.74439102564</v>
      </c>
      <c r="G32">
        <v>121.43349358974</v>
      </c>
      <c r="I32" s="9">
        <f t="shared" si="1"/>
        <v>881.57850641025993</v>
      </c>
      <c r="J32" s="9">
        <f t="shared" si="2"/>
        <v>3677.0164089743598</v>
      </c>
      <c r="K32" s="9">
        <f t="shared" si="3"/>
        <v>881.57850641025993</v>
      </c>
      <c r="L32" s="10">
        <f t="shared" si="0"/>
        <v>0.23975375912346308</v>
      </c>
      <c r="M32" s="10">
        <f t="shared" si="4"/>
        <v>0.24827360671086565</v>
      </c>
      <c r="P32" s="8">
        <f t="shared" si="5"/>
        <v>-11.907864735648314</v>
      </c>
    </row>
    <row r="33" spans="1:16" x14ac:dyDescent="0.2">
      <c r="A33" s="8">
        <v>15.5</v>
      </c>
      <c r="B33" s="8">
        <v>31</v>
      </c>
      <c r="D33">
        <v>3435.5527999999999</v>
      </c>
      <c r="E33">
        <v>896.95439999999996</v>
      </c>
      <c r="F33">
        <v>148.90865384615</v>
      </c>
      <c r="G33">
        <v>121.69471153846</v>
      </c>
      <c r="I33" s="9">
        <f t="shared" si="1"/>
        <v>775.25968846154001</v>
      </c>
      <c r="J33" s="9">
        <f t="shared" si="2"/>
        <v>3286.6441461538498</v>
      </c>
      <c r="K33" s="9">
        <f t="shared" si="3"/>
        <v>775.25968846154001</v>
      </c>
      <c r="L33" s="10">
        <f t="shared" si="0"/>
        <v>0.23588184603702139</v>
      </c>
      <c r="M33" s="10">
        <f t="shared" si="4"/>
        <v>0.24468568854400405</v>
      </c>
      <c r="P33" s="8">
        <f t="shared" si="5"/>
        <v>-13.180925439360902</v>
      </c>
    </row>
    <row r="34" spans="1:16" x14ac:dyDescent="0.2">
      <c r="A34" s="8">
        <v>16</v>
      </c>
      <c r="B34" s="8">
        <v>32</v>
      </c>
      <c r="D34">
        <v>3593.1121718376999</v>
      </c>
      <c r="E34">
        <v>932.53858392998995</v>
      </c>
      <c r="F34">
        <v>148.36778846153999</v>
      </c>
      <c r="G34">
        <v>122.12259615385</v>
      </c>
      <c r="I34" s="9">
        <f t="shared" si="1"/>
        <v>810.4159877761399</v>
      </c>
      <c r="J34" s="9">
        <f t="shared" si="2"/>
        <v>3444.7443833761599</v>
      </c>
      <c r="K34" s="9">
        <f t="shared" si="3"/>
        <v>810.4159877761399</v>
      </c>
      <c r="L34" s="10">
        <f t="shared" si="0"/>
        <v>0.23526157461409639</v>
      </c>
      <c r="M34" s="10">
        <f t="shared" si="4"/>
        <v>0.24434941204065913</v>
      </c>
      <c r="P34" s="8">
        <f t="shared" si="5"/>
        <v>-13.300242653990898</v>
      </c>
    </row>
    <row r="35" spans="1:16" x14ac:dyDescent="0.2">
      <c r="A35" s="8">
        <v>16.5</v>
      </c>
      <c r="B35" s="8">
        <v>33</v>
      </c>
      <c r="D35">
        <v>3453.2935560859</v>
      </c>
      <c r="E35">
        <v>905.21400159108998</v>
      </c>
      <c r="F35">
        <v>149.26923076923001</v>
      </c>
      <c r="G35">
        <v>121.57692307692</v>
      </c>
      <c r="I35" s="9">
        <f t="shared" si="1"/>
        <v>783.63707851416996</v>
      </c>
      <c r="J35" s="9">
        <f t="shared" si="2"/>
        <v>3304.02432531667</v>
      </c>
      <c r="K35" s="9">
        <f t="shared" si="3"/>
        <v>783.63707851416996</v>
      </c>
      <c r="L35" s="10">
        <f t="shared" si="0"/>
        <v>0.23717654634369656</v>
      </c>
      <c r="M35" s="10">
        <f t="shared" si="4"/>
        <v>0.24654837868983939</v>
      </c>
      <c r="P35" s="8">
        <f t="shared" si="5"/>
        <v>-12.520008016617712</v>
      </c>
    </row>
    <row r="36" spans="1:16" x14ac:dyDescent="0.2">
      <c r="A36" s="8">
        <v>17</v>
      </c>
      <c r="B36" s="8">
        <v>34</v>
      </c>
      <c r="D36">
        <v>3523.3749000798998</v>
      </c>
      <c r="E36">
        <v>923.65547561949995</v>
      </c>
      <c r="F36">
        <v>148.71153846153999</v>
      </c>
      <c r="G36">
        <v>122.02163461539</v>
      </c>
      <c r="I36" s="9">
        <f t="shared" si="1"/>
        <v>801.63384100410997</v>
      </c>
      <c r="J36" s="9">
        <f t="shared" si="2"/>
        <v>3374.6633616183599</v>
      </c>
      <c r="K36" s="9">
        <f t="shared" si="3"/>
        <v>801.63384100410997</v>
      </c>
      <c r="L36" s="10">
        <f t="shared" si="0"/>
        <v>0.23754483191463488</v>
      </c>
      <c r="M36" s="10">
        <f t="shared" si="4"/>
        <v>0.2472006591803578</v>
      </c>
      <c r="P36" s="8">
        <f t="shared" si="5"/>
        <v>-12.288566656570273</v>
      </c>
    </row>
    <row r="37" spans="1:16" x14ac:dyDescent="0.2">
      <c r="A37" s="8">
        <v>17.5</v>
      </c>
      <c r="B37" s="8">
        <v>35</v>
      </c>
      <c r="D37">
        <v>3497.3261390887001</v>
      </c>
      <c r="E37">
        <v>908.94724220624005</v>
      </c>
      <c r="F37">
        <v>147.57211538461999</v>
      </c>
      <c r="G37">
        <v>122.24759615385</v>
      </c>
      <c r="I37" s="9">
        <f t="shared" si="1"/>
        <v>786.69964605239011</v>
      </c>
      <c r="J37" s="9">
        <f t="shared" si="2"/>
        <v>3349.7540237040803</v>
      </c>
      <c r="K37" s="9">
        <f t="shared" si="3"/>
        <v>786.69964605239011</v>
      </c>
      <c r="L37" s="10">
        <f t="shared" si="0"/>
        <v>0.2348529594965531</v>
      </c>
      <c r="M37" s="10">
        <f t="shared" si="4"/>
        <v>0.24479278168185611</v>
      </c>
      <c r="P37" s="8">
        <f t="shared" si="5"/>
        <v>-13.14292678412513</v>
      </c>
    </row>
    <row r="38" spans="1:16" x14ac:dyDescent="0.2">
      <c r="A38" s="8">
        <v>18</v>
      </c>
      <c r="B38" s="8">
        <v>36</v>
      </c>
      <c r="D38">
        <v>3539.3581135091999</v>
      </c>
      <c r="E38">
        <v>945.83852917666002</v>
      </c>
      <c r="F38">
        <v>148.60576923076999</v>
      </c>
      <c r="G38">
        <v>122.00641025641001</v>
      </c>
      <c r="I38" s="9">
        <f t="shared" si="1"/>
        <v>823.83211892024997</v>
      </c>
      <c r="J38" s="9">
        <f t="shared" si="2"/>
        <v>3390.75234427843</v>
      </c>
      <c r="K38" s="9">
        <f t="shared" si="3"/>
        <v>823.83211892024997</v>
      </c>
      <c r="L38" s="10">
        <f t="shared" si="0"/>
        <v>0.24296440296218855</v>
      </c>
      <c r="M38" s="10">
        <f t="shared" si="4"/>
        <v>0.25318822006707165</v>
      </c>
      <c r="P38" s="8">
        <f t="shared" si="5"/>
        <v>-10.164067679318119</v>
      </c>
    </row>
    <row r="39" spans="1:16" x14ac:dyDescent="0.2">
      <c r="A39" s="8">
        <v>18.5</v>
      </c>
      <c r="B39" s="8">
        <v>37</v>
      </c>
      <c r="D39">
        <v>3563.0807354117001</v>
      </c>
      <c r="E39">
        <v>963.42126298961</v>
      </c>
      <c r="F39">
        <v>148.51682692308</v>
      </c>
      <c r="G39">
        <v>121.76442307692</v>
      </c>
      <c r="I39" s="9">
        <f t="shared" si="1"/>
        <v>841.65683991268997</v>
      </c>
      <c r="J39" s="9">
        <f t="shared" si="2"/>
        <v>3414.5639084886202</v>
      </c>
      <c r="K39" s="9">
        <f t="shared" si="3"/>
        <v>841.65683991268997</v>
      </c>
      <c r="L39" s="10">
        <f t="shared" si="0"/>
        <v>0.24649028762364866</v>
      </c>
      <c r="M39" s="10">
        <f t="shared" si="4"/>
        <v>0.25699809964811182</v>
      </c>
      <c r="P39" s="8">
        <f t="shared" si="5"/>
        <v>-8.8122509000793201</v>
      </c>
    </row>
    <row r="40" spans="1:16" x14ac:dyDescent="0.2">
      <c r="A40" s="8">
        <v>19</v>
      </c>
      <c r="B40" s="8">
        <v>38</v>
      </c>
      <c r="D40">
        <v>3602.1780604134001</v>
      </c>
      <c r="E40">
        <v>977.62480127185995</v>
      </c>
      <c r="F40">
        <v>148.61538461539001</v>
      </c>
      <c r="G40">
        <v>121.64102564103</v>
      </c>
      <c r="I40" s="9">
        <f t="shared" si="1"/>
        <v>855.98377563083</v>
      </c>
      <c r="J40" s="9">
        <f t="shared" si="2"/>
        <v>3453.5626757980099</v>
      </c>
      <c r="K40" s="9">
        <f t="shared" si="3"/>
        <v>855.98377563083</v>
      </c>
      <c r="L40" s="10">
        <f t="shared" si="0"/>
        <v>0.24785528915673696</v>
      </c>
      <c r="M40" s="10">
        <f t="shared" si="4"/>
        <v>0.25864709610078024</v>
      </c>
      <c r="P40" s="8">
        <f t="shared" si="5"/>
        <v>-8.2271560102786765</v>
      </c>
    </row>
    <row r="41" spans="1:16" x14ac:dyDescent="0.2">
      <c r="A41" s="8">
        <v>19.5</v>
      </c>
      <c r="B41" s="8">
        <v>39</v>
      </c>
      <c r="D41">
        <v>3628.6685214626</v>
      </c>
      <c r="E41">
        <v>970.98330683624999</v>
      </c>
      <c r="F41">
        <v>148.01442307692</v>
      </c>
      <c r="G41">
        <v>121.51602564103</v>
      </c>
      <c r="I41" s="9">
        <f t="shared" si="1"/>
        <v>849.46728119522004</v>
      </c>
      <c r="J41" s="9">
        <f t="shared" si="2"/>
        <v>3480.6540983856798</v>
      </c>
      <c r="K41" s="9">
        <f t="shared" si="3"/>
        <v>849.46728119522004</v>
      </c>
      <c r="L41" s="10">
        <f t="shared" si="0"/>
        <v>0.24405392124118314</v>
      </c>
      <c r="M41" s="10">
        <f t="shared" si="4"/>
        <v>0.25512972310480647</v>
      </c>
      <c r="P41" s="8">
        <f t="shared" si="5"/>
        <v>-9.4751859633672755</v>
      </c>
    </row>
    <row r="42" spans="1:16" x14ac:dyDescent="0.2">
      <c r="A42" s="8">
        <v>20</v>
      </c>
      <c r="B42" s="8">
        <v>40</v>
      </c>
      <c r="D42">
        <v>3638.6241987180001</v>
      </c>
      <c r="E42">
        <v>991.42387820512999</v>
      </c>
      <c r="F42">
        <v>148.68028846153999</v>
      </c>
      <c r="G42">
        <v>121.40865384615</v>
      </c>
      <c r="I42" s="9">
        <f t="shared" si="1"/>
        <v>870.01522435898005</v>
      </c>
      <c r="J42" s="9">
        <f t="shared" si="2"/>
        <v>3489.9439102564602</v>
      </c>
      <c r="K42" s="9">
        <f t="shared" si="3"/>
        <v>870.01522435898005</v>
      </c>
      <c r="L42" s="10">
        <f t="shared" si="0"/>
        <v>0.24929203641414585</v>
      </c>
      <c r="M42" s="10">
        <f t="shared" si="4"/>
        <v>0.2606518331973493</v>
      </c>
      <c r="P42" s="8">
        <f t="shared" si="5"/>
        <v>-7.5158376634755371</v>
      </c>
    </row>
    <row r="43" spans="1:16" x14ac:dyDescent="0.2">
      <c r="A43" s="8">
        <v>20.5</v>
      </c>
      <c r="B43" s="8">
        <v>41</v>
      </c>
      <c r="D43">
        <v>3654.0112179487001</v>
      </c>
      <c r="E43">
        <v>1019.0544871795</v>
      </c>
      <c r="F43">
        <v>147.81169871795001</v>
      </c>
      <c r="G43">
        <v>121.82772435897</v>
      </c>
      <c r="I43" s="9">
        <f t="shared" si="1"/>
        <v>897.22676282052998</v>
      </c>
      <c r="J43" s="9">
        <f t="shared" si="2"/>
        <v>3506.19951923075</v>
      </c>
      <c r="K43" s="9">
        <f t="shared" si="3"/>
        <v>897.22676282052998</v>
      </c>
      <c r="L43" s="10">
        <f t="shared" si="0"/>
        <v>0.25589723514005241</v>
      </c>
      <c r="M43" s="10">
        <f t="shared" si="4"/>
        <v>0.26754102684283593</v>
      </c>
      <c r="P43" s="8">
        <f t="shared" si="5"/>
        <v>-5.071422461551621</v>
      </c>
    </row>
    <row r="44" spans="1:16" x14ac:dyDescent="0.2">
      <c r="A44" s="8">
        <v>21</v>
      </c>
      <c r="B44" s="8">
        <v>42</v>
      </c>
      <c r="D44">
        <v>3597.4054487180001</v>
      </c>
      <c r="E44">
        <v>984.86137820512999</v>
      </c>
      <c r="F44">
        <v>147.91987179487001</v>
      </c>
      <c r="G44">
        <v>121.67708333333</v>
      </c>
      <c r="I44" s="9">
        <f t="shared" si="1"/>
        <v>863.18429487180003</v>
      </c>
      <c r="J44" s="9">
        <f t="shared" si="2"/>
        <v>3449.4855769231299</v>
      </c>
      <c r="K44" s="9">
        <f t="shared" si="3"/>
        <v>863.18429487180003</v>
      </c>
      <c r="L44" s="10">
        <f t="shared" si="0"/>
        <v>0.2502356585128101</v>
      </c>
      <c r="M44" s="10">
        <f t="shared" si="4"/>
        <v>0.2621634451351737</v>
      </c>
      <c r="P44" s="8">
        <f t="shared" si="5"/>
        <v>-6.9794893779764982</v>
      </c>
    </row>
    <row r="45" spans="1:16" x14ac:dyDescent="0.2">
      <c r="A45" s="8">
        <v>21.5</v>
      </c>
      <c r="B45" s="8">
        <v>43</v>
      </c>
      <c r="D45">
        <v>3629.0562700965002</v>
      </c>
      <c r="E45">
        <v>965.37299035369995</v>
      </c>
      <c r="F45">
        <v>148.02243589744</v>
      </c>
      <c r="G45">
        <v>121.71153846154</v>
      </c>
      <c r="I45" s="9">
        <f t="shared" si="1"/>
        <v>843.6614518921599</v>
      </c>
      <c r="J45" s="9">
        <f t="shared" si="2"/>
        <v>3481.03383419906</v>
      </c>
      <c r="K45" s="9">
        <f t="shared" si="3"/>
        <v>843.6614518921599</v>
      </c>
      <c r="L45" s="10">
        <f t="shared" si="0"/>
        <v>0.24235945183976509</v>
      </c>
      <c r="M45" s="10">
        <f t="shared" si="4"/>
        <v>0.25457123338170878</v>
      </c>
      <c r="P45" s="8">
        <f t="shared" si="5"/>
        <v>-9.6733485988671006</v>
      </c>
    </row>
    <row r="46" spans="1:16" x14ac:dyDescent="0.2">
      <c r="A46" s="8">
        <v>22</v>
      </c>
      <c r="B46" s="8">
        <v>44</v>
      </c>
      <c r="D46">
        <v>3527.8834405144999</v>
      </c>
      <c r="E46">
        <v>939.14630225079998</v>
      </c>
      <c r="F46">
        <v>147.79407051282001</v>
      </c>
      <c r="G46">
        <v>121.43429487180001</v>
      </c>
      <c r="I46" s="9">
        <f t="shared" si="1"/>
        <v>817.71200737899994</v>
      </c>
      <c r="J46" s="9">
        <f t="shared" si="2"/>
        <v>3380.08937000168</v>
      </c>
      <c r="K46" s="9">
        <f t="shared" si="3"/>
        <v>817.71200737899994</v>
      </c>
      <c r="L46" s="10">
        <f t="shared" si="0"/>
        <v>0.24192023283058742</v>
      </c>
      <c r="M46" s="10">
        <f t="shared" si="4"/>
        <v>0.25441600929211122</v>
      </c>
      <c r="P46" s="8">
        <f t="shared" si="5"/>
        <v>-9.7284250191047068</v>
      </c>
    </row>
    <row r="47" spans="1:16" x14ac:dyDescent="0.2">
      <c r="A47" s="8">
        <v>22.5</v>
      </c>
      <c r="B47" s="8">
        <v>45</v>
      </c>
      <c r="D47">
        <v>3595.8408360129001</v>
      </c>
      <c r="E47">
        <v>979.77491961415001</v>
      </c>
      <c r="F47">
        <v>148.52323717949</v>
      </c>
      <c r="G47">
        <v>121.69631410256</v>
      </c>
      <c r="I47" s="9">
        <f t="shared" si="1"/>
        <v>858.07860551159001</v>
      </c>
      <c r="J47" s="9">
        <f t="shared" si="2"/>
        <v>3447.3175988334101</v>
      </c>
      <c r="K47" s="9">
        <f t="shared" si="3"/>
        <v>858.07860551159001</v>
      </c>
      <c r="L47" s="10">
        <f t="shared" si="0"/>
        <v>0.24891196732264187</v>
      </c>
      <c r="M47" s="10">
        <f t="shared" si="4"/>
        <v>0.26169173870374574</v>
      </c>
      <c r="P47" s="8">
        <f t="shared" si="5"/>
        <v>-7.1468596728415879</v>
      </c>
    </row>
    <row r="48" spans="1:16" x14ac:dyDescent="0.2">
      <c r="A48" s="8">
        <v>23</v>
      </c>
      <c r="B48" s="8">
        <v>46</v>
      </c>
      <c r="D48">
        <v>3623.8014469453001</v>
      </c>
      <c r="E48">
        <v>988.20819935690997</v>
      </c>
      <c r="F48">
        <v>148.39182692308</v>
      </c>
      <c r="G48">
        <v>121.59935897436</v>
      </c>
      <c r="I48" s="9">
        <f t="shared" si="1"/>
        <v>866.60884038254994</v>
      </c>
      <c r="J48" s="9">
        <f t="shared" si="2"/>
        <v>3475.4096200222202</v>
      </c>
      <c r="K48" s="9">
        <f t="shared" si="3"/>
        <v>866.60884038254994</v>
      </c>
      <c r="L48" s="10">
        <f t="shared" si="0"/>
        <v>0.24935444598815643</v>
      </c>
      <c r="M48" s="10">
        <f t="shared" si="4"/>
        <v>0.26241821228884038</v>
      </c>
      <c r="P48" s="8">
        <f t="shared" si="5"/>
        <v>-6.8890932103812226</v>
      </c>
    </row>
    <row r="49" spans="1:25" x14ac:dyDescent="0.2">
      <c r="A49" s="8">
        <v>23.5</v>
      </c>
      <c r="B49" s="8">
        <v>47</v>
      </c>
      <c r="D49">
        <v>3647.1923688393999</v>
      </c>
      <c r="E49">
        <v>1009.4523052464</v>
      </c>
      <c r="F49">
        <v>147.74439102564</v>
      </c>
      <c r="G49">
        <v>121.62820512821</v>
      </c>
      <c r="I49" s="9">
        <f t="shared" si="1"/>
        <v>887.82410011819002</v>
      </c>
      <c r="J49" s="9">
        <f t="shared" si="2"/>
        <v>3499.4479778137597</v>
      </c>
      <c r="K49" s="9">
        <f t="shared" si="3"/>
        <v>887.82410011819002</v>
      </c>
      <c r="L49" s="10">
        <f t="shared" si="0"/>
        <v>0.25370404296532734</v>
      </c>
      <c r="M49" s="10">
        <f t="shared" si="4"/>
        <v>0.26705180418559138</v>
      </c>
      <c r="P49" s="8">
        <f t="shared" si="5"/>
        <v>-5.2450078420812627</v>
      </c>
    </row>
    <row r="50" spans="1:25" x14ac:dyDescent="0.2">
      <c r="A50" s="8">
        <v>24</v>
      </c>
      <c r="B50" s="8">
        <v>48</v>
      </c>
      <c r="D50">
        <v>3631.2321144674002</v>
      </c>
      <c r="E50">
        <v>1012.6430842607</v>
      </c>
      <c r="F50">
        <v>147.86698717949</v>
      </c>
      <c r="G50">
        <v>121.55208333333</v>
      </c>
      <c r="I50" s="9">
        <f t="shared" si="1"/>
        <v>891.09100092737003</v>
      </c>
      <c r="J50" s="9">
        <f t="shared" si="2"/>
        <v>3483.3651272879101</v>
      </c>
      <c r="K50" s="9">
        <f t="shared" si="3"/>
        <v>891.09100092737003</v>
      </c>
      <c r="L50" s="10">
        <f t="shared" si="0"/>
        <v>0.25581326342930882</v>
      </c>
      <c r="M50" s="10">
        <f t="shared" si="4"/>
        <v>0.26944501956915295</v>
      </c>
      <c r="P50" s="8">
        <f t="shared" si="5"/>
        <v>-4.395850108085984</v>
      </c>
    </row>
    <row r="51" spans="1:25" x14ac:dyDescent="0.2">
      <c r="A51" s="8">
        <v>24.5</v>
      </c>
      <c r="B51" s="8">
        <v>49</v>
      </c>
      <c r="D51">
        <v>3555.3982511924</v>
      </c>
      <c r="E51">
        <v>960.64626391096999</v>
      </c>
      <c r="F51">
        <v>147.80528846153999</v>
      </c>
      <c r="G51">
        <v>121.38782051282</v>
      </c>
      <c r="I51" s="9">
        <f t="shared" si="1"/>
        <v>839.25844339815001</v>
      </c>
      <c r="J51" s="9">
        <f t="shared" si="2"/>
        <v>3407.5929627308601</v>
      </c>
      <c r="K51" s="9">
        <f t="shared" si="3"/>
        <v>839.25844339815001</v>
      </c>
      <c r="L51" s="10">
        <f t="shared" si="0"/>
        <v>0.24629069627070851</v>
      </c>
      <c r="M51" s="10">
        <f t="shared" si="4"/>
        <v>0.26020644733013271</v>
      </c>
      <c r="P51" s="8">
        <f t="shared" si="5"/>
        <v>-7.6738689281736301</v>
      </c>
    </row>
    <row r="52" spans="1:25" x14ac:dyDescent="0.2">
      <c r="A52" s="8">
        <v>25</v>
      </c>
      <c r="B52" s="8">
        <v>50</v>
      </c>
      <c r="D52">
        <v>3328.146263911</v>
      </c>
      <c r="E52">
        <v>891.39825119237003</v>
      </c>
      <c r="F52">
        <v>147.67708333332999</v>
      </c>
      <c r="G52">
        <v>121.68189102564</v>
      </c>
      <c r="I52" s="9">
        <f t="shared" si="1"/>
        <v>769.71636016673006</v>
      </c>
      <c r="J52" s="9">
        <f t="shared" si="2"/>
        <v>3180.4691805776702</v>
      </c>
      <c r="K52" s="9">
        <f t="shared" si="3"/>
        <v>769.71636016673006</v>
      </c>
      <c r="L52" s="10">
        <f t="shared" si="0"/>
        <v>0.24201346294037224</v>
      </c>
      <c r="M52" s="10">
        <f t="shared" si="4"/>
        <v>0.25621320891937654</v>
      </c>
      <c r="P52" s="8">
        <f t="shared" si="5"/>
        <v>-9.0907448614773436</v>
      </c>
    </row>
    <row r="53" spans="1:25" x14ac:dyDescent="0.2">
      <c r="A53" s="8">
        <v>25.5</v>
      </c>
      <c r="B53" s="8">
        <v>51</v>
      </c>
      <c r="D53">
        <v>3510.4195859872998</v>
      </c>
      <c r="E53">
        <v>935.06608280255</v>
      </c>
      <c r="F53">
        <v>147.73798076923001</v>
      </c>
      <c r="G53">
        <v>121.40544871794999</v>
      </c>
      <c r="I53" s="9">
        <f t="shared" si="1"/>
        <v>813.66063408460002</v>
      </c>
      <c r="J53" s="9">
        <f t="shared" si="2"/>
        <v>3362.6816052180698</v>
      </c>
      <c r="K53" s="9">
        <f t="shared" si="3"/>
        <v>813.66063408460002</v>
      </c>
      <c r="L53" s="10">
        <f t="shared" si="0"/>
        <v>0.24196778928519286</v>
      </c>
      <c r="M53" s="10">
        <f t="shared" si="4"/>
        <v>0.25645153018377725</v>
      </c>
      <c r="P53" s="8">
        <f t="shared" si="5"/>
        <v>-9.0061840040503665</v>
      </c>
      <c r="S53" s="11"/>
      <c r="U53" s="12"/>
    </row>
    <row r="54" spans="1:25" x14ac:dyDescent="0.2">
      <c r="A54" s="8">
        <v>26</v>
      </c>
      <c r="B54" s="8">
        <v>52</v>
      </c>
      <c r="D54">
        <v>3429.9394904459</v>
      </c>
      <c r="E54">
        <v>914.02786624203998</v>
      </c>
      <c r="F54">
        <v>147.40865384615</v>
      </c>
      <c r="G54">
        <v>121.33253205128</v>
      </c>
      <c r="I54" s="9">
        <f t="shared" si="1"/>
        <v>792.69533419075992</v>
      </c>
      <c r="J54" s="9">
        <f t="shared" si="2"/>
        <v>3282.5308365997498</v>
      </c>
      <c r="K54" s="9">
        <f t="shared" si="3"/>
        <v>792.69533419075992</v>
      </c>
      <c r="L54" s="10">
        <f t="shared" si="0"/>
        <v>0.24148907463482755</v>
      </c>
      <c r="M54" s="10">
        <f t="shared" si="4"/>
        <v>0.25625681045299203</v>
      </c>
      <c r="P54" s="8">
        <f t="shared" si="5"/>
        <v>-9.0752742190362312</v>
      </c>
      <c r="S54" s="11"/>
    </row>
    <row r="55" spans="1:25" x14ac:dyDescent="0.2">
      <c r="A55" s="8">
        <v>26.5</v>
      </c>
      <c r="B55" s="8">
        <v>53</v>
      </c>
      <c r="D55">
        <v>3588.5546687949</v>
      </c>
      <c r="E55">
        <v>956.01755786112994</v>
      </c>
      <c r="F55">
        <v>147.82932692308</v>
      </c>
      <c r="G55">
        <v>121.31570512821</v>
      </c>
      <c r="I55" s="9">
        <f t="shared" si="1"/>
        <v>834.70185273291997</v>
      </c>
      <c r="J55" s="9">
        <f t="shared" si="2"/>
        <v>3440.7253418718201</v>
      </c>
      <c r="K55" s="9">
        <f t="shared" si="3"/>
        <v>834.70185273291997</v>
      </c>
      <c r="L55" s="10">
        <f t="shared" si="0"/>
        <v>0.24259473506212101</v>
      </c>
      <c r="M55" s="10">
        <f t="shared" si="4"/>
        <v>0.25764646579986555</v>
      </c>
      <c r="P55" s="8">
        <f t="shared" si="5"/>
        <v>-8.5821984208899682</v>
      </c>
      <c r="S55" s="11"/>
    </row>
    <row r="56" spans="1:25" x14ac:dyDescent="0.2">
      <c r="A56" s="8">
        <v>27</v>
      </c>
      <c r="B56" s="8">
        <v>54</v>
      </c>
      <c r="D56">
        <v>3542.8494023904</v>
      </c>
      <c r="E56">
        <v>944.07091633465996</v>
      </c>
      <c r="F56">
        <v>147.60416666667001</v>
      </c>
      <c r="G56">
        <v>121.69871794872</v>
      </c>
      <c r="I56" s="9">
        <f t="shared" si="1"/>
        <v>822.37219838594001</v>
      </c>
      <c r="J56" s="9">
        <f t="shared" si="2"/>
        <v>3395.2452357237298</v>
      </c>
      <c r="K56" s="9">
        <f t="shared" si="3"/>
        <v>822.37219838594001</v>
      </c>
      <c r="L56" s="10">
        <f t="shared" si="0"/>
        <v>0.24221290106917515</v>
      </c>
      <c r="M56" s="10">
        <f t="shared" si="4"/>
        <v>0.25754862672649981</v>
      </c>
      <c r="P56" s="8">
        <f t="shared" si="5"/>
        <v>-8.6169135603655516</v>
      </c>
      <c r="S56" s="11"/>
    </row>
    <row r="57" spans="1:25" x14ac:dyDescent="0.2">
      <c r="A57" s="8">
        <v>27.5</v>
      </c>
      <c r="B57" s="8">
        <v>55</v>
      </c>
      <c r="D57">
        <v>3525.8071713147001</v>
      </c>
      <c r="E57">
        <v>937.43346613545998</v>
      </c>
      <c r="F57">
        <v>147.95913461539001</v>
      </c>
      <c r="G57">
        <v>121.47435897436</v>
      </c>
      <c r="I57" s="9">
        <f t="shared" si="1"/>
        <v>815.95910716109995</v>
      </c>
      <c r="J57" s="9">
        <f t="shared" si="2"/>
        <v>3377.8480366993099</v>
      </c>
      <c r="K57" s="9">
        <f t="shared" si="3"/>
        <v>815.95910716109995</v>
      </c>
      <c r="L57" s="10">
        <f t="shared" si="0"/>
        <v>0.24156181636827589</v>
      </c>
      <c r="M57" s="10">
        <f t="shared" si="4"/>
        <v>0.25718153694518064</v>
      </c>
      <c r="P57" s="8">
        <f t="shared" si="5"/>
        <v>-8.7471639043249443</v>
      </c>
      <c r="S57" s="11"/>
    </row>
    <row r="58" spans="1:25" x14ac:dyDescent="0.2">
      <c r="A58" s="8">
        <v>28</v>
      </c>
      <c r="B58" s="8">
        <v>56</v>
      </c>
      <c r="D58">
        <v>3837.2708498809002</v>
      </c>
      <c r="E58">
        <v>1035.8022239873001</v>
      </c>
      <c r="F58">
        <v>147.60817307692</v>
      </c>
      <c r="G58">
        <v>120.89583333333</v>
      </c>
      <c r="I58" s="9">
        <f t="shared" si="1"/>
        <v>914.90639065397011</v>
      </c>
      <c r="J58" s="9">
        <f t="shared" si="2"/>
        <v>3689.66267680398</v>
      </c>
      <c r="K58" s="9">
        <f t="shared" si="3"/>
        <v>914.90639065397011</v>
      </c>
      <c r="L58" s="10">
        <f t="shared" si="0"/>
        <v>0.24796477911267228</v>
      </c>
      <c r="M58" s="10">
        <f t="shared" si="4"/>
        <v>0.26386849460915712</v>
      </c>
      <c r="P58" s="8">
        <f t="shared" si="5"/>
        <v>-6.3745058242092183</v>
      </c>
      <c r="S58" s="11"/>
    </row>
    <row r="59" spans="1:25" x14ac:dyDescent="0.2">
      <c r="A59" s="8">
        <v>28.5</v>
      </c>
      <c r="B59" s="8">
        <v>57</v>
      </c>
      <c r="D59">
        <v>3792.9912767645001</v>
      </c>
      <c r="E59">
        <v>1068.1173671689</v>
      </c>
      <c r="F59">
        <v>147.47435897436</v>
      </c>
      <c r="G59">
        <v>120.94070512821</v>
      </c>
      <c r="I59" s="9">
        <f t="shared" si="1"/>
        <v>947.17666204069008</v>
      </c>
      <c r="J59" s="9">
        <f t="shared" si="2"/>
        <v>3645.5169177901403</v>
      </c>
      <c r="K59" s="9">
        <f t="shared" si="3"/>
        <v>947.17666204069008</v>
      </c>
      <c r="L59" s="10">
        <f t="shared" si="0"/>
        <v>0.25981957659240679</v>
      </c>
      <c r="M59" s="10">
        <f t="shared" si="4"/>
        <v>0.27600728700847171</v>
      </c>
      <c r="P59" s="8">
        <f t="shared" si="5"/>
        <v>-2.0674344598671066</v>
      </c>
      <c r="R59" s="1"/>
      <c r="S59" s="11"/>
    </row>
    <row r="60" spans="1:25" x14ac:dyDescent="0.2">
      <c r="A60" s="8">
        <v>29</v>
      </c>
      <c r="B60" s="8">
        <v>58</v>
      </c>
      <c r="D60">
        <v>3471.8799682035001</v>
      </c>
      <c r="E60">
        <v>973.64308426073001</v>
      </c>
      <c r="F60">
        <v>147.43669871795001</v>
      </c>
      <c r="G60">
        <v>121.15544871794999</v>
      </c>
      <c r="I60" s="9">
        <f t="shared" si="1"/>
        <v>852.48763554278003</v>
      </c>
      <c r="J60" s="9">
        <f t="shared" si="2"/>
        <v>3324.44326948555</v>
      </c>
      <c r="K60" s="9">
        <f t="shared" si="3"/>
        <v>852.48763554278003</v>
      </c>
      <c r="L60" s="10">
        <f t="shared" si="0"/>
        <v>0.25643019490439389</v>
      </c>
      <c r="M60" s="10">
        <f t="shared" si="4"/>
        <v>0.27290190024003891</v>
      </c>
      <c r="P60" s="8">
        <f t="shared" si="5"/>
        <v>-3.1692839672595423</v>
      </c>
      <c r="S60" s="11"/>
    </row>
    <row r="61" spans="1:25" x14ac:dyDescent="0.2">
      <c r="A61" s="8">
        <v>29.5</v>
      </c>
      <c r="B61" s="8">
        <v>59</v>
      </c>
      <c r="C61" s="2"/>
      <c r="D61">
        <v>3508.8685258964001</v>
      </c>
      <c r="E61">
        <v>1042.9824701195</v>
      </c>
      <c r="F61">
        <v>147.37099358974001</v>
      </c>
      <c r="G61">
        <v>121.33413461539</v>
      </c>
      <c r="I61" s="9">
        <f t="shared" si="1"/>
        <v>921.64833550411004</v>
      </c>
      <c r="J61" s="9">
        <f t="shared" si="2"/>
        <v>3361.4975323066601</v>
      </c>
      <c r="K61" s="9">
        <f t="shared" si="3"/>
        <v>921.64833550411004</v>
      </c>
      <c r="L61" s="10">
        <f t="shared" si="0"/>
        <v>0.27417790036920681</v>
      </c>
      <c r="M61" s="10">
        <f t="shared" si="4"/>
        <v>0.29093360062443185</v>
      </c>
      <c r="P61" s="8">
        <f t="shared" si="5"/>
        <v>3.2287017483871598</v>
      </c>
      <c r="S61" s="11"/>
    </row>
    <row r="62" spans="1:25" x14ac:dyDescent="0.2">
      <c r="A62" s="8">
        <v>30</v>
      </c>
      <c r="B62" s="8">
        <v>60</v>
      </c>
      <c r="D62">
        <v>3615.3800796812998</v>
      </c>
      <c r="E62">
        <v>1091.2685258964</v>
      </c>
      <c r="F62">
        <v>147.56490384615</v>
      </c>
      <c r="G62">
        <v>121.5</v>
      </c>
      <c r="I62" s="9">
        <f t="shared" si="1"/>
        <v>969.76852589639998</v>
      </c>
      <c r="J62" s="9">
        <f t="shared" si="2"/>
        <v>3467.8151758351496</v>
      </c>
      <c r="K62" s="9">
        <f t="shared" si="3"/>
        <v>969.76852589639998</v>
      </c>
      <c r="L62" s="10">
        <f t="shared" si="0"/>
        <v>0.27964827325690789</v>
      </c>
      <c r="M62" s="10">
        <f t="shared" si="4"/>
        <v>0.29668796843171302</v>
      </c>
      <c r="P62" s="8">
        <f t="shared" si="5"/>
        <v>5.2704594444848594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3749.0031872509999</v>
      </c>
      <c r="E63">
        <v>1139.5553784860999</v>
      </c>
      <c r="F63">
        <v>147.30608974359001</v>
      </c>
      <c r="G63">
        <v>121.05448717949</v>
      </c>
      <c r="I63" s="9">
        <f t="shared" si="1"/>
        <v>1018.5008913066099</v>
      </c>
      <c r="J63" s="9">
        <f t="shared" si="2"/>
        <v>3601.69709750741</v>
      </c>
      <c r="K63" s="9">
        <f t="shared" si="3"/>
        <v>1018.5008913066099</v>
      </c>
      <c r="L63" s="10">
        <f t="shared" si="0"/>
        <v>0.28278360554291848</v>
      </c>
      <c r="M63" s="10">
        <f t="shared" si="4"/>
        <v>0.30010729563730371</v>
      </c>
      <c r="P63" s="8">
        <f t="shared" si="5"/>
        <v>6.4837009110204544</v>
      </c>
    </row>
    <row r="64" spans="1:25" x14ac:dyDescent="0.2">
      <c r="A64" s="8">
        <v>31</v>
      </c>
      <c r="B64" s="8">
        <v>62</v>
      </c>
      <c r="D64">
        <v>3814.9229547260002</v>
      </c>
      <c r="E64">
        <v>1104.0730738682</v>
      </c>
      <c r="F64">
        <v>147.29246794872</v>
      </c>
      <c r="G64">
        <v>121.01442307692</v>
      </c>
      <c r="I64" s="9">
        <f t="shared" si="1"/>
        <v>983.05865079128</v>
      </c>
      <c r="J64" s="9">
        <f t="shared" si="2"/>
        <v>3667.6304867772801</v>
      </c>
      <c r="K64" s="9">
        <f t="shared" si="3"/>
        <v>983.05865079128</v>
      </c>
      <c r="L64" s="10">
        <f t="shared" si="0"/>
        <v>0.268036448692269</v>
      </c>
      <c r="M64" s="10">
        <f t="shared" si="4"/>
        <v>0.28564413370623432</v>
      </c>
      <c r="P64" s="8">
        <f t="shared" si="5"/>
        <v>1.3518996130042431</v>
      </c>
      <c r="U64" s="8">
        <v>30.5</v>
      </c>
      <c r="V64" s="10">
        <f>L62</f>
        <v>0.27964827325690789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3828.4773629864999</v>
      </c>
      <c r="E65">
        <v>1074.5742652899</v>
      </c>
      <c r="F65">
        <v>147.12660256410001</v>
      </c>
      <c r="G65">
        <v>120.9671474359</v>
      </c>
      <c r="I65" s="9">
        <f t="shared" si="1"/>
        <v>953.60711785400008</v>
      </c>
      <c r="J65" s="9">
        <f t="shared" si="2"/>
        <v>3681.3507604224001</v>
      </c>
      <c r="K65" s="9">
        <f t="shared" si="3"/>
        <v>953.60711785400008</v>
      </c>
      <c r="L65" s="10">
        <f t="shared" si="0"/>
        <v>0.25903728818945326</v>
      </c>
      <c r="M65" s="10">
        <f t="shared" si="4"/>
        <v>0.27692896812299866</v>
      </c>
      <c r="P65" s="8">
        <f t="shared" si="5"/>
        <v>-1.7404047023058768</v>
      </c>
      <c r="U65" s="8">
        <v>31</v>
      </c>
      <c r="V65" s="10">
        <f t="shared" ref="V65:V83" si="6">L63</f>
        <v>0.28278360554291848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3819.6981731533001</v>
      </c>
      <c r="E66">
        <v>1076.6513105639001</v>
      </c>
      <c r="F66">
        <v>147.14823717949</v>
      </c>
      <c r="G66">
        <v>121.19711538462001</v>
      </c>
      <c r="I66" s="9">
        <f t="shared" si="1"/>
        <v>955.45419517928008</v>
      </c>
      <c r="J66" s="9">
        <f t="shared" si="2"/>
        <v>3672.5499359738101</v>
      </c>
      <c r="K66" s="9">
        <f t="shared" si="3"/>
        <v>955.45419517928008</v>
      </c>
      <c r="L66" s="10">
        <f t="shared" ref="L66:L129" si="7">K66/J66</f>
        <v>0.26016098128994747</v>
      </c>
      <c r="M66" s="10">
        <f t="shared" si="4"/>
        <v>0.27833665614307296</v>
      </c>
      <c r="P66" s="8">
        <f t="shared" si="5"/>
        <v>-1.2409305732704565</v>
      </c>
      <c r="U66" s="8">
        <v>31.5</v>
      </c>
      <c r="V66" s="10">
        <f t="shared" si="6"/>
        <v>0.268036448692269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3846.9824140688002</v>
      </c>
      <c r="E67">
        <v>1089.0231814547999</v>
      </c>
      <c r="F67">
        <v>147.48717948717999</v>
      </c>
      <c r="G67">
        <v>121.22355769231</v>
      </c>
      <c r="I67" s="9">
        <f t="shared" ref="I67:I130" si="8">E67-G67</f>
        <v>967.79962376248989</v>
      </c>
      <c r="J67" s="9">
        <f t="shared" ref="J67:J130" si="9">D67-F67</f>
        <v>3699.49523458162</v>
      </c>
      <c r="K67" s="9">
        <f t="shared" ref="K67:K130" si="10">I67*1</f>
        <v>967.79962376248989</v>
      </c>
      <c r="L67" s="10">
        <f t="shared" si="7"/>
        <v>0.26160315459142347</v>
      </c>
      <c r="M67" s="10">
        <f t="shared" ref="M67:M130" si="11">L67+ABS($N$2)*A67</f>
        <v>0.28006282436412905</v>
      </c>
      <c r="P67" s="8">
        <f t="shared" ref="P67:P130" si="12">(M67-$O$2)/$O$2*100</f>
        <v>-0.62845369168478527</v>
      </c>
      <c r="U67" s="8">
        <v>32</v>
      </c>
      <c r="V67" s="10">
        <f t="shared" si="6"/>
        <v>0.25903728818945326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3920.6570743405</v>
      </c>
      <c r="E68">
        <v>1089.4148681055001</v>
      </c>
      <c r="F68">
        <v>147.63782051282001</v>
      </c>
      <c r="G68">
        <v>120.86618589744</v>
      </c>
      <c r="I68" s="9">
        <f t="shared" si="8"/>
        <v>968.54868220806009</v>
      </c>
      <c r="J68" s="9">
        <f t="shared" si="9"/>
        <v>3773.0192538276801</v>
      </c>
      <c r="K68" s="9">
        <f t="shared" si="10"/>
        <v>968.54868220806009</v>
      </c>
      <c r="L68" s="10">
        <f t="shared" si="7"/>
        <v>0.2567038801155016</v>
      </c>
      <c r="M68" s="10">
        <f t="shared" si="11"/>
        <v>0.27544754480778727</v>
      </c>
      <c r="P68" s="8">
        <f t="shared" si="12"/>
        <v>-2.2660414979212322</v>
      </c>
      <c r="U68" s="8">
        <v>32.5</v>
      </c>
      <c r="V68" s="10">
        <f t="shared" si="6"/>
        <v>0.26016098128994747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3989.2098070739999</v>
      </c>
      <c r="E69">
        <v>1114.4758842444</v>
      </c>
      <c r="F69">
        <v>147.50480769231001</v>
      </c>
      <c r="G69">
        <v>121.11698717949</v>
      </c>
      <c r="I69" s="9">
        <f t="shared" si="8"/>
        <v>993.35889706491002</v>
      </c>
      <c r="J69" s="9">
        <f t="shared" si="9"/>
        <v>3841.70499938169</v>
      </c>
      <c r="K69" s="9">
        <f t="shared" si="10"/>
        <v>993.35889706491002</v>
      </c>
      <c r="L69" s="10">
        <f t="shared" si="7"/>
        <v>0.25857240397812636</v>
      </c>
      <c r="M69" s="10">
        <f t="shared" si="11"/>
        <v>0.27760006358999212</v>
      </c>
      <c r="P69" s="8">
        <f t="shared" si="12"/>
        <v>-1.50228743548529</v>
      </c>
      <c r="U69" s="8">
        <v>33</v>
      </c>
      <c r="V69" s="10">
        <f t="shared" si="6"/>
        <v>0.26160315459142347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4122.5329581994001</v>
      </c>
      <c r="E70">
        <v>1147.3400321542999</v>
      </c>
      <c r="F70">
        <v>146.48237179487001</v>
      </c>
      <c r="G70">
        <v>120.81330128205001</v>
      </c>
      <c r="I70" s="9">
        <f t="shared" si="8"/>
        <v>1026.52673087225</v>
      </c>
      <c r="J70" s="9">
        <f t="shared" si="9"/>
        <v>3976.0505864045299</v>
      </c>
      <c r="K70" s="9">
        <f t="shared" si="10"/>
        <v>1026.52673087225</v>
      </c>
      <c r="L70" s="10">
        <f t="shared" si="7"/>
        <v>0.2581774825456935</v>
      </c>
      <c r="M70" s="10">
        <f t="shared" si="11"/>
        <v>0.27748913707713935</v>
      </c>
      <c r="P70" s="8">
        <f t="shared" si="12"/>
        <v>-1.5416462441161616</v>
      </c>
      <c r="U70" s="8">
        <v>33.5</v>
      </c>
      <c r="V70" s="10">
        <f t="shared" si="6"/>
        <v>0.2567038801155016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3904.1849479583998</v>
      </c>
      <c r="E71">
        <v>1092.6925540432001</v>
      </c>
      <c r="F71">
        <v>147.60977564103001</v>
      </c>
      <c r="G71">
        <v>121.1578525641</v>
      </c>
      <c r="I71" s="9">
        <f t="shared" si="8"/>
        <v>971.53470147910002</v>
      </c>
      <c r="J71" s="9">
        <f t="shared" si="9"/>
        <v>3756.5751723173698</v>
      </c>
      <c r="K71" s="9">
        <f t="shared" si="10"/>
        <v>971.53470147910002</v>
      </c>
      <c r="L71" s="10">
        <f t="shared" si="7"/>
        <v>0.2586224571355446</v>
      </c>
      <c r="M71" s="10">
        <f t="shared" si="11"/>
        <v>0.27821810658657053</v>
      </c>
      <c r="P71" s="8">
        <f t="shared" si="12"/>
        <v>-1.2829941808576393</v>
      </c>
      <c r="U71" s="8">
        <v>34</v>
      </c>
      <c r="V71" s="10">
        <f t="shared" si="6"/>
        <v>0.25857240397812636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3962.6862589357002</v>
      </c>
      <c r="E72">
        <v>1083.0317712470001</v>
      </c>
      <c r="F72">
        <v>146.88060897436</v>
      </c>
      <c r="G72">
        <v>120.69150641026</v>
      </c>
      <c r="I72" s="9">
        <f t="shared" si="8"/>
        <v>962.34026483674006</v>
      </c>
      <c r="J72" s="9">
        <f t="shared" si="9"/>
        <v>3815.8056499613404</v>
      </c>
      <c r="K72" s="9">
        <f t="shared" si="10"/>
        <v>962.34026483674006</v>
      </c>
      <c r="L72" s="10">
        <f t="shared" si="7"/>
        <v>0.25219844853641588</v>
      </c>
      <c r="M72" s="10">
        <f t="shared" si="11"/>
        <v>0.2720780929070219</v>
      </c>
      <c r="P72" s="8">
        <f t="shared" si="12"/>
        <v>-3.4615862702442253</v>
      </c>
      <c r="U72" s="8">
        <v>34.5</v>
      </c>
      <c r="V72" s="10">
        <f t="shared" si="6"/>
        <v>0.2581774825456935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3707.8268467037001</v>
      </c>
      <c r="E73">
        <v>1019.7084988086</v>
      </c>
      <c r="F73">
        <v>147.44310897436</v>
      </c>
      <c r="G73">
        <v>121.17387820512999</v>
      </c>
      <c r="I73" s="9">
        <f t="shared" si="8"/>
        <v>898.53462060346999</v>
      </c>
      <c r="J73" s="9">
        <f t="shared" si="9"/>
        <v>3560.3837377293403</v>
      </c>
      <c r="K73" s="9">
        <f t="shared" si="10"/>
        <v>898.53462060346999</v>
      </c>
      <c r="L73" s="10">
        <f t="shared" si="7"/>
        <v>0.25237016198049395</v>
      </c>
      <c r="M73" s="10">
        <f t="shared" si="11"/>
        <v>0.27253380127068005</v>
      </c>
      <c r="P73" s="8">
        <f t="shared" si="12"/>
        <v>-3.299892390075875</v>
      </c>
      <c r="U73" s="8">
        <v>35</v>
      </c>
      <c r="V73" s="10">
        <f t="shared" si="6"/>
        <v>0.2586224571355446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3857.8268467037001</v>
      </c>
      <c r="E74">
        <v>1068.9372517871</v>
      </c>
      <c r="F74">
        <v>146.64903846153999</v>
      </c>
      <c r="G74">
        <v>120.85897435897</v>
      </c>
      <c r="I74" s="9">
        <f t="shared" si="8"/>
        <v>948.07827742812992</v>
      </c>
      <c r="J74" s="9">
        <f t="shared" si="9"/>
        <v>3711.1778082421602</v>
      </c>
      <c r="K74" s="9">
        <f t="shared" si="10"/>
        <v>948.07827742812992</v>
      </c>
      <c r="L74" s="10">
        <f t="shared" si="7"/>
        <v>0.25546560321700068</v>
      </c>
      <c r="M74" s="10">
        <f t="shared" si="11"/>
        <v>0.27591323742676688</v>
      </c>
      <c r="P74" s="8">
        <f t="shared" si="12"/>
        <v>-2.1008050165801557</v>
      </c>
      <c r="U74" s="8">
        <v>35.5</v>
      </c>
      <c r="V74" s="10">
        <f t="shared" si="6"/>
        <v>0.25219844853641588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3878.3674603175</v>
      </c>
      <c r="E75">
        <v>1108.2142857143001</v>
      </c>
      <c r="F75">
        <v>146.78365384615</v>
      </c>
      <c r="G75">
        <v>121.11538461539</v>
      </c>
      <c r="I75" s="9">
        <f t="shared" si="8"/>
        <v>987.09890109891012</v>
      </c>
      <c r="J75" s="9">
        <f t="shared" si="9"/>
        <v>3731.5838064713498</v>
      </c>
      <c r="K75" s="9">
        <f t="shared" si="10"/>
        <v>987.09890109891012</v>
      </c>
      <c r="L75" s="10">
        <f t="shared" si="7"/>
        <v>0.264525454148202</v>
      </c>
      <c r="M75" s="10">
        <f t="shared" si="11"/>
        <v>0.28525708327754828</v>
      </c>
      <c r="P75" s="8">
        <f t="shared" si="12"/>
        <v>1.2145668567373125</v>
      </c>
      <c r="U75" s="8">
        <v>36</v>
      </c>
      <c r="V75" s="10">
        <f t="shared" si="6"/>
        <v>0.25237016198049395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3859.9505187549998</v>
      </c>
      <c r="E76">
        <v>1115.1516360733999</v>
      </c>
      <c r="F76">
        <v>146.72596153846001</v>
      </c>
      <c r="G76">
        <v>121.01602564103</v>
      </c>
      <c r="I76" s="9">
        <f t="shared" si="8"/>
        <v>994.13561043236996</v>
      </c>
      <c r="J76" s="9">
        <f t="shared" si="9"/>
        <v>3713.2245572165398</v>
      </c>
      <c r="K76" s="9">
        <f t="shared" si="10"/>
        <v>994.13561043236996</v>
      </c>
      <c r="L76" s="10">
        <f t="shared" si="7"/>
        <v>0.26772838408070349</v>
      </c>
      <c r="M76" s="10">
        <f t="shared" si="11"/>
        <v>0.28874400812962986</v>
      </c>
      <c r="P76" s="8">
        <f t="shared" si="12"/>
        <v>2.4517932369216715</v>
      </c>
      <c r="U76" s="8">
        <v>36.5</v>
      </c>
      <c r="V76" s="10">
        <f t="shared" si="6"/>
        <v>0.25546560321700068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4084.4561403509001</v>
      </c>
      <c r="E77">
        <v>1175.6339712919</v>
      </c>
      <c r="F77">
        <v>146.66666666667001</v>
      </c>
      <c r="G77">
        <v>120.42948717949</v>
      </c>
      <c r="I77" s="9">
        <f t="shared" si="8"/>
        <v>1055.20448411241</v>
      </c>
      <c r="J77" s="9">
        <f t="shared" si="9"/>
        <v>3937.78947368423</v>
      </c>
      <c r="K77" s="9">
        <f t="shared" si="10"/>
        <v>1055.20448411241</v>
      </c>
      <c r="L77" s="10">
        <f t="shared" si="7"/>
        <v>0.26796874011782845</v>
      </c>
      <c r="M77" s="10">
        <f t="shared" si="11"/>
        <v>0.28926835908633491</v>
      </c>
      <c r="P77" s="8">
        <f t="shared" si="12"/>
        <v>2.6378427973884322</v>
      </c>
      <c r="U77" s="8">
        <v>37</v>
      </c>
      <c r="V77" s="10">
        <f t="shared" si="6"/>
        <v>0.264525454148202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4195.4274322169003</v>
      </c>
      <c r="E78">
        <v>1192.4625199361999</v>
      </c>
      <c r="F78">
        <v>146.68028846153999</v>
      </c>
      <c r="G78">
        <v>120.96394230769</v>
      </c>
      <c r="I78" s="9">
        <f t="shared" si="8"/>
        <v>1071.4985776285098</v>
      </c>
      <c r="J78" s="9">
        <f t="shared" si="9"/>
        <v>4048.7471437553604</v>
      </c>
      <c r="K78" s="9">
        <f t="shared" si="10"/>
        <v>1071.4985776285098</v>
      </c>
      <c r="L78" s="10">
        <f t="shared" si="7"/>
        <v>0.2646494185938853</v>
      </c>
      <c r="M78" s="10">
        <f t="shared" si="11"/>
        <v>0.28623303248197185</v>
      </c>
      <c r="P78" s="8">
        <f t="shared" si="12"/>
        <v>1.5608519510983092</v>
      </c>
      <c r="U78" s="8">
        <v>37.5</v>
      </c>
      <c r="V78" s="10">
        <f t="shared" si="6"/>
        <v>0.26772838408070349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4114.5095693780004</v>
      </c>
      <c r="E79">
        <v>1145.4370015949</v>
      </c>
      <c r="F79">
        <v>147.35817307692</v>
      </c>
      <c r="G79">
        <v>120.54967948718</v>
      </c>
      <c r="I79" s="9">
        <f t="shared" si="8"/>
        <v>1024.8873221077201</v>
      </c>
      <c r="J79" s="9">
        <f t="shared" si="9"/>
        <v>3967.1513963010802</v>
      </c>
      <c r="K79" s="9">
        <f t="shared" si="10"/>
        <v>1024.8873221077201</v>
      </c>
      <c r="L79" s="10">
        <f t="shared" si="7"/>
        <v>0.25834338539822593</v>
      </c>
      <c r="M79" s="10">
        <f t="shared" si="11"/>
        <v>0.28021099420589257</v>
      </c>
      <c r="P79" s="8">
        <f t="shared" si="12"/>
        <v>-0.57588025097293905</v>
      </c>
      <c r="U79" s="8">
        <v>38</v>
      </c>
      <c r="V79" s="10">
        <f t="shared" si="6"/>
        <v>0.26796874011782845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3742.2093576527</v>
      </c>
      <c r="E80">
        <v>1028.3743061063001</v>
      </c>
      <c r="F80">
        <v>146.73076923076999</v>
      </c>
      <c r="G80">
        <v>120.72596153846</v>
      </c>
      <c r="I80" s="9">
        <f t="shared" si="8"/>
        <v>907.64834456784013</v>
      </c>
      <c r="J80" s="9">
        <f t="shared" si="9"/>
        <v>3595.47858842193</v>
      </c>
      <c r="K80" s="9">
        <f t="shared" si="10"/>
        <v>907.64834456784013</v>
      </c>
      <c r="L80" s="10">
        <f t="shared" si="7"/>
        <v>0.25244159358663032</v>
      </c>
      <c r="M80" s="10">
        <f t="shared" si="11"/>
        <v>0.27459319731387705</v>
      </c>
      <c r="P80" s="8">
        <f t="shared" si="12"/>
        <v>-2.5691800231690936</v>
      </c>
      <c r="U80" s="8">
        <v>38.5</v>
      </c>
      <c r="V80" s="10">
        <f t="shared" si="6"/>
        <v>0.2646494185938853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3925.5644904459</v>
      </c>
      <c r="E81">
        <v>1113.9243630573001</v>
      </c>
      <c r="F81">
        <v>146.35897435896999</v>
      </c>
      <c r="G81">
        <v>120.4078525641</v>
      </c>
      <c r="I81" s="9">
        <f t="shared" si="8"/>
        <v>993.51651049320003</v>
      </c>
      <c r="J81" s="9">
        <f t="shared" si="9"/>
        <v>3779.2055160869299</v>
      </c>
      <c r="K81" s="9">
        <f t="shared" si="10"/>
        <v>993.51651049320003</v>
      </c>
      <c r="L81" s="10">
        <f t="shared" si="7"/>
        <v>0.26289031021575887</v>
      </c>
      <c r="M81" s="10">
        <f t="shared" si="11"/>
        <v>0.28532590886258569</v>
      </c>
      <c r="P81" s="8">
        <f t="shared" si="12"/>
        <v>1.2389874660283506</v>
      </c>
      <c r="U81" s="8">
        <v>39</v>
      </c>
      <c r="V81" s="10">
        <f t="shared" si="6"/>
        <v>0.25834338539822593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4001.2396496814999</v>
      </c>
      <c r="E82">
        <v>1161.7412420382</v>
      </c>
      <c r="F82">
        <v>146.53125</v>
      </c>
      <c r="G82">
        <v>120.91746794872</v>
      </c>
      <c r="H82" s="13"/>
      <c r="I82" s="14">
        <f t="shared" si="8"/>
        <v>1040.8237740894799</v>
      </c>
      <c r="J82" s="14">
        <f t="shared" si="9"/>
        <v>3854.7083996814999</v>
      </c>
      <c r="K82" s="9">
        <f t="shared" si="10"/>
        <v>1040.8237740894799</v>
      </c>
      <c r="L82" s="15">
        <f t="shared" si="7"/>
        <v>0.27001362130932632</v>
      </c>
      <c r="M82" s="15">
        <f t="shared" si="11"/>
        <v>0.29273321487573323</v>
      </c>
      <c r="N82" s="13"/>
      <c r="O82" s="13"/>
      <c r="P82" s="13">
        <f t="shared" si="12"/>
        <v>3.8672386599402211</v>
      </c>
      <c r="U82" s="8">
        <v>39.5</v>
      </c>
      <c r="V82" s="10">
        <f t="shared" si="6"/>
        <v>0.25244159358663032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3962.3987189752002</v>
      </c>
      <c r="E83">
        <v>1137.2017614091001</v>
      </c>
      <c r="F83">
        <v>146.96554487180001</v>
      </c>
      <c r="G83">
        <v>120.71394230769</v>
      </c>
      <c r="I83" s="9">
        <f t="shared" si="8"/>
        <v>1016.4878191014101</v>
      </c>
      <c r="J83" s="9">
        <f t="shared" si="9"/>
        <v>3815.4331741034002</v>
      </c>
      <c r="K83" s="9">
        <f t="shared" si="10"/>
        <v>1016.4878191014101</v>
      </c>
      <c r="L83" s="10">
        <f t="shared" si="7"/>
        <v>0.26641478771025195</v>
      </c>
      <c r="M83" s="10">
        <f t="shared" si="11"/>
        <v>0.28941837619623889</v>
      </c>
      <c r="P83" s="8">
        <f t="shared" si="12"/>
        <v>2.6910716835060717</v>
      </c>
      <c r="U83" s="8">
        <v>40</v>
      </c>
      <c r="V83" s="10">
        <f t="shared" si="6"/>
        <v>0.26289031021575887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3891.0173913044</v>
      </c>
      <c r="E84">
        <v>1127.1193675889001</v>
      </c>
      <c r="F84">
        <v>146.47275641025999</v>
      </c>
      <c r="G84">
        <v>120.76442307692</v>
      </c>
      <c r="I84" s="9">
        <f t="shared" si="8"/>
        <v>1006.3549445119801</v>
      </c>
      <c r="J84" s="9">
        <f t="shared" si="9"/>
        <v>3744.54463489414</v>
      </c>
      <c r="K84" s="9">
        <f t="shared" si="10"/>
        <v>1006.3549445119801</v>
      </c>
      <c r="L84" s="10">
        <f t="shared" si="7"/>
        <v>0.26875228970008797</v>
      </c>
      <c r="M84" s="10">
        <f t="shared" si="11"/>
        <v>0.29203987310565505</v>
      </c>
      <c r="P84" s="8">
        <f t="shared" si="12"/>
        <v>3.6212279872661726</v>
      </c>
      <c r="U84" s="8">
        <v>150.5</v>
      </c>
      <c r="V84" s="10">
        <f>L302</f>
        <v>0.19384131015838454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3907.0973101266</v>
      </c>
      <c r="E85">
        <v>1106.7784810127</v>
      </c>
      <c r="F85">
        <v>146.74759615385</v>
      </c>
      <c r="G85">
        <v>120.49038461539</v>
      </c>
      <c r="I85" s="9">
        <f t="shared" si="8"/>
        <v>986.28809639731003</v>
      </c>
      <c r="J85" s="9">
        <f t="shared" si="9"/>
        <v>3760.3497139727501</v>
      </c>
      <c r="K85" s="9">
        <f t="shared" si="10"/>
        <v>986.28809639731003</v>
      </c>
      <c r="L85" s="10">
        <f t="shared" si="7"/>
        <v>0.26228626894260648</v>
      </c>
      <c r="M85" s="10">
        <f t="shared" si="11"/>
        <v>0.2858578472677536</v>
      </c>
      <c r="P85" s="8">
        <f t="shared" si="12"/>
        <v>1.4277291956110953</v>
      </c>
      <c r="U85" s="8">
        <v>151</v>
      </c>
      <c r="V85" s="10">
        <f t="shared" ref="V85:V103" si="13">L303</f>
        <v>0.19439426165601917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3819.4865506329002</v>
      </c>
      <c r="E86">
        <v>1048.1115506328999</v>
      </c>
      <c r="F86">
        <v>146.24278846153999</v>
      </c>
      <c r="G86">
        <v>120.19310897436</v>
      </c>
      <c r="I86" s="9">
        <f t="shared" si="8"/>
        <v>927.9184416585399</v>
      </c>
      <c r="J86" s="9">
        <f t="shared" si="9"/>
        <v>3673.2437621713602</v>
      </c>
      <c r="K86" s="9">
        <f t="shared" si="10"/>
        <v>927.9184416585399</v>
      </c>
      <c r="L86" s="10">
        <f t="shared" si="7"/>
        <v>0.25261553595071529</v>
      </c>
      <c r="M86" s="10">
        <f t="shared" si="11"/>
        <v>0.27647110919544249</v>
      </c>
      <c r="P86" s="8">
        <f t="shared" si="12"/>
        <v>-1.9028616429070642</v>
      </c>
      <c r="U86" s="8">
        <v>151.5</v>
      </c>
      <c r="V86" s="10">
        <f t="shared" si="13"/>
        <v>0.20100421570569815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3730.2488038278002</v>
      </c>
      <c r="E87">
        <v>999.85566188198004</v>
      </c>
      <c r="F87">
        <v>146.54246794872</v>
      </c>
      <c r="G87">
        <v>120.44230769231</v>
      </c>
      <c r="I87" s="9">
        <f t="shared" si="8"/>
        <v>879.41335418967003</v>
      </c>
      <c r="J87" s="9">
        <f t="shared" si="9"/>
        <v>3583.7063358790801</v>
      </c>
      <c r="K87" s="9">
        <f t="shared" si="10"/>
        <v>879.41335418967003</v>
      </c>
      <c r="L87" s="10">
        <f t="shared" si="7"/>
        <v>0.24539213645527422</v>
      </c>
      <c r="M87" s="10">
        <f t="shared" si="11"/>
        <v>0.26953170461958154</v>
      </c>
      <c r="P87" s="8">
        <f t="shared" si="12"/>
        <v>-4.3650926252874003</v>
      </c>
      <c r="U87" s="8">
        <v>152</v>
      </c>
      <c r="V87" s="10">
        <f t="shared" si="13"/>
        <v>0.20378849678694072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3917.2418196328999</v>
      </c>
      <c r="E88">
        <v>1058.8786911412999</v>
      </c>
      <c r="F88">
        <v>145.71073717949</v>
      </c>
      <c r="G88">
        <v>121.01682692308</v>
      </c>
      <c r="I88" s="9">
        <f t="shared" si="8"/>
        <v>937.86186421821992</v>
      </c>
      <c r="J88" s="9">
        <f t="shared" si="9"/>
        <v>3771.5310824534099</v>
      </c>
      <c r="K88" s="9">
        <f t="shared" si="10"/>
        <v>937.86186421821992</v>
      </c>
      <c r="L88" s="10">
        <f t="shared" si="7"/>
        <v>0.24866873524694211</v>
      </c>
      <c r="M88" s="10">
        <f t="shared" si="11"/>
        <v>0.27309229833082949</v>
      </c>
      <c r="P88" s="8">
        <f t="shared" si="12"/>
        <v>-3.101727151252391</v>
      </c>
      <c r="U88" s="8">
        <v>152.5</v>
      </c>
      <c r="V88" s="10">
        <f t="shared" si="13"/>
        <v>0.1983864639014781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3935.9832402235002</v>
      </c>
      <c r="E89">
        <v>1098.1077414206</v>
      </c>
      <c r="F89">
        <v>146.71794871795001</v>
      </c>
      <c r="G89">
        <v>120.77003205128</v>
      </c>
      <c r="I89" s="9">
        <f t="shared" si="8"/>
        <v>977.33770936932001</v>
      </c>
      <c r="J89" s="9">
        <f t="shared" si="9"/>
        <v>3789.2652915055501</v>
      </c>
      <c r="K89" s="9">
        <f t="shared" si="10"/>
        <v>977.33770936932001</v>
      </c>
      <c r="L89" s="10">
        <f t="shared" si="7"/>
        <v>0.25792274601628762</v>
      </c>
      <c r="M89" s="10">
        <f t="shared" si="11"/>
        <v>0.28263030401975509</v>
      </c>
      <c r="P89" s="8">
        <f t="shared" si="12"/>
        <v>0.28253627663383046</v>
      </c>
      <c r="U89" s="8">
        <v>153</v>
      </c>
      <c r="V89" s="10">
        <f t="shared" si="13"/>
        <v>0.19809913043096444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3886.4900239425001</v>
      </c>
      <c r="E90">
        <v>1112.1963288109</v>
      </c>
      <c r="F90">
        <v>146.23157051282001</v>
      </c>
      <c r="G90">
        <v>120.30368589744</v>
      </c>
      <c r="I90" s="9">
        <f t="shared" si="8"/>
        <v>991.89264291346001</v>
      </c>
      <c r="J90" s="9">
        <f t="shared" si="9"/>
        <v>3740.2584534296802</v>
      </c>
      <c r="K90" s="9">
        <f t="shared" si="10"/>
        <v>991.89264291346001</v>
      </c>
      <c r="L90" s="10">
        <f t="shared" si="7"/>
        <v>0.26519361035169392</v>
      </c>
      <c r="M90" s="10">
        <f t="shared" si="11"/>
        <v>0.29018516327474148</v>
      </c>
      <c r="P90" s="8">
        <f t="shared" si="12"/>
        <v>2.9631421300319141</v>
      </c>
      <c r="U90" s="8">
        <v>153.5</v>
      </c>
      <c r="V90" s="10">
        <f t="shared" si="13"/>
        <v>0.20201258619035342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3894.0168404169999</v>
      </c>
      <c r="E91">
        <v>1159.4306335204999</v>
      </c>
      <c r="F91">
        <v>146.41907051282001</v>
      </c>
      <c r="G91">
        <v>120.27243589744</v>
      </c>
      <c r="I91" s="9">
        <f t="shared" si="8"/>
        <v>1039.15819762306</v>
      </c>
      <c r="J91" s="9">
        <f t="shared" si="9"/>
        <v>3747.59776990418</v>
      </c>
      <c r="K91" s="9">
        <f t="shared" si="10"/>
        <v>1039.15819762306</v>
      </c>
      <c r="L91" s="10">
        <f t="shared" si="7"/>
        <v>0.27728648094740155</v>
      </c>
      <c r="M91" s="10">
        <f t="shared" si="11"/>
        <v>0.30256202879002919</v>
      </c>
      <c r="P91" s="8">
        <f t="shared" si="12"/>
        <v>7.3546863040816426</v>
      </c>
      <c r="U91" s="8">
        <v>154</v>
      </c>
      <c r="V91" s="10">
        <f t="shared" si="13"/>
        <v>0.20428931322099825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3923.4948535233998</v>
      </c>
      <c r="E92">
        <v>1201.8772763262</v>
      </c>
      <c r="F92">
        <v>146.67708333332999</v>
      </c>
      <c r="G92">
        <v>120.04567307692</v>
      </c>
      <c r="I92" s="9">
        <f t="shared" si="8"/>
        <v>1081.8316032492801</v>
      </c>
      <c r="J92" s="9">
        <f t="shared" si="9"/>
        <v>3776.81777019007</v>
      </c>
      <c r="K92" s="9">
        <f t="shared" si="10"/>
        <v>1081.8316032492801</v>
      </c>
      <c r="L92" s="10">
        <f t="shared" si="7"/>
        <v>0.28643997912423413</v>
      </c>
      <c r="M92" s="10">
        <f t="shared" si="11"/>
        <v>0.31199952188644187</v>
      </c>
      <c r="P92" s="8">
        <f t="shared" si="12"/>
        <v>10.703285977722206</v>
      </c>
      <c r="U92" s="8">
        <v>154.5</v>
      </c>
      <c r="V92" s="10">
        <f t="shared" si="13"/>
        <v>0.19943812274713976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4020.4432000000002</v>
      </c>
      <c r="E93">
        <v>1245.4623999999999</v>
      </c>
      <c r="F93">
        <v>146.18429487180001</v>
      </c>
      <c r="G93">
        <v>120.62019230769</v>
      </c>
      <c r="I93" s="9">
        <f t="shared" si="8"/>
        <v>1124.8422076923098</v>
      </c>
      <c r="J93" s="9">
        <f t="shared" si="9"/>
        <v>3874.2589051282002</v>
      </c>
      <c r="K93" s="9">
        <f t="shared" si="10"/>
        <v>1124.8422076923098</v>
      </c>
      <c r="L93" s="10">
        <f t="shared" si="7"/>
        <v>0.29033738715897422</v>
      </c>
      <c r="M93" s="10">
        <f t="shared" si="11"/>
        <v>0.31618092484076205</v>
      </c>
      <c r="P93" s="8">
        <f t="shared" si="12"/>
        <v>12.186926222557833</v>
      </c>
      <c r="U93" s="8">
        <v>155</v>
      </c>
      <c r="V93" s="10">
        <f t="shared" si="13"/>
        <v>0.19573662428517694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3786.4951999999998</v>
      </c>
      <c r="E94">
        <v>1126.8104000000001</v>
      </c>
      <c r="F94">
        <v>145.79086538461999</v>
      </c>
      <c r="G94">
        <v>120.11217948718</v>
      </c>
      <c r="I94" s="9">
        <f t="shared" si="8"/>
        <v>1006.6982205128201</v>
      </c>
      <c r="J94" s="9">
        <f t="shared" si="9"/>
        <v>3640.70433461538</v>
      </c>
      <c r="K94" s="9">
        <f t="shared" si="10"/>
        <v>1006.6982205128201</v>
      </c>
      <c r="L94" s="10">
        <f t="shared" si="7"/>
        <v>0.27651194054437606</v>
      </c>
      <c r="M94" s="10">
        <f t="shared" si="11"/>
        <v>0.30263947314574396</v>
      </c>
      <c r="P94" s="8">
        <f t="shared" si="12"/>
        <v>7.3821650149662483</v>
      </c>
      <c r="U94" s="8">
        <v>155.5</v>
      </c>
      <c r="V94" s="10">
        <f t="shared" si="13"/>
        <v>0.19329647467983513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4003.6730615508</v>
      </c>
      <c r="E95">
        <v>1152.6890487610001</v>
      </c>
      <c r="F95">
        <v>146.82772435896999</v>
      </c>
      <c r="G95">
        <v>120.34935897436</v>
      </c>
      <c r="I95" s="9">
        <f t="shared" si="8"/>
        <v>1032.3396897866401</v>
      </c>
      <c r="J95" s="9">
        <f t="shared" si="9"/>
        <v>3856.8453371918299</v>
      </c>
      <c r="K95" s="9">
        <f t="shared" si="10"/>
        <v>1032.3396897866401</v>
      </c>
      <c r="L95" s="10">
        <f t="shared" si="7"/>
        <v>0.26766426950848043</v>
      </c>
      <c r="M95" s="10">
        <f t="shared" si="11"/>
        <v>0.29407579702942843</v>
      </c>
      <c r="P95" s="8">
        <f t="shared" si="12"/>
        <v>4.3436120056763166</v>
      </c>
      <c r="U95" s="8">
        <v>156</v>
      </c>
      <c r="V95" s="10">
        <f t="shared" si="13"/>
        <v>0.19205439572972582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4200.1614708233001</v>
      </c>
      <c r="E96">
        <v>1200.3940847322001</v>
      </c>
      <c r="F96">
        <v>146.46794871795001</v>
      </c>
      <c r="G96">
        <v>119.89983974358999</v>
      </c>
      <c r="I96" s="9">
        <f t="shared" si="8"/>
        <v>1080.49424498861</v>
      </c>
      <c r="J96" s="9">
        <f t="shared" si="9"/>
        <v>4053.69352210535</v>
      </c>
      <c r="K96" s="9">
        <f t="shared" si="10"/>
        <v>1080.49424498861</v>
      </c>
      <c r="L96" s="10">
        <f t="shared" si="7"/>
        <v>0.26654561798925497</v>
      </c>
      <c r="M96" s="10">
        <f t="shared" si="11"/>
        <v>0.29324114042978305</v>
      </c>
      <c r="P96" s="8">
        <f t="shared" si="12"/>
        <v>4.0474601792726661</v>
      </c>
      <c r="U96" s="8">
        <v>156.5</v>
      </c>
      <c r="V96" s="10">
        <f t="shared" si="13"/>
        <v>0.18935381790507508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4305.5063391442</v>
      </c>
      <c r="E97">
        <v>1251.9492868463001</v>
      </c>
      <c r="F97">
        <v>145.87339743589999</v>
      </c>
      <c r="G97">
        <v>120.25320512821</v>
      </c>
      <c r="I97" s="9">
        <f t="shared" si="8"/>
        <v>1131.69608171809</v>
      </c>
      <c r="J97" s="9">
        <f t="shared" si="9"/>
        <v>4159.6329417082998</v>
      </c>
      <c r="K97" s="9">
        <f t="shared" si="10"/>
        <v>1131.69608171809</v>
      </c>
      <c r="L97" s="10">
        <f t="shared" si="7"/>
        <v>0.27206633315422279</v>
      </c>
      <c r="M97" s="10">
        <f t="shared" si="11"/>
        <v>0.29904585051433097</v>
      </c>
      <c r="P97" s="8">
        <f t="shared" si="12"/>
        <v>6.1070802601693366</v>
      </c>
      <c r="U97" s="8">
        <v>157</v>
      </c>
      <c r="V97" s="10">
        <f t="shared" si="13"/>
        <v>0.18714783809701113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4283.6142857143004</v>
      </c>
      <c r="E98">
        <v>1244.9880952381</v>
      </c>
      <c r="F98">
        <v>145.875</v>
      </c>
      <c r="G98">
        <v>120.51282051282</v>
      </c>
      <c r="I98" s="9">
        <f t="shared" si="8"/>
        <v>1124.4752747252799</v>
      </c>
      <c r="J98" s="9">
        <f t="shared" si="9"/>
        <v>4137.7392857143004</v>
      </c>
      <c r="K98" s="9">
        <f t="shared" si="10"/>
        <v>1124.4752747252799</v>
      </c>
      <c r="L98" s="10">
        <f t="shared" si="7"/>
        <v>0.27176078459258485</v>
      </c>
      <c r="M98" s="10">
        <f t="shared" si="11"/>
        <v>0.29902429687227311</v>
      </c>
      <c r="P98" s="8">
        <f t="shared" si="12"/>
        <v>6.0994326234480818</v>
      </c>
      <c r="U98" s="8">
        <v>157.5</v>
      </c>
      <c r="V98" s="10">
        <f t="shared" si="13"/>
        <v>0.18771640083051619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4224.5817460318003</v>
      </c>
      <c r="E99">
        <v>1253.2595238095</v>
      </c>
      <c r="F99">
        <v>146.21153846153999</v>
      </c>
      <c r="G99">
        <v>119.87980769231</v>
      </c>
      <c r="I99" s="9">
        <f t="shared" si="8"/>
        <v>1133.3797161171901</v>
      </c>
      <c r="J99" s="9">
        <f t="shared" si="9"/>
        <v>4078.3702075702604</v>
      </c>
      <c r="K99" s="9">
        <f t="shared" si="10"/>
        <v>1133.3797161171901</v>
      </c>
      <c r="L99" s="10">
        <f t="shared" si="7"/>
        <v>0.27790015580572197</v>
      </c>
      <c r="M99" s="10">
        <f t="shared" si="11"/>
        <v>0.30544766300499032</v>
      </c>
      <c r="P99" s="8">
        <f t="shared" si="12"/>
        <v>8.37856348118261</v>
      </c>
      <c r="U99" s="8">
        <v>158</v>
      </c>
      <c r="V99" s="10">
        <f t="shared" si="13"/>
        <v>0.1912129015835824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4311.8063492064002</v>
      </c>
      <c r="E100">
        <v>1287.5468253967999</v>
      </c>
      <c r="F100">
        <v>145.86858974359001</v>
      </c>
      <c r="G100">
        <v>120.15384615385</v>
      </c>
      <c r="I100" s="9">
        <f t="shared" si="8"/>
        <v>1167.3929792429499</v>
      </c>
      <c r="J100" s="9">
        <f t="shared" si="9"/>
        <v>4165.9377594628104</v>
      </c>
      <c r="K100" s="9">
        <f t="shared" si="10"/>
        <v>1167.3929792429499</v>
      </c>
      <c r="L100" s="10">
        <f t="shared" si="7"/>
        <v>0.28022333665241389</v>
      </c>
      <c r="M100" s="10">
        <f t="shared" si="11"/>
        <v>0.30805483877126233</v>
      </c>
      <c r="P100" s="8">
        <f t="shared" si="12"/>
        <v>9.303638374575705</v>
      </c>
      <c r="U100" s="8">
        <v>158.5</v>
      </c>
      <c r="V100" s="10">
        <f t="shared" si="13"/>
        <v>0.19035680508392205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4281.4833333332999</v>
      </c>
      <c r="E101">
        <v>1278.5206349206001</v>
      </c>
      <c r="F101">
        <v>145.96474358974001</v>
      </c>
      <c r="G101">
        <v>119.82692307692</v>
      </c>
      <c r="I101" s="9">
        <f t="shared" si="8"/>
        <v>1158.6937118436801</v>
      </c>
      <c r="J101" s="9">
        <f t="shared" si="9"/>
        <v>4135.5185897435604</v>
      </c>
      <c r="K101" s="9">
        <f t="shared" si="10"/>
        <v>1158.6937118436801</v>
      </c>
      <c r="L101" s="10">
        <f t="shared" si="7"/>
        <v>0.28018099464413959</v>
      </c>
      <c r="M101" s="10">
        <f t="shared" si="11"/>
        <v>0.30829649168256812</v>
      </c>
      <c r="P101" s="8">
        <f t="shared" si="12"/>
        <v>9.3893813628530118</v>
      </c>
      <c r="U101" s="8">
        <v>159</v>
      </c>
      <c r="V101" s="10">
        <f t="shared" si="13"/>
        <v>0.18807080160120429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4210.3865079364996</v>
      </c>
      <c r="E102">
        <v>1250.2349206348999</v>
      </c>
      <c r="F102">
        <v>145.55929487180001</v>
      </c>
      <c r="G102">
        <v>120.05448717949</v>
      </c>
      <c r="I102" s="9">
        <f t="shared" si="8"/>
        <v>1130.1804334554099</v>
      </c>
      <c r="J102" s="9">
        <f t="shared" si="9"/>
        <v>4064.8272130646997</v>
      </c>
      <c r="K102" s="9">
        <f t="shared" si="10"/>
        <v>1130.1804334554099</v>
      </c>
      <c r="L102" s="10">
        <f t="shared" si="7"/>
        <v>0.2780389852299045</v>
      </c>
      <c r="M102" s="10">
        <f t="shared" si="11"/>
        <v>0.30643847718791312</v>
      </c>
      <c r="P102" s="8">
        <f t="shared" si="12"/>
        <v>8.7301229489013057</v>
      </c>
      <c r="U102" s="8">
        <v>159.5</v>
      </c>
      <c r="V102" s="10">
        <f t="shared" si="13"/>
        <v>0.18706815625656373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4246.0111111111</v>
      </c>
      <c r="E103">
        <v>1251.9000000000001</v>
      </c>
      <c r="F103">
        <v>145.67147435896999</v>
      </c>
      <c r="G103">
        <v>119.9983974359</v>
      </c>
      <c r="I103" s="9">
        <f t="shared" si="8"/>
        <v>1131.9016025641001</v>
      </c>
      <c r="J103" s="9">
        <f t="shared" si="9"/>
        <v>4100.33963675213</v>
      </c>
      <c r="K103" s="9">
        <f t="shared" si="10"/>
        <v>1131.9016025641001</v>
      </c>
      <c r="L103" s="10">
        <f t="shared" si="7"/>
        <v>0.2760506940495</v>
      </c>
      <c r="M103" s="10">
        <f t="shared" si="11"/>
        <v>0.3047341809270887</v>
      </c>
      <c r="P103" s="8">
        <f t="shared" si="12"/>
        <v>8.1254066492991619</v>
      </c>
      <c r="U103" s="8">
        <v>160</v>
      </c>
      <c r="V103" s="10">
        <f t="shared" si="13"/>
        <v>0.18572494265432807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4073.2349206348999</v>
      </c>
      <c r="E104">
        <v>1186.8976190476001</v>
      </c>
      <c r="F104">
        <v>145.65785256410001</v>
      </c>
      <c r="G104">
        <v>120.30769230769</v>
      </c>
      <c r="I104" s="9">
        <f t="shared" si="8"/>
        <v>1066.58992673991</v>
      </c>
      <c r="J104" s="9">
        <f t="shared" si="9"/>
        <v>3927.5770680708001</v>
      </c>
      <c r="K104" s="9">
        <f t="shared" si="10"/>
        <v>1066.58992673991</v>
      </c>
      <c r="L104" s="10">
        <f t="shared" si="7"/>
        <v>0.27156435335432177</v>
      </c>
      <c r="M104" s="10">
        <f t="shared" si="11"/>
        <v>0.30053183515149057</v>
      </c>
      <c r="P104" s="8">
        <f t="shared" si="12"/>
        <v>6.6343354984188831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4117.1747805266996</v>
      </c>
      <c r="E105">
        <v>1184.2418196328999</v>
      </c>
      <c r="F105">
        <v>145.70432692308</v>
      </c>
      <c r="G105">
        <v>119.91346153846</v>
      </c>
      <c r="I105" s="9">
        <f t="shared" si="8"/>
        <v>1064.3283580944399</v>
      </c>
      <c r="J105" s="9">
        <f t="shared" si="9"/>
        <v>3971.4704536036197</v>
      </c>
      <c r="K105" s="9">
        <f t="shared" si="10"/>
        <v>1064.3283580944399</v>
      </c>
      <c r="L105" s="10">
        <f t="shared" si="7"/>
        <v>0.26799352293523754</v>
      </c>
      <c r="M105" s="10">
        <f t="shared" si="11"/>
        <v>0.29724499965198642</v>
      </c>
      <c r="P105" s="8">
        <f t="shared" si="12"/>
        <v>5.4681045758094182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4088.5849960096002</v>
      </c>
      <c r="E106">
        <v>1152.8986432562001</v>
      </c>
      <c r="F106">
        <v>145.82371794872</v>
      </c>
      <c r="G106">
        <v>120.37099358974</v>
      </c>
      <c r="I106" s="9">
        <f t="shared" si="8"/>
        <v>1032.5276496664601</v>
      </c>
      <c r="J106" s="9">
        <f t="shared" si="9"/>
        <v>3942.7612780608802</v>
      </c>
      <c r="K106" s="9">
        <f t="shared" si="10"/>
        <v>1032.5276496664601</v>
      </c>
      <c r="L106" s="10">
        <f t="shared" si="7"/>
        <v>0.26187932183768314</v>
      </c>
      <c r="M106" s="10">
        <f t="shared" si="11"/>
        <v>0.29141479347401211</v>
      </c>
      <c r="P106" s="8">
        <f t="shared" si="12"/>
        <v>3.3994380024539432</v>
      </c>
      <c r="X106" s="8">
        <v>-13</v>
      </c>
    </row>
    <row r="107" spans="1:25" x14ac:dyDescent="0.2">
      <c r="A107" s="8">
        <v>52.5</v>
      </c>
      <c r="B107" s="8">
        <v>105</v>
      </c>
      <c r="D107">
        <v>4113.4700718275999</v>
      </c>
      <c r="E107">
        <v>1165.9289704708999</v>
      </c>
      <c r="F107">
        <v>146.05689102564</v>
      </c>
      <c r="G107">
        <v>120.2828525641</v>
      </c>
      <c r="I107" s="9">
        <f t="shared" si="8"/>
        <v>1045.6461179067999</v>
      </c>
      <c r="J107" s="9">
        <f t="shared" si="9"/>
        <v>3967.4131808019597</v>
      </c>
      <c r="K107" s="9">
        <f t="shared" si="10"/>
        <v>1045.6461179067999</v>
      </c>
      <c r="L107" s="10">
        <f t="shared" si="7"/>
        <v>0.26355866411056195</v>
      </c>
      <c r="M107" s="10">
        <f t="shared" si="11"/>
        <v>0.293378130666471</v>
      </c>
      <c r="P107" s="8">
        <f t="shared" si="12"/>
        <v>4.0960668862846781</v>
      </c>
      <c r="X107" s="8">
        <v>-13</v>
      </c>
    </row>
    <row r="108" spans="1:25" x14ac:dyDescent="0.2">
      <c r="A108" s="8">
        <v>53</v>
      </c>
      <c r="B108" s="8">
        <v>106</v>
      </c>
      <c r="D108">
        <v>3987.2753391860001</v>
      </c>
      <c r="E108">
        <v>1129.5474860335</v>
      </c>
      <c r="F108">
        <v>145.67868589744</v>
      </c>
      <c r="G108">
        <v>120.39182692308</v>
      </c>
      <c r="I108" s="9">
        <f t="shared" si="8"/>
        <v>1009.1556591104201</v>
      </c>
      <c r="J108" s="9">
        <f t="shared" si="9"/>
        <v>3841.59665328856</v>
      </c>
      <c r="K108" s="9">
        <f t="shared" si="10"/>
        <v>1009.1556591104201</v>
      </c>
      <c r="L108" s="10">
        <f t="shared" si="7"/>
        <v>0.26269172695330795</v>
      </c>
      <c r="M108" s="10">
        <f t="shared" si="11"/>
        <v>0.29279518842879704</v>
      </c>
      <c r="P108" s="8">
        <f t="shared" si="12"/>
        <v>3.8892280396879744</v>
      </c>
      <c r="X108" s="8">
        <v>-13</v>
      </c>
    </row>
    <row r="109" spans="1:25" x14ac:dyDescent="0.2">
      <c r="A109" s="8">
        <v>53.5</v>
      </c>
      <c r="B109" s="8">
        <v>107</v>
      </c>
      <c r="D109">
        <v>3964.0566640063998</v>
      </c>
      <c r="E109">
        <v>1132.1628092578001</v>
      </c>
      <c r="F109">
        <v>145.92948717949</v>
      </c>
      <c r="G109">
        <v>120.28605769231</v>
      </c>
      <c r="I109" s="9">
        <f t="shared" si="8"/>
        <v>1011.8767515654901</v>
      </c>
      <c r="J109" s="9">
        <f t="shared" si="9"/>
        <v>3818.1271768269098</v>
      </c>
      <c r="K109" s="9">
        <f t="shared" si="10"/>
        <v>1011.8767515654901</v>
      </c>
      <c r="L109" s="10">
        <f t="shared" si="7"/>
        <v>0.26501913233975083</v>
      </c>
      <c r="M109" s="10">
        <f t="shared" si="11"/>
        <v>0.29540658873482001</v>
      </c>
      <c r="P109" s="8">
        <f t="shared" si="12"/>
        <v>4.8158018790709463</v>
      </c>
      <c r="X109" s="8">
        <v>-13</v>
      </c>
    </row>
    <row r="110" spans="1:25" x14ac:dyDescent="0.2">
      <c r="A110" s="8">
        <v>54</v>
      </c>
      <c r="B110" s="8">
        <v>108</v>
      </c>
      <c r="D110">
        <v>3934.1987230647001</v>
      </c>
      <c r="E110">
        <v>1114.2250598563</v>
      </c>
      <c r="F110">
        <v>145.83974358974001</v>
      </c>
      <c r="G110">
        <v>119.52403846154</v>
      </c>
      <c r="I110" s="9">
        <f t="shared" si="8"/>
        <v>994.70102139476001</v>
      </c>
      <c r="J110" s="9">
        <f t="shared" si="9"/>
        <v>3788.3589794749601</v>
      </c>
      <c r="K110" s="9">
        <f t="shared" si="10"/>
        <v>994.70102139476001</v>
      </c>
      <c r="L110" s="10">
        <f t="shared" si="7"/>
        <v>0.26256778377761303</v>
      </c>
      <c r="M110" s="10">
        <f t="shared" si="11"/>
        <v>0.2932392350922623</v>
      </c>
      <c r="P110" s="8">
        <f t="shared" si="12"/>
        <v>4.0467841297608933</v>
      </c>
      <c r="X110" s="8">
        <v>-13</v>
      </c>
    </row>
    <row r="111" spans="1:25" x14ac:dyDescent="0.2">
      <c r="A111" s="8">
        <v>54.5</v>
      </c>
      <c r="B111" s="8">
        <v>109</v>
      </c>
      <c r="D111">
        <v>3866.9577015164</v>
      </c>
      <c r="E111">
        <v>1082.8036711892</v>
      </c>
      <c r="F111">
        <v>144.92227564103001</v>
      </c>
      <c r="G111">
        <v>120.11217948718</v>
      </c>
      <c r="I111" s="9">
        <f t="shared" si="8"/>
        <v>962.69149170202002</v>
      </c>
      <c r="J111" s="9">
        <f t="shared" si="9"/>
        <v>3722.03542587537</v>
      </c>
      <c r="K111" s="9">
        <f t="shared" si="10"/>
        <v>962.69149170202002</v>
      </c>
      <c r="L111" s="10">
        <f t="shared" si="7"/>
        <v>0.25864651502493657</v>
      </c>
      <c r="M111" s="10">
        <f t="shared" si="11"/>
        <v>0.28960196125916593</v>
      </c>
      <c r="P111" s="8">
        <f t="shared" si="12"/>
        <v>2.7562111093602151</v>
      </c>
      <c r="X111" s="8">
        <v>-13</v>
      </c>
    </row>
    <row r="112" spans="1:25" x14ac:dyDescent="0.2">
      <c r="A112" s="8">
        <v>55</v>
      </c>
      <c r="B112" s="8">
        <v>110</v>
      </c>
      <c r="D112">
        <v>3885.0191540302999</v>
      </c>
      <c r="E112">
        <v>1072.2170790104001</v>
      </c>
      <c r="F112">
        <v>145.73397435896999</v>
      </c>
      <c r="G112">
        <v>120.35336538462001</v>
      </c>
      <c r="I112" s="9">
        <f t="shared" si="8"/>
        <v>951.86371362578006</v>
      </c>
      <c r="J112" s="9">
        <f t="shared" si="9"/>
        <v>3739.2851796713298</v>
      </c>
      <c r="K112" s="9">
        <f t="shared" si="10"/>
        <v>951.86371362578006</v>
      </c>
      <c r="L112" s="10">
        <f t="shared" si="7"/>
        <v>0.25455766754581838</v>
      </c>
      <c r="M112" s="10">
        <f t="shared" si="11"/>
        <v>0.28579710869962782</v>
      </c>
      <c r="P112" s="8">
        <f t="shared" si="12"/>
        <v>1.4061780116975759</v>
      </c>
      <c r="X112" s="8">
        <v>-13</v>
      </c>
    </row>
    <row r="113" spans="1:24" x14ac:dyDescent="0.2">
      <c r="A113" s="8">
        <v>55.5</v>
      </c>
      <c r="B113" s="8">
        <v>111</v>
      </c>
      <c r="D113">
        <v>3849.2450119712998</v>
      </c>
      <c r="E113">
        <v>1048.1476456503999</v>
      </c>
      <c r="F113">
        <v>145.50320512821</v>
      </c>
      <c r="G113">
        <v>120.28605769231</v>
      </c>
      <c r="I113" s="9">
        <f t="shared" si="8"/>
        <v>927.8615879580899</v>
      </c>
      <c r="J113" s="9">
        <f t="shared" si="9"/>
        <v>3703.7418068430898</v>
      </c>
      <c r="K113" s="9">
        <f t="shared" si="10"/>
        <v>927.8615879580899</v>
      </c>
      <c r="L113" s="10">
        <f t="shared" si="7"/>
        <v>0.25052005143656575</v>
      </c>
      <c r="M113" s="10">
        <f t="shared" si="11"/>
        <v>0.28204348750995528</v>
      </c>
      <c r="P113" s="8">
        <f t="shared" si="12"/>
        <v>7.4322765574474356E-2</v>
      </c>
      <c r="X113" s="8">
        <v>-13</v>
      </c>
    </row>
    <row r="114" spans="1:24" x14ac:dyDescent="0.2">
      <c r="A114" s="8">
        <v>56</v>
      </c>
      <c r="B114" s="8">
        <v>112</v>
      </c>
      <c r="D114">
        <v>3930.2857142857001</v>
      </c>
      <c r="E114">
        <v>1070.4501197126999</v>
      </c>
      <c r="F114">
        <v>145.27483974359001</v>
      </c>
      <c r="G114">
        <v>119.92708333333</v>
      </c>
      <c r="I114" s="9">
        <f t="shared" si="8"/>
        <v>950.52303637936996</v>
      </c>
      <c r="J114" s="9">
        <f t="shared" si="9"/>
        <v>3785.0108745421103</v>
      </c>
      <c r="K114" s="9">
        <f t="shared" si="10"/>
        <v>950.52303637936996</v>
      </c>
      <c r="L114" s="10">
        <f t="shared" si="7"/>
        <v>0.25112821809114588</v>
      </c>
      <c r="M114" s="10">
        <f t="shared" si="11"/>
        <v>0.2829356490841155</v>
      </c>
      <c r="P114" s="8">
        <f t="shared" si="12"/>
        <v>0.39087843619034579</v>
      </c>
      <c r="X114" s="8">
        <v>-13</v>
      </c>
    </row>
    <row r="115" spans="1:24" x14ac:dyDescent="0.2">
      <c r="A115" s="8">
        <v>56.5</v>
      </c>
      <c r="B115" s="8">
        <v>113</v>
      </c>
      <c r="D115">
        <v>3852.1955307263001</v>
      </c>
      <c r="E115">
        <v>1033.7222665603001</v>
      </c>
      <c r="F115">
        <v>145.27644230768999</v>
      </c>
      <c r="G115">
        <v>120.35737179487001</v>
      </c>
      <c r="I115" s="9">
        <f t="shared" si="8"/>
        <v>913.36489476543011</v>
      </c>
      <c r="J115" s="9">
        <f t="shared" si="9"/>
        <v>3706.91908841861</v>
      </c>
      <c r="K115" s="9">
        <f t="shared" si="10"/>
        <v>913.36489476543011</v>
      </c>
      <c r="L115" s="10">
        <f t="shared" si="7"/>
        <v>0.24639461314896843</v>
      </c>
      <c r="M115" s="10">
        <f t="shared" si="11"/>
        <v>0.27848603906151814</v>
      </c>
      <c r="P115" s="8">
        <f t="shared" si="12"/>
        <v>-1.1879267101849131</v>
      </c>
      <c r="X115" s="8">
        <v>-13</v>
      </c>
    </row>
    <row r="116" spans="1:24" x14ac:dyDescent="0.2">
      <c r="A116" s="8">
        <v>57</v>
      </c>
      <c r="B116" s="8">
        <v>114</v>
      </c>
      <c r="D116">
        <v>3887.7861133279998</v>
      </c>
      <c r="E116">
        <v>1032.2090981644001</v>
      </c>
      <c r="F116">
        <v>144.92227564103001</v>
      </c>
      <c r="G116">
        <v>120.08653846154</v>
      </c>
      <c r="I116" s="9">
        <f t="shared" si="8"/>
        <v>912.12255970286003</v>
      </c>
      <c r="J116" s="9">
        <f t="shared" si="9"/>
        <v>3742.8638376869699</v>
      </c>
      <c r="K116" s="9">
        <f t="shared" si="10"/>
        <v>912.12255970286003</v>
      </c>
      <c r="L116" s="10">
        <f t="shared" si="7"/>
        <v>0.24369643119759793</v>
      </c>
      <c r="M116" s="10">
        <f t="shared" si="11"/>
        <v>0.27607185202972773</v>
      </c>
      <c r="P116" s="8">
        <f t="shared" si="12"/>
        <v>-2.0445255785680398</v>
      </c>
      <c r="X116" s="8">
        <v>-13</v>
      </c>
    </row>
    <row r="117" spans="1:24" x14ac:dyDescent="0.2">
      <c r="A117" s="8">
        <v>57.5</v>
      </c>
      <c r="B117" s="8">
        <v>115</v>
      </c>
      <c r="D117">
        <v>3793.0518754988002</v>
      </c>
      <c r="E117">
        <v>1001.7916999202</v>
      </c>
      <c r="F117">
        <v>145.48477564103001</v>
      </c>
      <c r="G117">
        <v>120.16185897436</v>
      </c>
      <c r="I117" s="9">
        <f t="shared" si="8"/>
        <v>881.62984094583999</v>
      </c>
      <c r="J117" s="9">
        <f t="shared" si="9"/>
        <v>3647.5670998577702</v>
      </c>
      <c r="K117" s="9">
        <f t="shared" si="10"/>
        <v>881.62984094583999</v>
      </c>
      <c r="L117" s="10">
        <f t="shared" si="7"/>
        <v>0.24170352917708282</v>
      </c>
      <c r="M117" s="10">
        <f t="shared" si="11"/>
        <v>0.27436294492879271</v>
      </c>
      <c r="P117" s="8">
        <f t="shared" si="12"/>
        <v>-2.650877890777755</v>
      </c>
      <c r="X117" s="8">
        <v>-13</v>
      </c>
    </row>
    <row r="118" spans="1:24" x14ac:dyDescent="0.2">
      <c r="A118" s="8">
        <v>58</v>
      </c>
      <c r="B118" s="8">
        <v>116</v>
      </c>
      <c r="D118">
        <v>3821.6363636363999</v>
      </c>
      <c r="E118">
        <v>996.33173843700001</v>
      </c>
      <c r="F118">
        <v>145.50320512821</v>
      </c>
      <c r="G118">
        <v>120.06570512821</v>
      </c>
      <c r="I118" s="9">
        <f t="shared" si="8"/>
        <v>876.26603330879004</v>
      </c>
      <c r="J118" s="9">
        <f t="shared" si="9"/>
        <v>3676.1331585081898</v>
      </c>
      <c r="K118" s="9">
        <f t="shared" si="10"/>
        <v>876.26603330879004</v>
      </c>
      <c r="L118" s="10">
        <f t="shared" si="7"/>
        <v>0.2383662385245009</v>
      </c>
      <c r="M118" s="10">
        <f t="shared" si="11"/>
        <v>0.27130964919579087</v>
      </c>
      <c r="P118" s="8">
        <f t="shared" si="12"/>
        <v>-3.7342445211538315</v>
      </c>
      <c r="X118" s="8">
        <v>-13</v>
      </c>
    </row>
    <row r="119" spans="1:24" x14ac:dyDescent="0.2">
      <c r="A119" s="8">
        <v>58.5</v>
      </c>
      <c r="B119" s="8">
        <v>117</v>
      </c>
      <c r="D119">
        <v>3720.7049441785998</v>
      </c>
      <c r="E119">
        <v>959.19856459330003</v>
      </c>
      <c r="F119">
        <v>145.36458333332999</v>
      </c>
      <c r="G119">
        <v>119.73557692308</v>
      </c>
      <c r="I119" s="9">
        <f t="shared" si="8"/>
        <v>839.46298767022006</v>
      </c>
      <c r="J119" s="9">
        <f t="shared" si="9"/>
        <v>3575.34036084527</v>
      </c>
      <c r="K119" s="9">
        <f t="shared" si="10"/>
        <v>839.46298767022006</v>
      </c>
      <c r="L119" s="10">
        <f t="shared" si="7"/>
        <v>0.23479246811393281</v>
      </c>
      <c r="M119" s="10">
        <f t="shared" si="11"/>
        <v>0.26801987370480285</v>
      </c>
      <c r="P119" s="8">
        <f t="shared" si="12"/>
        <v>-4.901518607919586</v>
      </c>
      <c r="X119" s="8">
        <v>-13</v>
      </c>
    </row>
    <row r="120" spans="1:24" x14ac:dyDescent="0.2">
      <c r="A120" s="8">
        <v>59</v>
      </c>
      <c r="B120" s="8">
        <v>118</v>
      </c>
      <c r="D120">
        <v>3768.6291866029001</v>
      </c>
      <c r="E120">
        <v>956.86762360447005</v>
      </c>
      <c r="F120">
        <v>145.07291666667001</v>
      </c>
      <c r="G120">
        <v>119.88942307692</v>
      </c>
      <c r="I120" s="9">
        <f t="shared" si="8"/>
        <v>836.97820052755003</v>
      </c>
      <c r="J120" s="9">
        <f t="shared" si="9"/>
        <v>3623.5562699362299</v>
      </c>
      <c r="K120" s="9">
        <f t="shared" si="10"/>
        <v>836.97820052755003</v>
      </c>
      <c r="L120" s="10">
        <f t="shared" si="7"/>
        <v>0.2309825315731277</v>
      </c>
      <c r="M120" s="10">
        <f t="shared" si="11"/>
        <v>0.26449393208357785</v>
      </c>
      <c r="P120" s="8">
        <f t="shared" si="12"/>
        <v>-6.1525888700634273</v>
      </c>
      <c r="X120" s="8">
        <v>-13</v>
      </c>
    </row>
    <row r="121" spans="1:24" x14ac:dyDescent="0.2">
      <c r="A121" s="8">
        <v>59.5</v>
      </c>
      <c r="B121" s="8">
        <v>119</v>
      </c>
      <c r="D121">
        <v>3690.9960127591999</v>
      </c>
      <c r="E121">
        <v>930.79186602871005</v>
      </c>
      <c r="F121">
        <v>144.95592948717999</v>
      </c>
      <c r="G121">
        <v>119.97355769231</v>
      </c>
      <c r="I121" s="9">
        <f t="shared" si="8"/>
        <v>810.81830833640004</v>
      </c>
      <c r="J121" s="9">
        <f t="shared" si="9"/>
        <v>3546.0400832720197</v>
      </c>
      <c r="K121" s="9">
        <f t="shared" si="10"/>
        <v>810.81830833640004</v>
      </c>
      <c r="L121" s="10">
        <f t="shared" si="7"/>
        <v>0.22865458068602476</v>
      </c>
      <c r="M121" s="10">
        <f t="shared" si="11"/>
        <v>0.26244997611605497</v>
      </c>
      <c r="P121" s="8">
        <f t="shared" si="12"/>
        <v>-6.8778228083414277</v>
      </c>
      <c r="X121" s="8">
        <v>-13</v>
      </c>
    </row>
    <row r="122" spans="1:24" x14ac:dyDescent="0.2">
      <c r="A122" s="8">
        <v>60</v>
      </c>
      <c r="B122" s="8">
        <v>120</v>
      </c>
      <c r="D122">
        <v>3409.2695374801001</v>
      </c>
      <c r="E122">
        <v>842.61961722488002</v>
      </c>
      <c r="F122">
        <v>144.48798076923001</v>
      </c>
      <c r="G122">
        <v>119.86618589744</v>
      </c>
      <c r="I122" s="9">
        <f t="shared" si="8"/>
        <v>722.75343132744001</v>
      </c>
      <c r="J122" s="9">
        <f t="shared" si="9"/>
        <v>3264.7815567108701</v>
      </c>
      <c r="K122" s="9">
        <f t="shared" si="10"/>
        <v>722.75343132744001</v>
      </c>
      <c r="L122" s="10">
        <f t="shared" si="7"/>
        <v>0.22137880246284644</v>
      </c>
      <c r="M122" s="10">
        <f t="shared" si="11"/>
        <v>0.25545819281245674</v>
      </c>
      <c r="P122" s="8">
        <f t="shared" si="12"/>
        <v>-9.3586387463678165</v>
      </c>
      <c r="X122" s="8">
        <v>-13</v>
      </c>
    </row>
    <row r="123" spans="1:24" x14ac:dyDescent="0.2">
      <c r="A123" s="8">
        <v>60.5</v>
      </c>
      <c r="B123" s="8">
        <v>121</v>
      </c>
      <c r="D123">
        <v>3816.1996830428002</v>
      </c>
      <c r="E123">
        <v>930.50396196513998</v>
      </c>
      <c r="F123">
        <v>145.39983974359001</v>
      </c>
      <c r="G123">
        <v>119.53205128205001</v>
      </c>
      <c r="I123" s="9">
        <f t="shared" si="8"/>
        <v>810.97191068308996</v>
      </c>
      <c r="J123" s="9">
        <f t="shared" si="9"/>
        <v>3670.7998432992104</v>
      </c>
      <c r="K123" s="9">
        <f t="shared" si="10"/>
        <v>810.97191068308996</v>
      </c>
      <c r="L123" s="10">
        <f t="shared" si="7"/>
        <v>0.22092512403351622</v>
      </c>
      <c r="M123" s="10">
        <f t="shared" si="11"/>
        <v>0.25528850930270663</v>
      </c>
      <c r="P123" s="8">
        <f t="shared" si="12"/>
        <v>-9.4188456402501952</v>
      </c>
      <c r="X123" s="8">
        <v>-13</v>
      </c>
    </row>
    <row r="124" spans="1:24" x14ac:dyDescent="0.2">
      <c r="A124" s="8">
        <v>61</v>
      </c>
      <c r="B124" s="8">
        <v>122</v>
      </c>
      <c r="D124">
        <v>3858.2567353406998</v>
      </c>
      <c r="E124">
        <v>935.31695721077995</v>
      </c>
      <c r="F124">
        <v>145.27003205128</v>
      </c>
      <c r="G124">
        <v>119.60977564103</v>
      </c>
      <c r="I124" s="9">
        <f t="shared" si="8"/>
        <v>815.70718156974999</v>
      </c>
      <c r="J124" s="9">
        <f t="shared" si="9"/>
        <v>3712.9867032894199</v>
      </c>
      <c r="K124" s="9">
        <f t="shared" si="10"/>
        <v>815.70718156974999</v>
      </c>
      <c r="L124" s="10">
        <f t="shared" si="7"/>
        <v>0.21969030507087361</v>
      </c>
      <c r="M124" s="10">
        <f t="shared" si="11"/>
        <v>0.25433768525964412</v>
      </c>
      <c r="P124" s="8">
        <f t="shared" si="12"/>
        <v>-9.7562158558108294</v>
      </c>
      <c r="X124" s="8">
        <v>-13</v>
      </c>
    </row>
    <row r="125" spans="1:24" x14ac:dyDescent="0.2">
      <c r="A125" s="8">
        <v>61.5</v>
      </c>
      <c r="B125" s="8">
        <v>123</v>
      </c>
      <c r="D125">
        <v>3792.3066561014002</v>
      </c>
      <c r="E125">
        <v>909.66798732171003</v>
      </c>
      <c r="F125">
        <v>145.02083333332999</v>
      </c>
      <c r="G125">
        <v>119.80208333333</v>
      </c>
      <c r="I125" s="9">
        <f t="shared" si="8"/>
        <v>789.86590398838007</v>
      </c>
      <c r="J125" s="9">
        <f t="shared" si="9"/>
        <v>3647.2858227680704</v>
      </c>
      <c r="K125" s="9">
        <f t="shared" si="10"/>
        <v>789.86590398838007</v>
      </c>
      <c r="L125" s="10">
        <f t="shared" si="7"/>
        <v>0.21656265573091812</v>
      </c>
      <c r="M125" s="10">
        <f t="shared" si="11"/>
        <v>0.25149403083926869</v>
      </c>
      <c r="P125" s="8">
        <f t="shared" si="12"/>
        <v>-10.765197813915281</v>
      </c>
      <c r="X125" s="8">
        <v>-13</v>
      </c>
    </row>
    <row r="126" spans="1:24" x14ac:dyDescent="0.2">
      <c r="A126" s="8">
        <v>62</v>
      </c>
      <c r="B126" s="8">
        <v>124</v>
      </c>
      <c r="D126">
        <v>3757.0399680256</v>
      </c>
      <c r="E126">
        <v>911.71382893684995</v>
      </c>
      <c r="F126">
        <v>144.88461538461999</v>
      </c>
      <c r="G126">
        <v>119.48317307692</v>
      </c>
      <c r="I126" s="9">
        <f t="shared" si="8"/>
        <v>792.23065585992993</v>
      </c>
      <c r="J126" s="9">
        <f t="shared" si="9"/>
        <v>3612.1553526409803</v>
      </c>
      <c r="K126" s="9">
        <f t="shared" si="10"/>
        <v>792.23065585992993</v>
      </c>
      <c r="L126" s="10">
        <f t="shared" si="7"/>
        <v>0.21932352806495459</v>
      </c>
      <c r="M126" s="10">
        <f t="shared" si="11"/>
        <v>0.25453889809288527</v>
      </c>
      <c r="P126" s="8">
        <f t="shared" si="12"/>
        <v>-9.684821766210943</v>
      </c>
      <c r="X126" s="8">
        <v>-13</v>
      </c>
    </row>
    <row r="127" spans="1:24" x14ac:dyDescent="0.2">
      <c r="A127" s="8">
        <v>62.5</v>
      </c>
      <c r="B127" s="8">
        <v>125</v>
      </c>
      <c r="D127">
        <v>3874.9656274979998</v>
      </c>
      <c r="E127">
        <v>964.94644284571996</v>
      </c>
      <c r="F127">
        <v>145.36538461539001</v>
      </c>
      <c r="G127">
        <v>119.40384615385</v>
      </c>
      <c r="I127" s="9">
        <f t="shared" si="8"/>
        <v>845.5425966918699</v>
      </c>
      <c r="J127" s="9">
        <f t="shared" si="9"/>
        <v>3729.6002428826096</v>
      </c>
      <c r="K127" s="9">
        <f t="shared" si="10"/>
        <v>845.5425966918699</v>
      </c>
      <c r="L127" s="10">
        <f t="shared" si="7"/>
        <v>0.2267113206852297</v>
      </c>
      <c r="M127" s="10">
        <f t="shared" si="11"/>
        <v>0.26221068563274047</v>
      </c>
      <c r="P127" s="8">
        <f t="shared" si="12"/>
        <v>-6.9627275628293352</v>
      </c>
      <c r="X127" s="8">
        <v>-13</v>
      </c>
    </row>
    <row r="128" spans="1:24" x14ac:dyDescent="0.2">
      <c r="A128" s="8">
        <v>63</v>
      </c>
      <c r="B128" s="8">
        <v>126</v>
      </c>
      <c r="D128">
        <v>3724.1382893685</v>
      </c>
      <c r="E128">
        <v>928.34132693845004</v>
      </c>
      <c r="F128">
        <v>144.50560897436</v>
      </c>
      <c r="G128">
        <v>119.55208333333</v>
      </c>
      <c r="I128" s="9">
        <f t="shared" si="8"/>
        <v>808.78924360512008</v>
      </c>
      <c r="J128" s="9">
        <f t="shared" si="9"/>
        <v>3579.6326803941402</v>
      </c>
      <c r="K128" s="9">
        <f t="shared" si="10"/>
        <v>808.78924360512008</v>
      </c>
      <c r="L128" s="10">
        <f t="shared" si="7"/>
        <v>0.22594196550805523</v>
      </c>
      <c r="M128" s="10">
        <f t="shared" si="11"/>
        <v>0.26172532537514609</v>
      </c>
      <c r="P128" s="8">
        <f t="shared" si="12"/>
        <v>-7.134942491473514</v>
      </c>
      <c r="X128" s="8">
        <v>-13</v>
      </c>
    </row>
    <row r="129" spans="1:24" x14ac:dyDescent="0.2">
      <c r="A129" s="8">
        <v>63.5</v>
      </c>
      <c r="B129" s="8">
        <v>127</v>
      </c>
      <c r="D129">
        <v>3627.0263788969</v>
      </c>
      <c r="E129">
        <v>897.48441247001995</v>
      </c>
      <c r="F129">
        <v>144.75240384615</v>
      </c>
      <c r="G129">
        <v>119.66987179487001</v>
      </c>
      <c r="I129" s="9">
        <f t="shared" si="8"/>
        <v>777.81454067514994</v>
      </c>
      <c r="J129" s="9">
        <f t="shared" si="9"/>
        <v>3482.2739750507499</v>
      </c>
      <c r="K129" s="9">
        <f t="shared" si="10"/>
        <v>777.81454067514994</v>
      </c>
      <c r="L129" s="10">
        <f t="shared" si="7"/>
        <v>0.22336397028146363</v>
      </c>
      <c r="M129" s="10">
        <f t="shared" si="11"/>
        <v>0.25943132506813454</v>
      </c>
      <c r="P129" s="8">
        <f t="shared" si="12"/>
        <v>-7.9488968542385727</v>
      </c>
      <c r="X129" s="8">
        <v>-13</v>
      </c>
    </row>
    <row r="130" spans="1:24" x14ac:dyDescent="0.2">
      <c r="A130" s="8">
        <v>64</v>
      </c>
      <c r="B130" s="8">
        <v>128</v>
      </c>
      <c r="D130">
        <v>3278.9120703437002</v>
      </c>
      <c r="E130">
        <v>792.63229416467004</v>
      </c>
      <c r="F130">
        <v>144.48878205128</v>
      </c>
      <c r="G130">
        <v>119.74278846154</v>
      </c>
      <c r="I130" s="9">
        <f t="shared" si="8"/>
        <v>672.88950570313</v>
      </c>
      <c r="J130" s="9">
        <f t="shared" si="9"/>
        <v>3134.4232882924202</v>
      </c>
      <c r="K130" s="9">
        <f t="shared" si="10"/>
        <v>672.88950570313</v>
      </c>
      <c r="L130" s="10">
        <f t="shared" ref="L130:L193" si="14">K130/J130</f>
        <v>0.21467729269894131</v>
      </c>
      <c r="M130" s="10">
        <f t="shared" si="11"/>
        <v>0.25102864240519229</v>
      </c>
      <c r="P130" s="8">
        <f t="shared" si="12"/>
        <v>-10.930326364743753</v>
      </c>
      <c r="X130" s="8">
        <v>-13</v>
      </c>
    </row>
    <row r="131" spans="1:24" x14ac:dyDescent="0.2">
      <c r="A131" s="8">
        <v>64.5</v>
      </c>
      <c r="B131" s="8">
        <v>129</v>
      </c>
      <c r="D131">
        <v>3424.0484896661001</v>
      </c>
      <c r="E131">
        <v>853.18759936407002</v>
      </c>
      <c r="F131">
        <v>144.62980769231001</v>
      </c>
      <c r="G131">
        <v>119.93830128205001</v>
      </c>
      <c r="I131" s="9">
        <f t="shared" ref="I131:I194" si="15">E131-G131</f>
        <v>733.24929808202</v>
      </c>
      <c r="J131" s="9">
        <f t="shared" ref="J131:J194" si="16">D131-F131</f>
        <v>3279.4186819737902</v>
      </c>
      <c r="K131" s="9">
        <f t="shared" ref="K131:K194" si="17">I131*1</f>
        <v>733.24929808202</v>
      </c>
      <c r="L131" s="10">
        <f t="shared" si="14"/>
        <v>0.22359124259202481</v>
      </c>
      <c r="M131" s="10">
        <f t="shared" ref="M131:M181" si="18">L131+ABS($N$2)*A131</f>
        <v>0.26022658721785591</v>
      </c>
      <c r="P131" s="8">
        <f t="shared" ref="P131:P194" si="19">(M131-$O$2)/$O$2*100</f>
        <v>-7.6667229180236776</v>
      </c>
      <c r="X131" s="8">
        <v>-13</v>
      </c>
    </row>
    <row r="132" spans="1:24" x14ac:dyDescent="0.2">
      <c r="A132" s="8">
        <v>65</v>
      </c>
      <c r="B132" s="8">
        <v>130</v>
      </c>
      <c r="D132">
        <v>3372.0715421303998</v>
      </c>
      <c r="E132">
        <v>841.32829888712001</v>
      </c>
      <c r="F132">
        <v>145.00240384615</v>
      </c>
      <c r="G132">
        <v>119.79647435897</v>
      </c>
      <c r="I132" s="9">
        <f t="shared" si="15"/>
        <v>721.53182452814997</v>
      </c>
      <c r="J132" s="9">
        <f t="shared" si="16"/>
        <v>3227.0691382842497</v>
      </c>
      <c r="K132" s="9">
        <f t="shared" si="17"/>
        <v>721.53182452814997</v>
      </c>
      <c r="L132" s="10">
        <f t="shared" si="14"/>
        <v>0.22358734616754136</v>
      </c>
      <c r="M132" s="10">
        <f t="shared" si="18"/>
        <v>0.26050668571295255</v>
      </c>
      <c r="P132" s="8">
        <f t="shared" si="19"/>
        <v>-7.56733871507</v>
      </c>
      <c r="X132" s="8">
        <v>-13</v>
      </c>
    </row>
    <row r="133" spans="1:24" x14ac:dyDescent="0.2">
      <c r="A133" s="8">
        <v>65.5</v>
      </c>
      <c r="B133" s="8">
        <v>131</v>
      </c>
      <c r="D133">
        <v>3497.0869912211001</v>
      </c>
      <c r="E133">
        <v>863.19393455705995</v>
      </c>
      <c r="F133">
        <v>144.48637820512999</v>
      </c>
      <c r="G133">
        <v>119.67227564103</v>
      </c>
      <c r="I133" s="9">
        <f t="shared" si="15"/>
        <v>743.52165891602999</v>
      </c>
      <c r="J133" s="9">
        <f t="shared" si="16"/>
        <v>3352.6006130159703</v>
      </c>
      <c r="K133" s="9">
        <f t="shared" si="17"/>
        <v>743.52165891602999</v>
      </c>
      <c r="L133" s="10">
        <f t="shared" si="14"/>
        <v>0.22177459970311358</v>
      </c>
      <c r="M133" s="10">
        <f t="shared" si="18"/>
        <v>0.25897793416810483</v>
      </c>
      <c r="P133" s="8">
        <f t="shared" si="19"/>
        <v>-8.1097684548173543</v>
      </c>
      <c r="X133" s="8">
        <v>-13</v>
      </c>
    </row>
    <row r="134" spans="1:24" x14ac:dyDescent="0.2">
      <c r="A134" s="8">
        <v>66</v>
      </c>
      <c r="B134" s="8">
        <v>132</v>
      </c>
      <c r="D134">
        <v>3482.5740592473999</v>
      </c>
      <c r="E134">
        <v>876.02882305845003</v>
      </c>
      <c r="F134">
        <v>144.4375</v>
      </c>
      <c r="G134">
        <v>119.79086538462001</v>
      </c>
      <c r="I134" s="9">
        <f t="shared" si="15"/>
        <v>756.23795767383001</v>
      </c>
      <c r="J134" s="9">
        <f t="shared" si="16"/>
        <v>3338.1365592473999</v>
      </c>
      <c r="K134" s="9">
        <f t="shared" si="17"/>
        <v>756.23795767383001</v>
      </c>
      <c r="L134" s="10">
        <f t="shared" si="14"/>
        <v>0.22654494333938446</v>
      </c>
      <c r="M134" s="10">
        <f t="shared" si="18"/>
        <v>0.2640322727239558</v>
      </c>
      <c r="P134" s="8">
        <f t="shared" si="19"/>
        <v>-6.3163942752881637</v>
      </c>
      <c r="X134" s="8">
        <v>-13</v>
      </c>
    </row>
    <row r="135" spans="1:24" x14ac:dyDescent="0.2">
      <c r="A135" s="8">
        <v>66.5</v>
      </c>
      <c r="B135" s="8">
        <v>133</v>
      </c>
      <c r="D135">
        <v>3491.8062449959998</v>
      </c>
      <c r="E135">
        <v>889.49879903922999</v>
      </c>
      <c r="F135">
        <v>144.1875</v>
      </c>
      <c r="G135">
        <v>119.80448717949</v>
      </c>
      <c r="I135" s="9">
        <f t="shared" si="15"/>
        <v>769.69431185973997</v>
      </c>
      <c r="J135" s="9">
        <f t="shared" si="16"/>
        <v>3347.6187449959998</v>
      </c>
      <c r="K135" s="9">
        <f t="shared" si="17"/>
        <v>769.69431185973997</v>
      </c>
      <c r="L135" s="10">
        <f t="shared" si="14"/>
        <v>0.22992293044429696</v>
      </c>
      <c r="M135" s="10">
        <f t="shared" si="18"/>
        <v>0.26769425474844838</v>
      </c>
      <c r="P135" s="8">
        <f t="shared" si="19"/>
        <v>-5.0170543248563453</v>
      </c>
      <c r="X135" s="8">
        <v>-13</v>
      </c>
    </row>
    <row r="136" spans="1:24" x14ac:dyDescent="0.2">
      <c r="A136" s="8">
        <v>67</v>
      </c>
      <c r="B136" s="8">
        <v>134</v>
      </c>
      <c r="D136">
        <v>3520.5564451560999</v>
      </c>
      <c r="E136">
        <v>918.34107285828998</v>
      </c>
      <c r="F136">
        <v>144.53846153846001</v>
      </c>
      <c r="G136">
        <v>119.87019230769</v>
      </c>
      <c r="I136" s="9">
        <f t="shared" si="15"/>
        <v>798.47088055059999</v>
      </c>
      <c r="J136" s="9">
        <f t="shared" si="16"/>
        <v>3376.0179836176399</v>
      </c>
      <c r="K136" s="9">
        <f t="shared" si="17"/>
        <v>798.47088055059999</v>
      </c>
      <c r="L136" s="10">
        <f t="shared" si="14"/>
        <v>0.2365126265396793</v>
      </c>
      <c r="M136" s="10">
        <f t="shared" si="18"/>
        <v>0.27456794576341081</v>
      </c>
      <c r="P136" s="8">
        <f t="shared" si="19"/>
        <v>-2.5781397471960479</v>
      </c>
      <c r="X136" s="8">
        <v>-13</v>
      </c>
    </row>
    <row r="137" spans="1:24" x14ac:dyDescent="0.2">
      <c r="A137" s="8">
        <v>67.5</v>
      </c>
      <c r="B137" s="8">
        <v>135</v>
      </c>
      <c r="D137">
        <v>3511.7574059246999</v>
      </c>
      <c r="E137">
        <v>908.98638911129001</v>
      </c>
      <c r="F137">
        <v>144.69951923076999</v>
      </c>
      <c r="G137">
        <v>119.75801282051</v>
      </c>
      <c r="I137" s="9">
        <f t="shared" si="15"/>
        <v>789.22837629078003</v>
      </c>
      <c r="J137" s="9">
        <f t="shared" si="16"/>
        <v>3367.05788669393</v>
      </c>
      <c r="K137" s="9">
        <f t="shared" si="17"/>
        <v>789.22837629078003</v>
      </c>
      <c r="L137" s="10">
        <f t="shared" si="14"/>
        <v>0.2343970323200214</v>
      </c>
      <c r="M137" s="10">
        <f t="shared" si="18"/>
        <v>0.272736346463333</v>
      </c>
      <c r="P137" s="8">
        <f t="shared" si="19"/>
        <v>-3.2280255543509377</v>
      </c>
      <c r="X137" s="8">
        <v>-13</v>
      </c>
    </row>
    <row r="138" spans="1:24" x14ac:dyDescent="0.2">
      <c r="A138" s="8">
        <v>68</v>
      </c>
      <c r="B138" s="8">
        <v>136</v>
      </c>
      <c r="D138">
        <v>3522.7224880383001</v>
      </c>
      <c r="E138">
        <v>885.70015948962998</v>
      </c>
      <c r="F138">
        <v>144.60256410256</v>
      </c>
      <c r="G138">
        <v>119.42708333333</v>
      </c>
      <c r="I138" s="9">
        <f t="shared" si="15"/>
        <v>766.27307615630002</v>
      </c>
      <c r="J138" s="9">
        <f t="shared" si="16"/>
        <v>3378.1199239357402</v>
      </c>
      <c r="K138" s="9">
        <f t="shared" si="17"/>
        <v>766.27307615630002</v>
      </c>
      <c r="L138" s="10">
        <f t="shared" si="14"/>
        <v>0.226834183927828</v>
      </c>
      <c r="M138" s="10">
        <f t="shared" si="18"/>
        <v>0.26545749299071969</v>
      </c>
      <c r="P138" s="8">
        <f t="shared" si="19"/>
        <v>-5.8106993760817645</v>
      </c>
      <c r="X138" s="8">
        <v>-13</v>
      </c>
    </row>
    <row r="139" spans="1:24" x14ac:dyDescent="0.2">
      <c r="A139" s="8">
        <v>68.5</v>
      </c>
      <c r="B139" s="8">
        <v>137</v>
      </c>
      <c r="D139">
        <v>3510.7667984190002</v>
      </c>
      <c r="E139">
        <v>881.94940711462004</v>
      </c>
      <c r="F139">
        <v>144.47916666667001</v>
      </c>
      <c r="G139">
        <v>119.35817307692</v>
      </c>
      <c r="I139" s="9">
        <f t="shared" si="15"/>
        <v>762.59123403770002</v>
      </c>
      <c r="J139" s="9">
        <f t="shared" si="16"/>
        <v>3366.2876317523301</v>
      </c>
      <c r="K139" s="9">
        <f t="shared" si="17"/>
        <v>762.59123403770002</v>
      </c>
      <c r="L139" s="10">
        <f t="shared" si="14"/>
        <v>0.22653775240255722</v>
      </c>
      <c r="M139" s="10">
        <f t="shared" si="18"/>
        <v>0.26544505638502902</v>
      </c>
      <c r="P139" s="8">
        <f t="shared" si="19"/>
        <v>-5.8151121171912452</v>
      </c>
      <c r="X139" s="8">
        <v>-13</v>
      </c>
    </row>
    <row r="140" spans="1:24" x14ac:dyDescent="0.2">
      <c r="A140" s="8">
        <v>69</v>
      </c>
      <c r="B140" s="8">
        <v>138</v>
      </c>
      <c r="D140">
        <v>3489.5731225295999</v>
      </c>
      <c r="E140">
        <v>870.46086956522004</v>
      </c>
      <c r="F140">
        <v>144.42147435896999</v>
      </c>
      <c r="G140">
        <v>119.73317307692</v>
      </c>
      <c r="I140" s="9">
        <f t="shared" si="15"/>
        <v>750.72769648830001</v>
      </c>
      <c r="J140" s="9">
        <f t="shared" si="16"/>
        <v>3345.1516481706299</v>
      </c>
      <c r="K140" s="9">
        <f t="shared" si="17"/>
        <v>750.72769648830001</v>
      </c>
      <c r="L140" s="10">
        <f t="shared" si="14"/>
        <v>0.22442261979329159</v>
      </c>
      <c r="M140" s="10">
        <f t="shared" si="18"/>
        <v>0.26361391869534345</v>
      </c>
      <c r="P140" s="8">
        <f t="shared" si="19"/>
        <v>-6.4648341363154547</v>
      </c>
      <c r="X140" s="8">
        <v>-13</v>
      </c>
    </row>
    <row r="141" spans="1:24" x14ac:dyDescent="0.2">
      <c r="A141" s="8">
        <v>69.5</v>
      </c>
      <c r="B141" s="8">
        <v>139</v>
      </c>
      <c r="D141">
        <v>3513.3786561265001</v>
      </c>
      <c r="E141">
        <v>894.72964426878002</v>
      </c>
      <c r="F141">
        <v>144.48717948717999</v>
      </c>
      <c r="G141">
        <v>119.73076923076999</v>
      </c>
      <c r="I141" s="9">
        <f t="shared" si="15"/>
        <v>774.99887503801006</v>
      </c>
      <c r="J141" s="9">
        <f t="shared" si="16"/>
        <v>3368.89147663932</v>
      </c>
      <c r="K141" s="9">
        <f t="shared" si="17"/>
        <v>774.99887503801006</v>
      </c>
      <c r="L141" s="10">
        <f t="shared" si="14"/>
        <v>0.23004566351039599</v>
      </c>
      <c r="M141" s="10">
        <f t="shared" si="18"/>
        <v>0.26952095733202797</v>
      </c>
      <c r="P141" s="8">
        <f t="shared" si="19"/>
        <v>-4.3689059646166859</v>
      </c>
      <c r="X141" s="8">
        <v>-13</v>
      </c>
    </row>
    <row r="142" spans="1:24" x14ac:dyDescent="0.2">
      <c r="A142" s="8">
        <v>70</v>
      </c>
      <c r="B142" s="8">
        <v>140</v>
      </c>
      <c r="D142">
        <v>3554.5434956105</v>
      </c>
      <c r="E142">
        <v>935.48443735036005</v>
      </c>
      <c r="F142">
        <v>144.63060897436</v>
      </c>
      <c r="G142">
        <v>119.26362179487001</v>
      </c>
      <c r="I142" s="9">
        <f t="shared" si="15"/>
        <v>816.22081555549005</v>
      </c>
      <c r="J142" s="9">
        <f t="shared" si="16"/>
        <v>3409.9128866361402</v>
      </c>
      <c r="K142" s="9">
        <f t="shared" si="17"/>
        <v>816.22081555549005</v>
      </c>
      <c r="L142" s="10">
        <f t="shared" si="14"/>
        <v>0.23936705795457644</v>
      </c>
      <c r="M142" s="10">
        <f t="shared" si="18"/>
        <v>0.27912634669578851</v>
      </c>
      <c r="P142" s="8">
        <f t="shared" si="19"/>
        <v>-0.96073354424105439</v>
      </c>
      <c r="X142" s="8">
        <v>-13</v>
      </c>
    </row>
    <row r="143" spans="1:24" x14ac:dyDescent="0.2">
      <c r="A143" s="8">
        <v>70.5</v>
      </c>
      <c r="B143" s="8">
        <v>141</v>
      </c>
      <c r="D143">
        <v>3560.6895450918</v>
      </c>
      <c r="E143">
        <v>950.30327214684996</v>
      </c>
      <c r="F143">
        <v>144.40384615385</v>
      </c>
      <c r="G143">
        <v>119.53926282051</v>
      </c>
      <c r="I143" s="9">
        <f t="shared" si="15"/>
        <v>830.76400932633999</v>
      </c>
      <c r="J143" s="9">
        <f t="shared" si="16"/>
        <v>3416.2856989379502</v>
      </c>
      <c r="K143" s="9">
        <f t="shared" si="17"/>
        <v>830.76400932633999</v>
      </c>
      <c r="L143" s="10">
        <f t="shared" si="14"/>
        <v>0.24317755672033128</v>
      </c>
      <c r="M143" s="10">
        <f t="shared" si="18"/>
        <v>0.28322084038112338</v>
      </c>
      <c r="P143" s="8">
        <f t="shared" si="19"/>
        <v>0.49206966084392717</v>
      </c>
      <c r="X143" s="8">
        <v>-13</v>
      </c>
    </row>
    <row r="144" spans="1:24" x14ac:dyDescent="0.2">
      <c r="A144" s="8">
        <v>71</v>
      </c>
      <c r="B144" s="8">
        <v>142</v>
      </c>
      <c r="D144">
        <v>3489.2697525938001</v>
      </c>
      <c r="E144">
        <v>913.11811652034999</v>
      </c>
      <c r="F144">
        <v>143.97355769231001</v>
      </c>
      <c r="G144">
        <v>119.66826923076999</v>
      </c>
      <c r="I144" s="9">
        <f t="shared" si="15"/>
        <v>793.44984728958002</v>
      </c>
      <c r="J144" s="9">
        <f t="shared" si="16"/>
        <v>3345.2961949014903</v>
      </c>
      <c r="K144" s="9">
        <f t="shared" si="17"/>
        <v>793.44984728958002</v>
      </c>
      <c r="L144" s="10">
        <f t="shared" si="14"/>
        <v>0.23718373532928522</v>
      </c>
      <c r="M144" s="10">
        <f t="shared" si="18"/>
        <v>0.27751101390965743</v>
      </c>
      <c r="P144" s="8">
        <f t="shared" si="19"/>
        <v>-1.533883933353974</v>
      </c>
    </row>
    <row r="145" spans="1:16" x14ac:dyDescent="0.2">
      <c r="A145" s="8">
        <v>71.5</v>
      </c>
      <c r="B145" s="8">
        <v>143</v>
      </c>
      <c r="D145">
        <v>3411.2537909018001</v>
      </c>
      <c r="E145">
        <v>882.36233040701995</v>
      </c>
      <c r="F145">
        <v>144.70993589744</v>
      </c>
      <c r="G145">
        <v>119.49278846154</v>
      </c>
      <c r="I145" s="9">
        <f t="shared" si="15"/>
        <v>762.86954194547991</v>
      </c>
      <c r="J145" s="9">
        <f t="shared" si="16"/>
        <v>3266.54385500436</v>
      </c>
      <c r="K145" s="9">
        <f t="shared" si="17"/>
        <v>762.86954194547991</v>
      </c>
      <c r="L145" s="10">
        <f t="shared" si="14"/>
        <v>0.23354027247384429</v>
      </c>
      <c r="M145" s="10">
        <f t="shared" si="18"/>
        <v>0.2741515459737966</v>
      </c>
      <c r="P145" s="8">
        <f t="shared" si="19"/>
        <v>-2.7258862075496122</v>
      </c>
    </row>
    <row r="146" spans="1:16" x14ac:dyDescent="0.2">
      <c r="A146" s="8">
        <v>72</v>
      </c>
      <c r="B146" s="8">
        <v>144</v>
      </c>
      <c r="D146">
        <v>3511.9832402235002</v>
      </c>
      <c r="E146">
        <v>904.79010375099995</v>
      </c>
      <c r="F146">
        <v>144.33573717949</v>
      </c>
      <c r="G146">
        <v>119.53205128205001</v>
      </c>
      <c r="I146" s="9">
        <f t="shared" si="15"/>
        <v>785.25805246894993</v>
      </c>
      <c r="J146" s="9">
        <f t="shared" si="16"/>
        <v>3367.6475030440101</v>
      </c>
      <c r="K146" s="9">
        <f t="shared" si="17"/>
        <v>785.25805246894993</v>
      </c>
      <c r="L146" s="10">
        <f t="shared" si="14"/>
        <v>0.23317703285725619</v>
      </c>
      <c r="M146" s="10">
        <f t="shared" si="18"/>
        <v>0.27407230127678855</v>
      </c>
      <c r="P146" s="8">
        <f t="shared" si="19"/>
        <v>-2.7540037133139066</v>
      </c>
    </row>
    <row r="147" spans="1:16" x14ac:dyDescent="0.2">
      <c r="A147" s="8">
        <v>72.5</v>
      </c>
      <c r="B147" s="8">
        <v>145</v>
      </c>
      <c r="D147">
        <v>3157.7446129290001</v>
      </c>
      <c r="E147">
        <v>802.11412609736999</v>
      </c>
      <c r="F147">
        <v>144.87580128204999</v>
      </c>
      <c r="G147">
        <v>119.35657051282</v>
      </c>
      <c r="I147" s="9">
        <f t="shared" si="15"/>
        <v>682.75755558455</v>
      </c>
      <c r="J147" s="9">
        <f t="shared" si="16"/>
        <v>3012.8688116469502</v>
      </c>
      <c r="K147" s="9">
        <f t="shared" si="17"/>
        <v>682.75755558455</v>
      </c>
      <c r="L147" s="10">
        <f t="shared" si="14"/>
        <v>0.22661376856011478</v>
      </c>
      <c r="M147" s="10">
        <f t="shared" si="18"/>
        <v>0.26779303189922726</v>
      </c>
      <c r="P147" s="8">
        <f t="shared" si="19"/>
        <v>-4.982006337908726</v>
      </c>
    </row>
    <row r="148" spans="1:16" x14ac:dyDescent="0.2">
      <c r="A148" s="8">
        <v>73</v>
      </c>
      <c r="B148" s="8">
        <v>146</v>
      </c>
      <c r="D148">
        <v>3368.2591706539001</v>
      </c>
      <c r="E148">
        <v>861.83891547048995</v>
      </c>
      <c r="F148">
        <v>144.60977564103001</v>
      </c>
      <c r="G148">
        <v>119.68269230769</v>
      </c>
      <c r="I148" s="9">
        <f t="shared" si="15"/>
        <v>742.15622316279996</v>
      </c>
      <c r="J148" s="9">
        <f t="shared" si="16"/>
        <v>3223.6493950128702</v>
      </c>
      <c r="K148" s="9">
        <f t="shared" si="17"/>
        <v>742.15622316279996</v>
      </c>
      <c r="L148" s="10">
        <f t="shared" si="14"/>
        <v>0.23022237601612286</v>
      </c>
      <c r="M148" s="10">
        <f t="shared" si="18"/>
        <v>0.2716856342748154</v>
      </c>
      <c r="P148" s="8">
        <f t="shared" si="19"/>
        <v>-3.6008379586214736</v>
      </c>
    </row>
    <row r="149" spans="1:16" x14ac:dyDescent="0.2">
      <c r="A149" s="8">
        <v>73.5</v>
      </c>
      <c r="B149" s="8">
        <v>147</v>
      </c>
      <c r="D149">
        <v>3297.5693779904</v>
      </c>
      <c r="E149">
        <v>822.47208931420005</v>
      </c>
      <c r="F149">
        <v>144.36778846153999</v>
      </c>
      <c r="G149">
        <v>119.21634615385</v>
      </c>
      <c r="I149" s="9">
        <f t="shared" si="15"/>
        <v>703.25574316034999</v>
      </c>
      <c r="J149" s="9">
        <f t="shared" si="16"/>
        <v>3153.20158952886</v>
      </c>
      <c r="K149" s="9">
        <f t="shared" si="17"/>
        <v>703.25574316034999</v>
      </c>
      <c r="L149" s="10">
        <f t="shared" si="14"/>
        <v>0.22302910968195597</v>
      </c>
      <c r="M149" s="10">
        <f t="shared" si="18"/>
        <v>0.2647763628602286</v>
      </c>
      <c r="P149" s="8">
        <f t="shared" si="19"/>
        <v>-6.0523771298420517</v>
      </c>
    </row>
    <row r="150" spans="1:16" x14ac:dyDescent="0.2">
      <c r="A150" s="8">
        <v>74</v>
      </c>
      <c r="B150" s="8">
        <v>148</v>
      </c>
      <c r="D150">
        <v>3458.0262321145001</v>
      </c>
      <c r="E150">
        <v>848.76629570747002</v>
      </c>
      <c r="F150">
        <v>144.62339743589999</v>
      </c>
      <c r="G150">
        <v>119.29567307692</v>
      </c>
      <c r="I150" s="9">
        <f t="shared" si="15"/>
        <v>729.47062263055</v>
      </c>
      <c r="J150" s="9">
        <f t="shared" si="16"/>
        <v>3313.4028346785999</v>
      </c>
      <c r="K150" s="9">
        <f t="shared" si="17"/>
        <v>729.47062263055</v>
      </c>
      <c r="L150" s="10">
        <f t="shared" si="14"/>
        <v>0.22015754166556348</v>
      </c>
      <c r="M150" s="10">
        <f t="shared" si="18"/>
        <v>0.2621887897634162</v>
      </c>
      <c r="P150" s="8">
        <f t="shared" si="19"/>
        <v>-6.9704966282076395</v>
      </c>
    </row>
    <row r="151" spans="1:16" x14ac:dyDescent="0.2">
      <c r="A151" s="8">
        <v>74.5</v>
      </c>
      <c r="B151" s="8">
        <v>149</v>
      </c>
      <c r="D151">
        <v>3388.6104928457999</v>
      </c>
      <c r="E151">
        <v>816.17488076311997</v>
      </c>
      <c r="F151">
        <v>144.16746794872</v>
      </c>
      <c r="G151">
        <v>119.19871794872</v>
      </c>
      <c r="I151" s="9">
        <f t="shared" si="15"/>
        <v>696.97616281439991</v>
      </c>
      <c r="J151" s="9">
        <f t="shared" si="16"/>
        <v>3244.4430248970798</v>
      </c>
      <c r="K151" s="9">
        <f t="shared" si="17"/>
        <v>696.97616281439991</v>
      </c>
      <c r="L151" s="10">
        <f t="shared" si="14"/>
        <v>0.21482151403676117</v>
      </c>
      <c r="M151" s="10">
        <f t="shared" si="18"/>
        <v>0.25713675705419398</v>
      </c>
      <c r="P151" s="8">
        <f t="shared" si="19"/>
        <v>-8.7630526500767818</v>
      </c>
    </row>
    <row r="152" spans="1:16" x14ac:dyDescent="0.2">
      <c r="A152" s="8">
        <v>75</v>
      </c>
      <c r="B152" s="8">
        <v>150</v>
      </c>
      <c r="D152">
        <v>3383.5445151033</v>
      </c>
      <c r="E152">
        <v>808.05007949126002</v>
      </c>
      <c r="F152">
        <v>143.69230769231001</v>
      </c>
      <c r="G152">
        <v>119.48958333333</v>
      </c>
      <c r="I152" s="9">
        <f t="shared" si="15"/>
        <v>688.56049615793006</v>
      </c>
      <c r="J152" s="9">
        <f t="shared" si="16"/>
        <v>3239.8522074109901</v>
      </c>
      <c r="K152" s="9">
        <f t="shared" si="17"/>
        <v>688.56049615793006</v>
      </c>
      <c r="L152" s="10">
        <f t="shared" si="14"/>
        <v>0.21252836613438245</v>
      </c>
      <c r="M152" s="10">
        <f t="shared" si="18"/>
        <v>0.25512760407139534</v>
      </c>
      <c r="P152" s="8">
        <f t="shared" si="19"/>
        <v>-9.4759378361915996</v>
      </c>
    </row>
    <row r="153" spans="1:16" x14ac:dyDescent="0.2">
      <c r="A153" s="8">
        <v>75.5</v>
      </c>
      <c r="B153" s="8">
        <v>151</v>
      </c>
      <c r="D153">
        <v>3360.8713029576002</v>
      </c>
      <c r="E153">
        <v>797.91766586731001</v>
      </c>
      <c r="F153">
        <v>144.89663461539001</v>
      </c>
      <c r="G153">
        <v>119.47596153846</v>
      </c>
      <c r="I153" s="9">
        <f t="shared" si="15"/>
        <v>678.44170432885005</v>
      </c>
      <c r="J153" s="9">
        <f t="shared" si="16"/>
        <v>3215.97466834221</v>
      </c>
      <c r="K153" s="9">
        <f t="shared" si="17"/>
        <v>678.44170432885005</v>
      </c>
      <c r="L153" s="10">
        <f t="shared" si="14"/>
        <v>0.21095990307615739</v>
      </c>
      <c r="M153" s="10">
        <f t="shared" si="18"/>
        <v>0.25384313593275037</v>
      </c>
      <c r="P153" s="8">
        <f t="shared" si="19"/>
        <v>-9.9316912387030349</v>
      </c>
    </row>
    <row r="154" spans="1:16" x14ac:dyDescent="0.2">
      <c r="A154" s="8">
        <v>76</v>
      </c>
      <c r="B154" s="8">
        <v>152</v>
      </c>
      <c r="D154">
        <v>3291.9640287769998</v>
      </c>
      <c r="E154">
        <v>781.55395683453003</v>
      </c>
      <c r="F154">
        <v>144.38701923076999</v>
      </c>
      <c r="G154">
        <v>118.83894230769</v>
      </c>
      <c r="I154" s="9">
        <f t="shared" si="15"/>
        <v>662.71501452684004</v>
      </c>
      <c r="J154" s="9">
        <f t="shared" si="16"/>
        <v>3147.5770095462299</v>
      </c>
      <c r="K154" s="9">
        <f t="shared" si="17"/>
        <v>662.71501452684004</v>
      </c>
      <c r="L154" s="10">
        <f t="shared" si="14"/>
        <v>0.2105476728661137</v>
      </c>
      <c r="M154" s="10">
        <f t="shared" si="18"/>
        <v>0.25371490064228674</v>
      </c>
      <c r="P154" s="8">
        <f t="shared" si="19"/>
        <v>-9.9771915264816755</v>
      </c>
    </row>
    <row r="155" spans="1:16" x14ac:dyDescent="0.2">
      <c r="A155" s="8">
        <v>76.5</v>
      </c>
      <c r="B155" s="8">
        <v>153</v>
      </c>
      <c r="D155">
        <v>3327.6179056755</v>
      </c>
      <c r="E155">
        <v>790.76898481215005</v>
      </c>
      <c r="F155">
        <v>143.85817307692</v>
      </c>
      <c r="G155">
        <v>119.28766025641001</v>
      </c>
      <c r="I155" s="9">
        <f t="shared" si="15"/>
        <v>671.48132455574</v>
      </c>
      <c r="J155" s="9">
        <f t="shared" si="16"/>
        <v>3183.7597325985798</v>
      </c>
      <c r="K155" s="9">
        <f t="shared" si="17"/>
        <v>671.48132455574</v>
      </c>
      <c r="L155" s="10">
        <f t="shared" si="14"/>
        <v>0.21090829112524706</v>
      </c>
      <c r="M155" s="10">
        <f t="shared" si="18"/>
        <v>0.25435951382100019</v>
      </c>
      <c r="P155" s="8">
        <f t="shared" si="19"/>
        <v>-9.7484706725628776</v>
      </c>
    </row>
    <row r="156" spans="1:16" x14ac:dyDescent="0.2">
      <c r="A156" s="8">
        <v>77</v>
      </c>
      <c r="B156" s="8">
        <v>154</v>
      </c>
      <c r="D156">
        <v>3385.2342126299</v>
      </c>
      <c r="E156">
        <v>811.94004796162994</v>
      </c>
      <c r="F156">
        <v>143.65304487180001</v>
      </c>
      <c r="G156">
        <v>119.45112179487001</v>
      </c>
      <c r="I156" s="9">
        <f t="shared" si="15"/>
        <v>692.48892616675994</v>
      </c>
      <c r="J156" s="9">
        <f t="shared" si="16"/>
        <v>3241.5811677581</v>
      </c>
      <c r="K156" s="9">
        <f t="shared" si="17"/>
        <v>692.48892616675994</v>
      </c>
      <c r="L156" s="10">
        <f t="shared" si="14"/>
        <v>0.21362689697685097</v>
      </c>
      <c r="M156" s="10">
        <f t="shared" si="18"/>
        <v>0.25736211459218422</v>
      </c>
      <c r="P156" s="8">
        <f t="shared" si="19"/>
        <v>-8.6830915660836787</v>
      </c>
    </row>
    <row r="157" spans="1:16" x14ac:dyDescent="0.2">
      <c r="A157" s="8">
        <v>77.5</v>
      </c>
      <c r="B157" s="8">
        <v>155</v>
      </c>
      <c r="D157">
        <v>3506.1496000000002</v>
      </c>
      <c r="E157">
        <v>861.33040000000005</v>
      </c>
      <c r="F157">
        <v>144.06410256410001</v>
      </c>
      <c r="G157">
        <v>119.5921474359</v>
      </c>
      <c r="I157" s="9">
        <f t="shared" si="15"/>
        <v>741.73825256410009</v>
      </c>
      <c r="J157" s="9">
        <f t="shared" si="16"/>
        <v>3362.0854974359004</v>
      </c>
      <c r="K157" s="9">
        <f t="shared" si="17"/>
        <v>741.73825256410009</v>
      </c>
      <c r="L157" s="10">
        <f t="shared" si="14"/>
        <v>0.22061849799173397</v>
      </c>
      <c r="M157" s="10">
        <f t="shared" si="18"/>
        <v>0.26463771052664731</v>
      </c>
      <c r="P157" s="8">
        <f t="shared" si="19"/>
        <v>-6.1015735800260842</v>
      </c>
    </row>
    <row r="158" spans="1:16" x14ac:dyDescent="0.2">
      <c r="A158" s="8">
        <v>78</v>
      </c>
      <c r="B158" s="8">
        <v>156</v>
      </c>
      <c r="D158">
        <v>3370.4832000000001</v>
      </c>
      <c r="E158">
        <v>821.98400000000004</v>
      </c>
      <c r="F158">
        <v>143.94551282051</v>
      </c>
      <c r="G158">
        <v>119.48397435897</v>
      </c>
      <c r="I158" s="9">
        <f t="shared" si="15"/>
        <v>702.50002564102999</v>
      </c>
      <c r="J158" s="9">
        <f t="shared" si="16"/>
        <v>3226.5376871794901</v>
      </c>
      <c r="K158" s="9">
        <f t="shared" si="17"/>
        <v>702.50002564102999</v>
      </c>
      <c r="L158" s="10">
        <f t="shared" si="14"/>
        <v>0.21772565323888324</v>
      </c>
      <c r="M158" s="10">
        <f t="shared" si="18"/>
        <v>0.26202886069337666</v>
      </c>
      <c r="P158" s="8">
        <f t="shared" si="19"/>
        <v>-7.0272424638092135</v>
      </c>
    </row>
    <row r="159" spans="1:16" x14ac:dyDescent="0.2">
      <c r="A159" s="8">
        <v>78.5</v>
      </c>
      <c r="B159" s="8">
        <v>157</v>
      </c>
      <c r="D159">
        <v>3523.8452950557999</v>
      </c>
      <c r="E159">
        <v>845.97288676235996</v>
      </c>
      <c r="F159">
        <v>144.13701923076999</v>
      </c>
      <c r="G159">
        <v>119.53525641026</v>
      </c>
      <c r="I159" s="9">
        <f t="shared" si="15"/>
        <v>726.43763035209997</v>
      </c>
      <c r="J159" s="9">
        <f t="shared" si="16"/>
        <v>3379.7082758250299</v>
      </c>
      <c r="K159" s="9">
        <f t="shared" si="17"/>
        <v>726.43763035209997</v>
      </c>
      <c r="L159" s="10">
        <f t="shared" si="14"/>
        <v>0.21494092716471727</v>
      </c>
      <c r="M159" s="10">
        <f t="shared" si="18"/>
        <v>0.25952812953879079</v>
      </c>
      <c r="P159" s="8">
        <f t="shared" si="19"/>
        <v>-7.9145488112217608</v>
      </c>
    </row>
    <row r="160" spans="1:16" x14ac:dyDescent="0.2">
      <c r="A160" s="8">
        <v>79</v>
      </c>
      <c r="B160" s="8">
        <v>158</v>
      </c>
      <c r="D160">
        <v>3463.7017543860002</v>
      </c>
      <c r="E160">
        <v>810.43221690589996</v>
      </c>
      <c r="F160">
        <v>144.26442307692</v>
      </c>
      <c r="G160">
        <v>119.14823717949</v>
      </c>
      <c r="I160" s="9">
        <f t="shared" si="15"/>
        <v>691.28397972640994</v>
      </c>
      <c r="J160" s="9">
        <f t="shared" si="16"/>
        <v>3319.43733130908</v>
      </c>
      <c r="K160" s="9">
        <f t="shared" si="17"/>
        <v>691.28397972640994</v>
      </c>
      <c r="L160" s="10">
        <f t="shared" si="14"/>
        <v>0.20825336065428585</v>
      </c>
      <c r="M160" s="10">
        <f t="shared" si="18"/>
        <v>0.25312455794793942</v>
      </c>
      <c r="P160" s="8">
        <f t="shared" si="19"/>
        <v>-10.186656193997983</v>
      </c>
    </row>
    <row r="161" spans="1:16" x14ac:dyDescent="0.2">
      <c r="A161" s="8">
        <v>79.5</v>
      </c>
      <c r="B161" s="8">
        <v>159</v>
      </c>
      <c r="D161">
        <v>3485.7621707900998</v>
      </c>
      <c r="E161">
        <v>811.60654429370004</v>
      </c>
      <c r="F161">
        <v>143.35817307692</v>
      </c>
      <c r="G161">
        <v>119.02003205128</v>
      </c>
      <c r="I161" s="9">
        <f t="shared" si="15"/>
        <v>692.58651224241999</v>
      </c>
      <c r="J161" s="9">
        <f t="shared" si="16"/>
        <v>3342.4039977131797</v>
      </c>
      <c r="K161" s="9">
        <f t="shared" si="17"/>
        <v>692.58651224241999</v>
      </c>
      <c r="L161" s="10">
        <f t="shared" si="14"/>
        <v>0.20721208828025481</v>
      </c>
      <c r="M161" s="10">
        <f t="shared" si="18"/>
        <v>0.2523672804934885</v>
      </c>
      <c r="P161" s="8">
        <f t="shared" si="19"/>
        <v>-10.455352447433508</v>
      </c>
    </row>
    <row r="162" spans="1:16" x14ac:dyDescent="0.2">
      <c r="A162" s="8">
        <v>80</v>
      </c>
      <c r="B162" s="4">
        <v>160</v>
      </c>
      <c r="C162" s="4" t="s">
        <v>6</v>
      </c>
      <c r="D162">
        <v>3475.2130885873999</v>
      </c>
      <c r="E162">
        <v>815.75019952114997</v>
      </c>
      <c r="F162">
        <v>143.84935897436</v>
      </c>
      <c r="G162">
        <v>119.16746794872</v>
      </c>
      <c r="H162" s="4"/>
      <c r="I162" s="5">
        <f t="shared" si="15"/>
        <v>696.58273157243002</v>
      </c>
      <c r="J162" s="5">
        <f t="shared" si="16"/>
        <v>3331.3637296130401</v>
      </c>
      <c r="K162" s="9">
        <f t="shared" si="17"/>
        <v>696.58273157243002</v>
      </c>
      <c r="L162" s="6">
        <f t="shared" si="14"/>
        <v>0.20909837175100141</v>
      </c>
      <c r="M162" s="6">
        <f t="shared" si="18"/>
        <v>0.25453755888381518</v>
      </c>
      <c r="N162" s="4"/>
      <c r="O162" s="4"/>
      <c r="P162" s="4">
        <f t="shared" si="19"/>
        <v>-9.6852969427233067</v>
      </c>
    </row>
    <row r="163" spans="1:16" x14ac:dyDescent="0.2">
      <c r="A163" s="8">
        <v>80.5</v>
      </c>
      <c r="B163" s="8">
        <v>161</v>
      </c>
      <c r="D163">
        <v>3421.5083798883002</v>
      </c>
      <c r="E163">
        <v>797.65283320031995</v>
      </c>
      <c r="F163">
        <v>144.05929487180001</v>
      </c>
      <c r="G163">
        <v>119.32852564103</v>
      </c>
      <c r="I163" s="9">
        <f t="shared" si="15"/>
        <v>678.32430755928999</v>
      </c>
      <c r="J163" s="9">
        <f t="shared" si="16"/>
        <v>3277.4490850165002</v>
      </c>
      <c r="K163" s="9">
        <f t="shared" si="17"/>
        <v>678.32430755928999</v>
      </c>
      <c r="L163" s="10">
        <f t="shared" si="14"/>
        <v>0.20696715340609936</v>
      </c>
      <c r="M163" s="10">
        <f t="shared" si="18"/>
        <v>0.25269033545849323</v>
      </c>
      <c r="P163" s="8">
        <f t="shared" si="19"/>
        <v>-10.34072648274867</v>
      </c>
    </row>
    <row r="164" spans="1:16" x14ac:dyDescent="0.2">
      <c r="A164" s="8">
        <v>81</v>
      </c>
      <c r="B164" s="8">
        <v>162</v>
      </c>
      <c r="D164">
        <v>3398.0399042299</v>
      </c>
      <c r="E164">
        <v>784.46687948923</v>
      </c>
      <c r="F164">
        <v>143.31089743589999</v>
      </c>
      <c r="G164">
        <v>118.91506410256</v>
      </c>
      <c r="I164" s="9">
        <f t="shared" si="15"/>
        <v>665.55181538667</v>
      </c>
      <c r="J164" s="9">
        <f t="shared" si="16"/>
        <v>3254.7290067939998</v>
      </c>
      <c r="K164" s="9">
        <f t="shared" si="17"/>
        <v>665.55181538667</v>
      </c>
      <c r="L164" s="10">
        <f t="shared" si="14"/>
        <v>0.20448762830864908</v>
      </c>
      <c r="M164" s="10">
        <f t="shared" si="18"/>
        <v>0.25049480528062301</v>
      </c>
      <c r="P164" s="8">
        <f t="shared" si="19"/>
        <v>-11.119741795605302</v>
      </c>
    </row>
    <row r="165" spans="1:16" x14ac:dyDescent="0.2">
      <c r="A165" s="8">
        <v>81.5</v>
      </c>
      <c r="B165" s="8">
        <v>163</v>
      </c>
      <c r="D165">
        <v>3562.1237031125002</v>
      </c>
      <c r="E165">
        <v>821.06943335994004</v>
      </c>
      <c r="F165">
        <v>143.45673076923001</v>
      </c>
      <c r="G165">
        <v>118.89503205128</v>
      </c>
      <c r="I165" s="9">
        <f t="shared" si="15"/>
        <v>702.17440130865998</v>
      </c>
      <c r="J165" s="9">
        <f t="shared" si="16"/>
        <v>3418.6669723432701</v>
      </c>
      <c r="K165" s="9">
        <f t="shared" si="17"/>
        <v>702.17440130865998</v>
      </c>
      <c r="L165" s="10">
        <f t="shared" si="14"/>
        <v>0.20539420978679473</v>
      </c>
      <c r="M165" s="10">
        <f t="shared" si="18"/>
        <v>0.25168538167834875</v>
      </c>
      <c r="P165" s="8">
        <f t="shared" si="19"/>
        <v>-10.697302944933824</v>
      </c>
    </row>
    <row r="166" spans="1:16" x14ac:dyDescent="0.2">
      <c r="A166" s="8">
        <v>82</v>
      </c>
      <c r="B166" s="8">
        <v>164</v>
      </c>
      <c r="D166">
        <v>3515.5238095238001</v>
      </c>
      <c r="E166">
        <v>816.3126984127</v>
      </c>
      <c r="F166">
        <v>143.52884615385</v>
      </c>
      <c r="G166">
        <v>119.29807692308</v>
      </c>
      <c r="I166" s="9">
        <f t="shared" si="15"/>
        <v>697.01462148962003</v>
      </c>
      <c r="J166" s="9">
        <f t="shared" si="16"/>
        <v>3371.9949633699503</v>
      </c>
      <c r="K166" s="9">
        <f t="shared" si="17"/>
        <v>697.01462148962003</v>
      </c>
      <c r="L166" s="10">
        <f t="shared" si="14"/>
        <v>0.2067068987532022</v>
      </c>
      <c r="M166" s="10">
        <f t="shared" si="18"/>
        <v>0.2532820655643363</v>
      </c>
      <c r="P166" s="8">
        <f t="shared" si="19"/>
        <v>-10.130769535594707</v>
      </c>
    </row>
    <row r="167" spans="1:16" x14ac:dyDescent="0.2">
      <c r="A167" s="8">
        <v>82.5</v>
      </c>
      <c r="B167" s="8">
        <v>165</v>
      </c>
      <c r="D167">
        <v>3427.4879999999998</v>
      </c>
      <c r="E167">
        <v>811.48800000000006</v>
      </c>
      <c r="F167">
        <v>143.67868589744</v>
      </c>
      <c r="G167">
        <v>119.00641025641001</v>
      </c>
      <c r="I167" s="9">
        <f t="shared" si="15"/>
        <v>692.48158974359001</v>
      </c>
      <c r="J167" s="9">
        <f t="shared" si="16"/>
        <v>3283.8093141025597</v>
      </c>
      <c r="K167" s="9">
        <f t="shared" si="17"/>
        <v>692.48158974359001</v>
      </c>
      <c r="L167" s="10">
        <f t="shared" si="14"/>
        <v>0.21087752774488977</v>
      </c>
      <c r="M167" s="10">
        <f t="shared" si="18"/>
        <v>0.25773668947560396</v>
      </c>
      <c r="P167" s="8">
        <f t="shared" si="19"/>
        <v>-8.5501853674184769</v>
      </c>
    </row>
    <row r="168" spans="1:16" x14ac:dyDescent="0.2">
      <c r="A168" s="8">
        <v>83</v>
      </c>
      <c r="B168" s="8">
        <v>166</v>
      </c>
      <c r="D168">
        <v>3209.2503999999999</v>
      </c>
      <c r="E168">
        <v>773.59280000000001</v>
      </c>
      <c r="F168">
        <v>143.70993589744</v>
      </c>
      <c r="G168">
        <v>118.73397435897</v>
      </c>
      <c r="I168" s="9">
        <f t="shared" si="15"/>
        <v>654.85882564102997</v>
      </c>
      <c r="J168" s="9">
        <f t="shared" si="16"/>
        <v>3065.5404641025598</v>
      </c>
      <c r="K168" s="9">
        <f t="shared" si="17"/>
        <v>654.85882564102997</v>
      </c>
      <c r="L168" s="10">
        <f t="shared" si="14"/>
        <v>0.21361937097533651</v>
      </c>
      <c r="M168" s="10">
        <f t="shared" si="18"/>
        <v>0.26076252762563079</v>
      </c>
      <c r="P168" s="8">
        <f t="shared" si="19"/>
        <v>-7.4765612028063257</v>
      </c>
    </row>
    <row r="169" spans="1:16" x14ac:dyDescent="0.2">
      <c r="A169" s="8">
        <v>83.5</v>
      </c>
      <c r="B169" s="8">
        <v>167</v>
      </c>
      <c r="D169">
        <v>3492.1065182829998</v>
      </c>
      <c r="E169">
        <v>845.66375198727997</v>
      </c>
      <c r="F169">
        <v>143.92788461539001</v>
      </c>
      <c r="G169">
        <v>118.76602564103</v>
      </c>
      <c r="I169" s="9">
        <f t="shared" si="15"/>
        <v>726.89772634625001</v>
      </c>
      <c r="J169" s="9">
        <f t="shared" si="16"/>
        <v>3348.1786336676096</v>
      </c>
      <c r="K169" s="9">
        <f t="shared" si="17"/>
        <v>726.89772634625001</v>
      </c>
      <c r="L169" s="10">
        <f t="shared" si="14"/>
        <v>0.21710243265903739</v>
      </c>
      <c r="M169" s="10">
        <f t="shared" si="18"/>
        <v>0.26452958422891176</v>
      </c>
      <c r="P169" s="8">
        <f t="shared" si="19"/>
        <v>-6.1399388197788767</v>
      </c>
    </row>
    <row r="170" spans="1:16" x14ac:dyDescent="0.2">
      <c r="A170" s="8">
        <v>84</v>
      </c>
      <c r="B170" s="8">
        <v>168</v>
      </c>
      <c r="D170">
        <v>3404.1724960254001</v>
      </c>
      <c r="E170">
        <v>803.68362480126996</v>
      </c>
      <c r="F170">
        <v>144.21554487180001</v>
      </c>
      <c r="G170">
        <v>119.14102564103</v>
      </c>
      <c r="I170" s="9">
        <f t="shared" si="15"/>
        <v>684.54259916024</v>
      </c>
      <c r="J170" s="9">
        <f t="shared" si="16"/>
        <v>3259.9569511536001</v>
      </c>
      <c r="K170" s="9">
        <f t="shared" si="17"/>
        <v>684.54259916024</v>
      </c>
      <c r="L170" s="10">
        <f t="shared" si="14"/>
        <v>0.20998516526974415</v>
      </c>
      <c r="M170" s="10">
        <f t="shared" si="18"/>
        <v>0.2576963117591986</v>
      </c>
      <c r="P170" s="8">
        <f t="shared" si="19"/>
        <v>-8.5645121390087766</v>
      </c>
    </row>
    <row r="171" spans="1:16" x14ac:dyDescent="0.2">
      <c r="A171" s="8">
        <v>84.5</v>
      </c>
      <c r="B171" s="8">
        <v>169</v>
      </c>
      <c r="D171">
        <v>3520.4871794872001</v>
      </c>
      <c r="E171">
        <v>839.67788461538998</v>
      </c>
      <c r="F171">
        <v>143.39182692308</v>
      </c>
      <c r="G171">
        <v>118.95192307692</v>
      </c>
      <c r="I171" s="9">
        <f t="shared" si="15"/>
        <v>720.72596153846996</v>
      </c>
      <c r="J171" s="9">
        <f t="shared" si="16"/>
        <v>3377.0953525641203</v>
      </c>
      <c r="K171" s="9">
        <f t="shared" si="17"/>
        <v>720.72596153846996</v>
      </c>
      <c r="L171" s="10">
        <f t="shared" si="14"/>
        <v>0.21341593478882551</v>
      </c>
      <c r="M171" s="10">
        <f t="shared" si="18"/>
        <v>0.26141107619786003</v>
      </c>
      <c r="P171" s="8">
        <f t="shared" si="19"/>
        <v>-7.2464439974085932</v>
      </c>
    </row>
    <row r="172" spans="1:16" x14ac:dyDescent="0.2">
      <c r="A172" s="8">
        <v>85</v>
      </c>
      <c r="B172" s="8">
        <v>170</v>
      </c>
      <c r="D172">
        <v>3579.4214743590001</v>
      </c>
      <c r="E172">
        <v>846.67788461538998</v>
      </c>
      <c r="F172">
        <v>143.01602564103001</v>
      </c>
      <c r="G172">
        <v>119.26602564103</v>
      </c>
      <c r="I172" s="9">
        <f t="shared" si="15"/>
        <v>727.41185897436003</v>
      </c>
      <c r="J172" s="9">
        <f t="shared" si="16"/>
        <v>3436.4054487179701</v>
      </c>
      <c r="K172" s="9">
        <f t="shared" si="17"/>
        <v>727.41185897436003</v>
      </c>
      <c r="L172" s="10">
        <f t="shared" si="14"/>
        <v>0.21167812408333181</v>
      </c>
      <c r="M172" s="10">
        <f t="shared" si="18"/>
        <v>0.25995726041194644</v>
      </c>
      <c r="P172" s="8">
        <f t="shared" si="19"/>
        <v>-7.7622851234904982</v>
      </c>
    </row>
    <row r="173" spans="1:16" x14ac:dyDescent="0.2">
      <c r="A173" s="8">
        <v>85.5</v>
      </c>
      <c r="B173" s="8">
        <v>171</v>
      </c>
      <c r="D173">
        <v>3554.5931254995999</v>
      </c>
      <c r="E173">
        <v>835.33333333332996</v>
      </c>
      <c r="F173">
        <v>143.96073717949</v>
      </c>
      <c r="G173">
        <v>118.99278846154</v>
      </c>
      <c r="I173" s="9">
        <f t="shared" si="15"/>
        <v>716.34054487178992</v>
      </c>
      <c r="J173" s="9">
        <f t="shared" si="16"/>
        <v>3410.6323883201098</v>
      </c>
      <c r="K173" s="9">
        <f t="shared" si="17"/>
        <v>716.34054487178992</v>
      </c>
      <c r="L173" s="10">
        <f t="shared" si="14"/>
        <v>0.21003159042438457</v>
      </c>
      <c r="M173" s="10">
        <f t="shared" si="18"/>
        <v>0.2585947216725793</v>
      </c>
      <c r="P173" s="8">
        <f t="shared" si="19"/>
        <v>-8.2457394403685438</v>
      </c>
    </row>
    <row r="174" spans="1:16" x14ac:dyDescent="0.2">
      <c r="A174" s="8">
        <v>86</v>
      </c>
      <c r="B174" s="8">
        <v>172</v>
      </c>
      <c r="D174">
        <v>3458.8705035971002</v>
      </c>
      <c r="E174">
        <v>806.59232613909001</v>
      </c>
      <c r="F174">
        <v>143.94310897436</v>
      </c>
      <c r="G174">
        <v>118.58733974358999</v>
      </c>
      <c r="I174" s="9">
        <f t="shared" si="15"/>
        <v>688.00498639550005</v>
      </c>
      <c r="J174" s="9">
        <f t="shared" si="16"/>
        <v>3314.9273946227404</v>
      </c>
      <c r="K174" s="9">
        <f t="shared" si="17"/>
        <v>688.00498639550005</v>
      </c>
      <c r="L174" s="10">
        <f t="shared" si="14"/>
        <v>0.20754752804285759</v>
      </c>
      <c r="M174" s="10">
        <f t="shared" si="18"/>
        <v>0.2563946542106324</v>
      </c>
      <c r="P174" s="8">
        <f t="shared" si="19"/>
        <v>-9.026364666771407</v>
      </c>
    </row>
    <row r="175" spans="1:16" x14ac:dyDescent="0.2">
      <c r="A175" s="8">
        <v>86.5</v>
      </c>
      <c r="B175" s="8">
        <v>173</v>
      </c>
      <c r="D175">
        <v>3367.1439999999998</v>
      </c>
      <c r="E175">
        <v>775.21040000000005</v>
      </c>
      <c r="F175">
        <v>143.33733974359001</v>
      </c>
      <c r="G175">
        <v>118.9046474359</v>
      </c>
      <c r="I175" s="9">
        <f t="shared" si="15"/>
        <v>656.30575256410009</v>
      </c>
      <c r="J175" s="9">
        <f t="shared" si="16"/>
        <v>3223.8066602564099</v>
      </c>
      <c r="K175" s="9">
        <f t="shared" si="17"/>
        <v>656.30575256410009</v>
      </c>
      <c r="L175" s="10">
        <f t="shared" si="14"/>
        <v>0.20358099034136865</v>
      </c>
      <c r="M175" s="10">
        <f t="shared" si="18"/>
        <v>0.25271211142872352</v>
      </c>
      <c r="P175" s="8">
        <f t="shared" si="19"/>
        <v>-10.332999959819178</v>
      </c>
    </row>
    <row r="176" spans="1:16" x14ac:dyDescent="0.2">
      <c r="A176" s="8">
        <v>87</v>
      </c>
      <c r="B176" s="8">
        <v>174</v>
      </c>
      <c r="D176">
        <v>3318.1632</v>
      </c>
      <c r="E176">
        <v>753.96320000000003</v>
      </c>
      <c r="F176">
        <v>143.52884615385</v>
      </c>
      <c r="G176">
        <v>118.70352564103</v>
      </c>
      <c r="I176" s="9">
        <f t="shared" si="15"/>
        <v>635.25967435897007</v>
      </c>
      <c r="J176" s="9">
        <f t="shared" si="16"/>
        <v>3174.6343538461501</v>
      </c>
      <c r="K176" s="9">
        <f t="shared" si="17"/>
        <v>635.25967435897007</v>
      </c>
      <c r="L176" s="10">
        <f t="shared" si="14"/>
        <v>0.20010483210116367</v>
      </c>
      <c r="M176" s="10">
        <f t="shared" si="18"/>
        <v>0.24951994810809863</v>
      </c>
      <c r="P176" s="8">
        <f t="shared" si="19"/>
        <v>-11.465639416553195</v>
      </c>
    </row>
    <row r="177" spans="1:16" x14ac:dyDescent="0.2">
      <c r="A177" s="8">
        <v>87.5</v>
      </c>
      <c r="B177" s="8">
        <v>175</v>
      </c>
      <c r="D177">
        <v>3447.8920634921001</v>
      </c>
      <c r="E177">
        <v>792.1873015873</v>
      </c>
      <c r="F177">
        <v>143.05689102564</v>
      </c>
      <c r="G177">
        <v>118.95432692308</v>
      </c>
      <c r="I177" s="9">
        <f t="shared" si="15"/>
        <v>673.23297466422002</v>
      </c>
      <c r="J177" s="9">
        <f t="shared" si="16"/>
        <v>3304.8351724664599</v>
      </c>
      <c r="K177" s="9">
        <f t="shared" si="17"/>
        <v>673.23297466422002</v>
      </c>
      <c r="L177" s="10">
        <f t="shared" si="14"/>
        <v>0.20371151344342953</v>
      </c>
      <c r="M177" s="10">
        <f t="shared" si="18"/>
        <v>0.25341062436994455</v>
      </c>
      <c r="P177" s="8">
        <f t="shared" si="19"/>
        <v>-10.085154458571017</v>
      </c>
    </row>
    <row r="178" spans="1:16" x14ac:dyDescent="0.2">
      <c r="A178" s="8">
        <v>88</v>
      </c>
      <c r="B178" s="8">
        <v>176</v>
      </c>
      <c r="D178">
        <v>3610.6690476191002</v>
      </c>
      <c r="E178">
        <v>830.16111111111002</v>
      </c>
      <c r="F178">
        <v>143.33413461539001</v>
      </c>
      <c r="G178">
        <v>119.08733974358999</v>
      </c>
      <c r="I178" s="9">
        <f t="shared" si="15"/>
        <v>711.07377136752007</v>
      </c>
      <c r="J178" s="9">
        <f t="shared" si="16"/>
        <v>3467.33491300371</v>
      </c>
      <c r="K178" s="9">
        <f t="shared" si="17"/>
        <v>711.07377136752007</v>
      </c>
      <c r="L178" s="10">
        <f t="shared" si="14"/>
        <v>0.20507790254144373</v>
      </c>
      <c r="M178" s="10">
        <f t="shared" si="18"/>
        <v>0.25506100838753887</v>
      </c>
      <c r="P178" s="8">
        <f t="shared" si="19"/>
        <v>-9.4995672346928206</v>
      </c>
    </row>
    <row r="179" spans="1:16" x14ac:dyDescent="0.2">
      <c r="A179" s="8">
        <v>88.5</v>
      </c>
      <c r="B179" s="8">
        <v>177</v>
      </c>
      <c r="D179">
        <v>3488.3314873417999</v>
      </c>
      <c r="E179">
        <v>830.88765822785001</v>
      </c>
      <c r="F179">
        <v>143.61778846153999</v>
      </c>
      <c r="G179">
        <v>118.40705128205001</v>
      </c>
      <c r="I179" s="9">
        <f t="shared" si="15"/>
        <v>712.48060694579999</v>
      </c>
      <c r="J179" s="9">
        <f t="shared" si="16"/>
        <v>3344.7136988802599</v>
      </c>
      <c r="K179" s="9">
        <f t="shared" si="17"/>
        <v>712.48060694579999</v>
      </c>
      <c r="L179" s="10">
        <f t="shared" si="14"/>
        <v>0.21301691896209937</v>
      </c>
      <c r="M179" s="10">
        <f t="shared" si="18"/>
        <v>0.2632840197277746</v>
      </c>
      <c r="P179" s="8">
        <f t="shared" si="19"/>
        <v>-6.5818884815584022</v>
      </c>
    </row>
    <row r="180" spans="1:16" x14ac:dyDescent="0.2">
      <c r="A180" s="8">
        <v>89</v>
      </c>
      <c r="B180" s="8">
        <v>178</v>
      </c>
      <c r="D180">
        <v>3549.0047505938001</v>
      </c>
      <c r="E180">
        <v>900.81947743468004</v>
      </c>
      <c r="F180">
        <v>143.16987179487001</v>
      </c>
      <c r="G180">
        <v>118.40945512821</v>
      </c>
      <c r="I180" s="9">
        <f t="shared" si="15"/>
        <v>782.41002230647007</v>
      </c>
      <c r="J180" s="9">
        <f t="shared" si="16"/>
        <v>3405.8348787989298</v>
      </c>
      <c r="K180" s="9">
        <f t="shared" si="17"/>
        <v>782.41002230647007</v>
      </c>
      <c r="L180" s="10">
        <f t="shared" si="14"/>
        <v>0.22972635202514208</v>
      </c>
      <c r="M180" s="10">
        <f t="shared" si="18"/>
        <v>0.28027744771039736</v>
      </c>
      <c r="P180" s="8">
        <f t="shared" si="19"/>
        <v>-0.55230130037411884</v>
      </c>
    </row>
    <row r="181" spans="1:16" x14ac:dyDescent="0.2">
      <c r="A181" s="8">
        <v>89.5</v>
      </c>
      <c r="B181" s="8">
        <v>179</v>
      </c>
      <c r="D181">
        <v>3625.4988123515</v>
      </c>
      <c r="E181">
        <v>943.32145684877003</v>
      </c>
      <c r="F181">
        <v>143.36778846153999</v>
      </c>
      <c r="G181">
        <v>118.80849358974</v>
      </c>
      <c r="I181" s="9">
        <f t="shared" si="15"/>
        <v>824.51296325903002</v>
      </c>
      <c r="J181" s="9">
        <f t="shared" si="16"/>
        <v>3482.13102388996</v>
      </c>
      <c r="K181" s="9">
        <f t="shared" si="17"/>
        <v>824.51296325903002</v>
      </c>
      <c r="L181" s="10">
        <f t="shared" si="14"/>
        <v>0.23678401461698867</v>
      </c>
      <c r="M181" s="10">
        <f t="shared" si="18"/>
        <v>0.28761910522182405</v>
      </c>
      <c r="P181" s="8">
        <f t="shared" si="19"/>
        <v>2.0526565730349766</v>
      </c>
    </row>
    <row r="182" spans="1:16" x14ac:dyDescent="0.2">
      <c r="A182" s="8">
        <v>90</v>
      </c>
      <c r="B182" s="8">
        <v>180</v>
      </c>
      <c r="D182">
        <v>3575.3768804433998</v>
      </c>
      <c r="E182">
        <v>946.13064133016996</v>
      </c>
      <c r="F182">
        <v>143.17708333332999</v>
      </c>
      <c r="G182">
        <v>118.46233974358999</v>
      </c>
      <c r="I182" s="9">
        <f t="shared" si="15"/>
        <v>827.66830158658001</v>
      </c>
      <c r="J182" s="9">
        <f t="shared" si="16"/>
        <v>3432.19979711007</v>
      </c>
      <c r="K182" s="9">
        <f t="shared" si="17"/>
        <v>827.66830158658001</v>
      </c>
      <c r="L182" s="10">
        <f t="shared" si="14"/>
        <v>0.24114805387596638</v>
      </c>
      <c r="M182" s="10">
        <f>L182+ABS($N$2)*A182</f>
        <v>0.29226713940038185</v>
      </c>
      <c r="P182" s="8">
        <f t="shared" si="19"/>
        <v>3.7018663339729847</v>
      </c>
    </row>
    <row r="183" spans="1:16" x14ac:dyDescent="0.2">
      <c r="A183" s="8">
        <v>90.5</v>
      </c>
      <c r="B183" s="8">
        <v>181</v>
      </c>
      <c r="D183">
        <v>3564.0867143994001</v>
      </c>
      <c r="E183">
        <v>944.16229116944999</v>
      </c>
      <c r="F183">
        <v>143.01201923076999</v>
      </c>
      <c r="G183">
        <v>119.38301282051</v>
      </c>
      <c r="I183" s="9">
        <f t="shared" si="15"/>
        <v>824.77927834894001</v>
      </c>
      <c r="J183" s="9">
        <f t="shared" si="16"/>
        <v>3421.0746951686301</v>
      </c>
      <c r="K183" s="9">
        <f t="shared" si="17"/>
        <v>824.77927834894001</v>
      </c>
      <c r="L183" s="10">
        <f t="shared" si="14"/>
        <v>0.24108777265627207</v>
      </c>
      <c r="M183" s="10">
        <f t="shared" ref="M183:M241" si="20">L183+ABS($N$2)*A183</f>
        <v>0.29249085310026762</v>
      </c>
      <c r="P183" s="8">
        <f t="shared" si="19"/>
        <v>3.7812441533550385</v>
      </c>
    </row>
    <row r="184" spans="1:16" x14ac:dyDescent="0.2">
      <c r="A184" s="8">
        <v>91</v>
      </c>
      <c r="B184" s="8">
        <v>182</v>
      </c>
      <c r="D184">
        <v>3525.2696897374999</v>
      </c>
      <c r="E184">
        <v>959.50994431184995</v>
      </c>
      <c r="F184">
        <v>142.58814102564</v>
      </c>
      <c r="G184">
        <v>118.61298076923001</v>
      </c>
      <c r="I184" s="9">
        <f t="shared" si="15"/>
        <v>840.89696354261991</v>
      </c>
      <c r="J184" s="9">
        <f t="shared" si="16"/>
        <v>3382.6815487118597</v>
      </c>
      <c r="K184" s="9">
        <f t="shared" si="17"/>
        <v>840.89696354261991</v>
      </c>
      <c r="L184" s="10">
        <f t="shared" si="14"/>
        <v>0.24858886402204702</v>
      </c>
      <c r="M184" s="10">
        <f t="shared" si="20"/>
        <v>0.30027593938562269</v>
      </c>
      <c r="P184" s="8">
        <f t="shared" si="19"/>
        <v>6.5435388780328108</v>
      </c>
    </row>
    <row r="185" spans="1:16" x14ac:dyDescent="0.2">
      <c r="A185" s="8">
        <v>91.5</v>
      </c>
      <c r="B185" s="8">
        <v>183</v>
      </c>
      <c r="D185">
        <v>3691.0806065442998</v>
      </c>
      <c r="E185">
        <v>1004.6624102155</v>
      </c>
      <c r="F185">
        <v>143.24439102564</v>
      </c>
      <c r="G185">
        <v>119.125</v>
      </c>
      <c r="I185" s="9">
        <f t="shared" si="15"/>
        <v>885.53741021550002</v>
      </c>
      <c r="J185" s="9">
        <f t="shared" si="16"/>
        <v>3547.8362155186596</v>
      </c>
      <c r="K185" s="9">
        <f t="shared" si="17"/>
        <v>885.53741021550002</v>
      </c>
      <c r="L185" s="10">
        <f t="shared" si="14"/>
        <v>0.24959929275823206</v>
      </c>
      <c r="M185" s="10">
        <f t="shared" si="20"/>
        <v>0.30157036304138779</v>
      </c>
      <c r="P185" s="8">
        <f t="shared" si="19"/>
        <v>7.002824684863783</v>
      </c>
    </row>
    <row r="186" spans="1:16" x14ac:dyDescent="0.2">
      <c r="A186" s="8">
        <v>92</v>
      </c>
      <c r="B186" s="8">
        <v>184</v>
      </c>
      <c r="D186">
        <v>3794.6153232243</v>
      </c>
      <c r="E186">
        <v>990.55227454110002</v>
      </c>
      <c r="F186">
        <v>142.75560897436</v>
      </c>
      <c r="G186">
        <v>118.47516025641001</v>
      </c>
      <c r="I186" s="9">
        <f t="shared" si="15"/>
        <v>872.07711428468997</v>
      </c>
      <c r="J186" s="9">
        <f t="shared" si="16"/>
        <v>3651.8597142499402</v>
      </c>
      <c r="K186" s="9">
        <f t="shared" si="17"/>
        <v>872.07711428468997</v>
      </c>
      <c r="L186" s="10">
        <f t="shared" si="14"/>
        <v>0.23880356380661433</v>
      </c>
      <c r="M186" s="10">
        <f t="shared" si="20"/>
        <v>0.29105862900935014</v>
      </c>
      <c r="P186" s="8">
        <f t="shared" si="19"/>
        <v>3.2730641658910558</v>
      </c>
    </row>
    <row r="187" spans="1:16" x14ac:dyDescent="0.2">
      <c r="A187" s="8">
        <v>92.5</v>
      </c>
      <c r="B187" s="8">
        <v>185</v>
      </c>
      <c r="D187">
        <v>3722.7374301676</v>
      </c>
      <c r="E187">
        <v>949.33758978451999</v>
      </c>
      <c r="F187">
        <v>143.69711538461999</v>
      </c>
      <c r="G187">
        <v>118.17788461539</v>
      </c>
      <c r="I187" s="9">
        <f t="shared" si="15"/>
        <v>831.15970516913001</v>
      </c>
      <c r="J187" s="9">
        <f t="shared" si="16"/>
        <v>3579.0403147829802</v>
      </c>
      <c r="K187" s="9">
        <f t="shared" si="17"/>
        <v>831.15970516913001</v>
      </c>
      <c r="L187" s="10">
        <f t="shared" si="14"/>
        <v>0.23222976889533262</v>
      </c>
      <c r="M187" s="10">
        <f t="shared" si="20"/>
        <v>0.28476882901764855</v>
      </c>
      <c r="P187" s="8">
        <f t="shared" si="19"/>
        <v>1.0413250817605084</v>
      </c>
    </row>
    <row r="188" spans="1:16" x14ac:dyDescent="0.2">
      <c r="A188" s="8">
        <v>93</v>
      </c>
      <c r="B188" s="8">
        <v>186</v>
      </c>
      <c r="D188">
        <v>3698.5379090184001</v>
      </c>
      <c r="E188">
        <v>940.91859537110997</v>
      </c>
      <c r="F188">
        <v>143.07692307692</v>
      </c>
      <c r="G188">
        <v>118.58253205128</v>
      </c>
      <c r="I188" s="9">
        <f t="shared" si="15"/>
        <v>822.33606331982992</v>
      </c>
      <c r="J188" s="9">
        <f t="shared" si="16"/>
        <v>3555.46098594148</v>
      </c>
      <c r="K188" s="9">
        <f t="shared" si="17"/>
        <v>822.33606331982992</v>
      </c>
      <c r="L188" s="10">
        <f t="shared" si="14"/>
        <v>0.23128816954296483</v>
      </c>
      <c r="M188" s="10">
        <f t="shared" si="20"/>
        <v>0.28411122458486082</v>
      </c>
      <c r="P188" s="8">
        <f t="shared" si="19"/>
        <v>0.80799468707607591</v>
      </c>
    </row>
    <row r="189" spans="1:16" x14ac:dyDescent="0.2">
      <c r="A189" s="8">
        <v>93.5</v>
      </c>
      <c r="B189" s="8">
        <v>187</v>
      </c>
      <c r="D189">
        <v>3684.2640449437999</v>
      </c>
      <c r="E189">
        <v>934.47672552167001</v>
      </c>
      <c r="F189">
        <v>142.82532051282001</v>
      </c>
      <c r="G189">
        <v>118.43509615385</v>
      </c>
      <c r="I189" s="9">
        <f t="shared" si="15"/>
        <v>816.04162936781995</v>
      </c>
      <c r="J189" s="9">
        <f t="shared" si="16"/>
        <v>3541.4387244309801</v>
      </c>
      <c r="K189" s="9">
        <f t="shared" si="17"/>
        <v>816.04162936781995</v>
      </c>
      <c r="L189" s="10">
        <f t="shared" si="14"/>
        <v>0.2304265844664409</v>
      </c>
      <c r="M189" s="10">
        <f t="shared" si="20"/>
        <v>0.28353363442791701</v>
      </c>
      <c r="P189" s="8">
        <f t="shared" si="19"/>
        <v>0.60305485917037682</v>
      </c>
    </row>
    <row r="190" spans="1:16" x14ac:dyDescent="0.2">
      <c r="A190" s="8">
        <v>94</v>
      </c>
      <c r="B190" s="8">
        <v>188</v>
      </c>
      <c r="D190">
        <v>3651.9582664527002</v>
      </c>
      <c r="E190">
        <v>962.56821829856005</v>
      </c>
      <c r="F190">
        <v>142.96314102564</v>
      </c>
      <c r="G190">
        <v>118.51041666667</v>
      </c>
      <c r="I190" s="9">
        <f t="shared" si="15"/>
        <v>844.05780163189002</v>
      </c>
      <c r="J190" s="9">
        <f t="shared" si="16"/>
        <v>3508.99512542706</v>
      </c>
      <c r="K190" s="9">
        <f t="shared" si="17"/>
        <v>844.05780163189002</v>
      </c>
      <c r="L190" s="10">
        <f t="shared" si="14"/>
        <v>0.24054117246149337</v>
      </c>
      <c r="M190" s="10">
        <f t="shared" si="20"/>
        <v>0.29393221734254954</v>
      </c>
      <c r="P190" s="8">
        <f t="shared" si="19"/>
        <v>4.2926672380656434</v>
      </c>
    </row>
    <row r="191" spans="1:16" x14ac:dyDescent="0.2">
      <c r="A191" s="8">
        <v>94.5</v>
      </c>
      <c r="B191" s="8">
        <v>189</v>
      </c>
      <c r="D191">
        <v>3675.0377207063002</v>
      </c>
      <c r="E191">
        <v>958.92696629214004</v>
      </c>
      <c r="F191">
        <v>142.73958333332999</v>
      </c>
      <c r="G191">
        <v>118.72275641026</v>
      </c>
      <c r="I191" s="9">
        <f t="shared" si="15"/>
        <v>840.20420988188005</v>
      </c>
      <c r="J191" s="9">
        <f t="shared" si="16"/>
        <v>3532.2981373729704</v>
      </c>
      <c r="K191" s="9">
        <f t="shared" si="17"/>
        <v>840.20420988188005</v>
      </c>
      <c r="L191" s="10">
        <f t="shared" si="14"/>
        <v>0.23786333350297381</v>
      </c>
      <c r="M191" s="10">
        <f t="shared" si="20"/>
        <v>0.29153837330361004</v>
      </c>
      <c r="P191" s="8">
        <f t="shared" si="19"/>
        <v>3.4432864453436638</v>
      </c>
    </row>
    <row r="192" spans="1:16" x14ac:dyDescent="0.2">
      <c r="A192" s="8">
        <v>95</v>
      </c>
      <c r="B192" s="8">
        <v>190</v>
      </c>
      <c r="D192">
        <v>3701.0963081862001</v>
      </c>
      <c r="E192">
        <v>951.98154093098003</v>
      </c>
      <c r="F192">
        <v>143.09134615385</v>
      </c>
      <c r="G192">
        <v>118.63301282051</v>
      </c>
      <c r="I192" s="9">
        <f t="shared" si="15"/>
        <v>833.34852811047006</v>
      </c>
      <c r="J192" s="9">
        <f t="shared" si="16"/>
        <v>3558.0049620323502</v>
      </c>
      <c r="K192" s="9">
        <f t="shared" si="17"/>
        <v>833.34852811047006</v>
      </c>
      <c r="L192" s="10">
        <f t="shared" si="14"/>
        <v>0.2342179218419238</v>
      </c>
      <c r="M192" s="10">
        <f t="shared" si="20"/>
        <v>0.28817695656214015</v>
      </c>
      <c r="P192" s="8">
        <f t="shared" si="19"/>
        <v>2.2505926983427162</v>
      </c>
    </row>
    <row r="193" spans="1:16" x14ac:dyDescent="0.2">
      <c r="A193" s="8">
        <v>95.5</v>
      </c>
      <c r="B193" s="8">
        <v>191</v>
      </c>
      <c r="D193">
        <v>3666.1380417335999</v>
      </c>
      <c r="E193">
        <v>931.59390048154</v>
      </c>
      <c r="F193">
        <v>143.29487179487001</v>
      </c>
      <c r="G193">
        <v>118.47275641026</v>
      </c>
      <c r="I193" s="9">
        <f t="shared" si="15"/>
        <v>813.12114407128001</v>
      </c>
      <c r="J193" s="9">
        <f t="shared" si="16"/>
        <v>3522.8431699387302</v>
      </c>
      <c r="K193" s="9">
        <f t="shared" si="17"/>
        <v>813.12114407128001</v>
      </c>
      <c r="L193" s="10">
        <f t="shared" si="14"/>
        <v>0.23081389231568375</v>
      </c>
      <c r="M193" s="10">
        <f t="shared" si="20"/>
        <v>0.28505692195548016</v>
      </c>
      <c r="P193" s="8">
        <f t="shared" si="19"/>
        <v>1.1435458630363933</v>
      </c>
    </row>
    <row r="194" spans="1:16" x14ac:dyDescent="0.2">
      <c r="A194" s="8">
        <v>96</v>
      </c>
      <c r="B194" s="8">
        <v>192</v>
      </c>
      <c r="D194">
        <v>3651.9325842696999</v>
      </c>
      <c r="E194">
        <v>920.52648475119997</v>
      </c>
      <c r="F194">
        <v>143.06810897436</v>
      </c>
      <c r="G194">
        <v>118.38461538462001</v>
      </c>
      <c r="I194" s="9">
        <f t="shared" si="15"/>
        <v>802.14186936657995</v>
      </c>
      <c r="J194" s="9">
        <f t="shared" si="16"/>
        <v>3508.8644752953401</v>
      </c>
      <c r="K194" s="9">
        <f t="shared" si="17"/>
        <v>802.14186936657995</v>
      </c>
      <c r="L194" s="10">
        <f t="shared" ref="L194:L257" si="21">K194/J194</f>
        <v>0.22860440322337156</v>
      </c>
      <c r="M194" s="10">
        <f t="shared" si="20"/>
        <v>0.28313142778274808</v>
      </c>
      <c r="P194" s="8">
        <f t="shared" si="19"/>
        <v>0.4603443928431793</v>
      </c>
    </row>
    <row r="195" spans="1:16" x14ac:dyDescent="0.2">
      <c r="A195" s="8">
        <v>96.5</v>
      </c>
      <c r="B195" s="8">
        <v>193</v>
      </c>
      <c r="D195">
        <v>3569.5939004815</v>
      </c>
      <c r="E195">
        <v>885.35714285714005</v>
      </c>
      <c r="F195">
        <v>142.59775641025999</v>
      </c>
      <c r="G195">
        <v>118.93669871794999</v>
      </c>
      <c r="I195" s="9">
        <f t="shared" ref="I195:I241" si="22">E195-G195</f>
        <v>766.42044413919007</v>
      </c>
      <c r="J195" s="9">
        <f t="shared" ref="J195:J241" si="23">D195-F195</f>
        <v>3426.99614407124</v>
      </c>
      <c r="K195" s="9">
        <f t="shared" ref="K195:K258" si="24">I195*1</f>
        <v>766.42044413919007</v>
      </c>
      <c r="L195" s="10">
        <f t="shared" si="21"/>
        <v>0.2236420503317782</v>
      </c>
      <c r="M195" s="10">
        <f t="shared" si="20"/>
        <v>0.27845306981073481</v>
      </c>
      <c r="P195" s="8">
        <f t="shared" ref="P195:P241" si="25">(M195-$O$2)/$O$2*100</f>
        <v>-1.1996248191303074</v>
      </c>
    </row>
    <row r="196" spans="1:16" x14ac:dyDescent="0.2">
      <c r="A196" s="8">
        <v>97</v>
      </c>
      <c r="B196" s="8">
        <v>194</v>
      </c>
      <c r="D196">
        <v>3564.9598715891002</v>
      </c>
      <c r="E196">
        <v>871.66211878009995</v>
      </c>
      <c r="F196">
        <v>142.93269230768999</v>
      </c>
      <c r="G196">
        <v>118.4358974359</v>
      </c>
      <c r="I196" s="9">
        <f t="shared" si="22"/>
        <v>753.22622134419998</v>
      </c>
      <c r="J196" s="9">
        <f t="shared" si="23"/>
        <v>3422.0271792814101</v>
      </c>
      <c r="K196" s="9">
        <f t="shared" si="24"/>
        <v>753.22622134419998</v>
      </c>
      <c r="L196" s="10">
        <f t="shared" si="21"/>
        <v>0.22011111597961347</v>
      </c>
      <c r="M196" s="10">
        <f t="shared" si="20"/>
        <v>0.27520613037815017</v>
      </c>
      <c r="P196" s="8">
        <f t="shared" si="25"/>
        <v>-2.3516998684266577</v>
      </c>
    </row>
    <row r="197" spans="1:16" x14ac:dyDescent="0.2">
      <c r="A197" s="8">
        <v>97.5</v>
      </c>
      <c r="B197" s="8">
        <v>195</v>
      </c>
      <c r="D197">
        <v>3553.1107544141</v>
      </c>
      <c r="E197">
        <v>850.66211878009995</v>
      </c>
      <c r="F197">
        <v>142.66666666667001</v>
      </c>
      <c r="G197">
        <v>118.28846153846</v>
      </c>
      <c r="I197" s="9">
        <f t="shared" si="22"/>
        <v>732.37365724163999</v>
      </c>
      <c r="J197" s="9">
        <f t="shared" si="23"/>
        <v>3410.4440877474299</v>
      </c>
      <c r="K197" s="9">
        <f t="shared" si="24"/>
        <v>732.37365724163999</v>
      </c>
      <c r="L197" s="10">
        <f t="shared" si="21"/>
        <v>0.21474436712591488</v>
      </c>
      <c r="M197" s="10">
        <f t="shared" si="20"/>
        <v>0.27012337644403167</v>
      </c>
      <c r="P197" s="8">
        <f t="shared" si="25"/>
        <v>-4.1551563574654784</v>
      </c>
    </row>
    <row r="198" spans="1:16" x14ac:dyDescent="0.2">
      <c r="A198" s="8">
        <v>98</v>
      </c>
      <c r="B198" s="8">
        <v>196</v>
      </c>
      <c r="D198">
        <v>3563.3619582665001</v>
      </c>
      <c r="E198">
        <v>852.71749598715996</v>
      </c>
      <c r="F198">
        <v>142.98798076923001</v>
      </c>
      <c r="G198">
        <v>118.50801282051</v>
      </c>
      <c r="I198" s="9">
        <f t="shared" si="22"/>
        <v>734.20948316664999</v>
      </c>
      <c r="J198" s="9">
        <f t="shared" si="23"/>
        <v>3420.3739774972701</v>
      </c>
      <c r="K198" s="9">
        <f t="shared" si="24"/>
        <v>734.20948316664999</v>
      </c>
      <c r="L198" s="10">
        <f t="shared" si="21"/>
        <v>0.21465766258223032</v>
      </c>
      <c r="M198" s="10">
        <f t="shared" si="20"/>
        <v>0.27032066681992717</v>
      </c>
      <c r="P198" s="8">
        <f t="shared" si="25"/>
        <v>-4.0851540293485744</v>
      </c>
    </row>
    <row r="199" spans="1:16" x14ac:dyDescent="0.2">
      <c r="A199" s="8">
        <v>98.5</v>
      </c>
      <c r="B199" s="8">
        <v>197</v>
      </c>
      <c r="D199">
        <v>3544.4309791331998</v>
      </c>
      <c r="E199">
        <v>842.48635634028994</v>
      </c>
      <c r="F199">
        <v>142.71634615385</v>
      </c>
      <c r="G199">
        <v>118.13141025641001</v>
      </c>
      <c r="I199" s="9">
        <f t="shared" si="22"/>
        <v>724.3549460838799</v>
      </c>
      <c r="J199" s="9">
        <f t="shared" si="23"/>
        <v>3401.71463297935</v>
      </c>
      <c r="K199" s="9">
        <f t="shared" si="24"/>
        <v>724.3549460838799</v>
      </c>
      <c r="L199" s="10">
        <f t="shared" si="21"/>
        <v>0.21293818683710763</v>
      </c>
      <c r="M199" s="10">
        <f t="shared" si="20"/>
        <v>0.2688851859943846</v>
      </c>
      <c r="P199" s="8">
        <f t="shared" si="25"/>
        <v>-4.5944895673799921</v>
      </c>
    </row>
    <row r="200" spans="1:16" x14ac:dyDescent="0.2">
      <c r="A200" s="8">
        <v>99</v>
      </c>
      <c r="B200" s="8">
        <v>198</v>
      </c>
      <c r="D200">
        <v>3603.6548956660999</v>
      </c>
      <c r="E200">
        <v>844.63643659710999</v>
      </c>
      <c r="F200">
        <v>143.14583333332999</v>
      </c>
      <c r="G200">
        <v>118.31009615385</v>
      </c>
      <c r="I200" s="9">
        <f t="shared" si="22"/>
        <v>726.32634044326005</v>
      </c>
      <c r="J200" s="9">
        <f t="shared" si="23"/>
        <v>3460.5090623327701</v>
      </c>
      <c r="K200" s="9">
        <f t="shared" si="24"/>
        <v>726.32634044326005</v>
      </c>
      <c r="L200" s="10">
        <f t="shared" si="21"/>
        <v>0.20989002697586778</v>
      </c>
      <c r="M200" s="10">
        <f t="shared" si="20"/>
        <v>0.26612102105272484</v>
      </c>
      <c r="P200" s="8">
        <f t="shared" si="25"/>
        <v>-5.575267166576217</v>
      </c>
    </row>
    <row r="201" spans="1:16" x14ac:dyDescent="0.2">
      <c r="A201" s="8">
        <v>99.5</v>
      </c>
      <c r="B201" s="8">
        <v>199</v>
      </c>
      <c r="D201">
        <v>3504.9357945424999</v>
      </c>
      <c r="E201">
        <v>817.13242375601999</v>
      </c>
      <c r="F201">
        <v>142.18108974359001</v>
      </c>
      <c r="G201">
        <v>118.45673076923001</v>
      </c>
      <c r="I201" s="9">
        <f t="shared" si="22"/>
        <v>698.67569298678995</v>
      </c>
      <c r="J201" s="9">
        <f t="shared" si="23"/>
        <v>3362.7547047989101</v>
      </c>
      <c r="K201" s="9">
        <f t="shared" si="24"/>
        <v>698.67569298678995</v>
      </c>
      <c r="L201" s="10">
        <f t="shared" si="21"/>
        <v>0.20776885450185406</v>
      </c>
      <c r="M201" s="10">
        <f t="shared" si="20"/>
        <v>0.26428384349829115</v>
      </c>
      <c r="P201" s="8">
        <f t="shared" si="25"/>
        <v>-6.2271322430693461</v>
      </c>
    </row>
    <row r="202" spans="1:16" x14ac:dyDescent="0.2">
      <c r="A202" s="8">
        <v>100</v>
      </c>
      <c r="B202" s="8">
        <v>200</v>
      </c>
      <c r="D202">
        <v>3333.2592</v>
      </c>
      <c r="E202">
        <v>773.46799999999996</v>
      </c>
      <c r="F202">
        <v>142.95032051282001</v>
      </c>
      <c r="G202">
        <v>118.62980769231</v>
      </c>
      <c r="I202" s="9">
        <f t="shared" si="22"/>
        <v>654.83819230768995</v>
      </c>
      <c r="J202" s="9">
        <f t="shared" si="23"/>
        <v>3190.3088794871801</v>
      </c>
      <c r="K202" s="9">
        <f t="shared" si="24"/>
        <v>654.83819230768995</v>
      </c>
      <c r="L202" s="10">
        <f t="shared" si="21"/>
        <v>0.20525855553301492</v>
      </c>
      <c r="M202" s="10">
        <f t="shared" si="20"/>
        <v>0.2620575394490321</v>
      </c>
      <c r="P202" s="8">
        <f t="shared" si="25"/>
        <v>-7.0170667030592853</v>
      </c>
    </row>
    <row r="203" spans="1:16" x14ac:dyDescent="0.2">
      <c r="A203" s="8">
        <v>100.5</v>
      </c>
      <c r="B203" s="8">
        <v>201</v>
      </c>
      <c r="D203">
        <v>3243.8568</v>
      </c>
      <c r="E203">
        <v>753.55119999999999</v>
      </c>
      <c r="F203">
        <v>142.70352564103001</v>
      </c>
      <c r="G203">
        <v>118.9671474359</v>
      </c>
      <c r="I203" s="9">
        <f t="shared" si="22"/>
        <v>634.58405256410003</v>
      </c>
      <c r="J203" s="9">
        <f t="shared" si="23"/>
        <v>3101.1532743589701</v>
      </c>
      <c r="K203" s="9">
        <f t="shared" si="24"/>
        <v>634.58405256410003</v>
      </c>
      <c r="L203" s="10">
        <f t="shared" si="21"/>
        <v>0.20462840640963578</v>
      </c>
      <c r="M203" s="10">
        <f t="shared" si="20"/>
        <v>0.26171138524523307</v>
      </c>
      <c r="P203" s="8">
        <f t="shared" si="25"/>
        <v>-7.1398887111952494</v>
      </c>
    </row>
    <row r="204" spans="1:16" x14ac:dyDescent="0.2">
      <c r="A204" s="8">
        <v>101</v>
      </c>
      <c r="B204" s="8">
        <v>202</v>
      </c>
      <c r="D204">
        <v>3300.2556089743998</v>
      </c>
      <c r="E204">
        <v>766.20112179487001</v>
      </c>
      <c r="F204">
        <v>143.07371794872</v>
      </c>
      <c r="G204">
        <v>118.41907051282</v>
      </c>
      <c r="I204" s="9">
        <f t="shared" si="22"/>
        <v>647.78205128205002</v>
      </c>
      <c r="J204" s="9">
        <f t="shared" si="23"/>
        <v>3157.1818910256798</v>
      </c>
      <c r="K204" s="9">
        <f t="shared" si="24"/>
        <v>647.78205128205002</v>
      </c>
      <c r="L204" s="10">
        <f t="shared" si="21"/>
        <v>0.20517729850262248</v>
      </c>
      <c r="M204" s="10">
        <f t="shared" si="20"/>
        <v>0.26254427225779986</v>
      </c>
      <c r="P204" s="8">
        <f t="shared" si="25"/>
        <v>-6.8443647674987256</v>
      </c>
    </row>
    <row r="205" spans="1:16" x14ac:dyDescent="0.2">
      <c r="A205" s="8">
        <v>101.5</v>
      </c>
      <c r="B205" s="8">
        <v>203</v>
      </c>
      <c r="D205">
        <v>3235.6145833332998</v>
      </c>
      <c r="E205">
        <v>744.00641025641005</v>
      </c>
      <c r="F205">
        <v>142.38541666667001</v>
      </c>
      <c r="G205">
        <v>118.40224358974</v>
      </c>
      <c r="I205" s="9">
        <f t="shared" si="22"/>
        <v>625.60416666667004</v>
      </c>
      <c r="J205" s="9">
        <f t="shared" si="23"/>
        <v>3093.2291666666297</v>
      </c>
      <c r="K205" s="9">
        <f t="shared" si="24"/>
        <v>625.60416666667004</v>
      </c>
      <c r="L205" s="10">
        <f t="shared" si="21"/>
        <v>0.20224953695908754</v>
      </c>
      <c r="M205" s="10">
        <f t="shared" si="20"/>
        <v>0.25990050563384498</v>
      </c>
      <c r="P205" s="8">
        <f t="shared" si="25"/>
        <v>-7.7824227839355524</v>
      </c>
    </row>
    <row r="206" spans="1:16" x14ac:dyDescent="0.2">
      <c r="A206" s="8">
        <v>102</v>
      </c>
      <c r="B206" s="8">
        <v>204</v>
      </c>
      <c r="D206">
        <v>3273.7884615385001</v>
      </c>
      <c r="E206">
        <v>746.83573717949002</v>
      </c>
      <c r="F206">
        <v>143.38141025640999</v>
      </c>
      <c r="G206">
        <v>118.59855769231</v>
      </c>
      <c r="I206" s="9">
        <f t="shared" si="22"/>
        <v>628.23717948718001</v>
      </c>
      <c r="J206" s="9">
        <f t="shared" si="23"/>
        <v>3130.4070512820899</v>
      </c>
      <c r="K206" s="9">
        <f t="shared" si="24"/>
        <v>628.23717948718001</v>
      </c>
      <c r="L206" s="10">
        <f t="shared" si="21"/>
        <v>0.20068865460479943</v>
      </c>
      <c r="M206" s="10">
        <f t="shared" si="20"/>
        <v>0.25862361819913698</v>
      </c>
      <c r="P206" s="8">
        <f t="shared" si="25"/>
        <v>-8.2354864104153673</v>
      </c>
    </row>
    <row r="207" spans="1:16" x14ac:dyDescent="0.2">
      <c r="A207" s="8">
        <v>102.5</v>
      </c>
      <c r="B207" s="8">
        <v>205</v>
      </c>
      <c r="D207">
        <v>3257.3541666667002</v>
      </c>
      <c r="E207">
        <v>743.24278846154004</v>
      </c>
      <c r="F207">
        <v>142.91666666667001</v>
      </c>
      <c r="G207">
        <v>118.76602564103</v>
      </c>
      <c r="I207" s="9">
        <f t="shared" si="22"/>
        <v>624.47676282051009</v>
      </c>
      <c r="J207" s="9">
        <f t="shared" si="23"/>
        <v>3114.43750000003</v>
      </c>
      <c r="K207" s="9">
        <f t="shared" si="24"/>
        <v>624.47676282051009</v>
      </c>
      <c r="L207" s="10">
        <f t="shared" si="21"/>
        <v>0.20051028887897224</v>
      </c>
      <c r="M207" s="10">
        <f t="shared" si="20"/>
        <v>0.25872924739288988</v>
      </c>
      <c r="P207" s="8">
        <f t="shared" si="25"/>
        <v>-8.1980071900213058</v>
      </c>
    </row>
    <row r="208" spans="1:16" x14ac:dyDescent="0.2">
      <c r="A208" s="8">
        <v>103</v>
      </c>
      <c r="B208" s="8">
        <v>206</v>
      </c>
      <c r="D208">
        <v>3345.8357371795</v>
      </c>
      <c r="E208">
        <v>766.45753205128005</v>
      </c>
      <c r="F208">
        <v>142.86858974359001</v>
      </c>
      <c r="G208">
        <v>118.32131410256</v>
      </c>
      <c r="I208" s="9">
        <f t="shared" si="22"/>
        <v>648.13621794872006</v>
      </c>
      <c r="J208" s="9">
        <f t="shared" si="23"/>
        <v>3202.9671474359102</v>
      </c>
      <c r="K208" s="9">
        <f t="shared" si="24"/>
        <v>648.13621794872006</v>
      </c>
      <c r="L208" s="10">
        <f t="shared" si="21"/>
        <v>0.20235493781682284</v>
      </c>
      <c r="M208" s="10">
        <f t="shared" si="20"/>
        <v>0.26085789125032055</v>
      </c>
      <c r="P208" s="8">
        <f t="shared" si="25"/>
        <v>-7.4427243989802436</v>
      </c>
    </row>
    <row r="209" spans="1:16" x14ac:dyDescent="0.2">
      <c r="A209" s="8">
        <v>103.5</v>
      </c>
      <c r="B209" s="8">
        <v>207</v>
      </c>
      <c r="D209">
        <v>3397.4836653387001</v>
      </c>
      <c r="E209">
        <v>766.40398406375004</v>
      </c>
      <c r="F209">
        <v>142.66105769231001</v>
      </c>
      <c r="G209">
        <v>118.07291666667</v>
      </c>
      <c r="I209" s="9">
        <f t="shared" si="22"/>
        <v>648.33106739708001</v>
      </c>
      <c r="J209" s="9">
        <f t="shared" si="23"/>
        <v>3254.8226076463902</v>
      </c>
      <c r="K209" s="9">
        <f t="shared" si="24"/>
        <v>648.33106739708001</v>
      </c>
      <c r="L209" s="10">
        <f t="shared" si="21"/>
        <v>0.19919090701717157</v>
      </c>
      <c r="M209" s="10">
        <f t="shared" si="20"/>
        <v>0.25797785537024936</v>
      </c>
      <c r="P209" s="8">
        <f t="shared" si="25"/>
        <v>-8.464615181792615</v>
      </c>
    </row>
    <row r="210" spans="1:16" x14ac:dyDescent="0.2">
      <c r="A210" s="8">
        <v>104</v>
      </c>
      <c r="B210" s="8">
        <v>208</v>
      </c>
      <c r="D210">
        <v>3290.3976095618</v>
      </c>
      <c r="E210">
        <v>744.63027888446004</v>
      </c>
      <c r="F210">
        <v>142.18830128204999</v>
      </c>
      <c r="G210">
        <v>118.41987179487001</v>
      </c>
      <c r="I210" s="9">
        <f t="shared" si="22"/>
        <v>626.21040708959003</v>
      </c>
      <c r="J210" s="9">
        <f t="shared" si="23"/>
        <v>3148.2093082797501</v>
      </c>
      <c r="K210" s="9">
        <f t="shared" si="24"/>
        <v>626.21040708959003</v>
      </c>
      <c r="L210" s="10">
        <f t="shared" si="21"/>
        <v>0.19891002972472788</v>
      </c>
      <c r="M210" s="10">
        <f t="shared" si="20"/>
        <v>0.25798097299738576</v>
      </c>
      <c r="P210" s="8">
        <f t="shared" si="25"/>
        <v>-8.46350898917294</v>
      </c>
    </row>
    <row r="211" spans="1:16" x14ac:dyDescent="0.2">
      <c r="A211" s="8">
        <v>104.5</v>
      </c>
      <c r="B211" s="8">
        <v>209</v>
      </c>
      <c r="D211">
        <v>3323.8007968127999</v>
      </c>
      <c r="E211">
        <v>743.63426294820999</v>
      </c>
      <c r="F211">
        <v>142.81891025640999</v>
      </c>
      <c r="G211">
        <v>118.58413461539</v>
      </c>
      <c r="I211" s="9">
        <f t="shared" si="22"/>
        <v>625.05012833282001</v>
      </c>
      <c r="J211" s="9">
        <f t="shared" si="23"/>
        <v>3180.9818865563898</v>
      </c>
      <c r="K211" s="9">
        <f t="shared" si="24"/>
        <v>625.05012833282001</v>
      </c>
      <c r="L211" s="10">
        <f t="shared" si="21"/>
        <v>0.19649597219476014</v>
      </c>
      <c r="M211" s="10">
        <f t="shared" si="20"/>
        <v>0.25585091038699814</v>
      </c>
      <c r="P211" s="8">
        <f t="shared" si="25"/>
        <v>-9.2192951803903096</v>
      </c>
    </row>
    <row r="212" spans="1:16" x14ac:dyDescent="0.2">
      <c r="A212" s="8">
        <v>105</v>
      </c>
      <c r="B212" s="8">
        <v>210</v>
      </c>
      <c r="D212">
        <v>3348.9704236611001</v>
      </c>
      <c r="E212">
        <v>737.49000799360999</v>
      </c>
      <c r="F212">
        <v>142.39102564103001</v>
      </c>
      <c r="G212">
        <v>118.29967948718</v>
      </c>
      <c r="I212" s="9">
        <f t="shared" si="22"/>
        <v>619.19032850642998</v>
      </c>
      <c r="J212" s="9">
        <f t="shared" si="23"/>
        <v>3206.5793980200701</v>
      </c>
      <c r="K212" s="9">
        <f t="shared" si="24"/>
        <v>619.19032850642998</v>
      </c>
      <c r="L212" s="10">
        <f t="shared" si="21"/>
        <v>0.19309995220725062</v>
      </c>
      <c r="M212" s="10">
        <f t="shared" si="20"/>
        <v>0.25273888531906868</v>
      </c>
      <c r="P212" s="8">
        <f t="shared" si="25"/>
        <v>-10.323500081031877</v>
      </c>
    </row>
    <row r="213" spans="1:16" x14ac:dyDescent="0.2">
      <c r="A213" s="8">
        <v>105.5</v>
      </c>
      <c r="B213" s="8">
        <v>211</v>
      </c>
      <c r="D213">
        <v>3342.8896882494</v>
      </c>
      <c r="E213">
        <v>731.74260591527002</v>
      </c>
      <c r="F213">
        <v>142.40064102564</v>
      </c>
      <c r="G213">
        <v>118.39903846154</v>
      </c>
      <c r="I213" s="9">
        <f t="shared" si="22"/>
        <v>613.34356745372997</v>
      </c>
      <c r="J213" s="9">
        <f t="shared" si="23"/>
        <v>3200.4890472237598</v>
      </c>
      <c r="K213" s="9">
        <f t="shared" si="24"/>
        <v>613.34356745372997</v>
      </c>
      <c r="L213" s="10">
        <f t="shared" si="21"/>
        <v>0.19164057692550776</v>
      </c>
      <c r="M213" s="10">
        <f t="shared" si="20"/>
        <v>0.25156350495690588</v>
      </c>
      <c r="P213" s="8">
        <f t="shared" si="25"/>
        <v>-10.740547093086168</v>
      </c>
    </row>
    <row r="214" spans="1:16" x14ac:dyDescent="0.2">
      <c r="A214" s="8">
        <v>106</v>
      </c>
      <c r="B214" s="8">
        <v>212</v>
      </c>
      <c r="D214">
        <v>3324.2138314785002</v>
      </c>
      <c r="E214">
        <v>725.48807631161003</v>
      </c>
      <c r="F214">
        <v>142.85817307692</v>
      </c>
      <c r="G214">
        <v>118.04567307692</v>
      </c>
      <c r="I214" s="9">
        <f t="shared" si="22"/>
        <v>607.44240323469</v>
      </c>
      <c r="J214" s="9">
        <f t="shared" si="23"/>
        <v>3181.3556584015801</v>
      </c>
      <c r="K214" s="9">
        <f t="shared" si="24"/>
        <v>607.44240323469</v>
      </c>
      <c r="L214" s="10">
        <f t="shared" si="21"/>
        <v>0.19093822522813733</v>
      </c>
      <c r="M214" s="10">
        <f t="shared" si="20"/>
        <v>0.25114514817911554</v>
      </c>
      <c r="P214" s="8">
        <f t="shared" si="25"/>
        <v>-10.888987929573407</v>
      </c>
    </row>
    <row r="215" spans="1:16" x14ac:dyDescent="0.2">
      <c r="A215" s="8">
        <v>106.5</v>
      </c>
      <c r="B215" s="8">
        <v>213</v>
      </c>
      <c r="D215">
        <v>3268.3178913738002</v>
      </c>
      <c r="E215">
        <v>733.77316293930005</v>
      </c>
      <c r="F215">
        <v>142.36778846153999</v>
      </c>
      <c r="G215">
        <v>118.49278846154</v>
      </c>
      <c r="I215" s="9">
        <f t="shared" si="22"/>
        <v>615.28037447776001</v>
      </c>
      <c r="J215" s="9">
        <f t="shared" si="23"/>
        <v>3125.9501029122603</v>
      </c>
      <c r="K215" s="9">
        <f t="shared" si="24"/>
        <v>615.28037447776001</v>
      </c>
      <c r="L215" s="10">
        <f t="shared" si="21"/>
        <v>0.19682987706826804</v>
      </c>
      <c r="M215" s="10">
        <f t="shared" si="20"/>
        <v>0.25732079493882637</v>
      </c>
      <c r="P215" s="8">
        <f t="shared" si="25"/>
        <v>-8.6977525545830119</v>
      </c>
    </row>
    <row r="216" spans="1:16" x14ac:dyDescent="0.2">
      <c r="A216" s="8">
        <v>107</v>
      </c>
      <c r="B216" s="8">
        <v>214</v>
      </c>
      <c r="D216">
        <v>3279.6853035143999</v>
      </c>
      <c r="E216">
        <v>742.46006389776005</v>
      </c>
      <c r="F216">
        <v>142.56169871795001</v>
      </c>
      <c r="G216">
        <v>118.10657051282</v>
      </c>
      <c r="I216" s="9">
        <f t="shared" si="22"/>
        <v>624.35349338494007</v>
      </c>
      <c r="J216" s="9">
        <f t="shared" si="23"/>
        <v>3137.1236047964499</v>
      </c>
      <c r="K216" s="9">
        <f t="shared" si="24"/>
        <v>624.35349338494007</v>
      </c>
      <c r="L216" s="10">
        <f t="shared" si="21"/>
        <v>0.19902100523879449</v>
      </c>
      <c r="M216" s="10">
        <f t="shared" si="20"/>
        <v>0.25979591802893287</v>
      </c>
      <c r="P216" s="8">
        <f t="shared" si="25"/>
        <v>-7.8195324290603443</v>
      </c>
    </row>
    <row r="217" spans="1:16" x14ac:dyDescent="0.2">
      <c r="A217" s="8">
        <v>107.5</v>
      </c>
      <c r="B217" s="8">
        <v>215</v>
      </c>
      <c r="D217">
        <v>3387.5990415336</v>
      </c>
      <c r="E217">
        <v>765.64057507987002</v>
      </c>
      <c r="F217">
        <v>142.14583333332999</v>
      </c>
      <c r="G217">
        <v>118.0953525641</v>
      </c>
      <c r="I217" s="9">
        <f t="shared" si="22"/>
        <v>647.54522251576998</v>
      </c>
      <c r="J217" s="9">
        <f t="shared" si="23"/>
        <v>3245.4532082002702</v>
      </c>
      <c r="K217" s="9">
        <f t="shared" si="24"/>
        <v>647.54522251576998</v>
      </c>
      <c r="L217" s="10">
        <f t="shared" si="21"/>
        <v>0.19952382024169096</v>
      </c>
      <c r="M217" s="10">
        <f t="shared" si="20"/>
        <v>0.26058272795140947</v>
      </c>
      <c r="P217" s="8">
        <f t="shared" si="25"/>
        <v>-7.5403575017034399</v>
      </c>
    </row>
    <row r="218" spans="1:16" x14ac:dyDescent="0.2">
      <c r="A218" s="8">
        <v>108</v>
      </c>
      <c r="B218" s="8">
        <v>216</v>
      </c>
      <c r="D218">
        <v>3391.4861878452998</v>
      </c>
      <c r="E218">
        <v>773.23835832676002</v>
      </c>
      <c r="F218">
        <v>142.40625</v>
      </c>
      <c r="G218">
        <v>118.23317307692</v>
      </c>
      <c r="I218" s="9">
        <f t="shared" si="22"/>
        <v>655.00518524984</v>
      </c>
      <c r="J218" s="9">
        <f t="shared" si="23"/>
        <v>3249.0799378452998</v>
      </c>
      <c r="K218" s="9">
        <f t="shared" si="24"/>
        <v>655.00518524984</v>
      </c>
      <c r="L218" s="10">
        <f t="shared" si="21"/>
        <v>0.20159712835019422</v>
      </c>
      <c r="M218" s="10">
        <f t="shared" si="20"/>
        <v>0.26294003097949281</v>
      </c>
      <c r="P218" s="8">
        <f t="shared" si="25"/>
        <v>-6.7039421454355459</v>
      </c>
    </row>
    <row r="219" spans="1:16" x14ac:dyDescent="0.2">
      <c r="A219" s="8">
        <v>108.5</v>
      </c>
      <c r="B219" s="8">
        <v>217</v>
      </c>
      <c r="D219">
        <v>3317.407261247</v>
      </c>
      <c r="E219">
        <v>753.73007103394002</v>
      </c>
      <c r="F219">
        <v>142.32371794872</v>
      </c>
      <c r="G219">
        <v>118.24118589744</v>
      </c>
      <c r="I219" s="9">
        <f t="shared" si="22"/>
        <v>635.48888513650002</v>
      </c>
      <c r="J219" s="9">
        <f t="shared" si="23"/>
        <v>3175.0835432982799</v>
      </c>
      <c r="K219" s="9">
        <f t="shared" si="24"/>
        <v>635.48888513650002</v>
      </c>
      <c r="L219" s="10">
        <f t="shared" si="21"/>
        <v>0.20014871308751567</v>
      </c>
      <c r="M219" s="10">
        <f t="shared" si="20"/>
        <v>0.26177561063639432</v>
      </c>
      <c r="P219" s="8">
        <f t="shared" si="25"/>
        <v>-7.1171003370279911</v>
      </c>
    </row>
    <row r="220" spans="1:16" x14ac:dyDescent="0.2">
      <c r="A220" s="8">
        <v>109</v>
      </c>
      <c r="B220" s="8">
        <v>218</v>
      </c>
      <c r="D220">
        <v>3339.2233622731001</v>
      </c>
      <c r="E220">
        <v>752.57695343331</v>
      </c>
      <c r="F220">
        <v>142.29727564103001</v>
      </c>
      <c r="G220">
        <v>118.26842948718</v>
      </c>
      <c r="I220" s="9">
        <f t="shared" si="22"/>
        <v>634.30852394612998</v>
      </c>
      <c r="J220" s="9">
        <f t="shared" si="23"/>
        <v>3196.9260866320701</v>
      </c>
      <c r="K220" s="9">
        <f t="shared" si="24"/>
        <v>634.30852394612998</v>
      </c>
      <c r="L220" s="10">
        <f t="shared" si="21"/>
        <v>0.19841200789673799</v>
      </c>
      <c r="M220" s="10">
        <f t="shared" si="20"/>
        <v>0.26032290036519673</v>
      </c>
      <c r="P220" s="8">
        <f t="shared" si="25"/>
        <v>-7.6325492057403421</v>
      </c>
    </row>
    <row r="221" spans="1:16" x14ac:dyDescent="0.2">
      <c r="A221" s="8">
        <v>109.5</v>
      </c>
      <c r="B221" s="8">
        <v>219</v>
      </c>
      <c r="D221">
        <v>3375.1794258373002</v>
      </c>
      <c r="E221">
        <v>749.48724082934996</v>
      </c>
      <c r="F221">
        <v>142.17788461539001</v>
      </c>
      <c r="G221">
        <v>117.96153846154</v>
      </c>
      <c r="I221" s="9">
        <f t="shared" si="22"/>
        <v>631.52570236780991</v>
      </c>
      <c r="J221" s="9">
        <f t="shared" si="23"/>
        <v>3233.00154122191</v>
      </c>
      <c r="K221" s="9">
        <f t="shared" si="24"/>
        <v>631.52570236780991</v>
      </c>
      <c r="L221" s="10">
        <f t="shared" si="21"/>
        <v>0.19533727228881101</v>
      </c>
      <c r="M221" s="10">
        <f t="shared" si="20"/>
        <v>0.25753215967684984</v>
      </c>
      <c r="P221" s="8">
        <f t="shared" si="25"/>
        <v>-8.6227563786352341</v>
      </c>
    </row>
    <row r="222" spans="1:16" x14ac:dyDescent="0.2">
      <c r="A222" s="8">
        <v>110</v>
      </c>
      <c r="B222" s="8">
        <v>220</v>
      </c>
      <c r="D222">
        <v>3294.0637958532998</v>
      </c>
      <c r="E222">
        <v>723.13157894737003</v>
      </c>
      <c r="F222">
        <v>141.86458333332999</v>
      </c>
      <c r="G222">
        <v>118.41426282051</v>
      </c>
      <c r="I222" s="9">
        <f t="shared" si="22"/>
        <v>604.71731612686006</v>
      </c>
      <c r="J222" s="9">
        <f t="shared" si="23"/>
        <v>3152.1992125199699</v>
      </c>
      <c r="K222" s="9">
        <f t="shared" si="24"/>
        <v>604.71731612686006</v>
      </c>
      <c r="L222" s="10">
        <f t="shared" si="21"/>
        <v>0.19183981574674319</v>
      </c>
      <c r="M222" s="10">
        <f t="shared" si="20"/>
        <v>0.25431869805436214</v>
      </c>
      <c r="P222" s="8">
        <f t="shared" si="25"/>
        <v>-9.762952872597074</v>
      </c>
    </row>
    <row r="223" spans="1:16" x14ac:dyDescent="0.2">
      <c r="A223" s="8">
        <v>110.5</v>
      </c>
      <c r="B223" s="8">
        <v>221</v>
      </c>
      <c r="D223">
        <v>3332.9754940712</v>
      </c>
      <c r="E223">
        <v>731.14387351778998</v>
      </c>
      <c r="F223">
        <v>142.36378205128</v>
      </c>
      <c r="G223">
        <v>118.28125</v>
      </c>
      <c r="I223" s="9">
        <f t="shared" si="22"/>
        <v>612.86262351778998</v>
      </c>
      <c r="J223" s="9">
        <f t="shared" si="23"/>
        <v>3190.6117120199201</v>
      </c>
      <c r="K223" s="9">
        <f t="shared" si="24"/>
        <v>612.86262351778998</v>
      </c>
      <c r="L223" s="10">
        <f t="shared" si="21"/>
        <v>0.19208311096237951</v>
      </c>
      <c r="M223" s="10">
        <f t="shared" si="20"/>
        <v>0.25484598818957849</v>
      </c>
      <c r="P223" s="8">
        <f t="shared" si="25"/>
        <v>-9.5758604364319524</v>
      </c>
    </row>
    <row r="224" spans="1:16" x14ac:dyDescent="0.2">
      <c r="A224" s="8">
        <v>111</v>
      </c>
      <c r="B224" s="8">
        <v>222</v>
      </c>
      <c r="D224">
        <v>3335.6830039525998</v>
      </c>
      <c r="E224">
        <v>711.07035573123005</v>
      </c>
      <c r="F224">
        <v>142.60016025640999</v>
      </c>
      <c r="G224">
        <v>117.6266025641</v>
      </c>
      <c r="I224" s="9">
        <f t="shared" si="22"/>
        <v>593.44375316713001</v>
      </c>
      <c r="J224" s="9">
        <f t="shared" si="23"/>
        <v>3193.0828436961897</v>
      </c>
      <c r="K224" s="9">
        <f t="shared" si="24"/>
        <v>593.44375316713001</v>
      </c>
      <c r="L224" s="10">
        <f t="shared" si="21"/>
        <v>0.18585291463349018</v>
      </c>
      <c r="M224" s="10">
        <f t="shared" si="20"/>
        <v>0.24889978678026928</v>
      </c>
      <c r="P224" s="8">
        <f t="shared" si="25"/>
        <v>-11.685684294865554</v>
      </c>
    </row>
    <row r="225" spans="1:16" x14ac:dyDescent="0.2">
      <c r="A225" s="8">
        <v>111.5</v>
      </c>
      <c r="B225" s="8">
        <v>223</v>
      </c>
      <c r="D225">
        <v>3405.0810166799001</v>
      </c>
      <c r="E225">
        <v>732.01111993645998</v>
      </c>
      <c r="F225">
        <v>141.75641025640999</v>
      </c>
      <c r="G225">
        <v>117.59935897436</v>
      </c>
      <c r="I225" s="9">
        <f t="shared" si="22"/>
        <v>614.41176096209995</v>
      </c>
      <c r="J225" s="9">
        <f t="shared" si="23"/>
        <v>3263.32460642349</v>
      </c>
      <c r="K225" s="9">
        <f t="shared" si="24"/>
        <v>614.41176096209995</v>
      </c>
      <c r="L225" s="10">
        <f t="shared" si="21"/>
        <v>0.18827785619386408</v>
      </c>
      <c r="M225" s="10">
        <f t="shared" si="20"/>
        <v>0.25160872326022327</v>
      </c>
      <c r="P225" s="8">
        <f t="shared" si="25"/>
        <v>-10.724502790411261</v>
      </c>
    </row>
    <row r="226" spans="1:16" x14ac:dyDescent="0.2">
      <c r="A226" s="8">
        <v>112</v>
      </c>
      <c r="B226" s="8">
        <v>224</v>
      </c>
      <c r="D226">
        <v>3229.1136724960002</v>
      </c>
      <c r="E226">
        <v>714.7106518283</v>
      </c>
      <c r="F226">
        <v>141.96474358974001</v>
      </c>
      <c r="G226">
        <v>117.97596153846</v>
      </c>
      <c r="I226" s="9">
        <f t="shared" si="22"/>
        <v>596.73469028984005</v>
      </c>
      <c r="J226" s="9">
        <f t="shared" si="23"/>
        <v>3087.1489289062602</v>
      </c>
      <c r="K226" s="9">
        <f t="shared" si="24"/>
        <v>596.73469028984005</v>
      </c>
      <c r="L226" s="10">
        <f t="shared" si="21"/>
        <v>0.19329637281258602</v>
      </c>
      <c r="M226" s="10">
        <f t="shared" si="20"/>
        <v>0.25691123479852529</v>
      </c>
      <c r="P226" s="8">
        <f t="shared" si="25"/>
        <v>-8.8430721789936193</v>
      </c>
    </row>
    <row r="227" spans="1:16" x14ac:dyDescent="0.2">
      <c r="A227" s="8">
        <v>112.5</v>
      </c>
      <c r="B227" s="8">
        <v>225</v>
      </c>
      <c r="D227">
        <v>3259.7355769230999</v>
      </c>
      <c r="E227">
        <v>723.16666666667004</v>
      </c>
      <c r="F227">
        <v>142.37099358974001</v>
      </c>
      <c r="G227">
        <v>118.02243589744</v>
      </c>
      <c r="I227" s="9">
        <f t="shared" si="22"/>
        <v>605.14423076923003</v>
      </c>
      <c r="J227" s="9">
        <f t="shared" si="23"/>
        <v>3117.3645833333599</v>
      </c>
      <c r="K227" s="9">
        <f t="shared" si="24"/>
        <v>605.14423076923003</v>
      </c>
      <c r="L227" s="10">
        <f t="shared" si="21"/>
        <v>0.19412045482410553</v>
      </c>
      <c r="M227" s="10">
        <f t="shared" si="20"/>
        <v>0.25801931172962489</v>
      </c>
      <c r="P227" s="8">
        <f t="shared" si="25"/>
        <v>-8.4499056874325102</v>
      </c>
    </row>
    <row r="228" spans="1:16" x14ac:dyDescent="0.2">
      <c r="A228" s="8">
        <v>113</v>
      </c>
      <c r="B228" s="8">
        <v>226</v>
      </c>
      <c r="D228">
        <v>2996.7900641025999</v>
      </c>
      <c r="E228">
        <v>653.65865384614995</v>
      </c>
      <c r="F228">
        <v>141.91185897436</v>
      </c>
      <c r="G228">
        <v>117.91826923076999</v>
      </c>
      <c r="I228" s="9">
        <f t="shared" si="22"/>
        <v>535.74038461537998</v>
      </c>
      <c r="J228" s="9">
        <f t="shared" si="23"/>
        <v>2854.8782051282401</v>
      </c>
      <c r="K228" s="9">
        <f t="shared" si="24"/>
        <v>535.74038461537998</v>
      </c>
      <c r="L228" s="10">
        <f t="shared" si="21"/>
        <v>0.187657877542035</v>
      </c>
      <c r="M228" s="10">
        <f t="shared" si="20"/>
        <v>0.25184072936713442</v>
      </c>
      <c r="P228" s="8">
        <f t="shared" si="25"/>
        <v>-10.642182669384564</v>
      </c>
    </row>
    <row r="229" spans="1:16" x14ac:dyDescent="0.2">
      <c r="A229" s="8">
        <v>113.5</v>
      </c>
      <c r="B229" s="8">
        <v>227</v>
      </c>
      <c r="D229">
        <v>3216.3405448717999</v>
      </c>
      <c r="E229">
        <v>698.60977564102996</v>
      </c>
      <c r="F229">
        <v>142.11458333332999</v>
      </c>
      <c r="G229">
        <v>118.36939102564</v>
      </c>
      <c r="I229" s="9">
        <f t="shared" si="22"/>
        <v>580.24038461538998</v>
      </c>
      <c r="J229" s="9">
        <f t="shared" si="23"/>
        <v>3074.2259615384701</v>
      </c>
      <c r="K229" s="9">
        <f t="shared" si="24"/>
        <v>580.24038461538998</v>
      </c>
      <c r="L229" s="10">
        <f t="shared" si="21"/>
        <v>0.18874357053604923</v>
      </c>
      <c r="M229" s="10">
        <f t="shared" si="20"/>
        <v>0.25321041728072874</v>
      </c>
      <c r="P229" s="8">
        <f t="shared" si="25"/>
        <v>-10.156191691314893</v>
      </c>
    </row>
    <row r="230" spans="1:16" x14ac:dyDescent="0.2">
      <c r="A230" s="8">
        <v>114</v>
      </c>
      <c r="B230" s="8">
        <v>228</v>
      </c>
      <c r="D230">
        <v>3250.0967999999998</v>
      </c>
      <c r="E230">
        <v>711.93200000000002</v>
      </c>
      <c r="F230">
        <v>142.20592948717999</v>
      </c>
      <c r="G230">
        <v>117.88221153846</v>
      </c>
      <c r="I230" s="9">
        <f t="shared" si="22"/>
        <v>594.04978846154006</v>
      </c>
      <c r="J230" s="9">
        <f t="shared" si="23"/>
        <v>3107.8908705128197</v>
      </c>
      <c r="K230" s="9">
        <f t="shared" si="24"/>
        <v>594.04978846154006</v>
      </c>
      <c r="L230" s="10">
        <f t="shared" si="21"/>
        <v>0.19114242205149193</v>
      </c>
      <c r="M230" s="10">
        <f t="shared" si="20"/>
        <v>0.25589326371575155</v>
      </c>
      <c r="P230" s="8">
        <f t="shared" si="25"/>
        <v>-9.2042674244605944</v>
      </c>
    </row>
    <row r="231" spans="1:16" x14ac:dyDescent="0.2">
      <c r="A231" s="8">
        <v>114.5</v>
      </c>
      <c r="B231" s="8">
        <v>229</v>
      </c>
      <c r="D231">
        <v>3222.2175999999999</v>
      </c>
      <c r="E231">
        <v>713.99199999999996</v>
      </c>
      <c r="F231">
        <v>142.01282051282001</v>
      </c>
      <c r="G231">
        <v>117.89342948718</v>
      </c>
      <c r="I231" s="9">
        <f t="shared" si="22"/>
        <v>596.09857051281995</v>
      </c>
      <c r="J231" s="9">
        <f t="shared" si="23"/>
        <v>3080.2047794871801</v>
      </c>
      <c r="K231" s="9">
        <f t="shared" si="24"/>
        <v>596.09857051281995</v>
      </c>
      <c r="L231" s="10">
        <f t="shared" si="21"/>
        <v>0.1935256300108929</v>
      </c>
      <c r="M231" s="10">
        <f t="shared" si="20"/>
        <v>0.25856046659473259</v>
      </c>
      <c r="P231" s="8">
        <f t="shared" si="25"/>
        <v>-8.2578937848884504</v>
      </c>
    </row>
    <row r="232" spans="1:16" x14ac:dyDescent="0.2">
      <c r="A232" s="8">
        <v>115</v>
      </c>
      <c r="B232" s="8">
        <v>230</v>
      </c>
      <c r="D232">
        <v>3276.6924901185998</v>
      </c>
      <c r="E232">
        <v>730.99209486166001</v>
      </c>
      <c r="F232">
        <v>142.00480769231001</v>
      </c>
      <c r="G232">
        <v>117.8733974359</v>
      </c>
      <c r="I232" s="9">
        <f t="shared" si="22"/>
        <v>613.11869742576005</v>
      </c>
      <c r="J232" s="9">
        <f t="shared" si="23"/>
        <v>3134.6876824262899</v>
      </c>
      <c r="K232" s="9">
        <f t="shared" si="24"/>
        <v>613.11869742576005</v>
      </c>
      <c r="L232" s="10">
        <f t="shared" si="21"/>
        <v>0.1955916376814924</v>
      </c>
      <c r="M232" s="10">
        <f t="shared" si="20"/>
        <v>0.26091046918491217</v>
      </c>
      <c r="P232" s="8">
        <f t="shared" si="25"/>
        <v>-7.424068761003551</v>
      </c>
    </row>
    <row r="233" spans="1:16" x14ac:dyDescent="0.2">
      <c r="A233" s="8">
        <v>115.5</v>
      </c>
      <c r="B233" s="8">
        <v>231</v>
      </c>
      <c r="D233">
        <v>3539.2817014446</v>
      </c>
      <c r="E233">
        <v>776.25040128411001</v>
      </c>
      <c r="F233">
        <v>141.69471153846001</v>
      </c>
      <c r="G233">
        <v>117.97516025641001</v>
      </c>
      <c r="I233" s="9">
        <f t="shared" si="22"/>
        <v>658.27524102769996</v>
      </c>
      <c r="J233" s="9">
        <f t="shared" si="23"/>
        <v>3397.5869899061399</v>
      </c>
      <c r="K233" s="9">
        <f t="shared" si="24"/>
        <v>658.27524102769996</v>
      </c>
      <c r="L233" s="10">
        <f t="shared" si="21"/>
        <v>0.1937478695860809</v>
      </c>
      <c r="M233" s="10">
        <f t="shared" si="20"/>
        <v>0.25935069600908078</v>
      </c>
      <c r="P233" s="8">
        <f t="shared" si="25"/>
        <v>-7.9775055576384188</v>
      </c>
    </row>
    <row r="234" spans="1:16" x14ac:dyDescent="0.2">
      <c r="A234" s="8">
        <v>116</v>
      </c>
      <c r="B234" s="8">
        <v>232</v>
      </c>
      <c r="D234">
        <v>3345.7274180656</v>
      </c>
      <c r="E234">
        <v>734.53717026379002</v>
      </c>
      <c r="F234">
        <v>141.99198717949</v>
      </c>
      <c r="G234">
        <v>117.91025641026</v>
      </c>
      <c r="I234" s="9">
        <f t="shared" si="22"/>
        <v>616.62691385353003</v>
      </c>
      <c r="J234" s="9">
        <f t="shared" si="23"/>
        <v>3203.73543088611</v>
      </c>
      <c r="K234" s="9">
        <f t="shared" si="24"/>
        <v>616.62691385353003</v>
      </c>
      <c r="L234" s="10">
        <f t="shared" si="21"/>
        <v>0.19247123464342353</v>
      </c>
      <c r="M234" s="10">
        <f t="shared" si="20"/>
        <v>0.25835805598600348</v>
      </c>
      <c r="P234" s="8">
        <f t="shared" si="25"/>
        <v>-8.3297128677113346</v>
      </c>
    </row>
    <row r="235" spans="1:16" x14ac:dyDescent="0.2">
      <c r="A235" s="8">
        <v>116.5</v>
      </c>
      <c r="B235" s="8">
        <v>233</v>
      </c>
      <c r="D235">
        <v>3274.7147385102999</v>
      </c>
      <c r="E235">
        <v>723.27971473851005</v>
      </c>
      <c r="F235">
        <v>142.32772435896999</v>
      </c>
      <c r="G235">
        <v>117.84855769231</v>
      </c>
      <c r="I235" s="9">
        <f t="shared" si="22"/>
        <v>605.43115704620004</v>
      </c>
      <c r="J235" s="9">
        <f t="shared" si="23"/>
        <v>3132.3870141513298</v>
      </c>
      <c r="K235" s="9">
        <f t="shared" si="24"/>
        <v>605.43115704620004</v>
      </c>
      <c r="L235" s="10">
        <f t="shared" si="21"/>
        <v>0.19328108382234241</v>
      </c>
      <c r="M235" s="10">
        <f t="shared" si="20"/>
        <v>0.25945190008450247</v>
      </c>
      <c r="P235" s="8">
        <f t="shared" si="25"/>
        <v>-7.9415964522789677</v>
      </c>
    </row>
    <row r="236" spans="1:16" x14ac:dyDescent="0.2">
      <c r="A236" s="8">
        <v>117</v>
      </c>
      <c r="B236" s="8">
        <v>234</v>
      </c>
      <c r="D236">
        <v>3216.9595879556</v>
      </c>
      <c r="E236">
        <v>738.30269413629003</v>
      </c>
      <c r="F236">
        <v>141.98557692308</v>
      </c>
      <c r="G236">
        <v>117.65625</v>
      </c>
      <c r="I236" s="9">
        <f t="shared" si="22"/>
        <v>620.64644413629003</v>
      </c>
      <c r="J236" s="9">
        <f t="shared" si="23"/>
        <v>3074.9740110325201</v>
      </c>
      <c r="K236" s="9">
        <f t="shared" si="24"/>
        <v>620.64644413629003</v>
      </c>
      <c r="L236" s="10">
        <f t="shared" si="21"/>
        <v>0.20183794786866777</v>
      </c>
      <c r="M236" s="10">
        <f t="shared" si="20"/>
        <v>0.26829275905040789</v>
      </c>
      <c r="P236" s="8">
        <f t="shared" si="25"/>
        <v>-4.804693765782039</v>
      </c>
    </row>
    <row r="237" spans="1:16" x14ac:dyDescent="0.2">
      <c r="A237" s="8">
        <v>117.5</v>
      </c>
      <c r="B237" s="8">
        <v>235</v>
      </c>
      <c r="D237">
        <v>3385.4619651347002</v>
      </c>
      <c r="E237">
        <v>797.81141045958998</v>
      </c>
      <c r="F237">
        <v>141.94551282051</v>
      </c>
      <c r="G237">
        <v>117.85977564103</v>
      </c>
      <c r="I237" s="9">
        <f t="shared" si="22"/>
        <v>679.95163481856002</v>
      </c>
      <c r="J237" s="9">
        <f t="shared" si="23"/>
        <v>3243.5164523141902</v>
      </c>
      <c r="K237" s="9">
        <f t="shared" si="24"/>
        <v>679.95163481856002</v>
      </c>
      <c r="L237" s="10">
        <f t="shared" si="21"/>
        <v>0.20963409460538635</v>
      </c>
      <c r="M237" s="10">
        <f t="shared" si="20"/>
        <v>0.27637290070670656</v>
      </c>
      <c r="P237" s="8">
        <f t="shared" si="25"/>
        <v>-1.937707857889184</v>
      </c>
    </row>
    <row r="238" spans="1:16" x14ac:dyDescent="0.2">
      <c r="A238" s="8">
        <v>118</v>
      </c>
      <c r="B238" s="8">
        <v>236</v>
      </c>
      <c r="D238">
        <v>3542.7579617833999</v>
      </c>
      <c r="E238">
        <v>817.84554140127</v>
      </c>
      <c r="F238">
        <v>142</v>
      </c>
      <c r="G238">
        <v>117.76682692308</v>
      </c>
      <c r="I238" s="9">
        <f t="shared" si="22"/>
        <v>700.07871447819002</v>
      </c>
      <c r="J238" s="9">
        <f t="shared" si="23"/>
        <v>3400.7579617833999</v>
      </c>
      <c r="K238" s="9">
        <f t="shared" si="24"/>
        <v>700.07871447819002</v>
      </c>
      <c r="L238" s="10">
        <f t="shared" si="21"/>
        <v>0.20585961198810515</v>
      </c>
      <c r="M238" s="10">
        <f t="shared" si="20"/>
        <v>0.27288241300900545</v>
      </c>
      <c r="P238" s="8">
        <f t="shared" si="25"/>
        <v>-3.176198402566901</v>
      </c>
    </row>
    <row r="239" spans="1:16" x14ac:dyDescent="0.2">
      <c r="A239" s="8">
        <v>118.5</v>
      </c>
      <c r="B239" s="8">
        <v>237</v>
      </c>
      <c r="D239">
        <v>3747.8694267515998</v>
      </c>
      <c r="E239">
        <v>850.07245222929998</v>
      </c>
      <c r="F239">
        <v>142.49118589744</v>
      </c>
      <c r="G239">
        <v>118.05288461539</v>
      </c>
      <c r="I239" s="9">
        <f t="shared" si="22"/>
        <v>732.01956761391</v>
      </c>
      <c r="J239" s="9">
        <f t="shared" si="23"/>
        <v>3605.3782408541597</v>
      </c>
      <c r="K239" s="9">
        <f t="shared" si="24"/>
        <v>732.01956761391</v>
      </c>
      <c r="L239" s="10">
        <f t="shared" si="21"/>
        <v>0.20303544280571387</v>
      </c>
      <c r="M239" s="10">
        <f t="shared" si="20"/>
        <v>0.27034223874619423</v>
      </c>
      <c r="P239" s="8">
        <f t="shared" si="25"/>
        <v>-4.0774999050467375</v>
      </c>
    </row>
    <row r="240" spans="1:16" x14ac:dyDescent="0.2">
      <c r="A240" s="8">
        <v>119</v>
      </c>
      <c r="B240" s="8">
        <v>238</v>
      </c>
      <c r="D240">
        <v>3375.2398081534998</v>
      </c>
      <c r="E240">
        <v>771.41087130296</v>
      </c>
      <c r="F240">
        <v>141.95753205128</v>
      </c>
      <c r="G240">
        <v>117.58733974358999</v>
      </c>
      <c r="I240" s="9">
        <f t="shared" si="22"/>
        <v>653.82353155937005</v>
      </c>
      <c r="J240" s="9">
        <f t="shared" si="23"/>
        <v>3233.2822761022198</v>
      </c>
      <c r="K240" s="9">
        <f t="shared" si="24"/>
        <v>653.82353155937005</v>
      </c>
      <c r="L240" s="10">
        <f t="shared" si="21"/>
        <v>0.20221665655111504</v>
      </c>
      <c r="M240" s="10">
        <f t="shared" si="20"/>
        <v>0.26980744741117552</v>
      </c>
      <c r="P240" s="8">
        <f t="shared" si="25"/>
        <v>-4.2672539076843838</v>
      </c>
    </row>
    <row r="241" spans="1:16" x14ac:dyDescent="0.2">
      <c r="A241" s="8">
        <v>119.5</v>
      </c>
      <c r="B241" s="8">
        <v>239</v>
      </c>
      <c r="D241">
        <v>3401.9968127490001</v>
      </c>
      <c r="E241">
        <v>780.34422310756997</v>
      </c>
      <c r="F241">
        <v>142.07371794872</v>
      </c>
      <c r="G241">
        <v>117.63621794872</v>
      </c>
      <c r="I241" s="9">
        <f t="shared" si="22"/>
        <v>662.70800515885003</v>
      </c>
      <c r="J241" s="9">
        <f t="shared" si="23"/>
        <v>3259.9230948002801</v>
      </c>
      <c r="K241" s="9">
        <f t="shared" si="24"/>
        <v>662.70800515885003</v>
      </c>
      <c r="L241" s="10">
        <f t="shared" si="21"/>
        <v>0.20328945986974303</v>
      </c>
      <c r="M241" s="10">
        <f t="shared" si="20"/>
        <v>0.27116424564938357</v>
      </c>
      <c r="P241" s="8">
        <f t="shared" si="25"/>
        <v>-3.7858364283554096</v>
      </c>
    </row>
    <row r="242" spans="1:16" x14ac:dyDescent="0.2">
      <c r="A242" s="8">
        <v>120</v>
      </c>
      <c r="B242" s="8">
        <v>240</v>
      </c>
      <c r="D242">
        <v>3411.6183266931998</v>
      </c>
      <c r="E242">
        <v>828.54900398406005</v>
      </c>
      <c r="F242">
        <v>141.24439102564</v>
      </c>
      <c r="G242">
        <v>117.95272435897</v>
      </c>
      <c r="I242" s="9">
        <f>E242-G242</f>
        <v>710.59627962509001</v>
      </c>
      <c r="J242" s="9">
        <f>D242-F242</f>
        <v>3270.3739356675596</v>
      </c>
      <c r="K242" s="9">
        <f t="shared" si="24"/>
        <v>710.59627962509001</v>
      </c>
      <c r="L242" s="10">
        <f t="shared" si="21"/>
        <v>0.21728288373238908</v>
      </c>
      <c r="M242" s="10">
        <f>L242+ABS($N$2)*A242</f>
        <v>0.28544166443160973</v>
      </c>
      <c r="O242" s="11"/>
      <c r="P242" s="8">
        <f>(M242-$O$2)/$O$2*100</f>
        <v>1.2800597144205996</v>
      </c>
    </row>
    <row r="243" spans="1:16" x14ac:dyDescent="0.2">
      <c r="A243" s="8">
        <v>120.5</v>
      </c>
      <c r="B243" s="8">
        <v>241</v>
      </c>
      <c r="D243">
        <v>3436.0015936254999</v>
      </c>
      <c r="E243">
        <v>831.02310756971997</v>
      </c>
      <c r="F243">
        <v>141.96474358974001</v>
      </c>
      <c r="G243">
        <v>118.11378205128</v>
      </c>
      <c r="I243" s="9">
        <f t="shared" ref="I243:I274" si="26">E243-G243</f>
        <v>712.90932551844003</v>
      </c>
      <c r="J243" s="9">
        <f t="shared" ref="J243:J274" si="27">D243-F243</f>
        <v>3294.0368500357599</v>
      </c>
      <c r="K243" s="9">
        <f t="shared" si="24"/>
        <v>712.90932551844003</v>
      </c>
      <c r="L243" s="10">
        <f t="shared" si="21"/>
        <v>0.21642421077065385</v>
      </c>
      <c r="M243" s="10">
        <f t="shared" ref="M243:M274" si="28">L243+ABS($N$2)*A243</f>
        <v>0.28486698638945457</v>
      </c>
      <c r="P243" s="8">
        <f t="shared" ref="P243:P274" si="29">(M243-$O$2)/$O$2*100</f>
        <v>1.0761531594965321</v>
      </c>
    </row>
    <row r="244" spans="1:16" x14ac:dyDescent="0.2">
      <c r="A244" s="8">
        <v>121</v>
      </c>
      <c r="B244" s="8">
        <v>242</v>
      </c>
      <c r="D244">
        <v>3462.2151394421999</v>
      </c>
      <c r="E244">
        <v>836.18804780876997</v>
      </c>
      <c r="F244">
        <v>141.82291666667001</v>
      </c>
      <c r="G244">
        <v>117.89583333333</v>
      </c>
      <c r="I244" s="9">
        <f t="shared" si="26"/>
        <v>718.29221447544001</v>
      </c>
      <c r="J244" s="9">
        <f t="shared" si="27"/>
        <v>3320.3922227755297</v>
      </c>
      <c r="K244" s="9">
        <f t="shared" si="24"/>
        <v>718.29221447544001</v>
      </c>
      <c r="L244" s="10">
        <f t="shared" si="21"/>
        <v>0.21632751984794632</v>
      </c>
      <c r="M244" s="10">
        <f t="shared" si="28"/>
        <v>0.28505429038632712</v>
      </c>
      <c r="N244" s="1"/>
      <c r="P244" s="8">
        <f t="shared" si="29"/>
        <v>1.1426121329115617</v>
      </c>
    </row>
    <row r="245" spans="1:16" x14ac:dyDescent="0.2">
      <c r="A245" s="8">
        <v>121.5</v>
      </c>
      <c r="B245" s="8">
        <v>243</v>
      </c>
      <c r="D245">
        <v>3474.5195219123998</v>
      </c>
      <c r="E245">
        <v>822.64701195219004</v>
      </c>
      <c r="F245">
        <v>141.48397435896999</v>
      </c>
      <c r="G245">
        <v>117.87099358974</v>
      </c>
      <c r="I245" s="9">
        <f t="shared" si="26"/>
        <v>704.77601836245003</v>
      </c>
      <c r="J245" s="9">
        <f t="shared" si="27"/>
        <v>3333.0355475534298</v>
      </c>
      <c r="K245" s="9">
        <f t="shared" si="24"/>
        <v>704.77601836245003</v>
      </c>
      <c r="L245" s="10">
        <f t="shared" si="21"/>
        <v>0.21145169570116989</v>
      </c>
      <c r="M245" s="10">
        <f t="shared" si="28"/>
        <v>0.28046246115913076</v>
      </c>
      <c r="P245" s="8">
        <f t="shared" si="29"/>
        <v>-0.48665505642791052</v>
      </c>
    </row>
    <row r="246" spans="1:16" x14ac:dyDescent="0.2">
      <c r="A246" s="8">
        <v>122</v>
      </c>
      <c r="B246" s="8">
        <v>244</v>
      </c>
      <c r="D246">
        <v>3526.7270550677999</v>
      </c>
      <c r="E246">
        <v>814.60255387071004</v>
      </c>
      <c r="F246">
        <v>141.19791666667001</v>
      </c>
      <c r="G246">
        <v>117.41266025641001</v>
      </c>
      <c r="I246" s="9">
        <f t="shared" si="26"/>
        <v>697.18989361429999</v>
      </c>
      <c r="J246" s="9">
        <f t="shared" si="27"/>
        <v>3385.5291384011298</v>
      </c>
      <c r="K246" s="9">
        <f t="shared" si="24"/>
        <v>697.18989361429999</v>
      </c>
      <c r="L246" s="10">
        <f t="shared" si="21"/>
        <v>0.20593232700503622</v>
      </c>
      <c r="M246" s="10">
        <f t="shared" si="28"/>
        <v>0.27522708738257717</v>
      </c>
      <c r="P246" s="8">
        <f t="shared" si="29"/>
        <v>-2.3442639299345367</v>
      </c>
    </row>
    <row r="247" spans="1:16" x14ac:dyDescent="0.2">
      <c r="A247" s="8">
        <v>122.5</v>
      </c>
      <c r="B247" s="8">
        <v>245</v>
      </c>
      <c r="D247">
        <v>3444.0479233227002</v>
      </c>
      <c r="E247">
        <v>790.24041533546006</v>
      </c>
      <c r="F247">
        <v>141.50400641025999</v>
      </c>
      <c r="G247">
        <v>118.08814102564</v>
      </c>
      <c r="I247" s="9">
        <f t="shared" si="26"/>
        <v>672.15227430982009</v>
      </c>
      <c r="J247" s="9">
        <f t="shared" si="27"/>
        <v>3302.5439169124402</v>
      </c>
      <c r="K247" s="9">
        <f t="shared" si="24"/>
        <v>672.15227430982009</v>
      </c>
      <c r="L247" s="10">
        <f t="shared" si="21"/>
        <v>0.20352561274589123</v>
      </c>
      <c r="M247" s="10">
        <f t="shared" si="28"/>
        <v>0.2731043680430123</v>
      </c>
      <c r="P247" s="8">
        <f t="shared" si="29"/>
        <v>-3.0974445908453614</v>
      </c>
    </row>
    <row r="248" spans="1:16" x14ac:dyDescent="0.2">
      <c r="A248" s="8">
        <v>123</v>
      </c>
      <c r="B248" s="8">
        <v>246</v>
      </c>
      <c r="D248">
        <v>3364.5686900958999</v>
      </c>
      <c r="E248">
        <v>777.92811501596998</v>
      </c>
      <c r="F248">
        <v>141.28926282051</v>
      </c>
      <c r="G248">
        <v>117.94871794872</v>
      </c>
      <c r="I248" s="9">
        <f t="shared" si="26"/>
        <v>659.97939706724992</v>
      </c>
      <c r="J248" s="9">
        <f t="shared" si="27"/>
        <v>3223.2794272753899</v>
      </c>
      <c r="K248" s="9">
        <f t="shared" si="24"/>
        <v>659.97939706724992</v>
      </c>
      <c r="L248" s="10">
        <f t="shared" si="21"/>
        <v>0.20475401278663724</v>
      </c>
      <c r="M248" s="10">
        <f t="shared" si="28"/>
        <v>0.27461676300333837</v>
      </c>
      <c r="P248" s="8">
        <f t="shared" si="29"/>
        <v>-2.5608184742669491</v>
      </c>
    </row>
    <row r="249" spans="1:16" x14ac:dyDescent="0.2">
      <c r="A249" s="8">
        <v>123.5</v>
      </c>
      <c r="B249" s="8">
        <v>247</v>
      </c>
      <c r="D249">
        <v>3568.8412698412999</v>
      </c>
      <c r="E249">
        <v>810.55</v>
      </c>
      <c r="F249">
        <v>141.46153846153999</v>
      </c>
      <c r="G249">
        <v>117.82852564103</v>
      </c>
      <c r="I249" s="9">
        <f t="shared" si="26"/>
        <v>692.72147435897</v>
      </c>
      <c r="J249" s="9">
        <f t="shared" si="27"/>
        <v>3427.37973137976</v>
      </c>
      <c r="K249" s="9">
        <f t="shared" si="24"/>
        <v>692.72147435897</v>
      </c>
      <c r="L249" s="10">
        <f t="shared" si="21"/>
        <v>0.20211401380964028</v>
      </c>
      <c r="M249" s="10">
        <f t="shared" si="28"/>
        <v>0.2722607589459215</v>
      </c>
      <c r="P249" s="8">
        <f t="shared" si="29"/>
        <v>-3.3967729313632749</v>
      </c>
    </row>
    <row r="250" spans="1:16" x14ac:dyDescent="0.2">
      <c r="A250" s="8">
        <v>124</v>
      </c>
      <c r="B250" s="8">
        <v>248</v>
      </c>
      <c r="D250">
        <v>3427.9485530546999</v>
      </c>
      <c r="E250">
        <v>779.27813504822996</v>
      </c>
      <c r="F250">
        <v>141.59294871795001</v>
      </c>
      <c r="G250">
        <v>117.64342948718</v>
      </c>
      <c r="I250" s="9">
        <f t="shared" si="26"/>
        <v>661.63470556104994</v>
      </c>
      <c r="J250" s="9">
        <f t="shared" si="27"/>
        <v>3286.3556043367498</v>
      </c>
      <c r="K250" s="9">
        <f t="shared" si="24"/>
        <v>661.63470556104994</v>
      </c>
      <c r="L250" s="10">
        <f t="shared" si="21"/>
        <v>0.20132778835252693</v>
      </c>
      <c r="M250" s="10">
        <f t="shared" si="28"/>
        <v>0.27175852840838827</v>
      </c>
      <c r="P250" s="8">
        <f t="shared" si="29"/>
        <v>-3.5749737519514642</v>
      </c>
    </row>
    <row r="251" spans="1:16" x14ac:dyDescent="0.2">
      <c r="A251" s="8">
        <v>124.5</v>
      </c>
      <c r="B251" s="8">
        <v>249</v>
      </c>
      <c r="D251">
        <v>3404.7725080385999</v>
      </c>
      <c r="E251">
        <v>760.16077170417998</v>
      </c>
      <c r="F251">
        <v>141.52964743589999</v>
      </c>
      <c r="G251">
        <v>117.63621794872</v>
      </c>
      <c r="I251" s="9">
        <f t="shared" si="26"/>
        <v>642.52455375545992</v>
      </c>
      <c r="J251" s="9">
        <f t="shared" si="27"/>
        <v>3263.2428606026997</v>
      </c>
      <c r="K251" s="9">
        <f t="shared" si="24"/>
        <v>642.52455375545992</v>
      </c>
      <c r="L251" s="10">
        <f t="shared" si="21"/>
        <v>0.19689755902408987</v>
      </c>
      <c r="M251" s="10">
        <f t="shared" si="28"/>
        <v>0.26761229399953129</v>
      </c>
      <c r="P251" s="8">
        <f t="shared" si="29"/>
        <v>-5.0461355368128782</v>
      </c>
    </row>
    <row r="252" spans="1:16" x14ac:dyDescent="0.2">
      <c r="A252" s="8">
        <v>125</v>
      </c>
      <c r="B252" s="8">
        <v>250</v>
      </c>
      <c r="D252">
        <v>3454.2280000000001</v>
      </c>
      <c r="E252">
        <v>766.58</v>
      </c>
      <c r="F252">
        <v>141.90384615385</v>
      </c>
      <c r="G252">
        <v>117.42788461539</v>
      </c>
      <c r="I252" s="9">
        <f t="shared" si="26"/>
        <v>649.15211538461006</v>
      </c>
      <c r="J252" s="9">
        <f t="shared" si="27"/>
        <v>3312.3241538461502</v>
      </c>
      <c r="K252" s="9">
        <f t="shared" si="24"/>
        <v>649.15211538461006</v>
      </c>
      <c r="L252" s="10">
        <f t="shared" si="21"/>
        <v>0.19598085369478052</v>
      </c>
      <c r="M252" s="10">
        <f t="shared" si="28"/>
        <v>0.26697958358980201</v>
      </c>
      <c r="P252" s="8">
        <f t="shared" si="29"/>
        <v>-5.2706330649047208</v>
      </c>
    </row>
    <row r="253" spans="1:16" x14ac:dyDescent="0.2">
      <c r="A253" s="8">
        <v>125.5</v>
      </c>
      <c r="B253" s="8">
        <v>251</v>
      </c>
      <c r="D253">
        <v>3480.3287999999998</v>
      </c>
      <c r="E253">
        <v>764.60400000000004</v>
      </c>
      <c r="F253">
        <v>141.43349358974001</v>
      </c>
      <c r="G253">
        <v>117.39262820512999</v>
      </c>
      <c r="I253" s="9">
        <f t="shared" si="26"/>
        <v>647.21137179487005</v>
      </c>
      <c r="J253" s="9">
        <f t="shared" si="27"/>
        <v>3338.8953064102598</v>
      </c>
      <c r="K253" s="9">
        <f t="shared" si="24"/>
        <v>647.21137179487005</v>
      </c>
      <c r="L253" s="10">
        <f t="shared" si="21"/>
        <v>0.19383997172726725</v>
      </c>
      <c r="M253" s="10">
        <f t="shared" si="28"/>
        <v>0.26512269654186882</v>
      </c>
      <c r="P253" s="8">
        <f t="shared" si="29"/>
        <v>-5.9294914395995857</v>
      </c>
    </row>
    <row r="254" spans="1:16" x14ac:dyDescent="0.2">
      <c r="A254" s="8">
        <v>126</v>
      </c>
      <c r="B254" s="8">
        <v>252</v>
      </c>
      <c r="D254">
        <v>3508.3896</v>
      </c>
      <c r="E254">
        <v>760.36400000000003</v>
      </c>
      <c r="F254">
        <v>141.42227564103001</v>
      </c>
      <c r="G254">
        <v>117.6266025641</v>
      </c>
      <c r="I254" s="9">
        <f t="shared" si="26"/>
        <v>642.73739743589999</v>
      </c>
      <c r="J254" s="9">
        <f t="shared" si="27"/>
        <v>3366.96732435897</v>
      </c>
      <c r="K254" s="9">
        <f t="shared" si="24"/>
        <v>642.73739743589999</v>
      </c>
      <c r="L254" s="10">
        <f t="shared" si="21"/>
        <v>0.19089505050610178</v>
      </c>
      <c r="M254" s="10">
        <f t="shared" si="28"/>
        <v>0.26246177024028344</v>
      </c>
      <c r="P254" s="8">
        <f t="shared" si="29"/>
        <v>-6.8736380317128392</v>
      </c>
    </row>
    <row r="255" spans="1:16" x14ac:dyDescent="0.2">
      <c r="A255" s="8">
        <v>126.5</v>
      </c>
      <c r="B255" s="8">
        <v>253</v>
      </c>
      <c r="D255">
        <v>3498.4216000000001</v>
      </c>
      <c r="E255">
        <v>751.67439999999999</v>
      </c>
      <c r="F255">
        <v>141.26282051282001</v>
      </c>
      <c r="G255">
        <v>117.75560897436</v>
      </c>
      <c r="I255" s="9">
        <f t="shared" si="26"/>
        <v>633.91879102563996</v>
      </c>
      <c r="J255" s="9">
        <f t="shared" si="27"/>
        <v>3357.1587794871803</v>
      </c>
      <c r="K255" s="9">
        <f t="shared" si="24"/>
        <v>633.91879102563996</v>
      </c>
      <c r="L255" s="10">
        <f t="shared" si="21"/>
        <v>0.18882597835377737</v>
      </c>
      <c r="M255" s="10">
        <f t="shared" si="28"/>
        <v>0.26067669300753915</v>
      </c>
      <c r="P255" s="8">
        <f t="shared" si="29"/>
        <v>-7.5070169362508334</v>
      </c>
    </row>
    <row r="256" spans="1:16" x14ac:dyDescent="0.2">
      <c r="A256" s="8">
        <v>127</v>
      </c>
      <c r="B256" s="8">
        <v>254</v>
      </c>
      <c r="D256">
        <v>3521.5203511571999</v>
      </c>
      <c r="E256">
        <v>753.24421388666997</v>
      </c>
      <c r="F256">
        <v>141.17868589744</v>
      </c>
      <c r="G256">
        <v>117.82131410256</v>
      </c>
      <c r="I256" s="9">
        <f t="shared" si="26"/>
        <v>635.42289978410997</v>
      </c>
      <c r="J256" s="9">
        <f t="shared" si="27"/>
        <v>3380.3416652597598</v>
      </c>
      <c r="K256" s="9">
        <f t="shared" si="24"/>
        <v>635.42289978410997</v>
      </c>
      <c r="L256" s="10">
        <f t="shared" si="21"/>
        <v>0.18797593933016868</v>
      </c>
      <c r="M256" s="10">
        <f t="shared" si="28"/>
        <v>0.26011064890351054</v>
      </c>
      <c r="P256" s="8">
        <f t="shared" si="29"/>
        <v>-7.7078600078856985</v>
      </c>
    </row>
    <row r="257" spans="1:16" x14ac:dyDescent="0.2">
      <c r="A257" s="8">
        <v>127.5</v>
      </c>
      <c r="B257" s="8">
        <v>255</v>
      </c>
      <c r="D257">
        <v>3427.9832402235002</v>
      </c>
      <c r="E257">
        <v>721.48284118116999</v>
      </c>
      <c r="F257">
        <v>141.68349358974001</v>
      </c>
      <c r="G257">
        <v>117.67227564103</v>
      </c>
      <c r="I257" s="9">
        <f t="shared" si="26"/>
        <v>603.81056554014003</v>
      </c>
      <c r="J257" s="9">
        <f t="shared" si="27"/>
        <v>3286.2997466337602</v>
      </c>
      <c r="K257" s="9">
        <f t="shared" si="24"/>
        <v>603.81056554014003</v>
      </c>
      <c r="L257" s="10">
        <f t="shared" si="21"/>
        <v>0.18373569427397438</v>
      </c>
      <c r="M257" s="10">
        <f t="shared" si="28"/>
        <v>0.25615439876689627</v>
      </c>
      <c r="P257" s="8">
        <f t="shared" si="29"/>
        <v>-9.1116118073273</v>
      </c>
    </row>
    <row r="258" spans="1:16" x14ac:dyDescent="0.2">
      <c r="A258" s="8">
        <v>128</v>
      </c>
      <c r="B258" s="8">
        <v>256</v>
      </c>
      <c r="D258">
        <v>3545.9239904987999</v>
      </c>
      <c r="E258">
        <v>743.64370546318003</v>
      </c>
      <c r="F258">
        <v>141.07852564103001</v>
      </c>
      <c r="G258">
        <v>117.92948717949</v>
      </c>
      <c r="I258" s="9">
        <f t="shared" si="26"/>
        <v>625.71421828369</v>
      </c>
      <c r="J258" s="9">
        <f t="shared" si="27"/>
        <v>3404.8454648577699</v>
      </c>
      <c r="K258" s="9">
        <f t="shared" si="24"/>
        <v>625.71421828369</v>
      </c>
      <c r="L258" s="10">
        <f t="shared" ref="L258:L321" si="30">K258/J258</f>
        <v>0.18377169382335767</v>
      </c>
      <c r="M258" s="10">
        <f t="shared" si="28"/>
        <v>0.25647439323585969</v>
      </c>
      <c r="P258" s="8">
        <f t="shared" si="29"/>
        <v>-8.9980717640773626</v>
      </c>
    </row>
    <row r="259" spans="1:16" x14ac:dyDescent="0.2">
      <c r="A259" s="8">
        <v>128.5</v>
      </c>
      <c r="B259" s="8">
        <v>257</v>
      </c>
      <c r="D259">
        <v>3542.4837688043999</v>
      </c>
      <c r="E259">
        <v>746.94536817102005</v>
      </c>
      <c r="F259">
        <v>140.84134615385</v>
      </c>
      <c r="G259">
        <v>117.50881410256</v>
      </c>
      <c r="I259" s="9">
        <f t="shared" si="26"/>
        <v>629.43655406846005</v>
      </c>
      <c r="J259" s="9">
        <f t="shared" si="27"/>
        <v>3401.6424226505501</v>
      </c>
      <c r="K259" s="9">
        <f t="shared" ref="K259:K322" si="31">I259*1</f>
        <v>629.43655406846005</v>
      </c>
      <c r="L259" s="10">
        <f t="shared" si="30"/>
        <v>0.18503901229512679</v>
      </c>
      <c r="M259" s="10">
        <f t="shared" si="28"/>
        <v>0.25802570662720892</v>
      </c>
      <c r="P259" s="8">
        <f t="shared" si="29"/>
        <v>-8.4476366577501487</v>
      </c>
    </row>
    <row r="260" spans="1:16" x14ac:dyDescent="0.2">
      <c r="A260" s="8">
        <v>129</v>
      </c>
      <c r="B260" s="8">
        <v>258</v>
      </c>
      <c r="D260">
        <v>3612.9202551834001</v>
      </c>
      <c r="E260">
        <v>755.13636363635999</v>
      </c>
      <c r="F260">
        <v>141.05689102564</v>
      </c>
      <c r="G260">
        <v>117.44551282051</v>
      </c>
      <c r="I260" s="9">
        <f t="shared" si="26"/>
        <v>637.69085081585001</v>
      </c>
      <c r="J260" s="9">
        <f t="shared" si="27"/>
        <v>3471.8633641577599</v>
      </c>
      <c r="K260" s="9">
        <f t="shared" si="31"/>
        <v>637.69085081585001</v>
      </c>
      <c r="L260" s="10">
        <f t="shared" si="30"/>
        <v>0.18367394794367076</v>
      </c>
      <c r="M260" s="10">
        <f t="shared" si="28"/>
        <v>0.25694463719533295</v>
      </c>
      <c r="P260" s="8">
        <f t="shared" si="29"/>
        <v>-8.8312203817095014</v>
      </c>
    </row>
    <row r="261" spans="1:16" x14ac:dyDescent="0.2">
      <c r="A261" s="8">
        <v>129.5</v>
      </c>
      <c r="B261" s="8">
        <v>259</v>
      </c>
      <c r="D261">
        <v>3683.8086124401998</v>
      </c>
      <c r="E261">
        <v>783.06220095694005</v>
      </c>
      <c r="F261">
        <v>141.62980769231001</v>
      </c>
      <c r="G261">
        <v>117.85737179487001</v>
      </c>
      <c r="I261" s="9">
        <f t="shared" si="26"/>
        <v>665.20482916207004</v>
      </c>
      <c r="J261" s="9">
        <f t="shared" si="27"/>
        <v>3542.1788047478899</v>
      </c>
      <c r="K261" s="9">
        <f t="shared" si="31"/>
        <v>665.20482916207004</v>
      </c>
      <c r="L261" s="10">
        <f t="shared" si="30"/>
        <v>0.18779538409253599</v>
      </c>
      <c r="M261" s="10">
        <f t="shared" si="28"/>
        <v>0.26135006826377827</v>
      </c>
      <c r="P261" s="8">
        <f t="shared" si="29"/>
        <v>-7.2680907574187605</v>
      </c>
    </row>
    <row r="262" spans="1:16" x14ac:dyDescent="0.2">
      <c r="A262" s="8">
        <v>130</v>
      </c>
      <c r="B262" s="8">
        <v>260</v>
      </c>
      <c r="D262">
        <v>3742.4302884614999</v>
      </c>
      <c r="E262">
        <v>792.18349358974001</v>
      </c>
      <c r="F262">
        <v>142.06169871795001</v>
      </c>
      <c r="G262">
        <v>117.04807692308</v>
      </c>
      <c r="I262" s="9">
        <f t="shared" si="26"/>
        <v>675.13541666666003</v>
      </c>
      <c r="J262" s="9">
        <f t="shared" si="27"/>
        <v>3600.3685897435498</v>
      </c>
      <c r="K262" s="9">
        <f t="shared" si="31"/>
        <v>675.13541666666003</v>
      </c>
      <c r="L262" s="10">
        <f t="shared" si="30"/>
        <v>0.18751841647267264</v>
      </c>
      <c r="M262" s="10">
        <f t="shared" si="28"/>
        <v>0.26135709556349501</v>
      </c>
      <c r="P262" s="8">
        <f t="shared" si="29"/>
        <v>-7.2655973395907774</v>
      </c>
    </row>
    <row r="263" spans="1:16" x14ac:dyDescent="0.2">
      <c r="A263" s="8">
        <v>130.5</v>
      </c>
      <c r="B263" s="8">
        <v>261</v>
      </c>
      <c r="D263">
        <v>3645.3918918918998</v>
      </c>
      <c r="E263">
        <v>784.86089030206995</v>
      </c>
      <c r="F263">
        <v>141.02644230768999</v>
      </c>
      <c r="G263">
        <v>117.41907051282</v>
      </c>
      <c r="I263" s="9">
        <f t="shared" si="26"/>
        <v>667.44181978924996</v>
      </c>
      <c r="J263" s="9">
        <f t="shared" si="27"/>
        <v>3504.3654495842097</v>
      </c>
      <c r="K263" s="9">
        <f t="shared" si="31"/>
        <v>667.44181978924996</v>
      </c>
      <c r="L263" s="10">
        <f t="shared" si="30"/>
        <v>0.19046010736935026</v>
      </c>
      <c r="M263" s="10">
        <f t="shared" si="28"/>
        <v>0.26458278137975272</v>
      </c>
      <c r="P263" s="8">
        <f t="shared" si="29"/>
        <v>-6.1210634722554609</v>
      </c>
    </row>
    <row r="264" spans="1:16" x14ac:dyDescent="0.2">
      <c r="A264" s="8">
        <v>131</v>
      </c>
      <c r="B264" s="8">
        <v>262</v>
      </c>
      <c r="D264">
        <v>3660.1542130366001</v>
      </c>
      <c r="E264">
        <v>819.40858505563995</v>
      </c>
      <c r="F264">
        <v>140.93509615385</v>
      </c>
      <c r="G264">
        <v>117.67788461539</v>
      </c>
      <c r="I264" s="9">
        <f t="shared" si="26"/>
        <v>701.73070044024996</v>
      </c>
      <c r="J264" s="9">
        <f t="shared" si="27"/>
        <v>3519.2191168827503</v>
      </c>
      <c r="K264" s="9">
        <f t="shared" si="31"/>
        <v>701.73070044024996</v>
      </c>
      <c r="L264" s="10">
        <f t="shared" si="30"/>
        <v>0.19939954777860724</v>
      </c>
      <c r="M264" s="10">
        <f t="shared" si="28"/>
        <v>0.27380621670858979</v>
      </c>
      <c r="P264" s="8">
        <f t="shared" si="29"/>
        <v>-2.8484155119905976</v>
      </c>
    </row>
    <row r="265" spans="1:16" x14ac:dyDescent="0.2">
      <c r="A265" s="8">
        <v>131.5</v>
      </c>
      <c r="B265" s="8">
        <v>263</v>
      </c>
      <c r="D265">
        <v>3645.8521462639001</v>
      </c>
      <c r="E265">
        <v>817.76709062002999</v>
      </c>
      <c r="F265">
        <v>141.05929487180001</v>
      </c>
      <c r="G265">
        <v>117.14022435897</v>
      </c>
      <c r="I265" s="9">
        <f t="shared" si="26"/>
        <v>700.62686626105994</v>
      </c>
      <c r="J265" s="9">
        <f t="shared" si="27"/>
        <v>3504.7928513921001</v>
      </c>
      <c r="K265" s="9">
        <f t="shared" si="31"/>
        <v>700.62686626105994</v>
      </c>
      <c r="L265" s="10">
        <f t="shared" si="30"/>
        <v>0.19990535702638507</v>
      </c>
      <c r="M265" s="10">
        <f t="shared" si="28"/>
        <v>0.2745960208759477</v>
      </c>
      <c r="P265" s="8">
        <f t="shared" si="29"/>
        <v>-2.5681781703537641</v>
      </c>
    </row>
    <row r="266" spans="1:16" x14ac:dyDescent="0.2">
      <c r="A266" s="8">
        <v>132</v>
      </c>
      <c r="B266" s="8">
        <v>264</v>
      </c>
      <c r="D266">
        <v>3653.7201907789999</v>
      </c>
      <c r="E266">
        <v>809.38076311606005</v>
      </c>
      <c r="F266">
        <v>140.63060897436</v>
      </c>
      <c r="G266">
        <v>117.53926282051</v>
      </c>
      <c r="I266" s="9">
        <f t="shared" si="26"/>
        <v>691.84150029555008</v>
      </c>
      <c r="J266" s="9">
        <f t="shared" si="27"/>
        <v>3513.0895818046401</v>
      </c>
      <c r="K266" s="9">
        <f t="shared" si="31"/>
        <v>691.84150029555008</v>
      </c>
      <c r="L266" s="10">
        <f t="shared" si="30"/>
        <v>0.19693249607946456</v>
      </c>
      <c r="M266" s="10">
        <f t="shared" si="28"/>
        <v>0.27190715484860728</v>
      </c>
      <c r="P266" s="8">
        <f t="shared" si="29"/>
        <v>-3.5222383015381622</v>
      </c>
    </row>
    <row r="267" spans="1:16" x14ac:dyDescent="0.2">
      <c r="A267" s="8">
        <v>132.5</v>
      </c>
      <c r="B267" s="8">
        <v>265</v>
      </c>
      <c r="D267">
        <v>3591.0953895071998</v>
      </c>
      <c r="E267">
        <v>795.60651828299001</v>
      </c>
      <c r="F267">
        <v>140.96073717949</v>
      </c>
      <c r="G267">
        <v>117.39262820512999</v>
      </c>
      <c r="I267" s="9">
        <f t="shared" si="26"/>
        <v>678.21389007786001</v>
      </c>
      <c r="J267" s="9">
        <f t="shared" si="27"/>
        <v>3450.1346523277098</v>
      </c>
      <c r="K267" s="9">
        <f t="shared" si="31"/>
        <v>678.21389007786001</v>
      </c>
      <c r="L267" s="10">
        <f t="shared" si="30"/>
        <v>0.19657606395747135</v>
      </c>
      <c r="M267" s="10">
        <f t="shared" si="28"/>
        <v>0.27183471764619416</v>
      </c>
      <c r="P267" s="8">
        <f t="shared" si="29"/>
        <v>-3.5479403804570033</v>
      </c>
    </row>
    <row r="268" spans="1:16" x14ac:dyDescent="0.2">
      <c r="A268" s="8">
        <v>133</v>
      </c>
      <c r="B268" s="8">
        <v>266</v>
      </c>
      <c r="D268">
        <v>3601.0158730159001</v>
      </c>
      <c r="E268">
        <v>786.04444444444005</v>
      </c>
      <c r="F268">
        <v>141.06169871795001</v>
      </c>
      <c r="G268">
        <v>117.36618589744</v>
      </c>
      <c r="I268" s="9">
        <f t="shared" si="26"/>
        <v>668.67825854700004</v>
      </c>
      <c r="J268" s="9">
        <f t="shared" si="27"/>
        <v>3459.95417429795</v>
      </c>
      <c r="K268" s="9">
        <f t="shared" si="31"/>
        <v>668.67825854700004</v>
      </c>
      <c r="L268" s="10">
        <f t="shared" si="30"/>
        <v>0.19326217194269046</v>
      </c>
      <c r="M268" s="10">
        <f t="shared" si="28"/>
        <v>0.26880482055099331</v>
      </c>
      <c r="P268" s="8">
        <f t="shared" si="29"/>
        <v>-4.6230047349952512</v>
      </c>
    </row>
    <row r="269" spans="1:16" x14ac:dyDescent="0.2">
      <c r="A269" s="8">
        <v>133.5</v>
      </c>
      <c r="B269" s="8">
        <v>267</v>
      </c>
      <c r="D269">
        <v>3330.8107255520999</v>
      </c>
      <c r="E269">
        <v>736.78706624606002</v>
      </c>
      <c r="F269">
        <v>141.05929487180001</v>
      </c>
      <c r="G269">
        <v>117.48157051282</v>
      </c>
      <c r="I269" s="9">
        <f t="shared" si="26"/>
        <v>619.30549573324004</v>
      </c>
      <c r="J269" s="9">
        <f t="shared" si="27"/>
        <v>3189.7514306803</v>
      </c>
      <c r="K269" s="9">
        <f t="shared" si="31"/>
        <v>619.30549573324004</v>
      </c>
      <c r="L269" s="10">
        <f t="shared" si="30"/>
        <v>0.19415478265062069</v>
      </c>
      <c r="M269" s="10">
        <f t="shared" si="28"/>
        <v>0.26998142617850363</v>
      </c>
      <c r="P269" s="8">
        <f t="shared" si="29"/>
        <v>-4.2055229757998625</v>
      </c>
    </row>
    <row r="270" spans="1:16" x14ac:dyDescent="0.2">
      <c r="A270" s="8">
        <v>134</v>
      </c>
      <c r="B270" s="8">
        <v>268</v>
      </c>
      <c r="D270">
        <v>3370.1151079136998</v>
      </c>
      <c r="E270">
        <v>743.07114308553003</v>
      </c>
      <c r="F270">
        <v>141.07051282051</v>
      </c>
      <c r="G270">
        <v>117.33333333333</v>
      </c>
      <c r="I270" s="9">
        <f t="shared" si="26"/>
        <v>625.73780975220006</v>
      </c>
      <c r="J270" s="9">
        <f t="shared" si="27"/>
        <v>3229.0445950931899</v>
      </c>
      <c r="K270" s="9">
        <f t="shared" si="31"/>
        <v>625.73780975220006</v>
      </c>
      <c r="L270" s="10">
        <f t="shared" si="30"/>
        <v>0.19378419570391264</v>
      </c>
      <c r="M270" s="10">
        <f t="shared" si="28"/>
        <v>0.26989483415137572</v>
      </c>
      <c r="P270" s="8">
        <f t="shared" si="29"/>
        <v>-4.2362474521855038</v>
      </c>
    </row>
    <row r="271" spans="1:16" x14ac:dyDescent="0.2">
      <c r="A271" s="8">
        <v>134.5</v>
      </c>
      <c r="B271" s="8">
        <v>269</v>
      </c>
      <c r="D271">
        <v>3439.5775100402002</v>
      </c>
      <c r="E271">
        <v>770.03694779116995</v>
      </c>
      <c r="F271">
        <v>140.96634615385</v>
      </c>
      <c r="G271">
        <v>117.48237179487001</v>
      </c>
      <c r="I271" s="9">
        <f t="shared" si="26"/>
        <v>652.55457599629995</v>
      </c>
      <c r="J271" s="9">
        <f t="shared" si="27"/>
        <v>3298.6111638863504</v>
      </c>
      <c r="K271" s="9">
        <f t="shared" si="31"/>
        <v>652.55457599629995</v>
      </c>
      <c r="L271" s="10">
        <f t="shared" si="30"/>
        <v>0.19782706829485008</v>
      </c>
      <c r="M271" s="10">
        <f t="shared" si="28"/>
        <v>0.27422170166189319</v>
      </c>
      <c r="P271" s="8">
        <f t="shared" si="29"/>
        <v>-2.7009936527297751</v>
      </c>
    </row>
    <row r="272" spans="1:16" x14ac:dyDescent="0.2">
      <c r="A272" s="8">
        <v>135</v>
      </c>
      <c r="B272" s="8">
        <v>270</v>
      </c>
      <c r="D272">
        <v>3382.6851405623001</v>
      </c>
      <c r="E272">
        <v>764.49397590361002</v>
      </c>
      <c r="F272">
        <v>141.15945512821</v>
      </c>
      <c r="G272">
        <v>117.09054487180001</v>
      </c>
      <c r="I272" s="9">
        <f t="shared" si="26"/>
        <v>647.40343103180999</v>
      </c>
      <c r="J272" s="9">
        <f t="shared" si="27"/>
        <v>3241.5256854340901</v>
      </c>
      <c r="K272" s="9">
        <f t="shared" si="31"/>
        <v>647.40343103180999</v>
      </c>
      <c r="L272" s="10">
        <f t="shared" si="30"/>
        <v>0.19972182665124022</v>
      </c>
      <c r="M272" s="10">
        <f t="shared" si="28"/>
        <v>0.27640045493786347</v>
      </c>
      <c r="P272" s="8">
        <f t="shared" si="29"/>
        <v>-1.9279310995364254</v>
      </c>
    </row>
    <row r="273" spans="1:16" x14ac:dyDescent="0.2">
      <c r="A273" s="8">
        <v>135.5</v>
      </c>
      <c r="B273" s="8">
        <v>271</v>
      </c>
      <c r="D273">
        <v>3470.3762057877998</v>
      </c>
      <c r="E273">
        <v>775.65032154340997</v>
      </c>
      <c r="F273">
        <v>140.68910256410001</v>
      </c>
      <c r="G273">
        <v>117.5641025641</v>
      </c>
      <c r="I273" s="9">
        <f t="shared" si="26"/>
        <v>658.08621897930993</v>
      </c>
      <c r="J273" s="9">
        <f t="shared" si="27"/>
        <v>3329.6871032237</v>
      </c>
      <c r="K273" s="9">
        <f t="shared" si="31"/>
        <v>658.08621897930993</v>
      </c>
      <c r="L273" s="10">
        <f t="shared" si="30"/>
        <v>0.19764206022306757</v>
      </c>
      <c r="M273" s="10">
        <f t="shared" si="28"/>
        <v>0.27460468342927086</v>
      </c>
      <c r="P273" s="8">
        <f t="shared" si="29"/>
        <v>-2.5651045338557577</v>
      </c>
    </row>
    <row r="274" spans="1:16" x14ac:dyDescent="0.2">
      <c r="A274" s="8">
        <v>136</v>
      </c>
      <c r="B274" s="8">
        <v>272</v>
      </c>
      <c r="D274">
        <v>3505.4372990354</v>
      </c>
      <c r="E274">
        <v>773.33842443729998</v>
      </c>
      <c r="F274">
        <v>140.83012820512999</v>
      </c>
      <c r="G274">
        <v>117.26923076923001</v>
      </c>
      <c r="I274" s="9">
        <f t="shared" si="26"/>
        <v>656.06919366806994</v>
      </c>
      <c r="J274" s="9">
        <f t="shared" si="27"/>
        <v>3364.6071708302698</v>
      </c>
      <c r="K274" s="9">
        <f t="shared" si="31"/>
        <v>656.06919366806994</v>
      </c>
      <c r="L274" s="10">
        <f t="shared" si="30"/>
        <v>0.19499132004351477</v>
      </c>
      <c r="M274" s="10">
        <f t="shared" si="28"/>
        <v>0.27223793816929814</v>
      </c>
      <c r="P274" s="8">
        <f t="shared" si="29"/>
        <v>-3.4048701712099714</v>
      </c>
    </row>
    <row r="275" spans="1:16" x14ac:dyDescent="0.2">
      <c r="A275" s="8">
        <v>136.5</v>
      </c>
      <c r="B275" s="8">
        <v>273</v>
      </c>
      <c r="D275">
        <v>3502.2644694534001</v>
      </c>
      <c r="E275">
        <v>764.25643086817001</v>
      </c>
      <c r="F275">
        <v>141.22676282051</v>
      </c>
      <c r="G275">
        <v>117.30528846154</v>
      </c>
      <c r="I275" s="9">
        <f>E275-G275</f>
        <v>646.95114240662997</v>
      </c>
      <c r="J275" s="9">
        <f>D275-F275</f>
        <v>3361.0377066328901</v>
      </c>
      <c r="K275" s="9">
        <f t="shared" si="31"/>
        <v>646.95114240662997</v>
      </c>
      <c r="L275" s="10">
        <f t="shared" si="30"/>
        <v>0.192485535383877</v>
      </c>
      <c r="M275" s="10">
        <f>L275+ABS($N$2)*A275</f>
        <v>0.27001614842924049</v>
      </c>
      <c r="O275" s="11"/>
      <c r="P275" s="8">
        <f>(M275-$O$2)/$O$2*100</f>
        <v>-4.1932028695706229</v>
      </c>
    </row>
    <row r="276" spans="1:16" x14ac:dyDescent="0.2">
      <c r="A276" s="8">
        <v>137</v>
      </c>
      <c r="B276" s="8">
        <v>274</v>
      </c>
      <c r="D276">
        <v>3502.3328050712998</v>
      </c>
      <c r="E276">
        <v>758.88114104596002</v>
      </c>
      <c r="F276">
        <v>140.59775641025999</v>
      </c>
      <c r="G276">
        <v>117.23076923076999</v>
      </c>
      <c r="I276" s="9">
        <f t="shared" ref="I276:I291" si="32">E276-G276</f>
        <v>641.65037181519006</v>
      </c>
      <c r="J276" s="9">
        <f t="shared" ref="J276:J291" si="33">D276-F276</f>
        <v>3361.7350486610399</v>
      </c>
      <c r="K276" s="9">
        <f t="shared" si="31"/>
        <v>641.65037181519006</v>
      </c>
      <c r="L276" s="10">
        <f t="shared" si="30"/>
        <v>0.19086881105361228</v>
      </c>
      <c r="M276" s="10">
        <f t="shared" ref="M276:M291" si="34">L276+ABS($N$2)*A276</f>
        <v>0.26868341901855586</v>
      </c>
      <c r="P276" s="8">
        <f t="shared" ref="P276:P291" si="35">(M276-$O$2)/$O$2*100</f>
        <v>-4.6660802771701153</v>
      </c>
    </row>
    <row r="277" spans="1:16" x14ac:dyDescent="0.2">
      <c r="A277" s="8">
        <v>137.5</v>
      </c>
      <c r="B277" s="8">
        <v>275</v>
      </c>
      <c r="D277">
        <v>3497.7511885895001</v>
      </c>
      <c r="E277">
        <v>747.23375594294998</v>
      </c>
      <c r="F277">
        <v>140.39743589744</v>
      </c>
      <c r="G277">
        <v>117.67307692308</v>
      </c>
      <c r="I277" s="9">
        <f t="shared" si="32"/>
        <v>629.56067901987001</v>
      </c>
      <c r="J277" s="9">
        <f t="shared" si="33"/>
        <v>3357.35375269206</v>
      </c>
      <c r="K277" s="9">
        <f t="shared" si="31"/>
        <v>629.56067901987001</v>
      </c>
      <c r="L277" s="10">
        <f t="shared" si="30"/>
        <v>0.1875169330950196</v>
      </c>
      <c r="M277" s="10">
        <f t="shared" si="34"/>
        <v>0.26561553597954324</v>
      </c>
      <c r="N277" s="1"/>
      <c r="P277" s="8">
        <f t="shared" si="35"/>
        <v>-5.7546227574936282</v>
      </c>
    </row>
    <row r="278" spans="1:16" x14ac:dyDescent="0.2">
      <c r="A278" s="8">
        <v>138</v>
      </c>
      <c r="B278" s="8">
        <v>276</v>
      </c>
      <c r="D278">
        <v>3559.2989608313001</v>
      </c>
      <c r="E278">
        <v>756.35251798561001</v>
      </c>
      <c r="F278">
        <v>140.82612179487001</v>
      </c>
      <c r="G278">
        <v>117.43429487180001</v>
      </c>
      <c r="I278" s="9">
        <f t="shared" si="32"/>
        <v>638.91822311380997</v>
      </c>
      <c r="J278" s="9">
        <f t="shared" si="33"/>
        <v>3418.4728390364298</v>
      </c>
      <c r="K278" s="9">
        <f t="shared" si="31"/>
        <v>638.91822311380997</v>
      </c>
      <c r="L278" s="10">
        <f t="shared" si="30"/>
        <v>0.18690165263793723</v>
      </c>
      <c r="M278" s="10">
        <f t="shared" si="34"/>
        <v>0.26528425044204096</v>
      </c>
      <c r="P278" s="8">
        <f t="shared" si="35"/>
        <v>-5.872169083772123</v>
      </c>
    </row>
    <row r="279" spans="1:16" x14ac:dyDescent="0.2">
      <c r="A279" s="8">
        <v>138.5</v>
      </c>
      <c r="B279" s="8">
        <v>277</v>
      </c>
      <c r="D279">
        <v>3520.9968025580001</v>
      </c>
      <c r="E279">
        <v>749.46762589928005</v>
      </c>
      <c r="F279">
        <v>140.83173076923001</v>
      </c>
      <c r="G279">
        <v>117.17708333333</v>
      </c>
      <c r="I279" s="9">
        <f t="shared" si="32"/>
        <v>632.29054256595009</v>
      </c>
      <c r="J279" s="9">
        <f t="shared" si="33"/>
        <v>3380.1650717887701</v>
      </c>
      <c r="K279" s="9">
        <f t="shared" si="31"/>
        <v>632.29054256595009</v>
      </c>
      <c r="L279" s="10">
        <f t="shared" si="30"/>
        <v>0.1870590723048163</v>
      </c>
      <c r="M279" s="10">
        <f t="shared" si="34"/>
        <v>0.26572566502850015</v>
      </c>
      <c r="P279" s="8">
        <f t="shared" si="35"/>
        <v>-5.715546904019825</v>
      </c>
    </row>
    <row r="280" spans="1:16" x14ac:dyDescent="0.2">
      <c r="A280" s="8">
        <v>139</v>
      </c>
      <c r="B280" s="8">
        <v>278</v>
      </c>
      <c r="D280">
        <v>3478.8776978417</v>
      </c>
      <c r="E280">
        <v>736.71462829736004</v>
      </c>
      <c r="F280">
        <v>140.98397435896999</v>
      </c>
      <c r="G280">
        <v>117.42868589744</v>
      </c>
      <c r="I280" s="9">
        <f t="shared" si="32"/>
        <v>619.28594239992003</v>
      </c>
      <c r="J280" s="9">
        <f t="shared" si="33"/>
        <v>3337.8937234827299</v>
      </c>
      <c r="K280" s="9">
        <f t="shared" si="31"/>
        <v>619.28594239992003</v>
      </c>
      <c r="L280" s="10">
        <f t="shared" si="30"/>
        <v>0.18553195329231822</v>
      </c>
      <c r="M280" s="10">
        <f t="shared" si="34"/>
        <v>0.2644825409355821</v>
      </c>
      <c r="P280" s="8">
        <f t="shared" si="35"/>
        <v>-6.1566306631615833</v>
      </c>
    </row>
    <row r="281" spans="1:16" x14ac:dyDescent="0.2">
      <c r="A281" s="8">
        <v>139.5</v>
      </c>
      <c r="B281" s="8">
        <v>279</v>
      </c>
      <c r="D281">
        <v>3530.5242255758999</v>
      </c>
      <c r="E281">
        <v>745.30262112788</v>
      </c>
      <c r="F281">
        <v>140.85576923076999</v>
      </c>
      <c r="G281">
        <v>117.37820512821</v>
      </c>
      <c r="I281" s="9">
        <f t="shared" si="32"/>
        <v>627.92441599967003</v>
      </c>
      <c r="J281" s="9">
        <f t="shared" si="33"/>
        <v>3389.6684563451299</v>
      </c>
      <c r="K281" s="9">
        <f t="shared" si="31"/>
        <v>627.92441599967003</v>
      </c>
      <c r="L281" s="10">
        <f t="shared" si="30"/>
        <v>0.18524655850168961</v>
      </c>
      <c r="M281" s="10">
        <f t="shared" si="34"/>
        <v>0.26448114106453358</v>
      </c>
      <c r="P281" s="8">
        <f t="shared" si="35"/>
        <v>-6.1571273636824033</v>
      </c>
    </row>
    <row r="282" spans="1:16" x14ac:dyDescent="0.2">
      <c r="A282" s="8">
        <v>140</v>
      </c>
      <c r="B282" s="8">
        <v>280</v>
      </c>
      <c r="D282">
        <v>3385.5663224782002</v>
      </c>
      <c r="E282">
        <v>700.90627482129003</v>
      </c>
      <c r="F282">
        <v>140.60817307692</v>
      </c>
      <c r="G282">
        <v>117.38621794872</v>
      </c>
      <c r="I282" s="9">
        <f t="shared" si="32"/>
        <v>583.52005687256997</v>
      </c>
      <c r="J282" s="9">
        <f t="shared" si="33"/>
        <v>3244.95814940128</v>
      </c>
      <c r="K282" s="9">
        <f t="shared" si="31"/>
        <v>583.52005687256997</v>
      </c>
      <c r="L282" s="10">
        <f t="shared" si="30"/>
        <v>0.1798236001842532</v>
      </c>
      <c r="M282" s="10">
        <f t="shared" si="34"/>
        <v>0.25934217766667728</v>
      </c>
      <c r="P282" s="8">
        <f t="shared" si="35"/>
        <v>-7.9805280253955804</v>
      </c>
    </row>
    <row r="283" spans="1:16" x14ac:dyDescent="0.2">
      <c r="A283" s="8">
        <v>140.5</v>
      </c>
      <c r="B283" s="8">
        <v>281</v>
      </c>
      <c r="D283">
        <v>3355.4265289913001</v>
      </c>
      <c r="E283">
        <v>685.89436060364994</v>
      </c>
      <c r="F283">
        <v>140.65464743589999</v>
      </c>
      <c r="G283">
        <v>117.02323717949</v>
      </c>
      <c r="I283" s="9">
        <f t="shared" si="32"/>
        <v>568.87112342415992</v>
      </c>
      <c r="J283" s="9">
        <f t="shared" si="33"/>
        <v>3214.7718815553999</v>
      </c>
      <c r="K283" s="9">
        <f t="shared" si="31"/>
        <v>568.87112342415992</v>
      </c>
      <c r="L283" s="10">
        <f t="shared" si="30"/>
        <v>0.17695536242805618</v>
      </c>
      <c r="M283" s="10">
        <f t="shared" si="34"/>
        <v>0.25675793483006037</v>
      </c>
      <c r="P283" s="8">
        <f t="shared" si="35"/>
        <v>-8.8974658849414254</v>
      </c>
    </row>
    <row r="284" spans="1:16" x14ac:dyDescent="0.2">
      <c r="A284" s="8">
        <v>141</v>
      </c>
      <c r="B284" s="8">
        <v>282</v>
      </c>
      <c r="D284">
        <v>3534.1847739888999</v>
      </c>
      <c r="E284">
        <v>718.89770023791004</v>
      </c>
      <c r="F284">
        <v>141.00240384615</v>
      </c>
      <c r="G284">
        <v>116.91025641026</v>
      </c>
      <c r="I284" s="9">
        <f t="shared" si="32"/>
        <v>601.98744382765005</v>
      </c>
      <c r="J284" s="9">
        <f t="shared" si="33"/>
        <v>3393.1823701427497</v>
      </c>
      <c r="K284" s="9">
        <f t="shared" si="31"/>
        <v>601.98744382765005</v>
      </c>
      <c r="L284" s="10">
        <f t="shared" si="30"/>
        <v>0.17741087220205165</v>
      </c>
      <c r="M284" s="10">
        <f t="shared" si="34"/>
        <v>0.25749743952363591</v>
      </c>
      <c r="P284" s="8">
        <f t="shared" si="35"/>
        <v>-8.6350757406239715</v>
      </c>
    </row>
    <row r="285" spans="1:16" x14ac:dyDescent="0.2">
      <c r="A285" s="8">
        <v>141.5</v>
      </c>
      <c r="B285" s="8">
        <v>283</v>
      </c>
      <c r="D285">
        <v>3595.3681672026</v>
      </c>
      <c r="E285">
        <v>733.88745980706994</v>
      </c>
      <c r="F285">
        <v>140.62259615385</v>
      </c>
      <c r="G285">
        <v>117.54887820512999</v>
      </c>
      <c r="I285" s="9">
        <f t="shared" si="32"/>
        <v>616.33858160193995</v>
      </c>
      <c r="J285" s="9">
        <f t="shared" si="33"/>
        <v>3454.7455710487502</v>
      </c>
      <c r="K285" s="9">
        <f t="shared" si="31"/>
        <v>616.33858160193995</v>
      </c>
      <c r="L285" s="10">
        <f t="shared" si="30"/>
        <v>0.17840346529913614</v>
      </c>
      <c r="M285" s="10">
        <f t="shared" si="34"/>
        <v>0.25877402754030049</v>
      </c>
      <c r="P285" s="8">
        <f t="shared" si="35"/>
        <v>-8.1821183532854427</v>
      </c>
    </row>
    <row r="286" spans="1:16" x14ac:dyDescent="0.2">
      <c r="A286" s="8">
        <v>142</v>
      </c>
      <c r="B286" s="8">
        <v>284</v>
      </c>
      <c r="D286">
        <v>3583.5864541832998</v>
      </c>
      <c r="E286">
        <v>731.35697211155002</v>
      </c>
      <c r="F286">
        <v>140.47676282051</v>
      </c>
      <c r="G286">
        <v>117.40945512821</v>
      </c>
      <c r="I286" s="9">
        <f t="shared" si="32"/>
        <v>613.94751698334005</v>
      </c>
      <c r="J286" s="9">
        <f t="shared" si="33"/>
        <v>3443.1096913627898</v>
      </c>
      <c r="K286" s="9">
        <f t="shared" si="31"/>
        <v>613.94751698334005</v>
      </c>
      <c r="L286" s="10">
        <f t="shared" si="30"/>
        <v>0.17831192497975235</v>
      </c>
      <c r="M286" s="10">
        <f t="shared" si="34"/>
        <v>0.25896648214049678</v>
      </c>
      <c r="P286" s="8">
        <f t="shared" si="35"/>
        <v>-8.1138318491445407</v>
      </c>
    </row>
    <row r="287" spans="1:16" x14ac:dyDescent="0.2">
      <c r="A287" s="8">
        <v>142.5</v>
      </c>
      <c r="B287" s="8">
        <v>285</v>
      </c>
      <c r="D287">
        <v>3596.4903381642998</v>
      </c>
      <c r="E287">
        <v>740.67149758454002</v>
      </c>
      <c r="F287">
        <v>140.46394230768999</v>
      </c>
      <c r="G287">
        <v>117.52483974358999</v>
      </c>
      <c r="I287" s="9">
        <f t="shared" si="32"/>
        <v>623.14665784095007</v>
      </c>
      <c r="J287" s="9">
        <f t="shared" si="33"/>
        <v>3456.0263958566097</v>
      </c>
      <c r="K287" s="9">
        <f t="shared" si="31"/>
        <v>623.14665784095007</v>
      </c>
      <c r="L287" s="10">
        <f t="shared" si="30"/>
        <v>0.18030726229059865</v>
      </c>
      <c r="M287" s="10">
        <f t="shared" si="34"/>
        <v>0.26124581437092315</v>
      </c>
      <c r="P287" s="8">
        <f t="shared" si="35"/>
        <v>-7.3050819952426185</v>
      </c>
    </row>
    <row r="288" spans="1:16" x14ac:dyDescent="0.2">
      <c r="A288" s="8">
        <v>143</v>
      </c>
      <c r="B288" s="8">
        <v>286</v>
      </c>
      <c r="D288">
        <v>3659.7037037036998</v>
      </c>
      <c r="E288">
        <v>754.14170692432003</v>
      </c>
      <c r="F288">
        <v>140.25080128204999</v>
      </c>
      <c r="G288">
        <v>117.33253205128</v>
      </c>
      <c r="I288" s="9">
        <f t="shared" si="32"/>
        <v>636.80917487304009</v>
      </c>
      <c r="J288" s="9">
        <f t="shared" si="33"/>
        <v>3519.4529024216499</v>
      </c>
      <c r="K288" s="9">
        <f t="shared" si="31"/>
        <v>636.80917487304009</v>
      </c>
      <c r="L288" s="10">
        <f t="shared" si="30"/>
        <v>0.18093982005977896</v>
      </c>
      <c r="M288" s="10">
        <f t="shared" si="34"/>
        <v>0.26216236705968354</v>
      </c>
      <c r="P288" s="8">
        <f t="shared" si="35"/>
        <v>-6.9798718993937454</v>
      </c>
    </row>
    <row r="289" spans="1:16" x14ac:dyDescent="0.2">
      <c r="A289" s="8">
        <v>143.5</v>
      </c>
      <c r="B289" s="8">
        <v>287</v>
      </c>
      <c r="D289">
        <v>3655.8777955271999</v>
      </c>
      <c r="E289">
        <v>748.35463258786001</v>
      </c>
      <c r="F289">
        <v>140.62019230768999</v>
      </c>
      <c r="G289">
        <v>116.74679487180001</v>
      </c>
      <c r="I289" s="9">
        <f t="shared" si="32"/>
        <v>631.60783771605998</v>
      </c>
      <c r="J289" s="9">
        <f t="shared" si="33"/>
        <v>3515.2576032195097</v>
      </c>
      <c r="K289" s="9">
        <f t="shared" si="31"/>
        <v>631.60783771605998</v>
      </c>
      <c r="L289" s="10">
        <f t="shared" si="30"/>
        <v>0.17967611737404138</v>
      </c>
      <c r="M289" s="10">
        <f t="shared" si="34"/>
        <v>0.26118265929352608</v>
      </c>
      <c r="P289" s="8">
        <f t="shared" si="35"/>
        <v>-7.3274906019986821</v>
      </c>
    </row>
    <row r="290" spans="1:16" x14ac:dyDescent="0.2">
      <c r="A290" s="8">
        <v>144</v>
      </c>
      <c r="B290" s="8">
        <v>288</v>
      </c>
      <c r="D290">
        <v>3526.3457869633999</v>
      </c>
      <c r="E290">
        <v>730.56200317964999</v>
      </c>
      <c r="F290">
        <v>140.72435897436</v>
      </c>
      <c r="G290">
        <v>117.50721153846</v>
      </c>
      <c r="I290" s="9">
        <f t="shared" si="32"/>
        <v>613.05479164119004</v>
      </c>
      <c r="J290" s="9">
        <f t="shared" si="33"/>
        <v>3385.6214279890401</v>
      </c>
      <c r="K290" s="9">
        <f t="shared" si="31"/>
        <v>613.05479164119004</v>
      </c>
      <c r="L290" s="10">
        <f t="shared" si="30"/>
        <v>0.1810760017564417</v>
      </c>
      <c r="M290" s="10">
        <f t="shared" si="34"/>
        <v>0.26286653859550646</v>
      </c>
      <c r="P290" s="8">
        <f t="shared" si="35"/>
        <v>-6.7300186225802348</v>
      </c>
    </row>
    <row r="291" spans="1:16" x14ac:dyDescent="0.2">
      <c r="A291" s="8">
        <v>144.5</v>
      </c>
      <c r="B291" s="8">
        <v>289</v>
      </c>
      <c r="D291">
        <v>3332.3195548489998</v>
      </c>
      <c r="E291">
        <v>706.34976152623005</v>
      </c>
      <c r="F291">
        <v>140.94471153846001</v>
      </c>
      <c r="G291">
        <v>117.12740384615</v>
      </c>
      <c r="I291" s="9">
        <f t="shared" si="32"/>
        <v>589.22235768007999</v>
      </c>
      <c r="J291" s="9">
        <f t="shared" si="33"/>
        <v>3191.3748433105397</v>
      </c>
      <c r="K291" s="9">
        <f t="shared" si="31"/>
        <v>589.22235768007999</v>
      </c>
      <c r="L291" s="10">
        <f t="shared" si="30"/>
        <v>0.18462963036609523</v>
      </c>
      <c r="M291" s="10">
        <f t="shared" si="34"/>
        <v>0.26670416212474007</v>
      </c>
      <c r="P291" s="8">
        <f t="shared" si="35"/>
        <v>-5.368357769823505</v>
      </c>
    </row>
    <row r="292" spans="1:16" x14ac:dyDescent="0.2">
      <c r="A292" s="8">
        <v>145</v>
      </c>
      <c r="B292" s="8">
        <v>290</v>
      </c>
      <c r="D292">
        <v>3344.3834526650999</v>
      </c>
      <c r="E292">
        <v>735.01352426411995</v>
      </c>
      <c r="F292">
        <v>140.56650641025999</v>
      </c>
      <c r="G292">
        <v>117.02003205128</v>
      </c>
      <c r="I292" s="9">
        <f>E292-G292</f>
        <v>617.99349221284001</v>
      </c>
      <c r="J292" s="9">
        <f>D292-F292</f>
        <v>3203.8169462548399</v>
      </c>
      <c r="K292" s="9">
        <f t="shared" si="31"/>
        <v>617.99349221284001</v>
      </c>
      <c r="L292" s="10">
        <f t="shared" si="30"/>
        <v>0.19289288451241096</v>
      </c>
      <c r="M292" s="10">
        <f>L292+ABS($N$2)*A292</f>
        <v>0.2752514111906359</v>
      </c>
      <c r="O292" s="11"/>
      <c r="P292" s="8">
        <f>(M292-$O$2)/$O$2*100</f>
        <v>-2.335633386325652</v>
      </c>
    </row>
    <row r="293" spans="1:16" x14ac:dyDescent="0.2">
      <c r="A293" s="8">
        <v>145.5</v>
      </c>
      <c r="B293" s="8">
        <v>291</v>
      </c>
      <c r="D293">
        <v>3334.8830548925998</v>
      </c>
      <c r="E293">
        <v>741.13206046142</v>
      </c>
      <c r="F293">
        <v>140.52483974359001</v>
      </c>
      <c r="G293">
        <v>117.08733974358999</v>
      </c>
      <c r="I293" s="9">
        <f t="shared" ref="I293:I301" si="36">E293-G293</f>
        <v>624.04472071783005</v>
      </c>
      <c r="J293" s="9">
        <f t="shared" ref="J293:J301" si="37">D293-F293</f>
        <v>3194.35821514901</v>
      </c>
      <c r="K293" s="9">
        <f t="shared" si="31"/>
        <v>624.04472071783005</v>
      </c>
      <c r="L293" s="10">
        <f t="shared" si="30"/>
        <v>0.19535840337453189</v>
      </c>
      <c r="M293" s="10">
        <f t="shared" ref="M293:M301" si="38">L293+ABS($N$2)*A293</f>
        <v>0.27800092497233692</v>
      </c>
      <c r="P293" s="8">
        <f t="shared" ref="P293:P301" si="39">(M293-$O$2)/$O$2*100</f>
        <v>-1.3600542936560123</v>
      </c>
    </row>
    <row r="294" spans="1:16" x14ac:dyDescent="0.2">
      <c r="A294" s="8">
        <v>146</v>
      </c>
      <c r="B294" s="8">
        <v>292</v>
      </c>
      <c r="D294">
        <v>3487.0430278885001</v>
      </c>
      <c r="E294">
        <v>759.74262948207002</v>
      </c>
      <c r="F294">
        <v>140.38301282051</v>
      </c>
      <c r="G294">
        <v>116.84294871794999</v>
      </c>
      <c r="I294" s="9">
        <f t="shared" si="36"/>
        <v>642.89968076412003</v>
      </c>
      <c r="J294" s="9">
        <f t="shared" si="37"/>
        <v>3346.6600150679901</v>
      </c>
      <c r="K294" s="9">
        <f t="shared" si="31"/>
        <v>642.89968076412003</v>
      </c>
      <c r="L294" s="10">
        <f t="shared" si="30"/>
        <v>0.19210188004444156</v>
      </c>
      <c r="M294" s="10">
        <f t="shared" si="38"/>
        <v>0.27502839656182665</v>
      </c>
      <c r="N294" s="1"/>
      <c r="P294" s="8">
        <f t="shared" si="39"/>
        <v>-2.4147631621695762</v>
      </c>
    </row>
    <row r="295" spans="1:16" x14ac:dyDescent="0.2">
      <c r="A295" s="8">
        <v>146.5</v>
      </c>
      <c r="B295" s="8">
        <v>293</v>
      </c>
      <c r="D295">
        <v>3618.6023809523999</v>
      </c>
      <c r="E295">
        <v>763.38730158730004</v>
      </c>
      <c r="F295">
        <v>140.22115384615</v>
      </c>
      <c r="G295">
        <v>116.90625</v>
      </c>
      <c r="I295" s="9">
        <f t="shared" si="36"/>
        <v>646.48105158730004</v>
      </c>
      <c r="J295" s="9">
        <f t="shared" si="37"/>
        <v>3478.3812271062498</v>
      </c>
      <c r="K295" s="9">
        <f t="shared" si="31"/>
        <v>646.48105158730004</v>
      </c>
      <c r="L295" s="10">
        <f t="shared" si="30"/>
        <v>0.18585687116449953</v>
      </c>
      <c r="M295" s="10">
        <f t="shared" si="38"/>
        <v>0.26906738260146473</v>
      </c>
      <c r="P295" s="8">
        <f t="shared" si="39"/>
        <v>-4.5298427917188935</v>
      </c>
    </row>
    <row r="296" spans="1:16" x14ac:dyDescent="0.2">
      <c r="A296" s="8">
        <v>147</v>
      </c>
      <c r="B296" s="8">
        <v>294</v>
      </c>
      <c r="D296">
        <v>3672.6579365079001</v>
      </c>
      <c r="E296">
        <v>758.30952380951999</v>
      </c>
      <c r="F296">
        <v>140.26682692308</v>
      </c>
      <c r="G296">
        <v>117.04967948718</v>
      </c>
      <c r="I296" s="9">
        <f t="shared" si="36"/>
        <v>641.25984432233997</v>
      </c>
      <c r="J296" s="9">
        <f t="shared" si="37"/>
        <v>3532.3911095848202</v>
      </c>
      <c r="K296" s="9">
        <f t="shared" si="31"/>
        <v>641.25984432233997</v>
      </c>
      <c r="L296" s="10">
        <f t="shared" si="30"/>
        <v>0.18153704514269103</v>
      </c>
      <c r="M296" s="10">
        <f t="shared" si="38"/>
        <v>0.2650315514992363</v>
      </c>
      <c r="P296" s="8">
        <f t="shared" si="39"/>
        <v>-5.9618314113373385</v>
      </c>
    </row>
    <row r="297" spans="1:16" x14ac:dyDescent="0.2">
      <c r="A297" s="8">
        <v>147.5</v>
      </c>
      <c r="B297" s="8">
        <v>295</v>
      </c>
      <c r="D297">
        <v>3684.5399841646999</v>
      </c>
      <c r="E297">
        <v>758.61361836896003</v>
      </c>
      <c r="F297">
        <v>140.76282051282001</v>
      </c>
      <c r="G297">
        <v>117.36778846154</v>
      </c>
      <c r="I297" s="9">
        <f t="shared" si="36"/>
        <v>641.24582990741999</v>
      </c>
      <c r="J297" s="9">
        <f t="shared" si="37"/>
        <v>3543.7771636518801</v>
      </c>
      <c r="K297" s="9">
        <f t="shared" si="31"/>
        <v>641.24582990741999</v>
      </c>
      <c r="L297" s="10">
        <f t="shared" si="30"/>
        <v>0.18094981718506617</v>
      </c>
      <c r="M297" s="10">
        <f t="shared" si="38"/>
        <v>0.26472831846119155</v>
      </c>
      <c r="P297" s="8">
        <f t="shared" si="39"/>
        <v>-6.0694241843185077</v>
      </c>
    </row>
    <row r="298" spans="1:16" x14ac:dyDescent="0.2">
      <c r="A298" s="8">
        <v>148</v>
      </c>
      <c r="B298" s="8">
        <v>296</v>
      </c>
      <c r="D298">
        <v>3589.7616785432001</v>
      </c>
      <c r="E298">
        <v>758.35946159936998</v>
      </c>
      <c r="F298">
        <v>140.30769230768999</v>
      </c>
      <c r="G298">
        <v>117.00080128205001</v>
      </c>
      <c r="I298" s="9">
        <f t="shared" si="36"/>
        <v>641.35866031731996</v>
      </c>
      <c r="J298" s="9">
        <f t="shared" si="37"/>
        <v>3449.45398623551</v>
      </c>
      <c r="K298" s="9">
        <f t="shared" si="31"/>
        <v>641.35866031731996</v>
      </c>
      <c r="L298" s="10">
        <f t="shared" si="30"/>
        <v>0.18593048722393699</v>
      </c>
      <c r="M298" s="10">
        <f t="shared" si="38"/>
        <v>0.26999298341964245</v>
      </c>
      <c r="P298" s="8">
        <f t="shared" si="39"/>
        <v>-4.2014222497373055</v>
      </c>
    </row>
    <row r="299" spans="1:16" x14ac:dyDescent="0.2">
      <c r="A299" s="8">
        <v>148.5</v>
      </c>
      <c r="B299" s="8">
        <v>297</v>
      </c>
      <c r="D299">
        <v>3641.5502771179999</v>
      </c>
      <c r="E299">
        <v>792.14806017419005</v>
      </c>
      <c r="F299">
        <v>140.89503205128</v>
      </c>
      <c r="G299">
        <v>117.18189102564</v>
      </c>
      <c r="I299" s="9">
        <f t="shared" si="36"/>
        <v>674.96616914855008</v>
      </c>
      <c r="J299" s="9">
        <f t="shared" si="37"/>
        <v>3500.65524506672</v>
      </c>
      <c r="K299" s="9">
        <f t="shared" si="31"/>
        <v>674.96616914855008</v>
      </c>
      <c r="L299" s="10">
        <f t="shared" si="30"/>
        <v>0.19281138012654706</v>
      </c>
      <c r="M299" s="10">
        <f t="shared" si="38"/>
        <v>0.27715787124183261</v>
      </c>
      <c r="P299" s="8">
        <f t="shared" si="39"/>
        <v>-1.6591855796859074</v>
      </c>
    </row>
    <row r="300" spans="1:16" x14ac:dyDescent="0.2">
      <c r="A300" s="8">
        <v>149</v>
      </c>
      <c r="B300" s="8">
        <v>298</v>
      </c>
      <c r="D300">
        <v>3648.0261282659999</v>
      </c>
      <c r="E300">
        <v>802.62074425970002</v>
      </c>
      <c r="F300">
        <v>140.05048076923001</v>
      </c>
      <c r="G300">
        <v>117.17067307692</v>
      </c>
      <c r="I300" s="9">
        <f t="shared" si="36"/>
        <v>685.45007118277999</v>
      </c>
      <c r="J300" s="9">
        <f t="shared" si="37"/>
        <v>3507.9756474967699</v>
      </c>
      <c r="K300" s="9">
        <f t="shared" si="31"/>
        <v>685.45007118277999</v>
      </c>
      <c r="L300" s="10">
        <f t="shared" si="30"/>
        <v>0.1953976139121448</v>
      </c>
      <c r="M300" s="10">
        <f t="shared" si="38"/>
        <v>0.28002809994701044</v>
      </c>
      <c r="P300" s="8">
        <f t="shared" si="39"/>
        <v>-0.64077456658692555</v>
      </c>
    </row>
    <row r="301" spans="1:16" x14ac:dyDescent="0.2">
      <c r="A301" s="8">
        <v>149.5</v>
      </c>
      <c r="B301" s="8">
        <v>299</v>
      </c>
      <c r="D301">
        <v>3604.8036421218999</v>
      </c>
      <c r="E301">
        <v>800.96120348376996</v>
      </c>
      <c r="F301">
        <v>140.44871794872</v>
      </c>
      <c r="G301">
        <v>117.30448717949</v>
      </c>
      <c r="I301" s="9">
        <f t="shared" si="36"/>
        <v>683.65671630427994</v>
      </c>
      <c r="J301" s="9">
        <f t="shared" si="37"/>
        <v>3464.3549241731798</v>
      </c>
      <c r="K301" s="9">
        <f t="shared" si="31"/>
        <v>683.65671630427994</v>
      </c>
      <c r="L301" s="10">
        <f t="shared" si="30"/>
        <v>0.19734026428237425</v>
      </c>
      <c r="M301" s="10">
        <f t="shared" si="38"/>
        <v>0.28225474523681998</v>
      </c>
      <c r="P301" s="8">
        <f t="shared" si="39"/>
        <v>0.14928097195473444</v>
      </c>
    </row>
    <row r="302" spans="1:16" x14ac:dyDescent="0.2">
      <c r="A302" s="8">
        <v>150</v>
      </c>
      <c r="B302" s="8">
        <v>300</v>
      </c>
      <c r="D302">
        <v>3572.4250594765999</v>
      </c>
      <c r="E302">
        <v>782.31245043616002</v>
      </c>
      <c r="F302">
        <v>140.18429487180001</v>
      </c>
      <c r="G302">
        <v>117.00240384615</v>
      </c>
      <c r="I302" s="9">
        <f>E302-G302</f>
        <v>665.31004659000996</v>
      </c>
      <c r="J302" s="9">
        <f>D302-F302</f>
        <v>3432.2407646048</v>
      </c>
      <c r="K302" s="9">
        <f t="shared" si="31"/>
        <v>665.31004659000996</v>
      </c>
      <c r="L302" s="10">
        <f t="shared" si="30"/>
        <v>0.19384131015838454</v>
      </c>
      <c r="M302" s="10">
        <f>L302+ABS($N$2)*A302</f>
        <v>0.27903978603241031</v>
      </c>
      <c r="O302" s="11"/>
      <c r="P302" s="8">
        <f>(M302-$O$2)/$O$2*100</f>
        <v>-0.99144689217966386</v>
      </c>
    </row>
    <row r="303" spans="1:16" x14ac:dyDescent="0.2">
      <c r="A303" s="8">
        <v>150.5</v>
      </c>
      <c r="B303" s="8">
        <v>301</v>
      </c>
      <c r="D303">
        <v>3579.4615384614999</v>
      </c>
      <c r="E303">
        <v>785.26011102300004</v>
      </c>
      <c r="F303">
        <v>140.85176282051</v>
      </c>
      <c r="G303">
        <v>116.8141025641</v>
      </c>
      <c r="I303" s="9">
        <f t="shared" ref="I303:I309" si="40">E303-G303</f>
        <v>668.4460084589</v>
      </c>
      <c r="J303" s="9">
        <f t="shared" ref="J303:J309" si="41">D303-F303</f>
        <v>3438.6097756409899</v>
      </c>
      <c r="K303" s="9">
        <f t="shared" si="31"/>
        <v>668.4460084589</v>
      </c>
      <c r="L303" s="10">
        <f t="shared" si="30"/>
        <v>0.19439426165601917</v>
      </c>
      <c r="M303" s="10">
        <f t="shared" ref="M303:M309" si="42">L303+ABS($N$2)*A303</f>
        <v>0.27987673244962508</v>
      </c>
      <c r="P303" s="8">
        <f t="shared" ref="P303:P309" si="43">(M303-$O$2)/$O$2*100</f>
        <v>-0.69448259552705827</v>
      </c>
    </row>
    <row r="304" spans="1:16" x14ac:dyDescent="0.2">
      <c r="A304" s="8">
        <v>151</v>
      </c>
      <c r="B304" s="8">
        <v>302</v>
      </c>
      <c r="D304">
        <v>3441.5170499604001</v>
      </c>
      <c r="E304">
        <v>780.59238699444995</v>
      </c>
      <c r="F304">
        <v>140.17548076923001</v>
      </c>
      <c r="G304">
        <v>117.00881410256</v>
      </c>
      <c r="I304" s="9">
        <f t="shared" si="40"/>
        <v>663.58357289188996</v>
      </c>
      <c r="J304" s="9">
        <f t="shared" si="41"/>
        <v>3301.34156919117</v>
      </c>
      <c r="K304" s="9">
        <f t="shared" si="31"/>
        <v>663.58357289188996</v>
      </c>
      <c r="L304" s="10">
        <f t="shared" si="30"/>
        <v>0.20100421570569815</v>
      </c>
      <c r="M304" s="10">
        <f t="shared" si="42"/>
        <v>0.28677068141888412</v>
      </c>
      <c r="N304" s="1"/>
      <c r="P304" s="8">
        <f t="shared" si="43"/>
        <v>1.7516198845193121</v>
      </c>
    </row>
    <row r="305" spans="1:16" x14ac:dyDescent="0.2">
      <c r="A305" s="8">
        <v>151.5</v>
      </c>
      <c r="B305" s="8">
        <v>303</v>
      </c>
      <c r="D305">
        <v>3441.2870737510002</v>
      </c>
      <c r="E305">
        <v>789.46708961141996</v>
      </c>
      <c r="F305">
        <v>140.28685897436</v>
      </c>
      <c r="G305">
        <v>116.76121794872</v>
      </c>
      <c r="I305" s="9">
        <f t="shared" si="40"/>
        <v>672.70587166270002</v>
      </c>
      <c r="J305" s="9">
        <f t="shared" si="41"/>
        <v>3301.0002147766404</v>
      </c>
      <c r="K305" s="9">
        <f t="shared" si="31"/>
        <v>672.70587166270002</v>
      </c>
      <c r="L305" s="10">
        <f t="shared" si="30"/>
        <v>0.20378849678694072</v>
      </c>
      <c r="M305" s="10">
        <f t="shared" si="42"/>
        <v>0.28983895741970678</v>
      </c>
      <c r="P305" s="8">
        <f t="shared" si="43"/>
        <v>2.84030179506814</v>
      </c>
    </row>
    <row r="306" spans="1:16" x14ac:dyDescent="0.2">
      <c r="A306" s="8">
        <v>152</v>
      </c>
      <c r="B306" s="8">
        <v>304</v>
      </c>
      <c r="D306">
        <v>3651.7655502391999</v>
      </c>
      <c r="E306">
        <v>813.24880382774995</v>
      </c>
      <c r="F306">
        <v>140.22035256410001</v>
      </c>
      <c r="G306">
        <v>116.60576923076999</v>
      </c>
      <c r="I306" s="9">
        <f t="shared" si="40"/>
        <v>696.64303459697999</v>
      </c>
      <c r="J306" s="9">
        <f t="shared" si="41"/>
        <v>3511.5451976751001</v>
      </c>
      <c r="K306" s="9">
        <f t="shared" si="31"/>
        <v>696.64303459697999</v>
      </c>
      <c r="L306" s="10">
        <f t="shared" si="30"/>
        <v>0.1983864639014781</v>
      </c>
      <c r="M306" s="10">
        <f t="shared" si="42"/>
        <v>0.28472091945382427</v>
      </c>
      <c r="P306" s="8">
        <f t="shared" si="43"/>
        <v>1.0243258693481339</v>
      </c>
    </row>
    <row r="307" spans="1:16" x14ac:dyDescent="0.2">
      <c r="A307" s="8">
        <v>152.5</v>
      </c>
      <c r="B307" s="8">
        <v>305</v>
      </c>
      <c r="D307">
        <v>3681.1690590111998</v>
      </c>
      <c r="E307">
        <v>818.47448165869002</v>
      </c>
      <c r="F307">
        <v>140.00801282051</v>
      </c>
      <c r="G307">
        <v>116.97355769231</v>
      </c>
      <c r="I307" s="9">
        <f t="shared" si="40"/>
        <v>701.50092396638001</v>
      </c>
      <c r="J307" s="9">
        <f t="shared" si="41"/>
        <v>3541.1610461906898</v>
      </c>
      <c r="K307" s="9">
        <f t="shared" si="31"/>
        <v>701.50092396638001</v>
      </c>
      <c r="L307" s="10">
        <f t="shared" si="30"/>
        <v>0.19809913043096444</v>
      </c>
      <c r="M307" s="10">
        <f t="shared" si="42"/>
        <v>0.28471758090289068</v>
      </c>
      <c r="P307" s="8">
        <f t="shared" si="43"/>
        <v>1.0231412888189124</v>
      </c>
    </row>
    <row r="308" spans="1:16" x14ac:dyDescent="0.2">
      <c r="A308" s="8">
        <v>153</v>
      </c>
      <c r="B308" s="8">
        <v>306</v>
      </c>
      <c r="D308">
        <v>3761.0964912281001</v>
      </c>
      <c r="E308">
        <v>848.61961722488002</v>
      </c>
      <c r="F308">
        <v>140.85096153846001</v>
      </c>
      <c r="G308">
        <v>117.28445512821</v>
      </c>
      <c r="I308" s="9">
        <f t="shared" si="40"/>
        <v>731.33516209667005</v>
      </c>
      <c r="J308" s="9">
        <f t="shared" si="41"/>
        <v>3620.2455296896401</v>
      </c>
      <c r="K308" s="9">
        <f t="shared" si="31"/>
        <v>731.33516209667005</v>
      </c>
      <c r="L308" s="10">
        <f t="shared" si="30"/>
        <v>0.20201258619035342</v>
      </c>
      <c r="M308" s="10">
        <f t="shared" si="42"/>
        <v>0.28891503158185972</v>
      </c>
      <c r="P308" s="8">
        <f t="shared" si="43"/>
        <v>2.5124755675439285</v>
      </c>
    </row>
    <row r="309" spans="1:16" x14ac:dyDescent="0.2">
      <c r="A309" s="8">
        <v>153.5</v>
      </c>
      <c r="B309" s="8">
        <v>307</v>
      </c>
      <c r="D309">
        <v>3805.3931419457999</v>
      </c>
      <c r="E309">
        <v>865.70574162678997</v>
      </c>
      <c r="F309">
        <v>140.60576923076999</v>
      </c>
      <c r="G309">
        <v>117.02884615385</v>
      </c>
      <c r="I309" s="9">
        <f t="shared" si="40"/>
        <v>748.67689547294003</v>
      </c>
      <c r="J309" s="9">
        <f t="shared" si="41"/>
        <v>3664.78737271503</v>
      </c>
      <c r="K309" s="9">
        <f t="shared" si="31"/>
        <v>748.67689547294003</v>
      </c>
      <c r="L309" s="10">
        <f t="shared" si="30"/>
        <v>0.20428931322099825</v>
      </c>
      <c r="M309" s="10">
        <f t="shared" si="42"/>
        <v>0.29147575353208466</v>
      </c>
      <c r="P309" s="8">
        <f t="shared" si="43"/>
        <v>3.4210677751575038</v>
      </c>
    </row>
    <row r="310" spans="1:16" x14ac:dyDescent="0.2">
      <c r="A310" s="8">
        <v>154</v>
      </c>
      <c r="B310" s="8">
        <v>308</v>
      </c>
      <c r="D310">
        <v>3826.4617224879999</v>
      </c>
      <c r="E310">
        <v>852.07017543860002</v>
      </c>
      <c r="F310">
        <v>140.23397435896999</v>
      </c>
      <c r="G310">
        <v>116.89583333333</v>
      </c>
      <c r="I310" s="9">
        <f>E310-G310</f>
        <v>735.17434210527006</v>
      </c>
      <c r="J310" s="9">
        <f>D310-F310</f>
        <v>3686.2277481290298</v>
      </c>
      <c r="K310" s="9">
        <f t="shared" si="31"/>
        <v>735.17434210527006</v>
      </c>
      <c r="L310" s="10">
        <f t="shared" si="30"/>
        <v>0.19943812274713976</v>
      </c>
      <c r="M310" s="10">
        <f>L310+ABS($N$2)*A310</f>
        <v>0.28690855797780623</v>
      </c>
      <c r="O310" s="11"/>
      <c r="P310" s="8">
        <f>(M310-$O$2)/$O$2*100</f>
        <v>1.8005410752945155</v>
      </c>
    </row>
    <row r="311" spans="1:16" x14ac:dyDescent="0.2">
      <c r="A311" s="8">
        <v>154.5</v>
      </c>
      <c r="B311" s="8">
        <v>309</v>
      </c>
      <c r="D311">
        <v>3893.8237639552999</v>
      </c>
      <c r="E311">
        <v>852.02631578947</v>
      </c>
      <c r="F311">
        <v>139.95753205128</v>
      </c>
      <c r="G311">
        <v>117.25721153846</v>
      </c>
      <c r="I311" s="9">
        <f t="shared" ref="I311:I319" si="44">E311-G311</f>
        <v>734.76910425101005</v>
      </c>
      <c r="J311" s="9">
        <f t="shared" ref="J311:J319" si="45">D311-F311</f>
        <v>3753.86623190402</v>
      </c>
      <c r="K311" s="9">
        <f t="shared" si="31"/>
        <v>734.76910425101005</v>
      </c>
      <c r="L311" s="10">
        <f t="shared" si="30"/>
        <v>0.19573662428517694</v>
      </c>
      <c r="M311" s="10">
        <f t="shared" ref="M311:M319" si="46">L311+ABS($N$2)*A311</f>
        <v>0.2834910544354235</v>
      </c>
      <c r="P311" s="8">
        <f t="shared" ref="P311:P319" si="47">(M311-$O$2)/$O$2*100</f>
        <v>0.58794667869164219</v>
      </c>
    </row>
    <row r="312" spans="1:16" x14ac:dyDescent="0.2">
      <c r="A312" s="8">
        <v>155</v>
      </c>
      <c r="B312" s="8">
        <v>310</v>
      </c>
      <c r="D312">
        <v>3882.9401913876</v>
      </c>
      <c r="E312">
        <v>840.51515151515002</v>
      </c>
      <c r="F312">
        <v>140.58253205128</v>
      </c>
      <c r="G312">
        <v>117.13060897436</v>
      </c>
      <c r="I312" s="9">
        <f t="shared" si="44"/>
        <v>723.38454254078999</v>
      </c>
      <c r="J312" s="9">
        <f t="shared" si="45"/>
        <v>3742.35765933632</v>
      </c>
      <c r="K312" s="9">
        <f t="shared" si="31"/>
        <v>723.38454254078999</v>
      </c>
      <c r="L312" s="10">
        <f t="shared" si="30"/>
        <v>0.19329647467983513</v>
      </c>
      <c r="M312" s="10">
        <f t="shared" si="46"/>
        <v>0.2813348997496618</v>
      </c>
      <c r="N312" s="1"/>
      <c r="P312" s="8">
        <f t="shared" si="47"/>
        <v>-0.17709747056496861</v>
      </c>
    </row>
    <row r="313" spans="1:16" x14ac:dyDescent="0.2">
      <c r="A313" s="8">
        <v>155.5</v>
      </c>
      <c r="B313" s="8">
        <v>311</v>
      </c>
      <c r="D313">
        <v>3828.2599681021002</v>
      </c>
      <c r="E313">
        <v>825.10207336523001</v>
      </c>
      <c r="F313">
        <v>140.55528846153999</v>
      </c>
      <c r="G313">
        <v>116.86217948718</v>
      </c>
      <c r="I313" s="9">
        <f t="shared" si="44"/>
        <v>708.23989387805</v>
      </c>
      <c r="J313" s="9">
        <f t="shared" si="45"/>
        <v>3687.7046796405602</v>
      </c>
      <c r="K313" s="9">
        <f t="shared" si="31"/>
        <v>708.23989387805</v>
      </c>
      <c r="L313" s="10">
        <f t="shared" si="30"/>
        <v>0.19205439572972582</v>
      </c>
      <c r="M313" s="10">
        <f t="shared" si="46"/>
        <v>0.28037681571913259</v>
      </c>
      <c r="P313" s="8">
        <f t="shared" si="47"/>
        <v>-0.51704366593435824</v>
      </c>
    </row>
    <row r="314" spans="1:16" x14ac:dyDescent="0.2">
      <c r="A314" s="8">
        <v>156</v>
      </c>
      <c r="B314" s="8">
        <v>312</v>
      </c>
      <c r="D314">
        <v>3837.2559808612</v>
      </c>
      <c r="E314">
        <v>816.77910685805</v>
      </c>
      <c r="F314">
        <v>140.17948717949</v>
      </c>
      <c r="G314">
        <v>116.72355769231</v>
      </c>
      <c r="I314" s="9">
        <f t="shared" si="44"/>
        <v>700.05554916573999</v>
      </c>
      <c r="J314" s="9">
        <f t="shared" si="45"/>
        <v>3697.07649368171</v>
      </c>
      <c r="K314" s="9">
        <f t="shared" si="31"/>
        <v>700.05554916573999</v>
      </c>
      <c r="L314" s="10">
        <f t="shared" si="30"/>
        <v>0.18935381790507508</v>
      </c>
      <c r="M314" s="10">
        <f t="shared" si="46"/>
        <v>0.2779602328140619</v>
      </c>
      <c r="P314" s="8">
        <f t="shared" si="47"/>
        <v>-1.3744926351231159</v>
      </c>
    </row>
    <row r="315" spans="1:16" x14ac:dyDescent="0.2">
      <c r="A315" s="8">
        <v>156.5</v>
      </c>
      <c r="B315" s="8">
        <v>313</v>
      </c>
      <c r="D315">
        <v>3748.5829346093001</v>
      </c>
      <c r="E315">
        <v>792.04066985646</v>
      </c>
      <c r="F315">
        <v>140.43108974359001</v>
      </c>
      <c r="G315">
        <v>116.7828525641</v>
      </c>
      <c r="I315" s="9">
        <f t="shared" si="44"/>
        <v>675.25781729235996</v>
      </c>
      <c r="J315" s="9">
        <f t="shared" si="45"/>
        <v>3608.1518448657102</v>
      </c>
      <c r="K315" s="9">
        <f t="shared" si="31"/>
        <v>675.25781729235996</v>
      </c>
      <c r="L315" s="10">
        <f t="shared" si="30"/>
        <v>0.18714783809701113</v>
      </c>
      <c r="M315" s="10">
        <f t="shared" si="46"/>
        <v>0.27603824792557807</v>
      </c>
      <c r="P315" s="8">
        <f t="shared" si="47"/>
        <v>-2.0564489454027437</v>
      </c>
    </row>
    <row r="316" spans="1:16" x14ac:dyDescent="0.2">
      <c r="A316" s="8">
        <v>157</v>
      </c>
      <c r="B316" s="8">
        <v>314</v>
      </c>
      <c r="D316">
        <v>3760.2464114833001</v>
      </c>
      <c r="E316">
        <v>796.52392344498003</v>
      </c>
      <c r="F316">
        <v>140.52724358974001</v>
      </c>
      <c r="G316">
        <v>117.04326923076999</v>
      </c>
      <c r="I316" s="9">
        <f t="shared" si="44"/>
        <v>679.48065421421006</v>
      </c>
      <c r="J316" s="9">
        <f t="shared" si="45"/>
        <v>3619.7191678935601</v>
      </c>
      <c r="K316" s="9">
        <f t="shared" si="31"/>
        <v>679.48065421421006</v>
      </c>
      <c r="L316" s="10">
        <f t="shared" si="30"/>
        <v>0.18771640083051619</v>
      </c>
      <c r="M316" s="10">
        <f t="shared" si="46"/>
        <v>0.27689080557866319</v>
      </c>
      <c r="P316" s="8">
        <f t="shared" si="47"/>
        <v>-1.7539454892713939</v>
      </c>
    </row>
    <row r="317" spans="1:16" x14ac:dyDescent="0.2">
      <c r="A317" s="8">
        <v>157.5</v>
      </c>
      <c r="B317" s="8">
        <v>315</v>
      </c>
      <c r="D317">
        <v>3757.1961722487999</v>
      </c>
      <c r="E317">
        <v>808.92344497607996</v>
      </c>
      <c r="F317">
        <v>140.54246794872</v>
      </c>
      <c r="G317">
        <v>117.37259615385</v>
      </c>
      <c r="I317" s="9">
        <f t="shared" si="44"/>
        <v>691.55084882222991</v>
      </c>
      <c r="J317" s="9">
        <f t="shared" si="45"/>
        <v>3616.6537043000799</v>
      </c>
      <c r="K317" s="9">
        <f t="shared" si="31"/>
        <v>691.55084882222991</v>
      </c>
      <c r="L317" s="10">
        <f t="shared" si="30"/>
        <v>0.1912129015835824</v>
      </c>
      <c r="M317" s="10">
        <f t="shared" si="46"/>
        <v>0.28067130125130946</v>
      </c>
      <c r="P317" s="8">
        <f t="shared" si="47"/>
        <v>-0.41255467220845371</v>
      </c>
    </row>
    <row r="318" spans="1:16" x14ac:dyDescent="0.2">
      <c r="A318" s="8">
        <v>158</v>
      </c>
      <c r="B318" s="8">
        <v>316</v>
      </c>
      <c r="D318">
        <v>3766.0406698564998</v>
      </c>
      <c r="E318">
        <v>806.97767145136004</v>
      </c>
      <c r="F318">
        <v>140.04326923076999</v>
      </c>
      <c r="G318">
        <v>116.74439102564</v>
      </c>
      <c r="I318" s="9">
        <f t="shared" si="44"/>
        <v>690.23328042572007</v>
      </c>
      <c r="J318" s="9">
        <f t="shared" si="45"/>
        <v>3625.9974006257298</v>
      </c>
      <c r="K318" s="9">
        <f t="shared" si="31"/>
        <v>690.23328042572007</v>
      </c>
      <c r="L318" s="10">
        <f t="shared" si="30"/>
        <v>0.19035680508392205</v>
      </c>
      <c r="M318" s="10">
        <f t="shared" si="46"/>
        <v>0.2800991996712292</v>
      </c>
      <c r="P318" s="8">
        <f t="shared" si="47"/>
        <v>-0.61554705003325827</v>
      </c>
    </row>
    <row r="319" spans="1:16" x14ac:dyDescent="0.2">
      <c r="A319" s="8">
        <v>158.5</v>
      </c>
      <c r="B319" s="8">
        <v>317</v>
      </c>
      <c r="D319">
        <v>3783.8397129187001</v>
      </c>
      <c r="E319">
        <v>802.16188197766996</v>
      </c>
      <c r="F319">
        <v>140.44391025640999</v>
      </c>
      <c r="G319">
        <v>116.94551282051</v>
      </c>
      <c r="I319" s="9">
        <f t="shared" si="44"/>
        <v>685.21636915715999</v>
      </c>
      <c r="J319" s="9">
        <f t="shared" si="45"/>
        <v>3643.39580266229</v>
      </c>
      <c r="K319" s="9">
        <f t="shared" si="31"/>
        <v>685.21636915715999</v>
      </c>
      <c r="L319" s="10">
        <f t="shared" si="30"/>
        <v>0.18807080160120429</v>
      </c>
      <c r="M319" s="10">
        <f t="shared" si="46"/>
        <v>0.27809719110809156</v>
      </c>
      <c r="P319" s="8">
        <f t="shared" si="47"/>
        <v>-1.3258972619657681</v>
      </c>
    </row>
    <row r="320" spans="1:16" x14ac:dyDescent="0.2">
      <c r="A320" s="8">
        <v>159</v>
      </c>
      <c r="B320" s="8">
        <v>318</v>
      </c>
      <c r="D320">
        <v>3731.1945773524999</v>
      </c>
      <c r="E320">
        <v>788.64992025517995</v>
      </c>
      <c r="F320">
        <v>140.13701923076999</v>
      </c>
      <c r="G320">
        <v>116.87740384615</v>
      </c>
      <c r="I320" s="9">
        <f>E320-G320</f>
        <v>671.77251640903</v>
      </c>
      <c r="J320" s="9">
        <f>D320-F320</f>
        <v>3591.0575581217299</v>
      </c>
      <c r="K320" s="9">
        <f t="shared" si="31"/>
        <v>671.77251640903</v>
      </c>
      <c r="L320" s="10">
        <f t="shared" si="30"/>
        <v>0.18706815625656373</v>
      </c>
      <c r="M320" s="10">
        <f>L320+ABS($N$2)*A320</f>
        <v>0.27737854068303108</v>
      </c>
      <c r="O320" s="11"/>
      <c r="P320" s="8">
        <f>(M320-$O$2)/$O$2*100</f>
        <v>-1.5808879204208075</v>
      </c>
    </row>
    <row r="321" spans="1:16" x14ac:dyDescent="0.2">
      <c r="A321" s="8">
        <v>159.5</v>
      </c>
      <c r="B321" s="8">
        <v>319</v>
      </c>
      <c r="D321">
        <v>3747.1228070174998</v>
      </c>
      <c r="E321">
        <v>786.43141945774005</v>
      </c>
      <c r="F321">
        <v>139.79967948717999</v>
      </c>
      <c r="G321">
        <v>116.46153846154</v>
      </c>
      <c r="I321" s="9">
        <f t="shared" ref="I321:I322" si="48">E321-G321</f>
        <v>669.9698809962</v>
      </c>
      <c r="J321" s="9">
        <f t="shared" ref="J321:J322" si="49">D321-F321</f>
        <v>3607.3231275303197</v>
      </c>
      <c r="K321" s="9">
        <f t="shared" si="31"/>
        <v>669.9698809962</v>
      </c>
      <c r="L321" s="10">
        <f t="shared" si="30"/>
        <v>0.18572494265432807</v>
      </c>
      <c r="M321" s="10">
        <f t="shared" ref="M321:M322" si="50">L321+ABS($N$2)*A321</f>
        <v>0.27631932200037551</v>
      </c>
      <c r="P321" s="8">
        <f t="shared" ref="P321:P322" si="51">(M321-$O$2)/$O$2*100</f>
        <v>-1.956718588461525</v>
      </c>
    </row>
    <row r="322" spans="1:16" x14ac:dyDescent="0.2">
      <c r="A322" s="8">
        <v>160</v>
      </c>
      <c r="D322">
        <v>3703.7169059010998</v>
      </c>
      <c r="E322">
        <v>770.6307814992</v>
      </c>
      <c r="F322">
        <v>140.39342948717999</v>
      </c>
      <c r="G322">
        <v>116.71794871794999</v>
      </c>
      <c r="I322" s="9">
        <f t="shared" si="48"/>
        <v>653.91283278125002</v>
      </c>
      <c r="J322" s="9">
        <f t="shared" si="49"/>
        <v>3563.3234764139197</v>
      </c>
      <c r="K322" s="9">
        <f t="shared" si="31"/>
        <v>653.91283278125002</v>
      </c>
      <c r="L322" s="10">
        <f t="shared" ref="L322" si="52">K322/J322</f>
        <v>0.18351206033063802</v>
      </c>
      <c r="M322" s="10">
        <f t="shared" si="50"/>
        <v>0.27439043459626555</v>
      </c>
      <c r="P322" s="8">
        <f t="shared" si="51"/>
        <v>-2.6411240408318357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473-7ADE-354E-A5D0-B62511CF74B0}">
  <dimension ref="A1:Y798"/>
  <sheetViews>
    <sheetView tabSelected="1" topLeftCell="E1" zoomScale="70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1075.5234042553</v>
      </c>
      <c r="E2">
        <v>410.22723404254998</v>
      </c>
      <c r="F2">
        <v>123.58354755784001</v>
      </c>
      <c r="G2">
        <v>110.67266495286999</v>
      </c>
      <c r="H2" s="4"/>
      <c r="I2" s="5">
        <f>E2-G2</f>
        <v>299.55456908968</v>
      </c>
      <c r="J2" s="5">
        <f>D2-F2</f>
        <v>951.93985669745996</v>
      </c>
      <c r="K2" s="9">
        <f>I2*1</f>
        <v>299.55456908968</v>
      </c>
      <c r="L2" s="6">
        <f t="shared" ref="L2:L65" si="0">K2/J2</f>
        <v>0.31467804082593709</v>
      </c>
      <c r="M2" s="6">
        <f>L2+ABS($N$2)*A2</f>
        <v>0.31467804082593709</v>
      </c>
      <c r="N2" s="4">
        <f>LINEST(V64:V103,U64:U103)</f>
        <v>-2.9464237764520722E-4</v>
      </c>
      <c r="O2" s="7">
        <f>AVERAGE(M62:M81)</f>
        <v>0.27289079535043431</v>
      </c>
      <c r="P2" s="4">
        <f>(M2-$O$2)/$O$2*100</f>
        <v>15.312808708641654</v>
      </c>
    </row>
    <row r="3" spans="1:16" x14ac:dyDescent="0.2">
      <c r="A3" s="8">
        <v>0.5</v>
      </c>
      <c r="B3" s="8">
        <v>1</v>
      </c>
      <c r="D3">
        <v>1023.1559554413</v>
      </c>
      <c r="E3">
        <v>390.21850899742998</v>
      </c>
      <c r="F3">
        <v>123.91345329906</v>
      </c>
      <c r="G3">
        <v>110.61353898886</v>
      </c>
      <c r="I3" s="9">
        <f t="shared" ref="I3:I66" si="1">E3-G3</f>
        <v>279.60497000856998</v>
      </c>
      <c r="J3" s="9">
        <f t="shared" ref="J3:J66" si="2">D3-F3</f>
        <v>899.24250214224003</v>
      </c>
      <c r="K3" s="9">
        <f t="shared" ref="K3:K66" si="3">I3*1</f>
        <v>279.60497000856998</v>
      </c>
      <c r="L3" s="10">
        <f t="shared" si="0"/>
        <v>0.31093389084977074</v>
      </c>
      <c r="M3" s="10">
        <f t="shared" ref="M3:M66" si="4">L3+ABS($N$2)*A3</f>
        <v>0.31108121203859335</v>
      </c>
      <c r="P3" s="8">
        <f t="shared" ref="P3:P66" si="5">(M3-$O$2)/$O$2*100</f>
        <v>13.994761765092365</v>
      </c>
    </row>
    <row r="4" spans="1:16" ht="16" x14ac:dyDescent="0.2">
      <c r="A4" s="8">
        <v>1</v>
      </c>
      <c r="B4" s="8">
        <v>2</v>
      </c>
      <c r="D4">
        <v>1025.3161953727999</v>
      </c>
      <c r="E4">
        <v>388.13196229648997</v>
      </c>
      <c r="F4">
        <v>123.65724078834999</v>
      </c>
      <c r="G4">
        <v>110.77549271637</v>
      </c>
      <c r="I4" s="9">
        <f t="shared" si="1"/>
        <v>277.35646958012001</v>
      </c>
      <c r="J4" s="9">
        <f t="shared" si="2"/>
        <v>901.65895458444993</v>
      </c>
      <c r="K4" s="9">
        <f t="shared" si="3"/>
        <v>277.35646958012001</v>
      </c>
      <c r="L4" s="10">
        <f t="shared" si="0"/>
        <v>0.30760684865370858</v>
      </c>
      <c r="M4" s="10">
        <f t="shared" si="4"/>
        <v>0.30790149103135378</v>
      </c>
      <c r="N4" s="1" t="s">
        <v>7</v>
      </c>
      <c r="P4" s="8">
        <f t="shared" si="5"/>
        <v>12.829562695934934</v>
      </c>
    </row>
    <row r="5" spans="1:16" x14ac:dyDescent="0.2">
      <c r="A5" s="8">
        <v>1.5</v>
      </c>
      <c r="B5" s="8">
        <v>3</v>
      </c>
      <c r="D5">
        <v>988.10197086546998</v>
      </c>
      <c r="E5">
        <v>370.09682947728999</v>
      </c>
      <c r="F5">
        <v>124.18080548415</v>
      </c>
      <c r="G5">
        <v>110.66923736075</v>
      </c>
      <c r="I5" s="9">
        <f t="shared" si="1"/>
        <v>259.42759211653998</v>
      </c>
      <c r="J5" s="9">
        <f t="shared" si="2"/>
        <v>863.92116538131995</v>
      </c>
      <c r="K5" s="9">
        <f t="shared" si="3"/>
        <v>259.42759211653998</v>
      </c>
      <c r="L5" s="10">
        <f t="shared" si="0"/>
        <v>0.30029081646822847</v>
      </c>
      <c r="M5" s="10">
        <f t="shared" si="4"/>
        <v>0.30073278003469628</v>
      </c>
      <c r="N5" s="8">
        <f>RSQ(V64:V83,U64:U83)</f>
        <v>0.74162223677007599</v>
      </c>
      <c r="P5" s="8">
        <f t="shared" si="5"/>
        <v>10.202610406301362</v>
      </c>
    </row>
    <row r="6" spans="1:16" x14ac:dyDescent="0.2">
      <c r="A6" s="8">
        <v>2</v>
      </c>
      <c r="B6" s="8">
        <v>4</v>
      </c>
      <c r="D6">
        <v>1056.9794344473</v>
      </c>
      <c r="E6">
        <v>412.56126820908003</v>
      </c>
      <c r="F6">
        <v>123.62125107112</v>
      </c>
      <c r="G6">
        <v>110.85518423308</v>
      </c>
      <c r="I6" s="9">
        <f t="shared" si="1"/>
        <v>301.70608397600006</v>
      </c>
      <c r="J6" s="9">
        <f t="shared" si="2"/>
        <v>933.35818337618002</v>
      </c>
      <c r="K6" s="9">
        <f t="shared" si="3"/>
        <v>301.70608397600006</v>
      </c>
      <c r="L6" s="10">
        <f t="shared" si="0"/>
        <v>0.32324791205521647</v>
      </c>
      <c r="M6" s="10">
        <f t="shared" si="4"/>
        <v>0.32383719681050688</v>
      </c>
      <c r="P6" s="8">
        <f t="shared" si="5"/>
        <v>18.669153495869821</v>
      </c>
    </row>
    <row r="7" spans="1:16" x14ac:dyDescent="0.2">
      <c r="A7" s="8">
        <v>2.5</v>
      </c>
      <c r="B7" s="8">
        <v>5</v>
      </c>
      <c r="D7">
        <v>1045.5916453538</v>
      </c>
      <c r="E7">
        <v>406.67348678602002</v>
      </c>
      <c r="F7">
        <v>123.95458440445999</v>
      </c>
      <c r="G7">
        <v>110.79862896314999</v>
      </c>
      <c r="I7" s="9">
        <f t="shared" si="1"/>
        <v>295.87485782287001</v>
      </c>
      <c r="J7" s="9">
        <f t="shared" si="2"/>
        <v>921.63706094934003</v>
      </c>
      <c r="K7" s="9">
        <f t="shared" si="3"/>
        <v>295.87485782287001</v>
      </c>
      <c r="L7" s="10">
        <f t="shared" si="0"/>
        <v>0.3210318577229323</v>
      </c>
      <c r="M7" s="10">
        <f t="shared" si="4"/>
        <v>0.32176846366704531</v>
      </c>
      <c r="P7" s="8">
        <f t="shared" si="5"/>
        <v>17.911072542349572</v>
      </c>
    </row>
    <row r="8" spans="1:16" x14ac:dyDescent="0.2">
      <c r="A8" s="8">
        <v>3</v>
      </c>
      <c r="B8" s="8">
        <v>6</v>
      </c>
      <c r="D8">
        <v>1021.6666666667001</v>
      </c>
      <c r="E8">
        <v>430.1389599318</v>
      </c>
      <c r="F8">
        <v>124.19023136247</v>
      </c>
      <c r="G8">
        <v>111.00342759212</v>
      </c>
      <c r="I8" s="9">
        <f t="shared" si="1"/>
        <v>319.13553233968003</v>
      </c>
      <c r="J8" s="9">
        <f t="shared" si="2"/>
        <v>897.47643530423011</v>
      </c>
      <c r="K8" s="9">
        <f t="shared" si="3"/>
        <v>319.13553233968003</v>
      </c>
      <c r="L8" s="10">
        <f t="shared" si="0"/>
        <v>0.35559210223887183</v>
      </c>
      <c r="M8" s="10">
        <f t="shared" si="4"/>
        <v>0.35647602937180745</v>
      </c>
      <c r="P8" s="8">
        <f t="shared" si="5"/>
        <v>30.629554182667345</v>
      </c>
    </row>
    <row r="9" spans="1:16" x14ac:dyDescent="0.2">
      <c r="A9" s="8">
        <v>3.5</v>
      </c>
      <c r="B9" s="8">
        <v>7</v>
      </c>
      <c r="D9">
        <v>1004.3393009378</v>
      </c>
      <c r="E9">
        <v>433.88064791134002</v>
      </c>
      <c r="F9">
        <v>124.1499571551</v>
      </c>
      <c r="G9">
        <v>111.06083976007</v>
      </c>
      <c r="I9" s="9">
        <f t="shared" si="1"/>
        <v>322.81980815127002</v>
      </c>
      <c r="J9" s="9">
        <f t="shared" si="2"/>
        <v>880.18934378270001</v>
      </c>
      <c r="K9" s="9">
        <f t="shared" si="3"/>
        <v>322.81980815127002</v>
      </c>
      <c r="L9" s="10">
        <f t="shared" si="0"/>
        <v>0.36676177737385485</v>
      </c>
      <c r="M9" s="10">
        <f t="shared" si="4"/>
        <v>0.36779302569561306</v>
      </c>
      <c r="P9" s="8">
        <f t="shared" si="5"/>
        <v>34.776632983648092</v>
      </c>
    </row>
    <row r="10" spans="1:16" x14ac:dyDescent="0.2">
      <c r="A10" s="8">
        <v>4</v>
      </c>
      <c r="B10" s="8">
        <v>8</v>
      </c>
      <c r="D10">
        <v>1001.8128205128</v>
      </c>
      <c r="E10">
        <v>453.89316239316003</v>
      </c>
      <c r="F10">
        <v>124.04541559554001</v>
      </c>
      <c r="G10">
        <v>111.09168808912</v>
      </c>
      <c r="I10" s="9">
        <f t="shared" si="1"/>
        <v>342.80147430404003</v>
      </c>
      <c r="J10" s="9">
        <f t="shared" si="2"/>
        <v>877.76740491726002</v>
      </c>
      <c r="K10" s="9">
        <f t="shared" si="3"/>
        <v>342.80147430404003</v>
      </c>
      <c r="L10" s="10">
        <f t="shared" si="0"/>
        <v>0.39053794021475785</v>
      </c>
      <c r="M10" s="10">
        <f t="shared" si="4"/>
        <v>0.39171650972533867</v>
      </c>
      <c r="P10" s="8">
        <f t="shared" si="5"/>
        <v>43.543320771341378</v>
      </c>
    </row>
    <row r="11" spans="1:16" x14ac:dyDescent="0.2">
      <c r="A11" s="8">
        <v>4.5</v>
      </c>
      <c r="B11" s="8">
        <v>9</v>
      </c>
      <c r="D11">
        <v>903.51196581196996</v>
      </c>
      <c r="E11">
        <v>418.32222222221998</v>
      </c>
      <c r="F11">
        <v>124.3204798629</v>
      </c>
      <c r="G11">
        <v>111.0265638389</v>
      </c>
      <c r="I11" s="9">
        <f t="shared" si="1"/>
        <v>307.29565838331996</v>
      </c>
      <c r="J11" s="9">
        <f t="shared" si="2"/>
        <v>779.19148594906994</v>
      </c>
      <c r="K11" s="9">
        <f t="shared" si="3"/>
        <v>307.29565838331996</v>
      </c>
      <c r="L11" s="10">
        <f t="shared" si="0"/>
        <v>0.39437758744120266</v>
      </c>
      <c r="M11" s="10">
        <f t="shared" si="4"/>
        <v>0.39570347814060608</v>
      </c>
      <c r="P11" s="8">
        <f t="shared" si="5"/>
        <v>45.004333192133188</v>
      </c>
    </row>
    <row r="12" spans="1:16" x14ac:dyDescent="0.2">
      <c r="A12" s="8">
        <v>5</v>
      </c>
      <c r="B12" s="8">
        <v>10</v>
      </c>
      <c r="D12">
        <v>854.04370179949001</v>
      </c>
      <c r="E12">
        <v>415.17480719794003</v>
      </c>
      <c r="F12">
        <v>124.47129391602</v>
      </c>
      <c r="G12">
        <v>111.02570694086999</v>
      </c>
      <c r="I12" s="9">
        <f t="shared" si="1"/>
        <v>304.14910025707002</v>
      </c>
      <c r="J12" s="9">
        <f t="shared" si="2"/>
        <v>729.57240788346996</v>
      </c>
      <c r="K12" s="9">
        <f t="shared" si="3"/>
        <v>304.14910025707002</v>
      </c>
      <c r="L12" s="10">
        <f t="shared" si="0"/>
        <v>0.41688679145559171</v>
      </c>
      <c r="M12" s="10">
        <f t="shared" si="4"/>
        <v>0.41836000334381773</v>
      </c>
      <c r="P12" s="8">
        <f t="shared" si="5"/>
        <v>53.306747780399952</v>
      </c>
    </row>
    <row r="13" spans="1:16" x14ac:dyDescent="0.2">
      <c r="A13" s="8">
        <v>5.5</v>
      </c>
      <c r="B13" s="8">
        <v>11</v>
      </c>
      <c r="D13">
        <v>806.68637532134005</v>
      </c>
      <c r="E13">
        <v>379.79520137103998</v>
      </c>
      <c r="F13">
        <v>124.43359040273999</v>
      </c>
      <c r="G13">
        <v>110.97857754927</v>
      </c>
      <c r="I13" s="9">
        <f t="shared" si="1"/>
        <v>268.81662382177001</v>
      </c>
      <c r="J13" s="9">
        <f t="shared" si="2"/>
        <v>682.25278491860001</v>
      </c>
      <c r="K13" s="9">
        <f t="shared" si="3"/>
        <v>268.81662382177001</v>
      </c>
      <c r="L13" s="10">
        <f t="shared" si="0"/>
        <v>0.39401323052692661</v>
      </c>
      <c r="M13" s="10">
        <f t="shared" si="4"/>
        <v>0.39563376360397523</v>
      </c>
      <c r="P13" s="8">
        <f t="shared" si="5"/>
        <v>44.978786512721989</v>
      </c>
    </row>
    <row r="14" spans="1:16" x14ac:dyDescent="0.2">
      <c r="A14" s="8">
        <v>6</v>
      </c>
      <c r="B14" s="8">
        <v>12</v>
      </c>
      <c r="D14">
        <v>847.45586975150002</v>
      </c>
      <c r="E14">
        <v>399.31448157669001</v>
      </c>
      <c r="F14">
        <v>124.1148243359</v>
      </c>
      <c r="G14">
        <v>110.92716366752001</v>
      </c>
      <c r="I14" s="9">
        <f t="shared" si="1"/>
        <v>288.38731790917001</v>
      </c>
      <c r="J14" s="9">
        <f t="shared" si="2"/>
        <v>723.34104541559998</v>
      </c>
      <c r="K14" s="9">
        <f t="shared" si="3"/>
        <v>288.38731790917001</v>
      </c>
      <c r="L14" s="10">
        <f t="shared" si="0"/>
        <v>0.39868789381843434</v>
      </c>
      <c r="M14" s="10">
        <f t="shared" si="4"/>
        <v>0.40045574808430556</v>
      </c>
      <c r="P14" s="8">
        <f t="shared" si="5"/>
        <v>46.745788024860992</v>
      </c>
    </row>
    <row r="15" spans="1:16" x14ac:dyDescent="0.2">
      <c r="A15" s="8">
        <v>6.5</v>
      </c>
      <c r="B15" s="8">
        <v>13</v>
      </c>
      <c r="D15">
        <v>882.41302485003996</v>
      </c>
      <c r="E15">
        <v>430.56383890316999</v>
      </c>
      <c r="F15">
        <v>123.89374464439</v>
      </c>
      <c r="G15">
        <v>110.90231362468</v>
      </c>
      <c r="I15" s="9">
        <f t="shared" si="1"/>
        <v>319.66152527848999</v>
      </c>
      <c r="J15" s="9">
        <f t="shared" si="2"/>
        <v>758.51928020564992</v>
      </c>
      <c r="K15" s="9">
        <f t="shared" si="3"/>
        <v>319.66152527848999</v>
      </c>
      <c r="L15" s="10">
        <f t="shared" si="0"/>
        <v>0.42142834548888891</v>
      </c>
      <c r="M15" s="10">
        <f t="shared" si="4"/>
        <v>0.42334352094358274</v>
      </c>
      <c r="P15" s="8">
        <f t="shared" si="5"/>
        <v>55.132942611693323</v>
      </c>
    </row>
    <row r="16" spans="1:16" x14ac:dyDescent="0.2">
      <c r="A16" s="8">
        <v>7</v>
      </c>
      <c r="B16" s="8">
        <v>14</v>
      </c>
      <c r="D16">
        <v>980.49014567267</v>
      </c>
      <c r="E16">
        <v>490.95629820050999</v>
      </c>
      <c r="F16">
        <v>123.82005141387999</v>
      </c>
      <c r="G16">
        <v>111.10968294772999</v>
      </c>
      <c r="I16" s="9">
        <f t="shared" si="1"/>
        <v>379.84661525278</v>
      </c>
      <c r="J16" s="9">
        <f t="shared" si="2"/>
        <v>856.67009425878996</v>
      </c>
      <c r="K16" s="9">
        <f t="shared" si="3"/>
        <v>379.84661525278</v>
      </c>
      <c r="L16" s="10">
        <f t="shared" si="0"/>
        <v>0.44339894411912645</v>
      </c>
      <c r="M16" s="10">
        <f t="shared" si="4"/>
        <v>0.44546144076264288</v>
      </c>
      <c r="P16" s="8">
        <f t="shared" si="5"/>
        <v>63.237986898972153</v>
      </c>
    </row>
    <row r="17" spans="1:16" x14ac:dyDescent="0.2">
      <c r="A17" s="8">
        <v>7.5</v>
      </c>
      <c r="B17" s="8">
        <v>15</v>
      </c>
      <c r="D17">
        <v>1103.5328151986</v>
      </c>
      <c r="E17">
        <v>577.11571675302002</v>
      </c>
      <c r="F17">
        <v>124.26563838903</v>
      </c>
      <c r="G17">
        <v>111.1028277635</v>
      </c>
      <c r="I17" s="9">
        <f t="shared" si="1"/>
        <v>466.01288898952004</v>
      </c>
      <c r="J17" s="9">
        <f t="shared" si="2"/>
        <v>979.26717680957006</v>
      </c>
      <c r="K17" s="9">
        <f t="shared" si="3"/>
        <v>466.01288898952004</v>
      </c>
      <c r="L17" s="10">
        <f t="shared" si="0"/>
        <v>0.47587920847891513</v>
      </c>
      <c r="M17" s="10">
        <f t="shared" si="4"/>
        <v>0.47808902631125416</v>
      </c>
      <c r="P17" s="8">
        <f t="shared" si="5"/>
        <v>75.194266152258223</v>
      </c>
    </row>
    <row r="18" spans="1:16" x14ac:dyDescent="0.2">
      <c r="A18" s="8">
        <v>8</v>
      </c>
      <c r="B18" s="8">
        <v>16</v>
      </c>
      <c r="D18">
        <v>1076.8169257340001</v>
      </c>
      <c r="E18">
        <v>579.53108808290006</v>
      </c>
      <c r="F18">
        <v>124.00428449015</v>
      </c>
      <c r="G18">
        <v>111.02570694086999</v>
      </c>
      <c r="I18" s="9">
        <f t="shared" si="1"/>
        <v>468.50538114203005</v>
      </c>
      <c r="J18" s="9">
        <f t="shared" si="2"/>
        <v>952.81264124385007</v>
      </c>
      <c r="K18" s="9">
        <f t="shared" si="3"/>
        <v>468.50538114203005</v>
      </c>
      <c r="L18" s="10">
        <f t="shared" si="0"/>
        <v>0.49170777219162343</v>
      </c>
      <c r="M18" s="10">
        <f t="shared" si="4"/>
        <v>0.49406491121278506</v>
      </c>
      <c r="P18" s="8">
        <f t="shared" si="5"/>
        <v>81.048580469095228</v>
      </c>
    </row>
    <row r="19" spans="1:16" x14ac:dyDescent="0.2">
      <c r="A19" s="8">
        <v>8.5</v>
      </c>
      <c r="B19" s="8">
        <v>17</v>
      </c>
      <c r="D19">
        <v>1074.5852613539</v>
      </c>
      <c r="E19">
        <v>580.57583547557999</v>
      </c>
      <c r="F19">
        <v>123.6735218509</v>
      </c>
      <c r="G19">
        <v>110.98971722365</v>
      </c>
      <c r="I19" s="9">
        <f t="shared" si="1"/>
        <v>469.58611825192997</v>
      </c>
      <c r="J19" s="9">
        <f t="shared" si="2"/>
        <v>950.91173950300004</v>
      </c>
      <c r="K19" s="9">
        <f t="shared" si="3"/>
        <v>469.58611825192997</v>
      </c>
      <c r="L19" s="10">
        <f t="shared" si="0"/>
        <v>0.49382723836952741</v>
      </c>
      <c r="M19" s="10">
        <f t="shared" si="4"/>
        <v>0.49633169857951165</v>
      </c>
      <c r="P19" s="8">
        <f t="shared" si="5"/>
        <v>81.879237788927398</v>
      </c>
    </row>
    <row r="20" spans="1:16" x14ac:dyDescent="0.2">
      <c r="A20" s="8">
        <v>9</v>
      </c>
      <c r="B20" s="8">
        <v>18</v>
      </c>
      <c r="D20">
        <v>1076.1893744644001</v>
      </c>
      <c r="E20">
        <v>595.44473007711997</v>
      </c>
      <c r="F20">
        <v>124.38046272494</v>
      </c>
      <c r="G20">
        <v>111.04627249357</v>
      </c>
      <c r="I20" s="9">
        <f t="shared" si="1"/>
        <v>484.39845758355</v>
      </c>
      <c r="J20" s="9">
        <f t="shared" si="2"/>
        <v>951.80891173946009</v>
      </c>
      <c r="K20" s="9">
        <f t="shared" si="3"/>
        <v>484.39845758355</v>
      </c>
      <c r="L20" s="10">
        <f t="shared" si="0"/>
        <v>0.50892406197195283</v>
      </c>
      <c r="M20" s="10">
        <f t="shared" si="4"/>
        <v>0.51157584337075968</v>
      </c>
      <c r="P20" s="8">
        <f t="shared" si="5"/>
        <v>87.465408173191236</v>
      </c>
    </row>
    <row r="21" spans="1:16" x14ac:dyDescent="0.2">
      <c r="A21" s="8">
        <v>9.5</v>
      </c>
      <c r="B21" s="8">
        <v>19</v>
      </c>
      <c r="D21">
        <v>1072.0976863753001</v>
      </c>
      <c r="E21">
        <v>587.78320479862998</v>
      </c>
      <c r="F21">
        <v>124.08397600686</v>
      </c>
      <c r="G21">
        <v>111.2382176521</v>
      </c>
      <c r="I21" s="9">
        <f t="shared" si="1"/>
        <v>476.54498714652999</v>
      </c>
      <c r="J21" s="9">
        <f t="shared" si="2"/>
        <v>948.01371036844012</v>
      </c>
      <c r="K21" s="9">
        <f t="shared" si="3"/>
        <v>476.54498714652999</v>
      </c>
      <c r="L21" s="10">
        <f t="shared" si="0"/>
        <v>0.50267731567017471</v>
      </c>
      <c r="M21" s="10">
        <f t="shared" si="4"/>
        <v>0.50547641825780421</v>
      </c>
      <c r="P21" s="8">
        <f t="shared" si="5"/>
        <v>85.230292435731926</v>
      </c>
    </row>
    <row r="22" spans="1:16" x14ac:dyDescent="0.2">
      <c r="A22" s="8">
        <v>10</v>
      </c>
      <c r="B22" s="8">
        <v>20</v>
      </c>
      <c r="D22">
        <v>1051.3487574978999</v>
      </c>
      <c r="E22">
        <v>578.56041131104996</v>
      </c>
      <c r="F22">
        <v>123.69065981148</v>
      </c>
      <c r="G22">
        <v>111.04798628963</v>
      </c>
      <c r="I22" s="9">
        <f t="shared" si="1"/>
        <v>467.51242502141997</v>
      </c>
      <c r="J22" s="9">
        <f t="shared" si="2"/>
        <v>927.65809768641986</v>
      </c>
      <c r="K22" s="9">
        <f t="shared" si="3"/>
        <v>467.51242502141997</v>
      </c>
      <c r="L22" s="10">
        <f t="shared" si="0"/>
        <v>0.50397061825622647</v>
      </c>
      <c r="M22" s="10">
        <f t="shared" si="4"/>
        <v>0.50691704203267851</v>
      </c>
      <c r="P22" s="8">
        <f t="shared" si="5"/>
        <v>85.758204626036587</v>
      </c>
    </row>
    <row r="23" spans="1:16" x14ac:dyDescent="0.2">
      <c r="A23" s="8">
        <v>10.5</v>
      </c>
      <c r="B23" s="8">
        <v>21</v>
      </c>
      <c r="D23">
        <v>1267.2024013722</v>
      </c>
      <c r="E23">
        <v>653.91252144082</v>
      </c>
      <c r="F23">
        <v>125.04541559554001</v>
      </c>
      <c r="G23">
        <v>111.20222793488</v>
      </c>
      <c r="I23" s="9">
        <f t="shared" si="1"/>
        <v>542.71029350593994</v>
      </c>
      <c r="J23" s="9">
        <f t="shared" si="2"/>
        <v>1142.1569857766601</v>
      </c>
      <c r="K23" s="9">
        <f t="shared" si="3"/>
        <v>542.71029350593994</v>
      </c>
      <c r="L23" s="10">
        <f t="shared" si="0"/>
        <v>0.47516260922477316</v>
      </c>
      <c r="M23" s="10">
        <f t="shared" si="4"/>
        <v>0.47825635419004786</v>
      </c>
      <c r="P23" s="8">
        <f t="shared" si="5"/>
        <v>75.255582943313343</v>
      </c>
    </row>
    <row r="24" spans="1:16" x14ac:dyDescent="0.2">
      <c r="A24" s="8">
        <v>11</v>
      </c>
      <c r="B24" s="8">
        <v>22</v>
      </c>
      <c r="D24">
        <v>1188.3018867925</v>
      </c>
      <c r="E24">
        <v>618.85162950256995</v>
      </c>
      <c r="F24">
        <v>124.16795201371001</v>
      </c>
      <c r="G24">
        <v>110.81576692374</v>
      </c>
      <c r="I24" s="9">
        <f t="shared" si="1"/>
        <v>508.03586257882995</v>
      </c>
      <c r="J24" s="9">
        <f t="shared" si="2"/>
        <v>1064.13393477879</v>
      </c>
      <c r="K24" s="9">
        <f t="shared" si="3"/>
        <v>508.03586257882995</v>
      </c>
      <c r="L24" s="10">
        <f t="shared" si="0"/>
        <v>0.4774172178659441</v>
      </c>
      <c r="M24" s="10">
        <f t="shared" si="4"/>
        <v>0.4806582840200414</v>
      </c>
      <c r="P24" s="8">
        <f t="shared" si="5"/>
        <v>76.135762806803825</v>
      </c>
    </row>
    <row r="25" spans="1:16" x14ac:dyDescent="0.2">
      <c r="A25" s="8">
        <v>11.5</v>
      </c>
      <c r="B25" s="8">
        <v>23</v>
      </c>
      <c r="D25">
        <v>1235.9614065180001</v>
      </c>
      <c r="E25">
        <v>653.35934819897</v>
      </c>
      <c r="F25">
        <v>124.08397600686</v>
      </c>
      <c r="G25">
        <v>111.02485004285001</v>
      </c>
      <c r="I25" s="9">
        <f t="shared" si="1"/>
        <v>542.33449815611993</v>
      </c>
      <c r="J25" s="9">
        <f t="shared" si="2"/>
        <v>1111.8774305111401</v>
      </c>
      <c r="K25" s="9">
        <f t="shared" si="3"/>
        <v>542.33449815611993</v>
      </c>
      <c r="L25" s="10">
        <f t="shared" si="0"/>
        <v>0.48776464318266077</v>
      </c>
      <c r="M25" s="10">
        <f t="shared" si="4"/>
        <v>0.49115303052558068</v>
      </c>
      <c r="P25" s="8">
        <f t="shared" si="5"/>
        <v>79.981530668655807</v>
      </c>
    </row>
    <row r="26" spans="1:16" x14ac:dyDescent="0.2">
      <c r="A26" s="8">
        <v>12</v>
      </c>
      <c r="B26" s="8">
        <v>24</v>
      </c>
      <c r="D26">
        <v>1238.1946826758001</v>
      </c>
      <c r="E26">
        <v>627.30617495711999</v>
      </c>
      <c r="F26">
        <v>123.89374464439</v>
      </c>
      <c r="G26">
        <v>111.00771208226</v>
      </c>
      <c r="I26" s="9">
        <f t="shared" si="1"/>
        <v>516.29846287485998</v>
      </c>
      <c r="J26" s="9">
        <f t="shared" si="2"/>
        <v>1114.3009380314102</v>
      </c>
      <c r="K26" s="9">
        <f t="shared" si="3"/>
        <v>516.29846287485998</v>
      </c>
      <c r="L26" s="10">
        <f t="shared" si="0"/>
        <v>0.46333844408942465</v>
      </c>
      <c r="M26" s="10">
        <f t="shared" si="4"/>
        <v>0.46687415262116716</v>
      </c>
      <c r="P26" s="8">
        <f t="shared" si="5"/>
        <v>71.084609879064615</v>
      </c>
    </row>
    <row r="27" spans="1:16" x14ac:dyDescent="0.2">
      <c r="A27" s="8">
        <v>12.5</v>
      </c>
      <c r="B27" s="8">
        <v>25</v>
      </c>
      <c r="D27">
        <v>1144.2384219554001</v>
      </c>
      <c r="E27">
        <v>594.51029159519999</v>
      </c>
      <c r="F27">
        <v>123.92116538131999</v>
      </c>
      <c r="G27">
        <v>110.82090831191</v>
      </c>
      <c r="I27" s="9">
        <f t="shared" si="1"/>
        <v>483.68938328329</v>
      </c>
      <c r="J27" s="9">
        <f t="shared" si="2"/>
        <v>1020.3172565740801</v>
      </c>
      <c r="K27" s="9">
        <f t="shared" si="3"/>
        <v>483.68938328329</v>
      </c>
      <c r="L27" s="10">
        <f t="shared" si="0"/>
        <v>0.47405782874571201</v>
      </c>
      <c r="M27" s="10">
        <f t="shared" si="4"/>
        <v>0.47774085846627712</v>
      </c>
      <c r="P27" s="8">
        <f t="shared" si="5"/>
        <v>75.066681106918026</v>
      </c>
    </row>
    <row r="28" spans="1:16" x14ac:dyDescent="0.2">
      <c r="A28" s="8">
        <v>13</v>
      </c>
      <c r="B28" s="8">
        <v>26</v>
      </c>
      <c r="D28">
        <v>1126.0540308748</v>
      </c>
      <c r="E28">
        <v>592.29674099484998</v>
      </c>
      <c r="F28">
        <v>124.25449871465</v>
      </c>
      <c r="G28">
        <v>111.04284490146</v>
      </c>
      <c r="I28" s="9">
        <f t="shared" si="1"/>
        <v>481.25389609338998</v>
      </c>
      <c r="J28" s="9">
        <f t="shared" si="2"/>
        <v>1001.79953216015</v>
      </c>
      <c r="K28" s="9">
        <f t="shared" si="3"/>
        <v>481.25389609338998</v>
      </c>
      <c r="L28" s="10">
        <f t="shared" si="0"/>
        <v>0.48038941988291489</v>
      </c>
      <c r="M28" s="10">
        <f t="shared" si="4"/>
        <v>0.48421977079230261</v>
      </c>
      <c r="P28" s="8">
        <f t="shared" si="5"/>
        <v>77.440858776672542</v>
      </c>
    </row>
    <row r="29" spans="1:16" x14ac:dyDescent="0.2">
      <c r="A29" s="8">
        <v>13.5</v>
      </c>
      <c r="B29" s="8">
        <v>27</v>
      </c>
      <c r="D29">
        <v>1057.9554030874999</v>
      </c>
      <c r="E29">
        <v>576.99742710119995</v>
      </c>
      <c r="F29">
        <v>124.11225364182</v>
      </c>
      <c r="G29">
        <v>111.31876606684</v>
      </c>
      <c r="I29" s="9">
        <f t="shared" si="1"/>
        <v>465.67866103435995</v>
      </c>
      <c r="J29" s="9">
        <f t="shared" si="2"/>
        <v>933.84314944567996</v>
      </c>
      <c r="K29" s="9">
        <f t="shared" si="3"/>
        <v>465.67866103435995</v>
      </c>
      <c r="L29" s="10">
        <f t="shared" si="0"/>
        <v>0.4986690337780838</v>
      </c>
      <c r="M29" s="10">
        <f t="shared" si="4"/>
        <v>0.50264670587629412</v>
      </c>
      <c r="P29" s="8">
        <f t="shared" si="5"/>
        <v>84.193352960409456</v>
      </c>
    </row>
    <row r="30" spans="1:16" x14ac:dyDescent="0.2">
      <c r="A30" s="8">
        <v>14</v>
      </c>
      <c r="B30" s="8">
        <v>28</v>
      </c>
      <c r="D30">
        <v>971.51457975986</v>
      </c>
      <c r="E30">
        <v>547.86363636364001</v>
      </c>
      <c r="F30">
        <v>123.60325621251</v>
      </c>
      <c r="G30">
        <v>110.76606683804999</v>
      </c>
      <c r="I30" s="9">
        <f t="shared" si="1"/>
        <v>437.09756952559002</v>
      </c>
      <c r="J30" s="9">
        <f t="shared" si="2"/>
        <v>847.91132354734998</v>
      </c>
      <c r="K30" s="9">
        <f t="shared" si="3"/>
        <v>437.09756952559002</v>
      </c>
      <c r="L30" s="10">
        <f t="shared" si="0"/>
        <v>0.51549915349276632</v>
      </c>
      <c r="M30" s="10">
        <f t="shared" si="4"/>
        <v>0.51962414677979918</v>
      </c>
      <c r="P30" s="8">
        <f t="shared" si="5"/>
        <v>90.414684420748159</v>
      </c>
    </row>
    <row r="31" spans="1:16" x14ac:dyDescent="0.2">
      <c r="A31" s="8">
        <v>14.5</v>
      </c>
      <c r="B31" s="8">
        <v>29</v>
      </c>
      <c r="D31">
        <v>930.20068610634996</v>
      </c>
      <c r="E31">
        <v>514.98885077187003</v>
      </c>
      <c r="F31">
        <v>123.53984575836</v>
      </c>
      <c r="G31">
        <v>110.73179091688</v>
      </c>
      <c r="I31" s="9">
        <f t="shared" si="1"/>
        <v>404.25705985499002</v>
      </c>
      <c r="J31" s="9">
        <f t="shared" si="2"/>
        <v>806.66084034798996</v>
      </c>
      <c r="K31" s="9">
        <f t="shared" si="3"/>
        <v>404.25705985499002</v>
      </c>
      <c r="L31" s="10">
        <f t="shared" si="0"/>
        <v>0.50114873517424663</v>
      </c>
      <c r="M31" s="10">
        <f t="shared" si="4"/>
        <v>0.50542104965010215</v>
      </c>
      <c r="P31" s="8">
        <f t="shared" si="5"/>
        <v>85.21000277824055</v>
      </c>
    </row>
    <row r="32" spans="1:16" x14ac:dyDescent="0.2">
      <c r="A32" s="8">
        <v>15</v>
      </c>
      <c r="B32" s="8">
        <v>30</v>
      </c>
      <c r="D32">
        <v>1015.1372212693</v>
      </c>
      <c r="E32">
        <v>533.96054888508002</v>
      </c>
      <c r="F32">
        <v>124.47814910026</v>
      </c>
      <c r="G32">
        <v>111.04798628963</v>
      </c>
      <c r="I32" s="9">
        <f t="shared" si="1"/>
        <v>422.91256259545003</v>
      </c>
      <c r="J32" s="9">
        <f t="shared" si="2"/>
        <v>890.65907216903997</v>
      </c>
      <c r="K32" s="9">
        <f t="shared" si="3"/>
        <v>422.91256259545003</v>
      </c>
      <c r="L32" s="10">
        <f t="shared" si="0"/>
        <v>0.47483102773042274</v>
      </c>
      <c r="M32" s="10">
        <f t="shared" si="4"/>
        <v>0.47925066339510086</v>
      </c>
      <c r="P32" s="8">
        <f t="shared" si="5"/>
        <v>75.619944520176404</v>
      </c>
    </row>
    <row r="33" spans="1:16" x14ac:dyDescent="0.2">
      <c r="A33" s="8">
        <v>15.5</v>
      </c>
      <c r="B33" s="8">
        <v>31</v>
      </c>
      <c r="D33">
        <v>1015.9382504288</v>
      </c>
      <c r="E33">
        <v>539.49313893654005</v>
      </c>
      <c r="F33">
        <v>123.90145672665</v>
      </c>
      <c r="G33">
        <v>110.78663239075</v>
      </c>
      <c r="I33" s="9">
        <f t="shared" si="1"/>
        <v>428.70650654579003</v>
      </c>
      <c r="J33" s="9">
        <f t="shared" si="2"/>
        <v>892.03679370214991</v>
      </c>
      <c r="K33" s="9">
        <f t="shared" si="3"/>
        <v>428.70650654579003</v>
      </c>
      <c r="L33" s="10">
        <f t="shared" si="0"/>
        <v>0.48059285174388744</v>
      </c>
      <c r="M33" s="10">
        <f t="shared" si="4"/>
        <v>0.48515980859738816</v>
      </c>
      <c r="P33" s="8">
        <f t="shared" si="5"/>
        <v>77.785332764473551</v>
      </c>
    </row>
    <row r="34" spans="1:16" x14ac:dyDescent="0.2">
      <c r="A34" s="8">
        <v>16</v>
      </c>
      <c r="B34" s="8">
        <v>32</v>
      </c>
      <c r="D34">
        <v>997.35077186963997</v>
      </c>
      <c r="E34">
        <v>528.47684391080998</v>
      </c>
      <c r="F34">
        <v>124.07369323051</v>
      </c>
      <c r="G34">
        <v>110.76692373608</v>
      </c>
      <c r="I34" s="9">
        <f t="shared" si="1"/>
        <v>417.70992017472997</v>
      </c>
      <c r="J34" s="9">
        <f t="shared" si="2"/>
        <v>873.27707863912997</v>
      </c>
      <c r="K34" s="9">
        <f t="shared" si="3"/>
        <v>417.70992017472997</v>
      </c>
      <c r="L34" s="10">
        <f t="shared" si="0"/>
        <v>0.47832461241931096</v>
      </c>
      <c r="M34" s="10">
        <f t="shared" si="4"/>
        <v>0.48303889046163428</v>
      </c>
      <c r="P34" s="8">
        <f t="shared" si="5"/>
        <v>77.008128779623021</v>
      </c>
    </row>
    <row r="35" spans="1:16" x14ac:dyDescent="0.2">
      <c r="A35" s="8">
        <v>16.5</v>
      </c>
      <c r="B35" s="8">
        <v>33</v>
      </c>
      <c r="D35">
        <v>974.82933104631002</v>
      </c>
      <c r="E35">
        <v>515.86363636364001</v>
      </c>
      <c r="F35">
        <v>124.01371036847</v>
      </c>
      <c r="G35">
        <v>110.79263067695</v>
      </c>
      <c r="I35" s="9">
        <f t="shared" si="1"/>
        <v>405.07100568669</v>
      </c>
      <c r="J35" s="9">
        <f t="shared" si="2"/>
        <v>850.81562067784</v>
      </c>
      <c r="K35" s="9">
        <f t="shared" si="3"/>
        <v>405.07100568669</v>
      </c>
      <c r="L35" s="10">
        <f t="shared" si="0"/>
        <v>0.47609728340903312</v>
      </c>
      <c r="M35" s="10">
        <f t="shared" si="4"/>
        <v>0.48095888264017905</v>
      </c>
      <c r="P35" s="8">
        <f t="shared" si="5"/>
        <v>76.245916254724861</v>
      </c>
    </row>
    <row r="36" spans="1:16" x14ac:dyDescent="0.2">
      <c r="A36" s="8">
        <v>17</v>
      </c>
      <c r="B36" s="8">
        <v>34</v>
      </c>
      <c r="D36">
        <v>960.26329331045997</v>
      </c>
      <c r="E36">
        <v>512.02401372213001</v>
      </c>
      <c r="F36">
        <v>123.39245929734</v>
      </c>
      <c r="G36">
        <v>110.66580976864</v>
      </c>
      <c r="I36" s="9">
        <f t="shared" si="1"/>
        <v>401.35820395349003</v>
      </c>
      <c r="J36" s="9">
        <f t="shared" si="2"/>
        <v>836.87083401311997</v>
      </c>
      <c r="K36" s="9">
        <f t="shared" si="3"/>
        <v>401.35820395349003</v>
      </c>
      <c r="L36" s="10">
        <f t="shared" si="0"/>
        <v>0.4795939679589763</v>
      </c>
      <c r="M36" s="10">
        <f t="shared" si="4"/>
        <v>0.48460288837894483</v>
      </c>
      <c r="P36" s="8">
        <f t="shared" si="5"/>
        <v>77.581251048295414</v>
      </c>
    </row>
    <row r="37" spans="1:16" x14ac:dyDescent="0.2">
      <c r="A37" s="8">
        <v>17.5</v>
      </c>
      <c r="B37" s="8">
        <v>35</v>
      </c>
      <c r="D37">
        <v>1102.1291418861999</v>
      </c>
      <c r="E37">
        <v>575.82922684792004</v>
      </c>
      <c r="F37">
        <v>123.85775492716</v>
      </c>
      <c r="G37">
        <v>110.82776349613999</v>
      </c>
      <c r="I37" s="9">
        <f t="shared" si="1"/>
        <v>465.00146335178005</v>
      </c>
      <c r="J37" s="9">
        <f t="shared" si="2"/>
        <v>978.27138695903989</v>
      </c>
      <c r="K37" s="9">
        <f t="shared" si="3"/>
        <v>465.00146335178005</v>
      </c>
      <c r="L37" s="10">
        <f t="shared" si="0"/>
        <v>0.47532971888019621</v>
      </c>
      <c r="M37" s="10">
        <f t="shared" si="4"/>
        <v>0.48048596048898734</v>
      </c>
      <c r="P37" s="8">
        <f t="shared" si="5"/>
        <v>76.072615374208013</v>
      </c>
    </row>
    <row r="38" spans="1:16" x14ac:dyDescent="0.2">
      <c r="A38" s="8">
        <v>18</v>
      </c>
      <c r="B38" s="8">
        <v>36</v>
      </c>
      <c r="D38">
        <v>1101.6142735768999</v>
      </c>
      <c r="E38">
        <v>559.84961767205004</v>
      </c>
      <c r="F38">
        <v>124.18423307626</v>
      </c>
      <c r="G38">
        <v>111.19965724079</v>
      </c>
      <c r="I38" s="9">
        <f t="shared" si="1"/>
        <v>448.64996043126007</v>
      </c>
      <c r="J38" s="9">
        <f t="shared" si="2"/>
        <v>977.43004050063996</v>
      </c>
      <c r="K38" s="9">
        <f t="shared" si="3"/>
        <v>448.64996043126007</v>
      </c>
      <c r="L38" s="10">
        <f t="shared" si="0"/>
        <v>0.45900979286605659</v>
      </c>
      <c r="M38" s="10">
        <f t="shared" si="4"/>
        <v>0.46431335566367032</v>
      </c>
      <c r="P38" s="8">
        <f t="shared" si="5"/>
        <v>70.146213641035274</v>
      </c>
    </row>
    <row r="39" spans="1:16" x14ac:dyDescent="0.2">
      <c r="A39" s="8">
        <v>18.5</v>
      </c>
      <c r="B39" s="8">
        <v>37</v>
      </c>
      <c r="D39">
        <v>1095.9549702633999</v>
      </c>
      <c r="E39">
        <v>544.22939677144996</v>
      </c>
      <c r="F39">
        <v>124.11225364182</v>
      </c>
      <c r="G39">
        <v>110.84147386460999</v>
      </c>
      <c r="I39" s="9">
        <f t="shared" si="1"/>
        <v>433.38792290683995</v>
      </c>
      <c r="J39" s="9">
        <f t="shared" si="2"/>
        <v>971.84271662157994</v>
      </c>
      <c r="K39" s="9">
        <f t="shared" si="3"/>
        <v>433.38792290683995</v>
      </c>
      <c r="L39" s="10">
        <f t="shared" si="0"/>
        <v>0.44594450881252456</v>
      </c>
      <c r="M39" s="10">
        <f t="shared" si="4"/>
        <v>0.4513953927989609</v>
      </c>
      <c r="P39" s="8">
        <f t="shared" si="5"/>
        <v>65.412465531971819</v>
      </c>
    </row>
    <row r="40" spans="1:16" x14ac:dyDescent="0.2">
      <c r="A40" s="8">
        <v>19</v>
      </c>
      <c r="B40" s="8">
        <v>38</v>
      </c>
      <c r="D40">
        <v>1086.2574341546001</v>
      </c>
      <c r="E40">
        <v>531.57094307561999</v>
      </c>
      <c r="F40">
        <v>123.99485861183</v>
      </c>
      <c r="G40">
        <v>110.89288774636</v>
      </c>
      <c r="I40" s="9">
        <f t="shared" si="1"/>
        <v>420.67805532926002</v>
      </c>
      <c r="J40" s="9">
        <f t="shared" si="2"/>
        <v>962.26257554277015</v>
      </c>
      <c r="K40" s="9">
        <f t="shared" si="3"/>
        <v>420.67805532926002</v>
      </c>
      <c r="L40" s="10">
        <f t="shared" si="0"/>
        <v>0.43717594970580037</v>
      </c>
      <c r="M40" s="10">
        <f t="shared" si="4"/>
        <v>0.44277415488105931</v>
      </c>
      <c r="P40" s="8">
        <f t="shared" si="5"/>
        <v>62.253239180335228</v>
      </c>
    </row>
    <row r="41" spans="1:16" x14ac:dyDescent="0.2">
      <c r="A41" s="8">
        <v>19.5</v>
      </c>
      <c r="B41" s="8">
        <v>39</v>
      </c>
      <c r="D41">
        <v>1083.2489379778999</v>
      </c>
      <c r="E41">
        <v>512.42480883602002</v>
      </c>
      <c r="F41">
        <v>123.95029991430999</v>
      </c>
      <c r="G41">
        <v>110.79777206512</v>
      </c>
      <c r="I41" s="9">
        <f t="shared" si="1"/>
        <v>401.62703677090002</v>
      </c>
      <c r="J41" s="9">
        <f t="shared" si="2"/>
        <v>959.29863806358992</v>
      </c>
      <c r="K41" s="9">
        <f t="shared" si="3"/>
        <v>401.62703677090002</v>
      </c>
      <c r="L41" s="10">
        <f t="shared" si="0"/>
        <v>0.41866736888276179</v>
      </c>
      <c r="M41" s="10">
        <f t="shared" si="4"/>
        <v>0.42441289524684334</v>
      </c>
      <c r="P41" s="8">
        <f t="shared" si="5"/>
        <v>55.524811564945253</v>
      </c>
    </row>
    <row r="42" spans="1:16" x14ac:dyDescent="0.2">
      <c r="A42" s="8">
        <v>20</v>
      </c>
      <c r="B42" s="8">
        <v>40</v>
      </c>
      <c r="D42">
        <v>1083.6474086661001</v>
      </c>
      <c r="E42">
        <v>503.29141886151001</v>
      </c>
      <c r="F42">
        <v>123.98886032562</v>
      </c>
      <c r="G42">
        <v>110.66838046273</v>
      </c>
      <c r="I42" s="9">
        <f t="shared" si="1"/>
        <v>392.62303839878001</v>
      </c>
      <c r="J42" s="9">
        <f t="shared" si="2"/>
        <v>959.65854834048014</v>
      </c>
      <c r="K42" s="9">
        <f t="shared" si="3"/>
        <v>392.62303839878001</v>
      </c>
      <c r="L42" s="10">
        <f t="shared" si="0"/>
        <v>0.40912784977295913</v>
      </c>
      <c r="M42" s="10">
        <f t="shared" si="4"/>
        <v>0.41502069732586327</v>
      </c>
      <c r="P42" s="8">
        <f t="shared" si="5"/>
        <v>52.083069270589363</v>
      </c>
    </row>
    <row r="43" spans="1:16" x14ac:dyDescent="0.2">
      <c r="A43" s="8">
        <v>20.5</v>
      </c>
      <c r="B43" s="8">
        <v>41</v>
      </c>
      <c r="D43">
        <v>1076.9626168223999</v>
      </c>
      <c r="E43">
        <v>490.58708581139001</v>
      </c>
      <c r="F43">
        <v>124.11396743788001</v>
      </c>
      <c r="G43">
        <v>110.79177377892</v>
      </c>
      <c r="I43" s="9">
        <f t="shared" si="1"/>
        <v>379.79531203247001</v>
      </c>
      <c r="J43" s="9">
        <f t="shared" si="2"/>
        <v>952.84864938451994</v>
      </c>
      <c r="K43" s="9">
        <f t="shared" si="3"/>
        <v>379.79531203247001</v>
      </c>
      <c r="L43" s="10">
        <f t="shared" si="0"/>
        <v>0.39858933764328031</v>
      </c>
      <c r="M43" s="10">
        <f t="shared" si="4"/>
        <v>0.40462950638500705</v>
      </c>
      <c r="P43" s="8">
        <f t="shared" si="5"/>
        <v>48.275249029707915</v>
      </c>
    </row>
    <row r="44" spans="1:16" x14ac:dyDescent="0.2">
      <c r="A44" s="8">
        <v>21</v>
      </c>
      <c r="B44" s="8">
        <v>42</v>
      </c>
      <c r="D44">
        <v>1063.4137638063</v>
      </c>
      <c r="E44">
        <v>478.96431605777002</v>
      </c>
      <c r="F44">
        <v>124.31276778063</v>
      </c>
      <c r="G44">
        <v>110.52099400170999</v>
      </c>
      <c r="I44" s="9">
        <f t="shared" si="1"/>
        <v>368.44332205606003</v>
      </c>
      <c r="J44" s="9">
        <f t="shared" si="2"/>
        <v>939.10099602567004</v>
      </c>
      <c r="K44" s="9">
        <f t="shared" si="3"/>
        <v>368.44332205606003</v>
      </c>
      <c r="L44" s="10">
        <f t="shared" si="0"/>
        <v>0.39233620623908777</v>
      </c>
      <c r="M44" s="10">
        <f t="shared" si="4"/>
        <v>0.39852369616963712</v>
      </c>
      <c r="P44" s="8">
        <f t="shared" si="5"/>
        <v>46.037793490934931</v>
      </c>
    </row>
    <row r="45" spans="1:16" x14ac:dyDescent="0.2">
      <c r="A45" s="8">
        <v>21.5</v>
      </c>
      <c r="B45" s="8">
        <v>43</v>
      </c>
      <c r="D45">
        <v>1041.2854715378</v>
      </c>
      <c r="E45">
        <v>457.81138487681</v>
      </c>
      <c r="F45">
        <v>124.30848329049</v>
      </c>
      <c r="G45">
        <v>110.6880891174</v>
      </c>
      <c r="I45" s="9">
        <f t="shared" si="1"/>
        <v>347.12329575940998</v>
      </c>
      <c r="J45" s="9">
        <f t="shared" si="2"/>
        <v>916.97698824731003</v>
      </c>
      <c r="K45" s="9">
        <f t="shared" si="3"/>
        <v>347.12329575940998</v>
      </c>
      <c r="L45" s="10">
        <f t="shared" si="0"/>
        <v>0.37855180687019629</v>
      </c>
      <c r="M45" s="10">
        <f t="shared" si="4"/>
        <v>0.38488661798956825</v>
      </c>
      <c r="P45" s="8">
        <f t="shared" si="5"/>
        <v>41.040527766909044</v>
      </c>
    </row>
    <row r="46" spans="1:16" x14ac:dyDescent="0.2">
      <c r="A46" s="8">
        <v>22</v>
      </c>
      <c r="B46" s="8">
        <v>44</v>
      </c>
      <c r="D46">
        <v>1021.5140905209</v>
      </c>
      <c r="E46">
        <v>427.54654141758999</v>
      </c>
      <c r="F46">
        <v>124.41302485004</v>
      </c>
      <c r="G46">
        <v>110.70694087404</v>
      </c>
      <c r="I46" s="9">
        <f t="shared" si="1"/>
        <v>316.83960054354998</v>
      </c>
      <c r="J46" s="9">
        <f t="shared" si="2"/>
        <v>897.10106567086007</v>
      </c>
      <c r="K46" s="9">
        <f t="shared" si="3"/>
        <v>316.83960054354998</v>
      </c>
      <c r="L46" s="10">
        <f t="shared" si="0"/>
        <v>0.35318161204792969</v>
      </c>
      <c r="M46" s="10">
        <f t="shared" si="4"/>
        <v>0.35966374435612425</v>
      </c>
      <c r="P46" s="8">
        <f t="shared" si="5"/>
        <v>31.797682620353662</v>
      </c>
    </row>
    <row r="47" spans="1:16" x14ac:dyDescent="0.2">
      <c r="A47" s="8">
        <v>22.5</v>
      </c>
      <c r="B47" s="8">
        <v>45</v>
      </c>
      <c r="D47">
        <v>1005.2416737831001</v>
      </c>
      <c r="E47">
        <v>417.58923996584002</v>
      </c>
      <c r="F47">
        <v>124.04970008569001</v>
      </c>
      <c r="G47">
        <v>111.09340188518</v>
      </c>
      <c r="I47" s="9">
        <f t="shared" si="1"/>
        <v>306.49583808066001</v>
      </c>
      <c r="J47" s="9">
        <f t="shared" si="2"/>
        <v>881.19197369741005</v>
      </c>
      <c r="K47" s="9">
        <f t="shared" si="3"/>
        <v>306.49583808066001</v>
      </c>
      <c r="L47" s="10">
        <f t="shared" si="0"/>
        <v>0.34781959803222939</v>
      </c>
      <c r="M47" s="10">
        <f t="shared" si="4"/>
        <v>0.35444905152924655</v>
      </c>
      <c r="P47" s="8">
        <f t="shared" si="5"/>
        <v>29.886774331863673</v>
      </c>
    </row>
    <row r="48" spans="1:16" x14ac:dyDescent="0.2">
      <c r="A48" s="8">
        <v>23</v>
      </c>
      <c r="B48" s="8">
        <v>46</v>
      </c>
      <c r="D48">
        <v>1029.7868150684999</v>
      </c>
      <c r="E48">
        <v>414.94777397259998</v>
      </c>
      <c r="F48">
        <v>124.34275921165001</v>
      </c>
      <c r="G48">
        <v>110.96143958869</v>
      </c>
      <c r="I48" s="9">
        <f t="shared" si="1"/>
        <v>303.98633438390999</v>
      </c>
      <c r="J48" s="9">
        <f t="shared" si="2"/>
        <v>905.4440558568499</v>
      </c>
      <c r="K48" s="9">
        <f t="shared" si="3"/>
        <v>303.98633438390999</v>
      </c>
      <c r="L48" s="10">
        <f t="shared" si="0"/>
        <v>0.33573176875763822</v>
      </c>
      <c r="M48" s="10">
        <f t="shared" si="4"/>
        <v>0.34250854344347798</v>
      </c>
      <c r="P48" s="8">
        <f t="shared" si="5"/>
        <v>25.511211546598201</v>
      </c>
    </row>
    <row r="49" spans="1:25" x14ac:dyDescent="0.2">
      <c r="A49" s="8">
        <v>23.5</v>
      </c>
      <c r="B49" s="8">
        <v>47</v>
      </c>
      <c r="D49">
        <v>1040.3741438356001</v>
      </c>
      <c r="E49">
        <v>415.94349315069002</v>
      </c>
      <c r="F49">
        <v>124.09940017138</v>
      </c>
      <c r="G49">
        <v>110.87574978578</v>
      </c>
      <c r="I49" s="9">
        <f t="shared" si="1"/>
        <v>305.06774336491003</v>
      </c>
      <c r="J49" s="9">
        <f t="shared" si="2"/>
        <v>916.27474366422007</v>
      </c>
      <c r="K49" s="9">
        <f t="shared" si="3"/>
        <v>305.06774336491003</v>
      </c>
      <c r="L49" s="10">
        <f t="shared" si="0"/>
        <v>0.33294352537202071</v>
      </c>
      <c r="M49" s="10">
        <f t="shared" si="4"/>
        <v>0.33986762124668307</v>
      </c>
      <c r="P49" s="8">
        <f t="shared" si="5"/>
        <v>24.543453658904131</v>
      </c>
    </row>
    <row r="50" spans="1:25" x14ac:dyDescent="0.2">
      <c r="A50" s="8">
        <v>24</v>
      </c>
      <c r="B50" s="8">
        <v>48</v>
      </c>
      <c r="D50">
        <v>1031.6506849315001</v>
      </c>
      <c r="E50">
        <v>398.11215753425</v>
      </c>
      <c r="F50">
        <v>124.19622964867</v>
      </c>
      <c r="G50">
        <v>110.68380462725</v>
      </c>
      <c r="I50" s="9">
        <f t="shared" si="1"/>
        <v>287.42835290699998</v>
      </c>
      <c r="J50" s="9">
        <f t="shared" si="2"/>
        <v>907.45445528283017</v>
      </c>
      <c r="K50" s="9">
        <f t="shared" si="3"/>
        <v>287.42835290699998</v>
      </c>
      <c r="L50" s="10">
        <f t="shared" si="0"/>
        <v>0.31674135405221626</v>
      </c>
      <c r="M50" s="10">
        <f t="shared" si="4"/>
        <v>0.32381277111570123</v>
      </c>
      <c r="P50" s="8">
        <f t="shared" si="5"/>
        <v>18.660202774474367</v>
      </c>
    </row>
    <row r="51" spans="1:25" x14ac:dyDescent="0.2">
      <c r="A51" s="8">
        <v>24.5</v>
      </c>
      <c r="B51" s="8">
        <v>49</v>
      </c>
      <c r="D51">
        <v>1023.6549657534</v>
      </c>
      <c r="E51">
        <v>395.68321917807998</v>
      </c>
      <c r="F51">
        <v>124.10025706941001</v>
      </c>
      <c r="G51">
        <v>110.82176520994</v>
      </c>
      <c r="I51" s="9">
        <f t="shared" si="1"/>
        <v>284.86145396813998</v>
      </c>
      <c r="J51" s="9">
        <f t="shared" si="2"/>
        <v>899.55470868399004</v>
      </c>
      <c r="K51" s="9">
        <f t="shared" si="3"/>
        <v>284.86145396813998</v>
      </c>
      <c r="L51" s="10">
        <f t="shared" si="0"/>
        <v>0.31666940456004067</v>
      </c>
      <c r="M51" s="10">
        <f t="shared" si="4"/>
        <v>0.32388814281234823</v>
      </c>
      <c r="P51" s="8">
        <f t="shared" si="5"/>
        <v>18.687822502926629</v>
      </c>
    </row>
    <row r="52" spans="1:25" x14ac:dyDescent="0.2">
      <c r="A52" s="8">
        <v>25</v>
      </c>
      <c r="B52" s="8">
        <v>50</v>
      </c>
      <c r="D52">
        <v>1038.2260273973</v>
      </c>
      <c r="E52">
        <v>400.89041095890002</v>
      </c>
      <c r="F52">
        <v>123.95372750643</v>
      </c>
      <c r="G52">
        <v>110.56041131105</v>
      </c>
      <c r="I52" s="9">
        <f t="shared" si="1"/>
        <v>290.32999964785</v>
      </c>
      <c r="J52" s="9">
        <f t="shared" si="2"/>
        <v>914.27229989086993</v>
      </c>
      <c r="K52" s="9">
        <f t="shared" si="3"/>
        <v>290.32999964785</v>
      </c>
      <c r="L52" s="10">
        <f t="shared" si="0"/>
        <v>0.31755309625207345</v>
      </c>
      <c r="M52" s="10">
        <f t="shared" si="4"/>
        <v>0.32491915569320362</v>
      </c>
      <c r="P52" s="8">
        <f t="shared" si="5"/>
        <v>19.06563402988979</v>
      </c>
    </row>
    <row r="53" spans="1:25" x14ac:dyDescent="0.2">
      <c r="A53" s="8">
        <v>25.5</v>
      </c>
      <c r="B53" s="8">
        <v>51</v>
      </c>
      <c r="D53">
        <v>1049.0085616438</v>
      </c>
      <c r="E53">
        <v>400.35445205479999</v>
      </c>
      <c r="F53">
        <v>124.09768637532</v>
      </c>
      <c r="G53">
        <v>110.42416452441999</v>
      </c>
      <c r="I53" s="9">
        <f t="shared" si="1"/>
        <v>289.93028753037999</v>
      </c>
      <c r="J53" s="9">
        <f t="shared" si="2"/>
        <v>924.91087526848003</v>
      </c>
      <c r="K53" s="9">
        <f t="shared" si="3"/>
        <v>289.93028753037999</v>
      </c>
      <c r="L53" s="10">
        <f t="shared" si="0"/>
        <v>0.31346835168979931</v>
      </c>
      <c r="M53" s="10">
        <f t="shared" si="4"/>
        <v>0.32098173231975208</v>
      </c>
      <c r="P53" s="8">
        <f t="shared" si="5"/>
        <v>17.622777238624522</v>
      </c>
      <c r="S53" s="11"/>
      <c r="U53" s="12"/>
    </row>
    <row r="54" spans="1:25" x14ac:dyDescent="0.2">
      <c r="A54" s="8">
        <v>26</v>
      </c>
      <c r="B54" s="8">
        <v>52</v>
      </c>
      <c r="D54">
        <v>1036.607020548</v>
      </c>
      <c r="E54">
        <v>403.19520547945001</v>
      </c>
      <c r="F54">
        <v>123.88774635818</v>
      </c>
      <c r="G54">
        <v>110.34447300770999</v>
      </c>
      <c r="I54" s="9">
        <f t="shared" si="1"/>
        <v>292.85073247174</v>
      </c>
      <c r="J54" s="9">
        <f t="shared" si="2"/>
        <v>912.71927418982</v>
      </c>
      <c r="K54" s="9">
        <f t="shared" si="3"/>
        <v>292.85073247174</v>
      </c>
      <c r="L54" s="10">
        <f t="shared" si="0"/>
        <v>0.32085520789696315</v>
      </c>
      <c r="M54" s="10">
        <f t="shared" si="4"/>
        <v>0.32851590971573852</v>
      </c>
      <c r="P54" s="8">
        <f t="shared" si="5"/>
        <v>20.383653576102812</v>
      </c>
      <c r="S54" s="11"/>
    </row>
    <row r="55" spans="1:25" x14ac:dyDescent="0.2">
      <c r="A55" s="8">
        <v>26.5</v>
      </c>
      <c r="B55" s="8">
        <v>53</v>
      </c>
      <c r="D55">
        <v>1033.4871575343</v>
      </c>
      <c r="E55">
        <v>396.04366438355999</v>
      </c>
      <c r="F55">
        <v>124.08054841473999</v>
      </c>
      <c r="G55">
        <v>110.54841473865</v>
      </c>
      <c r="I55" s="9">
        <f t="shared" si="1"/>
        <v>285.49524964491002</v>
      </c>
      <c r="J55" s="9">
        <f t="shared" si="2"/>
        <v>909.40660911956002</v>
      </c>
      <c r="K55" s="9">
        <f t="shared" si="3"/>
        <v>285.49524964491002</v>
      </c>
      <c r="L55" s="10">
        <f t="shared" si="0"/>
        <v>0.31393575413017022</v>
      </c>
      <c r="M55" s="10">
        <f t="shared" si="4"/>
        <v>0.32174377713776819</v>
      </c>
      <c r="P55" s="8">
        <f t="shared" si="5"/>
        <v>17.902026238957252</v>
      </c>
      <c r="S55" s="11"/>
    </row>
    <row r="56" spans="1:25" x14ac:dyDescent="0.2">
      <c r="A56" s="8">
        <v>27</v>
      </c>
      <c r="B56" s="8">
        <v>54</v>
      </c>
      <c r="D56">
        <v>1038.2069846678</v>
      </c>
      <c r="E56">
        <v>384.32964224872001</v>
      </c>
      <c r="F56">
        <v>123.96229648672001</v>
      </c>
      <c r="G56">
        <v>110.64095972579</v>
      </c>
      <c r="I56" s="9">
        <f t="shared" si="1"/>
        <v>273.68868252292998</v>
      </c>
      <c r="J56" s="9">
        <f t="shared" si="2"/>
        <v>914.24468818108005</v>
      </c>
      <c r="K56" s="9">
        <f t="shared" si="3"/>
        <v>273.68868252292998</v>
      </c>
      <c r="L56" s="10">
        <f t="shared" si="0"/>
        <v>0.29936042950103725</v>
      </c>
      <c r="M56" s="10">
        <f t="shared" si="4"/>
        <v>0.30731577369745783</v>
      </c>
      <c r="P56" s="8">
        <f t="shared" si="5"/>
        <v>12.61492836459232</v>
      </c>
      <c r="S56" s="11"/>
    </row>
    <row r="57" spans="1:25" x14ac:dyDescent="0.2">
      <c r="A57" s="8">
        <v>27.5</v>
      </c>
      <c r="B57" s="8">
        <v>55</v>
      </c>
      <c r="D57">
        <v>1051.9211864407</v>
      </c>
      <c r="E57">
        <v>382.98983050848</v>
      </c>
      <c r="F57">
        <v>123.61953727506</v>
      </c>
      <c r="G57">
        <v>110.65552699229001</v>
      </c>
      <c r="I57" s="9">
        <f t="shared" si="1"/>
        <v>272.33430351619</v>
      </c>
      <c r="J57" s="9">
        <f t="shared" si="2"/>
        <v>928.30164916564001</v>
      </c>
      <c r="K57" s="9">
        <f t="shared" si="3"/>
        <v>272.33430351619</v>
      </c>
      <c r="L57" s="10">
        <f t="shared" si="0"/>
        <v>0.29336832888422076</v>
      </c>
      <c r="M57" s="10">
        <f t="shared" si="4"/>
        <v>0.30147099426946394</v>
      </c>
      <c r="P57" s="8">
        <f t="shared" si="5"/>
        <v>10.47312676205447</v>
      </c>
      <c r="S57" s="11"/>
    </row>
    <row r="58" spans="1:25" x14ac:dyDescent="0.2">
      <c r="A58" s="8">
        <v>28</v>
      </c>
      <c r="B58" s="8">
        <v>56</v>
      </c>
      <c r="D58">
        <v>1050.2703389830999</v>
      </c>
      <c r="E58">
        <v>383.41440677966</v>
      </c>
      <c r="F58">
        <v>123.67780634105</v>
      </c>
      <c r="G58">
        <v>110.59811482434</v>
      </c>
      <c r="I58" s="9">
        <f t="shared" si="1"/>
        <v>272.81629195532003</v>
      </c>
      <c r="J58" s="9">
        <f t="shared" si="2"/>
        <v>926.59253264204995</v>
      </c>
      <c r="K58" s="9">
        <f t="shared" si="3"/>
        <v>272.81629195532003</v>
      </c>
      <c r="L58" s="10">
        <f t="shared" si="0"/>
        <v>0.29442962504502629</v>
      </c>
      <c r="M58" s="10">
        <f t="shared" si="4"/>
        <v>0.30267961161909207</v>
      </c>
      <c r="P58" s="8">
        <f t="shared" si="5"/>
        <v>10.916020905140563</v>
      </c>
      <c r="S58" s="11"/>
    </row>
    <row r="59" spans="1:25" x14ac:dyDescent="0.2">
      <c r="A59" s="8">
        <v>28.5</v>
      </c>
      <c r="B59" s="8">
        <v>57</v>
      </c>
      <c r="D59">
        <v>1051.0593220338999</v>
      </c>
      <c r="E59">
        <v>374.37627118644002</v>
      </c>
      <c r="F59">
        <v>123.95629820051001</v>
      </c>
      <c r="G59">
        <v>110.67866323908</v>
      </c>
      <c r="I59" s="9">
        <f t="shared" si="1"/>
        <v>263.69760794736004</v>
      </c>
      <c r="J59" s="9">
        <f t="shared" si="2"/>
        <v>927.1030238333899</v>
      </c>
      <c r="K59" s="9">
        <f t="shared" si="3"/>
        <v>263.69760794736004</v>
      </c>
      <c r="L59" s="10">
        <f t="shared" si="0"/>
        <v>0.28443182814464563</v>
      </c>
      <c r="M59" s="10">
        <f t="shared" si="4"/>
        <v>0.29282913590753401</v>
      </c>
      <c r="P59" s="8">
        <f t="shared" si="5"/>
        <v>7.3063441115687908</v>
      </c>
      <c r="R59" s="1"/>
      <c r="S59" s="11"/>
    </row>
    <row r="60" spans="1:25" x14ac:dyDescent="0.2">
      <c r="A60" s="8">
        <v>29</v>
      </c>
      <c r="B60" s="8">
        <v>58</v>
      </c>
      <c r="D60">
        <v>1061.5584745762999</v>
      </c>
      <c r="E60">
        <v>374.47033898305</v>
      </c>
      <c r="F60">
        <v>123.54584404456</v>
      </c>
      <c r="G60">
        <v>110.85946872322</v>
      </c>
      <c r="I60" s="9">
        <f t="shared" si="1"/>
        <v>263.61087025982999</v>
      </c>
      <c r="J60" s="9">
        <f t="shared" si="2"/>
        <v>938.01263053173989</v>
      </c>
      <c r="K60" s="9">
        <f t="shared" si="3"/>
        <v>263.61087025982999</v>
      </c>
      <c r="L60" s="10">
        <f t="shared" si="0"/>
        <v>0.28103125872664897</v>
      </c>
      <c r="M60" s="10">
        <f t="shared" si="4"/>
        <v>0.28957588767835996</v>
      </c>
      <c r="P60" s="8">
        <f t="shared" si="5"/>
        <v>6.1142012160942931</v>
      </c>
      <c r="S60" s="11"/>
    </row>
    <row r="61" spans="1:25" x14ac:dyDescent="0.2">
      <c r="A61" s="8">
        <v>29.5</v>
      </c>
      <c r="B61" s="8">
        <v>59</v>
      </c>
      <c r="C61" s="2"/>
      <c r="D61">
        <v>1039.1745762712001</v>
      </c>
      <c r="E61">
        <v>361.04915254237</v>
      </c>
      <c r="F61">
        <v>124.13110539845999</v>
      </c>
      <c r="G61">
        <v>110.35989717224</v>
      </c>
      <c r="I61" s="9">
        <f t="shared" si="1"/>
        <v>250.68925537013001</v>
      </c>
      <c r="J61" s="9">
        <f t="shared" si="2"/>
        <v>915.04347087274004</v>
      </c>
      <c r="K61" s="9">
        <f t="shared" si="3"/>
        <v>250.68925537013001</v>
      </c>
      <c r="L61" s="10">
        <f t="shared" si="0"/>
        <v>0.27396431246160402</v>
      </c>
      <c r="M61" s="10">
        <f t="shared" si="4"/>
        <v>0.28265626260213761</v>
      </c>
      <c r="P61" s="8">
        <f t="shared" si="5"/>
        <v>3.5785257026214148</v>
      </c>
      <c r="S61" s="11"/>
    </row>
    <row r="62" spans="1:25" x14ac:dyDescent="0.2">
      <c r="A62" s="8">
        <v>30</v>
      </c>
      <c r="B62" s="8">
        <v>60</v>
      </c>
      <c r="D62">
        <v>1053.6515798462999</v>
      </c>
      <c r="E62">
        <v>365.64645602050001</v>
      </c>
      <c r="F62">
        <v>124.38988860326</v>
      </c>
      <c r="G62">
        <v>110.85861182519</v>
      </c>
      <c r="I62" s="9">
        <f t="shared" si="1"/>
        <v>254.78784419531002</v>
      </c>
      <c r="J62" s="9">
        <f t="shared" si="2"/>
        <v>929.26169124303988</v>
      </c>
      <c r="K62" s="9">
        <f t="shared" si="3"/>
        <v>254.78784419531002</v>
      </c>
      <c r="L62" s="10">
        <f t="shared" si="0"/>
        <v>0.27418309244459382</v>
      </c>
      <c r="M62" s="10">
        <f t="shared" si="4"/>
        <v>0.28302236377395001</v>
      </c>
      <c r="P62" s="8">
        <f t="shared" si="5"/>
        <v>3.7126823609074795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1041.2638770282001</v>
      </c>
      <c r="E63">
        <v>368.71391972673001</v>
      </c>
      <c r="F63">
        <v>124.05741216795001</v>
      </c>
      <c r="G63">
        <v>110.62896315339</v>
      </c>
      <c r="I63" s="9">
        <f t="shared" si="1"/>
        <v>258.08495657334004</v>
      </c>
      <c r="J63" s="9">
        <f t="shared" si="2"/>
        <v>917.20646486025009</v>
      </c>
      <c r="K63" s="9">
        <f t="shared" si="3"/>
        <v>258.08495657334004</v>
      </c>
      <c r="L63" s="10">
        <f t="shared" si="0"/>
        <v>0.28138152799943805</v>
      </c>
      <c r="M63" s="10">
        <f t="shared" si="4"/>
        <v>0.29036812051761685</v>
      </c>
      <c r="P63" s="8">
        <f t="shared" si="5"/>
        <v>6.4045125247771448</v>
      </c>
    </row>
    <row r="64" spans="1:25" x14ac:dyDescent="0.2">
      <c r="A64" s="8">
        <v>31</v>
      </c>
      <c r="B64" s="8">
        <v>62</v>
      </c>
      <c r="D64">
        <v>1033.7147736976999</v>
      </c>
      <c r="E64">
        <v>361.41929974380997</v>
      </c>
      <c r="F64">
        <v>123.71293916024</v>
      </c>
      <c r="G64">
        <v>110.89888603256</v>
      </c>
      <c r="I64" s="9">
        <f t="shared" si="1"/>
        <v>250.52041371124997</v>
      </c>
      <c r="J64" s="9">
        <f t="shared" si="2"/>
        <v>910.0018345374599</v>
      </c>
      <c r="K64" s="9">
        <f t="shared" si="3"/>
        <v>250.52041371124997</v>
      </c>
      <c r="L64" s="10">
        <f t="shared" si="0"/>
        <v>0.27529660293331792</v>
      </c>
      <c r="M64" s="10">
        <f t="shared" si="4"/>
        <v>0.28443051664031938</v>
      </c>
      <c r="P64" s="8">
        <f t="shared" si="5"/>
        <v>4.2286956857838547</v>
      </c>
      <c r="U64" s="8">
        <v>30.5</v>
      </c>
      <c r="V64" s="10">
        <f>L62</f>
        <v>0.27418309244459382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1032.6414613423999</v>
      </c>
      <c r="E65">
        <v>355.38827527613</v>
      </c>
      <c r="F65">
        <v>124.1148243359</v>
      </c>
      <c r="G65">
        <v>110.34018851757</v>
      </c>
      <c r="I65" s="9">
        <f t="shared" si="1"/>
        <v>245.04808675856</v>
      </c>
      <c r="J65" s="9">
        <f t="shared" si="2"/>
        <v>908.52663700649987</v>
      </c>
      <c r="K65" s="9">
        <f t="shared" si="3"/>
        <v>245.04808675856</v>
      </c>
      <c r="L65" s="10">
        <f t="shared" si="0"/>
        <v>0.2697203106404979</v>
      </c>
      <c r="M65" s="10">
        <f t="shared" si="4"/>
        <v>0.27900154553632195</v>
      </c>
      <c r="P65" s="8">
        <f t="shared" si="5"/>
        <v>2.2392657759088141</v>
      </c>
      <c r="U65" s="8">
        <v>31</v>
      </c>
      <c r="V65" s="10">
        <f t="shared" ref="V65:V83" si="6">L63</f>
        <v>0.28138152799943805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1067.2760683761001</v>
      </c>
      <c r="E66">
        <v>363.01965811965999</v>
      </c>
      <c r="F66">
        <v>123.56812339331999</v>
      </c>
      <c r="G66">
        <v>110.67609254499</v>
      </c>
      <c r="I66" s="9">
        <f t="shared" si="1"/>
        <v>252.34356557466998</v>
      </c>
      <c r="J66" s="9">
        <f t="shared" si="2"/>
        <v>943.70794498278008</v>
      </c>
      <c r="K66" s="9">
        <f t="shared" si="3"/>
        <v>252.34356557466998</v>
      </c>
      <c r="L66" s="10">
        <f t="shared" ref="L66:L129" si="7">K66/J66</f>
        <v>0.26739582613058799</v>
      </c>
      <c r="M66" s="10">
        <f t="shared" si="4"/>
        <v>0.27682438221523464</v>
      </c>
      <c r="P66" s="8">
        <f t="shared" si="5"/>
        <v>1.4414509143663101</v>
      </c>
      <c r="U66" s="8">
        <v>31.5</v>
      </c>
      <c r="V66" s="10">
        <f t="shared" si="6"/>
        <v>0.27529660293331792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1064.7982905982999</v>
      </c>
      <c r="E67">
        <v>362.48974358973999</v>
      </c>
      <c r="F67">
        <v>123.46015424165</v>
      </c>
      <c r="G67">
        <v>110.58354755784001</v>
      </c>
      <c r="I67" s="9">
        <f t="shared" ref="I67:I130" si="8">E67-G67</f>
        <v>251.90619603189998</v>
      </c>
      <c r="J67" s="9">
        <f t="shared" ref="J67:J130" si="9">D67-F67</f>
        <v>941.3381363566499</v>
      </c>
      <c r="K67" s="9">
        <f t="shared" ref="K67:K130" si="10">I67*1</f>
        <v>251.90619603189998</v>
      </c>
      <c r="L67" s="10">
        <f t="shared" si="7"/>
        <v>0.26760436691418493</v>
      </c>
      <c r="M67" s="10">
        <f t="shared" ref="M67:M130" si="11">L67+ABS($N$2)*A67</f>
        <v>0.27718024418765419</v>
      </c>
      <c r="P67" s="8">
        <f t="shared" ref="P67:P130" si="12">(M67-$O$2)/$O$2*100</f>
        <v>1.5718554492508834</v>
      </c>
      <c r="U67" s="8">
        <v>32</v>
      </c>
      <c r="V67" s="10">
        <f t="shared" si="6"/>
        <v>0.2697203106404979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1052.2145299145</v>
      </c>
      <c r="E68">
        <v>354.60512820512997</v>
      </c>
      <c r="F68">
        <v>123.80205655527</v>
      </c>
      <c r="G68">
        <v>110.74635818338</v>
      </c>
      <c r="I68" s="9">
        <f t="shared" si="8"/>
        <v>243.85877002174999</v>
      </c>
      <c r="J68" s="9">
        <f t="shared" si="9"/>
        <v>928.41247335922992</v>
      </c>
      <c r="K68" s="9">
        <f t="shared" si="10"/>
        <v>243.85877002174999</v>
      </c>
      <c r="L68" s="10">
        <f t="shared" si="7"/>
        <v>0.26266210011096425</v>
      </c>
      <c r="M68" s="10">
        <f t="shared" si="11"/>
        <v>0.27238529857325611</v>
      </c>
      <c r="P68" s="8">
        <f t="shared" si="12"/>
        <v>-0.18523775290004493</v>
      </c>
      <c r="U68" s="8">
        <v>32.5</v>
      </c>
      <c r="V68" s="10">
        <f t="shared" si="6"/>
        <v>0.26739582613058799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1034.0505569837001</v>
      </c>
      <c r="E69">
        <v>349.01371036847002</v>
      </c>
      <c r="F69">
        <v>124.10711225364</v>
      </c>
      <c r="G69">
        <v>110.59040274207</v>
      </c>
      <c r="I69" s="9">
        <f t="shared" si="8"/>
        <v>238.4233076264</v>
      </c>
      <c r="J69" s="9">
        <f t="shared" si="9"/>
        <v>909.94344473006004</v>
      </c>
      <c r="K69" s="9">
        <f t="shared" si="10"/>
        <v>238.4233076264</v>
      </c>
      <c r="L69" s="10">
        <f t="shared" si="7"/>
        <v>0.26201991893807164</v>
      </c>
      <c r="M69" s="10">
        <f t="shared" si="11"/>
        <v>0.2718904385891861</v>
      </c>
      <c r="P69" s="8">
        <f t="shared" si="12"/>
        <v>-0.36657768539374774</v>
      </c>
      <c r="U69" s="8">
        <v>33</v>
      </c>
      <c r="V69" s="10">
        <f t="shared" si="6"/>
        <v>0.26760436691418493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1018.5209940017</v>
      </c>
      <c r="E70">
        <v>341.6323907455</v>
      </c>
      <c r="F70">
        <v>123.77549271637</v>
      </c>
      <c r="G70">
        <v>110.55698371894</v>
      </c>
      <c r="I70" s="9">
        <f t="shared" si="8"/>
        <v>231.07540702656001</v>
      </c>
      <c r="J70" s="9">
        <f t="shared" si="9"/>
        <v>894.74550128533008</v>
      </c>
      <c r="K70" s="9">
        <f t="shared" si="10"/>
        <v>231.07540702656001</v>
      </c>
      <c r="L70" s="10">
        <f t="shared" si="7"/>
        <v>0.25825824963032828</v>
      </c>
      <c r="M70" s="10">
        <f t="shared" si="11"/>
        <v>0.26827609047026535</v>
      </c>
      <c r="P70" s="8">
        <f t="shared" si="12"/>
        <v>-1.6910445345886302</v>
      </c>
      <c r="U70" s="8">
        <v>33.5</v>
      </c>
      <c r="V70" s="10">
        <f t="shared" si="6"/>
        <v>0.26266210011096425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1025.6976149914999</v>
      </c>
      <c r="E71">
        <v>343.89948892675</v>
      </c>
      <c r="F71">
        <v>124.04198800343001</v>
      </c>
      <c r="G71">
        <v>110.8911739503</v>
      </c>
      <c r="I71" s="9">
        <f t="shared" si="8"/>
        <v>233.00831497644998</v>
      </c>
      <c r="J71" s="9">
        <f t="shared" si="9"/>
        <v>901.65562698806991</v>
      </c>
      <c r="K71" s="9">
        <f t="shared" si="10"/>
        <v>233.00831497644998</v>
      </c>
      <c r="L71" s="10">
        <f t="shared" si="7"/>
        <v>0.25842273702078611</v>
      </c>
      <c r="M71" s="10">
        <f t="shared" si="11"/>
        <v>0.26858789904954578</v>
      </c>
      <c r="P71" s="8">
        <f t="shared" si="12"/>
        <v>-1.5767832313152768</v>
      </c>
      <c r="U71" s="8">
        <v>34</v>
      </c>
      <c r="V71" s="10">
        <f t="shared" si="6"/>
        <v>0.26201991893807164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1017.7896081772</v>
      </c>
      <c r="E72">
        <v>347.90459965928</v>
      </c>
      <c r="F72">
        <v>123.98543273351</v>
      </c>
      <c r="G72">
        <v>110.41988003428</v>
      </c>
      <c r="I72" s="9">
        <f t="shared" si="8"/>
        <v>237.484719625</v>
      </c>
      <c r="J72" s="9">
        <f t="shared" si="9"/>
        <v>893.80417544368993</v>
      </c>
      <c r="K72" s="9">
        <f t="shared" si="10"/>
        <v>237.484719625</v>
      </c>
      <c r="L72" s="10">
        <f t="shared" si="7"/>
        <v>0.26570106310715219</v>
      </c>
      <c r="M72" s="10">
        <f t="shared" si="11"/>
        <v>0.27601354632473446</v>
      </c>
      <c r="P72" s="8">
        <f t="shared" si="12"/>
        <v>1.1443225742700662</v>
      </c>
      <c r="U72" s="8">
        <v>34.5</v>
      </c>
      <c r="V72" s="10">
        <f t="shared" si="6"/>
        <v>0.25825824963032828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1038.9378194208</v>
      </c>
      <c r="E73">
        <v>359.93356047700001</v>
      </c>
      <c r="F73">
        <v>124.07712082262</v>
      </c>
      <c r="G73">
        <v>110.37275064267</v>
      </c>
      <c r="I73" s="9">
        <f t="shared" si="8"/>
        <v>249.56080983433003</v>
      </c>
      <c r="J73" s="9">
        <f t="shared" si="9"/>
        <v>914.86069859817997</v>
      </c>
      <c r="K73" s="9">
        <f t="shared" si="10"/>
        <v>249.56080983433003</v>
      </c>
      <c r="L73" s="10">
        <f t="shared" si="7"/>
        <v>0.27278558387820828</v>
      </c>
      <c r="M73" s="10">
        <f t="shared" si="11"/>
        <v>0.28324538828461315</v>
      </c>
      <c r="P73" s="8">
        <f t="shared" si="12"/>
        <v>3.7944090129100654</v>
      </c>
      <c r="U73" s="8">
        <v>35</v>
      </c>
      <c r="V73" s="10">
        <f t="shared" si="6"/>
        <v>0.25842273702078611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1018.1269165247001</v>
      </c>
      <c r="E74">
        <v>345.97274275979998</v>
      </c>
      <c r="F74">
        <v>123.44987146530001</v>
      </c>
      <c r="G74">
        <v>110.38389031705</v>
      </c>
      <c r="I74" s="9">
        <f t="shared" si="8"/>
        <v>235.58885244274998</v>
      </c>
      <c r="J74" s="9">
        <f t="shared" si="9"/>
        <v>894.67704505940003</v>
      </c>
      <c r="K74" s="9">
        <f t="shared" si="10"/>
        <v>235.58885244274998</v>
      </c>
      <c r="L74" s="10">
        <f t="shared" si="7"/>
        <v>0.26332278641071943</v>
      </c>
      <c r="M74" s="10">
        <f t="shared" si="11"/>
        <v>0.27392991200594691</v>
      </c>
      <c r="P74" s="8">
        <f t="shared" si="12"/>
        <v>0.38078113048049406</v>
      </c>
      <c r="U74" s="8">
        <v>35.5</v>
      </c>
      <c r="V74" s="10">
        <f t="shared" si="6"/>
        <v>0.26570106310715219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1023.1356223176</v>
      </c>
      <c r="E75">
        <v>344.93476394850001</v>
      </c>
      <c r="F75">
        <v>124.19880034275999</v>
      </c>
      <c r="G75">
        <v>110.3941730934</v>
      </c>
      <c r="I75" s="9">
        <f t="shared" si="8"/>
        <v>234.54059085509999</v>
      </c>
      <c r="J75" s="9">
        <f t="shared" si="9"/>
        <v>898.93682197483997</v>
      </c>
      <c r="K75" s="9">
        <f t="shared" si="10"/>
        <v>234.54059085509999</v>
      </c>
      <c r="L75" s="10">
        <f t="shared" si="7"/>
        <v>0.26090887048084949</v>
      </c>
      <c r="M75" s="10">
        <f t="shared" si="11"/>
        <v>0.27166331726489956</v>
      </c>
      <c r="P75" s="8">
        <f t="shared" si="12"/>
        <v>-0.44980560225876315</v>
      </c>
      <c r="U75" s="8">
        <v>36</v>
      </c>
      <c r="V75" s="10">
        <f t="shared" si="6"/>
        <v>0.27278558387820828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1022.4686695279</v>
      </c>
      <c r="E76">
        <v>341.61802575106998</v>
      </c>
      <c r="F76">
        <v>123.85432733505</v>
      </c>
      <c r="G76">
        <v>110.26563838903</v>
      </c>
      <c r="I76" s="9">
        <f t="shared" si="8"/>
        <v>231.35238736203996</v>
      </c>
      <c r="J76" s="9">
        <f t="shared" si="9"/>
        <v>898.61434219285002</v>
      </c>
      <c r="K76" s="9">
        <f t="shared" si="10"/>
        <v>231.35238736203996</v>
      </c>
      <c r="L76" s="10">
        <f t="shared" si="7"/>
        <v>0.25745459036128965</v>
      </c>
      <c r="M76" s="10">
        <f t="shared" si="11"/>
        <v>0.26835635833416233</v>
      </c>
      <c r="P76" s="8">
        <f t="shared" si="12"/>
        <v>-1.6616306205744544</v>
      </c>
      <c r="U76" s="8">
        <v>36.5</v>
      </c>
      <c r="V76" s="10">
        <f t="shared" si="6"/>
        <v>0.26332278641071943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1005.4231759657</v>
      </c>
      <c r="E77">
        <v>338.12532188840999</v>
      </c>
      <c r="F77">
        <v>123.85089974293</v>
      </c>
      <c r="G77">
        <v>110.22622107969001</v>
      </c>
      <c r="I77" s="9">
        <f t="shared" si="8"/>
        <v>227.89910080871999</v>
      </c>
      <c r="J77" s="9">
        <f t="shared" si="9"/>
        <v>881.57227622277003</v>
      </c>
      <c r="K77" s="9">
        <f t="shared" si="10"/>
        <v>227.89910080871999</v>
      </c>
      <c r="L77" s="10">
        <f t="shared" si="7"/>
        <v>0.25851436910560327</v>
      </c>
      <c r="M77" s="10">
        <f t="shared" si="11"/>
        <v>0.26956345826729855</v>
      </c>
      <c r="P77" s="8">
        <f t="shared" si="12"/>
        <v>-1.219292530135706</v>
      </c>
      <c r="U77" s="8">
        <v>37</v>
      </c>
      <c r="V77" s="10">
        <f t="shared" si="6"/>
        <v>0.26090887048084949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1005.9578313253</v>
      </c>
      <c r="E78">
        <v>332.64027538725998</v>
      </c>
      <c r="F78">
        <v>123.78149100256999</v>
      </c>
      <c r="G78">
        <v>110.63667523565</v>
      </c>
      <c r="I78" s="9">
        <f t="shared" si="8"/>
        <v>222.00360015160999</v>
      </c>
      <c r="J78" s="9">
        <f t="shared" si="9"/>
        <v>882.17634032273008</v>
      </c>
      <c r="K78" s="9">
        <f t="shared" si="10"/>
        <v>222.00360015160999</v>
      </c>
      <c r="L78" s="10">
        <f t="shared" si="7"/>
        <v>0.25165444821428051</v>
      </c>
      <c r="M78" s="10">
        <f t="shared" si="11"/>
        <v>0.2628508585647984</v>
      </c>
      <c r="P78" s="8">
        <f t="shared" si="12"/>
        <v>-3.6791042265617913</v>
      </c>
      <c r="U78" s="8">
        <v>37.5</v>
      </c>
      <c r="V78" s="10">
        <f t="shared" si="6"/>
        <v>0.25745459036128965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990.06196213425005</v>
      </c>
      <c r="E79">
        <v>325.67728055077998</v>
      </c>
      <c r="F79">
        <v>123.23564695800999</v>
      </c>
      <c r="G79">
        <v>110.11568123393</v>
      </c>
      <c r="I79" s="9">
        <f t="shared" si="8"/>
        <v>215.56159931684999</v>
      </c>
      <c r="J79" s="9">
        <f t="shared" si="9"/>
        <v>866.82631517624009</v>
      </c>
      <c r="K79" s="9">
        <f t="shared" si="10"/>
        <v>215.56159931684999</v>
      </c>
      <c r="L79" s="10">
        <f t="shared" si="7"/>
        <v>0.24867911315431485</v>
      </c>
      <c r="M79" s="10">
        <f t="shared" si="11"/>
        <v>0.26002284469365533</v>
      </c>
      <c r="P79" s="8">
        <f t="shared" si="12"/>
        <v>-4.7154212879384687</v>
      </c>
      <c r="U79" s="8">
        <v>38</v>
      </c>
      <c r="V79" s="10">
        <f t="shared" si="6"/>
        <v>0.25851436910560327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1021.2693631670001</v>
      </c>
      <c r="E80">
        <v>330.46299483649</v>
      </c>
      <c r="F80">
        <v>123.43444730077</v>
      </c>
      <c r="G80">
        <v>110.2527849186</v>
      </c>
      <c r="I80" s="9">
        <f t="shared" si="8"/>
        <v>220.21020991788998</v>
      </c>
      <c r="J80" s="9">
        <f t="shared" si="9"/>
        <v>897.83491586623006</v>
      </c>
      <c r="K80" s="9">
        <f t="shared" si="10"/>
        <v>220.21020991788998</v>
      </c>
      <c r="L80" s="10">
        <f t="shared" si="7"/>
        <v>0.24526803984386308</v>
      </c>
      <c r="M80" s="10">
        <f t="shared" si="11"/>
        <v>0.25675909257202617</v>
      </c>
      <c r="P80" s="8">
        <f t="shared" si="12"/>
        <v>-5.9114133027801543</v>
      </c>
      <c r="U80" s="8">
        <v>38.5</v>
      </c>
      <c r="V80" s="10">
        <f t="shared" si="6"/>
        <v>0.25165444821428051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1026.5834752981</v>
      </c>
      <c r="E81">
        <v>337.83304940375001</v>
      </c>
      <c r="F81">
        <v>123.85604113111</v>
      </c>
      <c r="G81">
        <v>110.52099400170999</v>
      </c>
      <c r="I81" s="9">
        <f t="shared" si="8"/>
        <v>227.31205540204002</v>
      </c>
      <c r="J81" s="9">
        <f t="shared" si="9"/>
        <v>902.72743416698995</v>
      </c>
      <c r="K81" s="9">
        <f t="shared" si="10"/>
        <v>227.31205540204002</v>
      </c>
      <c r="L81" s="10">
        <f t="shared" si="7"/>
        <v>0.25180585722621451</v>
      </c>
      <c r="M81" s="10">
        <f t="shared" si="11"/>
        <v>0.2634442311432002</v>
      </c>
      <c r="P81" s="8">
        <f t="shared" si="12"/>
        <v>-3.4616646542083798</v>
      </c>
      <c r="U81" s="8">
        <v>39</v>
      </c>
      <c r="V81" s="10">
        <f t="shared" si="6"/>
        <v>0.24867911315431485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1081.8219761498999</v>
      </c>
      <c r="E82">
        <v>355.10647359454998</v>
      </c>
      <c r="F82">
        <v>123.68466152528001</v>
      </c>
      <c r="G82">
        <v>110.10625535561</v>
      </c>
      <c r="H82" s="13"/>
      <c r="I82" s="14">
        <f t="shared" si="8"/>
        <v>245.00021823893996</v>
      </c>
      <c r="J82" s="14">
        <f t="shared" si="9"/>
        <v>958.13731462461988</v>
      </c>
      <c r="K82" s="9">
        <f t="shared" si="10"/>
        <v>245.00021823893996</v>
      </c>
      <c r="L82" s="15">
        <f t="shared" si="7"/>
        <v>0.25570470380326066</v>
      </c>
      <c r="M82" s="15">
        <f t="shared" si="11"/>
        <v>0.26749039890906895</v>
      </c>
      <c r="N82" s="13"/>
      <c r="O82" s="13"/>
      <c r="P82" s="13">
        <f t="shared" si="12"/>
        <v>-1.9789588118684662</v>
      </c>
      <c r="U82" s="8">
        <v>39.5</v>
      </c>
      <c r="V82" s="10">
        <f t="shared" si="6"/>
        <v>0.24526803984386308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1050.7316865416999</v>
      </c>
      <c r="E83">
        <v>351.45996592845</v>
      </c>
      <c r="F83">
        <v>123.85089974293</v>
      </c>
      <c r="G83">
        <v>110.16538131962</v>
      </c>
      <c r="I83" s="9">
        <f t="shared" si="8"/>
        <v>241.29458460883001</v>
      </c>
      <c r="J83" s="9">
        <f t="shared" si="9"/>
        <v>926.88078679876992</v>
      </c>
      <c r="K83" s="9">
        <f t="shared" si="10"/>
        <v>241.29458460883001</v>
      </c>
      <c r="L83" s="10">
        <f t="shared" si="7"/>
        <v>0.26032968645536958</v>
      </c>
      <c r="M83" s="10">
        <f t="shared" si="11"/>
        <v>0.27226270275000047</v>
      </c>
      <c r="P83" s="8">
        <f t="shared" si="12"/>
        <v>-0.23016261857688147</v>
      </c>
      <c r="U83" s="8">
        <v>40</v>
      </c>
      <c r="V83" s="10">
        <f t="shared" si="6"/>
        <v>0.25180585722621451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1026.1413969335999</v>
      </c>
      <c r="E84">
        <v>344.39522998296002</v>
      </c>
      <c r="F84">
        <v>123.50899742931</v>
      </c>
      <c r="G84">
        <v>110.42502142245</v>
      </c>
      <c r="I84" s="9">
        <f t="shared" si="8"/>
        <v>233.97020856051</v>
      </c>
      <c r="J84" s="9">
        <f t="shared" si="9"/>
        <v>902.63239950428988</v>
      </c>
      <c r="K84" s="9">
        <f t="shared" si="10"/>
        <v>233.97020856051</v>
      </c>
      <c r="L84" s="10">
        <f t="shared" si="7"/>
        <v>0.25920874177461656</v>
      </c>
      <c r="M84" s="10">
        <f t="shared" si="11"/>
        <v>0.27128907925807005</v>
      </c>
      <c r="P84" s="8">
        <f t="shared" si="12"/>
        <v>-0.58694397893025496</v>
      </c>
      <c r="U84" s="8">
        <v>150.5</v>
      </c>
      <c r="V84" s="10">
        <f>L302</f>
        <v>0.22723927565673771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1019.1720613288001</v>
      </c>
      <c r="E85">
        <v>345.81175468484003</v>
      </c>
      <c r="F85">
        <v>123.71808054842001</v>
      </c>
      <c r="G85">
        <v>110.43101970866</v>
      </c>
      <c r="I85" s="9">
        <f t="shared" si="8"/>
        <v>235.38073497618001</v>
      </c>
      <c r="J85" s="9">
        <f t="shared" si="9"/>
        <v>895.45398078038011</v>
      </c>
      <c r="K85" s="9">
        <f t="shared" si="10"/>
        <v>235.38073497618001</v>
      </c>
      <c r="L85" s="10">
        <f t="shared" si="7"/>
        <v>0.2628619002520351</v>
      </c>
      <c r="M85" s="10">
        <f t="shared" si="11"/>
        <v>0.27508955892431119</v>
      </c>
      <c r="P85" s="8">
        <f t="shared" si="12"/>
        <v>0.80573020832502895</v>
      </c>
      <c r="U85" s="8">
        <v>151</v>
      </c>
      <c r="V85" s="10">
        <f t="shared" ref="V85:V103" si="13">L303</f>
        <v>0.227408779729254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1014.8935264055</v>
      </c>
      <c r="E86">
        <v>345.15928449745002</v>
      </c>
      <c r="F86">
        <v>123.82005141387999</v>
      </c>
      <c r="G86">
        <v>110.25364181662</v>
      </c>
      <c r="I86" s="9">
        <f t="shared" si="8"/>
        <v>234.90564268083</v>
      </c>
      <c r="J86" s="9">
        <f t="shared" si="9"/>
        <v>891.07347499161995</v>
      </c>
      <c r="K86" s="9">
        <f t="shared" si="10"/>
        <v>234.90564268083</v>
      </c>
      <c r="L86" s="10">
        <f t="shared" si="7"/>
        <v>0.2636209575007708</v>
      </c>
      <c r="M86" s="10">
        <f t="shared" si="11"/>
        <v>0.2759959373618695</v>
      </c>
      <c r="P86" s="8">
        <f t="shared" si="12"/>
        <v>1.1378698235122606</v>
      </c>
      <c r="U86" s="8">
        <v>151.5</v>
      </c>
      <c r="V86" s="10">
        <f t="shared" si="13"/>
        <v>0.22725010464468126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1030.4812606473999</v>
      </c>
      <c r="E87">
        <v>345.0468483816</v>
      </c>
      <c r="F87">
        <v>123.50899742931</v>
      </c>
      <c r="G87">
        <v>110.20908311911001</v>
      </c>
      <c r="I87" s="9">
        <f t="shared" si="8"/>
        <v>234.83776526249</v>
      </c>
      <c r="J87" s="9">
        <f t="shared" si="9"/>
        <v>906.97226321808989</v>
      </c>
      <c r="K87" s="9">
        <f t="shared" si="10"/>
        <v>234.83776526249</v>
      </c>
      <c r="L87" s="10">
        <f t="shared" si="7"/>
        <v>0.25892496913769575</v>
      </c>
      <c r="M87" s="10">
        <f t="shared" si="11"/>
        <v>0.27144727018761705</v>
      </c>
      <c r="P87" s="8">
        <f t="shared" si="12"/>
        <v>-0.5289753950709658</v>
      </c>
      <c r="U87" s="8">
        <v>152</v>
      </c>
      <c r="V87" s="10">
        <f t="shared" si="13"/>
        <v>0.22811135676092767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1045.0332197615</v>
      </c>
      <c r="E88">
        <v>347.34752981260999</v>
      </c>
      <c r="F88">
        <v>123.2853470437</v>
      </c>
      <c r="G88">
        <v>109.93658954583999</v>
      </c>
      <c r="I88" s="9">
        <f t="shared" si="8"/>
        <v>237.41094026677001</v>
      </c>
      <c r="J88" s="9">
        <f t="shared" si="9"/>
        <v>921.74787271780008</v>
      </c>
      <c r="K88" s="9">
        <f t="shared" si="10"/>
        <v>237.41094026677001</v>
      </c>
      <c r="L88" s="10">
        <f t="shared" si="7"/>
        <v>0.25756603003243939</v>
      </c>
      <c r="M88" s="10">
        <f t="shared" si="11"/>
        <v>0.27023565227118329</v>
      </c>
      <c r="P88" s="8">
        <f t="shared" si="12"/>
        <v>-0.9729690867152202</v>
      </c>
      <c r="U88" s="8">
        <v>152.5</v>
      </c>
      <c r="V88" s="10">
        <f t="shared" si="13"/>
        <v>0.22835637206419113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1022.6618398637</v>
      </c>
      <c r="E89">
        <v>347.20357751277999</v>
      </c>
      <c r="F89">
        <v>123.21079691516999</v>
      </c>
      <c r="G89">
        <v>110.07626392458999</v>
      </c>
      <c r="I89" s="9">
        <f t="shared" si="8"/>
        <v>237.12731358818999</v>
      </c>
      <c r="J89" s="9">
        <f t="shared" si="9"/>
        <v>899.45104294853002</v>
      </c>
      <c r="K89" s="9">
        <f t="shared" si="10"/>
        <v>237.12731358818999</v>
      </c>
      <c r="L89" s="10">
        <f t="shared" si="7"/>
        <v>0.2636355980097066</v>
      </c>
      <c r="M89" s="10">
        <f t="shared" si="11"/>
        <v>0.2764525414372731</v>
      </c>
      <c r="P89" s="8">
        <f t="shared" si="12"/>
        <v>1.3051909949051059</v>
      </c>
      <c r="U89" s="8">
        <v>153</v>
      </c>
      <c r="V89" s="10">
        <f t="shared" si="13"/>
        <v>0.227787462661378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1011.1141396934</v>
      </c>
      <c r="E90">
        <v>345.02044293015001</v>
      </c>
      <c r="F90">
        <v>123.2587832048</v>
      </c>
      <c r="G90">
        <v>110.20308483290999</v>
      </c>
      <c r="I90" s="9">
        <f t="shared" si="8"/>
        <v>234.81735809724</v>
      </c>
      <c r="J90" s="9">
        <f t="shared" si="9"/>
        <v>887.85535648860002</v>
      </c>
      <c r="K90" s="9">
        <f t="shared" si="10"/>
        <v>234.81735809724</v>
      </c>
      <c r="L90" s="10">
        <f t="shared" si="7"/>
        <v>0.26447704165003261</v>
      </c>
      <c r="M90" s="10">
        <f t="shared" si="11"/>
        <v>0.27744130626642172</v>
      </c>
      <c r="P90" s="8">
        <f t="shared" si="12"/>
        <v>1.667520852121025</v>
      </c>
      <c r="U90" s="8">
        <v>153.5</v>
      </c>
      <c r="V90" s="10">
        <f t="shared" si="13"/>
        <v>0.22555922869345127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1010.2879045997</v>
      </c>
      <c r="E91">
        <v>346.47700170358002</v>
      </c>
      <c r="F91">
        <v>123.90488431877</v>
      </c>
      <c r="G91">
        <v>110.39502999142999</v>
      </c>
      <c r="I91" s="9">
        <f t="shared" si="8"/>
        <v>236.08197171215002</v>
      </c>
      <c r="J91" s="9">
        <f t="shared" si="9"/>
        <v>886.38302028093005</v>
      </c>
      <c r="K91" s="9">
        <f t="shared" si="10"/>
        <v>236.08197171215002</v>
      </c>
      <c r="L91" s="10">
        <f t="shared" si="7"/>
        <v>0.26634306649661027</v>
      </c>
      <c r="M91" s="10">
        <f t="shared" si="11"/>
        <v>0.27945465230182198</v>
      </c>
      <c r="P91" s="8">
        <f t="shared" si="12"/>
        <v>2.4053053687496697</v>
      </c>
      <c r="U91" s="8">
        <v>154</v>
      </c>
      <c r="V91" s="10">
        <f t="shared" si="13"/>
        <v>0.22715701626260237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1011.4744463373</v>
      </c>
      <c r="E92">
        <v>343.87819420784001</v>
      </c>
      <c r="F92">
        <v>123.67437874893</v>
      </c>
      <c r="G92">
        <v>110.25021422451</v>
      </c>
      <c r="I92" s="9">
        <f t="shared" si="8"/>
        <v>233.62797998333002</v>
      </c>
      <c r="J92" s="9">
        <f t="shared" si="9"/>
        <v>887.80006758836998</v>
      </c>
      <c r="K92" s="9">
        <f t="shared" si="10"/>
        <v>233.62797998333002</v>
      </c>
      <c r="L92" s="10">
        <f t="shared" si="7"/>
        <v>0.26315382090244671</v>
      </c>
      <c r="M92" s="10">
        <f t="shared" si="11"/>
        <v>0.27641272789648103</v>
      </c>
      <c r="P92" s="8">
        <f t="shared" si="12"/>
        <v>1.2906014442605156</v>
      </c>
      <c r="U92" s="8">
        <v>154.5</v>
      </c>
      <c r="V92" s="10">
        <f t="shared" si="13"/>
        <v>0.22723834015621108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1011.5936967632</v>
      </c>
      <c r="E93">
        <v>347.58943781942003</v>
      </c>
      <c r="F93">
        <v>123.37960582690999</v>
      </c>
      <c r="G93">
        <v>110.16795201371001</v>
      </c>
      <c r="I93" s="9">
        <f t="shared" si="8"/>
        <v>237.42148580571001</v>
      </c>
      <c r="J93" s="9">
        <f t="shared" si="9"/>
        <v>888.21409093628995</v>
      </c>
      <c r="K93" s="9">
        <f t="shared" si="10"/>
        <v>237.42148580571001</v>
      </c>
      <c r="L93" s="10">
        <f t="shared" si="7"/>
        <v>0.26730209329986843</v>
      </c>
      <c r="M93" s="10">
        <f t="shared" si="11"/>
        <v>0.28070832148272534</v>
      </c>
      <c r="P93" s="8">
        <f t="shared" si="12"/>
        <v>2.8647086180580437</v>
      </c>
      <c r="U93" s="8">
        <v>155</v>
      </c>
      <c r="V93" s="10">
        <f t="shared" si="13"/>
        <v>0.22741516720494501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985.85093696762999</v>
      </c>
      <c r="E94">
        <v>353.36286201022</v>
      </c>
      <c r="F94">
        <v>123.27592116538</v>
      </c>
      <c r="G94">
        <v>110.03770351327999</v>
      </c>
      <c r="I94" s="9">
        <f t="shared" si="8"/>
        <v>243.32515849693999</v>
      </c>
      <c r="J94" s="9">
        <f t="shared" si="9"/>
        <v>862.57501580224994</v>
      </c>
      <c r="K94" s="9">
        <f t="shared" si="10"/>
        <v>243.32515849693999</v>
      </c>
      <c r="L94" s="10">
        <f t="shared" si="7"/>
        <v>0.28209159092166847</v>
      </c>
      <c r="M94" s="10">
        <f t="shared" si="11"/>
        <v>0.29564514029334799</v>
      </c>
      <c r="P94" s="8">
        <f t="shared" si="12"/>
        <v>8.3382603336596777</v>
      </c>
      <c r="U94" s="8">
        <v>155.5</v>
      </c>
      <c r="V94" s="10">
        <f t="shared" si="13"/>
        <v>0.22709608386266217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976.00340715503</v>
      </c>
      <c r="E95">
        <v>349.36626916525</v>
      </c>
      <c r="F95">
        <v>123.23050556984001</v>
      </c>
      <c r="G95">
        <v>110.54327335047</v>
      </c>
      <c r="I95" s="9">
        <f t="shared" si="8"/>
        <v>238.82299581478</v>
      </c>
      <c r="J95" s="9">
        <f t="shared" si="9"/>
        <v>852.77290158518997</v>
      </c>
      <c r="K95" s="9">
        <f t="shared" si="10"/>
        <v>238.82299581478</v>
      </c>
      <c r="L95" s="10">
        <f t="shared" si="7"/>
        <v>0.28005462576360041</v>
      </c>
      <c r="M95" s="10">
        <f t="shared" si="11"/>
        <v>0.29375549632410253</v>
      </c>
      <c r="P95" s="8">
        <f t="shared" si="12"/>
        <v>7.6458060620456942</v>
      </c>
      <c r="U95" s="8">
        <v>156</v>
      </c>
      <c r="V95" s="10">
        <f t="shared" si="13"/>
        <v>0.22805425811458574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976.59404255318998</v>
      </c>
      <c r="E96">
        <v>352.05957446808998</v>
      </c>
      <c r="F96">
        <v>123.40274207369001</v>
      </c>
      <c r="G96">
        <v>110.01371036847</v>
      </c>
      <c r="I96" s="9">
        <f t="shared" si="8"/>
        <v>242.04586409961996</v>
      </c>
      <c r="J96" s="9">
        <f t="shared" si="9"/>
        <v>853.1913004795</v>
      </c>
      <c r="K96" s="9">
        <f t="shared" si="10"/>
        <v>242.04586409961996</v>
      </c>
      <c r="L96" s="10">
        <f t="shared" si="7"/>
        <v>0.28369471648807054</v>
      </c>
      <c r="M96" s="10">
        <f t="shared" si="11"/>
        <v>0.29754290823739526</v>
      </c>
      <c r="P96" s="8">
        <f t="shared" si="12"/>
        <v>9.0336916110724061</v>
      </c>
      <c r="U96" s="8">
        <v>156.5</v>
      </c>
      <c r="V96" s="10">
        <f t="shared" si="13"/>
        <v>0.22752579398784803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1028.8740425532001</v>
      </c>
      <c r="E97">
        <v>365.69872340426002</v>
      </c>
      <c r="F97">
        <v>123.57412167952</v>
      </c>
      <c r="G97">
        <v>110.14138817481</v>
      </c>
      <c r="I97" s="9">
        <f t="shared" si="8"/>
        <v>255.55733522945002</v>
      </c>
      <c r="J97" s="9">
        <f t="shared" si="9"/>
        <v>905.29992087368009</v>
      </c>
      <c r="K97" s="9">
        <f t="shared" si="10"/>
        <v>255.55733522945002</v>
      </c>
      <c r="L97" s="10">
        <f t="shared" si="7"/>
        <v>0.28229024363861499</v>
      </c>
      <c r="M97" s="10">
        <f t="shared" si="11"/>
        <v>0.29628575657676232</v>
      </c>
      <c r="P97" s="8">
        <f t="shared" si="12"/>
        <v>8.5730122176840844</v>
      </c>
      <c r="U97" s="8">
        <v>157</v>
      </c>
      <c r="V97" s="10">
        <f t="shared" si="13"/>
        <v>0.22816405056974504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1010.6876595745</v>
      </c>
      <c r="E98">
        <v>354.76170212765999</v>
      </c>
      <c r="F98">
        <v>123.23393316195001</v>
      </c>
      <c r="G98">
        <v>110.2382176521</v>
      </c>
      <c r="I98" s="9">
        <f t="shared" si="8"/>
        <v>244.52348447556</v>
      </c>
      <c r="J98" s="9">
        <f t="shared" si="9"/>
        <v>887.45372641254994</v>
      </c>
      <c r="K98" s="9">
        <f t="shared" si="10"/>
        <v>244.52348447556</v>
      </c>
      <c r="L98" s="10">
        <f t="shared" si="7"/>
        <v>0.275533785253259</v>
      </c>
      <c r="M98" s="10">
        <f t="shared" si="11"/>
        <v>0.28967661938022893</v>
      </c>
      <c r="P98" s="8">
        <f t="shared" si="12"/>
        <v>6.1511140411456537</v>
      </c>
      <c r="U98" s="8">
        <v>157.5</v>
      </c>
      <c r="V98" s="10">
        <f t="shared" si="13"/>
        <v>0.22678546283024903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996.61163387510999</v>
      </c>
      <c r="E99">
        <v>348.79213002566001</v>
      </c>
      <c r="F99">
        <v>123.58183376178</v>
      </c>
      <c r="G99">
        <v>110.36332476435</v>
      </c>
      <c r="I99" s="9">
        <f t="shared" si="8"/>
        <v>238.42880526131</v>
      </c>
      <c r="J99" s="9">
        <f t="shared" si="9"/>
        <v>873.02980011333</v>
      </c>
      <c r="K99" s="9">
        <f t="shared" si="10"/>
        <v>238.42880526131</v>
      </c>
      <c r="L99" s="10">
        <f t="shared" si="7"/>
        <v>0.27310500194879833</v>
      </c>
      <c r="M99" s="10">
        <f t="shared" si="11"/>
        <v>0.28739515726459086</v>
      </c>
      <c r="P99" s="8">
        <f t="shared" si="12"/>
        <v>5.3150792043134647</v>
      </c>
      <c r="U99" s="8">
        <v>158</v>
      </c>
      <c r="V99" s="10">
        <f t="shared" si="13"/>
        <v>0.2266322911657625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995.90761334473996</v>
      </c>
      <c r="E100">
        <v>341.81437125749</v>
      </c>
      <c r="F100">
        <v>123.34104541559999</v>
      </c>
      <c r="G100">
        <v>109.87574978578</v>
      </c>
      <c r="I100" s="9">
        <f t="shared" si="8"/>
        <v>231.93862147171001</v>
      </c>
      <c r="J100" s="9">
        <f t="shared" si="9"/>
        <v>872.56656792913998</v>
      </c>
      <c r="K100" s="9">
        <f t="shared" si="10"/>
        <v>231.93862147171001</v>
      </c>
      <c r="L100" s="10">
        <f t="shared" si="7"/>
        <v>0.26581195062534813</v>
      </c>
      <c r="M100" s="10">
        <f t="shared" si="11"/>
        <v>0.28024942712996326</v>
      </c>
      <c r="P100" s="8">
        <f t="shared" si="12"/>
        <v>2.6965481815094994</v>
      </c>
      <c r="U100" s="8">
        <v>158.5</v>
      </c>
      <c r="V100" s="10">
        <f t="shared" si="13"/>
        <v>0.22903172390503998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976.47134302822997</v>
      </c>
      <c r="E101">
        <v>340.97005988024</v>
      </c>
      <c r="F101">
        <v>123.61353898886</v>
      </c>
      <c r="G101">
        <v>109.89374464439</v>
      </c>
      <c r="I101" s="9">
        <f t="shared" si="8"/>
        <v>231.07631523585002</v>
      </c>
      <c r="J101" s="9">
        <f t="shared" si="9"/>
        <v>852.85780403936997</v>
      </c>
      <c r="K101" s="9">
        <f t="shared" si="10"/>
        <v>231.07631523585002</v>
      </c>
      <c r="L101" s="10">
        <f t="shared" si="7"/>
        <v>0.27094354315738078</v>
      </c>
      <c r="M101" s="10">
        <f t="shared" si="11"/>
        <v>0.28552834085081852</v>
      </c>
      <c r="P101" s="8">
        <f t="shared" si="12"/>
        <v>4.6309900208087376</v>
      </c>
      <c r="U101" s="8">
        <v>159</v>
      </c>
      <c r="V101" s="10">
        <f t="shared" si="13"/>
        <v>0.22904025693965196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986.07869974336995</v>
      </c>
      <c r="E102">
        <v>345.22497861419998</v>
      </c>
      <c r="F102">
        <v>123.48157669237</v>
      </c>
      <c r="G102">
        <v>109.80119965724001</v>
      </c>
      <c r="I102" s="9">
        <f t="shared" si="8"/>
        <v>235.42377895695998</v>
      </c>
      <c r="J102" s="9">
        <f t="shared" si="9"/>
        <v>862.59712305099993</v>
      </c>
      <c r="K102" s="9">
        <f t="shared" si="10"/>
        <v>235.42377895695998</v>
      </c>
      <c r="L102" s="10">
        <f t="shared" si="7"/>
        <v>0.27292437299613026</v>
      </c>
      <c r="M102" s="10">
        <f t="shared" si="11"/>
        <v>0.2876564918783906</v>
      </c>
      <c r="P102" s="8">
        <f t="shared" si="12"/>
        <v>5.4108444768152877</v>
      </c>
      <c r="U102" s="8">
        <v>159.5</v>
      </c>
      <c r="V102" s="10">
        <f t="shared" si="13"/>
        <v>0.22819090488261573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969.45336787564997</v>
      </c>
      <c r="E103">
        <v>333.89550949914002</v>
      </c>
      <c r="F103">
        <v>123.30419880034</v>
      </c>
      <c r="G103">
        <v>109.91431019709</v>
      </c>
      <c r="I103" s="9">
        <f t="shared" si="8"/>
        <v>223.98119930205002</v>
      </c>
      <c r="J103" s="9">
        <f t="shared" si="9"/>
        <v>846.14916907530994</v>
      </c>
      <c r="K103" s="9">
        <f t="shared" si="10"/>
        <v>223.98119930205002</v>
      </c>
      <c r="L103" s="10">
        <f t="shared" si="7"/>
        <v>0.2647065168743491</v>
      </c>
      <c r="M103" s="10">
        <f t="shared" si="11"/>
        <v>0.27958595694543203</v>
      </c>
      <c r="P103" s="8">
        <f t="shared" si="12"/>
        <v>2.453421555094994</v>
      </c>
      <c r="U103" s="8">
        <v>160</v>
      </c>
      <c r="V103" s="10">
        <f t="shared" si="13"/>
        <v>0.22757300731613039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947.20207253885997</v>
      </c>
      <c r="E104">
        <v>323.98359240068999</v>
      </c>
      <c r="F104">
        <v>122.9383033419</v>
      </c>
      <c r="G104">
        <v>109.83290488432</v>
      </c>
      <c r="I104" s="9">
        <f t="shared" si="8"/>
        <v>214.15068751637</v>
      </c>
      <c r="J104" s="9">
        <f t="shared" si="9"/>
        <v>824.26376919695997</v>
      </c>
      <c r="K104" s="9">
        <f t="shared" si="10"/>
        <v>214.15068751637</v>
      </c>
      <c r="L104" s="10">
        <f t="shared" si="7"/>
        <v>0.25980844423746369</v>
      </c>
      <c r="M104" s="10">
        <f t="shared" si="11"/>
        <v>0.27483520549736928</v>
      </c>
      <c r="P104" s="8">
        <f t="shared" si="12"/>
        <v>0.71252317046386482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973.52870608397996</v>
      </c>
      <c r="E105">
        <v>327.12253641817</v>
      </c>
      <c r="F105">
        <v>123.12682090830999</v>
      </c>
      <c r="G105">
        <v>110.13967437875</v>
      </c>
      <c r="I105" s="9">
        <f t="shared" si="8"/>
        <v>216.98286203942001</v>
      </c>
      <c r="J105" s="9">
        <f t="shared" si="9"/>
        <v>850.40188517566992</v>
      </c>
      <c r="K105" s="9">
        <f t="shared" si="10"/>
        <v>216.98286203942001</v>
      </c>
      <c r="L105" s="10">
        <f t="shared" si="7"/>
        <v>0.25515331729844093</v>
      </c>
      <c r="M105" s="10">
        <f t="shared" si="11"/>
        <v>0.27032739974716913</v>
      </c>
      <c r="P105" s="8">
        <f t="shared" si="12"/>
        <v>-0.93934850384872259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979.53833049404</v>
      </c>
      <c r="E106">
        <v>327.59114139693003</v>
      </c>
      <c r="F106">
        <v>123.45415595544</v>
      </c>
      <c r="G106">
        <v>109.94858611825001</v>
      </c>
      <c r="I106" s="9">
        <f t="shared" si="8"/>
        <v>217.64255527868002</v>
      </c>
      <c r="J106" s="9">
        <f t="shared" si="9"/>
        <v>856.0841745386</v>
      </c>
      <c r="K106" s="9">
        <f t="shared" si="10"/>
        <v>217.64255527868002</v>
      </c>
      <c r="L106" s="10">
        <f t="shared" si="7"/>
        <v>0.25423032191429296</v>
      </c>
      <c r="M106" s="10">
        <f t="shared" si="11"/>
        <v>0.26955172555184376</v>
      </c>
      <c r="P106" s="8">
        <f t="shared" si="12"/>
        <v>-1.2235919479448432</v>
      </c>
      <c r="X106" s="8">
        <v>-13</v>
      </c>
    </row>
    <row r="107" spans="1:25" x14ac:dyDescent="0.2">
      <c r="A107" s="8">
        <v>52.5</v>
      </c>
      <c r="B107" s="8">
        <v>105</v>
      </c>
      <c r="D107">
        <v>1076.3693617020999</v>
      </c>
      <c r="E107">
        <v>358.46893617020999</v>
      </c>
      <c r="F107">
        <v>123.24078834619</v>
      </c>
      <c r="G107">
        <v>109.97514995716</v>
      </c>
      <c r="I107" s="9">
        <f t="shared" si="8"/>
        <v>248.49378621304999</v>
      </c>
      <c r="J107" s="9">
        <f t="shared" si="9"/>
        <v>953.12857335590991</v>
      </c>
      <c r="K107" s="9">
        <f t="shared" si="10"/>
        <v>248.49378621304999</v>
      </c>
      <c r="L107" s="10">
        <f t="shared" si="7"/>
        <v>0.26071381465159305</v>
      </c>
      <c r="M107" s="10">
        <f t="shared" si="11"/>
        <v>0.27618253947796645</v>
      </c>
      <c r="P107" s="8">
        <f t="shared" si="12"/>
        <v>1.2062496000662186</v>
      </c>
      <c r="X107" s="8">
        <v>-13</v>
      </c>
    </row>
    <row r="108" spans="1:25" x14ac:dyDescent="0.2">
      <c r="A108" s="8">
        <v>53</v>
      </c>
      <c r="B108" s="8">
        <v>106</v>
      </c>
      <c r="D108">
        <v>1089.2387425659001</v>
      </c>
      <c r="E108">
        <v>371.77315208156</v>
      </c>
      <c r="F108">
        <v>122.83976006855001</v>
      </c>
      <c r="G108">
        <v>110.00257069409</v>
      </c>
      <c r="I108" s="9">
        <f t="shared" si="8"/>
        <v>261.77058138746997</v>
      </c>
      <c r="J108" s="9">
        <f t="shared" si="9"/>
        <v>966.39898249735006</v>
      </c>
      <c r="K108" s="9">
        <f t="shared" si="10"/>
        <v>261.77058138746997</v>
      </c>
      <c r="L108" s="10">
        <f t="shared" si="7"/>
        <v>0.27087216163142824</v>
      </c>
      <c r="M108" s="10">
        <f t="shared" si="11"/>
        <v>0.28648820764662425</v>
      </c>
      <c r="P108" s="8">
        <f t="shared" si="12"/>
        <v>4.9827302818069557</v>
      </c>
      <c r="X108" s="8">
        <v>-13</v>
      </c>
    </row>
    <row r="109" spans="1:25" x14ac:dyDescent="0.2">
      <c r="A109" s="8">
        <v>53.5</v>
      </c>
      <c r="B109" s="8">
        <v>107</v>
      </c>
      <c r="D109">
        <v>1076.7753001715</v>
      </c>
      <c r="E109">
        <v>373.07375643224998</v>
      </c>
      <c r="F109">
        <v>123.2176520994</v>
      </c>
      <c r="G109">
        <v>109.88260497000999</v>
      </c>
      <c r="I109" s="9">
        <f t="shared" si="8"/>
        <v>263.19115146223999</v>
      </c>
      <c r="J109" s="9">
        <f t="shared" si="9"/>
        <v>953.55764807210005</v>
      </c>
      <c r="K109" s="9">
        <f t="shared" si="10"/>
        <v>263.19115146223999</v>
      </c>
      <c r="L109" s="10">
        <f t="shared" si="7"/>
        <v>0.27600969065096281</v>
      </c>
      <c r="M109" s="10">
        <f t="shared" si="11"/>
        <v>0.29177305785498142</v>
      </c>
      <c r="P109" s="8">
        <f t="shared" si="12"/>
        <v>6.9193475288528301</v>
      </c>
      <c r="X109" s="8">
        <v>-13</v>
      </c>
    </row>
    <row r="110" spans="1:25" x14ac:dyDescent="0.2">
      <c r="A110" s="8">
        <v>54</v>
      </c>
      <c r="B110" s="8">
        <v>108</v>
      </c>
      <c r="D110">
        <v>1031.8327615779999</v>
      </c>
      <c r="E110">
        <v>371.27615780446001</v>
      </c>
      <c r="F110">
        <v>123.55269922879</v>
      </c>
      <c r="G110">
        <v>110.03856041131</v>
      </c>
      <c r="I110" s="9">
        <f t="shared" si="8"/>
        <v>261.23759739315</v>
      </c>
      <c r="J110" s="9">
        <f t="shared" si="9"/>
        <v>908.28006234920986</v>
      </c>
      <c r="K110" s="9">
        <f t="shared" si="10"/>
        <v>261.23759739315</v>
      </c>
      <c r="L110" s="10">
        <f t="shared" si="7"/>
        <v>0.28761789256661124</v>
      </c>
      <c r="M110" s="10">
        <f t="shared" si="11"/>
        <v>0.30352858095945245</v>
      </c>
      <c r="P110" s="8">
        <f t="shared" si="12"/>
        <v>11.227123131681466</v>
      </c>
      <c r="X110" s="8">
        <v>-13</v>
      </c>
    </row>
    <row r="111" spans="1:25" x14ac:dyDescent="0.2">
      <c r="A111" s="8">
        <v>54.5</v>
      </c>
      <c r="B111" s="8">
        <v>109</v>
      </c>
      <c r="D111">
        <v>1044.6063464837</v>
      </c>
      <c r="E111">
        <v>372.53859348199001</v>
      </c>
      <c r="F111">
        <v>123.06855184233</v>
      </c>
      <c r="G111">
        <v>110.30676949443</v>
      </c>
      <c r="I111" s="9">
        <f t="shared" si="8"/>
        <v>262.23182398756001</v>
      </c>
      <c r="J111" s="9">
        <f t="shared" si="9"/>
        <v>921.53779464137006</v>
      </c>
      <c r="K111" s="9">
        <f t="shared" si="10"/>
        <v>262.23182398756001</v>
      </c>
      <c r="L111" s="10">
        <f t="shared" si="7"/>
        <v>0.28455894648315683</v>
      </c>
      <c r="M111" s="10">
        <f t="shared" si="11"/>
        <v>0.30061695606482064</v>
      </c>
      <c r="P111" s="8">
        <f t="shared" si="12"/>
        <v>10.160167065650425</v>
      </c>
      <c r="X111" s="8">
        <v>-13</v>
      </c>
    </row>
    <row r="112" spans="1:25" x14ac:dyDescent="0.2">
      <c r="A112" s="8">
        <v>55</v>
      </c>
      <c r="B112" s="8">
        <v>110</v>
      </c>
      <c r="D112">
        <v>1110.3565957446999</v>
      </c>
      <c r="E112">
        <v>400.96255319148997</v>
      </c>
      <c r="F112">
        <v>123.23993144815999</v>
      </c>
      <c r="G112">
        <v>109.79605826907</v>
      </c>
      <c r="I112" s="9">
        <f t="shared" si="8"/>
        <v>291.16649492241999</v>
      </c>
      <c r="J112" s="9">
        <f t="shared" si="9"/>
        <v>987.11666429653997</v>
      </c>
      <c r="K112" s="9">
        <f t="shared" si="10"/>
        <v>291.16649492241999</v>
      </c>
      <c r="L112" s="10">
        <f t="shared" si="7"/>
        <v>0.29496664928650274</v>
      </c>
      <c r="M112" s="10">
        <f t="shared" si="11"/>
        <v>0.31117198005698915</v>
      </c>
      <c r="P112" s="8">
        <f t="shared" si="12"/>
        <v>14.028023428711045</v>
      </c>
      <c r="X112" s="8">
        <v>-13</v>
      </c>
    </row>
    <row r="113" spans="1:24" x14ac:dyDescent="0.2">
      <c r="A113" s="8">
        <v>55.5</v>
      </c>
      <c r="B113" s="8">
        <v>111</v>
      </c>
      <c r="D113">
        <v>1081.5880851064001</v>
      </c>
      <c r="E113">
        <v>401.06127659574997</v>
      </c>
      <c r="F113">
        <v>123.30248500428</v>
      </c>
      <c r="G113">
        <v>109.9940017138</v>
      </c>
      <c r="I113" s="9">
        <f t="shared" si="8"/>
        <v>291.06727488194997</v>
      </c>
      <c r="J113" s="9">
        <f t="shared" si="9"/>
        <v>958.28560010212004</v>
      </c>
      <c r="K113" s="9">
        <f t="shared" si="10"/>
        <v>291.06727488194997</v>
      </c>
      <c r="L113" s="10">
        <f t="shared" si="7"/>
        <v>0.30373750252631604</v>
      </c>
      <c r="M113" s="10">
        <f t="shared" si="11"/>
        <v>0.32009015448562506</v>
      </c>
      <c r="P113" s="8">
        <f t="shared" si="12"/>
        <v>17.296061259442411</v>
      </c>
      <c r="X113" s="8">
        <v>-13</v>
      </c>
    </row>
    <row r="114" spans="1:24" x14ac:dyDescent="0.2">
      <c r="A114" s="8">
        <v>56</v>
      </c>
      <c r="B114" s="8">
        <v>112</v>
      </c>
      <c r="D114">
        <v>1060.7442258341</v>
      </c>
      <c r="E114">
        <v>382.36783575705999</v>
      </c>
      <c r="F114">
        <v>123.34018851757</v>
      </c>
      <c r="G114">
        <v>110.06940874036</v>
      </c>
      <c r="I114" s="9">
        <f t="shared" si="8"/>
        <v>272.29842701669997</v>
      </c>
      <c r="J114" s="9">
        <f t="shared" si="9"/>
        <v>937.40403731652998</v>
      </c>
      <c r="K114" s="9">
        <f t="shared" si="10"/>
        <v>272.29842701669997</v>
      </c>
      <c r="L114" s="10">
        <f t="shared" si="7"/>
        <v>0.29048138921632777</v>
      </c>
      <c r="M114" s="10">
        <f t="shared" si="11"/>
        <v>0.30698136236445939</v>
      </c>
      <c r="P114" s="8">
        <f t="shared" si="12"/>
        <v>12.492384351127516</v>
      </c>
      <c r="X114" s="8">
        <v>-13</v>
      </c>
    </row>
    <row r="115" spans="1:24" x14ac:dyDescent="0.2">
      <c r="A115" s="8">
        <v>56.5</v>
      </c>
      <c r="B115" s="8">
        <v>113</v>
      </c>
      <c r="D115">
        <v>1024.7385008517999</v>
      </c>
      <c r="E115">
        <v>367.31856899488997</v>
      </c>
      <c r="F115">
        <v>123.20394173093</v>
      </c>
      <c r="G115">
        <v>109.98800342759</v>
      </c>
      <c r="I115" s="9">
        <f t="shared" si="8"/>
        <v>257.33056556729997</v>
      </c>
      <c r="J115" s="9">
        <f t="shared" si="9"/>
        <v>901.53455912086997</v>
      </c>
      <c r="K115" s="9">
        <f t="shared" si="10"/>
        <v>257.33056556729997</v>
      </c>
      <c r="L115" s="10">
        <f t="shared" si="7"/>
        <v>0.28543616322177984</v>
      </c>
      <c r="M115" s="10">
        <f t="shared" si="11"/>
        <v>0.30208345755873406</v>
      </c>
      <c r="P115" s="8">
        <f t="shared" si="12"/>
        <v>10.697562067204142</v>
      </c>
      <c r="X115" s="8">
        <v>-13</v>
      </c>
    </row>
    <row r="116" spans="1:24" x14ac:dyDescent="0.2">
      <c r="A116" s="8">
        <v>57</v>
      </c>
      <c r="B116" s="8">
        <v>114</v>
      </c>
      <c r="D116">
        <v>1026.6643952300001</v>
      </c>
      <c r="E116">
        <v>359.44718909710002</v>
      </c>
      <c r="F116">
        <v>122.96315338475</v>
      </c>
      <c r="G116">
        <v>110.00942587832</v>
      </c>
      <c r="I116" s="9">
        <f t="shared" si="8"/>
        <v>249.43776321878002</v>
      </c>
      <c r="J116" s="9">
        <f t="shared" si="9"/>
        <v>903.70124184525002</v>
      </c>
      <c r="K116" s="9">
        <f t="shared" si="10"/>
        <v>249.43776321878002</v>
      </c>
      <c r="L116" s="10">
        <f t="shared" si="7"/>
        <v>0.27601794892907072</v>
      </c>
      <c r="M116" s="10">
        <f t="shared" si="11"/>
        <v>0.29281256445484755</v>
      </c>
      <c r="P116" s="8">
        <f t="shared" si="12"/>
        <v>7.3002715532528599</v>
      </c>
      <c r="X116" s="8">
        <v>-13</v>
      </c>
    </row>
    <row r="117" spans="1:24" x14ac:dyDescent="0.2">
      <c r="A117" s="8">
        <v>57.5</v>
      </c>
      <c r="B117" s="8">
        <v>115</v>
      </c>
      <c r="D117">
        <v>1023.6925042589</v>
      </c>
      <c r="E117">
        <v>354.23083475298</v>
      </c>
      <c r="F117">
        <v>122.96401028278</v>
      </c>
      <c r="G117">
        <v>109.97000856898001</v>
      </c>
      <c r="I117" s="9">
        <f t="shared" si="8"/>
        <v>244.260826184</v>
      </c>
      <c r="J117" s="9">
        <f t="shared" si="9"/>
        <v>900.72849397612003</v>
      </c>
      <c r="K117" s="9">
        <f t="shared" si="10"/>
        <v>244.260826184</v>
      </c>
      <c r="L117" s="10">
        <f t="shared" si="7"/>
        <v>0.27118141350869246</v>
      </c>
      <c r="M117" s="10">
        <f t="shared" si="11"/>
        <v>0.28812335022329189</v>
      </c>
      <c r="P117" s="8">
        <f t="shared" si="12"/>
        <v>5.5819232940035954</v>
      </c>
      <c r="X117" s="8">
        <v>-13</v>
      </c>
    </row>
    <row r="118" spans="1:24" x14ac:dyDescent="0.2">
      <c r="A118" s="8">
        <v>58</v>
      </c>
      <c r="B118" s="8">
        <v>116</v>
      </c>
      <c r="D118">
        <v>976.03319148935998</v>
      </c>
      <c r="E118">
        <v>334.95659574467999</v>
      </c>
      <c r="F118">
        <v>122.84318766067</v>
      </c>
      <c r="G118">
        <v>109.94258783204999</v>
      </c>
      <c r="I118" s="9">
        <f t="shared" si="8"/>
        <v>225.01400791263001</v>
      </c>
      <c r="J118" s="9">
        <f t="shared" si="9"/>
        <v>853.19000382869001</v>
      </c>
      <c r="K118" s="9">
        <f t="shared" si="10"/>
        <v>225.01400791263001</v>
      </c>
      <c r="L118" s="10">
        <f t="shared" si="7"/>
        <v>0.26373258817248174</v>
      </c>
      <c r="M118" s="10">
        <f t="shared" si="11"/>
        <v>0.28082184607590377</v>
      </c>
      <c r="P118" s="8">
        <f t="shared" si="12"/>
        <v>2.9063093591283473</v>
      </c>
      <c r="X118" s="8">
        <v>-13</v>
      </c>
    </row>
    <row r="119" spans="1:24" x14ac:dyDescent="0.2">
      <c r="A119" s="8">
        <v>58.5</v>
      </c>
      <c r="B119" s="8">
        <v>117</v>
      </c>
      <c r="D119">
        <v>1001.6359761296</v>
      </c>
      <c r="E119">
        <v>340.17135549872</v>
      </c>
      <c r="F119">
        <v>122.76092544987</v>
      </c>
      <c r="G119">
        <v>110.04627249357</v>
      </c>
      <c r="I119" s="9">
        <f t="shared" si="8"/>
        <v>230.12508300515</v>
      </c>
      <c r="J119" s="9">
        <f t="shared" si="9"/>
        <v>878.87505067972995</v>
      </c>
      <c r="K119" s="9">
        <f t="shared" si="10"/>
        <v>230.12508300515</v>
      </c>
      <c r="L119" s="10">
        <f t="shared" si="7"/>
        <v>0.26184050033866496</v>
      </c>
      <c r="M119" s="10">
        <f t="shared" si="11"/>
        <v>0.27907707943090959</v>
      </c>
      <c r="P119" s="8">
        <f t="shared" si="12"/>
        <v>2.2669449413019325</v>
      </c>
      <c r="X119" s="8">
        <v>-13</v>
      </c>
    </row>
    <row r="120" spans="1:24" x14ac:dyDescent="0.2">
      <c r="A120" s="8">
        <v>59</v>
      </c>
      <c r="B120" s="8">
        <v>118</v>
      </c>
      <c r="D120">
        <v>1032.3511904761999</v>
      </c>
      <c r="E120">
        <v>348.15646258503</v>
      </c>
      <c r="F120">
        <v>123.66323907455001</v>
      </c>
      <c r="G120">
        <v>110.04970008569001</v>
      </c>
      <c r="I120" s="9">
        <f t="shared" si="8"/>
        <v>238.10676249933999</v>
      </c>
      <c r="J120" s="9">
        <f t="shared" si="9"/>
        <v>908.68795140164991</v>
      </c>
      <c r="K120" s="9">
        <f t="shared" si="10"/>
        <v>238.10676249933999</v>
      </c>
      <c r="L120" s="10">
        <f t="shared" si="7"/>
        <v>0.26203358604244797</v>
      </c>
      <c r="M120" s="10">
        <f t="shared" si="11"/>
        <v>0.27941748632351521</v>
      </c>
      <c r="P120" s="8">
        <f t="shared" si="12"/>
        <v>2.3916860093062526</v>
      </c>
      <c r="X120" s="8">
        <v>-13</v>
      </c>
    </row>
    <row r="121" spans="1:24" x14ac:dyDescent="0.2">
      <c r="A121" s="8">
        <v>59.5</v>
      </c>
      <c r="B121" s="8">
        <v>119</v>
      </c>
      <c r="D121">
        <v>1034.9770408162999</v>
      </c>
      <c r="E121">
        <v>361.77125850340002</v>
      </c>
      <c r="F121">
        <v>122.96229648672001</v>
      </c>
      <c r="G121">
        <v>109.98200514139</v>
      </c>
      <c r="I121" s="9">
        <f t="shared" si="8"/>
        <v>251.78925336201002</v>
      </c>
      <c r="J121" s="9">
        <f t="shared" si="9"/>
        <v>912.01474432957991</v>
      </c>
      <c r="K121" s="9">
        <f t="shared" si="10"/>
        <v>251.78925336201002</v>
      </c>
      <c r="L121" s="10">
        <f t="shared" si="7"/>
        <v>0.27608024423673078</v>
      </c>
      <c r="M121" s="10">
        <f t="shared" si="11"/>
        <v>0.29361146570662061</v>
      </c>
      <c r="P121" s="8">
        <f t="shared" si="12"/>
        <v>7.5930264813724229</v>
      </c>
      <c r="X121" s="8">
        <v>-13</v>
      </c>
    </row>
    <row r="122" spans="1:24" x14ac:dyDescent="0.2">
      <c r="A122" s="8">
        <v>60</v>
      </c>
      <c r="B122" s="8">
        <v>120</v>
      </c>
      <c r="D122">
        <v>1074.7035132819001</v>
      </c>
      <c r="E122">
        <v>395.88089117394998</v>
      </c>
      <c r="F122">
        <v>122.42159383033</v>
      </c>
      <c r="G122">
        <v>110.09682947729</v>
      </c>
      <c r="I122" s="9">
        <f t="shared" si="8"/>
        <v>285.78406169665999</v>
      </c>
      <c r="J122" s="9">
        <f t="shared" si="9"/>
        <v>952.28191945157005</v>
      </c>
      <c r="K122" s="9">
        <f t="shared" si="10"/>
        <v>285.78406169665999</v>
      </c>
      <c r="L122" s="10">
        <f t="shared" si="7"/>
        <v>0.30010447101762289</v>
      </c>
      <c r="M122" s="10">
        <f t="shared" si="11"/>
        <v>0.31778301367633532</v>
      </c>
      <c r="P122" s="8">
        <f t="shared" si="12"/>
        <v>16.450616543607637</v>
      </c>
      <c r="X122" s="8">
        <v>-13</v>
      </c>
    </row>
    <row r="123" spans="1:24" x14ac:dyDescent="0.2">
      <c r="A123" s="8">
        <v>60.5</v>
      </c>
      <c r="B123" s="8">
        <v>121</v>
      </c>
      <c r="D123">
        <v>1053.3401885175999</v>
      </c>
      <c r="E123">
        <v>405.11825192802002</v>
      </c>
      <c r="F123">
        <v>123.15595544129999</v>
      </c>
      <c r="G123">
        <v>109.95372750643</v>
      </c>
      <c r="I123" s="9">
        <f t="shared" si="8"/>
        <v>295.16452442159004</v>
      </c>
      <c r="J123" s="9">
        <f t="shared" si="9"/>
        <v>930.18423307629996</v>
      </c>
      <c r="K123" s="9">
        <f t="shared" si="10"/>
        <v>295.16452442159004</v>
      </c>
      <c r="L123" s="10">
        <f t="shared" si="7"/>
        <v>0.31731834826464822</v>
      </c>
      <c r="M123" s="10">
        <f t="shared" si="11"/>
        <v>0.33514421211218326</v>
      </c>
      <c r="P123" s="8">
        <f t="shared" si="12"/>
        <v>22.812574781720233</v>
      </c>
      <c r="X123" s="8">
        <v>-13</v>
      </c>
    </row>
    <row r="124" spans="1:24" x14ac:dyDescent="0.2">
      <c r="A124" s="8">
        <v>61</v>
      </c>
      <c r="B124" s="8">
        <v>122</v>
      </c>
      <c r="D124">
        <v>1042.8457583548</v>
      </c>
      <c r="E124">
        <v>404.64524421594001</v>
      </c>
      <c r="F124">
        <v>122.96572407884</v>
      </c>
      <c r="G124">
        <v>110.17994858612001</v>
      </c>
      <c r="I124" s="9">
        <f t="shared" si="8"/>
        <v>294.46529562981999</v>
      </c>
      <c r="J124" s="9">
        <f t="shared" si="9"/>
        <v>919.88003427595993</v>
      </c>
      <c r="K124" s="9">
        <f t="shared" si="10"/>
        <v>294.46529562981999</v>
      </c>
      <c r="L124" s="10">
        <f t="shared" si="7"/>
        <v>0.32011271541684716</v>
      </c>
      <c r="M124" s="10">
        <f t="shared" si="11"/>
        <v>0.3380859004532048</v>
      </c>
      <c r="P124" s="8">
        <f t="shared" si="12"/>
        <v>23.890547506027023</v>
      </c>
      <c r="X124" s="8">
        <v>-13</v>
      </c>
    </row>
    <row r="125" spans="1:24" x14ac:dyDescent="0.2">
      <c r="A125" s="8">
        <v>61.5</v>
      </c>
      <c r="B125" s="8">
        <v>123</v>
      </c>
      <c r="D125">
        <v>1023.7806341045</v>
      </c>
      <c r="E125">
        <v>383.02999143101999</v>
      </c>
      <c r="F125">
        <v>122.87832047985999</v>
      </c>
      <c r="G125">
        <v>109.83976006855001</v>
      </c>
      <c r="I125" s="9">
        <f t="shared" si="8"/>
        <v>273.19023136247</v>
      </c>
      <c r="J125" s="9">
        <f t="shared" si="9"/>
        <v>900.90231362463999</v>
      </c>
      <c r="K125" s="9">
        <f t="shared" si="10"/>
        <v>273.19023136247</v>
      </c>
      <c r="L125" s="10">
        <f t="shared" si="7"/>
        <v>0.30324068129354859</v>
      </c>
      <c r="M125" s="10">
        <f t="shared" si="11"/>
        <v>0.32136118751872883</v>
      </c>
      <c r="P125" s="8">
        <f t="shared" si="12"/>
        <v>17.761827439452833</v>
      </c>
      <c r="X125" s="8">
        <v>-13</v>
      </c>
    </row>
    <row r="126" spans="1:24" x14ac:dyDescent="0.2">
      <c r="A126" s="8">
        <v>62</v>
      </c>
      <c r="B126" s="8">
        <v>124</v>
      </c>
      <c r="D126">
        <v>1042.0728363324999</v>
      </c>
      <c r="E126">
        <v>393.70951156811998</v>
      </c>
      <c r="F126">
        <v>123.25964010283001</v>
      </c>
      <c r="G126">
        <v>110.14910025707</v>
      </c>
      <c r="I126" s="9">
        <f t="shared" si="8"/>
        <v>283.56041131104996</v>
      </c>
      <c r="J126" s="9">
        <f t="shared" si="9"/>
        <v>918.81319622966998</v>
      </c>
      <c r="K126" s="9">
        <f t="shared" si="10"/>
        <v>283.56041131104996</v>
      </c>
      <c r="L126" s="10">
        <f t="shared" si="7"/>
        <v>0.30861595422729449</v>
      </c>
      <c r="M126" s="10">
        <f t="shared" si="11"/>
        <v>0.32688378164129733</v>
      </c>
      <c r="P126" s="8">
        <f t="shared" si="12"/>
        <v>19.785565219056807</v>
      </c>
      <c r="X126" s="8">
        <v>-13</v>
      </c>
    </row>
    <row r="127" spans="1:24" x14ac:dyDescent="0.2">
      <c r="A127" s="8">
        <v>62.5</v>
      </c>
      <c r="B127" s="8">
        <v>125</v>
      </c>
      <c r="D127">
        <v>997.30300429185002</v>
      </c>
      <c r="E127">
        <v>369.76137339055998</v>
      </c>
      <c r="F127">
        <v>123.10968294772999</v>
      </c>
      <c r="G127">
        <v>109.96829477292</v>
      </c>
      <c r="I127" s="9">
        <f t="shared" si="8"/>
        <v>259.79307861763999</v>
      </c>
      <c r="J127" s="9">
        <f t="shared" si="9"/>
        <v>874.19332134412002</v>
      </c>
      <c r="K127" s="9">
        <f t="shared" si="10"/>
        <v>259.79307861763999</v>
      </c>
      <c r="L127" s="10">
        <f t="shared" si="7"/>
        <v>0.29718035161626943</v>
      </c>
      <c r="M127" s="10">
        <f t="shared" si="11"/>
        <v>0.31559550021909488</v>
      </c>
      <c r="P127" s="8">
        <f t="shared" si="12"/>
        <v>15.649008906226051</v>
      </c>
      <c r="X127" s="8">
        <v>-13</v>
      </c>
    </row>
    <row r="128" spans="1:24" x14ac:dyDescent="0.2">
      <c r="A128" s="8">
        <v>63</v>
      </c>
      <c r="B128" s="8">
        <v>126</v>
      </c>
      <c r="D128">
        <v>987.58197424893001</v>
      </c>
      <c r="E128">
        <v>356.17682403433997</v>
      </c>
      <c r="F128">
        <v>122.61868037703999</v>
      </c>
      <c r="G128">
        <v>109.81233933162</v>
      </c>
      <c r="I128" s="9">
        <f t="shared" si="8"/>
        <v>246.36448470271998</v>
      </c>
      <c r="J128" s="9">
        <f t="shared" si="9"/>
        <v>864.96329387189007</v>
      </c>
      <c r="K128" s="9">
        <f t="shared" si="10"/>
        <v>246.36448470271998</v>
      </c>
      <c r="L128" s="10">
        <f t="shared" si="7"/>
        <v>0.28482651974733286</v>
      </c>
      <c r="M128" s="10">
        <f t="shared" si="11"/>
        <v>0.30338898953898091</v>
      </c>
      <c r="P128" s="8">
        <f t="shared" si="12"/>
        <v>11.175970281218964</v>
      </c>
      <c r="X128" s="8">
        <v>-13</v>
      </c>
    </row>
    <row r="129" spans="1:24" x14ac:dyDescent="0.2">
      <c r="A129" s="8">
        <v>63.5</v>
      </c>
      <c r="B129" s="8">
        <v>127</v>
      </c>
      <c r="D129">
        <v>1005.8863443596</v>
      </c>
      <c r="E129">
        <v>359.00763358779</v>
      </c>
      <c r="F129">
        <v>122.70522707798</v>
      </c>
      <c r="G129">
        <v>109.43873179092</v>
      </c>
      <c r="I129" s="9">
        <f t="shared" si="8"/>
        <v>249.56890179686999</v>
      </c>
      <c r="J129" s="9">
        <f t="shared" si="9"/>
        <v>883.18111728162</v>
      </c>
      <c r="K129" s="9">
        <f t="shared" si="10"/>
        <v>249.56890179686999</v>
      </c>
      <c r="L129" s="10">
        <f t="shared" si="7"/>
        <v>0.28257952634339434</v>
      </c>
      <c r="M129" s="10">
        <f t="shared" si="11"/>
        <v>0.30128931732386499</v>
      </c>
      <c r="P129" s="8">
        <f t="shared" si="12"/>
        <v>10.406551799214244</v>
      </c>
      <c r="X129" s="8">
        <v>-13</v>
      </c>
    </row>
    <row r="130" spans="1:24" x14ac:dyDescent="0.2">
      <c r="A130" s="8">
        <v>64</v>
      </c>
      <c r="B130" s="8">
        <v>128</v>
      </c>
      <c r="D130">
        <v>975.03763900770002</v>
      </c>
      <c r="E130">
        <v>346.15483319075997</v>
      </c>
      <c r="F130">
        <v>122.54755784062</v>
      </c>
      <c r="G130">
        <v>109.64181662382001</v>
      </c>
      <c r="I130" s="9">
        <f t="shared" si="8"/>
        <v>236.51301656693997</v>
      </c>
      <c r="J130" s="9">
        <f t="shared" si="9"/>
        <v>852.49008116708001</v>
      </c>
      <c r="K130" s="9">
        <f t="shared" si="10"/>
        <v>236.51301656693997</v>
      </c>
      <c r="L130" s="10">
        <f t="shared" ref="L130:L193" si="14">K130/J130</f>
        <v>0.27743785152684453</v>
      </c>
      <c r="M130" s="10">
        <f t="shared" si="11"/>
        <v>0.29629496369613778</v>
      </c>
      <c r="P130" s="8">
        <f t="shared" si="12"/>
        <v>8.5763861385096813</v>
      </c>
      <c r="X130" s="8">
        <v>-13</v>
      </c>
    </row>
    <row r="131" spans="1:24" x14ac:dyDescent="0.2">
      <c r="A131" s="8">
        <v>64.5</v>
      </c>
      <c r="B131" s="8">
        <v>129</v>
      </c>
      <c r="D131">
        <v>1018.940874036</v>
      </c>
      <c r="E131">
        <v>366.71379605827002</v>
      </c>
      <c r="F131">
        <v>122.90745501284999</v>
      </c>
      <c r="G131">
        <v>110.07969151671</v>
      </c>
      <c r="I131" s="9">
        <f t="shared" ref="I131:I194" si="15">E131-G131</f>
        <v>256.63410454156002</v>
      </c>
      <c r="J131" s="9">
        <f t="shared" ref="J131:J194" si="16">D131-F131</f>
        <v>896.03341902314992</v>
      </c>
      <c r="K131" s="9">
        <f t="shared" ref="K131:K194" si="17">I131*1</f>
        <v>256.63410454156002</v>
      </c>
      <c r="L131" s="10">
        <f t="shared" si="14"/>
        <v>0.28641130910199858</v>
      </c>
      <c r="M131" s="10">
        <f t="shared" ref="M131:M181" si="18">L131+ABS($N$2)*A131</f>
        <v>0.30541574246011444</v>
      </c>
      <c r="P131" s="8">
        <f t="shared" ref="P131:P194" si="19">(M131-$O$2)/$O$2*100</f>
        <v>11.918667710251283</v>
      </c>
      <c r="X131" s="8">
        <v>-13</v>
      </c>
    </row>
    <row r="132" spans="1:24" x14ac:dyDescent="0.2">
      <c r="A132" s="8">
        <v>65</v>
      </c>
      <c r="B132" s="8">
        <v>130</v>
      </c>
      <c r="D132">
        <v>997.36348122867003</v>
      </c>
      <c r="E132">
        <v>364.85494880546003</v>
      </c>
      <c r="F132">
        <v>122.71808054842001</v>
      </c>
      <c r="G132">
        <v>109.39245929734</v>
      </c>
      <c r="I132" s="9">
        <f t="shared" si="15"/>
        <v>255.46248950812003</v>
      </c>
      <c r="J132" s="9">
        <f t="shared" si="16"/>
        <v>874.64540068025008</v>
      </c>
      <c r="K132" s="9">
        <f t="shared" si="17"/>
        <v>255.46248950812003</v>
      </c>
      <c r="L132" s="10">
        <f t="shared" si="14"/>
        <v>0.29207549632049246</v>
      </c>
      <c r="M132" s="10">
        <f t="shared" si="18"/>
        <v>0.31122725086743092</v>
      </c>
      <c r="P132" s="8">
        <f t="shared" si="19"/>
        <v>14.048277248694527</v>
      </c>
      <c r="X132" s="8">
        <v>-13</v>
      </c>
    </row>
    <row r="133" spans="1:24" x14ac:dyDescent="0.2">
      <c r="A133" s="8">
        <v>65.5</v>
      </c>
      <c r="B133" s="8">
        <v>131</v>
      </c>
      <c r="D133">
        <v>995.02986348123</v>
      </c>
      <c r="E133">
        <v>362.20051194539002</v>
      </c>
      <c r="F133">
        <v>122.55784061697</v>
      </c>
      <c r="G133">
        <v>109.96486718081</v>
      </c>
      <c r="I133" s="9">
        <f t="shared" si="15"/>
        <v>252.23564476458</v>
      </c>
      <c r="J133" s="9">
        <f t="shared" si="16"/>
        <v>872.47202286426</v>
      </c>
      <c r="K133" s="9">
        <f t="shared" si="17"/>
        <v>252.23564476458</v>
      </c>
      <c r="L133" s="10">
        <f t="shared" si="14"/>
        <v>0.28910456513723998</v>
      </c>
      <c r="M133" s="10">
        <f t="shared" si="18"/>
        <v>0.30840364087300104</v>
      </c>
      <c r="P133" s="8">
        <f t="shared" si="19"/>
        <v>13.013573974513395</v>
      </c>
      <c r="X133" s="8">
        <v>-13</v>
      </c>
    </row>
    <row r="134" spans="1:24" x14ac:dyDescent="0.2">
      <c r="A134" s="8">
        <v>66</v>
      </c>
      <c r="B134" s="8">
        <v>132</v>
      </c>
      <c r="D134">
        <v>997.09409751925</v>
      </c>
      <c r="E134">
        <v>362.15568862275001</v>
      </c>
      <c r="F134">
        <v>122.94001713796</v>
      </c>
      <c r="G134">
        <v>109.63838903171001</v>
      </c>
      <c r="I134" s="9">
        <f t="shared" si="15"/>
        <v>252.51729959104</v>
      </c>
      <c r="J134" s="9">
        <f t="shared" si="16"/>
        <v>874.15408038128999</v>
      </c>
      <c r="K134" s="9">
        <f t="shared" si="17"/>
        <v>252.51729959104</v>
      </c>
      <c r="L134" s="10">
        <f t="shared" si="14"/>
        <v>0.28887046947249456</v>
      </c>
      <c r="M134" s="10">
        <f t="shared" si="18"/>
        <v>0.30831686639707823</v>
      </c>
      <c r="P134" s="8">
        <f t="shared" si="19"/>
        <v>12.981775732358916</v>
      </c>
      <c r="X134" s="8">
        <v>-13</v>
      </c>
    </row>
    <row r="135" spans="1:24" x14ac:dyDescent="0.2">
      <c r="A135" s="8">
        <v>66.5</v>
      </c>
      <c r="B135" s="8">
        <v>133</v>
      </c>
      <c r="D135">
        <v>1010.0171969046</v>
      </c>
      <c r="E135">
        <v>359.66981943249999</v>
      </c>
      <c r="F135">
        <v>122.97257926307</v>
      </c>
      <c r="G135">
        <v>109.55784061697</v>
      </c>
      <c r="I135" s="9">
        <f t="shared" si="15"/>
        <v>250.11197881552999</v>
      </c>
      <c r="J135" s="9">
        <f t="shared" si="16"/>
        <v>887.04461764153007</v>
      </c>
      <c r="K135" s="9">
        <f t="shared" si="17"/>
        <v>250.11197881552999</v>
      </c>
      <c r="L135" s="10">
        <f t="shared" si="14"/>
        <v>0.28196099028313426</v>
      </c>
      <c r="M135" s="10">
        <f t="shared" si="18"/>
        <v>0.30155470839654053</v>
      </c>
      <c r="P135" s="8">
        <f t="shared" si="19"/>
        <v>10.503803548704266</v>
      </c>
      <c r="X135" s="8">
        <v>-13</v>
      </c>
    </row>
    <row r="136" spans="1:24" x14ac:dyDescent="0.2">
      <c r="A136" s="8">
        <v>67</v>
      </c>
      <c r="B136" s="8">
        <v>134</v>
      </c>
      <c r="D136">
        <v>998.32383419688995</v>
      </c>
      <c r="E136">
        <v>350.74956822106998</v>
      </c>
      <c r="F136">
        <v>123.08397600686</v>
      </c>
      <c r="G136">
        <v>109.46786632391</v>
      </c>
      <c r="I136" s="9">
        <f t="shared" si="15"/>
        <v>241.28170189715996</v>
      </c>
      <c r="J136" s="9">
        <f t="shared" si="16"/>
        <v>875.23985819002996</v>
      </c>
      <c r="K136" s="9">
        <f t="shared" si="17"/>
        <v>241.28170189715996</v>
      </c>
      <c r="L136" s="10">
        <f t="shared" si="14"/>
        <v>0.27567494743226545</v>
      </c>
      <c r="M136" s="10">
        <f t="shared" si="18"/>
        <v>0.29541598673449432</v>
      </c>
      <c r="P136" s="8">
        <f t="shared" si="19"/>
        <v>8.2542877106331662</v>
      </c>
      <c r="X136" s="8">
        <v>-13</v>
      </c>
    </row>
    <row r="137" spans="1:24" x14ac:dyDescent="0.2">
      <c r="A137" s="8">
        <v>67.5</v>
      </c>
      <c r="B137" s="8">
        <v>135</v>
      </c>
      <c r="D137">
        <v>971.46459412780996</v>
      </c>
      <c r="E137">
        <v>340.57340241795998</v>
      </c>
      <c r="F137">
        <v>122.74207369323</v>
      </c>
      <c r="G137">
        <v>109.84832904884</v>
      </c>
      <c r="I137" s="9">
        <f t="shared" si="15"/>
        <v>230.72507336911997</v>
      </c>
      <c r="J137" s="9">
        <f t="shared" si="16"/>
        <v>848.72252043458002</v>
      </c>
      <c r="K137" s="9">
        <f t="shared" si="17"/>
        <v>230.72507336911997</v>
      </c>
      <c r="L137" s="10">
        <f t="shared" si="14"/>
        <v>0.27184983055590356</v>
      </c>
      <c r="M137" s="10">
        <f t="shared" si="18"/>
        <v>0.29173819104695503</v>
      </c>
      <c r="P137" s="8">
        <f t="shared" si="19"/>
        <v>6.9065706933492299</v>
      </c>
      <c r="X137" s="8">
        <v>-13</v>
      </c>
    </row>
    <row r="138" spans="1:24" x14ac:dyDescent="0.2">
      <c r="A138" s="8">
        <v>68</v>
      </c>
      <c r="B138" s="8">
        <v>136</v>
      </c>
      <c r="D138">
        <v>957.47814910026</v>
      </c>
      <c r="E138">
        <v>354.01885175664</v>
      </c>
      <c r="F138">
        <v>122.71722365039</v>
      </c>
      <c r="G138">
        <v>109.74721508141</v>
      </c>
      <c r="I138" s="9">
        <f t="shared" si="15"/>
        <v>244.27163667523001</v>
      </c>
      <c r="J138" s="9">
        <f t="shared" si="16"/>
        <v>834.76092544987</v>
      </c>
      <c r="K138" s="9">
        <f t="shared" si="17"/>
        <v>244.27163667523001</v>
      </c>
      <c r="L138" s="10">
        <f t="shared" si="14"/>
        <v>0.29262466561139883</v>
      </c>
      <c r="M138" s="10">
        <f t="shared" si="18"/>
        <v>0.3126603472912729</v>
      </c>
      <c r="P138" s="8">
        <f t="shared" si="19"/>
        <v>14.573431064161868</v>
      </c>
      <c r="X138" s="8">
        <v>-13</v>
      </c>
    </row>
    <row r="139" spans="1:24" x14ac:dyDescent="0.2">
      <c r="A139" s="8">
        <v>68.5</v>
      </c>
      <c r="B139" s="8">
        <v>137</v>
      </c>
      <c r="D139">
        <v>963.60582690659999</v>
      </c>
      <c r="E139">
        <v>353.64695801200003</v>
      </c>
      <c r="F139">
        <v>122.79777206512</v>
      </c>
      <c r="G139">
        <v>109.60239931448</v>
      </c>
      <c r="I139" s="9">
        <f t="shared" si="15"/>
        <v>244.04455869752002</v>
      </c>
      <c r="J139" s="9">
        <f t="shared" si="16"/>
        <v>840.80805484148004</v>
      </c>
      <c r="K139" s="9">
        <f t="shared" si="17"/>
        <v>244.04455869752002</v>
      </c>
      <c r="L139" s="10">
        <f t="shared" si="14"/>
        <v>0.29025002471405964</v>
      </c>
      <c r="M139" s="10">
        <f t="shared" si="18"/>
        <v>0.31043302758275632</v>
      </c>
      <c r="P139" s="8">
        <f t="shared" si="19"/>
        <v>13.757236547356582</v>
      </c>
      <c r="X139" s="8">
        <v>-13</v>
      </c>
    </row>
    <row r="140" spans="1:24" x14ac:dyDescent="0.2">
      <c r="A140" s="8">
        <v>69</v>
      </c>
      <c r="B140" s="8">
        <v>138</v>
      </c>
      <c r="D140">
        <v>969.11739502999001</v>
      </c>
      <c r="E140">
        <v>361.42159383032998</v>
      </c>
      <c r="F140">
        <v>122.32990574122</v>
      </c>
      <c r="G140">
        <v>109.72579263068</v>
      </c>
      <c r="I140" s="9">
        <f t="shared" si="15"/>
        <v>251.69580119964996</v>
      </c>
      <c r="J140" s="9">
        <f t="shared" si="16"/>
        <v>846.78748928876996</v>
      </c>
      <c r="K140" s="9">
        <f t="shared" si="17"/>
        <v>251.69580119964996</v>
      </c>
      <c r="L140" s="10">
        <f t="shared" si="14"/>
        <v>0.29723608860949657</v>
      </c>
      <c r="M140" s="10">
        <f t="shared" si="18"/>
        <v>0.31756641266701585</v>
      </c>
      <c r="P140" s="8">
        <f t="shared" si="19"/>
        <v>16.371243764089254</v>
      </c>
      <c r="X140" s="8">
        <v>-13</v>
      </c>
    </row>
    <row r="141" spans="1:24" x14ac:dyDescent="0.2">
      <c r="A141" s="8">
        <v>69.5</v>
      </c>
      <c r="B141" s="8">
        <v>139</v>
      </c>
      <c r="D141">
        <v>960.42796248933996</v>
      </c>
      <c r="E141">
        <v>351.77152600171001</v>
      </c>
      <c r="F141">
        <v>123.08140531277</v>
      </c>
      <c r="G141">
        <v>109.75407026564</v>
      </c>
      <c r="I141" s="9">
        <f t="shared" si="15"/>
        <v>242.01745573607002</v>
      </c>
      <c r="J141" s="9">
        <f t="shared" si="16"/>
        <v>837.34655717656995</v>
      </c>
      <c r="K141" s="9">
        <f t="shared" si="17"/>
        <v>242.01745573607002</v>
      </c>
      <c r="L141" s="10">
        <f t="shared" si="14"/>
        <v>0.28902902109268025</v>
      </c>
      <c r="M141" s="10">
        <f t="shared" si="18"/>
        <v>0.30950666633902213</v>
      </c>
      <c r="P141" s="8">
        <f t="shared" si="19"/>
        <v>13.417774293767341</v>
      </c>
      <c r="X141" s="8">
        <v>-13</v>
      </c>
    </row>
    <row r="142" spans="1:24" x14ac:dyDescent="0.2">
      <c r="A142" s="8">
        <v>70</v>
      </c>
      <c r="B142" s="8">
        <v>140</v>
      </c>
      <c r="D142">
        <v>955.39316239315997</v>
      </c>
      <c r="E142">
        <v>340.18376068376</v>
      </c>
      <c r="F142">
        <v>122.4353041988</v>
      </c>
      <c r="G142">
        <v>109.70694087404</v>
      </c>
      <c r="I142" s="9">
        <f t="shared" si="15"/>
        <v>230.47681980971998</v>
      </c>
      <c r="J142" s="9">
        <f t="shared" si="16"/>
        <v>832.95785819435991</v>
      </c>
      <c r="K142" s="9">
        <f t="shared" si="17"/>
        <v>230.47681980971998</v>
      </c>
      <c r="L142" s="10">
        <f t="shared" si="14"/>
        <v>0.27669685511981951</v>
      </c>
      <c r="M142" s="10">
        <f t="shared" si="18"/>
        <v>0.29732182155498399</v>
      </c>
      <c r="P142" s="8">
        <f t="shared" si="19"/>
        <v>8.9526750703249025</v>
      </c>
      <c r="X142" s="8">
        <v>-13</v>
      </c>
    </row>
    <row r="143" spans="1:24" x14ac:dyDescent="0.2">
      <c r="A143" s="8">
        <v>70.5</v>
      </c>
      <c r="B143" s="8">
        <v>141</v>
      </c>
      <c r="D143">
        <v>951.94188034188005</v>
      </c>
      <c r="E143">
        <v>334.43076923077001</v>
      </c>
      <c r="F143">
        <v>122.15766923736</v>
      </c>
      <c r="G143">
        <v>109.6735218509</v>
      </c>
      <c r="I143" s="9">
        <f t="shared" si="15"/>
        <v>224.75724737987002</v>
      </c>
      <c r="J143" s="9">
        <f t="shared" si="16"/>
        <v>829.78421110452007</v>
      </c>
      <c r="K143" s="9">
        <f t="shared" si="17"/>
        <v>224.75724737987002</v>
      </c>
      <c r="L143" s="10">
        <f t="shared" si="14"/>
        <v>0.27086228488331587</v>
      </c>
      <c r="M143" s="10">
        <f t="shared" si="18"/>
        <v>0.29163457250730296</v>
      </c>
      <c r="P143" s="8">
        <f t="shared" si="19"/>
        <v>6.8685999953932919</v>
      </c>
      <c r="X143" s="8">
        <v>-13</v>
      </c>
    </row>
    <row r="144" spans="1:24" x14ac:dyDescent="0.2">
      <c r="A144" s="8">
        <v>71</v>
      </c>
      <c r="B144" s="8">
        <v>142</v>
      </c>
      <c r="D144">
        <v>948.33418803418999</v>
      </c>
      <c r="E144">
        <v>332.41538461539</v>
      </c>
      <c r="F144">
        <v>122.33333333333</v>
      </c>
      <c r="G144">
        <v>109.6118251928</v>
      </c>
      <c r="I144" s="9">
        <f t="shared" si="15"/>
        <v>222.80355942259001</v>
      </c>
      <c r="J144" s="9">
        <f t="shared" si="16"/>
        <v>826.00085470086003</v>
      </c>
      <c r="K144" s="9">
        <f t="shared" si="17"/>
        <v>222.80355942259001</v>
      </c>
      <c r="L144" s="10">
        <f t="shared" si="14"/>
        <v>0.26973768629244255</v>
      </c>
      <c r="M144" s="10">
        <f t="shared" si="18"/>
        <v>0.29065729510525223</v>
      </c>
      <c r="P144" s="8">
        <f t="shared" si="19"/>
        <v>6.5104796708159274</v>
      </c>
    </row>
    <row r="145" spans="1:16" x14ac:dyDescent="0.2">
      <c r="A145" s="8">
        <v>71.5</v>
      </c>
      <c r="B145" s="8">
        <v>143</v>
      </c>
      <c r="D145">
        <v>935.51067463705999</v>
      </c>
      <c r="E145">
        <v>333.90093936805999</v>
      </c>
      <c r="F145">
        <v>122.89545844045</v>
      </c>
      <c r="G145">
        <v>109.65981148243</v>
      </c>
      <c r="I145" s="9">
        <f t="shared" si="15"/>
        <v>224.24112788562999</v>
      </c>
      <c r="J145" s="9">
        <f t="shared" si="16"/>
        <v>812.61521619660994</v>
      </c>
      <c r="K145" s="9">
        <f t="shared" si="17"/>
        <v>224.24112788562999</v>
      </c>
      <c r="L145" s="10">
        <f t="shared" si="14"/>
        <v>0.27594994951629787</v>
      </c>
      <c r="M145" s="10">
        <f t="shared" si="18"/>
        <v>0.29701687951793021</v>
      </c>
      <c r="P145" s="8">
        <f t="shared" si="19"/>
        <v>8.8409299905166261</v>
      </c>
    </row>
    <row r="146" spans="1:16" x14ac:dyDescent="0.2">
      <c r="A146" s="8">
        <v>72</v>
      </c>
      <c r="B146" s="8">
        <v>144</v>
      </c>
      <c r="D146">
        <v>982.8121263877</v>
      </c>
      <c r="E146">
        <v>348.60375747224998</v>
      </c>
      <c r="F146">
        <v>122.95544130249</v>
      </c>
      <c r="G146">
        <v>109.85347043701999</v>
      </c>
      <c r="I146" s="9">
        <f t="shared" si="15"/>
        <v>238.75028703522997</v>
      </c>
      <c r="J146" s="9">
        <f t="shared" si="16"/>
        <v>859.85668508520996</v>
      </c>
      <c r="K146" s="9">
        <f t="shared" si="17"/>
        <v>238.75028703522997</v>
      </c>
      <c r="L146" s="10">
        <f t="shared" si="14"/>
        <v>0.27766288403232026</v>
      </c>
      <c r="M146" s="10">
        <f t="shared" si="18"/>
        <v>0.29887713522277515</v>
      </c>
      <c r="P146" s="8">
        <f t="shared" si="19"/>
        <v>9.5226150222363959</v>
      </c>
    </row>
    <row r="147" spans="1:16" x14ac:dyDescent="0.2">
      <c r="A147" s="8">
        <v>72.5</v>
      </c>
      <c r="B147" s="8">
        <v>145</v>
      </c>
      <c r="D147">
        <v>1101.7324185248999</v>
      </c>
      <c r="E147">
        <v>387.67924528302001</v>
      </c>
      <c r="F147">
        <v>122.74721508141</v>
      </c>
      <c r="G147">
        <v>109.54070265638001</v>
      </c>
      <c r="I147" s="9">
        <f t="shared" si="15"/>
        <v>278.13854262664</v>
      </c>
      <c r="J147" s="9">
        <f t="shared" si="16"/>
        <v>978.98520344348992</v>
      </c>
      <c r="K147" s="9">
        <f t="shared" si="17"/>
        <v>278.13854262664</v>
      </c>
      <c r="L147" s="10">
        <f t="shared" si="14"/>
        <v>0.28410903622272676</v>
      </c>
      <c r="M147" s="10">
        <f t="shared" si="18"/>
        <v>0.30547060860200431</v>
      </c>
      <c r="P147" s="8">
        <f t="shared" si="19"/>
        <v>11.938773240677628</v>
      </c>
    </row>
    <row r="148" spans="1:16" x14ac:dyDescent="0.2">
      <c r="A148" s="8">
        <v>73</v>
      </c>
      <c r="B148" s="8">
        <v>146</v>
      </c>
      <c r="D148">
        <v>1101.1923076922999</v>
      </c>
      <c r="E148">
        <v>388.64017094016998</v>
      </c>
      <c r="F148">
        <v>122.70694087404</v>
      </c>
      <c r="G148">
        <v>109.68209083119</v>
      </c>
      <c r="I148" s="9">
        <f t="shared" si="15"/>
        <v>278.95808010897997</v>
      </c>
      <c r="J148" s="9">
        <f t="shared" si="16"/>
        <v>978.48536681825988</v>
      </c>
      <c r="K148" s="9">
        <f t="shared" si="17"/>
        <v>278.95808010897997</v>
      </c>
      <c r="L148" s="10">
        <f t="shared" si="14"/>
        <v>0.28509172397341798</v>
      </c>
      <c r="M148" s="10">
        <f t="shared" si="18"/>
        <v>0.30660061754151813</v>
      </c>
      <c r="P148" s="8">
        <f t="shared" si="19"/>
        <v>12.352861571529061</v>
      </c>
    </row>
    <row r="149" spans="1:16" x14ac:dyDescent="0.2">
      <c r="A149" s="8">
        <v>73.5</v>
      </c>
      <c r="B149" s="8">
        <v>147</v>
      </c>
      <c r="D149">
        <v>1078.1418803419001</v>
      </c>
      <c r="E149">
        <v>395.01623931623999</v>
      </c>
      <c r="F149">
        <v>122.70094258783</v>
      </c>
      <c r="G149">
        <v>109.63838903171001</v>
      </c>
      <c r="I149" s="9">
        <f t="shared" si="15"/>
        <v>285.37785028452998</v>
      </c>
      <c r="J149" s="9">
        <f t="shared" si="16"/>
        <v>955.44093775407009</v>
      </c>
      <c r="K149" s="9">
        <f t="shared" si="17"/>
        <v>285.37785028452998</v>
      </c>
      <c r="L149" s="10">
        <f t="shared" si="14"/>
        <v>0.29868706584350491</v>
      </c>
      <c r="M149" s="10">
        <f t="shared" si="18"/>
        <v>0.32034328060042766</v>
      </c>
      <c r="P149" s="8">
        <f t="shared" si="19"/>
        <v>17.388818552511808</v>
      </c>
    </row>
    <row r="150" spans="1:16" x14ac:dyDescent="0.2">
      <c r="A150" s="8">
        <v>74</v>
      </c>
      <c r="B150" s="8">
        <v>148</v>
      </c>
      <c r="D150">
        <v>1056.3976006855</v>
      </c>
      <c r="E150">
        <v>388.45929734361999</v>
      </c>
      <c r="F150">
        <v>122.59383033419</v>
      </c>
      <c r="G150">
        <v>109.6529562982</v>
      </c>
      <c r="I150" s="9">
        <f t="shared" si="15"/>
        <v>278.80634104542003</v>
      </c>
      <c r="J150" s="9">
        <f t="shared" si="16"/>
        <v>933.80377035131005</v>
      </c>
      <c r="K150" s="9">
        <f t="shared" si="17"/>
        <v>278.80634104542003</v>
      </c>
      <c r="L150" s="10">
        <f t="shared" si="14"/>
        <v>0.29857058827308997</v>
      </c>
      <c r="M150" s="10">
        <f t="shared" si="18"/>
        <v>0.32037412421883532</v>
      </c>
      <c r="P150" s="8">
        <f t="shared" si="19"/>
        <v>17.400121102445031</v>
      </c>
    </row>
    <row r="151" spans="1:16" x14ac:dyDescent="0.2">
      <c r="A151" s="8">
        <v>74.5</v>
      </c>
      <c r="B151" s="8">
        <v>149</v>
      </c>
      <c r="D151">
        <v>1073.9744463372999</v>
      </c>
      <c r="E151">
        <v>402.54599659284997</v>
      </c>
      <c r="F151">
        <v>122.84490145673</v>
      </c>
      <c r="G151">
        <v>109.8851756641</v>
      </c>
      <c r="I151" s="9">
        <f t="shared" si="15"/>
        <v>292.66082092874996</v>
      </c>
      <c r="J151" s="9">
        <f t="shared" si="16"/>
        <v>951.12954488056994</v>
      </c>
      <c r="K151" s="9">
        <f t="shared" si="17"/>
        <v>292.66082092874996</v>
      </c>
      <c r="L151" s="10">
        <f t="shared" si="14"/>
        <v>0.3076981705636096</v>
      </c>
      <c r="M151" s="10">
        <f t="shared" si="18"/>
        <v>0.32964902769817755</v>
      </c>
      <c r="P151" s="8">
        <f t="shared" si="19"/>
        <v>20.798881206255722</v>
      </c>
    </row>
    <row r="152" spans="1:16" x14ac:dyDescent="0.2">
      <c r="A152" s="8">
        <v>75</v>
      </c>
      <c r="B152" s="8">
        <v>150</v>
      </c>
      <c r="D152">
        <v>1029.3837606837999</v>
      </c>
      <c r="E152">
        <v>382.01794871794999</v>
      </c>
      <c r="F152">
        <v>122.73007712082</v>
      </c>
      <c r="G152">
        <v>109.59468723222</v>
      </c>
      <c r="I152" s="9">
        <f t="shared" si="15"/>
        <v>272.42326148573</v>
      </c>
      <c r="J152" s="9">
        <f t="shared" si="16"/>
        <v>906.65368356297995</v>
      </c>
      <c r="K152" s="9">
        <f t="shared" si="17"/>
        <v>272.42326148573</v>
      </c>
      <c r="L152" s="10">
        <f t="shared" si="14"/>
        <v>0.30047113514738877</v>
      </c>
      <c r="M152" s="10">
        <f t="shared" si="18"/>
        <v>0.32256931347077933</v>
      </c>
      <c r="P152" s="8">
        <f t="shared" si="19"/>
        <v>18.204541511394716</v>
      </c>
    </row>
    <row r="153" spans="1:16" x14ac:dyDescent="0.2">
      <c r="A153" s="8">
        <v>75.5</v>
      </c>
      <c r="B153" s="8">
        <v>151</v>
      </c>
      <c r="D153">
        <v>1012.5068610635</v>
      </c>
      <c r="E153">
        <v>377.41166380789002</v>
      </c>
      <c r="F153">
        <v>122.58269065981</v>
      </c>
      <c r="G153">
        <v>109.55012853469999</v>
      </c>
      <c r="I153" s="9">
        <f t="shared" si="15"/>
        <v>267.86153527319004</v>
      </c>
      <c r="J153" s="9">
        <f t="shared" si="16"/>
        <v>889.92417040368991</v>
      </c>
      <c r="K153" s="9">
        <f t="shared" si="17"/>
        <v>267.86153527319004</v>
      </c>
      <c r="L153" s="10">
        <f t="shared" si="14"/>
        <v>0.30099366236078512</v>
      </c>
      <c r="M153" s="10">
        <f t="shared" si="18"/>
        <v>0.32323916187299828</v>
      </c>
      <c r="P153" s="8">
        <f t="shared" si="19"/>
        <v>18.450005416235761</v>
      </c>
    </row>
    <row r="154" spans="1:16" x14ac:dyDescent="0.2">
      <c r="A154" s="8">
        <v>76</v>
      </c>
      <c r="B154" s="8">
        <v>152</v>
      </c>
      <c r="D154">
        <v>994.05746140652002</v>
      </c>
      <c r="E154">
        <v>367.28473413378998</v>
      </c>
      <c r="F154">
        <v>122.28106255356001</v>
      </c>
      <c r="G154">
        <v>109.43101970866</v>
      </c>
      <c r="I154" s="9">
        <f t="shared" si="15"/>
        <v>257.85371442512997</v>
      </c>
      <c r="J154" s="9">
        <f t="shared" si="16"/>
        <v>871.77639885296003</v>
      </c>
      <c r="K154" s="9">
        <f t="shared" si="17"/>
        <v>257.85371442512997</v>
      </c>
      <c r="L154" s="10">
        <f t="shared" si="14"/>
        <v>0.29577964574907173</v>
      </c>
      <c r="M154" s="10">
        <f t="shared" si="18"/>
        <v>0.31817246645010749</v>
      </c>
      <c r="P154" s="8">
        <f t="shared" si="19"/>
        <v>16.593330325240345</v>
      </c>
    </row>
    <row r="155" spans="1:16" x14ac:dyDescent="0.2">
      <c r="A155" s="8">
        <v>76.5</v>
      </c>
      <c r="B155" s="8">
        <v>153</v>
      </c>
      <c r="D155">
        <v>1006.4176672384</v>
      </c>
      <c r="E155">
        <v>365.67066895368998</v>
      </c>
      <c r="F155">
        <v>122.30505569837</v>
      </c>
      <c r="G155">
        <v>109.48843187660999</v>
      </c>
      <c r="I155" s="9">
        <f t="shared" si="15"/>
        <v>256.18223707708</v>
      </c>
      <c r="J155" s="9">
        <f t="shared" si="16"/>
        <v>884.11261154003</v>
      </c>
      <c r="K155" s="9">
        <f t="shared" si="17"/>
        <v>256.18223707708</v>
      </c>
      <c r="L155" s="10">
        <f t="shared" si="14"/>
        <v>0.2897619983395982</v>
      </c>
      <c r="M155" s="10">
        <f t="shared" si="18"/>
        <v>0.31230214022945657</v>
      </c>
      <c r="P155" s="8">
        <f t="shared" si="19"/>
        <v>14.442167178417268</v>
      </c>
    </row>
    <row r="156" spans="1:16" x14ac:dyDescent="0.2">
      <c r="A156" s="8">
        <v>77</v>
      </c>
      <c r="B156" s="8">
        <v>154</v>
      </c>
      <c r="D156">
        <v>998.09913793103999</v>
      </c>
      <c r="E156">
        <v>354.08879310344997</v>
      </c>
      <c r="F156">
        <v>122.55955441303</v>
      </c>
      <c r="G156">
        <v>109.39502999142999</v>
      </c>
      <c r="I156" s="9">
        <f t="shared" si="15"/>
        <v>244.69376311201998</v>
      </c>
      <c r="J156" s="9">
        <f t="shared" si="16"/>
        <v>875.53958351800998</v>
      </c>
      <c r="K156" s="9">
        <f t="shared" si="17"/>
        <v>244.69376311201998</v>
      </c>
      <c r="L156" s="10">
        <f t="shared" si="14"/>
        <v>0.27947767036278903</v>
      </c>
      <c r="M156" s="10">
        <f t="shared" si="18"/>
        <v>0.30216513344147</v>
      </c>
      <c r="P156" s="8">
        <f t="shared" si="19"/>
        <v>10.727491945429261</v>
      </c>
    </row>
    <row r="157" spans="1:16" x14ac:dyDescent="0.2">
      <c r="A157" s="8">
        <v>77.5</v>
      </c>
      <c r="B157" s="8">
        <v>155</v>
      </c>
      <c r="D157">
        <v>998.79137931034995</v>
      </c>
      <c r="E157">
        <v>361.93275862068998</v>
      </c>
      <c r="F157">
        <v>122.5235646958</v>
      </c>
      <c r="G157">
        <v>109.67095115681001</v>
      </c>
      <c r="I157" s="9">
        <f t="shared" si="15"/>
        <v>252.26180746387996</v>
      </c>
      <c r="J157" s="9">
        <f t="shared" si="16"/>
        <v>876.26781461454993</v>
      </c>
      <c r="K157" s="9">
        <f t="shared" si="17"/>
        <v>252.26180746387996</v>
      </c>
      <c r="L157" s="10">
        <f t="shared" si="14"/>
        <v>0.28788208725302106</v>
      </c>
      <c r="M157" s="10">
        <f t="shared" si="18"/>
        <v>0.31071687152052463</v>
      </c>
      <c r="P157" s="8">
        <f t="shared" si="19"/>
        <v>13.861250293003009</v>
      </c>
    </row>
    <row r="158" spans="1:16" x14ac:dyDescent="0.2">
      <c r="A158" s="8">
        <v>78</v>
      </c>
      <c r="B158" s="8">
        <v>156</v>
      </c>
      <c r="D158">
        <v>987.05787234042998</v>
      </c>
      <c r="E158">
        <v>348.12170212766</v>
      </c>
      <c r="F158">
        <v>122.38474721508</v>
      </c>
      <c r="G158">
        <v>109.28106255356001</v>
      </c>
      <c r="I158" s="9">
        <f t="shared" si="15"/>
        <v>238.84063957410001</v>
      </c>
      <c r="J158" s="9">
        <f t="shared" si="16"/>
        <v>864.67312512535</v>
      </c>
      <c r="K158" s="9">
        <f t="shared" si="17"/>
        <v>238.84063957410001</v>
      </c>
      <c r="L158" s="10">
        <f t="shared" si="14"/>
        <v>0.27622072738698306</v>
      </c>
      <c r="M158" s="10">
        <f t="shared" si="18"/>
        <v>0.29920283284330923</v>
      </c>
      <c r="P158" s="8">
        <f t="shared" si="19"/>
        <v>9.6419659223339362</v>
      </c>
    </row>
    <row r="159" spans="1:16" x14ac:dyDescent="0.2">
      <c r="A159" s="8">
        <v>78.5</v>
      </c>
      <c r="B159" s="8">
        <v>157</v>
      </c>
      <c r="D159">
        <v>986.71858864028002</v>
      </c>
      <c r="E159">
        <v>339.20051635111997</v>
      </c>
      <c r="F159">
        <v>122.48414738645999</v>
      </c>
      <c r="G159">
        <v>109.34104541559999</v>
      </c>
      <c r="I159" s="9">
        <f t="shared" si="15"/>
        <v>229.85947093551999</v>
      </c>
      <c r="J159" s="9">
        <f t="shared" si="16"/>
        <v>864.23444125382002</v>
      </c>
      <c r="K159" s="9">
        <f t="shared" si="17"/>
        <v>229.85947093551999</v>
      </c>
      <c r="L159" s="10">
        <f t="shared" si="14"/>
        <v>0.26596888525067675</v>
      </c>
      <c r="M159" s="10">
        <f t="shared" si="18"/>
        <v>0.28909831189582552</v>
      </c>
      <c r="P159" s="8">
        <f t="shared" si="19"/>
        <v>5.9391950265593358</v>
      </c>
    </row>
    <row r="160" spans="1:16" x14ac:dyDescent="0.2">
      <c r="A160" s="8">
        <v>79</v>
      </c>
      <c r="B160" s="8">
        <v>158</v>
      </c>
      <c r="D160">
        <v>984.84635193132999</v>
      </c>
      <c r="E160">
        <v>334.08841201717001</v>
      </c>
      <c r="F160">
        <v>121.98886032562</v>
      </c>
      <c r="G160">
        <v>109.57754927164</v>
      </c>
      <c r="I160" s="9">
        <f t="shared" si="15"/>
        <v>224.51086274553001</v>
      </c>
      <c r="J160" s="9">
        <f t="shared" si="16"/>
        <v>862.85749160571004</v>
      </c>
      <c r="K160" s="9">
        <f t="shared" si="17"/>
        <v>224.51086274553001</v>
      </c>
      <c r="L160" s="10">
        <f t="shared" si="14"/>
        <v>0.26019460331477556</v>
      </c>
      <c r="M160" s="10">
        <f t="shared" si="18"/>
        <v>0.28347135114874694</v>
      </c>
      <c r="P160" s="8">
        <f t="shared" si="19"/>
        <v>3.8772124155838776</v>
      </c>
    </row>
    <row r="161" spans="1:16" x14ac:dyDescent="0.2">
      <c r="A161" s="8">
        <v>79.5</v>
      </c>
      <c r="B161" s="8">
        <v>159</v>
      </c>
      <c r="D161">
        <v>991.36199484093004</v>
      </c>
      <c r="E161">
        <v>342.59759243335998</v>
      </c>
      <c r="F161">
        <v>122.51242502142</v>
      </c>
      <c r="G161">
        <v>109.7412167952</v>
      </c>
      <c r="I161" s="9">
        <f t="shared" si="15"/>
        <v>232.85637563815999</v>
      </c>
      <c r="J161" s="9">
        <f t="shared" si="16"/>
        <v>868.84956981951007</v>
      </c>
      <c r="K161" s="9">
        <f t="shared" si="17"/>
        <v>232.85637563815999</v>
      </c>
      <c r="L161" s="10">
        <f t="shared" si="14"/>
        <v>0.26800539900886672</v>
      </c>
      <c r="M161" s="10">
        <f t="shared" si="18"/>
        <v>0.2914294680316607</v>
      </c>
      <c r="P161" s="8">
        <f t="shared" si="19"/>
        <v>6.7934400855916897</v>
      </c>
    </row>
    <row r="162" spans="1:16" x14ac:dyDescent="0.2">
      <c r="A162" s="8">
        <v>80</v>
      </c>
      <c r="B162" s="4">
        <v>160</v>
      </c>
      <c r="C162" s="4" t="s">
        <v>6</v>
      </c>
      <c r="D162">
        <v>1000.2846087704</v>
      </c>
      <c r="E162">
        <v>352.53482373173</v>
      </c>
      <c r="F162">
        <v>122.52442159383</v>
      </c>
      <c r="G162">
        <v>109.52099400170999</v>
      </c>
      <c r="H162" s="4"/>
      <c r="I162" s="5">
        <f t="shared" si="15"/>
        <v>243.01382973002001</v>
      </c>
      <c r="J162" s="5">
        <f t="shared" si="16"/>
        <v>877.76018717657007</v>
      </c>
      <c r="K162" s="9">
        <f t="shared" si="17"/>
        <v>243.01382973002001</v>
      </c>
      <c r="L162" s="6">
        <f t="shared" si="14"/>
        <v>0.27685674661516108</v>
      </c>
      <c r="M162" s="6">
        <f t="shared" si="18"/>
        <v>0.30042813682677766</v>
      </c>
      <c r="N162" s="4"/>
      <c r="O162" s="4"/>
      <c r="P162" s="4">
        <f t="shared" si="19"/>
        <v>10.090974831518633</v>
      </c>
    </row>
    <row r="163" spans="1:16" x14ac:dyDescent="0.2">
      <c r="A163" s="8">
        <v>80.5</v>
      </c>
      <c r="B163" s="8">
        <v>161</v>
      </c>
      <c r="D163">
        <v>984.96732588134</v>
      </c>
      <c r="E163">
        <v>355.29406706792997</v>
      </c>
      <c r="F163">
        <v>122.42587832048</v>
      </c>
      <c r="G163">
        <v>109.41388174807</v>
      </c>
      <c r="I163" s="9">
        <f t="shared" si="15"/>
        <v>245.88018531985998</v>
      </c>
      <c r="J163" s="9">
        <f t="shared" si="16"/>
        <v>862.54144756085998</v>
      </c>
      <c r="K163" s="9">
        <f t="shared" si="17"/>
        <v>245.88018531985998</v>
      </c>
      <c r="L163" s="10">
        <f t="shared" si="14"/>
        <v>0.28506477690454513</v>
      </c>
      <c r="M163" s="10">
        <f t="shared" si="18"/>
        <v>0.30878348830498431</v>
      </c>
      <c r="P163" s="8">
        <f t="shared" si="19"/>
        <v>13.152767907931151</v>
      </c>
    </row>
    <row r="164" spans="1:16" x14ac:dyDescent="0.2">
      <c r="A164" s="8">
        <v>81</v>
      </c>
      <c r="B164" s="8">
        <v>162</v>
      </c>
      <c r="D164">
        <v>972.37595907928005</v>
      </c>
      <c r="E164">
        <v>356.68797953964003</v>
      </c>
      <c r="F164">
        <v>122.1499571551</v>
      </c>
      <c r="G164">
        <v>109.15081405313001</v>
      </c>
      <c r="I164" s="9">
        <f t="shared" si="15"/>
        <v>247.53716548651002</v>
      </c>
      <c r="J164" s="9">
        <f t="shared" si="16"/>
        <v>850.22600192418008</v>
      </c>
      <c r="K164" s="9">
        <f t="shared" si="17"/>
        <v>247.53716548651002</v>
      </c>
      <c r="L164" s="10">
        <f t="shared" si="14"/>
        <v>0.2911427843024077</v>
      </c>
      <c r="M164" s="10">
        <f t="shared" si="18"/>
        <v>0.31500881689166949</v>
      </c>
      <c r="P164" s="8">
        <f t="shared" si="19"/>
        <v>15.434020589499573</v>
      </c>
    </row>
    <row r="165" spans="1:16" x14ac:dyDescent="0.2">
      <c r="A165" s="8">
        <v>81.5</v>
      </c>
      <c r="B165" s="8">
        <v>163</v>
      </c>
      <c r="D165">
        <v>963.83148936170005</v>
      </c>
      <c r="E165">
        <v>344.79829787234002</v>
      </c>
      <c r="F165">
        <v>122.43701799486</v>
      </c>
      <c r="G165">
        <v>109.70865467009</v>
      </c>
      <c r="I165" s="9">
        <f t="shared" si="15"/>
        <v>235.08964320225002</v>
      </c>
      <c r="J165" s="9">
        <f t="shared" si="16"/>
        <v>841.39447136684009</v>
      </c>
      <c r="K165" s="9">
        <f t="shared" si="17"/>
        <v>235.08964320225002</v>
      </c>
      <c r="L165" s="10">
        <f t="shared" si="14"/>
        <v>0.27940478717473427</v>
      </c>
      <c r="M165" s="10">
        <f t="shared" si="18"/>
        <v>0.30341814095281866</v>
      </c>
      <c r="P165" s="8">
        <f t="shared" si="19"/>
        <v>11.186652727946532</v>
      </c>
    </row>
    <row r="166" spans="1:16" x14ac:dyDescent="0.2">
      <c r="A166" s="8">
        <v>82</v>
      </c>
      <c r="B166" s="8">
        <v>164</v>
      </c>
      <c r="D166">
        <v>944.72322193658999</v>
      </c>
      <c r="E166">
        <v>331.58011996571997</v>
      </c>
      <c r="F166">
        <v>122.01628106254999</v>
      </c>
      <c r="G166">
        <v>109.17823479006</v>
      </c>
      <c r="I166" s="9">
        <f t="shared" si="15"/>
        <v>222.40188517565997</v>
      </c>
      <c r="J166" s="9">
        <f t="shared" si="16"/>
        <v>822.70694087404001</v>
      </c>
      <c r="K166" s="9">
        <f t="shared" si="17"/>
        <v>222.40188517565997</v>
      </c>
      <c r="L166" s="10">
        <f t="shared" si="14"/>
        <v>0.27032941394584714</v>
      </c>
      <c r="M166" s="10">
        <f t="shared" si="18"/>
        <v>0.29449008891275413</v>
      </c>
      <c r="P166" s="8">
        <f t="shared" si="19"/>
        <v>7.9149952766208038</v>
      </c>
    </row>
    <row r="167" spans="1:16" x14ac:dyDescent="0.2">
      <c r="A167" s="8">
        <v>82.5</v>
      </c>
      <c r="B167" s="8">
        <v>165</v>
      </c>
      <c r="D167">
        <v>924.62116040956005</v>
      </c>
      <c r="E167">
        <v>320.30119453924999</v>
      </c>
      <c r="F167">
        <v>122.66323907455001</v>
      </c>
      <c r="G167">
        <v>109.43701799486</v>
      </c>
      <c r="I167" s="9">
        <f t="shared" si="15"/>
        <v>210.86417654438998</v>
      </c>
      <c r="J167" s="9">
        <f t="shared" si="16"/>
        <v>801.95792133501004</v>
      </c>
      <c r="K167" s="9">
        <f t="shared" si="17"/>
        <v>210.86417654438998</v>
      </c>
      <c r="L167" s="10">
        <f t="shared" si="14"/>
        <v>0.26293670894024818</v>
      </c>
      <c r="M167" s="10">
        <f t="shared" si="18"/>
        <v>0.28724470509597777</v>
      </c>
      <c r="P167" s="8">
        <f t="shared" si="19"/>
        <v>5.2599464658054149</v>
      </c>
    </row>
    <row r="168" spans="1:16" x14ac:dyDescent="0.2">
      <c r="A168" s="8">
        <v>83</v>
      </c>
      <c r="B168" s="8">
        <v>166</v>
      </c>
      <c r="D168">
        <v>928.49658703071998</v>
      </c>
      <c r="E168">
        <v>315.13651877132997</v>
      </c>
      <c r="F168">
        <v>121.85175664096001</v>
      </c>
      <c r="G168">
        <v>109.76092544987</v>
      </c>
      <c r="I168" s="9">
        <f t="shared" si="15"/>
        <v>205.37559332145997</v>
      </c>
      <c r="J168" s="9">
        <f t="shared" si="16"/>
        <v>806.64483038975993</v>
      </c>
      <c r="K168" s="9">
        <f t="shared" si="17"/>
        <v>205.37559332145997</v>
      </c>
      <c r="L168" s="10">
        <f t="shared" si="14"/>
        <v>0.2546047350507723</v>
      </c>
      <c r="M168" s="10">
        <f t="shared" si="18"/>
        <v>0.2790600523953245</v>
      </c>
      <c r="P168" s="8">
        <f t="shared" si="19"/>
        <v>2.2607054360217238</v>
      </c>
    </row>
    <row r="169" spans="1:16" x14ac:dyDescent="0.2">
      <c r="A169" s="8">
        <v>83.5</v>
      </c>
      <c r="B169" s="8">
        <v>167</v>
      </c>
      <c r="D169">
        <v>937.16950596252002</v>
      </c>
      <c r="E169">
        <v>317.97444633730998</v>
      </c>
      <c r="F169">
        <v>122.49357326478</v>
      </c>
      <c r="G169">
        <v>109.83033419023</v>
      </c>
      <c r="I169" s="9">
        <f t="shared" si="15"/>
        <v>208.14411214707997</v>
      </c>
      <c r="J169" s="9">
        <f t="shared" si="16"/>
        <v>814.67593269774</v>
      </c>
      <c r="K169" s="9">
        <f t="shared" si="17"/>
        <v>208.14411214707997</v>
      </c>
      <c r="L169" s="10">
        <f t="shared" si="14"/>
        <v>0.25549314002418838</v>
      </c>
      <c r="M169" s="10">
        <f t="shared" si="18"/>
        <v>0.28009577855756318</v>
      </c>
      <c r="P169" s="8">
        <f t="shared" si="19"/>
        <v>2.6402441305785147</v>
      </c>
    </row>
    <row r="170" spans="1:16" x14ac:dyDescent="0.2">
      <c r="A170" s="8">
        <v>84</v>
      </c>
      <c r="B170" s="8">
        <v>168</v>
      </c>
      <c r="D170">
        <v>983.9770212766</v>
      </c>
      <c r="E170">
        <v>343.96680851064002</v>
      </c>
      <c r="F170">
        <v>122.14652956298001</v>
      </c>
      <c r="G170">
        <v>109.43273350471</v>
      </c>
      <c r="I170" s="9">
        <f t="shared" si="15"/>
        <v>234.53407500593002</v>
      </c>
      <c r="J170" s="9">
        <f t="shared" si="16"/>
        <v>861.83049171361995</v>
      </c>
      <c r="K170" s="9">
        <f t="shared" si="17"/>
        <v>234.53407500593002</v>
      </c>
      <c r="L170" s="10">
        <f t="shared" si="14"/>
        <v>0.27213480755315861</v>
      </c>
      <c r="M170" s="10">
        <f t="shared" si="18"/>
        <v>0.29688476727535601</v>
      </c>
      <c r="P170" s="8">
        <f t="shared" si="19"/>
        <v>8.792517861992998</v>
      </c>
    </row>
    <row r="171" spans="1:16" x14ac:dyDescent="0.2">
      <c r="A171" s="8">
        <v>84.5</v>
      </c>
      <c r="B171" s="8">
        <v>169</v>
      </c>
      <c r="D171">
        <v>998.23914893616995</v>
      </c>
      <c r="E171">
        <v>354.21276595745002</v>
      </c>
      <c r="F171">
        <v>122.59040274207</v>
      </c>
      <c r="G171">
        <v>109.77035132819</v>
      </c>
      <c r="I171" s="9">
        <f t="shared" si="15"/>
        <v>244.44241462926001</v>
      </c>
      <c r="J171" s="9">
        <f t="shared" si="16"/>
        <v>875.6487461941</v>
      </c>
      <c r="K171" s="9">
        <f t="shared" si="17"/>
        <v>244.44241462926001</v>
      </c>
      <c r="L171" s="10">
        <f t="shared" si="14"/>
        <v>0.27915578671436353</v>
      </c>
      <c r="M171" s="10">
        <f t="shared" si="18"/>
        <v>0.30405306762538353</v>
      </c>
      <c r="P171" s="8">
        <f t="shared" si="19"/>
        <v>11.419319671420945</v>
      </c>
    </row>
    <row r="172" spans="1:16" x14ac:dyDescent="0.2">
      <c r="A172" s="8">
        <v>85</v>
      </c>
      <c r="B172" s="8">
        <v>170</v>
      </c>
      <c r="D172">
        <v>1031.394893617</v>
      </c>
      <c r="E172">
        <v>375.82382978723001</v>
      </c>
      <c r="F172">
        <v>122.33247643529999</v>
      </c>
      <c r="G172">
        <v>109.47300771208</v>
      </c>
      <c r="I172" s="9">
        <f t="shared" si="15"/>
        <v>266.35082207515001</v>
      </c>
      <c r="J172" s="9">
        <f t="shared" si="16"/>
        <v>909.06241718169997</v>
      </c>
      <c r="K172" s="9">
        <f t="shared" si="17"/>
        <v>266.35082207515001</v>
      </c>
      <c r="L172" s="10">
        <f t="shared" si="14"/>
        <v>0.29299508707102651</v>
      </c>
      <c r="M172" s="10">
        <f t="shared" si="18"/>
        <v>0.31803968917086911</v>
      </c>
      <c r="P172" s="8">
        <f t="shared" si="19"/>
        <v>16.544674496058608</v>
      </c>
    </row>
    <row r="173" spans="1:16" x14ac:dyDescent="0.2">
      <c r="A173" s="8">
        <v>85.5</v>
      </c>
      <c r="B173" s="8">
        <v>171</v>
      </c>
      <c r="D173">
        <v>1054.7753191489001</v>
      </c>
      <c r="E173">
        <v>401.24936170212999</v>
      </c>
      <c r="F173">
        <v>122.44130248499999</v>
      </c>
      <c r="G173">
        <v>109.55612682090999</v>
      </c>
      <c r="I173" s="9">
        <f t="shared" si="15"/>
        <v>291.69323488122001</v>
      </c>
      <c r="J173" s="9">
        <f t="shared" si="16"/>
        <v>932.3340166639</v>
      </c>
      <c r="K173" s="9">
        <f t="shared" si="17"/>
        <v>291.69323488122001</v>
      </c>
      <c r="L173" s="10">
        <f t="shared" si="14"/>
        <v>0.31286344772119734</v>
      </c>
      <c r="M173" s="10">
        <f t="shared" si="18"/>
        <v>0.33805537100986255</v>
      </c>
      <c r="P173" s="8">
        <f t="shared" si="19"/>
        <v>23.879360084588697</v>
      </c>
    </row>
    <row r="174" spans="1:16" x14ac:dyDescent="0.2">
      <c r="A174" s="8">
        <v>86</v>
      </c>
      <c r="B174" s="8">
        <v>172</v>
      </c>
      <c r="D174">
        <v>1065.2788708298001</v>
      </c>
      <c r="E174">
        <v>390.03849443969</v>
      </c>
      <c r="F174">
        <v>122.59125964010001</v>
      </c>
      <c r="G174">
        <v>109.53041988003</v>
      </c>
      <c r="I174" s="9">
        <f t="shared" si="15"/>
        <v>280.50807455966003</v>
      </c>
      <c r="J174" s="9">
        <f t="shared" si="16"/>
        <v>942.68761118970008</v>
      </c>
      <c r="K174" s="9">
        <f t="shared" si="17"/>
        <v>280.50807455966003</v>
      </c>
      <c r="L174" s="10">
        <f t="shared" si="14"/>
        <v>0.29756206746543579</v>
      </c>
      <c r="M174" s="10">
        <f t="shared" si="18"/>
        <v>0.3229013119429236</v>
      </c>
      <c r="P174" s="8">
        <f t="shared" si="19"/>
        <v>18.326201339355542</v>
      </c>
    </row>
    <row r="175" spans="1:16" x14ac:dyDescent="0.2">
      <c r="A175" s="8">
        <v>86.5</v>
      </c>
      <c r="B175" s="8">
        <v>173</v>
      </c>
      <c r="D175">
        <v>1034.7750213858001</v>
      </c>
      <c r="E175">
        <v>383.85201026518001</v>
      </c>
      <c r="F175">
        <v>122.69580119966</v>
      </c>
      <c r="G175">
        <v>109.52099400170999</v>
      </c>
      <c r="I175" s="9">
        <f t="shared" si="15"/>
        <v>274.33101626347002</v>
      </c>
      <c r="J175" s="9">
        <f t="shared" si="16"/>
        <v>912.07922018614011</v>
      </c>
      <c r="K175" s="9">
        <f t="shared" si="17"/>
        <v>274.33101626347002</v>
      </c>
      <c r="L175" s="10">
        <f t="shared" si="14"/>
        <v>0.30077542629190002</v>
      </c>
      <c r="M175" s="10">
        <f t="shared" si="18"/>
        <v>0.32626199195821043</v>
      </c>
      <c r="P175" s="8">
        <f t="shared" si="19"/>
        <v>19.557712285326144</v>
      </c>
    </row>
    <row r="176" spans="1:16" x14ac:dyDescent="0.2">
      <c r="A176" s="8">
        <v>87</v>
      </c>
      <c r="B176" s="8">
        <v>174</v>
      </c>
      <c r="D176">
        <v>1035.1830624464999</v>
      </c>
      <c r="E176">
        <v>382.52010265183998</v>
      </c>
      <c r="F176">
        <v>122.73521850900001</v>
      </c>
      <c r="G176">
        <v>109.56212510711001</v>
      </c>
      <c r="I176" s="9">
        <f t="shared" si="15"/>
        <v>272.95797754472994</v>
      </c>
      <c r="J176" s="9">
        <f t="shared" si="16"/>
        <v>912.4478439374999</v>
      </c>
      <c r="K176" s="9">
        <f t="shared" si="17"/>
        <v>272.95797754472994</v>
      </c>
      <c r="L176" s="10">
        <f t="shared" si="14"/>
        <v>0.29914912875110788</v>
      </c>
      <c r="M176" s="10">
        <f t="shared" si="18"/>
        <v>0.3247830156062409</v>
      </c>
      <c r="P176" s="8">
        <f t="shared" si="19"/>
        <v>19.01574591006959</v>
      </c>
    </row>
    <row r="177" spans="1:16" x14ac:dyDescent="0.2">
      <c r="A177" s="8">
        <v>87.5</v>
      </c>
      <c r="B177" s="8">
        <v>175</v>
      </c>
      <c r="D177">
        <v>1103.3353242321</v>
      </c>
      <c r="E177">
        <v>393.27474402730002</v>
      </c>
      <c r="F177">
        <v>122.04541559554001</v>
      </c>
      <c r="G177">
        <v>109.48071979434</v>
      </c>
      <c r="I177" s="9">
        <f t="shared" si="15"/>
        <v>283.79402423296</v>
      </c>
      <c r="J177" s="9">
        <f t="shared" si="16"/>
        <v>981.28990863655997</v>
      </c>
      <c r="K177" s="9">
        <f t="shared" si="17"/>
        <v>283.79402423296</v>
      </c>
      <c r="L177" s="10">
        <f t="shared" si="14"/>
        <v>0.2892050776587255</v>
      </c>
      <c r="M177" s="10">
        <f t="shared" si="18"/>
        <v>0.31498628570268111</v>
      </c>
      <c r="P177" s="8">
        <f t="shared" si="19"/>
        <v>15.425764103985124</v>
      </c>
    </row>
    <row r="178" spans="1:16" x14ac:dyDescent="0.2">
      <c r="A178" s="8">
        <v>88</v>
      </c>
      <c r="B178" s="8">
        <v>176</v>
      </c>
      <c r="D178">
        <v>1121.1322525597</v>
      </c>
      <c r="E178">
        <v>396.29778156997003</v>
      </c>
      <c r="F178">
        <v>122.49271636675</v>
      </c>
      <c r="G178">
        <v>109.54755784062</v>
      </c>
      <c r="I178" s="9">
        <f t="shared" si="15"/>
        <v>286.75022372935001</v>
      </c>
      <c r="J178" s="9">
        <f t="shared" si="16"/>
        <v>998.63953619295</v>
      </c>
      <c r="K178" s="9">
        <f t="shared" si="17"/>
        <v>286.75022372935001</v>
      </c>
      <c r="L178" s="10">
        <f t="shared" si="14"/>
        <v>0.28714086848845344</v>
      </c>
      <c r="M178" s="10">
        <f t="shared" si="18"/>
        <v>0.31306939772123166</v>
      </c>
      <c r="P178" s="8">
        <f t="shared" si="19"/>
        <v>14.723326347157206</v>
      </c>
    </row>
    <row r="179" spans="1:16" x14ac:dyDescent="0.2">
      <c r="A179" s="8">
        <v>88.5</v>
      </c>
      <c r="B179" s="8">
        <v>177</v>
      </c>
      <c r="D179">
        <v>1118.4854948806001</v>
      </c>
      <c r="E179">
        <v>392.29863481229</v>
      </c>
      <c r="F179">
        <v>122.36589545843999</v>
      </c>
      <c r="G179">
        <v>109.37960582690999</v>
      </c>
      <c r="I179" s="9">
        <f t="shared" si="15"/>
        <v>282.91902898538001</v>
      </c>
      <c r="J179" s="9">
        <f t="shared" si="16"/>
        <v>996.11959942216004</v>
      </c>
      <c r="K179" s="9">
        <f t="shared" si="17"/>
        <v>282.91902898538001</v>
      </c>
      <c r="L179" s="10">
        <f t="shared" si="14"/>
        <v>0.28402114479977986</v>
      </c>
      <c r="M179" s="10">
        <f t="shared" si="18"/>
        <v>0.31009699522138068</v>
      </c>
      <c r="P179" s="8">
        <f t="shared" si="19"/>
        <v>13.634098512984949</v>
      </c>
    </row>
    <row r="180" spans="1:16" x14ac:dyDescent="0.2">
      <c r="A180" s="8">
        <v>89</v>
      </c>
      <c r="B180" s="8">
        <v>178</v>
      </c>
      <c r="D180">
        <v>1164.5163793103</v>
      </c>
      <c r="E180">
        <v>402.53879310345002</v>
      </c>
      <c r="F180">
        <v>121.87146529563</v>
      </c>
      <c r="G180">
        <v>109.34532990574</v>
      </c>
      <c r="I180" s="9">
        <f t="shared" si="15"/>
        <v>293.19346319771</v>
      </c>
      <c r="J180" s="9">
        <f t="shared" si="16"/>
        <v>1042.6449140146699</v>
      </c>
      <c r="K180" s="9">
        <f t="shared" si="17"/>
        <v>293.19346319771</v>
      </c>
      <c r="L180" s="10">
        <f t="shared" si="14"/>
        <v>0.28120164329846314</v>
      </c>
      <c r="M180" s="10">
        <f t="shared" si="18"/>
        <v>0.30742481490888657</v>
      </c>
      <c r="P180" s="8">
        <f t="shared" si="19"/>
        <v>12.654886184088838</v>
      </c>
    </row>
    <row r="181" spans="1:16" x14ac:dyDescent="0.2">
      <c r="A181" s="8">
        <v>89.5</v>
      </c>
      <c r="B181" s="8">
        <v>179</v>
      </c>
      <c r="D181">
        <v>1159.6629310344999</v>
      </c>
      <c r="E181">
        <v>398.53448275862002</v>
      </c>
      <c r="F181">
        <v>123.01113967438</v>
      </c>
      <c r="G181">
        <v>109.44644387318</v>
      </c>
      <c r="I181" s="9">
        <f t="shared" si="15"/>
        <v>289.08803888544003</v>
      </c>
      <c r="J181" s="9">
        <f t="shared" si="16"/>
        <v>1036.6517913601199</v>
      </c>
      <c r="K181" s="9">
        <f t="shared" si="17"/>
        <v>289.08803888544003</v>
      </c>
      <c r="L181" s="10">
        <f t="shared" si="14"/>
        <v>0.27886706152906693</v>
      </c>
      <c r="M181" s="10">
        <f t="shared" si="18"/>
        <v>0.30523755432831295</v>
      </c>
      <c r="P181" s="8">
        <f t="shared" si="19"/>
        <v>11.853371212590869</v>
      </c>
    </row>
    <row r="182" spans="1:16" x14ac:dyDescent="0.2">
      <c r="A182" s="8">
        <v>90</v>
      </c>
      <c r="B182" s="8">
        <v>180</v>
      </c>
      <c r="D182">
        <v>1086.2379310345</v>
      </c>
      <c r="E182">
        <v>367.49913793104002</v>
      </c>
      <c r="F182">
        <v>122.12339331619999</v>
      </c>
      <c r="G182">
        <v>109.34532990574</v>
      </c>
      <c r="I182" s="9">
        <f t="shared" si="15"/>
        <v>258.15380802530001</v>
      </c>
      <c r="J182" s="9">
        <f t="shared" si="16"/>
        <v>964.11453771829997</v>
      </c>
      <c r="K182" s="9">
        <f t="shared" si="17"/>
        <v>258.15380802530001</v>
      </c>
      <c r="L182" s="10">
        <f t="shared" si="14"/>
        <v>0.26776259243663508</v>
      </c>
      <c r="M182" s="10">
        <f>L182+ABS($N$2)*A182</f>
        <v>0.29428040642470371</v>
      </c>
      <c r="P182" s="8">
        <f t="shared" si="19"/>
        <v>7.8381577681291166</v>
      </c>
    </row>
    <row r="183" spans="1:16" x14ac:dyDescent="0.2">
      <c r="A183" s="8">
        <v>90.5</v>
      </c>
      <c r="B183" s="8">
        <v>181</v>
      </c>
      <c r="D183">
        <v>1083.3112068966</v>
      </c>
      <c r="E183">
        <v>366.41896551724</v>
      </c>
      <c r="F183">
        <v>122.46615252785</v>
      </c>
      <c r="G183">
        <v>109.44387317909001</v>
      </c>
      <c r="I183" s="9">
        <f t="shared" si="15"/>
        <v>256.97509233814998</v>
      </c>
      <c r="J183" s="9">
        <f t="shared" si="16"/>
        <v>960.84505436874997</v>
      </c>
      <c r="K183" s="9">
        <f t="shared" si="17"/>
        <v>256.97509233814998</v>
      </c>
      <c r="L183" s="10">
        <f t="shared" si="14"/>
        <v>0.26744696365947979</v>
      </c>
      <c r="M183" s="10">
        <f t="shared" ref="M183:M241" si="20">L183+ABS($N$2)*A183</f>
        <v>0.29411209883637102</v>
      </c>
      <c r="P183" s="8">
        <f t="shared" si="19"/>
        <v>7.7764819655002437</v>
      </c>
    </row>
    <row r="184" spans="1:16" x14ac:dyDescent="0.2">
      <c r="A184" s="8">
        <v>91</v>
      </c>
      <c r="B184" s="8">
        <v>182</v>
      </c>
      <c r="D184">
        <v>1024.7706896551999</v>
      </c>
      <c r="E184">
        <v>346.64482758621</v>
      </c>
      <c r="F184">
        <v>122.49271636675</v>
      </c>
      <c r="G184">
        <v>109.59982862039</v>
      </c>
      <c r="I184" s="9">
        <f t="shared" si="15"/>
        <v>237.04499896582001</v>
      </c>
      <c r="J184" s="9">
        <f t="shared" si="16"/>
        <v>902.27797328844997</v>
      </c>
      <c r="K184" s="9">
        <f t="shared" si="17"/>
        <v>237.04499896582001</v>
      </c>
      <c r="L184" s="10">
        <f t="shared" si="14"/>
        <v>0.26271837059468911</v>
      </c>
      <c r="M184" s="10">
        <f t="shared" si="20"/>
        <v>0.28953082696040294</v>
      </c>
      <c r="P184" s="8">
        <f t="shared" si="19"/>
        <v>6.0976888533745655</v>
      </c>
    </row>
    <row r="185" spans="1:16" x14ac:dyDescent="0.2">
      <c r="A185" s="8">
        <v>91.5</v>
      </c>
      <c r="B185" s="8">
        <v>183</v>
      </c>
      <c r="D185">
        <v>1002.9905172414</v>
      </c>
      <c r="E185">
        <v>339.41896551724</v>
      </c>
      <c r="F185">
        <v>122.43359040273999</v>
      </c>
      <c r="G185">
        <v>109.31790916881</v>
      </c>
      <c r="I185" s="9">
        <f t="shared" si="15"/>
        <v>230.10105634843001</v>
      </c>
      <c r="J185" s="9">
        <f t="shared" si="16"/>
        <v>880.55692683865993</v>
      </c>
      <c r="K185" s="9">
        <f t="shared" si="17"/>
        <v>230.10105634843001</v>
      </c>
      <c r="L185" s="10">
        <f t="shared" si="14"/>
        <v>0.26131309553662768</v>
      </c>
      <c r="M185" s="10">
        <f t="shared" si="20"/>
        <v>0.28827287309116412</v>
      </c>
      <c r="P185" s="8">
        <f t="shared" si="19"/>
        <v>5.6367154930882961</v>
      </c>
    </row>
    <row r="186" spans="1:16" x14ac:dyDescent="0.2">
      <c r="A186" s="8">
        <v>92</v>
      </c>
      <c r="B186" s="8">
        <v>184</v>
      </c>
      <c r="D186">
        <v>1012.3887931035</v>
      </c>
      <c r="E186">
        <v>338.58275862069002</v>
      </c>
      <c r="F186">
        <v>122.34618680377</v>
      </c>
      <c r="G186">
        <v>109.3470437018</v>
      </c>
      <c r="I186" s="9">
        <f t="shared" si="15"/>
        <v>229.23571491889001</v>
      </c>
      <c r="J186" s="9">
        <f t="shared" si="16"/>
        <v>890.04260629972998</v>
      </c>
      <c r="K186" s="9">
        <f t="shared" si="17"/>
        <v>229.23571491889001</v>
      </c>
      <c r="L186" s="10">
        <f t="shared" si="14"/>
        <v>0.25755588923087214</v>
      </c>
      <c r="M186" s="10">
        <f t="shared" si="20"/>
        <v>0.28466298797423117</v>
      </c>
      <c r="P186" s="8">
        <f t="shared" si="19"/>
        <v>4.3138840973655901</v>
      </c>
    </row>
    <row r="187" spans="1:16" x14ac:dyDescent="0.2">
      <c r="A187" s="8">
        <v>92.5</v>
      </c>
      <c r="B187" s="8">
        <v>185</v>
      </c>
      <c r="D187">
        <v>1020.1646551724</v>
      </c>
      <c r="E187">
        <v>335.59137931035002</v>
      </c>
      <c r="F187">
        <v>122.19023136247</v>
      </c>
      <c r="G187">
        <v>109.70951156812001</v>
      </c>
      <c r="I187" s="9">
        <f t="shared" si="15"/>
        <v>225.88186774223001</v>
      </c>
      <c r="J187" s="9">
        <f t="shared" si="16"/>
        <v>897.97442380992993</v>
      </c>
      <c r="K187" s="9">
        <f t="shared" si="17"/>
        <v>225.88186774223001</v>
      </c>
      <c r="L187" s="10">
        <f t="shared" si="14"/>
        <v>0.25154599257276994</v>
      </c>
      <c r="M187" s="10">
        <f t="shared" si="20"/>
        <v>0.27880041250495158</v>
      </c>
      <c r="P187" s="8">
        <f t="shared" si="19"/>
        <v>2.1655611897529914</v>
      </c>
    </row>
    <row r="188" spans="1:16" x14ac:dyDescent="0.2">
      <c r="A188" s="8">
        <v>93</v>
      </c>
      <c r="B188" s="8">
        <v>186</v>
      </c>
      <c r="D188">
        <v>1012.2155172414</v>
      </c>
      <c r="E188">
        <v>330.95431034482999</v>
      </c>
      <c r="F188">
        <v>122.44730077121</v>
      </c>
      <c r="G188">
        <v>109.61268209083001</v>
      </c>
      <c r="I188" s="9">
        <f t="shared" si="15"/>
        <v>221.341628254</v>
      </c>
      <c r="J188" s="9">
        <f t="shared" si="16"/>
        <v>889.76821647019005</v>
      </c>
      <c r="K188" s="9">
        <f t="shared" si="17"/>
        <v>221.341628254</v>
      </c>
      <c r="L188" s="10">
        <f t="shared" si="14"/>
        <v>0.24876324435602676</v>
      </c>
      <c r="M188" s="10">
        <f t="shared" si="20"/>
        <v>0.27616498547703106</v>
      </c>
      <c r="P188" s="8">
        <f t="shared" si="19"/>
        <v>1.1998169899399402</v>
      </c>
    </row>
    <row r="189" spans="1:16" x14ac:dyDescent="0.2">
      <c r="A189" s="8">
        <v>93.5</v>
      </c>
      <c r="B189" s="8">
        <v>187</v>
      </c>
      <c r="D189">
        <v>1023.7264957265</v>
      </c>
      <c r="E189">
        <v>332.42905982906001</v>
      </c>
      <c r="F189">
        <v>122.14652956298001</v>
      </c>
      <c r="G189">
        <v>109.52699228792</v>
      </c>
      <c r="I189" s="9">
        <f t="shared" si="15"/>
        <v>222.90206754114001</v>
      </c>
      <c r="J189" s="9">
        <f t="shared" si="16"/>
        <v>901.57996616352</v>
      </c>
      <c r="K189" s="9">
        <f t="shared" si="17"/>
        <v>222.90206754114001</v>
      </c>
      <c r="L189" s="10">
        <f t="shared" si="14"/>
        <v>0.24723493855975073</v>
      </c>
      <c r="M189" s="10">
        <f t="shared" si="20"/>
        <v>0.2747840008695776</v>
      </c>
      <c r="P189" s="8">
        <f t="shared" si="19"/>
        <v>0.69375939071602688</v>
      </c>
    </row>
    <row r="190" spans="1:16" x14ac:dyDescent="0.2">
      <c r="A190" s="8">
        <v>94</v>
      </c>
      <c r="B190" s="8">
        <v>188</v>
      </c>
      <c r="D190">
        <v>1018.3102564103</v>
      </c>
      <c r="E190">
        <v>329.40256410256001</v>
      </c>
      <c r="F190">
        <v>122.24935732647999</v>
      </c>
      <c r="G190">
        <v>109.25535561268001</v>
      </c>
      <c r="I190" s="9">
        <f t="shared" si="15"/>
        <v>220.14720848988</v>
      </c>
      <c r="J190" s="9">
        <f t="shared" si="16"/>
        <v>896.06089908382</v>
      </c>
      <c r="K190" s="9">
        <f t="shared" si="17"/>
        <v>220.14720848988</v>
      </c>
      <c r="L190" s="10">
        <f t="shared" si="14"/>
        <v>0.24568331093898879</v>
      </c>
      <c r="M190" s="10">
        <f t="shared" si="20"/>
        <v>0.27337969443763827</v>
      </c>
      <c r="P190" s="8">
        <f t="shared" si="19"/>
        <v>0.1791555800099929</v>
      </c>
    </row>
    <row r="191" spans="1:16" x14ac:dyDescent="0.2">
      <c r="A191" s="8">
        <v>94.5</v>
      </c>
      <c r="B191" s="8">
        <v>189</v>
      </c>
      <c r="D191">
        <v>1021.6174438687</v>
      </c>
      <c r="E191">
        <v>329.36096718480002</v>
      </c>
      <c r="F191">
        <v>121.75749785776</v>
      </c>
      <c r="G191">
        <v>109.49357326478</v>
      </c>
      <c r="I191" s="9">
        <f t="shared" si="15"/>
        <v>219.86739392002002</v>
      </c>
      <c r="J191" s="9">
        <f t="shared" si="16"/>
        <v>899.85994601094001</v>
      </c>
      <c r="K191" s="9">
        <f t="shared" si="17"/>
        <v>219.86739392002002</v>
      </c>
      <c r="L191" s="10">
        <f t="shared" si="14"/>
        <v>0.2443351266990908</v>
      </c>
      <c r="M191" s="10">
        <f t="shared" si="20"/>
        <v>0.2721788313865629</v>
      </c>
      <c r="P191" s="8">
        <f t="shared" si="19"/>
        <v>-0.26089702401179804</v>
      </c>
    </row>
    <row r="192" spans="1:16" x14ac:dyDescent="0.2">
      <c r="A192" s="8">
        <v>95</v>
      </c>
      <c r="B192" s="8">
        <v>190</v>
      </c>
      <c r="D192">
        <v>1014.0690846287</v>
      </c>
      <c r="E192">
        <v>323.67012089809998</v>
      </c>
      <c r="F192">
        <v>122.75835475578</v>
      </c>
      <c r="G192">
        <v>109.57326478149</v>
      </c>
      <c r="I192" s="9">
        <f t="shared" si="15"/>
        <v>214.09685611660998</v>
      </c>
      <c r="J192" s="9">
        <f t="shared" si="16"/>
        <v>891.31072987291998</v>
      </c>
      <c r="K192" s="9">
        <f t="shared" si="17"/>
        <v>214.09685611660998</v>
      </c>
      <c r="L192" s="10">
        <f t="shared" si="14"/>
        <v>0.2402045088665489</v>
      </c>
      <c r="M192" s="10">
        <f t="shared" si="20"/>
        <v>0.26819553474284358</v>
      </c>
      <c r="P192" s="8">
        <f t="shared" si="19"/>
        <v>-1.7205639353138635</v>
      </c>
    </row>
    <row r="193" spans="1:16" x14ac:dyDescent="0.2">
      <c r="A193" s="8">
        <v>95.5</v>
      </c>
      <c r="B193" s="8">
        <v>191</v>
      </c>
      <c r="D193">
        <v>1019.2070145423</v>
      </c>
      <c r="E193">
        <v>324.91616766467001</v>
      </c>
      <c r="F193">
        <v>122.39331619537001</v>
      </c>
      <c r="G193">
        <v>109.2527849186</v>
      </c>
      <c r="I193" s="9">
        <f t="shared" si="15"/>
        <v>215.66338274607</v>
      </c>
      <c r="J193" s="9">
        <f t="shared" si="16"/>
        <v>896.8136983469301</v>
      </c>
      <c r="K193" s="9">
        <f t="shared" si="17"/>
        <v>215.66338274607</v>
      </c>
      <c r="L193" s="10">
        <f t="shared" si="14"/>
        <v>0.24047735125321554</v>
      </c>
      <c r="M193" s="10">
        <f t="shared" si="20"/>
        <v>0.26861569831833282</v>
      </c>
      <c r="P193" s="8">
        <f t="shared" si="19"/>
        <v>-1.566596274019284</v>
      </c>
    </row>
    <row r="194" spans="1:16" x14ac:dyDescent="0.2">
      <c r="A194" s="8">
        <v>96</v>
      </c>
      <c r="B194" s="8">
        <v>192</v>
      </c>
      <c r="D194">
        <v>1004.9820359281</v>
      </c>
      <c r="E194">
        <v>321.91616766467001</v>
      </c>
      <c r="F194">
        <v>121.72922022279</v>
      </c>
      <c r="G194">
        <v>109.48329048843</v>
      </c>
      <c r="I194" s="9">
        <f t="shared" si="15"/>
        <v>212.43287717624003</v>
      </c>
      <c r="J194" s="9">
        <f t="shared" si="16"/>
        <v>883.25281570531001</v>
      </c>
      <c r="K194" s="9">
        <f t="shared" si="17"/>
        <v>212.43287717624003</v>
      </c>
      <c r="L194" s="10">
        <f t="shared" ref="L194:L257" si="21">K194/J194</f>
        <v>0.24051197278845302</v>
      </c>
      <c r="M194" s="10">
        <f t="shared" si="20"/>
        <v>0.2687976410423929</v>
      </c>
      <c r="P194" s="8">
        <f t="shared" si="19"/>
        <v>-1.4999239174722494</v>
      </c>
    </row>
    <row r="195" spans="1:16" x14ac:dyDescent="0.2">
      <c r="A195" s="8">
        <v>96.5</v>
      </c>
      <c r="B195" s="8">
        <v>193</v>
      </c>
      <c r="D195">
        <v>1008.4071856286999</v>
      </c>
      <c r="E195">
        <v>321.04790419161998</v>
      </c>
      <c r="F195">
        <v>121.93401885176</v>
      </c>
      <c r="G195">
        <v>109.70179948585999</v>
      </c>
      <c r="I195" s="9">
        <f t="shared" ref="I195:I241" si="22">E195-G195</f>
        <v>211.34610470575998</v>
      </c>
      <c r="J195" s="9">
        <f t="shared" ref="J195:J241" si="23">D195-F195</f>
        <v>886.47316677693993</v>
      </c>
      <c r="K195" s="9">
        <f t="shared" ref="K195:K258" si="24">I195*1</f>
        <v>211.34610470575998</v>
      </c>
      <c r="L195" s="10">
        <f t="shared" si="21"/>
        <v>0.23841229788621482</v>
      </c>
      <c r="M195" s="10">
        <f t="shared" si="20"/>
        <v>0.26684528732897733</v>
      </c>
      <c r="P195" s="8">
        <f t="shared" ref="P195:P241" si="25">(M195-$O$2)/$O$2*100</f>
        <v>-2.2153579836555517</v>
      </c>
    </row>
    <row r="196" spans="1:16" x14ac:dyDescent="0.2">
      <c r="A196" s="8">
        <v>97</v>
      </c>
      <c r="B196" s="8">
        <v>194</v>
      </c>
      <c r="D196">
        <v>1015.3694158076</v>
      </c>
      <c r="E196">
        <v>321.37886597938001</v>
      </c>
      <c r="F196">
        <v>122.51499571551</v>
      </c>
      <c r="G196">
        <v>109.30505569837</v>
      </c>
      <c r="I196" s="9">
        <f t="shared" si="22"/>
        <v>212.07381028101003</v>
      </c>
      <c r="J196" s="9">
        <f t="shared" si="23"/>
        <v>892.85442009209009</v>
      </c>
      <c r="K196" s="9">
        <f t="shared" si="24"/>
        <v>212.07381028101003</v>
      </c>
      <c r="L196" s="10">
        <f t="shared" si="21"/>
        <v>0.23752339184156862</v>
      </c>
      <c r="M196" s="10">
        <f t="shared" si="20"/>
        <v>0.26610370247315374</v>
      </c>
      <c r="P196" s="8">
        <f t="shared" si="25"/>
        <v>-2.4871094932186666</v>
      </c>
    </row>
    <row r="197" spans="1:16" x14ac:dyDescent="0.2">
      <c r="A197" s="8">
        <v>97.5</v>
      </c>
      <c r="B197" s="8">
        <v>195</v>
      </c>
      <c r="D197">
        <v>1019.4054982818</v>
      </c>
      <c r="E197">
        <v>321.83591065292001</v>
      </c>
      <c r="F197">
        <v>121.97000856898001</v>
      </c>
      <c r="G197">
        <v>109.29220222794</v>
      </c>
      <c r="I197" s="9">
        <f t="shared" si="22"/>
        <v>212.54370842498003</v>
      </c>
      <c r="J197" s="9">
        <f t="shared" si="23"/>
        <v>897.43548971281996</v>
      </c>
      <c r="K197" s="9">
        <f t="shared" si="24"/>
        <v>212.54370842498003</v>
      </c>
      <c r="L197" s="10">
        <f t="shared" si="21"/>
        <v>0.23683452555792525</v>
      </c>
      <c r="M197" s="10">
        <f t="shared" si="20"/>
        <v>0.26556215737833294</v>
      </c>
      <c r="P197" s="8">
        <f t="shared" si="25"/>
        <v>-2.6855570422191257</v>
      </c>
    </row>
    <row r="198" spans="1:16" x14ac:dyDescent="0.2">
      <c r="A198" s="8">
        <v>98</v>
      </c>
      <c r="B198" s="8">
        <v>196</v>
      </c>
      <c r="D198">
        <v>1003.9286941581</v>
      </c>
      <c r="E198">
        <v>318.31271477663</v>
      </c>
      <c r="F198">
        <v>122.15509854327</v>
      </c>
      <c r="G198">
        <v>109.28963153385</v>
      </c>
      <c r="I198" s="9">
        <f t="shared" si="22"/>
        <v>209.02308324277999</v>
      </c>
      <c r="J198" s="9">
        <f t="shared" si="23"/>
        <v>881.77359561483001</v>
      </c>
      <c r="K198" s="9">
        <f t="shared" si="24"/>
        <v>209.02308324277999</v>
      </c>
      <c r="L198" s="10">
        <f t="shared" si="21"/>
        <v>0.23704847171913271</v>
      </c>
      <c r="M198" s="10">
        <f t="shared" si="20"/>
        <v>0.265923424728363</v>
      </c>
      <c r="P198" s="8">
        <f t="shared" si="25"/>
        <v>-2.5531717231884357</v>
      </c>
    </row>
    <row r="199" spans="1:16" x14ac:dyDescent="0.2">
      <c r="A199" s="8">
        <v>98.5</v>
      </c>
      <c r="B199" s="8">
        <v>197</v>
      </c>
      <c r="D199">
        <v>1019.4158075601</v>
      </c>
      <c r="E199">
        <v>322.73024054983</v>
      </c>
      <c r="F199">
        <v>121.74550128535</v>
      </c>
      <c r="G199">
        <v>109.32562125107</v>
      </c>
      <c r="I199" s="9">
        <f t="shared" si="22"/>
        <v>213.40461929876</v>
      </c>
      <c r="J199" s="9">
        <f t="shared" si="23"/>
        <v>897.67030627475003</v>
      </c>
      <c r="K199" s="9">
        <f t="shared" si="24"/>
        <v>213.40461929876</v>
      </c>
      <c r="L199" s="10">
        <f t="shared" si="21"/>
        <v>0.23773162352263796</v>
      </c>
      <c r="M199" s="10">
        <f t="shared" si="20"/>
        <v>0.26675389772069086</v>
      </c>
      <c r="P199" s="8">
        <f t="shared" si="25"/>
        <v>-2.2488474269946415</v>
      </c>
    </row>
    <row r="200" spans="1:16" x14ac:dyDescent="0.2">
      <c r="A200" s="8">
        <v>99</v>
      </c>
      <c r="B200" s="8">
        <v>198</v>
      </c>
      <c r="D200">
        <v>1000.5360824742</v>
      </c>
      <c r="E200">
        <v>313.84450171820998</v>
      </c>
      <c r="F200">
        <v>122.10711225364</v>
      </c>
      <c r="G200">
        <v>109.40017137961</v>
      </c>
      <c r="I200" s="9">
        <f t="shared" si="22"/>
        <v>204.44433033859997</v>
      </c>
      <c r="J200" s="9">
        <f t="shared" si="23"/>
        <v>878.42897022056002</v>
      </c>
      <c r="K200" s="9">
        <f t="shared" si="24"/>
        <v>204.44433033859997</v>
      </c>
      <c r="L200" s="10">
        <f t="shared" si="21"/>
        <v>0.23273860183284614</v>
      </c>
      <c r="M200" s="10">
        <f t="shared" si="20"/>
        <v>0.26190819721972164</v>
      </c>
      <c r="P200" s="8">
        <f t="shared" si="25"/>
        <v>-4.0245396025942552</v>
      </c>
    </row>
    <row r="201" spans="1:16" x14ac:dyDescent="0.2">
      <c r="A201" s="8">
        <v>99.5</v>
      </c>
      <c r="B201" s="8">
        <v>199</v>
      </c>
      <c r="D201">
        <v>1002.1812714777</v>
      </c>
      <c r="E201">
        <v>313.5558419244</v>
      </c>
      <c r="F201">
        <v>122.43958868895</v>
      </c>
      <c r="G201">
        <v>109.28106255356001</v>
      </c>
      <c r="I201" s="9">
        <f t="shared" si="22"/>
        <v>204.27477937084001</v>
      </c>
      <c r="J201" s="9">
        <f t="shared" si="23"/>
        <v>879.74168278874993</v>
      </c>
      <c r="K201" s="9">
        <f t="shared" si="24"/>
        <v>204.27477937084001</v>
      </c>
      <c r="L201" s="10">
        <f t="shared" si="21"/>
        <v>0.23219859120838313</v>
      </c>
      <c r="M201" s="10">
        <f t="shared" si="20"/>
        <v>0.26151550778408122</v>
      </c>
      <c r="P201" s="8">
        <f t="shared" si="25"/>
        <v>-4.1684394491010384</v>
      </c>
    </row>
    <row r="202" spans="1:16" x14ac:dyDescent="0.2">
      <c r="A202" s="8">
        <v>100</v>
      </c>
      <c r="B202" s="8">
        <v>200</v>
      </c>
      <c r="D202">
        <v>983.75601374569999</v>
      </c>
      <c r="E202">
        <v>307.31271477663</v>
      </c>
      <c r="F202">
        <v>122.05398457584</v>
      </c>
      <c r="G202">
        <v>109.50128534704</v>
      </c>
      <c r="I202" s="9">
        <f t="shared" si="22"/>
        <v>197.81142942959002</v>
      </c>
      <c r="J202" s="9">
        <f t="shared" si="23"/>
        <v>861.70202916986</v>
      </c>
      <c r="K202" s="9">
        <f t="shared" si="24"/>
        <v>197.81142942959002</v>
      </c>
      <c r="L202" s="10">
        <f t="shared" si="21"/>
        <v>0.22955896903266679</v>
      </c>
      <c r="M202" s="10">
        <f t="shared" si="20"/>
        <v>0.25902320679718749</v>
      </c>
      <c r="P202" s="8">
        <f t="shared" si="25"/>
        <v>-5.0817355475250379</v>
      </c>
    </row>
    <row r="203" spans="1:16" x14ac:dyDescent="0.2">
      <c r="A203" s="8">
        <v>100.5</v>
      </c>
      <c r="B203" s="8">
        <v>201</v>
      </c>
      <c r="D203">
        <v>1004.6194158076</v>
      </c>
      <c r="E203">
        <v>319.01632302406</v>
      </c>
      <c r="F203">
        <v>121.86375321337</v>
      </c>
      <c r="G203">
        <v>109.03341902314</v>
      </c>
      <c r="I203" s="9">
        <f t="shared" si="22"/>
        <v>209.98290400092</v>
      </c>
      <c r="J203" s="9">
        <f t="shared" si="23"/>
        <v>882.75566259422999</v>
      </c>
      <c r="K203" s="9">
        <f t="shared" si="24"/>
        <v>209.98290400092</v>
      </c>
      <c r="L203" s="10">
        <f t="shared" si="21"/>
        <v>0.23787205554006324</v>
      </c>
      <c r="M203" s="10">
        <f t="shared" si="20"/>
        <v>0.26748361449340657</v>
      </c>
      <c r="P203" s="8">
        <f t="shared" si="25"/>
        <v>-1.981444940304445</v>
      </c>
    </row>
    <row r="204" spans="1:16" x14ac:dyDescent="0.2">
      <c r="A204" s="8">
        <v>101</v>
      </c>
      <c r="B204" s="8">
        <v>202</v>
      </c>
      <c r="D204">
        <v>999.62285223367996</v>
      </c>
      <c r="E204">
        <v>317.39948453608002</v>
      </c>
      <c r="F204">
        <v>121.82690659812</v>
      </c>
      <c r="G204">
        <v>109.39760068552</v>
      </c>
      <c r="I204" s="9">
        <f t="shared" si="22"/>
        <v>208.00188385056003</v>
      </c>
      <c r="J204" s="9">
        <f t="shared" si="23"/>
        <v>877.79594563555997</v>
      </c>
      <c r="K204" s="9">
        <f t="shared" si="24"/>
        <v>208.00188385056003</v>
      </c>
      <c r="L204" s="10">
        <f t="shared" si="21"/>
        <v>0.23695926699679412</v>
      </c>
      <c r="M204" s="10">
        <f t="shared" si="20"/>
        <v>0.26671814713896003</v>
      </c>
      <c r="P204" s="8">
        <f t="shared" si="25"/>
        <v>-2.2619481186778918</v>
      </c>
    </row>
    <row r="205" spans="1:16" x14ac:dyDescent="0.2">
      <c r="A205" s="8">
        <v>101.5</v>
      </c>
      <c r="B205" s="8">
        <v>203</v>
      </c>
      <c r="D205">
        <v>1002.525106383</v>
      </c>
      <c r="E205">
        <v>317.87063829787002</v>
      </c>
      <c r="F205">
        <v>121.74978577549</v>
      </c>
      <c r="G205">
        <v>109.470437018</v>
      </c>
      <c r="I205" s="9">
        <f t="shared" si="22"/>
        <v>208.40020127987003</v>
      </c>
      <c r="J205" s="9">
        <f t="shared" si="23"/>
        <v>880.77532060751003</v>
      </c>
      <c r="K205" s="9">
        <f t="shared" si="24"/>
        <v>208.40020127987003</v>
      </c>
      <c r="L205" s="10">
        <f t="shared" si="21"/>
        <v>0.23660994626430623</v>
      </c>
      <c r="M205" s="10">
        <f t="shared" si="20"/>
        <v>0.26651614759529474</v>
      </c>
      <c r="P205" s="8">
        <f t="shared" si="25"/>
        <v>-2.3359702356224701</v>
      </c>
    </row>
    <row r="206" spans="1:16" x14ac:dyDescent="0.2">
      <c r="A206" s="8">
        <v>102</v>
      </c>
      <c r="B206" s="8">
        <v>204</v>
      </c>
      <c r="D206">
        <v>988.59454855195997</v>
      </c>
      <c r="E206">
        <v>310.62436115843002</v>
      </c>
      <c r="F206">
        <v>121.66752356470001</v>
      </c>
      <c r="G206">
        <v>109.27163667524</v>
      </c>
      <c r="I206" s="9">
        <f t="shared" si="22"/>
        <v>201.35272448319</v>
      </c>
      <c r="J206" s="9">
        <f t="shared" si="23"/>
        <v>866.92702498725998</v>
      </c>
      <c r="K206" s="9">
        <f t="shared" si="24"/>
        <v>201.35272448319</v>
      </c>
      <c r="L206" s="10">
        <f t="shared" si="21"/>
        <v>0.23226029259631051</v>
      </c>
      <c r="M206" s="10">
        <f t="shared" si="20"/>
        <v>0.26231381511612162</v>
      </c>
      <c r="P206" s="8">
        <f t="shared" si="25"/>
        <v>-3.8759021610568443</v>
      </c>
    </row>
    <row r="207" spans="1:16" x14ac:dyDescent="0.2">
      <c r="A207" s="8">
        <v>102.5</v>
      </c>
      <c r="B207" s="8">
        <v>205</v>
      </c>
      <c r="D207">
        <v>948.95826235094</v>
      </c>
      <c r="E207">
        <v>300.28364565587998</v>
      </c>
      <c r="F207">
        <v>122.10625535561</v>
      </c>
      <c r="G207">
        <v>109.56555269923</v>
      </c>
      <c r="I207" s="9">
        <f t="shared" si="22"/>
        <v>190.71809295664997</v>
      </c>
      <c r="J207" s="9">
        <f t="shared" si="23"/>
        <v>826.85200699533004</v>
      </c>
      <c r="K207" s="9">
        <f t="shared" si="24"/>
        <v>190.71809295664997</v>
      </c>
      <c r="L207" s="10">
        <f t="shared" si="21"/>
        <v>0.2306556570500374</v>
      </c>
      <c r="M207" s="10">
        <f t="shared" si="20"/>
        <v>0.26085650075867117</v>
      </c>
      <c r="P207" s="8">
        <f t="shared" si="25"/>
        <v>-4.4099305644623259</v>
      </c>
    </row>
    <row r="208" spans="1:16" x14ac:dyDescent="0.2">
      <c r="A208" s="8">
        <v>103</v>
      </c>
      <c r="B208" s="8">
        <v>206</v>
      </c>
      <c r="D208">
        <v>992.05132591959</v>
      </c>
      <c r="E208">
        <v>309.55603079554999</v>
      </c>
      <c r="F208">
        <v>122.37874892888</v>
      </c>
      <c r="G208">
        <v>109.39160239931</v>
      </c>
      <c r="I208" s="9">
        <f t="shared" si="22"/>
        <v>200.16442839624</v>
      </c>
      <c r="J208" s="9">
        <f t="shared" si="23"/>
        <v>869.67257699071001</v>
      </c>
      <c r="K208" s="9">
        <f t="shared" si="24"/>
        <v>200.16442839624</v>
      </c>
      <c r="L208" s="10">
        <f t="shared" si="21"/>
        <v>0.23016067620398037</v>
      </c>
      <c r="M208" s="10">
        <f t="shared" si="20"/>
        <v>0.26050884110143668</v>
      </c>
      <c r="P208" s="8">
        <f t="shared" si="25"/>
        <v>-4.5373293859535533</v>
      </c>
    </row>
    <row r="209" spans="1:16" x14ac:dyDescent="0.2">
      <c r="A209" s="8">
        <v>103.5</v>
      </c>
      <c r="B209" s="8">
        <v>207</v>
      </c>
      <c r="D209">
        <v>967.48173322005005</v>
      </c>
      <c r="E209">
        <v>307.93882752760999</v>
      </c>
      <c r="F209">
        <v>122.03941730934</v>
      </c>
      <c r="G209">
        <v>109.19622964867</v>
      </c>
      <c r="I209" s="9">
        <f t="shared" si="22"/>
        <v>198.74259787893999</v>
      </c>
      <c r="J209" s="9">
        <f t="shared" si="23"/>
        <v>845.44231591071002</v>
      </c>
      <c r="K209" s="9">
        <f t="shared" si="24"/>
        <v>198.74259787893999</v>
      </c>
      <c r="L209" s="10">
        <f t="shared" si="21"/>
        <v>0.23507529034060068</v>
      </c>
      <c r="M209" s="10">
        <f t="shared" si="20"/>
        <v>0.26557077642687965</v>
      </c>
      <c r="P209" s="8">
        <f t="shared" si="25"/>
        <v>-2.6823986181558879</v>
      </c>
    </row>
    <row r="210" spans="1:16" x14ac:dyDescent="0.2">
      <c r="A210" s="8">
        <v>104</v>
      </c>
      <c r="B210" s="8">
        <v>208</v>
      </c>
      <c r="D210">
        <v>956.32030586235999</v>
      </c>
      <c r="E210">
        <v>303.54375531010999</v>
      </c>
      <c r="F210">
        <v>121.95458440445999</v>
      </c>
      <c r="G210">
        <v>108.89888603256</v>
      </c>
      <c r="I210" s="9">
        <f t="shared" si="22"/>
        <v>194.64486927754999</v>
      </c>
      <c r="J210" s="9">
        <f t="shared" si="23"/>
        <v>834.36572145790001</v>
      </c>
      <c r="K210" s="9">
        <f t="shared" si="24"/>
        <v>194.64486927754999</v>
      </c>
      <c r="L210" s="10">
        <f t="shared" si="21"/>
        <v>0.2332848345416732</v>
      </c>
      <c r="M210" s="10">
        <f t="shared" si="20"/>
        <v>0.26392764181677475</v>
      </c>
      <c r="P210" s="8">
        <f t="shared" si="25"/>
        <v>-3.2845202866404772</v>
      </c>
    </row>
    <row r="211" spans="1:16" x14ac:dyDescent="0.2">
      <c r="A211" s="8">
        <v>104.5</v>
      </c>
      <c r="B211" s="8">
        <v>209</v>
      </c>
      <c r="D211">
        <v>976.39948674079994</v>
      </c>
      <c r="E211">
        <v>307.25919589392998</v>
      </c>
      <c r="F211">
        <v>121.62296486718</v>
      </c>
      <c r="G211">
        <v>109.17480719794</v>
      </c>
      <c r="I211" s="9">
        <f t="shared" si="22"/>
        <v>198.08438869598999</v>
      </c>
      <c r="J211" s="9">
        <f t="shared" si="23"/>
        <v>854.77652187361991</v>
      </c>
      <c r="K211" s="9">
        <f t="shared" si="24"/>
        <v>198.08438869598999</v>
      </c>
      <c r="L211" s="10">
        <f t="shared" si="21"/>
        <v>0.2317382188525729</v>
      </c>
      <c r="M211" s="10">
        <f t="shared" si="20"/>
        <v>0.26252834731649705</v>
      </c>
      <c r="P211" s="8">
        <f t="shared" si="25"/>
        <v>-3.7972874902688707</v>
      </c>
    </row>
    <row r="212" spans="1:16" x14ac:dyDescent="0.2">
      <c r="A212" s="8">
        <v>105</v>
      </c>
      <c r="B212" s="8">
        <v>210</v>
      </c>
      <c r="D212">
        <v>990.54708904109998</v>
      </c>
      <c r="E212">
        <v>308.49657534247001</v>
      </c>
      <c r="F212">
        <v>121.62382176521</v>
      </c>
      <c r="G212">
        <v>109.11653813196</v>
      </c>
      <c r="I212" s="9">
        <f t="shared" si="22"/>
        <v>199.38003721051001</v>
      </c>
      <c r="J212" s="9">
        <f t="shared" si="23"/>
        <v>868.92326727589</v>
      </c>
      <c r="K212" s="9">
        <f t="shared" si="24"/>
        <v>199.38003721051001</v>
      </c>
      <c r="L212" s="10">
        <f t="shared" si="21"/>
        <v>0.22945643731646706</v>
      </c>
      <c r="M212" s="10">
        <f t="shared" si="20"/>
        <v>0.26039388696921384</v>
      </c>
      <c r="P212" s="8">
        <f t="shared" si="25"/>
        <v>-4.5794539772484795</v>
      </c>
    </row>
    <row r="213" spans="1:16" x14ac:dyDescent="0.2">
      <c r="A213" s="8">
        <v>105.5</v>
      </c>
      <c r="B213" s="8">
        <v>211</v>
      </c>
      <c r="D213">
        <v>1006.8698630137</v>
      </c>
      <c r="E213">
        <v>312.38869863014003</v>
      </c>
      <c r="F213">
        <v>122.62896315339</v>
      </c>
      <c r="G213">
        <v>108.95458440445999</v>
      </c>
      <c r="I213" s="9">
        <f t="shared" si="22"/>
        <v>203.43411422568005</v>
      </c>
      <c r="J213" s="9">
        <f t="shared" si="23"/>
        <v>884.24089986030992</v>
      </c>
      <c r="K213" s="9">
        <f t="shared" si="24"/>
        <v>203.43411422568005</v>
      </c>
      <c r="L213" s="10">
        <f t="shared" si="21"/>
        <v>0.23006639283233568</v>
      </c>
      <c r="M213" s="10">
        <f t="shared" si="20"/>
        <v>0.26115116367390506</v>
      </c>
      <c r="P213" s="8">
        <f t="shared" si="25"/>
        <v>-4.3019522375072174</v>
      </c>
    </row>
    <row r="214" spans="1:16" x14ac:dyDescent="0.2">
      <c r="A214" s="8">
        <v>106</v>
      </c>
      <c r="B214" s="8">
        <v>212</v>
      </c>
      <c r="D214">
        <v>1003.1130284728</v>
      </c>
      <c r="E214">
        <v>316.22433132010002</v>
      </c>
      <c r="F214">
        <v>122.20479862896001</v>
      </c>
      <c r="G214">
        <v>109.11225364182</v>
      </c>
      <c r="I214" s="9">
        <f t="shared" si="22"/>
        <v>207.11207767828</v>
      </c>
      <c r="J214" s="9">
        <f t="shared" si="23"/>
        <v>880.90822984383999</v>
      </c>
      <c r="K214" s="9">
        <f t="shared" si="24"/>
        <v>207.11207767828</v>
      </c>
      <c r="L214" s="10">
        <f t="shared" si="21"/>
        <v>0.23511197950210441</v>
      </c>
      <c r="M214" s="10">
        <f t="shared" si="20"/>
        <v>0.2663440715324964</v>
      </c>
      <c r="P214" s="8">
        <f t="shared" si="25"/>
        <v>-2.3990269842304146</v>
      </c>
    </row>
    <row r="215" spans="1:16" x14ac:dyDescent="0.2">
      <c r="A215" s="8">
        <v>106.5</v>
      </c>
      <c r="B215" s="8">
        <v>213</v>
      </c>
      <c r="D215">
        <v>1013.6695427092</v>
      </c>
      <c r="E215">
        <v>317.23123382225998</v>
      </c>
      <c r="F215">
        <v>121.9057412168</v>
      </c>
      <c r="G215">
        <v>109.30934018852</v>
      </c>
      <c r="I215" s="9">
        <f t="shared" si="22"/>
        <v>207.92189363373998</v>
      </c>
      <c r="J215" s="9">
        <f t="shared" si="23"/>
        <v>891.76380149239992</v>
      </c>
      <c r="K215" s="9">
        <f t="shared" si="24"/>
        <v>207.92189363373998</v>
      </c>
      <c r="L215" s="10">
        <f t="shared" si="21"/>
        <v>0.23315803275012392</v>
      </c>
      <c r="M215" s="10">
        <f t="shared" si="20"/>
        <v>0.26453744596933848</v>
      </c>
      <c r="P215" s="8">
        <f t="shared" si="25"/>
        <v>-3.0610594140300074</v>
      </c>
    </row>
    <row r="216" spans="1:16" x14ac:dyDescent="0.2">
      <c r="A216" s="8">
        <v>107</v>
      </c>
      <c r="B216" s="8">
        <v>214</v>
      </c>
      <c r="D216">
        <v>1010.569456428</v>
      </c>
      <c r="E216">
        <v>316.09145815357999</v>
      </c>
      <c r="F216">
        <v>122.17223650386001</v>
      </c>
      <c r="G216">
        <v>109.13453299056999</v>
      </c>
      <c r="I216" s="9">
        <f t="shared" si="22"/>
        <v>206.95692516301</v>
      </c>
      <c r="J216" s="9">
        <f t="shared" si="23"/>
        <v>888.39721992414002</v>
      </c>
      <c r="K216" s="9">
        <f t="shared" si="24"/>
        <v>206.95692516301</v>
      </c>
      <c r="L216" s="10">
        <f t="shared" si="21"/>
        <v>0.23295539486343958</v>
      </c>
      <c r="M216" s="10">
        <f t="shared" si="20"/>
        <v>0.26448212927147674</v>
      </c>
      <c r="P216" s="8">
        <f t="shared" si="25"/>
        <v>-3.081330049318642</v>
      </c>
    </row>
    <row r="217" spans="1:16" x14ac:dyDescent="0.2">
      <c r="A217" s="8">
        <v>107.5</v>
      </c>
      <c r="B217" s="8">
        <v>215</v>
      </c>
      <c r="D217">
        <v>999.94022203245004</v>
      </c>
      <c r="E217">
        <v>315.84372331341001</v>
      </c>
      <c r="F217">
        <v>121.7206512425</v>
      </c>
      <c r="G217">
        <v>109.41131105399</v>
      </c>
      <c r="I217" s="9">
        <f t="shared" si="22"/>
        <v>206.43241225942</v>
      </c>
      <c r="J217" s="9">
        <f t="shared" si="23"/>
        <v>878.21957078995001</v>
      </c>
      <c r="K217" s="9">
        <f t="shared" si="24"/>
        <v>206.43241225942</v>
      </c>
      <c r="L217" s="10">
        <f t="shared" si="21"/>
        <v>0.23505785924781436</v>
      </c>
      <c r="M217" s="10">
        <f t="shared" si="20"/>
        <v>0.26673191484467412</v>
      </c>
      <c r="P217" s="8">
        <f t="shared" si="25"/>
        <v>-2.256902984892263</v>
      </c>
    </row>
    <row r="218" spans="1:16" x14ac:dyDescent="0.2">
      <c r="A218" s="8">
        <v>108</v>
      </c>
      <c r="B218" s="8">
        <v>216</v>
      </c>
      <c r="D218">
        <v>993.81554227156005</v>
      </c>
      <c r="E218">
        <v>314.54824935952001</v>
      </c>
      <c r="F218">
        <v>121.98628963153</v>
      </c>
      <c r="G218">
        <v>109.25535561268001</v>
      </c>
      <c r="I218" s="9">
        <f t="shared" si="22"/>
        <v>205.29289374684001</v>
      </c>
      <c r="J218" s="9">
        <f t="shared" si="23"/>
        <v>871.82925264003006</v>
      </c>
      <c r="K218" s="9">
        <f t="shared" si="24"/>
        <v>205.29289374684001</v>
      </c>
      <c r="L218" s="10">
        <f t="shared" si="21"/>
        <v>0.2354737388372577</v>
      </c>
      <c r="M218" s="10">
        <f t="shared" si="20"/>
        <v>0.26729511562294006</v>
      </c>
      <c r="P218" s="8">
        <f t="shared" si="25"/>
        <v>-2.0505197767145376</v>
      </c>
    </row>
    <row r="219" spans="1:16" x14ac:dyDescent="0.2">
      <c r="A219" s="8">
        <v>108.5</v>
      </c>
      <c r="B219" s="8">
        <v>217</v>
      </c>
      <c r="D219">
        <v>987.84372331341001</v>
      </c>
      <c r="E219">
        <v>311.09308283517998</v>
      </c>
      <c r="F219">
        <v>122.24164524422</v>
      </c>
      <c r="G219">
        <v>109.25535561268001</v>
      </c>
      <c r="I219" s="9">
        <f t="shared" si="22"/>
        <v>201.83772722249998</v>
      </c>
      <c r="J219" s="9">
        <f t="shared" si="23"/>
        <v>865.60207806919004</v>
      </c>
      <c r="K219" s="9">
        <f t="shared" si="24"/>
        <v>201.83772722249998</v>
      </c>
      <c r="L219" s="10">
        <f t="shared" si="21"/>
        <v>0.2331761121377143</v>
      </c>
      <c r="M219" s="10">
        <f t="shared" si="20"/>
        <v>0.2651448101122193</v>
      </c>
      <c r="P219" s="8">
        <f t="shared" si="25"/>
        <v>-2.8384926755290376</v>
      </c>
    </row>
    <row r="220" spans="1:16" x14ac:dyDescent="0.2">
      <c r="A220" s="8">
        <v>109</v>
      </c>
      <c r="B220" s="8">
        <v>218</v>
      </c>
      <c r="D220">
        <v>968.35269000853998</v>
      </c>
      <c r="E220">
        <v>310.18189581553997</v>
      </c>
      <c r="F220">
        <v>122.58354755784001</v>
      </c>
      <c r="G220">
        <v>109.21508140531</v>
      </c>
      <c r="I220" s="9">
        <f t="shared" si="22"/>
        <v>200.96681441022997</v>
      </c>
      <c r="J220" s="9">
        <f t="shared" si="23"/>
        <v>845.76914245069997</v>
      </c>
      <c r="K220" s="9">
        <f t="shared" si="24"/>
        <v>200.96681441022997</v>
      </c>
      <c r="L220" s="10">
        <f t="shared" si="21"/>
        <v>0.23761426649819442</v>
      </c>
      <c r="M220" s="10">
        <f t="shared" si="20"/>
        <v>0.26973028566152202</v>
      </c>
      <c r="P220" s="8">
        <f t="shared" si="25"/>
        <v>-1.1581591401255242</v>
      </c>
    </row>
    <row r="221" spans="1:16" x14ac:dyDescent="0.2">
      <c r="A221" s="8">
        <v>109.5</v>
      </c>
      <c r="B221" s="8">
        <v>219</v>
      </c>
      <c r="D221">
        <v>961.25619128949995</v>
      </c>
      <c r="E221">
        <v>308.43296327924998</v>
      </c>
      <c r="F221">
        <v>121.69237360754001</v>
      </c>
      <c r="G221">
        <v>109.15252784918999</v>
      </c>
      <c r="I221" s="9">
        <f t="shared" si="22"/>
        <v>199.28043543005998</v>
      </c>
      <c r="J221" s="9">
        <f t="shared" si="23"/>
        <v>839.5638176819599</v>
      </c>
      <c r="K221" s="9">
        <f t="shared" si="24"/>
        <v>199.28043543005998</v>
      </c>
      <c r="L221" s="10">
        <f t="shared" si="21"/>
        <v>0.23736186723753092</v>
      </c>
      <c r="M221" s="10">
        <f t="shared" si="20"/>
        <v>0.26962520758968112</v>
      </c>
      <c r="P221" s="8">
        <f t="shared" si="25"/>
        <v>-1.1966646792024163</v>
      </c>
    </row>
    <row r="222" spans="1:16" x14ac:dyDescent="0.2">
      <c r="A222" s="8">
        <v>110</v>
      </c>
      <c r="B222" s="8">
        <v>220</v>
      </c>
      <c r="D222">
        <v>951.53316326531001</v>
      </c>
      <c r="E222">
        <v>304.14795918367003</v>
      </c>
      <c r="F222">
        <v>122.05826906598</v>
      </c>
      <c r="G222">
        <v>109.03341902314</v>
      </c>
      <c r="I222" s="9">
        <f t="shared" si="22"/>
        <v>195.11454016053003</v>
      </c>
      <c r="J222" s="9">
        <f t="shared" si="23"/>
        <v>829.47489419933004</v>
      </c>
      <c r="K222" s="9">
        <f t="shared" si="24"/>
        <v>195.11454016053003</v>
      </c>
      <c r="L222" s="10">
        <f t="shared" si="21"/>
        <v>0.235226577109207</v>
      </c>
      <c r="M222" s="10">
        <f t="shared" si="20"/>
        <v>0.2676372386501798</v>
      </c>
      <c r="P222" s="8">
        <f t="shared" si="25"/>
        <v>-1.9251498364054851</v>
      </c>
    </row>
    <row r="223" spans="1:16" x14ac:dyDescent="0.2">
      <c r="A223" s="8">
        <v>110.5</v>
      </c>
      <c r="B223" s="8">
        <v>221</v>
      </c>
      <c r="D223">
        <v>950.86734693877997</v>
      </c>
      <c r="E223">
        <v>301.06292517007</v>
      </c>
      <c r="F223">
        <v>122.07797772065</v>
      </c>
      <c r="G223">
        <v>109.24935732647999</v>
      </c>
      <c r="I223" s="9">
        <f t="shared" si="22"/>
        <v>191.81356784359002</v>
      </c>
      <c r="J223" s="9">
        <f t="shared" si="23"/>
        <v>828.78936921812999</v>
      </c>
      <c r="K223" s="9">
        <f t="shared" si="24"/>
        <v>191.81356784359002</v>
      </c>
      <c r="L223" s="10">
        <f t="shared" si="21"/>
        <v>0.23143825797927964</v>
      </c>
      <c r="M223" s="10">
        <f t="shared" si="20"/>
        <v>0.26399624070907501</v>
      </c>
      <c r="P223" s="8">
        <f t="shared" si="25"/>
        <v>-3.2593824316929796</v>
      </c>
    </row>
    <row r="224" spans="1:16" x14ac:dyDescent="0.2">
      <c r="A224" s="8">
        <v>111</v>
      </c>
      <c r="B224" s="8">
        <v>222</v>
      </c>
      <c r="D224">
        <v>964.73516766982004</v>
      </c>
      <c r="E224">
        <v>308.05760963027001</v>
      </c>
      <c r="F224">
        <v>121.76435304199001</v>
      </c>
      <c r="G224">
        <v>109.13881748071999</v>
      </c>
      <c r="I224" s="9">
        <f t="shared" si="22"/>
        <v>198.91879214955003</v>
      </c>
      <c r="J224" s="9">
        <f t="shared" si="23"/>
        <v>842.97081462783001</v>
      </c>
      <c r="K224" s="9">
        <f t="shared" si="24"/>
        <v>198.91879214955003</v>
      </c>
      <c r="L224" s="10">
        <f t="shared" si="21"/>
        <v>0.23597352209325573</v>
      </c>
      <c r="M224" s="10">
        <f t="shared" si="20"/>
        <v>0.26867882601187371</v>
      </c>
      <c r="P224" s="8">
        <f t="shared" si="25"/>
        <v>-1.5434633231772368</v>
      </c>
    </row>
    <row r="225" spans="1:16" x14ac:dyDescent="0.2">
      <c r="A225" s="8">
        <v>111.5</v>
      </c>
      <c r="B225" s="8">
        <v>223</v>
      </c>
      <c r="D225">
        <v>951.04815133275997</v>
      </c>
      <c r="E225">
        <v>303.67153912295998</v>
      </c>
      <c r="F225">
        <v>122.27506426735</v>
      </c>
      <c r="G225">
        <v>109.37617823479</v>
      </c>
      <c r="I225" s="9">
        <f t="shared" si="22"/>
        <v>194.29536088816997</v>
      </c>
      <c r="J225" s="9">
        <f t="shared" si="23"/>
        <v>828.77308706540998</v>
      </c>
      <c r="K225" s="9">
        <f t="shared" si="24"/>
        <v>194.29536088816997</v>
      </c>
      <c r="L225" s="10">
        <f t="shared" si="21"/>
        <v>0.23443734349066214</v>
      </c>
      <c r="M225" s="10">
        <f t="shared" si="20"/>
        <v>0.26728996859810272</v>
      </c>
      <c r="P225" s="8">
        <f t="shared" si="25"/>
        <v>-2.0524058882745586</v>
      </c>
    </row>
    <row r="226" spans="1:16" x14ac:dyDescent="0.2">
      <c r="A226" s="8">
        <v>112</v>
      </c>
      <c r="B226" s="8">
        <v>224</v>
      </c>
      <c r="D226">
        <v>970.99484092862997</v>
      </c>
      <c r="E226">
        <v>306.20894239037</v>
      </c>
      <c r="F226">
        <v>121.54927163668</v>
      </c>
      <c r="G226">
        <v>109.63753213368</v>
      </c>
      <c r="I226" s="9">
        <f t="shared" si="22"/>
        <v>196.57141025669</v>
      </c>
      <c r="J226" s="9">
        <f t="shared" si="23"/>
        <v>849.44556929194994</v>
      </c>
      <c r="K226" s="9">
        <f t="shared" si="24"/>
        <v>196.57141025669</v>
      </c>
      <c r="L226" s="10">
        <f t="shared" si="21"/>
        <v>0.23141142571447029</v>
      </c>
      <c r="M226" s="10">
        <f t="shared" si="20"/>
        <v>0.2644113720107335</v>
      </c>
      <c r="P226" s="8">
        <f t="shared" si="25"/>
        <v>-3.1072588318018965</v>
      </c>
    </row>
    <row r="227" spans="1:16" x14ac:dyDescent="0.2">
      <c r="A227" s="8">
        <v>112.5</v>
      </c>
      <c r="B227" s="8">
        <v>225</v>
      </c>
      <c r="D227">
        <v>955.35873287670995</v>
      </c>
      <c r="E227">
        <v>303.27996575343002</v>
      </c>
      <c r="F227">
        <v>122.00342759212</v>
      </c>
      <c r="G227">
        <v>109.08826049699999</v>
      </c>
      <c r="I227" s="9">
        <f t="shared" si="22"/>
        <v>194.19170525643003</v>
      </c>
      <c r="J227" s="9">
        <f t="shared" si="23"/>
        <v>833.35530528458992</v>
      </c>
      <c r="K227" s="9">
        <f t="shared" si="24"/>
        <v>194.19170525643003</v>
      </c>
      <c r="L227" s="10">
        <f t="shared" si="21"/>
        <v>0.23302390231992795</v>
      </c>
      <c r="M227" s="10">
        <f t="shared" si="20"/>
        <v>0.26617116980501376</v>
      </c>
      <c r="P227" s="8">
        <f t="shared" si="25"/>
        <v>-2.4623862951447308</v>
      </c>
    </row>
    <row r="228" spans="1:16" x14ac:dyDescent="0.2">
      <c r="A228" s="8">
        <v>113</v>
      </c>
      <c r="B228" s="8">
        <v>226</v>
      </c>
      <c r="D228">
        <v>949.09417808218996</v>
      </c>
      <c r="E228">
        <v>300.73373287671001</v>
      </c>
      <c r="F228">
        <v>122.28363324764</v>
      </c>
      <c r="G228">
        <v>109.27420736932</v>
      </c>
      <c r="I228" s="9">
        <f t="shared" si="22"/>
        <v>191.45952550739003</v>
      </c>
      <c r="J228" s="9">
        <f t="shared" si="23"/>
        <v>826.81054483455</v>
      </c>
      <c r="K228" s="9">
        <f t="shared" si="24"/>
        <v>191.45952550739003</v>
      </c>
      <c r="L228" s="10">
        <f t="shared" si="21"/>
        <v>0.23156396190581033</v>
      </c>
      <c r="M228" s="10">
        <f t="shared" si="20"/>
        <v>0.26485855057971874</v>
      </c>
      <c r="P228" s="8">
        <f t="shared" si="25"/>
        <v>-2.9433916085007246</v>
      </c>
    </row>
    <row r="229" spans="1:16" x14ac:dyDescent="0.2">
      <c r="A229" s="8">
        <v>113.5</v>
      </c>
      <c r="B229" s="8">
        <v>227</v>
      </c>
      <c r="D229">
        <v>942.60530821917996</v>
      </c>
      <c r="E229">
        <v>296.24229452054999</v>
      </c>
      <c r="F229">
        <v>121.70522707798</v>
      </c>
      <c r="G229">
        <v>109.59297343615999</v>
      </c>
      <c r="I229" s="9">
        <f t="shared" si="22"/>
        <v>186.64932108439001</v>
      </c>
      <c r="J229" s="9">
        <f t="shared" si="23"/>
        <v>820.90008114119996</v>
      </c>
      <c r="K229" s="9">
        <f t="shared" si="24"/>
        <v>186.64932108439001</v>
      </c>
      <c r="L229" s="10">
        <f t="shared" si="21"/>
        <v>0.22737154663806783</v>
      </c>
      <c r="M229" s="10">
        <f t="shared" si="20"/>
        <v>0.26081345650079885</v>
      </c>
      <c r="P229" s="8">
        <f t="shared" si="25"/>
        <v>-4.4257040015315576</v>
      </c>
    </row>
    <row r="230" spans="1:16" x14ac:dyDescent="0.2">
      <c r="A230" s="8">
        <v>114</v>
      </c>
      <c r="B230" s="8">
        <v>228</v>
      </c>
      <c r="D230">
        <v>943.95547945205999</v>
      </c>
      <c r="E230">
        <v>296.76712328767002</v>
      </c>
      <c r="F230">
        <v>121.99143101971001</v>
      </c>
      <c r="G230">
        <v>108.95458440445999</v>
      </c>
      <c r="I230" s="9">
        <f t="shared" si="22"/>
        <v>187.81253888321004</v>
      </c>
      <c r="J230" s="9">
        <f t="shared" si="23"/>
        <v>821.96404843234995</v>
      </c>
      <c r="K230" s="9">
        <f t="shared" si="24"/>
        <v>187.81253888321004</v>
      </c>
      <c r="L230" s="10">
        <f t="shared" si="21"/>
        <v>0.22849240090415895</v>
      </c>
      <c r="M230" s="10">
        <f t="shared" si="20"/>
        <v>0.2620816319557126</v>
      </c>
      <c r="P230" s="8">
        <f t="shared" si="25"/>
        <v>-3.9609849723370329</v>
      </c>
    </row>
    <row r="231" spans="1:16" x14ac:dyDescent="0.2">
      <c r="A231" s="8">
        <v>114.5</v>
      </c>
      <c r="B231" s="8">
        <v>229</v>
      </c>
      <c r="D231">
        <v>1008.5488013699</v>
      </c>
      <c r="E231">
        <v>313.19691780822001</v>
      </c>
      <c r="F231">
        <v>121.90488431877</v>
      </c>
      <c r="G231">
        <v>109.26906598115001</v>
      </c>
      <c r="I231" s="9">
        <f t="shared" si="22"/>
        <v>203.92785182707001</v>
      </c>
      <c r="J231" s="9">
        <f t="shared" si="23"/>
        <v>886.64391705113007</v>
      </c>
      <c r="K231" s="9">
        <f t="shared" si="24"/>
        <v>203.92785182707001</v>
      </c>
      <c r="L231" s="10">
        <f t="shared" si="21"/>
        <v>0.22999971905893096</v>
      </c>
      <c r="M231" s="10">
        <f t="shared" si="20"/>
        <v>0.26373627129930721</v>
      </c>
      <c r="P231" s="8">
        <f t="shared" si="25"/>
        <v>-3.3546474293393675</v>
      </c>
    </row>
    <row r="232" spans="1:16" x14ac:dyDescent="0.2">
      <c r="A232" s="8">
        <v>115</v>
      </c>
      <c r="B232" s="8">
        <v>230</v>
      </c>
      <c r="D232">
        <v>1010.9476843911</v>
      </c>
      <c r="E232">
        <v>312.89794168096</v>
      </c>
      <c r="F232">
        <v>121.94430162811</v>
      </c>
      <c r="G232">
        <v>109.18251928021</v>
      </c>
      <c r="I232" s="9">
        <f t="shared" si="22"/>
        <v>203.71542240075001</v>
      </c>
      <c r="J232" s="9">
        <f t="shared" si="23"/>
        <v>889.00338276298999</v>
      </c>
      <c r="K232" s="9">
        <f t="shared" si="24"/>
        <v>203.71542240075001</v>
      </c>
      <c r="L232" s="10">
        <f t="shared" si="21"/>
        <v>0.22915033435262072</v>
      </c>
      <c r="M232" s="10">
        <f t="shared" si="20"/>
        <v>0.26303420778181957</v>
      </c>
      <c r="P232" s="8">
        <f t="shared" si="25"/>
        <v>-3.6119164649571065</v>
      </c>
    </row>
    <row r="233" spans="1:16" x14ac:dyDescent="0.2">
      <c r="A233" s="8">
        <v>115.5</v>
      </c>
      <c r="B233" s="8">
        <v>231</v>
      </c>
      <c r="D233">
        <v>1019.7367066895</v>
      </c>
      <c r="E233">
        <v>314.82761578045</v>
      </c>
      <c r="F233">
        <v>122.33676092544999</v>
      </c>
      <c r="G233">
        <v>109.59468723222</v>
      </c>
      <c r="I233" s="9">
        <f t="shared" si="22"/>
        <v>205.23292854823001</v>
      </c>
      <c r="J233" s="9">
        <f t="shared" si="23"/>
        <v>897.39994576405002</v>
      </c>
      <c r="K233" s="9">
        <f t="shared" si="24"/>
        <v>205.23292854823001</v>
      </c>
      <c r="L233" s="10">
        <f t="shared" si="21"/>
        <v>0.2286972820947675</v>
      </c>
      <c r="M233" s="10">
        <f t="shared" si="20"/>
        <v>0.26272847671278893</v>
      </c>
      <c r="P233" s="8">
        <f t="shared" si="25"/>
        <v>-3.7239506831277995</v>
      </c>
    </row>
    <row r="234" spans="1:16" x14ac:dyDescent="0.2">
      <c r="A234" s="8">
        <v>116</v>
      </c>
      <c r="B234" s="8">
        <v>232</v>
      </c>
      <c r="D234">
        <v>1020.8524871355</v>
      </c>
      <c r="E234">
        <v>313.54373927959</v>
      </c>
      <c r="F234">
        <v>121.57240788346</v>
      </c>
      <c r="G234">
        <v>109.40959725793</v>
      </c>
      <c r="I234" s="9">
        <f t="shared" si="22"/>
        <v>204.13414202166001</v>
      </c>
      <c r="J234" s="9">
        <f t="shared" si="23"/>
        <v>899.28007925204008</v>
      </c>
      <c r="K234" s="9">
        <f t="shared" si="24"/>
        <v>204.13414202166001</v>
      </c>
      <c r="L234" s="10">
        <f t="shared" si="21"/>
        <v>0.22699729120147405</v>
      </c>
      <c r="M234" s="10">
        <f t="shared" si="20"/>
        <v>0.26117580700831811</v>
      </c>
      <c r="P234" s="8">
        <f t="shared" si="25"/>
        <v>-4.2929217627411491</v>
      </c>
    </row>
    <row r="235" spans="1:16" x14ac:dyDescent="0.2">
      <c r="A235" s="8">
        <v>116.5</v>
      </c>
      <c r="B235" s="8">
        <v>233</v>
      </c>
      <c r="D235">
        <v>1010.5145797599</v>
      </c>
      <c r="E235">
        <v>312.38679245282998</v>
      </c>
      <c r="F235">
        <v>121.97172236503999</v>
      </c>
      <c r="G235">
        <v>109.08654670094</v>
      </c>
      <c r="I235" s="9">
        <f t="shared" si="22"/>
        <v>203.30024575188997</v>
      </c>
      <c r="J235" s="9">
        <f t="shared" si="23"/>
        <v>888.54285739485999</v>
      </c>
      <c r="K235" s="9">
        <f t="shared" si="24"/>
        <v>203.30024575188997</v>
      </c>
      <c r="L235" s="10">
        <f t="shared" si="21"/>
        <v>0.22880184569594181</v>
      </c>
      <c r="M235" s="10">
        <f t="shared" si="20"/>
        <v>0.26312768269160847</v>
      </c>
      <c r="P235" s="8">
        <f t="shared" si="25"/>
        <v>-3.5776628692398686</v>
      </c>
    </row>
    <row r="236" spans="1:16" x14ac:dyDescent="0.2">
      <c r="A236" s="8">
        <v>117</v>
      </c>
      <c r="B236" s="8">
        <v>234</v>
      </c>
      <c r="D236">
        <v>1014.2749786506999</v>
      </c>
      <c r="E236">
        <v>310.94363791631002</v>
      </c>
      <c r="F236">
        <v>122.4764353042</v>
      </c>
      <c r="G236">
        <v>109.11396743788001</v>
      </c>
      <c r="I236" s="9">
        <f t="shared" si="22"/>
        <v>201.82967047843002</v>
      </c>
      <c r="J236" s="9">
        <f t="shared" si="23"/>
        <v>891.79854334649997</v>
      </c>
      <c r="K236" s="9">
        <f t="shared" si="24"/>
        <v>201.82967047843002</v>
      </c>
      <c r="L236" s="10">
        <f t="shared" si="21"/>
        <v>0.22631756015328117</v>
      </c>
      <c r="M236" s="10">
        <f t="shared" si="20"/>
        <v>0.2607907183377704</v>
      </c>
      <c r="P236" s="8">
        <f t="shared" si="25"/>
        <v>-4.4340363320519947</v>
      </c>
    </row>
    <row r="237" spans="1:16" x14ac:dyDescent="0.2">
      <c r="A237" s="8">
        <v>117.5</v>
      </c>
      <c r="B237" s="8">
        <v>235</v>
      </c>
      <c r="D237">
        <v>1004.8744662682</v>
      </c>
      <c r="E237">
        <v>309.17250213493003</v>
      </c>
      <c r="F237">
        <v>122.04198800343001</v>
      </c>
      <c r="G237">
        <v>109.34790059983</v>
      </c>
      <c r="I237" s="9">
        <f t="shared" si="22"/>
        <v>199.82460153510004</v>
      </c>
      <c r="J237" s="9">
        <f t="shared" si="23"/>
        <v>882.83247826476997</v>
      </c>
      <c r="K237" s="9">
        <f t="shared" si="24"/>
        <v>199.82460153510004</v>
      </c>
      <c r="L237" s="10">
        <f t="shared" si="21"/>
        <v>0.22634486887915639</v>
      </c>
      <c r="M237" s="10">
        <f t="shared" si="20"/>
        <v>0.26096534825246825</v>
      </c>
      <c r="P237" s="8">
        <f t="shared" si="25"/>
        <v>-4.3700437322013466</v>
      </c>
    </row>
    <row r="238" spans="1:16" x14ac:dyDescent="0.2">
      <c r="A238" s="8">
        <v>118</v>
      </c>
      <c r="B238" s="8">
        <v>236</v>
      </c>
      <c r="D238">
        <v>997.86763450042997</v>
      </c>
      <c r="E238">
        <v>307.98292058070001</v>
      </c>
      <c r="F238">
        <v>121.98628963153</v>
      </c>
      <c r="G238">
        <v>108.96058269066</v>
      </c>
      <c r="I238" s="9">
        <f t="shared" si="22"/>
        <v>199.02233789004001</v>
      </c>
      <c r="J238" s="9">
        <f t="shared" si="23"/>
        <v>875.88134486889999</v>
      </c>
      <c r="K238" s="9">
        <f t="shared" si="24"/>
        <v>199.02233789004001</v>
      </c>
      <c r="L238" s="10">
        <f t="shared" si="21"/>
        <v>0.22722522754475291</v>
      </c>
      <c r="M238" s="10">
        <f t="shared" si="20"/>
        <v>0.26199302810688735</v>
      </c>
      <c r="P238" s="8">
        <f t="shared" si="25"/>
        <v>-3.9934535826144417</v>
      </c>
    </row>
    <row r="239" spans="1:16" x14ac:dyDescent="0.2">
      <c r="A239" s="8">
        <v>118.5</v>
      </c>
      <c r="B239" s="8">
        <v>237</v>
      </c>
      <c r="D239">
        <v>997.69427839453999</v>
      </c>
      <c r="E239">
        <v>307.31596925705003</v>
      </c>
      <c r="F239">
        <v>121.89631533847999</v>
      </c>
      <c r="G239">
        <v>109.03427592117001</v>
      </c>
      <c r="I239" s="9">
        <f t="shared" si="22"/>
        <v>198.28169333588002</v>
      </c>
      <c r="J239" s="9">
        <f t="shared" si="23"/>
        <v>875.79796305605998</v>
      </c>
      <c r="K239" s="9">
        <f t="shared" si="24"/>
        <v>198.28169333588002</v>
      </c>
      <c r="L239" s="10">
        <f t="shared" si="21"/>
        <v>0.22640118120848834</v>
      </c>
      <c r="M239" s="10">
        <f t="shared" si="20"/>
        <v>0.26131630295944541</v>
      </c>
      <c r="P239" s="8">
        <f t="shared" si="25"/>
        <v>-4.2414374497774636</v>
      </c>
    </row>
    <row r="240" spans="1:16" x14ac:dyDescent="0.2">
      <c r="A240" s="8">
        <v>119</v>
      </c>
      <c r="B240" s="8">
        <v>238</v>
      </c>
      <c r="D240">
        <v>986.56874466268005</v>
      </c>
      <c r="E240">
        <v>304.56020495303</v>
      </c>
      <c r="F240">
        <v>122.09083119109</v>
      </c>
      <c r="G240">
        <v>109.20565552699</v>
      </c>
      <c r="I240" s="9">
        <f t="shared" si="22"/>
        <v>195.35454942603999</v>
      </c>
      <c r="J240" s="9">
        <f t="shared" si="23"/>
        <v>864.47791347159</v>
      </c>
      <c r="K240" s="9">
        <f t="shared" si="24"/>
        <v>195.35454942603999</v>
      </c>
      <c r="L240" s="10">
        <f t="shared" si="21"/>
        <v>0.22597980397385836</v>
      </c>
      <c r="M240" s="10">
        <f t="shared" si="20"/>
        <v>0.26104224691363803</v>
      </c>
      <c r="P240" s="8">
        <f t="shared" si="25"/>
        <v>-4.3418644522549386</v>
      </c>
    </row>
    <row r="241" spans="1:16" x14ac:dyDescent="0.2">
      <c r="A241" s="8">
        <v>119.5</v>
      </c>
      <c r="B241" s="8">
        <v>239</v>
      </c>
      <c r="D241">
        <v>983.45516652434003</v>
      </c>
      <c r="E241">
        <v>307.58753202391</v>
      </c>
      <c r="F241">
        <v>121.59383033419</v>
      </c>
      <c r="G241">
        <v>108.92202227935</v>
      </c>
      <c r="I241" s="9">
        <f t="shared" si="22"/>
        <v>198.66550974455998</v>
      </c>
      <c r="J241" s="9">
        <f t="shared" si="23"/>
        <v>861.86133619015004</v>
      </c>
      <c r="K241" s="9">
        <f t="shared" si="24"/>
        <v>198.66550974455998</v>
      </c>
      <c r="L241" s="10">
        <f t="shared" si="21"/>
        <v>0.2305075090417201</v>
      </c>
      <c r="M241" s="10">
        <f t="shared" si="20"/>
        <v>0.26571727317032234</v>
      </c>
      <c r="P241" s="8">
        <f t="shared" si="25"/>
        <v>-2.6287153331427131</v>
      </c>
    </row>
    <row r="242" spans="1:16" x14ac:dyDescent="0.2">
      <c r="A242" s="8">
        <v>120</v>
      </c>
      <c r="B242" s="8">
        <v>240</v>
      </c>
      <c r="D242">
        <v>987.96669513236998</v>
      </c>
      <c r="E242">
        <v>305.88812980359</v>
      </c>
      <c r="F242">
        <v>121.07969151671</v>
      </c>
      <c r="G242">
        <v>109.17823479006</v>
      </c>
      <c r="I242" s="9">
        <f>E242-G242</f>
        <v>196.70989501353</v>
      </c>
      <c r="J242" s="9">
        <f>D242-F242</f>
        <v>866.88700361565998</v>
      </c>
      <c r="K242" s="9">
        <f t="shared" si="24"/>
        <v>196.70989501353</v>
      </c>
      <c r="L242" s="10">
        <f t="shared" si="21"/>
        <v>0.22691526599554676</v>
      </c>
      <c r="M242" s="10">
        <f>L242+ABS($N$2)*A242</f>
        <v>0.26227235131297161</v>
      </c>
      <c r="O242" s="11"/>
      <c r="P242" s="8">
        <f>(M242-$O$2)/$O$2*100</f>
        <v>-3.8910964453113808</v>
      </c>
    </row>
    <row r="243" spans="1:16" x14ac:dyDescent="0.2">
      <c r="A243" s="8">
        <v>120.5</v>
      </c>
      <c r="B243" s="8">
        <v>241</v>
      </c>
      <c r="D243">
        <v>990.91894197952001</v>
      </c>
      <c r="E243">
        <v>306.83703071671999</v>
      </c>
      <c r="F243">
        <v>121.71036846615</v>
      </c>
      <c r="G243">
        <v>108.93573264782</v>
      </c>
      <c r="I243" s="9">
        <f t="shared" ref="I243:I274" si="26">E243-G243</f>
        <v>197.90129806889999</v>
      </c>
      <c r="J243" s="9">
        <f t="shared" ref="J243:J274" si="27">D243-F243</f>
        <v>869.20857351336997</v>
      </c>
      <c r="K243" s="9">
        <f t="shared" si="24"/>
        <v>197.90129806889999</v>
      </c>
      <c r="L243" s="10">
        <f t="shared" si="21"/>
        <v>0.22767987350720248</v>
      </c>
      <c r="M243" s="10">
        <f t="shared" ref="M243:M274" si="28">L243+ABS($N$2)*A243</f>
        <v>0.26318428001344996</v>
      </c>
      <c r="P243" s="8">
        <f t="shared" ref="P243:P274" si="29">(M243-$O$2)/$O$2*100</f>
        <v>-3.5569229531980646</v>
      </c>
    </row>
    <row r="244" spans="1:16" x14ac:dyDescent="0.2">
      <c r="A244" s="8">
        <v>121</v>
      </c>
      <c r="B244" s="8">
        <v>242</v>
      </c>
      <c r="D244">
        <v>988.52</v>
      </c>
      <c r="E244">
        <v>307.26808510638</v>
      </c>
      <c r="F244">
        <v>121.65381319623</v>
      </c>
      <c r="G244">
        <v>109.09940017138</v>
      </c>
      <c r="I244" s="9">
        <f t="shared" si="26"/>
        <v>198.16868493499999</v>
      </c>
      <c r="J244" s="9">
        <f t="shared" si="27"/>
        <v>866.86618680377001</v>
      </c>
      <c r="K244" s="9">
        <f t="shared" si="24"/>
        <v>198.16868493499999</v>
      </c>
      <c r="L244" s="10">
        <f t="shared" si="21"/>
        <v>0.22860354683537665</v>
      </c>
      <c r="M244" s="10">
        <f t="shared" si="28"/>
        <v>0.26425527453044673</v>
      </c>
      <c r="N244" s="1"/>
      <c r="P244" s="8">
        <f t="shared" si="29"/>
        <v>-3.1644602775620303</v>
      </c>
    </row>
    <row r="245" spans="1:16" x14ac:dyDescent="0.2">
      <c r="A245" s="8">
        <v>121.5</v>
      </c>
      <c r="B245" s="8">
        <v>243</v>
      </c>
      <c r="D245">
        <v>982.81021276596005</v>
      </c>
      <c r="E245">
        <v>303.81531914893998</v>
      </c>
      <c r="F245">
        <v>121.64867180806</v>
      </c>
      <c r="G245">
        <v>108.79091688088999</v>
      </c>
      <c r="I245" s="9">
        <f t="shared" si="26"/>
        <v>195.02440226804998</v>
      </c>
      <c r="J245" s="9">
        <f t="shared" si="27"/>
        <v>861.1615409579</v>
      </c>
      <c r="K245" s="9">
        <f t="shared" si="24"/>
        <v>195.02440226804998</v>
      </c>
      <c r="L245" s="10">
        <f t="shared" si="21"/>
        <v>0.226466688295343</v>
      </c>
      <c r="M245" s="10">
        <f t="shared" si="28"/>
        <v>0.26226573717923568</v>
      </c>
      <c r="P245" s="8">
        <f t="shared" si="29"/>
        <v>-3.8935201744545469</v>
      </c>
    </row>
    <row r="246" spans="1:16" x14ac:dyDescent="0.2">
      <c r="A246" s="8">
        <v>122</v>
      </c>
      <c r="B246" s="8">
        <v>244</v>
      </c>
      <c r="D246">
        <v>982.06893617021001</v>
      </c>
      <c r="E246">
        <v>304.43829787234</v>
      </c>
      <c r="F246">
        <v>121.53127677806</v>
      </c>
      <c r="G246">
        <v>109.0471293916</v>
      </c>
      <c r="I246" s="9">
        <f t="shared" si="26"/>
        <v>195.39116848074002</v>
      </c>
      <c r="J246" s="9">
        <f t="shared" si="27"/>
        <v>860.53765939214998</v>
      </c>
      <c r="K246" s="9">
        <f t="shared" si="24"/>
        <v>195.39116848074002</v>
      </c>
      <c r="L246" s="10">
        <f t="shared" si="21"/>
        <v>0.22705708035922179</v>
      </c>
      <c r="M246" s="10">
        <f t="shared" si="28"/>
        <v>0.26300345043193707</v>
      </c>
      <c r="P246" s="8">
        <f t="shared" si="29"/>
        <v>-3.6231874020522943</v>
      </c>
    </row>
    <row r="247" spans="1:16" x14ac:dyDescent="0.2">
      <c r="A247" s="8">
        <v>122.5</v>
      </c>
      <c r="B247" s="8">
        <v>245</v>
      </c>
      <c r="D247">
        <v>985.51319148936</v>
      </c>
      <c r="E247">
        <v>306.36340425532001</v>
      </c>
      <c r="F247">
        <v>121.95115681234</v>
      </c>
      <c r="G247">
        <v>108.99828620394</v>
      </c>
      <c r="I247" s="9">
        <f t="shared" si="26"/>
        <v>197.36511805138002</v>
      </c>
      <c r="J247" s="9">
        <f t="shared" si="27"/>
        <v>863.56203467701994</v>
      </c>
      <c r="K247" s="9">
        <f t="shared" si="24"/>
        <v>197.36511805138002</v>
      </c>
      <c r="L247" s="10">
        <f t="shared" si="21"/>
        <v>0.2285477014111631</v>
      </c>
      <c r="M247" s="10">
        <f t="shared" si="28"/>
        <v>0.26464139267270098</v>
      </c>
      <c r="P247" s="8">
        <f t="shared" si="29"/>
        <v>-3.0229684614828476</v>
      </c>
    </row>
    <row r="248" spans="1:16" x14ac:dyDescent="0.2">
      <c r="A248" s="8">
        <v>123</v>
      </c>
      <c r="B248" s="8">
        <v>246</v>
      </c>
      <c r="D248">
        <v>976.61106382979006</v>
      </c>
      <c r="E248">
        <v>304.19914893616999</v>
      </c>
      <c r="F248">
        <v>121.51756640959999</v>
      </c>
      <c r="G248">
        <v>109.14910025707</v>
      </c>
      <c r="I248" s="9">
        <f t="shared" si="26"/>
        <v>195.05004867909997</v>
      </c>
      <c r="J248" s="9">
        <f t="shared" si="27"/>
        <v>855.09349742019003</v>
      </c>
      <c r="K248" s="9">
        <f t="shared" si="24"/>
        <v>195.05004867909997</v>
      </c>
      <c r="L248" s="10">
        <f t="shared" si="21"/>
        <v>0.22810376791259007</v>
      </c>
      <c r="M248" s="10">
        <f t="shared" si="28"/>
        <v>0.26434478036295056</v>
      </c>
      <c r="P248" s="8">
        <f t="shared" si="29"/>
        <v>-3.1316611381154638</v>
      </c>
    </row>
    <row r="249" spans="1:16" x14ac:dyDescent="0.2">
      <c r="A249" s="8">
        <v>123.5</v>
      </c>
      <c r="B249" s="8">
        <v>247</v>
      </c>
      <c r="D249">
        <v>976.22808510638004</v>
      </c>
      <c r="E249">
        <v>305.86382978722997</v>
      </c>
      <c r="F249">
        <v>121.68894601542</v>
      </c>
      <c r="G249">
        <v>109.27163667524</v>
      </c>
      <c r="I249" s="9">
        <f t="shared" si="26"/>
        <v>196.59219311198996</v>
      </c>
      <c r="J249" s="9">
        <f t="shared" si="27"/>
        <v>854.53913909096002</v>
      </c>
      <c r="K249" s="9">
        <f t="shared" si="24"/>
        <v>196.59219311198996</v>
      </c>
      <c r="L249" s="10">
        <f t="shared" si="21"/>
        <v>0.23005639428185867</v>
      </c>
      <c r="M249" s="10">
        <f t="shared" si="28"/>
        <v>0.26644472792104179</v>
      </c>
      <c r="P249" s="8">
        <f t="shared" si="29"/>
        <v>-2.3621417575168726</v>
      </c>
    </row>
    <row r="250" spans="1:16" x14ac:dyDescent="0.2">
      <c r="A250" s="8">
        <v>124</v>
      </c>
      <c r="B250" s="8">
        <v>248</v>
      </c>
      <c r="D250">
        <v>982.42808510637997</v>
      </c>
      <c r="E250">
        <v>306.73957446808998</v>
      </c>
      <c r="F250">
        <v>121.62382176521</v>
      </c>
      <c r="G250">
        <v>108.77549271637</v>
      </c>
      <c r="I250" s="9">
        <f t="shared" si="26"/>
        <v>197.96408175171999</v>
      </c>
      <c r="J250" s="9">
        <f t="shared" si="27"/>
        <v>860.80426334116999</v>
      </c>
      <c r="K250" s="9">
        <f t="shared" si="24"/>
        <v>197.96408175171999</v>
      </c>
      <c r="L250" s="10">
        <f t="shared" si="21"/>
        <v>0.22997572175506195</v>
      </c>
      <c r="M250" s="10">
        <f t="shared" si="28"/>
        <v>0.26651137658306767</v>
      </c>
      <c r="P250" s="8">
        <f t="shared" si="29"/>
        <v>-2.3377185585077989</v>
      </c>
    </row>
    <row r="251" spans="1:16" x14ac:dyDescent="0.2">
      <c r="A251" s="8">
        <v>124.5</v>
      </c>
      <c r="B251" s="8">
        <v>249</v>
      </c>
      <c r="D251">
        <v>981.16936170213</v>
      </c>
      <c r="E251">
        <v>305.99914893617</v>
      </c>
      <c r="F251">
        <v>121.62982005140999</v>
      </c>
      <c r="G251">
        <v>109.4558697515</v>
      </c>
      <c r="I251" s="9">
        <f t="shared" si="26"/>
        <v>196.54327918466998</v>
      </c>
      <c r="J251" s="9">
        <f t="shared" si="27"/>
        <v>859.53954165072003</v>
      </c>
      <c r="K251" s="9">
        <f t="shared" si="24"/>
        <v>196.54327918466998</v>
      </c>
      <c r="L251" s="10">
        <f t="shared" si="21"/>
        <v>0.22866112570832342</v>
      </c>
      <c r="M251" s="10">
        <f t="shared" si="28"/>
        <v>0.26534410172515172</v>
      </c>
      <c r="P251" s="8">
        <f t="shared" si="29"/>
        <v>-2.7654628715459113</v>
      </c>
    </row>
    <row r="252" spans="1:16" x14ac:dyDescent="0.2">
      <c r="A252" s="8">
        <v>125</v>
      </c>
      <c r="B252" s="8">
        <v>250</v>
      </c>
      <c r="D252">
        <v>984.50978723404</v>
      </c>
      <c r="E252">
        <v>306.77106382979002</v>
      </c>
      <c r="F252">
        <v>121.75407026564</v>
      </c>
      <c r="G252">
        <v>109.12682090830999</v>
      </c>
      <c r="I252" s="9">
        <f t="shared" si="26"/>
        <v>197.64424292148004</v>
      </c>
      <c r="J252" s="9">
        <f t="shared" si="27"/>
        <v>862.75571696840007</v>
      </c>
      <c r="K252" s="9">
        <f t="shared" si="24"/>
        <v>197.64424292148004</v>
      </c>
      <c r="L252" s="10">
        <f t="shared" si="21"/>
        <v>0.22908482555870344</v>
      </c>
      <c r="M252" s="10">
        <f t="shared" si="28"/>
        <v>0.26591512276435436</v>
      </c>
      <c r="P252" s="8">
        <f t="shared" si="29"/>
        <v>-2.5562139525893866</v>
      </c>
    </row>
    <row r="253" spans="1:16" x14ac:dyDescent="0.2">
      <c r="A253" s="8">
        <v>125.5</v>
      </c>
      <c r="B253" s="8">
        <v>251</v>
      </c>
      <c r="D253">
        <v>984.71672354948998</v>
      </c>
      <c r="E253">
        <v>307.31996587031</v>
      </c>
      <c r="F253">
        <v>121.78063410454</v>
      </c>
      <c r="G253">
        <v>109.02485004285001</v>
      </c>
      <c r="I253" s="9">
        <f t="shared" si="26"/>
        <v>198.29511582745999</v>
      </c>
      <c r="J253" s="9">
        <f t="shared" si="27"/>
        <v>862.93608944494997</v>
      </c>
      <c r="K253" s="9">
        <f t="shared" si="24"/>
        <v>198.29511582745999</v>
      </c>
      <c r="L253" s="10">
        <f t="shared" si="21"/>
        <v>0.22979119572459369</v>
      </c>
      <c r="M253" s="10">
        <f t="shared" si="28"/>
        <v>0.26676881411906722</v>
      </c>
      <c r="P253" s="8">
        <f t="shared" si="29"/>
        <v>-2.2433813582849185</v>
      </c>
    </row>
    <row r="254" spans="1:16" x14ac:dyDescent="0.2">
      <c r="A254" s="8">
        <v>126</v>
      </c>
      <c r="B254" s="8">
        <v>252</v>
      </c>
      <c r="D254">
        <v>986.55290102388994</v>
      </c>
      <c r="E254">
        <v>307.32167235495001</v>
      </c>
      <c r="F254">
        <v>121.56298200514</v>
      </c>
      <c r="G254">
        <v>109.29734361611</v>
      </c>
      <c r="I254" s="9">
        <f t="shared" si="26"/>
        <v>198.02432873884001</v>
      </c>
      <c r="J254" s="9">
        <f t="shared" si="27"/>
        <v>864.9899190187499</v>
      </c>
      <c r="K254" s="9">
        <f t="shared" si="24"/>
        <v>198.02432873884001</v>
      </c>
      <c r="L254" s="10">
        <f t="shared" si="21"/>
        <v>0.22893252786515716</v>
      </c>
      <c r="M254" s="10">
        <f t="shared" si="28"/>
        <v>0.26605746744845327</v>
      </c>
      <c r="P254" s="8">
        <f t="shared" si="29"/>
        <v>-2.5040521770644508</v>
      </c>
    </row>
    <row r="255" spans="1:16" x14ac:dyDescent="0.2">
      <c r="A255" s="8">
        <v>126.5</v>
      </c>
      <c r="B255" s="8">
        <v>253</v>
      </c>
      <c r="D255">
        <v>974.88310580204995</v>
      </c>
      <c r="E255">
        <v>305.08703071671999</v>
      </c>
      <c r="F255">
        <v>121.50042844902001</v>
      </c>
      <c r="G255">
        <v>109.1439588689</v>
      </c>
      <c r="I255" s="9">
        <f t="shared" si="26"/>
        <v>195.94307184781999</v>
      </c>
      <c r="J255" s="9">
        <f t="shared" si="27"/>
        <v>853.38267735302998</v>
      </c>
      <c r="K255" s="9">
        <f t="shared" si="24"/>
        <v>195.94307184781999</v>
      </c>
      <c r="L255" s="10">
        <f t="shared" si="21"/>
        <v>0.22960751026208334</v>
      </c>
      <c r="M255" s="10">
        <f t="shared" si="28"/>
        <v>0.26687977103420207</v>
      </c>
      <c r="P255" s="8">
        <f t="shared" si="29"/>
        <v>-2.2027215350056593</v>
      </c>
    </row>
    <row r="256" spans="1:16" x14ac:dyDescent="0.2">
      <c r="A256" s="8">
        <v>127</v>
      </c>
      <c r="B256" s="8">
        <v>254</v>
      </c>
      <c r="D256">
        <v>985.96407185629005</v>
      </c>
      <c r="E256">
        <v>308.07698887938</v>
      </c>
      <c r="F256">
        <v>121.37532133676</v>
      </c>
      <c r="G256">
        <v>109.34018851757</v>
      </c>
      <c r="I256" s="9">
        <f t="shared" si="26"/>
        <v>198.73680036181</v>
      </c>
      <c r="J256" s="9">
        <f t="shared" si="27"/>
        <v>864.58875051953009</v>
      </c>
      <c r="K256" s="9">
        <f t="shared" si="24"/>
        <v>198.73680036181</v>
      </c>
      <c r="L256" s="10">
        <f t="shared" si="21"/>
        <v>0.2298628107784069</v>
      </c>
      <c r="M256" s="10">
        <f t="shared" si="28"/>
        <v>0.26728239273934823</v>
      </c>
      <c r="P256" s="8">
        <f t="shared" si="29"/>
        <v>-2.0551820386187889</v>
      </c>
    </row>
    <row r="257" spans="1:16" x14ac:dyDescent="0.2">
      <c r="A257" s="8">
        <v>127.5</v>
      </c>
      <c r="B257" s="8">
        <v>255</v>
      </c>
      <c r="D257">
        <v>986.70829769033003</v>
      </c>
      <c r="E257">
        <v>310.94097519246998</v>
      </c>
      <c r="F257">
        <v>121.39074550129</v>
      </c>
      <c r="G257">
        <v>109.1910882605</v>
      </c>
      <c r="I257" s="9">
        <f t="shared" si="26"/>
        <v>201.74988693196997</v>
      </c>
      <c r="J257" s="9">
        <f t="shared" si="27"/>
        <v>865.31755218904004</v>
      </c>
      <c r="K257" s="9">
        <f t="shared" si="24"/>
        <v>201.74988693196997</v>
      </c>
      <c r="L257" s="10">
        <f t="shared" si="21"/>
        <v>0.23315127079254605</v>
      </c>
      <c r="M257" s="10">
        <f t="shared" si="28"/>
        <v>0.27071817394230996</v>
      </c>
      <c r="P257" s="8">
        <f t="shared" si="29"/>
        <v>-0.79615049138406035</v>
      </c>
    </row>
    <row r="258" spans="1:16" x14ac:dyDescent="0.2">
      <c r="A258" s="8">
        <v>128</v>
      </c>
      <c r="B258" s="8">
        <v>256</v>
      </c>
      <c r="D258">
        <v>975.12831479897</v>
      </c>
      <c r="E258">
        <v>308.72455089819999</v>
      </c>
      <c r="F258">
        <v>121.26992287918</v>
      </c>
      <c r="G258">
        <v>109.17137960583</v>
      </c>
      <c r="I258" s="9">
        <f t="shared" si="26"/>
        <v>199.55317129237</v>
      </c>
      <c r="J258" s="9">
        <f t="shared" si="27"/>
        <v>853.85839191978994</v>
      </c>
      <c r="K258" s="9">
        <f t="shared" si="24"/>
        <v>199.55317129237</v>
      </c>
      <c r="L258" s="10">
        <f t="shared" ref="L258:L321" si="30">K258/J258</f>
        <v>0.23370757163105296</v>
      </c>
      <c r="M258" s="10">
        <f t="shared" si="28"/>
        <v>0.2714217959696395</v>
      </c>
      <c r="P258" s="8">
        <f t="shared" si="29"/>
        <v>-0.5383103445861509</v>
      </c>
    </row>
    <row r="259" spans="1:16" x14ac:dyDescent="0.2">
      <c r="A259" s="8">
        <v>128.5</v>
      </c>
      <c r="B259" s="8">
        <v>257</v>
      </c>
      <c r="D259">
        <v>967.85885372113</v>
      </c>
      <c r="E259">
        <v>310.19674935843</v>
      </c>
      <c r="F259">
        <v>121.60239931448</v>
      </c>
      <c r="G259">
        <v>109.30419880034</v>
      </c>
      <c r="I259" s="9">
        <f t="shared" si="26"/>
        <v>200.89255055808999</v>
      </c>
      <c r="J259" s="9">
        <f t="shared" si="27"/>
        <v>846.25645440665005</v>
      </c>
      <c r="K259" s="9">
        <f t="shared" ref="K259:K322" si="31">I259*1</f>
        <v>200.89255055808999</v>
      </c>
      <c r="L259" s="10">
        <f t="shared" si="30"/>
        <v>0.23738968194806284</v>
      </c>
      <c r="M259" s="10">
        <f t="shared" si="28"/>
        <v>0.27525122747547198</v>
      </c>
      <c r="P259" s="8">
        <f t="shared" si="29"/>
        <v>0.86497315602254288</v>
      </c>
    </row>
    <row r="260" spans="1:16" x14ac:dyDescent="0.2">
      <c r="A260" s="8">
        <v>129</v>
      </c>
      <c r="B260" s="8">
        <v>258</v>
      </c>
      <c r="D260">
        <v>972</v>
      </c>
      <c r="E260">
        <v>310.69204448246001</v>
      </c>
      <c r="F260">
        <v>121.63581833761999</v>
      </c>
      <c r="G260">
        <v>108.69665809769</v>
      </c>
      <c r="I260" s="9">
        <f t="shared" si="26"/>
        <v>201.99538638477</v>
      </c>
      <c r="J260" s="9">
        <f t="shared" si="27"/>
        <v>850.36418166238002</v>
      </c>
      <c r="K260" s="9">
        <f t="shared" si="31"/>
        <v>201.99538638477</v>
      </c>
      <c r="L260" s="10">
        <f t="shared" si="30"/>
        <v>0.23753985732311594</v>
      </c>
      <c r="M260" s="10">
        <f t="shared" si="28"/>
        <v>0.27554872403934766</v>
      </c>
      <c r="P260" s="8">
        <f t="shared" si="29"/>
        <v>0.97398986488355255</v>
      </c>
    </row>
    <row r="261" spans="1:16" x14ac:dyDescent="0.2">
      <c r="A261" s="8">
        <v>129.5</v>
      </c>
      <c r="B261" s="8">
        <v>259</v>
      </c>
      <c r="D261">
        <v>971.08982035928</v>
      </c>
      <c r="E261">
        <v>309.23952095807999</v>
      </c>
      <c r="F261">
        <v>121.64010282776</v>
      </c>
      <c r="G261">
        <v>109.14224507284</v>
      </c>
      <c r="I261" s="9">
        <f t="shared" si="26"/>
        <v>200.09727588523998</v>
      </c>
      <c r="J261" s="9">
        <f t="shared" si="27"/>
        <v>849.44971753152004</v>
      </c>
      <c r="K261" s="9">
        <f t="shared" si="31"/>
        <v>200.09727588523998</v>
      </c>
      <c r="L261" s="10">
        <f t="shared" si="30"/>
        <v>0.23556106000802229</v>
      </c>
      <c r="M261" s="10">
        <f t="shared" si="28"/>
        <v>0.27371724791307661</v>
      </c>
      <c r="P261" s="8">
        <f t="shared" si="29"/>
        <v>0.30285102199251729</v>
      </c>
    </row>
    <row r="262" spans="1:16" x14ac:dyDescent="0.2">
      <c r="A262" s="8">
        <v>130</v>
      </c>
      <c r="B262" s="8">
        <v>260</v>
      </c>
      <c r="D262">
        <v>981.15483319075997</v>
      </c>
      <c r="E262">
        <v>313.24636441402998</v>
      </c>
      <c r="F262">
        <v>121.4293059126</v>
      </c>
      <c r="G262">
        <v>108.75235646957999</v>
      </c>
      <c r="I262" s="9">
        <f t="shared" si="26"/>
        <v>204.49400794445</v>
      </c>
      <c r="J262" s="9">
        <f t="shared" si="27"/>
        <v>859.72552727815992</v>
      </c>
      <c r="K262" s="9">
        <f t="shared" si="31"/>
        <v>204.49400794445</v>
      </c>
      <c r="L262" s="10">
        <f t="shared" si="30"/>
        <v>0.23785964410277072</v>
      </c>
      <c r="M262" s="10">
        <f t="shared" si="28"/>
        <v>0.27616315319664764</v>
      </c>
      <c r="P262" s="8">
        <f t="shared" si="29"/>
        <v>1.1991455563794695</v>
      </c>
    </row>
    <row r="263" spans="1:16" x14ac:dyDescent="0.2">
      <c r="A263" s="8">
        <v>130.5</v>
      </c>
      <c r="B263" s="8">
        <v>261</v>
      </c>
      <c r="D263">
        <v>977.55603079554999</v>
      </c>
      <c r="E263">
        <v>311.19760479041997</v>
      </c>
      <c r="F263">
        <v>121.55869751500001</v>
      </c>
      <c r="G263">
        <v>109.37446443873</v>
      </c>
      <c r="I263" s="9">
        <f t="shared" si="26"/>
        <v>201.82314035168997</v>
      </c>
      <c r="J263" s="9">
        <f t="shared" si="27"/>
        <v>855.99733328055004</v>
      </c>
      <c r="K263" s="9">
        <f t="shared" si="31"/>
        <v>201.82314035168997</v>
      </c>
      <c r="L263" s="10">
        <f t="shared" si="30"/>
        <v>0.23577543118997446</v>
      </c>
      <c r="M263" s="10">
        <f t="shared" si="28"/>
        <v>0.27422626147267398</v>
      </c>
      <c r="P263" s="8">
        <f t="shared" si="29"/>
        <v>0.48937748908852846</v>
      </c>
    </row>
    <row r="264" spans="1:16" x14ac:dyDescent="0.2">
      <c r="A264" s="8">
        <v>131</v>
      </c>
      <c r="B264" s="8">
        <v>262</v>
      </c>
      <c r="D264">
        <v>960.74080410606996</v>
      </c>
      <c r="E264">
        <v>307.43541488452001</v>
      </c>
      <c r="F264">
        <v>121.52870608398</v>
      </c>
      <c r="G264">
        <v>108.95372750643</v>
      </c>
      <c r="I264" s="9">
        <f t="shared" si="26"/>
        <v>198.48168737809002</v>
      </c>
      <c r="J264" s="9">
        <f t="shared" si="27"/>
        <v>839.21209802209</v>
      </c>
      <c r="K264" s="9">
        <f t="shared" si="31"/>
        <v>198.48168737809002</v>
      </c>
      <c r="L264" s="10">
        <f t="shared" si="30"/>
        <v>0.23650956396587305</v>
      </c>
      <c r="M264" s="10">
        <f t="shared" si="28"/>
        <v>0.27510771543739521</v>
      </c>
      <c r="P264" s="8">
        <f t="shared" si="29"/>
        <v>0.81238360719130265</v>
      </c>
    </row>
    <row r="265" spans="1:16" x14ac:dyDescent="0.2">
      <c r="A265" s="8">
        <v>131.5</v>
      </c>
      <c r="B265" s="8">
        <v>263</v>
      </c>
      <c r="D265">
        <v>954.79897348161001</v>
      </c>
      <c r="E265">
        <v>306.15226689477998</v>
      </c>
      <c r="F265">
        <v>121.63153384747</v>
      </c>
      <c r="G265">
        <v>109.23564695800999</v>
      </c>
      <c r="I265" s="9">
        <f t="shared" si="26"/>
        <v>196.91661993676999</v>
      </c>
      <c r="J265" s="9">
        <f t="shared" si="27"/>
        <v>833.16743963414001</v>
      </c>
      <c r="K265" s="9">
        <f t="shared" si="31"/>
        <v>196.91661993676999</v>
      </c>
      <c r="L265" s="10">
        <f t="shared" si="30"/>
        <v>0.23634699409669668</v>
      </c>
      <c r="M265" s="10">
        <f t="shared" si="28"/>
        <v>0.27509246675704141</v>
      </c>
      <c r="P265" s="8">
        <f t="shared" si="29"/>
        <v>0.80679577476397046</v>
      </c>
    </row>
    <row r="266" spans="1:16" x14ac:dyDescent="0.2">
      <c r="A266" s="8">
        <v>132</v>
      </c>
      <c r="B266" s="8">
        <v>264</v>
      </c>
      <c r="D266">
        <v>945.47866894198</v>
      </c>
      <c r="E266">
        <v>303.00767918089002</v>
      </c>
      <c r="F266">
        <v>121.49443016281</v>
      </c>
      <c r="G266">
        <v>109.31533847471999</v>
      </c>
      <c r="I266" s="9">
        <f t="shared" si="26"/>
        <v>193.69234070617003</v>
      </c>
      <c r="J266" s="9">
        <f t="shared" si="27"/>
        <v>823.98423877917003</v>
      </c>
      <c r="K266" s="9">
        <f t="shared" si="31"/>
        <v>193.69234070617003</v>
      </c>
      <c r="L266" s="10">
        <f t="shared" si="30"/>
        <v>0.23506801658384643</v>
      </c>
      <c r="M266" s="10">
        <f t="shared" si="28"/>
        <v>0.27396081043301379</v>
      </c>
      <c r="P266" s="8">
        <f t="shared" si="29"/>
        <v>0.39210376487979826</v>
      </c>
    </row>
    <row r="267" spans="1:16" x14ac:dyDescent="0.2">
      <c r="A267" s="8">
        <v>132.5</v>
      </c>
      <c r="B267" s="8">
        <v>265</v>
      </c>
      <c r="D267">
        <v>934.4957337884</v>
      </c>
      <c r="E267">
        <v>300.95648464163997</v>
      </c>
      <c r="F267">
        <v>121.17137960583</v>
      </c>
      <c r="G267">
        <v>108.65809768638</v>
      </c>
      <c r="I267" s="9">
        <f t="shared" si="26"/>
        <v>192.29838695525996</v>
      </c>
      <c r="J267" s="9">
        <f t="shared" si="27"/>
        <v>813.32435418257</v>
      </c>
      <c r="K267" s="9">
        <f t="shared" si="31"/>
        <v>192.29838695525996</v>
      </c>
      <c r="L267" s="10">
        <f t="shared" si="30"/>
        <v>0.236435053206453</v>
      </c>
      <c r="M267" s="10">
        <f t="shared" si="28"/>
        <v>0.27547516824444296</v>
      </c>
      <c r="P267" s="8">
        <f t="shared" si="29"/>
        <v>0.9470355680886593</v>
      </c>
    </row>
    <row r="268" spans="1:16" x14ac:dyDescent="0.2">
      <c r="A268" s="8">
        <v>133</v>
      </c>
      <c r="B268" s="8">
        <v>266</v>
      </c>
      <c r="D268">
        <v>892.49146757679</v>
      </c>
      <c r="E268">
        <v>290.11348122867003</v>
      </c>
      <c r="F268">
        <v>121.07197943445</v>
      </c>
      <c r="G268">
        <v>109.12425021423</v>
      </c>
      <c r="I268" s="9">
        <f t="shared" si="26"/>
        <v>180.98923101444001</v>
      </c>
      <c r="J268" s="9">
        <f t="shared" si="27"/>
        <v>771.41948814234001</v>
      </c>
      <c r="K268" s="9">
        <f t="shared" si="31"/>
        <v>180.98923101444001</v>
      </c>
      <c r="L268" s="10">
        <f t="shared" si="30"/>
        <v>0.23461843237883617</v>
      </c>
      <c r="M268" s="10">
        <f t="shared" si="28"/>
        <v>0.27380586860564871</v>
      </c>
      <c r="P268" s="8">
        <f t="shared" si="29"/>
        <v>0.33532580460960471</v>
      </c>
    </row>
    <row r="269" spans="1:16" x14ac:dyDescent="0.2">
      <c r="A269" s="8">
        <v>133.5</v>
      </c>
      <c r="B269" s="8">
        <v>267</v>
      </c>
      <c r="D269">
        <v>933.45086206896997</v>
      </c>
      <c r="E269">
        <v>300.07327586206998</v>
      </c>
      <c r="F269">
        <v>121.20736932305</v>
      </c>
      <c r="G269">
        <v>108.96486718081</v>
      </c>
      <c r="I269" s="9">
        <f t="shared" si="26"/>
        <v>191.10840868125996</v>
      </c>
      <c r="J269" s="9">
        <f t="shared" si="27"/>
        <v>812.24349274591998</v>
      </c>
      <c r="K269" s="9">
        <f t="shared" si="31"/>
        <v>191.10840868125996</v>
      </c>
      <c r="L269" s="10">
        <f t="shared" si="30"/>
        <v>0.23528462879423903</v>
      </c>
      <c r="M269" s="10">
        <f t="shared" si="28"/>
        <v>0.27461938620987419</v>
      </c>
      <c r="P269" s="8">
        <f t="shared" si="29"/>
        <v>0.63343685052480503</v>
      </c>
    </row>
    <row r="270" spans="1:16" x14ac:dyDescent="0.2">
      <c r="A270" s="8">
        <v>134</v>
      </c>
      <c r="B270" s="8">
        <v>268</v>
      </c>
      <c r="D270">
        <v>910.97931034482997</v>
      </c>
      <c r="E270">
        <v>294.36810344828001</v>
      </c>
      <c r="F270">
        <v>121.40531276778</v>
      </c>
      <c r="G270">
        <v>108.96143958869</v>
      </c>
      <c r="I270" s="9">
        <f t="shared" si="26"/>
        <v>185.40666385959003</v>
      </c>
      <c r="J270" s="9">
        <f t="shared" si="27"/>
        <v>789.57399757705002</v>
      </c>
      <c r="K270" s="9">
        <f t="shared" si="31"/>
        <v>185.40666385959003</v>
      </c>
      <c r="L270" s="10">
        <f t="shared" si="30"/>
        <v>0.23481860399220814</v>
      </c>
      <c r="M270" s="10">
        <f t="shared" si="28"/>
        <v>0.2743006825966659</v>
      </c>
      <c r="P270" s="8">
        <f t="shared" si="29"/>
        <v>0.516648883089323</v>
      </c>
    </row>
    <row r="271" spans="1:16" x14ac:dyDescent="0.2">
      <c r="A271" s="8">
        <v>134.5</v>
      </c>
      <c r="B271" s="8">
        <v>269</v>
      </c>
      <c r="D271">
        <v>877.59589041096001</v>
      </c>
      <c r="E271">
        <v>292.28424657533998</v>
      </c>
      <c r="F271">
        <v>121.60754070266</v>
      </c>
      <c r="G271">
        <v>109.08140531277</v>
      </c>
      <c r="I271" s="9">
        <f t="shared" si="26"/>
        <v>183.20284126256996</v>
      </c>
      <c r="J271" s="9">
        <f t="shared" si="27"/>
        <v>755.98834970830001</v>
      </c>
      <c r="K271" s="9">
        <f t="shared" si="31"/>
        <v>183.20284126256996</v>
      </c>
      <c r="L271" s="10">
        <f t="shared" si="30"/>
        <v>0.24233553510878736</v>
      </c>
      <c r="M271" s="10">
        <f t="shared" si="28"/>
        <v>0.28196493490206775</v>
      </c>
      <c r="P271" s="8">
        <f t="shared" si="29"/>
        <v>3.3251907745663729</v>
      </c>
    </row>
    <row r="272" spans="1:16" x14ac:dyDescent="0.2">
      <c r="A272" s="8">
        <v>135</v>
      </c>
      <c r="B272" s="8">
        <v>270</v>
      </c>
      <c r="D272">
        <v>894.68150684932004</v>
      </c>
      <c r="E272">
        <v>294.09760273973001</v>
      </c>
      <c r="F272">
        <v>121.59811482434</v>
      </c>
      <c r="G272">
        <v>109.17223650386001</v>
      </c>
      <c r="I272" s="9">
        <f t="shared" si="26"/>
        <v>184.92536623587</v>
      </c>
      <c r="J272" s="9">
        <f t="shared" si="27"/>
        <v>773.08339202498007</v>
      </c>
      <c r="K272" s="9">
        <f t="shared" si="31"/>
        <v>184.92536623587</v>
      </c>
      <c r="L272" s="10">
        <f t="shared" si="30"/>
        <v>0.23920493978209098</v>
      </c>
      <c r="M272" s="10">
        <f t="shared" si="28"/>
        <v>0.27898166076419395</v>
      </c>
      <c r="P272" s="8">
        <f t="shared" si="29"/>
        <v>2.2319790617847763</v>
      </c>
    </row>
    <row r="273" spans="1:16" x14ac:dyDescent="0.2">
      <c r="A273" s="8">
        <v>135.5</v>
      </c>
      <c r="B273" s="8">
        <v>271</v>
      </c>
      <c r="D273">
        <v>936.97861420017</v>
      </c>
      <c r="E273">
        <v>299.62360992301001</v>
      </c>
      <c r="F273">
        <v>121.10368466153</v>
      </c>
      <c r="G273">
        <v>108.86632390746</v>
      </c>
      <c r="I273" s="9">
        <f t="shared" si="26"/>
        <v>190.75728601554999</v>
      </c>
      <c r="J273" s="9">
        <f t="shared" si="27"/>
        <v>815.87492953864</v>
      </c>
      <c r="K273" s="9">
        <f t="shared" si="31"/>
        <v>190.75728601554999</v>
      </c>
      <c r="L273" s="10">
        <f t="shared" si="30"/>
        <v>0.23380702005811013</v>
      </c>
      <c r="M273" s="10">
        <f t="shared" si="28"/>
        <v>0.2737310622290357</v>
      </c>
      <c r="P273" s="8">
        <f t="shared" si="29"/>
        <v>0.30791323596032572</v>
      </c>
    </row>
    <row r="274" spans="1:16" x14ac:dyDescent="0.2">
      <c r="A274" s="8">
        <v>136</v>
      </c>
      <c r="B274" s="8">
        <v>272</v>
      </c>
      <c r="D274">
        <v>945.10778443113998</v>
      </c>
      <c r="E274">
        <v>301.10607356715002</v>
      </c>
      <c r="F274">
        <v>121.23221936589999</v>
      </c>
      <c r="G274">
        <v>109.09168808912</v>
      </c>
      <c r="I274" s="9">
        <f t="shared" si="26"/>
        <v>192.01438547803002</v>
      </c>
      <c r="J274" s="9">
        <f t="shared" si="27"/>
        <v>823.87556506523993</v>
      </c>
      <c r="K274" s="9">
        <f t="shared" si="31"/>
        <v>192.01438547803002</v>
      </c>
      <c r="L274" s="10">
        <f t="shared" si="30"/>
        <v>0.23306236235180133</v>
      </c>
      <c r="M274" s="10">
        <f t="shared" si="28"/>
        <v>0.27313372571154954</v>
      </c>
      <c r="P274" s="8">
        <f t="shared" si="29"/>
        <v>8.9021090214223955E-2</v>
      </c>
    </row>
    <row r="275" spans="1:16" x14ac:dyDescent="0.2">
      <c r="A275" s="8">
        <v>136.5</v>
      </c>
      <c r="B275" s="8">
        <v>273</v>
      </c>
      <c r="D275">
        <v>931.63023057216003</v>
      </c>
      <c r="E275">
        <v>302.60717335611002</v>
      </c>
      <c r="F275">
        <v>120.71808054842001</v>
      </c>
      <c r="G275">
        <v>108.84404455870001</v>
      </c>
      <c r="I275" s="9">
        <f>E275-G275</f>
        <v>193.76312879741002</v>
      </c>
      <c r="J275" s="9">
        <f>D275-F275</f>
        <v>810.91215002373997</v>
      </c>
      <c r="K275" s="9">
        <f t="shared" si="31"/>
        <v>193.76312879741002</v>
      </c>
      <c r="L275" s="10">
        <f t="shared" si="30"/>
        <v>0.23894466101135306</v>
      </c>
      <c r="M275" s="10">
        <f>L275+ABS($N$2)*A275</f>
        <v>0.27916334555992384</v>
      </c>
      <c r="O275" s="11"/>
      <c r="P275" s="8">
        <f>(M275-$O$2)/$O$2*100</f>
        <v>2.2985569012815521</v>
      </c>
    </row>
    <row r="276" spans="1:16" x14ac:dyDescent="0.2">
      <c r="A276" s="8">
        <v>137</v>
      </c>
      <c r="B276" s="8">
        <v>274</v>
      </c>
      <c r="D276">
        <v>915.69494430163002</v>
      </c>
      <c r="E276">
        <v>300.70265638388997</v>
      </c>
      <c r="F276">
        <v>121.35389888603</v>
      </c>
      <c r="G276">
        <v>109.00685518423001</v>
      </c>
      <c r="I276" s="9">
        <f t="shared" ref="I276:I291" si="32">E276-G276</f>
        <v>191.69580119965997</v>
      </c>
      <c r="J276" s="9">
        <f t="shared" ref="J276:J291" si="33">D276-F276</f>
        <v>794.34104541559998</v>
      </c>
      <c r="K276" s="9">
        <f t="shared" si="31"/>
        <v>191.69580119965997</v>
      </c>
      <c r="L276" s="10">
        <f t="shared" si="30"/>
        <v>0.24132682341671585</v>
      </c>
      <c r="M276" s="10">
        <f t="shared" ref="M276:M291" si="34">L276+ABS($N$2)*A276</f>
        <v>0.28169282915410926</v>
      </c>
      <c r="P276" s="8">
        <f t="shared" ref="P276:P291" si="35">(M276-$O$2)/$O$2*100</f>
        <v>3.2254784527897922</v>
      </c>
    </row>
    <row r="277" spans="1:16" x14ac:dyDescent="0.2">
      <c r="A277" s="8">
        <v>137.5</v>
      </c>
      <c r="B277" s="8">
        <v>275</v>
      </c>
      <c r="D277">
        <v>937.06598114823998</v>
      </c>
      <c r="E277">
        <v>305.52699228792</v>
      </c>
      <c r="F277">
        <v>120.95801199656999</v>
      </c>
      <c r="G277">
        <v>108.73607540703</v>
      </c>
      <c r="I277" s="9">
        <f t="shared" si="32"/>
        <v>196.79091688088999</v>
      </c>
      <c r="J277" s="9">
        <f t="shared" si="33"/>
        <v>816.10796915166998</v>
      </c>
      <c r="K277" s="9">
        <f t="shared" si="31"/>
        <v>196.79091688088999</v>
      </c>
      <c r="L277" s="10">
        <f t="shared" si="30"/>
        <v>0.24113343371153539</v>
      </c>
      <c r="M277" s="10">
        <f t="shared" si="34"/>
        <v>0.2816467606377514</v>
      </c>
      <c r="N277" s="1"/>
      <c r="P277" s="8">
        <f t="shared" si="35"/>
        <v>3.2085967854185284</v>
      </c>
    </row>
    <row r="278" spans="1:16" x14ac:dyDescent="0.2">
      <c r="A278" s="8">
        <v>138</v>
      </c>
      <c r="B278" s="8">
        <v>276</v>
      </c>
      <c r="D278">
        <v>938.23156089194003</v>
      </c>
      <c r="E278">
        <v>306.62864493997</v>
      </c>
      <c r="F278">
        <v>121.25107112254</v>
      </c>
      <c r="G278">
        <v>108.98628963153</v>
      </c>
      <c r="I278" s="9">
        <f t="shared" si="32"/>
        <v>197.64235530844002</v>
      </c>
      <c r="J278" s="9">
        <f t="shared" si="33"/>
        <v>816.98048976940004</v>
      </c>
      <c r="K278" s="9">
        <f t="shared" si="31"/>
        <v>197.64235530844002</v>
      </c>
      <c r="L278" s="10">
        <f t="shared" si="30"/>
        <v>0.24191808468305812</v>
      </c>
      <c r="M278" s="10">
        <f t="shared" si="34"/>
        <v>0.2825787327980967</v>
      </c>
      <c r="P278" s="8">
        <f t="shared" si="35"/>
        <v>3.5501151422940325</v>
      </c>
    </row>
    <row r="279" spans="1:16" x14ac:dyDescent="0.2">
      <c r="A279" s="8">
        <v>138.5</v>
      </c>
      <c r="B279" s="8">
        <v>277</v>
      </c>
      <c r="D279">
        <v>952.42710120069</v>
      </c>
      <c r="E279">
        <v>312.88078902230001</v>
      </c>
      <c r="F279">
        <v>121.60068551841999</v>
      </c>
      <c r="G279">
        <v>109.23479005998</v>
      </c>
      <c r="I279" s="9">
        <f t="shared" si="32"/>
        <v>203.64599896231999</v>
      </c>
      <c r="J279" s="9">
        <f t="shared" si="33"/>
        <v>830.82641568226995</v>
      </c>
      <c r="K279" s="9">
        <f t="shared" si="31"/>
        <v>203.64599896231999</v>
      </c>
      <c r="L279" s="10">
        <f t="shared" si="30"/>
        <v>0.24511257119224725</v>
      </c>
      <c r="M279" s="10">
        <f t="shared" si="34"/>
        <v>0.28592054049610843</v>
      </c>
      <c r="P279" s="8">
        <f t="shared" si="35"/>
        <v>4.7747103851347932</v>
      </c>
    </row>
    <row r="280" spans="1:16" x14ac:dyDescent="0.2">
      <c r="A280" s="8">
        <v>139</v>
      </c>
      <c r="B280" s="8">
        <v>278</v>
      </c>
      <c r="D280">
        <v>967.23228010247999</v>
      </c>
      <c r="E280">
        <v>310.55508112723999</v>
      </c>
      <c r="F280">
        <v>121.37617823479</v>
      </c>
      <c r="G280">
        <v>108.83804627249</v>
      </c>
      <c r="I280" s="9">
        <f t="shared" si="32"/>
        <v>201.71703485474998</v>
      </c>
      <c r="J280" s="9">
        <f t="shared" si="33"/>
        <v>845.85610186768997</v>
      </c>
      <c r="K280" s="9">
        <f t="shared" si="31"/>
        <v>201.71703485474998</v>
      </c>
      <c r="L280" s="10">
        <f t="shared" si="30"/>
        <v>0.23847677448841392</v>
      </c>
      <c r="M280" s="10">
        <f t="shared" si="34"/>
        <v>0.27943206498109774</v>
      </c>
      <c r="P280" s="8">
        <f t="shared" si="35"/>
        <v>2.3970283139317385</v>
      </c>
    </row>
    <row r="281" spans="1:16" x14ac:dyDescent="0.2">
      <c r="A281" s="8">
        <v>139.5</v>
      </c>
      <c r="B281" s="8">
        <v>279</v>
      </c>
      <c r="D281">
        <v>965.63962425277998</v>
      </c>
      <c r="E281">
        <v>308.74124679761002</v>
      </c>
      <c r="F281">
        <v>121.44473007712</v>
      </c>
      <c r="G281">
        <v>108.97172236503999</v>
      </c>
      <c r="I281" s="9">
        <f t="shared" si="32"/>
        <v>199.76952443257002</v>
      </c>
      <c r="J281" s="9">
        <f t="shared" si="33"/>
        <v>844.19489417566001</v>
      </c>
      <c r="K281" s="9">
        <f t="shared" si="31"/>
        <v>199.76952443257002</v>
      </c>
      <c r="L281" s="10">
        <f t="shared" si="30"/>
        <v>0.23663910527158671</v>
      </c>
      <c r="M281" s="10">
        <f t="shared" si="34"/>
        <v>0.27774171695309313</v>
      </c>
      <c r="P281" s="8">
        <f t="shared" si="35"/>
        <v>1.7776054323963109</v>
      </c>
    </row>
    <row r="282" spans="1:16" x14ac:dyDescent="0.2">
      <c r="A282" s="8">
        <v>140</v>
      </c>
      <c r="B282" s="8">
        <v>280</v>
      </c>
      <c r="D282">
        <v>963.58667805294999</v>
      </c>
      <c r="E282">
        <v>305.64304013664002</v>
      </c>
      <c r="F282">
        <v>121.46872322194</v>
      </c>
      <c r="G282">
        <v>108.90488431877</v>
      </c>
      <c r="I282" s="9">
        <f t="shared" si="32"/>
        <v>196.73815581787002</v>
      </c>
      <c r="J282" s="9">
        <f t="shared" si="33"/>
        <v>842.11795483101002</v>
      </c>
      <c r="K282" s="9">
        <f t="shared" si="31"/>
        <v>196.73815581787002</v>
      </c>
      <c r="L282" s="10">
        <f t="shared" si="30"/>
        <v>0.23362303901636913</v>
      </c>
      <c r="M282" s="10">
        <f t="shared" si="34"/>
        <v>0.27487297188669813</v>
      </c>
      <c r="P282" s="8">
        <f t="shared" si="35"/>
        <v>0.72636254869585826</v>
      </c>
    </row>
    <row r="283" spans="1:16" x14ac:dyDescent="0.2">
      <c r="A283" s="8">
        <v>140.5</v>
      </c>
      <c r="B283" s="8">
        <v>281</v>
      </c>
      <c r="D283">
        <v>958.48879310345001</v>
      </c>
      <c r="E283">
        <v>307.35517241379</v>
      </c>
      <c r="F283">
        <v>121.87146529563</v>
      </c>
      <c r="G283">
        <v>108.81491002571001</v>
      </c>
      <c r="I283" s="9">
        <f t="shared" si="32"/>
        <v>198.54026238808001</v>
      </c>
      <c r="J283" s="9">
        <f t="shared" si="33"/>
        <v>836.61732780781995</v>
      </c>
      <c r="K283" s="9">
        <f t="shared" si="31"/>
        <v>198.54026238808001</v>
      </c>
      <c r="L283" s="10">
        <f t="shared" si="30"/>
        <v>0.23731311292381796</v>
      </c>
      <c r="M283" s="10">
        <f t="shared" si="34"/>
        <v>0.27871036698296958</v>
      </c>
      <c r="P283" s="8">
        <f t="shared" si="35"/>
        <v>2.1325642827424915</v>
      </c>
    </row>
    <row r="284" spans="1:16" x14ac:dyDescent="0.2">
      <c r="A284" s="8">
        <v>141</v>
      </c>
      <c r="B284" s="8">
        <v>282</v>
      </c>
      <c r="D284">
        <v>951.70258620690004</v>
      </c>
      <c r="E284">
        <v>304.97758620690001</v>
      </c>
      <c r="F284">
        <v>121.09511568123</v>
      </c>
      <c r="G284">
        <v>108.79605826907</v>
      </c>
      <c r="I284" s="9">
        <f t="shared" si="32"/>
        <v>196.18152793783003</v>
      </c>
      <c r="J284" s="9">
        <f t="shared" si="33"/>
        <v>830.60747052567001</v>
      </c>
      <c r="K284" s="9">
        <f t="shared" si="31"/>
        <v>196.18152793783003</v>
      </c>
      <c r="L284" s="10">
        <f t="shared" si="30"/>
        <v>0.23619042074551991</v>
      </c>
      <c r="M284" s="10">
        <f t="shared" si="34"/>
        <v>0.2777349959934941</v>
      </c>
      <c r="P284" s="8">
        <f t="shared" si="35"/>
        <v>1.7751425572412893</v>
      </c>
    </row>
    <row r="285" spans="1:16" x14ac:dyDescent="0.2">
      <c r="A285" s="8">
        <v>141.5</v>
      </c>
      <c r="B285" s="8">
        <v>283</v>
      </c>
      <c r="D285">
        <v>935.42844827585998</v>
      </c>
      <c r="E285">
        <v>300.67241379310002</v>
      </c>
      <c r="F285">
        <v>121.69151670951</v>
      </c>
      <c r="G285">
        <v>108.88603256213</v>
      </c>
      <c r="I285" s="9">
        <f t="shared" si="32"/>
        <v>191.78638123097002</v>
      </c>
      <c r="J285" s="9">
        <f t="shared" si="33"/>
        <v>813.73693156634999</v>
      </c>
      <c r="K285" s="9">
        <f t="shared" si="31"/>
        <v>191.78638123097002</v>
      </c>
      <c r="L285" s="10">
        <f t="shared" si="30"/>
        <v>0.23568597392010129</v>
      </c>
      <c r="M285" s="10">
        <f t="shared" si="34"/>
        <v>0.27737787035689809</v>
      </c>
      <c r="P285" s="8">
        <f t="shared" si="35"/>
        <v>1.6442749564717554</v>
      </c>
    </row>
    <row r="286" spans="1:16" x14ac:dyDescent="0.2">
      <c r="A286" s="8">
        <v>142</v>
      </c>
      <c r="B286" s="8">
        <v>284</v>
      </c>
      <c r="D286">
        <v>936.16034482759005</v>
      </c>
      <c r="E286">
        <v>299.80517241378999</v>
      </c>
      <c r="F286">
        <v>120.62810625536</v>
      </c>
      <c r="G286">
        <v>108.72579263068</v>
      </c>
      <c r="I286" s="9">
        <f t="shared" si="32"/>
        <v>191.07937978310997</v>
      </c>
      <c r="J286" s="9">
        <f t="shared" si="33"/>
        <v>815.53223857223009</v>
      </c>
      <c r="K286" s="9">
        <f t="shared" si="31"/>
        <v>191.07937978310997</v>
      </c>
      <c r="L286" s="10">
        <f t="shared" si="30"/>
        <v>0.23430021616023025</v>
      </c>
      <c r="M286" s="10">
        <f t="shared" si="34"/>
        <v>0.27613943378584965</v>
      </c>
      <c r="P286" s="8">
        <f t="shared" si="35"/>
        <v>1.1904536506053942</v>
      </c>
    </row>
    <row r="287" spans="1:16" x14ac:dyDescent="0.2">
      <c r="A287" s="8">
        <v>142.5</v>
      </c>
      <c r="B287" s="8">
        <v>285</v>
      </c>
      <c r="D287">
        <v>948.25258620689999</v>
      </c>
      <c r="E287">
        <v>301.39482758621</v>
      </c>
      <c r="F287">
        <v>121.39502999142999</v>
      </c>
      <c r="G287">
        <v>108.74978577549</v>
      </c>
      <c r="I287" s="9">
        <f t="shared" si="32"/>
        <v>192.64504181071999</v>
      </c>
      <c r="J287" s="9">
        <f t="shared" si="33"/>
        <v>826.85755621547003</v>
      </c>
      <c r="K287" s="9">
        <f t="shared" si="31"/>
        <v>192.64504181071999</v>
      </c>
      <c r="L287" s="10">
        <f t="shared" si="30"/>
        <v>0.23298455745201996</v>
      </c>
      <c r="M287" s="10">
        <f t="shared" si="34"/>
        <v>0.27497109626646199</v>
      </c>
      <c r="P287" s="8">
        <f t="shared" si="35"/>
        <v>0.76231992851068753</v>
      </c>
    </row>
    <row r="288" spans="1:16" x14ac:dyDescent="0.2">
      <c r="A288" s="8">
        <v>143</v>
      </c>
      <c r="B288" s="8">
        <v>286</v>
      </c>
      <c r="D288">
        <v>958.17844827585998</v>
      </c>
      <c r="E288">
        <v>304.56379310345</v>
      </c>
      <c r="F288">
        <v>121.09254498715001</v>
      </c>
      <c r="G288">
        <v>108.58954584404999</v>
      </c>
      <c r="I288" s="9">
        <f t="shared" si="32"/>
        <v>195.97424725939999</v>
      </c>
      <c r="J288" s="9">
        <f t="shared" si="33"/>
        <v>837.08590328870991</v>
      </c>
      <c r="K288" s="9">
        <f t="shared" si="31"/>
        <v>195.97424725939999</v>
      </c>
      <c r="L288" s="10">
        <f t="shared" si="30"/>
        <v>0.23411485785325511</v>
      </c>
      <c r="M288" s="10">
        <f t="shared" si="34"/>
        <v>0.27624871785651972</v>
      </c>
      <c r="P288" s="8">
        <f t="shared" si="35"/>
        <v>1.2305004651304978</v>
      </c>
    </row>
    <row r="289" spans="1:16" x14ac:dyDescent="0.2">
      <c r="A289" s="8">
        <v>143.5</v>
      </c>
      <c r="B289" s="8">
        <v>287</v>
      </c>
      <c r="D289">
        <v>958.79137931034995</v>
      </c>
      <c r="E289">
        <v>301.62327586206999</v>
      </c>
      <c r="F289">
        <v>121.22450728363</v>
      </c>
      <c r="G289">
        <v>108.85261353899</v>
      </c>
      <c r="I289" s="9">
        <f t="shared" si="32"/>
        <v>192.77066232307999</v>
      </c>
      <c r="J289" s="9">
        <f t="shared" si="33"/>
        <v>837.56687202671992</v>
      </c>
      <c r="K289" s="9">
        <f t="shared" si="31"/>
        <v>192.77066232307999</v>
      </c>
      <c r="L289" s="10">
        <f t="shared" si="30"/>
        <v>0.23015554788672474</v>
      </c>
      <c r="M289" s="10">
        <f t="shared" si="34"/>
        <v>0.272436729078812</v>
      </c>
      <c r="P289" s="8">
        <f t="shared" si="35"/>
        <v>-0.16639120093413889</v>
      </c>
    </row>
    <row r="290" spans="1:16" x14ac:dyDescent="0.2">
      <c r="A290" s="8">
        <v>144</v>
      </c>
      <c r="B290" s="8">
        <v>288</v>
      </c>
      <c r="D290">
        <v>961.31465517240997</v>
      </c>
      <c r="E290">
        <v>302.29310344828002</v>
      </c>
      <c r="F290">
        <v>121.28363324764</v>
      </c>
      <c r="G290">
        <v>108.82604970009</v>
      </c>
      <c r="I290" s="9">
        <f t="shared" si="32"/>
        <v>193.46705374819004</v>
      </c>
      <c r="J290" s="9">
        <f t="shared" si="33"/>
        <v>840.03102192477002</v>
      </c>
      <c r="K290" s="9">
        <f t="shared" si="31"/>
        <v>193.46705374819004</v>
      </c>
      <c r="L290" s="10">
        <f t="shared" si="30"/>
        <v>0.23030941560336354</v>
      </c>
      <c r="M290" s="10">
        <f t="shared" si="34"/>
        <v>0.27273791798427338</v>
      </c>
      <c r="P290" s="8">
        <f t="shared" si="35"/>
        <v>-5.6021444755808732E-2</v>
      </c>
    </row>
    <row r="291" spans="1:16" x14ac:dyDescent="0.2">
      <c r="A291" s="8">
        <v>144.5</v>
      </c>
      <c r="B291" s="8">
        <v>289</v>
      </c>
      <c r="D291">
        <v>964.68706896551998</v>
      </c>
      <c r="E291">
        <v>303.65862068965998</v>
      </c>
      <c r="F291">
        <v>121.61696658098001</v>
      </c>
      <c r="G291">
        <v>108.98543273351</v>
      </c>
      <c r="I291" s="9">
        <f t="shared" si="32"/>
        <v>194.67318795615</v>
      </c>
      <c r="J291" s="9">
        <f t="shared" si="33"/>
        <v>843.07010238453995</v>
      </c>
      <c r="K291" s="9">
        <f t="shared" si="31"/>
        <v>194.67318795615</v>
      </c>
      <c r="L291" s="10">
        <f t="shared" si="30"/>
        <v>0.2309098465305984</v>
      </c>
      <c r="M291" s="10">
        <f t="shared" si="34"/>
        <v>0.27348567010033087</v>
      </c>
      <c r="P291" s="8">
        <f t="shared" si="35"/>
        <v>0.21799003851802506</v>
      </c>
    </row>
    <row r="292" spans="1:16" x14ac:dyDescent="0.2">
      <c r="A292" s="8">
        <v>145</v>
      </c>
      <c r="B292" s="8">
        <v>290</v>
      </c>
      <c r="D292">
        <v>975.91724137930998</v>
      </c>
      <c r="E292">
        <v>304.83189655171998</v>
      </c>
      <c r="F292">
        <v>121.07540702656</v>
      </c>
      <c r="G292">
        <v>108.59383033419</v>
      </c>
      <c r="I292" s="9">
        <f>E292-G292</f>
        <v>196.23806621752999</v>
      </c>
      <c r="J292" s="9">
        <f>D292-F292</f>
        <v>854.84183435274997</v>
      </c>
      <c r="K292" s="9">
        <f t="shared" si="31"/>
        <v>196.23806621752999</v>
      </c>
      <c r="L292" s="10">
        <f t="shared" si="30"/>
        <v>0.22956067231561397</v>
      </c>
      <c r="M292" s="10">
        <f>L292+ABS($N$2)*A292</f>
        <v>0.27228381707416904</v>
      </c>
      <c r="O292" s="11"/>
      <c r="P292" s="8">
        <f>(M292-$O$2)/$O$2*100</f>
        <v>-0.2224253388560849</v>
      </c>
    </row>
    <row r="293" spans="1:16" x14ac:dyDescent="0.2">
      <c r="A293" s="8">
        <v>145.5</v>
      </c>
      <c r="B293" s="8">
        <v>291</v>
      </c>
      <c r="D293">
        <v>976.30344827585998</v>
      </c>
      <c r="E293">
        <v>304.77758620690003</v>
      </c>
      <c r="F293">
        <v>121.60411311054</v>
      </c>
      <c r="G293">
        <v>108.94173093402</v>
      </c>
      <c r="I293" s="9">
        <f t="shared" ref="I293:I301" si="36">E293-G293</f>
        <v>195.83585527288002</v>
      </c>
      <c r="J293" s="9">
        <f t="shared" ref="J293:J301" si="37">D293-F293</f>
        <v>854.69933516532001</v>
      </c>
      <c r="K293" s="9">
        <f t="shared" si="31"/>
        <v>195.83585527288002</v>
      </c>
      <c r="L293" s="10">
        <f t="shared" si="30"/>
        <v>0.22912835802662759</v>
      </c>
      <c r="M293" s="10">
        <f t="shared" ref="M293:M301" si="38">L293+ABS($N$2)*A293</f>
        <v>0.27199882397400527</v>
      </c>
      <c r="P293" s="8">
        <f t="shared" ref="P293:P301" si="39">(M293-$O$2)/$O$2*100</f>
        <v>-0.32686019155890389</v>
      </c>
    </row>
    <row r="294" spans="1:16" x14ac:dyDescent="0.2">
      <c r="A294" s="8">
        <v>146</v>
      </c>
      <c r="B294" s="8">
        <v>292</v>
      </c>
      <c r="D294">
        <v>973.02413793103005</v>
      </c>
      <c r="E294">
        <v>304.59310344827998</v>
      </c>
      <c r="F294">
        <v>121.62639245930001</v>
      </c>
      <c r="G294">
        <v>108.79605826907</v>
      </c>
      <c r="I294" s="9">
        <f t="shared" si="36"/>
        <v>195.79704517920999</v>
      </c>
      <c r="J294" s="9">
        <f t="shared" si="37"/>
        <v>851.3977454717301</v>
      </c>
      <c r="K294" s="9">
        <f t="shared" si="31"/>
        <v>195.79704517920999</v>
      </c>
      <c r="L294" s="10">
        <f t="shared" si="30"/>
        <v>0.22997129863284474</v>
      </c>
      <c r="M294" s="10">
        <f t="shared" si="38"/>
        <v>0.27298908576904501</v>
      </c>
      <c r="N294" s="1"/>
      <c r="P294" s="8">
        <f t="shared" si="39"/>
        <v>3.601822424405423E-2</v>
      </c>
    </row>
    <row r="295" spans="1:16" x14ac:dyDescent="0.2">
      <c r="A295" s="8">
        <v>146.5</v>
      </c>
      <c r="B295" s="8">
        <v>293</v>
      </c>
      <c r="D295">
        <v>973.64655172413995</v>
      </c>
      <c r="E295">
        <v>302.67844827585998</v>
      </c>
      <c r="F295">
        <v>121.03598971722</v>
      </c>
      <c r="G295">
        <v>109.10711225364</v>
      </c>
      <c r="I295" s="9">
        <f t="shared" si="36"/>
        <v>193.57133602221998</v>
      </c>
      <c r="J295" s="9">
        <f t="shared" si="37"/>
        <v>852.61056200691996</v>
      </c>
      <c r="K295" s="9">
        <f t="shared" si="31"/>
        <v>193.57133602221998</v>
      </c>
      <c r="L295" s="10">
        <f t="shared" si="30"/>
        <v>0.2270337064164224</v>
      </c>
      <c r="M295" s="10">
        <f t="shared" si="38"/>
        <v>0.27019881474144525</v>
      </c>
      <c r="P295" s="8">
        <f t="shared" si="39"/>
        <v>-0.98646808718195911</v>
      </c>
    </row>
    <row r="296" spans="1:16" x14ac:dyDescent="0.2">
      <c r="A296" s="8">
        <v>147</v>
      </c>
      <c r="B296" s="8">
        <v>294</v>
      </c>
      <c r="D296">
        <v>957.27931034483004</v>
      </c>
      <c r="E296">
        <v>300.20086206897003</v>
      </c>
      <c r="F296">
        <v>121.23736075407</v>
      </c>
      <c r="G296">
        <v>108.71636675236</v>
      </c>
      <c r="I296" s="9">
        <f t="shared" si="36"/>
        <v>191.48449531661004</v>
      </c>
      <c r="J296" s="9">
        <f t="shared" si="37"/>
        <v>836.04194959076005</v>
      </c>
      <c r="K296" s="9">
        <f t="shared" si="31"/>
        <v>191.48449531661004</v>
      </c>
      <c r="L296" s="10">
        <f t="shared" si="30"/>
        <v>0.22903694654358087</v>
      </c>
      <c r="M296" s="10">
        <f t="shared" si="38"/>
        <v>0.27234937605742632</v>
      </c>
      <c r="P296" s="8">
        <f t="shared" si="39"/>
        <v>-0.1984014493096872</v>
      </c>
    </row>
    <row r="297" spans="1:16" x14ac:dyDescent="0.2">
      <c r="A297" s="8">
        <v>147.5</v>
      </c>
      <c r="B297" s="8">
        <v>295</v>
      </c>
      <c r="D297">
        <v>952.12413793103997</v>
      </c>
      <c r="E297">
        <v>298.06379310345</v>
      </c>
      <c r="F297">
        <v>121.13110539845999</v>
      </c>
      <c r="G297">
        <v>108.88089117395</v>
      </c>
      <c r="I297" s="9">
        <f t="shared" si="36"/>
        <v>189.18290192949999</v>
      </c>
      <c r="J297" s="9">
        <f t="shared" si="37"/>
        <v>830.99303253257995</v>
      </c>
      <c r="K297" s="9">
        <f t="shared" si="31"/>
        <v>189.18290192949999</v>
      </c>
      <c r="L297" s="10">
        <f t="shared" si="30"/>
        <v>0.22765883048734573</v>
      </c>
      <c r="M297" s="10">
        <f t="shared" si="38"/>
        <v>0.27111858119001381</v>
      </c>
      <c r="P297" s="8">
        <f t="shared" si="39"/>
        <v>-0.64942247617575566</v>
      </c>
    </row>
    <row r="298" spans="1:16" x14ac:dyDescent="0.2">
      <c r="A298" s="8">
        <v>148</v>
      </c>
      <c r="B298" s="8">
        <v>296</v>
      </c>
      <c r="D298">
        <v>951.77499999999998</v>
      </c>
      <c r="E298">
        <v>297.76206896551997</v>
      </c>
      <c r="F298">
        <v>121.05312767781</v>
      </c>
      <c r="G298">
        <v>108.78920308483001</v>
      </c>
      <c r="I298" s="9">
        <f t="shared" si="36"/>
        <v>188.97286588068997</v>
      </c>
      <c r="J298" s="9">
        <f t="shared" si="37"/>
        <v>830.72187232218994</v>
      </c>
      <c r="K298" s="9">
        <f t="shared" si="31"/>
        <v>188.97286588068997</v>
      </c>
      <c r="L298" s="10">
        <f t="shared" si="30"/>
        <v>0.22748030619735277</v>
      </c>
      <c r="M298" s="10">
        <f t="shared" si="38"/>
        <v>0.27108737808884342</v>
      </c>
      <c r="P298" s="8">
        <f t="shared" si="39"/>
        <v>-0.66085675747143491</v>
      </c>
    </row>
    <row r="299" spans="1:16" x14ac:dyDescent="0.2">
      <c r="A299" s="8">
        <v>148.5</v>
      </c>
      <c r="B299" s="8">
        <v>297</v>
      </c>
      <c r="D299">
        <v>977.47586206896995</v>
      </c>
      <c r="E299">
        <v>303.42500000000001</v>
      </c>
      <c r="F299">
        <v>121.24935732647999</v>
      </c>
      <c r="G299">
        <v>108.83804627249</v>
      </c>
      <c r="I299" s="9">
        <f t="shared" si="36"/>
        <v>194.58695372751001</v>
      </c>
      <c r="J299" s="9">
        <f t="shared" si="37"/>
        <v>856.22650474248996</v>
      </c>
      <c r="K299" s="9">
        <f t="shared" si="31"/>
        <v>194.58695372751001</v>
      </c>
      <c r="L299" s="10">
        <f t="shared" si="30"/>
        <v>0.22726107244955238</v>
      </c>
      <c r="M299" s="10">
        <f t="shared" si="38"/>
        <v>0.27101546552986566</v>
      </c>
      <c r="P299" s="8">
        <f t="shared" si="39"/>
        <v>-0.68720889547059805</v>
      </c>
    </row>
    <row r="300" spans="1:16" x14ac:dyDescent="0.2">
      <c r="A300" s="8">
        <v>149</v>
      </c>
      <c r="B300" s="8">
        <v>298</v>
      </c>
      <c r="D300">
        <v>976.50086206897004</v>
      </c>
      <c r="E300">
        <v>302.99051724138002</v>
      </c>
      <c r="F300">
        <v>121.52699228792</v>
      </c>
      <c r="G300">
        <v>108.53213367609</v>
      </c>
      <c r="I300" s="9">
        <f t="shared" si="36"/>
        <v>194.45838356529003</v>
      </c>
      <c r="J300" s="9">
        <f t="shared" si="37"/>
        <v>854.9738697810501</v>
      </c>
      <c r="K300" s="9">
        <f t="shared" si="31"/>
        <v>194.45838356529003</v>
      </c>
      <c r="L300" s="10">
        <f t="shared" si="30"/>
        <v>0.22744365697993649</v>
      </c>
      <c r="M300" s="10">
        <f t="shared" si="38"/>
        <v>0.27134537124907238</v>
      </c>
      <c r="P300" s="8">
        <f t="shared" si="39"/>
        <v>-0.56631595044360905</v>
      </c>
    </row>
    <row r="301" spans="1:16" x14ac:dyDescent="0.2">
      <c r="A301" s="8">
        <v>149.5</v>
      </c>
      <c r="B301" s="8">
        <v>299</v>
      </c>
      <c r="D301">
        <v>969.18103448275997</v>
      </c>
      <c r="E301">
        <v>302.15431034482998</v>
      </c>
      <c r="F301">
        <v>120.98457583548</v>
      </c>
      <c r="G301">
        <v>108.65467009426</v>
      </c>
      <c r="I301" s="9">
        <f t="shared" si="36"/>
        <v>193.49964025057</v>
      </c>
      <c r="J301" s="9">
        <f t="shared" si="37"/>
        <v>848.19645864728</v>
      </c>
      <c r="K301" s="9">
        <f t="shared" si="31"/>
        <v>193.49964025057</v>
      </c>
      <c r="L301" s="10">
        <f t="shared" si="30"/>
        <v>0.22813068632609826</v>
      </c>
      <c r="M301" s="10">
        <f t="shared" si="38"/>
        <v>0.27217972178405675</v>
      </c>
      <c r="P301" s="8">
        <f t="shared" si="39"/>
        <v>-0.26057074056471313</v>
      </c>
    </row>
    <row r="302" spans="1:16" x14ac:dyDescent="0.2">
      <c r="A302" s="8">
        <v>150</v>
      </c>
      <c r="B302" s="8">
        <v>300</v>
      </c>
      <c r="D302">
        <v>972.76034482758996</v>
      </c>
      <c r="E302">
        <v>302.31034482758997</v>
      </c>
      <c r="F302">
        <v>120.65552699229001</v>
      </c>
      <c r="G302">
        <v>108.67866323908</v>
      </c>
      <c r="I302" s="9">
        <f>E302-G302</f>
        <v>193.63168158850999</v>
      </c>
      <c r="J302" s="9">
        <f>D302-F302</f>
        <v>852.10481783529997</v>
      </c>
      <c r="K302" s="9">
        <f t="shared" si="31"/>
        <v>193.63168158850999</v>
      </c>
      <c r="L302" s="10">
        <f t="shared" si="30"/>
        <v>0.22723927565673771</v>
      </c>
      <c r="M302" s="10">
        <f>L302+ABS($N$2)*A302</f>
        <v>0.2714356323035188</v>
      </c>
      <c r="O302" s="11"/>
      <c r="P302" s="8">
        <f>(M302-$O$2)/$O$2*100</f>
        <v>-0.53324006221860742</v>
      </c>
    </row>
    <row r="303" spans="1:16" x14ac:dyDescent="0.2">
      <c r="A303" s="8">
        <v>150.5</v>
      </c>
      <c r="B303" s="8">
        <v>301</v>
      </c>
      <c r="D303">
        <v>973.20172413793</v>
      </c>
      <c r="E303">
        <v>302.28965517240999</v>
      </c>
      <c r="F303">
        <v>121.34447300770999</v>
      </c>
      <c r="G303">
        <v>108.56983718937001</v>
      </c>
      <c r="I303" s="9">
        <f t="shared" ref="I303:I309" si="40">E303-G303</f>
        <v>193.71981798304</v>
      </c>
      <c r="J303" s="9">
        <f t="shared" ref="J303:J309" si="41">D303-F303</f>
        <v>851.85725113021999</v>
      </c>
      <c r="K303" s="9">
        <f t="shared" si="31"/>
        <v>193.71981798304</v>
      </c>
      <c r="L303" s="10">
        <f t="shared" si="30"/>
        <v>0.227408779729254</v>
      </c>
      <c r="M303" s="10">
        <f t="shared" ref="M303:M309" si="42">L303+ABS($N$2)*A303</f>
        <v>0.27175245756485766</v>
      </c>
      <c r="P303" s="8">
        <f t="shared" ref="P303:P309" si="43">(M303-$O$2)/$O$2*100</f>
        <v>-0.41714041109918909</v>
      </c>
    </row>
    <row r="304" spans="1:16" x14ac:dyDescent="0.2">
      <c r="A304" s="8">
        <v>151</v>
      </c>
      <c r="B304" s="8">
        <v>302</v>
      </c>
      <c r="D304">
        <v>981.52413793103005</v>
      </c>
      <c r="E304">
        <v>304.16551724137997</v>
      </c>
      <c r="F304">
        <v>120.91173950300001</v>
      </c>
      <c r="G304">
        <v>108.59125964010001</v>
      </c>
      <c r="I304" s="9">
        <f t="shared" si="40"/>
        <v>195.57425760127995</v>
      </c>
      <c r="J304" s="9">
        <f t="shared" si="41"/>
        <v>860.61239842803002</v>
      </c>
      <c r="K304" s="9">
        <f t="shared" si="31"/>
        <v>195.57425760127995</v>
      </c>
      <c r="L304" s="10">
        <f t="shared" si="30"/>
        <v>0.22725010464468126</v>
      </c>
      <c r="M304" s="10">
        <f t="shared" si="42"/>
        <v>0.27174110366910753</v>
      </c>
      <c r="N304" s="1"/>
      <c r="P304" s="8">
        <f t="shared" si="43"/>
        <v>-0.42130101158245287</v>
      </c>
    </row>
    <row r="305" spans="1:16" x14ac:dyDescent="0.2">
      <c r="A305" s="8">
        <v>151.5</v>
      </c>
      <c r="B305" s="8">
        <v>303</v>
      </c>
      <c r="D305">
        <v>984.79137931034995</v>
      </c>
      <c r="E305">
        <v>305.68362068966002</v>
      </c>
      <c r="F305">
        <v>121.17137960583</v>
      </c>
      <c r="G305">
        <v>108.68209083119</v>
      </c>
      <c r="I305" s="9">
        <f t="shared" si="40"/>
        <v>197.00152985847001</v>
      </c>
      <c r="J305" s="9">
        <f t="shared" si="41"/>
        <v>863.61999970451996</v>
      </c>
      <c r="K305" s="9">
        <f t="shared" si="31"/>
        <v>197.00152985847001</v>
      </c>
      <c r="L305" s="10">
        <f t="shared" si="30"/>
        <v>0.22811135676092767</v>
      </c>
      <c r="M305" s="10">
        <f t="shared" si="42"/>
        <v>0.27274967697417657</v>
      </c>
      <c r="P305" s="8">
        <f t="shared" si="43"/>
        <v>-5.1712398755159483E-2</v>
      </c>
    </row>
    <row r="306" spans="1:16" x14ac:dyDescent="0.2">
      <c r="A306" s="8">
        <v>152</v>
      </c>
      <c r="B306" s="8">
        <v>304</v>
      </c>
      <c r="D306">
        <v>980.10517241379</v>
      </c>
      <c r="E306">
        <v>304.58103448276</v>
      </c>
      <c r="F306">
        <v>121.20822622108</v>
      </c>
      <c r="G306">
        <v>108.44644387318</v>
      </c>
      <c r="I306" s="9">
        <f t="shared" si="40"/>
        <v>196.13459060958002</v>
      </c>
      <c r="J306" s="9">
        <f t="shared" si="41"/>
        <v>858.89694619270995</v>
      </c>
      <c r="K306" s="9">
        <f t="shared" si="31"/>
        <v>196.13459060958002</v>
      </c>
      <c r="L306" s="10">
        <f t="shared" si="30"/>
        <v>0.22835637206419113</v>
      </c>
      <c r="M306" s="10">
        <f t="shared" si="42"/>
        <v>0.2731420134662626</v>
      </c>
      <c r="P306" s="8">
        <f t="shared" si="43"/>
        <v>9.2058112662131264E-2</v>
      </c>
    </row>
    <row r="307" spans="1:16" x14ac:dyDescent="0.2">
      <c r="A307" s="8">
        <v>152.5</v>
      </c>
      <c r="B307" s="8">
        <v>305</v>
      </c>
      <c r="D307">
        <v>982.76034482758996</v>
      </c>
      <c r="E307">
        <v>305.01206896551997</v>
      </c>
      <c r="F307">
        <v>121.08997429306</v>
      </c>
      <c r="G307">
        <v>108.73436161097</v>
      </c>
      <c r="I307" s="9">
        <f t="shared" si="40"/>
        <v>196.27770735454999</v>
      </c>
      <c r="J307" s="9">
        <f t="shared" si="41"/>
        <v>861.67037053452998</v>
      </c>
      <c r="K307" s="9">
        <f t="shared" si="31"/>
        <v>196.27770735454999</v>
      </c>
      <c r="L307" s="10">
        <f t="shared" si="30"/>
        <v>0.227787462661378</v>
      </c>
      <c r="M307" s="10">
        <f t="shared" si="42"/>
        <v>0.27272042525227214</v>
      </c>
      <c r="P307" s="8">
        <f t="shared" si="43"/>
        <v>-6.2431603067957683E-2</v>
      </c>
    </row>
    <row r="308" spans="1:16" x14ac:dyDescent="0.2">
      <c r="A308" s="8">
        <v>153</v>
      </c>
      <c r="B308" s="8">
        <v>306</v>
      </c>
      <c r="D308">
        <v>983.22586206896995</v>
      </c>
      <c r="E308">
        <v>303.11293103448003</v>
      </c>
      <c r="F308">
        <v>121.2236503856</v>
      </c>
      <c r="G308">
        <v>108.68037703512999</v>
      </c>
      <c r="I308" s="9">
        <f t="shared" si="40"/>
        <v>194.43255399935003</v>
      </c>
      <c r="J308" s="9">
        <f t="shared" si="41"/>
        <v>862.00221168336998</v>
      </c>
      <c r="K308" s="9">
        <f t="shared" si="31"/>
        <v>194.43255399935003</v>
      </c>
      <c r="L308" s="10">
        <f t="shared" si="30"/>
        <v>0.22555922869345127</v>
      </c>
      <c r="M308" s="10">
        <f t="shared" si="42"/>
        <v>0.27063951247316798</v>
      </c>
      <c r="P308" s="8">
        <f t="shared" si="43"/>
        <v>-0.82497574693764886</v>
      </c>
    </row>
    <row r="309" spans="1:16" x14ac:dyDescent="0.2">
      <c r="A309" s="8">
        <v>153.5</v>
      </c>
      <c r="B309" s="8">
        <v>307</v>
      </c>
      <c r="D309">
        <v>980.75172413792995</v>
      </c>
      <c r="E309">
        <v>304.13793103448</v>
      </c>
      <c r="F309">
        <v>121.01713796058</v>
      </c>
      <c r="G309">
        <v>108.84318766067</v>
      </c>
      <c r="I309" s="9">
        <f t="shared" si="40"/>
        <v>195.29474337381001</v>
      </c>
      <c r="J309" s="9">
        <f t="shared" si="41"/>
        <v>859.73458617734991</v>
      </c>
      <c r="K309" s="9">
        <f t="shared" si="31"/>
        <v>195.29474337381001</v>
      </c>
      <c r="L309" s="10">
        <f t="shared" si="30"/>
        <v>0.22715701626260237</v>
      </c>
      <c r="M309" s="10">
        <f t="shared" si="42"/>
        <v>0.27238462123114171</v>
      </c>
      <c r="P309" s="8">
        <f t="shared" si="43"/>
        <v>-0.18548596285286764</v>
      </c>
    </row>
    <row r="310" spans="1:16" x14ac:dyDescent="0.2">
      <c r="A310" s="8">
        <v>154</v>
      </c>
      <c r="B310" s="8">
        <v>308</v>
      </c>
      <c r="D310">
        <v>981.68448275861999</v>
      </c>
      <c r="E310">
        <v>304.04913793102997</v>
      </c>
      <c r="F310">
        <v>121.53213367609</v>
      </c>
      <c r="G310">
        <v>108.58954584404999</v>
      </c>
      <c r="I310" s="9">
        <f>E310-G310</f>
        <v>195.45959208697997</v>
      </c>
      <c r="J310" s="9">
        <f>D310-F310</f>
        <v>860.15234908253001</v>
      </c>
      <c r="K310" s="9">
        <f t="shared" si="31"/>
        <v>195.45959208697997</v>
      </c>
      <c r="L310" s="10">
        <f t="shared" si="30"/>
        <v>0.22723834015621108</v>
      </c>
      <c r="M310" s="10">
        <f>L310+ABS($N$2)*A310</f>
        <v>0.27261326631357297</v>
      </c>
      <c r="O310" s="11"/>
      <c r="P310" s="8">
        <f>(M310-$O$2)/$O$2*100</f>
        <v>-0.10169966946116865</v>
      </c>
    </row>
    <row r="311" spans="1:16" x14ac:dyDescent="0.2">
      <c r="A311" s="8">
        <v>154.5</v>
      </c>
      <c r="B311" s="8">
        <v>309</v>
      </c>
      <c r="D311">
        <v>985.22155172414</v>
      </c>
      <c r="E311">
        <v>305.47672413792998</v>
      </c>
      <c r="F311">
        <v>120.94515852614001</v>
      </c>
      <c r="G311">
        <v>108.92716366752001</v>
      </c>
      <c r="I311" s="9">
        <f t="shared" ref="I311:I319" si="44">E311-G311</f>
        <v>196.54956047040997</v>
      </c>
      <c r="J311" s="9">
        <f t="shared" ref="J311:J319" si="45">D311-F311</f>
        <v>864.27639319800005</v>
      </c>
      <c r="K311" s="9">
        <f t="shared" si="31"/>
        <v>196.54956047040997</v>
      </c>
      <c r="L311" s="10">
        <f t="shared" si="30"/>
        <v>0.22741516720494501</v>
      </c>
      <c r="M311" s="10">
        <f t="shared" ref="M311:M319" si="46">L311+ABS($N$2)*A311</f>
        <v>0.27293741455112952</v>
      </c>
      <c r="P311" s="8">
        <f t="shared" ref="P311:P319" si="47">(M311-$O$2)/$O$2*100</f>
        <v>1.7083463967827086E-2</v>
      </c>
    </row>
    <row r="312" spans="1:16" x14ac:dyDescent="0.2">
      <c r="A312" s="8">
        <v>155</v>
      </c>
      <c r="B312" s="8">
        <v>310</v>
      </c>
      <c r="D312">
        <v>982.30431034483001</v>
      </c>
      <c r="E312">
        <v>304.38879310344998</v>
      </c>
      <c r="F312">
        <v>121.07969151671</v>
      </c>
      <c r="G312">
        <v>108.80805484147</v>
      </c>
      <c r="I312" s="9">
        <f t="shared" si="44"/>
        <v>195.58073826198</v>
      </c>
      <c r="J312" s="9">
        <f t="shared" si="45"/>
        <v>861.22461882812001</v>
      </c>
      <c r="K312" s="9">
        <f t="shared" si="31"/>
        <v>195.58073826198</v>
      </c>
      <c r="L312" s="10">
        <f t="shared" si="30"/>
        <v>0.22709608386266217</v>
      </c>
      <c r="M312" s="10">
        <f t="shared" si="46"/>
        <v>0.27276565239766931</v>
      </c>
      <c r="N312" s="1"/>
      <c r="P312" s="8">
        <f t="shared" si="47"/>
        <v>-4.5858253520166363E-2</v>
      </c>
    </row>
    <row r="313" spans="1:16" x14ac:dyDescent="0.2">
      <c r="A313" s="8">
        <v>155.5</v>
      </c>
      <c r="B313" s="8">
        <v>311</v>
      </c>
      <c r="D313">
        <v>980.67499999999995</v>
      </c>
      <c r="E313">
        <v>304.86810344828001</v>
      </c>
      <c r="F313">
        <v>121.16623821765</v>
      </c>
      <c r="G313">
        <v>108.85347043701999</v>
      </c>
      <c r="I313" s="9">
        <f t="shared" si="44"/>
        <v>196.01463301126</v>
      </c>
      <c r="J313" s="9">
        <f t="shared" si="45"/>
        <v>859.50876178234989</v>
      </c>
      <c r="K313" s="9">
        <f t="shared" si="31"/>
        <v>196.01463301126</v>
      </c>
      <c r="L313" s="10">
        <f t="shared" si="30"/>
        <v>0.22805425811458574</v>
      </c>
      <c r="M313" s="10">
        <f t="shared" si="46"/>
        <v>0.27387114783841549</v>
      </c>
      <c r="P313" s="8">
        <f t="shared" si="47"/>
        <v>0.35924718044162968</v>
      </c>
    </row>
    <row r="314" spans="1:16" x14ac:dyDescent="0.2">
      <c r="A314" s="8">
        <v>156</v>
      </c>
      <c r="B314" s="8">
        <v>312</v>
      </c>
      <c r="D314">
        <v>976.83448275861997</v>
      </c>
      <c r="E314">
        <v>303.68448275861999</v>
      </c>
      <c r="F314">
        <v>120.90059982862</v>
      </c>
      <c r="G314">
        <v>108.93744644387</v>
      </c>
      <c r="I314" s="9">
        <f t="shared" si="44"/>
        <v>194.74703631475001</v>
      </c>
      <c r="J314" s="9">
        <f t="shared" si="45"/>
        <v>855.93388292999998</v>
      </c>
      <c r="K314" s="9">
        <f t="shared" si="31"/>
        <v>194.74703631475001</v>
      </c>
      <c r="L314" s="10">
        <f t="shared" si="30"/>
        <v>0.22752579398784803</v>
      </c>
      <c r="M314" s="10">
        <f t="shared" si="46"/>
        <v>0.27349000490050035</v>
      </c>
      <c r="P314" s="8">
        <f t="shared" si="47"/>
        <v>0.21957851282472141</v>
      </c>
    </row>
    <row r="315" spans="1:16" x14ac:dyDescent="0.2">
      <c r="A315" s="8">
        <v>156.5</v>
      </c>
      <c r="B315" s="8">
        <v>313</v>
      </c>
      <c r="D315">
        <v>975.16982758620998</v>
      </c>
      <c r="E315">
        <v>303.78620689655003</v>
      </c>
      <c r="F315">
        <v>120.93658954583999</v>
      </c>
      <c r="G315">
        <v>108.88089117395</v>
      </c>
      <c r="I315" s="9">
        <f t="shared" si="44"/>
        <v>194.90531572260002</v>
      </c>
      <c r="J315" s="9">
        <f t="shared" si="45"/>
        <v>854.23323804037</v>
      </c>
      <c r="K315" s="9">
        <f t="shared" si="31"/>
        <v>194.90531572260002</v>
      </c>
      <c r="L315" s="10">
        <f t="shared" si="30"/>
        <v>0.22816405056974504</v>
      </c>
      <c r="M315" s="10">
        <f t="shared" si="46"/>
        <v>0.27427558267121999</v>
      </c>
      <c r="P315" s="8">
        <f t="shared" si="47"/>
        <v>0.50745109193125826</v>
      </c>
    </row>
    <row r="316" spans="1:16" x14ac:dyDescent="0.2">
      <c r="A316" s="8">
        <v>157</v>
      </c>
      <c r="B316" s="8">
        <v>314</v>
      </c>
      <c r="D316">
        <v>981.83620689655004</v>
      </c>
      <c r="E316">
        <v>303.95431034482999</v>
      </c>
      <c r="F316">
        <v>120.82262210797001</v>
      </c>
      <c r="G316">
        <v>108.68894601542</v>
      </c>
      <c r="I316" s="9">
        <f t="shared" si="44"/>
        <v>195.26536432940998</v>
      </c>
      <c r="J316" s="9">
        <f t="shared" si="45"/>
        <v>861.01358478858003</v>
      </c>
      <c r="K316" s="9">
        <f t="shared" si="31"/>
        <v>195.26536432940998</v>
      </c>
      <c r="L316" s="10">
        <f t="shared" si="30"/>
        <v>0.22678546283024903</v>
      </c>
      <c r="M316" s="10">
        <f t="shared" si="46"/>
        <v>0.27304431612054658</v>
      </c>
      <c r="P316" s="8">
        <f t="shared" si="47"/>
        <v>5.6257218172245514E-2</v>
      </c>
    </row>
    <row r="317" spans="1:16" x14ac:dyDescent="0.2">
      <c r="A317" s="8">
        <v>157.5</v>
      </c>
      <c r="B317" s="8">
        <v>315</v>
      </c>
      <c r="D317">
        <v>975.13103448276001</v>
      </c>
      <c r="E317">
        <v>302.11896551723999</v>
      </c>
      <c r="F317">
        <v>121.23307626393</v>
      </c>
      <c r="G317">
        <v>108.59811482434</v>
      </c>
      <c r="I317" s="9">
        <f t="shared" si="44"/>
        <v>193.52085069289998</v>
      </c>
      <c r="J317" s="9">
        <f t="shared" si="45"/>
        <v>853.89795821883001</v>
      </c>
      <c r="K317" s="9">
        <f t="shared" si="31"/>
        <v>193.52085069289998</v>
      </c>
      <c r="L317" s="10">
        <f t="shared" si="30"/>
        <v>0.2266322911657625</v>
      </c>
      <c r="M317" s="10">
        <f t="shared" si="46"/>
        <v>0.27303846564488266</v>
      </c>
      <c r="P317" s="8">
        <f t="shared" si="47"/>
        <v>5.4113329201416108E-2</v>
      </c>
    </row>
    <row r="318" spans="1:16" x14ac:dyDescent="0.2">
      <c r="A318" s="8">
        <v>158</v>
      </c>
      <c r="B318" s="8">
        <v>316</v>
      </c>
      <c r="D318">
        <v>972.42413793103003</v>
      </c>
      <c r="E318">
        <v>303.32499999999999</v>
      </c>
      <c r="F318">
        <v>120.92287917738</v>
      </c>
      <c r="G318">
        <v>108.30419880034</v>
      </c>
      <c r="I318" s="9">
        <f t="shared" si="44"/>
        <v>195.02080119965999</v>
      </c>
      <c r="J318" s="9">
        <f t="shared" si="45"/>
        <v>851.50125875365006</v>
      </c>
      <c r="K318" s="9">
        <f t="shared" si="31"/>
        <v>195.02080119965999</v>
      </c>
      <c r="L318" s="10">
        <f t="shared" si="30"/>
        <v>0.22903172390503998</v>
      </c>
      <c r="M318" s="10">
        <f t="shared" si="46"/>
        <v>0.27558521957298271</v>
      </c>
      <c r="P318" s="8">
        <f t="shared" si="47"/>
        <v>0.98736354192098585</v>
      </c>
    </row>
    <row r="319" spans="1:16" x14ac:dyDescent="0.2">
      <c r="A319" s="8">
        <v>158.5</v>
      </c>
      <c r="B319" s="8">
        <v>317</v>
      </c>
      <c r="D319">
        <v>972.4</v>
      </c>
      <c r="E319">
        <v>303.55603448276003</v>
      </c>
      <c r="F319">
        <v>121.67266495286999</v>
      </c>
      <c r="G319">
        <v>108.70522707798</v>
      </c>
      <c r="I319" s="9">
        <f t="shared" si="44"/>
        <v>194.85080740478003</v>
      </c>
      <c r="J319" s="9">
        <f t="shared" si="45"/>
        <v>850.72733504712994</v>
      </c>
      <c r="K319" s="9">
        <f t="shared" si="31"/>
        <v>194.85080740478003</v>
      </c>
      <c r="L319" s="10">
        <f t="shared" si="30"/>
        <v>0.22904025693965196</v>
      </c>
      <c r="M319" s="10">
        <f t="shared" si="46"/>
        <v>0.27574107379641732</v>
      </c>
      <c r="P319" s="8">
        <f t="shared" si="47"/>
        <v>1.0444758469492568</v>
      </c>
    </row>
    <row r="320" spans="1:16" x14ac:dyDescent="0.2">
      <c r="A320" s="8">
        <v>159</v>
      </c>
      <c r="B320" s="8">
        <v>318</v>
      </c>
      <c r="D320">
        <v>973.31551724138001</v>
      </c>
      <c r="E320">
        <v>303.04568965517001</v>
      </c>
      <c r="F320">
        <v>120.78320479863</v>
      </c>
      <c r="G320">
        <v>108.50556983719</v>
      </c>
      <c r="I320" s="9">
        <f>E320-G320</f>
        <v>194.54011981798001</v>
      </c>
      <c r="J320" s="9">
        <f>D320-F320</f>
        <v>852.53231244275003</v>
      </c>
      <c r="K320" s="9">
        <f t="shared" si="31"/>
        <v>194.54011981798001</v>
      </c>
      <c r="L320" s="10">
        <f t="shared" si="30"/>
        <v>0.22819090488261573</v>
      </c>
      <c r="M320" s="10">
        <f>L320+ABS($N$2)*A320</f>
        <v>0.27503904292820369</v>
      </c>
      <c r="O320" s="11"/>
      <c r="P320" s="8">
        <f>(M320-$O$2)/$O$2*100</f>
        <v>0.787218775558441</v>
      </c>
    </row>
    <row r="321" spans="1:16" x14ac:dyDescent="0.2">
      <c r="A321" s="8">
        <v>159.5</v>
      </c>
      <c r="B321" s="8">
        <v>319</v>
      </c>
      <c r="D321">
        <v>966.83103448275995</v>
      </c>
      <c r="E321">
        <v>301.26293103448</v>
      </c>
      <c r="F321">
        <v>121.05655526992</v>
      </c>
      <c r="G321">
        <v>108.78748928877999</v>
      </c>
      <c r="I321" s="9">
        <f t="shared" ref="I321:I322" si="48">E321-G321</f>
        <v>192.47544174570001</v>
      </c>
      <c r="J321" s="9">
        <f t="shared" ref="J321:J322" si="49">D321-F321</f>
        <v>845.77447921283999</v>
      </c>
      <c r="K321" s="9">
        <f t="shared" si="31"/>
        <v>192.47544174570001</v>
      </c>
      <c r="L321" s="10">
        <f t="shared" si="30"/>
        <v>0.22757300731613039</v>
      </c>
      <c r="M321" s="10">
        <f t="shared" ref="M321:M322" si="50">L321+ABS($N$2)*A321</f>
        <v>0.27456846655054096</v>
      </c>
      <c r="P321" s="8">
        <f t="shared" ref="P321:P322" si="51">(M321-$O$2)/$O$2*100</f>
        <v>0.61477749659978598</v>
      </c>
    </row>
    <row r="322" spans="1:16" x14ac:dyDescent="0.2">
      <c r="A322" s="8">
        <v>160</v>
      </c>
      <c r="D322">
        <v>972.78017241378996</v>
      </c>
      <c r="E322">
        <v>303.15948275862002</v>
      </c>
      <c r="F322">
        <v>120.65981148243</v>
      </c>
      <c r="G322">
        <v>108.58611825193</v>
      </c>
      <c r="I322" s="9">
        <f t="shared" si="48"/>
        <v>194.57336450669001</v>
      </c>
      <c r="J322" s="9">
        <f t="shared" si="49"/>
        <v>852.12036093135998</v>
      </c>
      <c r="K322" s="9">
        <f t="shared" si="31"/>
        <v>194.57336450669001</v>
      </c>
      <c r="L322" s="10">
        <f t="shared" ref="L322" si="52">K322/J322</f>
        <v>0.22834023622440269</v>
      </c>
      <c r="M322" s="10">
        <f t="shared" si="50"/>
        <v>0.27548301664763586</v>
      </c>
      <c r="P322" s="8">
        <f t="shared" si="51"/>
        <v>0.94991159151144344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240828A001</vt:lpstr>
      <vt:lpstr>240828A002</vt:lpstr>
      <vt:lpstr>240828A005</vt:lpstr>
      <vt:lpstr>240828A006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2024-11-19T02:02:01Z</dcterms:modified>
</cp:coreProperties>
</file>