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annawalsh/Documents/UCLA :: 2019-2027/Hallem Lab/Data/Calcium Imaging Data/Ss iL3s - BAG/2024-0816/"/>
    </mc:Choice>
  </mc:AlternateContent>
  <xr:revisionPtr revIDLastSave="0" documentId="8_{28CD0F8A-9290-0D4F-B816-7D4AAE3F9A21}" xr6:coauthVersionLast="47" xr6:coauthVersionMax="47" xr10:uidLastSave="{00000000-0000-0000-0000-000000000000}"/>
  <bookViews>
    <workbookView xWindow="740" yWindow="500" windowWidth="28060" windowHeight="15620" activeTab="4" xr2:uid="{703F31A7-3FB6-4B05-8EA8-379C6E25ED1D}"/>
  </bookViews>
  <sheets>
    <sheet name="240816E001" sheetId="1" r:id="rId1"/>
    <sheet name="240816E003" sheetId="9" r:id="rId2"/>
    <sheet name="240816E004" sheetId="16" r:id="rId3"/>
    <sheet name="240816E005" sheetId="17" r:id="rId4"/>
    <sheet name="240816E006" sheetId="18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2" i="18" l="1"/>
  <c r="I322" i="18"/>
  <c r="K322" i="18" s="1"/>
  <c r="J321" i="18"/>
  <c r="I321" i="18"/>
  <c r="K321" i="18" s="1"/>
  <c r="L321" i="18" s="1"/>
  <c r="J320" i="18"/>
  <c r="I320" i="18"/>
  <c r="K320" i="18" s="1"/>
  <c r="L320" i="18" s="1"/>
  <c r="J319" i="18"/>
  <c r="I319" i="18"/>
  <c r="K319" i="18" s="1"/>
  <c r="J318" i="18"/>
  <c r="I318" i="18"/>
  <c r="K318" i="18" s="1"/>
  <c r="J317" i="18"/>
  <c r="I317" i="18"/>
  <c r="K317" i="18" s="1"/>
  <c r="J316" i="18"/>
  <c r="I316" i="18"/>
  <c r="K316" i="18" s="1"/>
  <c r="L316" i="18" s="1"/>
  <c r="V98" i="18" s="1"/>
  <c r="J315" i="18"/>
  <c r="I315" i="18"/>
  <c r="K315" i="18" s="1"/>
  <c r="L315" i="18" s="1"/>
  <c r="V97" i="18" s="1"/>
  <c r="J314" i="18"/>
  <c r="I314" i="18"/>
  <c r="K314" i="18" s="1"/>
  <c r="J313" i="18"/>
  <c r="I313" i="18"/>
  <c r="K313" i="18" s="1"/>
  <c r="L313" i="18" s="1"/>
  <c r="J312" i="18"/>
  <c r="I312" i="18"/>
  <c r="K312" i="18" s="1"/>
  <c r="J311" i="18"/>
  <c r="I311" i="18"/>
  <c r="K311" i="18" s="1"/>
  <c r="J310" i="18"/>
  <c r="I310" i="18"/>
  <c r="K310" i="18" s="1"/>
  <c r="J309" i="18"/>
  <c r="I309" i="18"/>
  <c r="K309" i="18" s="1"/>
  <c r="J308" i="18"/>
  <c r="I308" i="18"/>
  <c r="K308" i="18" s="1"/>
  <c r="L308" i="18" s="1"/>
  <c r="V90" i="18" s="1"/>
  <c r="J307" i="18"/>
  <c r="I307" i="18"/>
  <c r="K307" i="18" s="1"/>
  <c r="J306" i="18"/>
  <c r="I306" i="18"/>
  <c r="K306" i="18" s="1"/>
  <c r="L306" i="18" s="1"/>
  <c r="J305" i="18"/>
  <c r="I305" i="18"/>
  <c r="K305" i="18" s="1"/>
  <c r="L305" i="18" s="1"/>
  <c r="V87" i="18" s="1"/>
  <c r="J304" i="18"/>
  <c r="I304" i="18"/>
  <c r="K304" i="18" s="1"/>
  <c r="L304" i="18" s="1"/>
  <c r="J303" i="18"/>
  <c r="I303" i="18"/>
  <c r="K303" i="18" s="1"/>
  <c r="J302" i="18"/>
  <c r="I302" i="18"/>
  <c r="K302" i="18" s="1"/>
  <c r="J301" i="18"/>
  <c r="I301" i="18"/>
  <c r="K301" i="18" s="1"/>
  <c r="J300" i="18"/>
  <c r="I300" i="18"/>
  <c r="K300" i="18" s="1"/>
  <c r="L300" i="18" s="1"/>
  <c r="J299" i="18"/>
  <c r="I299" i="18"/>
  <c r="K299" i="18" s="1"/>
  <c r="J298" i="18"/>
  <c r="I298" i="18"/>
  <c r="K298" i="18" s="1"/>
  <c r="L298" i="18" s="1"/>
  <c r="J297" i="18"/>
  <c r="I297" i="18"/>
  <c r="K297" i="18" s="1"/>
  <c r="L297" i="18" s="1"/>
  <c r="J296" i="18"/>
  <c r="I296" i="18"/>
  <c r="K296" i="18" s="1"/>
  <c r="L296" i="18" s="1"/>
  <c r="J295" i="18"/>
  <c r="I295" i="18"/>
  <c r="K295" i="18" s="1"/>
  <c r="J294" i="18"/>
  <c r="I294" i="18"/>
  <c r="K294" i="18" s="1"/>
  <c r="J293" i="18"/>
  <c r="I293" i="18"/>
  <c r="K293" i="18" s="1"/>
  <c r="K292" i="18"/>
  <c r="J292" i="18"/>
  <c r="I292" i="18"/>
  <c r="J291" i="18"/>
  <c r="I291" i="18"/>
  <c r="K291" i="18" s="1"/>
  <c r="J290" i="18"/>
  <c r="I290" i="18"/>
  <c r="K290" i="18" s="1"/>
  <c r="J289" i="18"/>
  <c r="I289" i="18"/>
  <c r="K289" i="18" s="1"/>
  <c r="L289" i="18" s="1"/>
  <c r="K288" i="18"/>
  <c r="J288" i="18"/>
  <c r="I288" i="18"/>
  <c r="J287" i="18"/>
  <c r="I287" i="18"/>
  <c r="K287" i="18" s="1"/>
  <c r="J286" i="18"/>
  <c r="I286" i="18"/>
  <c r="K286" i="18" s="1"/>
  <c r="J285" i="18"/>
  <c r="I285" i="18"/>
  <c r="K285" i="18" s="1"/>
  <c r="J284" i="18"/>
  <c r="I284" i="18"/>
  <c r="K284" i="18" s="1"/>
  <c r="J283" i="18"/>
  <c r="I283" i="18"/>
  <c r="K283" i="18" s="1"/>
  <c r="L283" i="18" s="1"/>
  <c r="J282" i="18"/>
  <c r="I282" i="18"/>
  <c r="K282" i="18" s="1"/>
  <c r="L282" i="18" s="1"/>
  <c r="J281" i="18"/>
  <c r="I281" i="18"/>
  <c r="K281" i="18" s="1"/>
  <c r="L281" i="18" s="1"/>
  <c r="J280" i="18"/>
  <c r="I280" i="18"/>
  <c r="K280" i="18" s="1"/>
  <c r="J279" i="18"/>
  <c r="I279" i="18"/>
  <c r="K279" i="18" s="1"/>
  <c r="J278" i="18"/>
  <c r="I278" i="18"/>
  <c r="K278" i="18" s="1"/>
  <c r="J277" i="18"/>
  <c r="I277" i="18"/>
  <c r="K277" i="18" s="1"/>
  <c r="K276" i="18"/>
  <c r="L276" i="18" s="1"/>
  <c r="J276" i="18"/>
  <c r="I276" i="18"/>
  <c r="J275" i="18"/>
  <c r="I275" i="18"/>
  <c r="K275" i="18" s="1"/>
  <c r="J274" i="18"/>
  <c r="I274" i="18"/>
  <c r="K274" i="18" s="1"/>
  <c r="L274" i="18" s="1"/>
  <c r="J273" i="18"/>
  <c r="I273" i="18"/>
  <c r="K273" i="18" s="1"/>
  <c r="J272" i="18"/>
  <c r="I272" i="18"/>
  <c r="K272" i="18" s="1"/>
  <c r="J271" i="18"/>
  <c r="I271" i="18"/>
  <c r="K271" i="18" s="1"/>
  <c r="J270" i="18"/>
  <c r="I270" i="18"/>
  <c r="K270" i="18" s="1"/>
  <c r="J269" i="18"/>
  <c r="I269" i="18"/>
  <c r="K269" i="18" s="1"/>
  <c r="J268" i="18"/>
  <c r="I268" i="18"/>
  <c r="K268" i="18" s="1"/>
  <c r="J267" i="18"/>
  <c r="I267" i="18"/>
  <c r="K267" i="18" s="1"/>
  <c r="J266" i="18"/>
  <c r="I266" i="18"/>
  <c r="K266" i="18" s="1"/>
  <c r="L266" i="18" s="1"/>
  <c r="J265" i="18"/>
  <c r="I265" i="18"/>
  <c r="K265" i="18" s="1"/>
  <c r="J264" i="18"/>
  <c r="I264" i="18"/>
  <c r="K264" i="18" s="1"/>
  <c r="J263" i="18"/>
  <c r="I263" i="18"/>
  <c r="K263" i="18" s="1"/>
  <c r="J262" i="18"/>
  <c r="I262" i="18"/>
  <c r="K262" i="18" s="1"/>
  <c r="J261" i="18"/>
  <c r="I261" i="18"/>
  <c r="K261" i="18" s="1"/>
  <c r="K260" i="18"/>
  <c r="L260" i="18" s="1"/>
  <c r="J260" i="18"/>
  <c r="I260" i="18"/>
  <c r="J259" i="18"/>
  <c r="I259" i="18"/>
  <c r="K259" i="18" s="1"/>
  <c r="L259" i="18" s="1"/>
  <c r="J258" i="18"/>
  <c r="I258" i="18"/>
  <c r="K258" i="18" s="1"/>
  <c r="L258" i="18" s="1"/>
  <c r="J257" i="18"/>
  <c r="I257" i="18"/>
  <c r="K257" i="18" s="1"/>
  <c r="J256" i="18"/>
  <c r="I256" i="18"/>
  <c r="K256" i="18" s="1"/>
  <c r="J255" i="18"/>
  <c r="I255" i="18"/>
  <c r="K255" i="18" s="1"/>
  <c r="J254" i="18"/>
  <c r="I254" i="18"/>
  <c r="K254" i="18" s="1"/>
  <c r="J253" i="18"/>
  <c r="I253" i="18"/>
  <c r="K253" i="18" s="1"/>
  <c r="J252" i="18"/>
  <c r="I252" i="18"/>
  <c r="K252" i="18" s="1"/>
  <c r="L252" i="18" s="1"/>
  <c r="J251" i="18"/>
  <c r="I251" i="18"/>
  <c r="K251" i="18" s="1"/>
  <c r="L251" i="18" s="1"/>
  <c r="J250" i="18"/>
  <c r="I250" i="18"/>
  <c r="K250" i="18" s="1"/>
  <c r="L250" i="18" s="1"/>
  <c r="J249" i="18"/>
  <c r="I249" i="18"/>
  <c r="K249" i="18" s="1"/>
  <c r="J248" i="18"/>
  <c r="I248" i="18"/>
  <c r="K248" i="18" s="1"/>
  <c r="L248" i="18" s="1"/>
  <c r="J247" i="18"/>
  <c r="I247" i="18"/>
  <c r="K247" i="18" s="1"/>
  <c r="J246" i="18"/>
  <c r="I246" i="18"/>
  <c r="K246" i="18" s="1"/>
  <c r="J245" i="18"/>
  <c r="I245" i="18"/>
  <c r="K245" i="18" s="1"/>
  <c r="K244" i="18"/>
  <c r="J244" i="18"/>
  <c r="I244" i="18"/>
  <c r="J243" i="18"/>
  <c r="I243" i="18"/>
  <c r="K243" i="18" s="1"/>
  <c r="L243" i="18" s="1"/>
  <c r="J242" i="18"/>
  <c r="I242" i="18"/>
  <c r="K242" i="18" s="1"/>
  <c r="J241" i="18"/>
  <c r="I241" i="18"/>
  <c r="K241" i="18" s="1"/>
  <c r="J240" i="18"/>
  <c r="I240" i="18"/>
  <c r="K240" i="18" s="1"/>
  <c r="J239" i="18"/>
  <c r="I239" i="18"/>
  <c r="K239" i="18" s="1"/>
  <c r="J238" i="18"/>
  <c r="I238" i="18"/>
  <c r="K238" i="18" s="1"/>
  <c r="J237" i="18"/>
  <c r="I237" i="18"/>
  <c r="K237" i="18" s="1"/>
  <c r="J236" i="18"/>
  <c r="I236" i="18"/>
  <c r="K236" i="18" s="1"/>
  <c r="J235" i="18"/>
  <c r="I235" i="18"/>
  <c r="K235" i="18" s="1"/>
  <c r="J234" i="18"/>
  <c r="I234" i="18"/>
  <c r="K234" i="18" s="1"/>
  <c r="J233" i="18"/>
  <c r="I233" i="18"/>
  <c r="K233" i="18" s="1"/>
  <c r="J232" i="18"/>
  <c r="I232" i="18"/>
  <c r="K232" i="18" s="1"/>
  <c r="J231" i="18"/>
  <c r="I231" i="18"/>
  <c r="K231" i="18" s="1"/>
  <c r="J230" i="18"/>
  <c r="I230" i="18"/>
  <c r="K230" i="18" s="1"/>
  <c r="J229" i="18"/>
  <c r="I229" i="18"/>
  <c r="K229" i="18" s="1"/>
  <c r="J228" i="18"/>
  <c r="I228" i="18"/>
  <c r="K228" i="18" s="1"/>
  <c r="L228" i="18" s="1"/>
  <c r="J227" i="18"/>
  <c r="I227" i="18"/>
  <c r="K227" i="18" s="1"/>
  <c r="L227" i="18" s="1"/>
  <c r="J226" i="18"/>
  <c r="I226" i="18"/>
  <c r="K226" i="18" s="1"/>
  <c r="J225" i="18"/>
  <c r="I225" i="18"/>
  <c r="K225" i="18" s="1"/>
  <c r="J224" i="18"/>
  <c r="I224" i="18"/>
  <c r="K224" i="18" s="1"/>
  <c r="L224" i="18" s="1"/>
  <c r="J223" i="18"/>
  <c r="I223" i="18"/>
  <c r="K223" i="18" s="1"/>
  <c r="J222" i="18"/>
  <c r="I222" i="18"/>
  <c r="K222" i="18" s="1"/>
  <c r="J221" i="18"/>
  <c r="I221" i="18"/>
  <c r="K221" i="18" s="1"/>
  <c r="J220" i="18"/>
  <c r="I220" i="18"/>
  <c r="K220" i="18" s="1"/>
  <c r="L220" i="18" s="1"/>
  <c r="J219" i="18"/>
  <c r="I219" i="18"/>
  <c r="K219" i="18" s="1"/>
  <c r="L219" i="18" s="1"/>
  <c r="J218" i="18"/>
  <c r="I218" i="18"/>
  <c r="K218" i="18" s="1"/>
  <c r="J217" i="18"/>
  <c r="I217" i="18"/>
  <c r="K217" i="18" s="1"/>
  <c r="J216" i="18"/>
  <c r="I216" i="18"/>
  <c r="K216" i="18" s="1"/>
  <c r="L216" i="18" s="1"/>
  <c r="J215" i="18"/>
  <c r="I215" i="18"/>
  <c r="K215" i="18" s="1"/>
  <c r="L215" i="18" s="1"/>
  <c r="K214" i="18"/>
  <c r="J214" i="18"/>
  <c r="I214" i="18"/>
  <c r="J213" i="18"/>
  <c r="I213" i="18"/>
  <c r="K213" i="18" s="1"/>
  <c r="J212" i="18"/>
  <c r="I212" i="18"/>
  <c r="K212" i="18" s="1"/>
  <c r="L212" i="18" s="1"/>
  <c r="K211" i="18"/>
  <c r="J211" i="18"/>
  <c r="I211" i="18"/>
  <c r="K210" i="18"/>
  <c r="L210" i="18" s="1"/>
  <c r="J210" i="18"/>
  <c r="I210" i="18"/>
  <c r="J209" i="18"/>
  <c r="I209" i="18"/>
  <c r="K209" i="18" s="1"/>
  <c r="L209" i="18" s="1"/>
  <c r="K208" i="18"/>
  <c r="J208" i="18"/>
  <c r="I208" i="18"/>
  <c r="J207" i="18"/>
  <c r="I207" i="18"/>
  <c r="K207" i="18" s="1"/>
  <c r="J206" i="18"/>
  <c r="I206" i="18"/>
  <c r="K206" i="18" s="1"/>
  <c r="L206" i="18" s="1"/>
  <c r="J205" i="18"/>
  <c r="I205" i="18"/>
  <c r="K205" i="18" s="1"/>
  <c r="L205" i="18" s="1"/>
  <c r="J204" i="18"/>
  <c r="I204" i="18"/>
  <c r="K204" i="18" s="1"/>
  <c r="J203" i="18"/>
  <c r="I203" i="18"/>
  <c r="K203" i="18" s="1"/>
  <c r="J202" i="18"/>
  <c r="I202" i="18"/>
  <c r="K202" i="18" s="1"/>
  <c r="J201" i="18"/>
  <c r="I201" i="18"/>
  <c r="K201" i="18" s="1"/>
  <c r="J200" i="18"/>
  <c r="I200" i="18"/>
  <c r="K200" i="18" s="1"/>
  <c r="J199" i="18"/>
  <c r="I199" i="18"/>
  <c r="K199" i="18" s="1"/>
  <c r="J198" i="18"/>
  <c r="I198" i="18"/>
  <c r="K198" i="18" s="1"/>
  <c r="L198" i="18" s="1"/>
  <c r="J197" i="18"/>
  <c r="I197" i="18"/>
  <c r="K197" i="18" s="1"/>
  <c r="K196" i="18"/>
  <c r="L196" i="18" s="1"/>
  <c r="J196" i="18"/>
  <c r="I196" i="18"/>
  <c r="J195" i="18"/>
  <c r="I195" i="18"/>
  <c r="K195" i="18" s="1"/>
  <c r="L195" i="18" s="1"/>
  <c r="J194" i="18"/>
  <c r="I194" i="18"/>
  <c r="K194" i="18" s="1"/>
  <c r="J193" i="18"/>
  <c r="I193" i="18"/>
  <c r="K193" i="18" s="1"/>
  <c r="J192" i="18"/>
  <c r="I192" i="18"/>
  <c r="K192" i="18" s="1"/>
  <c r="J191" i="18"/>
  <c r="I191" i="18"/>
  <c r="K191" i="18" s="1"/>
  <c r="L191" i="18" s="1"/>
  <c r="J190" i="18"/>
  <c r="I190" i="18"/>
  <c r="K190" i="18" s="1"/>
  <c r="L190" i="18" s="1"/>
  <c r="J189" i="18"/>
  <c r="I189" i="18"/>
  <c r="K189" i="18" s="1"/>
  <c r="J188" i="18"/>
  <c r="I188" i="18"/>
  <c r="K188" i="18" s="1"/>
  <c r="J187" i="18"/>
  <c r="I187" i="18"/>
  <c r="K187" i="18" s="1"/>
  <c r="L187" i="18" s="1"/>
  <c r="J186" i="18"/>
  <c r="I186" i="18"/>
  <c r="K186" i="18" s="1"/>
  <c r="J185" i="18"/>
  <c r="I185" i="18"/>
  <c r="K185" i="18" s="1"/>
  <c r="J184" i="18"/>
  <c r="I184" i="18"/>
  <c r="K184" i="18" s="1"/>
  <c r="L184" i="18" s="1"/>
  <c r="J183" i="18"/>
  <c r="I183" i="18"/>
  <c r="K183" i="18" s="1"/>
  <c r="J182" i="18"/>
  <c r="I182" i="18"/>
  <c r="K182" i="18" s="1"/>
  <c r="J181" i="18"/>
  <c r="I181" i="18"/>
  <c r="K181" i="18" s="1"/>
  <c r="J180" i="18"/>
  <c r="I180" i="18"/>
  <c r="K180" i="18" s="1"/>
  <c r="L180" i="18" s="1"/>
  <c r="J179" i="18"/>
  <c r="I179" i="18"/>
  <c r="K179" i="18" s="1"/>
  <c r="L179" i="18" s="1"/>
  <c r="J178" i="18"/>
  <c r="I178" i="18"/>
  <c r="K178" i="18" s="1"/>
  <c r="J177" i="18"/>
  <c r="I177" i="18"/>
  <c r="K177" i="18" s="1"/>
  <c r="J176" i="18"/>
  <c r="I176" i="18"/>
  <c r="K176" i="18" s="1"/>
  <c r="L176" i="18" s="1"/>
  <c r="K175" i="18"/>
  <c r="J175" i="18"/>
  <c r="I175" i="18"/>
  <c r="J174" i="18"/>
  <c r="I174" i="18"/>
  <c r="K174" i="18" s="1"/>
  <c r="J173" i="18"/>
  <c r="I173" i="18"/>
  <c r="K173" i="18" s="1"/>
  <c r="J172" i="18"/>
  <c r="I172" i="18"/>
  <c r="K172" i="18" s="1"/>
  <c r="L172" i="18" s="1"/>
  <c r="J171" i="18"/>
  <c r="I171" i="18"/>
  <c r="K171" i="18" s="1"/>
  <c r="J170" i="18"/>
  <c r="I170" i="18"/>
  <c r="K170" i="18" s="1"/>
  <c r="J169" i="18"/>
  <c r="I169" i="18"/>
  <c r="K169" i="18" s="1"/>
  <c r="L169" i="18" s="1"/>
  <c r="J168" i="18"/>
  <c r="I168" i="18"/>
  <c r="K168" i="18" s="1"/>
  <c r="L168" i="18" s="1"/>
  <c r="J167" i="18"/>
  <c r="I167" i="18"/>
  <c r="K167" i="18" s="1"/>
  <c r="J166" i="18"/>
  <c r="I166" i="18"/>
  <c r="K166" i="18" s="1"/>
  <c r="J165" i="18"/>
  <c r="I165" i="18"/>
  <c r="K165" i="18" s="1"/>
  <c r="J164" i="18"/>
  <c r="I164" i="18"/>
  <c r="K164" i="18" s="1"/>
  <c r="L164" i="18" s="1"/>
  <c r="J163" i="18"/>
  <c r="I163" i="18"/>
  <c r="K163" i="18" s="1"/>
  <c r="J162" i="18"/>
  <c r="I162" i="18"/>
  <c r="K162" i="18" s="1"/>
  <c r="J161" i="18"/>
  <c r="I161" i="18"/>
  <c r="K161" i="18" s="1"/>
  <c r="L161" i="18" s="1"/>
  <c r="J160" i="18"/>
  <c r="I160" i="18"/>
  <c r="K160" i="18" s="1"/>
  <c r="L160" i="18" s="1"/>
  <c r="J159" i="18"/>
  <c r="I159" i="18"/>
  <c r="K159" i="18" s="1"/>
  <c r="J158" i="18"/>
  <c r="I158" i="18"/>
  <c r="K158" i="18" s="1"/>
  <c r="J157" i="18"/>
  <c r="I157" i="18"/>
  <c r="K157" i="18" s="1"/>
  <c r="K156" i="18"/>
  <c r="J156" i="18"/>
  <c r="I156" i="18"/>
  <c r="J155" i="18"/>
  <c r="I155" i="18"/>
  <c r="K155" i="18" s="1"/>
  <c r="J154" i="18"/>
  <c r="I154" i="18"/>
  <c r="K154" i="18" s="1"/>
  <c r="L154" i="18" s="1"/>
  <c r="J153" i="18"/>
  <c r="I153" i="18"/>
  <c r="K153" i="18" s="1"/>
  <c r="L153" i="18" s="1"/>
  <c r="J152" i="18"/>
  <c r="I152" i="18"/>
  <c r="K152" i="18" s="1"/>
  <c r="K151" i="18"/>
  <c r="J151" i="18"/>
  <c r="I151" i="18"/>
  <c r="J150" i="18"/>
  <c r="I150" i="18"/>
  <c r="K150" i="18" s="1"/>
  <c r="L150" i="18" s="1"/>
  <c r="J149" i="18"/>
  <c r="I149" i="18"/>
  <c r="K149" i="18" s="1"/>
  <c r="L149" i="18" s="1"/>
  <c r="J148" i="18"/>
  <c r="I148" i="18"/>
  <c r="K148" i="18" s="1"/>
  <c r="J147" i="18"/>
  <c r="I147" i="18"/>
  <c r="K147" i="18" s="1"/>
  <c r="J146" i="18"/>
  <c r="I146" i="18"/>
  <c r="K146" i="18" s="1"/>
  <c r="J145" i="18"/>
  <c r="I145" i="18"/>
  <c r="K145" i="18" s="1"/>
  <c r="J144" i="18"/>
  <c r="I144" i="18"/>
  <c r="K144" i="18" s="1"/>
  <c r="J143" i="18"/>
  <c r="I143" i="18"/>
  <c r="K143" i="18" s="1"/>
  <c r="J142" i="18"/>
  <c r="I142" i="18"/>
  <c r="K142" i="18" s="1"/>
  <c r="L142" i="18" s="1"/>
  <c r="J141" i="18"/>
  <c r="I141" i="18"/>
  <c r="K141" i="18" s="1"/>
  <c r="L141" i="18" s="1"/>
  <c r="J140" i="18"/>
  <c r="I140" i="18"/>
  <c r="K140" i="18" s="1"/>
  <c r="J139" i="18"/>
  <c r="I139" i="18"/>
  <c r="K139" i="18" s="1"/>
  <c r="J138" i="18"/>
  <c r="I138" i="18"/>
  <c r="K138" i="18" s="1"/>
  <c r="L138" i="18" s="1"/>
  <c r="J137" i="18"/>
  <c r="I137" i="18"/>
  <c r="K137" i="18" s="1"/>
  <c r="J136" i="18"/>
  <c r="I136" i="18"/>
  <c r="K136" i="18" s="1"/>
  <c r="J135" i="18"/>
  <c r="I135" i="18"/>
  <c r="K135" i="18" s="1"/>
  <c r="L135" i="18" s="1"/>
  <c r="J134" i="18"/>
  <c r="I134" i="18"/>
  <c r="K134" i="18" s="1"/>
  <c r="J133" i="18"/>
  <c r="I133" i="18"/>
  <c r="K133" i="18" s="1"/>
  <c r="J132" i="18"/>
  <c r="I132" i="18"/>
  <c r="K132" i="18" s="1"/>
  <c r="J131" i="18"/>
  <c r="I131" i="18"/>
  <c r="K131" i="18" s="1"/>
  <c r="L131" i="18" s="1"/>
  <c r="J130" i="18"/>
  <c r="I130" i="18"/>
  <c r="K130" i="18" s="1"/>
  <c r="L130" i="18" s="1"/>
  <c r="K129" i="18"/>
  <c r="L129" i="18" s="1"/>
  <c r="J129" i="18"/>
  <c r="I129" i="18"/>
  <c r="J128" i="18"/>
  <c r="I128" i="18"/>
  <c r="K128" i="18" s="1"/>
  <c r="L128" i="18" s="1"/>
  <c r="J127" i="18"/>
  <c r="I127" i="18"/>
  <c r="K127" i="18" s="1"/>
  <c r="L127" i="18" s="1"/>
  <c r="J126" i="18"/>
  <c r="I126" i="18"/>
  <c r="K126" i="18" s="1"/>
  <c r="J125" i="18"/>
  <c r="I125" i="18"/>
  <c r="K125" i="18" s="1"/>
  <c r="J124" i="18"/>
  <c r="I124" i="18"/>
  <c r="K124" i="18" s="1"/>
  <c r="L124" i="18" s="1"/>
  <c r="J123" i="18"/>
  <c r="I123" i="18"/>
  <c r="K123" i="18" s="1"/>
  <c r="L123" i="18" s="1"/>
  <c r="J122" i="18"/>
  <c r="I122" i="18"/>
  <c r="K122" i="18" s="1"/>
  <c r="J121" i="18"/>
  <c r="I121" i="18"/>
  <c r="K121" i="18" s="1"/>
  <c r="J120" i="18"/>
  <c r="I120" i="18"/>
  <c r="K120" i="18" s="1"/>
  <c r="J119" i="18"/>
  <c r="I119" i="18"/>
  <c r="K119" i="18" s="1"/>
  <c r="L119" i="18" s="1"/>
  <c r="J118" i="18"/>
  <c r="I118" i="18"/>
  <c r="K118" i="18" s="1"/>
  <c r="J117" i="18"/>
  <c r="I117" i="18"/>
  <c r="K117" i="18" s="1"/>
  <c r="J116" i="18"/>
  <c r="I116" i="18"/>
  <c r="K116" i="18" s="1"/>
  <c r="K115" i="18"/>
  <c r="J115" i="18"/>
  <c r="I115" i="18"/>
  <c r="J114" i="18"/>
  <c r="I114" i="18"/>
  <c r="K114" i="18" s="1"/>
  <c r="J113" i="18"/>
  <c r="I113" i="18"/>
  <c r="K113" i="18" s="1"/>
  <c r="L113" i="18" s="1"/>
  <c r="J112" i="18"/>
  <c r="I112" i="18"/>
  <c r="K112" i="18" s="1"/>
  <c r="J111" i="18"/>
  <c r="I111" i="18"/>
  <c r="K111" i="18" s="1"/>
  <c r="J110" i="18"/>
  <c r="I110" i="18"/>
  <c r="K110" i="18" s="1"/>
  <c r="J109" i="18"/>
  <c r="I109" i="18"/>
  <c r="K109" i="18" s="1"/>
  <c r="J108" i="18"/>
  <c r="I108" i="18"/>
  <c r="K108" i="18" s="1"/>
  <c r="J107" i="18"/>
  <c r="I107" i="18"/>
  <c r="K107" i="18" s="1"/>
  <c r="J106" i="18"/>
  <c r="I106" i="18"/>
  <c r="K106" i="18" s="1"/>
  <c r="J105" i="18"/>
  <c r="I105" i="18"/>
  <c r="K105" i="18" s="1"/>
  <c r="L105" i="18" s="1"/>
  <c r="J104" i="18"/>
  <c r="I104" i="18"/>
  <c r="K104" i="18" s="1"/>
  <c r="L104" i="18" s="1"/>
  <c r="J103" i="18"/>
  <c r="L103" i="18" s="1"/>
  <c r="I103" i="18"/>
  <c r="K103" i="18" s="1"/>
  <c r="J102" i="18"/>
  <c r="I102" i="18"/>
  <c r="K102" i="18" s="1"/>
  <c r="J101" i="18"/>
  <c r="I101" i="18"/>
  <c r="K101" i="18" s="1"/>
  <c r="L101" i="18" s="1"/>
  <c r="J100" i="18"/>
  <c r="I100" i="18"/>
  <c r="K100" i="18" s="1"/>
  <c r="L100" i="18" s="1"/>
  <c r="K99" i="18"/>
  <c r="L99" i="18" s="1"/>
  <c r="J99" i="18"/>
  <c r="I99" i="18"/>
  <c r="J98" i="18"/>
  <c r="I98" i="18"/>
  <c r="K98" i="18" s="1"/>
  <c r="J97" i="18"/>
  <c r="I97" i="18"/>
  <c r="K97" i="18" s="1"/>
  <c r="L97" i="18" s="1"/>
  <c r="J96" i="18"/>
  <c r="I96" i="18"/>
  <c r="K96" i="18" s="1"/>
  <c r="V95" i="18"/>
  <c r="J95" i="18"/>
  <c r="L95" i="18" s="1"/>
  <c r="I95" i="18"/>
  <c r="K95" i="18" s="1"/>
  <c r="J94" i="18"/>
  <c r="I94" i="18"/>
  <c r="K94" i="18" s="1"/>
  <c r="J93" i="18"/>
  <c r="I93" i="18"/>
  <c r="K93" i="18" s="1"/>
  <c r="L93" i="18" s="1"/>
  <c r="J92" i="18"/>
  <c r="I92" i="18"/>
  <c r="K92" i="18" s="1"/>
  <c r="J91" i="18"/>
  <c r="I91" i="18"/>
  <c r="K91" i="18" s="1"/>
  <c r="J90" i="18"/>
  <c r="I90" i="18"/>
  <c r="K90" i="18" s="1"/>
  <c r="L90" i="18" s="1"/>
  <c r="J89" i="18"/>
  <c r="I89" i="18"/>
  <c r="K89" i="18" s="1"/>
  <c r="V88" i="18"/>
  <c r="J88" i="18"/>
  <c r="I88" i="18"/>
  <c r="K88" i="18" s="1"/>
  <c r="J87" i="18"/>
  <c r="I87" i="18"/>
  <c r="K87" i="18" s="1"/>
  <c r="J86" i="18"/>
  <c r="L86" i="18" s="1"/>
  <c r="I86" i="18"/>
  <c r="K86" i="18" s="1"/>
  <c r="J85" i="18"/>
  <c r="I85" i="18"/>
  <c r="K85" i="18" s="1"/>
  <c r="J84" i="18"/>
  <c r="I84" i="18"/>
  <c r="K84" i="18" s="1"/>
  <c r="J83" i="18"/>
  <c r="I83" i="18"/>
  <c r="K83" i="18" s="1"/>
  <c r="L83" i="18" s="1"/>
  <c r="J82" i="18"/>
  <c r="I82" i="18"/>
  <c r="K82" i="18" s="1"/>
  <c r="J81" i="18"/>
  <c r="I81" i="18"/>
  <c r="K81" i="18" s="1"/>
  <c r="J80" i="18"/>
  <c r="I80" i="18"/>
  <c r="K80" i="18" s="1"/>
  <c r="J79" i="18"/>
  <c r="I79" i="18"/>
  <c r="K79" i="18" s="1"/>
  <c r="J78" i="18"/>
  <c r="I78" i="18"/>
  <c r="K78" i="18" s="1"/>
  <c r="J77" i="18"/>
  <c r="I77" i="18"/>
  <c r="K77" i="18" s="1"/>
  <c r="L77" i="18" s="1"/>
  <c r="J76" i="18"/>
  <c r="I76" i="18"/>
  <c r="K76" i="18" s="1"/>
  <c r="L76" i="18" s="1"/>
  <c r="V78" i="18" s="1"/>
  <c r="J75" i="18"/>
  <c r="I75" i="18"/>
  <c r="K75" i="18" s="1"/>
  <c r="J74" i="18"/>
  <c r="I74" i="18"/>
  <c r="K74" i="18" s="1"/>
  <c r="J73" i="18"/>
  <c r="I73" i="18"/>
  <c r="K73" i="18" s="1"/>
  <c r="J72" i="18"/>
  <c r="I72" i="18"/>
  <c r="K72" i="18" s="1"/>
  <c r="L72" i="18" s="1"/>
  <c r="J71" i="18"/>
  <c r="I71" i="18"/>
  <c r="K71" i="18" s="1"/>
  <c r="J70" i="18"/>
  <c r="I70" i="18"/>
  <c r="K70" i="18" s="1"/>
  <c r="J69" i="18"/>
  <c r="I69" i="18"/>
  <c r="K69" i="18" s="1"/>
  <c r="J68" i="18"/>
  <c r="I68" i="18"/>
  <c r="K68" i="18" s="1"/>
  <c r="J67" i="18"/>
  <c r="I67" i="18"/>
  <c r="K67" i="18" s="1"/>
  <c r="J66" i="18"/>
  <c r="I66" i="18"/>
  <c r="K66" i="18" s="1"/>
  <c r="J65" i="18"/>
  <c r="I65" i="18"/>
  <c r="K65" i="18" s="1"/>
  <c r="J64" i="18"/>
  <c r="I64" i="18"/>
  <c r="K64" i="18" s="1"/>
  <c r="L64" i="18" s="1"/>
  <c r="J63" i="18"/>
  <c r="I63" i="18"/>
  <c r="K63" i="18" s="1"/>
  <c r="J62" i="18"/>
  <c r="I62" i="18"/>
  <c r="K62" i="18" s="1"/>
  <c r="J61" i="18"/>
  <c r="I61" i="18"/>
  <c r="K61" i="18" s="1"/>
  <c r="J60" i="18"/>
  <c r="I60" i="18"/>
  <c r="K60" i="18" s="1"/>
  <c r="L60" i="18" s="1"/>
  <c r="L59" i="18"/>
  <c r="J59" i="18"/>
  <c r="I59" i="18"/>
  <c r="K59" i="18" s="1"/>
  <c r="J58" i="18"/>
  <c r="I58" i="18"/>
  <c r="K58" i="18" s="1"/>
  <c r="J57" i="18"/>
  <c r="I57" i="18"/>
  <c r="K57" i="18" s="1"/>
  <c r="L57" i="18" s="1"/>
  <c r="J56" i="18"/>
  <c r="I56" i="18"/>
  <c r="K56" i="18" s="1"/>
  <c r="J55" i="18"/>
  <c r="I55" i="18"/>
  <c r="K55" i="18" s="1"/>
  <c r="J54" i="18"/>
  <c r="I54" i="18"/>
  <c r="K54" i="18" s="1"/>
  <c r="L54" i="18" s="1"/>
  <c r="J53" i="18"/>
  <c r="I53" i="18"/>
  <c r="K53" i="18" s="1"/>
  <c r="J52" i="18"/>
  <c r="I52" i="18"/>
  <c r="K52" i="18" s="1"/>
  <c r="J51" i="18"/>
  <c r="I51" i="18"/>
  <c r="K51" i="18" s="1"/>
  <c r="J50" i="18"/>
  <c r="I50" i="18"/>
  <c r="K50" i="18" s="1"/>
  <c r="L50" i="18" s="1"/>
  <c r="J49" i="18"/>
  <c r="I49" i="18"/>
  <c r="K49" i="18" s="1"/>
  <c r="L49" i="18" s="1"/>
  <c r="J48" i="18"/>
  <c r="I48" i="18"/>
  <c r="K48" i="18" s="1"/>
  <c r="J47" i="18"/>
  <c r="I47" i="18"/>
  <c r="K47" i="18" s="1"/>
  <c r="J46" i="18"/>
  <c r="I46" i="18"/>
  <c r="K46" i="18" s="1"/>
  <c r="J45" i="18"/>
  <c r="I45" i="18"/>
  <c r="K45" i="18" s="1"/>
  <c r="L45" i="18" s="1"/>
  <c r="J44" i="18"/>
  <c r="I44" i="18"/>
  <c r="K44" i="18" s="1"/>
  <c r="J43" i="18"/>
  <c r="I43" i="18"/>
  <c r="K43" i="18" s="1"/>
  <c r="J42" i="18"/>
  <c r="I42" i="18"/>
  <c r="K42" i="18" s="1"/>
  <c r="J41" i="18"/>
  <c r="I41" i="18"/>
  <c r="K41" i="18" s="1"/>
  <c r="J40" i="18"/>
  <c r="I40" i="18"/>
  <c r="K40" i="18" s="1"/>
  <c r="J39" i="18"/>
  <c r="I39" i="18"/>
  <c r="K39" i="18" s="1"/>
  <c r="L39" i="18" s="1"/>
  <c r="J38" i="18"/>
  <c r="I38" i="18"/>
  <c r="K38" i="18" s="1"/>
  <c r="L38" i="18" s="1"/>
  <c r="J37" i="18"/>
  <c r="I37" i="18"/>
  <c r="K37" i="18" s="1"/>
  <c r="J36" i="18"/>
  <c r="I36" i="18"/>
  <c r="K36" i="18" s="1"/>
  <c r="J35" i="18"/>
  <c r="I35" i="18"/>
  <c r="K35" i="18" s="1"/>
  <c r="L35" i="18" s="1"/>
  <c r="J34" i="18"/>
  <c r="I34" i="18"/>
  <c r="K34" i="18" s="1"/>
  <c r="L34" i="18" s="1"/>
  <c r="J33" i="18"/>
  <c r="I33" i="18"/>
  <c r="K33" i="18" s="1"/>
  <c r="J32" i="18"/>
  <c r="I32" i="18"/>
  <c r="K32" i="18" s="1"/>
  <c r="J31" i="18"/>
  <c r="I31" i="18"/>
  <c r="K31" i="18" s="1"/>
  <c r="L31" i="18" s="1"/>
  <c r="J30" i="18"/>
  <c r="I30" i="18"/>
  <c r="K30" i="18" s="1"/>
  <c r="J29" i="18"/>
  <c r="I29" i="18"/>
  <c r="K29" i="18" s="1"/>
  <c r="J28" i="18"/>
  <c r="I28" i="18"/>
  <c r="K28" i="18" s="1"/>
  <c r="J27" i="18"/>
  <c r="I27" i="18"/>
  <c r="K27" i="18" s="1"/>
  <c r="L27" i="18" s="1"/>
  <c r="J26" i="18"/>
  <c r="I26" i="18"/>
  <c r="K26" i="18" s="1"/>
  <c r="J25" i="18"/>
  <c r="I25" i="18"/>
  <c r="K25" i="18" s="1"/>
  <c r="J24" i="18"/>
  <c r="I24" i="18"/>
  <c r="K24" i="18" s="1"/>
  <c r="J23" i="18"/>
  <c r="I23" i="18"/>
  <c r="K23" i="18" s="1"/>
  <c r="J22" i="18"/>
  <c r="I22" i="18"/>
  <c r="K22" i="18" s="1"/>
  <c r="J21" i="18"/>
  <c r="I21" i="18"/>
  <c r="K21" i="18" s="1"/>
  <c r="J20" i="18"/>
  <c r="I20" i="18"/>
  <c r="K20" i="18" s="1"/>
  <c r="L20" i="18" s="1"/>
  <c r="J19" i="18"/>
  <c r="I19" i="18"/>
  <c r="K19" i="18" s="1"/>
  <c r="L19" i="18" s="1"/>
  <c r="J18" i="18"/>
  <c r="I18" i="18"/>
  <c r="K18" i="18" s="1"/>
  <c r="J17" i="18"/>
  <c r="I17" i="18"/>
  <c r="K17" i="18" s="1"/>
  <c r="J16" i="18"/>
  <c r="I16" i="18"/>
  <c r="K16" i="18" s="1"/>
  <c r="L16" i="18" s="1"/>
  <c r="J15" i="18"/>
  <c r="I15" i="18"/>
  <c r="K15" i="18" s="1"/>
  <c r="L15" i="18" s="1"/>
  <c r="J14" i="18"/>
  <c r="I14" i="18"/>
  <c r="K14" i="18" s="1"/>
  <c r="K13" i="18"/>
  <c r="J13" i="18"/>
  <c r="I13" i="18"/>
  <c r="J12" i="18"/>
  <c r="I12" i="18"/>
  <c r="K12" i="18" s="1"/>
  <c r="J11" i="18"/>
  <c r="L11" i="18" s="1"/>
  <c r="I11" i="18"/>
  <c r="K11" i="18" s="1"/>
  <c r="K10" i="18"/>
  <c r="J10" i="18"/>
  <c r="I10" i="18"/>
  <c r="J9" i="18"/>
  <c r="I9" i="18"/>
  <c r="K9" i="18" s="1"/>
  <c r="J8" i="18"/>
  <c r="I8" i="18"/>
  <c r="K8" i="18" s="1"/>
  <c r="J7" i="18"/>
  <c r="I7" i="18"/>
  <c r="K7" i="18" s="1"/>
  <c r="J6" i="18"/>
  <c r="I6" i="18"/>
  <c r="K6" i="18" s="1"/>
  <c r="J5" i="18"/>
  <c r="I5" i="18"/>
  <c r="K5" i="18" s="1"/>
  <c r="J4" i="18"/>
  <c r="I4" i="18"/>
  <c r="K4" i="18" s="1"/>
  <c r="L4" i="18" s="1"/>
  <c r="J3" i="18"/>
  <c r="L3" i="18" s="1"/>
  <c r="I3" i="18"/>
  <c r="K3" i="18" s="1"/>
  <c r="J2" i="18"/>
  <c r="I2" i="18"/>
  <c r="K2" i="18" s="1"/>
  <c r="J322" i="17"/>
  <c r="I322" i="17"/>
  <c r="K322" i="17" s="1"/>
  <c r="L322" i="17" s="1"/>
  <c r="J321" i="17"/>
  <c r="I321" i="17"/>
  <c r="K321" i="17" s="1"/>
  <c r="J320" i="17"/>
  <c r="I320" i="17"/>
  <c r="K320" i="17" s="1"/>
  <c r="J319" i="17"/>
  <c r="I319" i="17"/>
  <c r="K319" i="17" s="1"/>
  <c r="J318" i="17"/>
  <c r="I318" i="17"/>
  <c r="K318" i="17" s="1"/>
  <c r="J317" i="17"/>
  <c r="I317" i="17"/>
  <c r="K317" i="17" s="1"/>
  <c r="L317" i="17" s="1"/>
  <c r="J316" i="17"/>
  <c r="I316" i="17"/>
  <c r="K316" i="17" s="1"/>
  <c r="L316" i="17" s="1"/>
  <c r="J315" i="17"/>
  <c r="I315" i="17"/>
  <c r="K315" i="17" s="1"/>
  <c r="J314" i="17"/>
  <c r="I314" i="17"/>
  <c r="K314" i="17" s="1"/>
  <c r="L314" i="17" s="1"/>
  <c r="J313" i="17"/>
  <c r="I313" i="17"/>
  <c r="K313" i="17" s="1"/>
  <c r="L313" i="17" s="1"/>
  <c r="V95" i="17" s="1"/>
  <c r="J312" i="17"/>
  <c r="I312" i="17"/>
  <c r="K312" i="17" s="1"/>
  <c r="J311" i="17"/>
  <c r="I311" i="17"/>
  <c r="K311" i="17" s="1"/>
  <c r="J310" i="17"/>
  <c r="I310" i="17"/>
  <c r="K310" i="17" s="1"/>
  <c r="L310" i="17" s="1"/>
  <c r="J309" i="17"/>
  <c r="I309" i="17"/>
  <c r="K309" i="17" s="1"/>
  <c r="L309" i="17" s="1"/>
  <c r="K308" i="17"/>
  <c r="L308" i="17" s="1"/>
  <c r="J308" i="17"/>
  <c r="I308" i="17"/>
  <c r="J307" i="17"/>
  <c r="I307" i="17"/>
  <c r="K307" i="17" s="1"/>
  <c r="J306" i="17"/>
  <c r="I306" i="17"/>
  <c r="K306" i="17" s="1"/>
  <c r="L306" i="17" s="1"/>
  <c r="V88" i="17" s="1"/>
  <c r="J305" i="17"/>
  <c r="I305" i="17"/>
  <c r="K305" i="17" s="1"/>
  <c r="J304" i="17"/>
  <c r="I304" i="17"/>
  <c r="K304" i="17" s="1"/>
  <c r="L304" i="17" s="1"/>
  <c r="J303" i="17"/>
  <c r="I303" i="17"/>
  <c r="K303" i="17" s="1"/>
  <c r="L303" i="17" s="1"/>
  <c r="V85" i="17" s="1"/>
  <c r="J302" i="17"/>
  <c r="I302" i="17"/>
  <c r="K302" i="17" s="1"/>
  <c r="L302" i="17" s="1"/>
  <c r="J301" i="17"/>
  <c r="I301" i="17"/>
  <c r="K301" i="17" s="1"/>
  <c r="J300" i="17"/>
  <c r="I300" i="17"/>
  <c r="K300" i="17" s="1"/>
  <c r="L300" i="17" s="1"/>
  <c r="J299" i="17"/>
  <c r="I299" i="17"/>
  <c r="K299" i="17" s="1"/>
  <c r="L299" i="17" s="1"/>
  <c r="J298" i="17"/>
  <c r="I298" i="17"/>
  <c r="K298" i="17" s="1"/>
  <c r="J297" i="17"/>
  <c r="I297" i="17"/>
  <c r="K297" i="17" s="1"/>
  <c r="J296" i="17"/>
  <c r="I296" i="17"/>
  <c r="K296" i="17" s="1"/>
  <c r="L296" i="17" s="1"/>
  <c r="J295" i="17"/>
  <c r="I295" i="17"/>
  <c r="K295" i="17" s="1"/>
  <c r="J294" i="17"/>
  <c r="I294" i="17"/>
  <c r="K294" i="17" s="1"/>
  <c r="L294" i="17" s="1"/>
  <c r="J293" i="17"/>
  <c r="I293" i="17"/>
  <c r="K293" i="17" s="1"/>
  <c r="J292" i="17"/>
  <c r="I292" i="17"/>
  <c r="K292" i="17" s="1"/>
  <c r="L292" i="17" s="1"/>
  <c r="J291" i="17"/>
  <c r="I291" i="17"/>
  <c r="K291" i="17" s="1"/>
  <c r="L291" i="17" s="1"/>
  <c r="J290" i="17"/>
  <c r="I290" i="17"/>
  <c r="K290" i="17" s="1"/>
  <c r="L290" i="17" s="1"/>
  <c r="J289" i="17"/>
  <c r="I289" i="17"/>
  <c r="K289" i="17" s="1"/>
  <c r="J288" i="17"/>
  <c r="I288" i="17"/>
  <c r="K288" i="17" s="1"/>
  <c r="J287" i="17"/>
  <c r="I287" i="17"/>
  <c r="K287" i="17" s="1"/>
  <c r="J286" i="17"/>
  <c r="I286" i="17"/>
  <c r="K286" i="17" s="1"/>
  <c r="L286" i="17" s="1"/>
  <c r="J285" i="17"/>
  <c r="I285" i="17"/>
  <c r="K285" i="17" s="1"/>
  <c r="J284" i="17"/>
  <c r="I284" i="17"/>
  <c r="K284" i="17" s="1"/>
  <c r="L284" i="17" s="1"/>
  <c r="J283" i="17"/>
  <c r="I283" i="17"/>
  <c r="K283" i="17" s="1"/>
  <c r="J282" i="17"/>
  <c r="I282" i="17"/>
  <c r="K282" i="17" s="1"/>
  <c r="J281" i="17"/>
  <c r="I281" i="17"/>
  <c r="K281" i="17" s="1"/>
  <c r="J280" i="17"/>
  <c r="I280" i="17"/>
  <c r="K280" i="17" s="1"/>
  <c r="L280" i="17" s="1"/>
  <c r="J279" i="17"/>
  <c r="I279" i="17"/>
  <c r="K279" i="17" s="1"/>
  <c r="J278" i="17"/>
  <c r="I278" i="17"/>
  <c r="K278" i="17" s="1"/>
  <c r="J277" i="17"/>
  <c r="I277" i="17"/>
  <c r="K277" i="17" s="1"/>
  <c r="J276" i="17"/>
  <c r="I276" i="17"/>
  <c r="K276" i="17" s="1"/>
  <c r="L276" i="17" s="1"/>
  <c r="J275" i="17"/>
  <c r="I275" i="17"/>
  <c r="K275" i="17" s="1"/>
  <c r="J274" i="17"/>
  <c r="I274" i="17"/>
  <c r="K274" i="17" s="1"/>
  <c r="J273" i="17"/>
  <c r="I273" i="17"/>
  <c r="K273" i="17" s="1"/>
  <c r="J272" i="17"/>
  <c r="I272" i="17"/>
  <c r="K272" i="17" s="1"/>
  <c r="L272" i="17" s="1"/>
  <c r="J271" i="17"/>
  <c r="I271" i="17"/>
  <c r="K271" i="17" s="1"/>
  <c r="J270" i="17"/>
  <c r="I270" i="17"/>
  <c r="K270" i="17" s="1"/>
  <c r="J269" i="17"/>
  <c r="I269" i="17"/>
  <c r="K269" i="17" s="1"/>
  <c r="L269" i="17" s="1"/>
  <c r="J268" i="17"/>
  <c r="I268" i="17"/>
  <c r="K268" i="17" s="1"/>
  <c r="L268" i="17" s="1"/>
  <c r="J267" i="17"/>
  <c r="I267" i="17"/>
  <c r="K267" i="17" s="1"/>
  <c r="J266" i="17"/>
  <c r="I266" i="17"/>
  <c r="K266" i="17" s="1"/>
  <c r="J265" i="17"/>
  <c r="I265" i="17"/>
  <c r="K265" i="17" s="1"/>
  <c r="L265" i="17" s="1"/>
  <c r="J264" i="17"/>
  <c r="I264" i="17"/>
  <c r="K264" i="17" s="1"/>
  <c r="L264" i="17" s="1"/>
  <c r="J263" i="17"/>
  <c r="I263" i="17"/>
  <c r="K263" i="17" s="1"/>
  <c r="J262" i="17"/>
  <c r="I262" i="17"/>
  <c r="K262" i="17" s="1"/>
  <c r="L262" i="17" s="1"/>
  <c r="J261" i="17"/>
  <c r="I261" i="17"/>
  <c r="K261" i="17" s="1"/>
  <c r="L261" i="17" s="1"/>
  <c r="J260" i="17"/>
  <c r="I260" i="17"/>
  <c r="K260" i="17" s="1"/>
  <c r="J259" i="17"/>
  <c r="I259" i="17"/>
  <c r="K259" i="17" s="1"/>
  <c r="L259" i="17" s="1"/>
  <c r="J258" i="17"/>
  <c r="I258" i="17"/>
  <c r="K258" i="17" s="1"/>
  <c r="J257" i="17"/>
  <c r="I257" i="17"/>
  <c r="K257" i="17" s="1"/>
  <c r="L257" i="17" s="1"/>
  <c r="K256" i="17"/>
  <c r="J256" i="17"/>
  <c r="I256" i="17"/>
  <c r="J255" i="17"/>
  <c r="I255" i="17"/>
  <c r="K255" i="17" s="1"/>
  <c r="L255" i="17" s="1"/>
  <c r="J254" i="17"/>
  <c r="I254" i="17"/>
  <c r="K254" i="17" s="1"/>
  <c r="L254" i="17" s="1"/>
  <c r="J253" i="17"/>
  <c r="I253" i="17"/>
  <c r="K253" i="17" s="1"/>
  <c r="L253" i="17" s="1"/>
  <c r="K252" i="17"/>
  <c r="L252" i="17" s="1"/>
  <c r="J252" i="17"/>
  <c r="I252" i="17"/>
  <c r="J251" i="17"/>
  <c r="I251" i="17"/>
  <c r="K251" i="17" s="1"/>
  <c r="J250" i="17"/>
  <c r="I250" i="17"/>
  <c r="K250" i="17" s="1"/>
  <c r="L250" i="17" s="1"/>
  <c r="J249" i="17"/>
  <c r="I249" i="17"/>
  <c r="K249" i="17" s="1"/>
  <c r="J248" i="17"/>
  <c r="I248" i="17"/>
  <c r="K248" i="17" s="1"/>
  <c r="L248" i="17" s="1"/>
  <c r="J247" i="17"/>
  <c r="I247" i="17"/>
  <c r="K247" i="17" s="1"/>
  <c r="J246" i="17"/>
  <c r="I246" i="17"/>
  <c r="K246" i="17" s="1"/>
  <c r="L246" i="17" s="1"/>
  <c r="J245" i="17"/>
  <c r="I245" i="17"/>
  <c r="K245" i="17" s="1"/>
  <c r="J244" i="17"/>
  <c r="I244" i="17"/>
  <c r="K244" i="17" s="1"/>
  <c r="L244" i="17" s="1"/>
  <c r="J243" i="17"/>
  <c r="I243" i="17"/>
  <c r="K243" i="17" s="1"/>
  <c r="J242" i="17"/>
  <c r="I242" i="17"/>
  <c r="K242" i="17" s="1"/>
  <c r="J241" i="17"/>
  <c r="I241" i="17"/>
  <c r="K241" i="17" s="1"/>
  <c r="J240" i="17"/>
  <c r="I240" i="17"/>
  <c r="K240" i="17" s="1"/>
  <c r="L240" i="17" s="1"/>
  <c r="J239" i="17"/>
  <c r="I239" i="17"/>
  <c r="K239" i="17" s="1"/>
  <c r="J238" i="17"/>
  <c r="I238" i="17"/>
  <c r="K238" i="17" s="1"/>
  <c r="L238" i="17" s="1"/>
  <c r="J237" i="17"/>
  <c r="I237" i="17"/>
  <c r="K237" i="17" s="1"/>
  <c r="L237" i="17" s="1"/>
  <c r="J236" i="17"/>
  <c r="I236" i="17"/>
  <c r="K236" i="17" s="1"/>
  <c r="L236" i="17" s="1"/>
  <c r="J235" i="17"/>
  <c r="I235" i="17"/>
  <c r="K235" i="17" s="1"/>
  <c r="J234" i="17"/>
  <c r="I234" i="17"/>
  <c r="K234" i="17" s="1"/>
  <c r="J233" i="17"/>
  <c r="I233" i="17"/>
  <c r="K233" i="17" s="1"/>
  <c r="L233" i="17" s="1"/>
  <c r="J232" i="17"/>
  <c r="I232" i="17"/>
  <c r="K232" i="17" s="1"/>
  <c r="L232" i="17" s="1"/>
  <c r="J231" i="17"/>
  <c r="I231" i="17"/>
  <c r="K231" i="17" s="1"/>
  <c r="J230" i="17"/>
  <c r="I230" i="17"/>
  <c r="K230" i="17" s="1"/>
  <c r="L230" i="17" s="1"/>
  <c r="J229" i="17"/>
  <c r="I229" i="17"/>
  <c r="K229" i="17" s="1"/>
  <c r="K228" i="17"/>
  <c r="J228" i="17"/>
  <c r="I228" i="17"/>
  <c r="J227" i="17"/>
  <c r="I227" i="17"/>
  <c r="K227" i="17" s="1"/>
  <c r="L227" i="17" s="1"/>
  <c r="J226" i="17"/>
  <c r="I226" i="17"/>
  <c r="K226" i="17" s="1"/>
  <c r="L226" i="17" s="1"/>
  <c r="J225" i="17"/>
  <c r="I225" i="17"/>
  <c r="K225" i="17" s="1"/>
  <c r="J224" i="17"/>
  <c r="I224" i="17"/>
  <c r="K224" i="17" s="1"/>
  <c r="J223" i="17"/>
  <c r="I223" i="17"/>
  <c r="K223" i="17" s="1"/>
  <c r="L223" i="17" s="1"/>
  <c r="J222" i="17"/>
  <c r="I222" i="17"/>
  <c r="K222" i="17" s="1"/>
  <c r="L222" i="17" s="1"/>
  <c r="J221" i="17"/>
  <c r="I221" i="17"/>
  <c r="K221" i="17" s="1"/>
  <c r="J220" i="17"/>
  <c r="I220" i="17"/>
  <c r="K220" i="17" s="1"/>
  <c r="J219" i="17"/>
  <c r="I219" i="17"/>
  <c r="K219" i="17" s="1"/>
  <c r="L219" i="17" s="1"/>
  <c r="J218" i="17"/>
  <c r="I218" i="17"/>
  <c r="K218" i="17" s="1"/>
  <c r="J217" i="17"/>
  <c r="I217" i="17"/>
  <c r="K217" i="17" s="1"/>
  <c r="L217" i="17" s="1"/>
  <c r="J216" i="17"/>
  <c r="I216" i="17"/>
  <c r="K216" i="17" s="1"/>
  <c r="J215" i="17"/>
  <c r="I215" i="17"/>
  <c r="K215" i="17" s="1"/>
  <c r="J214" i="17"/>
  <c r="I214" i="17"/>
  <c r="K214" i="17" s="1"/>
  <c r="J213" i="17"/>
  <c r="I213" i="17"/>
  <c r="K213" i="17" s="1"/>
  <c r="L213" i="17" s="1"/>
  <c r="J212" i="17"/>
  <c r="I212" i="17"/>
  <c r="K212" i="17" s="1"/>
  <c r="J211" i="17"/>
  <c r="I211" i="17"/>
  <c r="K211" i="17" s="1"/>
  <c r="J210" i="17"/>
  <c r="I210" i="17"/>
  <c r="K210" i="17" s="1"/>
  <c r="J209" i="17"/>
  <c r="I209" i="17"/>
  <c r="K209" i="17" s="1"/>
  <c r="L209" i="17" s="1"/>
  <c r="J208" i="17"/>
  <c r="I208" i="17"/>
  <c r="K208" i="17" s="1"/>
  <c r="J207" i="17"/>
  <c r="I207" i="17"/>
  <c r="K207" i="17" s="1"/>
  <c r="L207" i="17" s="1"/>
  <c r="J206" i="17"/>
  <c r="I206" i="17"/>
  <c r="K206" i="17" s="1"/>
  <c r="L206" i="17" s="1"/>
  <c r="J205" i="17"/>
  <c r="I205" i="17"/>
  <c r="K205" i="17" s="1"/>
  <c r="J204" i="17"/>
  <c r="I204" i="17"/>
  <c r="K204" i="17" s="1"/>
  <c r="L204" i="17" s="1"/>
  <c r="J203" i="17"/>
  <c r="I203" i="17"/>
  <c r="K203" i="17" s="1"/>
  <c r="J202" i="17"/>
  <c r="I202" i="17"/>
  <c r="K202" i="17" s="1"/>
  <c r="J201" i="17"/>
  <c r="I201" i="17"/>
  <c r="K201" i="17" s="1"/>
  <c r="J200" i="17"/>
  <c r="I200" i="17"/>
  <c r="K200" i="17" s="1"/>
  <c r="L200" i="17" s="1"/>
  <c r="J199" i="17"/>
  <c r="I199" i="17"/>
  <c r="K199" i="17" s="1"/>
  <c r="J198" i="17"/>
  <c r="I198" i="17"/>
  <c r="K198" i="17" s="1"/>
  <c r="J197" i="17"/>
  <c r="I197" i="17"/>
  <c r="K197" i="17" s="1"/>
  <c r="J196" i="17"/>
  <c r="I196" i="17"/>
  <c r="K196" i="17" s="1"/>
  <c r="L196" i="17" s="1"/>
  <c r="J195" i="17"/>
  <c r="I195" i="17"/>
  <c r="K195" i="17" s="1"/>
  <c r="K194" i="17"/>
  <c r="J194" i="17"/>
  <c r="I194" i="17"/>
  <c r="J193" i="17"/>
  <c r="I193" i="17"/>
  <c r="K193" i="17" s="1"/>
  <c r="L193" i="17" s="1"/>
  <c r="J192" i="17"/>
  <c r="I192" i="17"/>
  <c r="K192" i="17" s="1"/>
  <c r="L192" i="17" s="1"/>
  <c r="J191" i="17"/>
  <c r="I191" i="17"/>
  <c r="K191" i="17" s="1"/>
  <c r="J190" i="17"/>
  <c r="I190" i="17"/>
  <c r="K190" i="17" s="1"/>
  <c r="J189" i="17"/>
  <c r="I189" i="17"/>
  <c r="K189" i="17" s="1"/>
  <c r="K188" i="17"/>
  <c r="J188" i="17"/>
  <c r="I188" i="17"/>
  <c r="J187" i="17"/>
  <c r="I187" i="17"/>
  <c r="K187" i="17" s="1"/>
  <c r="J186" i="17"/>
  <c r="I186" i="17"/>
  <c r="K186" i="17" s="1"/>
  <c r="J185" i="17"/>
  <c r="I185" i="17"/>
  <c r="K185" i="17" s="1"/>
  <c r="L185" i="17" s="1"/>
  <c r="K184" i="17"/>
  <c r="L184" i="17" s="1"/>
  <c r="J184" i="17"/>
  <c r="I184" i="17"/>
  <c r="J183" i="17"/>
  <c r="I183" i="17"/>
  <c r="K183" i="17" s="1"/>
  <c r="J182" i="17"/>
  <c r="I182" i="17"/>
  <c r="K182" i="17" s="1"/>
  <c r="L182" i="17" s="1"/>
  <c r="J181" i="17"/>
  <c r="I181" i="17"/>
  <c r="K181" i="17" s="1"/>
  <c r="L181" i="17" s="1"/>
  <c r="J180" i="17"/>
  <c r="I180" i="17"/>
  <c r="K180" i="17" s="1"/>
  <c r="L180" i="17" s="1"/>
  <c r="J179" i="17"/>
  <c r="I179" i="17"/>
  <c r="K179" i="17" s="1"/>
  <c r="J178" i="17"/>
  <c r="I178" i="17"/>
  <c r="K178" i="17" s="1"/>
  <c r="L178" i="17" s="1"/>
  <c r="J177" i="17"/>
  <c r="I177" i="17"/>
  <c r="K177" i="17" s="1"/>
  <c r="J176" i="17"/>
  <c r="I176" i="17"/>
  <c r="K176" i="17" s="1"/>
  <c r="L176" i="17" s="1"/>
  <c r="J175" i="17"/>
  <c r="I175" i="17"/>
  <c r="K175" i="17" s="1"/>
  <c r="J174" i="17"/>
  <c r="I174" i="17"/>
  <c r="K174" i="17" s="1"/>
  <c r="J173" i="17"/>
  <c r="I173" i="17"/>
  <c r="K173" i="17" s="1"/>
  <c r="L173" i="17" s="1"/>
  <c r="J172" i="17"/>
  <c r="I172" i="17"/>
  <c r="K172" i="17" s="1"/>
  <c r="L172" i="17" s="1"/>
  <c r="J171" i="17"/>
  <c r="I171" i="17"/>
  <c r="K171" i="17" s="1"/>
  <c r="J170" i="17"/>
  <c r="I170" i="17"/>
  <c r="K170" i="17" s="1"/>
  <c r="L170" i="17" s="1"/>
  <c r="J169" i="17"/>
  <c r="I169" i="17"/>
  <c r="K169" i="17" s="1"/>
  <c r="J168" i="17"/>
  <c r="I168" i="17"/>
  <c r="K168" i="17" s="1"/>
  <c r="L168" i="17" s="1"/>
  <c r="J167" i="17"/>
  <c r="I167" i="17"/>
  <c r="K167" i="17" s="1"/>
  <c r="J166" i="17"/>
  <c r="I166" i="17"/>
  <c r="K166" i="17" s="1"/>
  <c r="L166" i="17" s="1"/>
  <c r="J165" i="17"/>
  <c r="I165" i="17"/>
  <c r="K165" i="17" s="1"/>
  <c r="K164" i="17"/>
  <c r="J164" i="17"/>
  <c r="I164" i="17"/>
  <c r="J163" i="17"/>
  <c r="I163" i="17"/>
  <c r="K163" i="17" s="1"/>
  <c r="J162" i="17"/>
  <c r="I162" i="17"/>
  <c r="K162" i="17" s="1"/>
  <c r="L162" i="17" s="1"/>
  <c r="J161" i="17"/>
  <c r="I161" i="17"/>
  <c r="K161" i="17" s="1"/>
  <c r="L161" i="17" s="1"/>
  <c r="K160" i="17"/>
  <c r="L160" i="17" s="1"/>
  <c r="J160" i="17"/>
  <c r="I160" i="17"/>
  <c r="J159" i="17"/>
  <c r="I159" i="17"/>
  <c r="K159" i="17" s="1"/>
  <c r="L159" i="17" s="1"/>
  <c r="J158" i="17"/>
  <c r="I158" i="17"/>
  <c r="K158" i="17" s="1"/>
  <c r="K157" i="17"/>
  <c r="J157" i="17"/>
  <c r="I157" i="17"/>
  <c r="J156" i="17"/>
  <c r="I156" i="17"/>
  <c r="K156" i="17" s="1"/>
  <c r="L156" i="17" s="1"/>
  <c r="J155" i="17"/>
  <c r="I155" i="17"/>
  <c r="K155" i="17" s="1"/>
  <c r="L155" i="17" s="1"/>
  <c r="J154" i="17"/>
  <c r="I154" i="17"/>
  <c r="K154" i="17" s="1"/>
  <c r="J153" i="17"/>
  <c r="I153" i="17"/>
  <c r="K153" i="17" s="1"/>
  <c r="J152" i="17"/>
  <c r="I152" i="17"/>
  <c r="K152" i="17" s="1"/>
  <c r="L152" i="17" s="1"/>
  <c r="K151" i="17"/>
  <c r="J151" i="17"/>
  <c r="I151" i="17"/>
  <c r="J150" i="17"/>
  <c r="I150" i="17"/>
  <c r="K150" i="17" s="1"/>
  <c r="L150" i="17" s="1"/>
  <c r="J149" i="17"/>
  <c r="I149" i="17"/>
  <c r="K149" i="17" s="1"/>
  <c r="J148" i="17"/>
  <c r="I148" i="17"/>
  <c r="K148" i="17" s="1"/>
  <c r="J147" i="17"/>
  <c r="I147" i="17"/>
  <c r="K147" i="17" s="1"/>
  <c r="J146" i="17"/>
  <c r="I146" i="17"/>
  <c r="K146" i="17" s="1"/>
  <c r="L146" i="17" s="1"/>
  <c r="J145" i="17"/>
  <c r="I145" i="17"/>
  <c r="K145" i="17" s="1"/>
  <c r="J144" i="17"/>
  <c r="I144" i="17"/>
  <c r="K144" i="17" s="1"/>
  <c r="L144" i="17" s="1"/>
  <c r="J143" i="17"/>
  <c r="I143" i="17"/>
  <c r="K143" i="17" s="1"/>
  <c r="J142" i="17"/>
  <c r="I142" i="17"/>
  <c r="K142" i="17" s="1"/>
  <c r="L142" i="17" s="1"/>
  <c r="J141" i="17"/>
  <c r="I141" i="17"/>
  <c r="K141" i="17" s="1"/>
  <c r="J140" i="17"/>
  <c r="I140" i="17"/>
  <c r="K140" i="17" s="1"/>
  <c r="K139" i="17"/>
  <c r="J139" i="17"/>
  <c r="I139" i="17"/>
  <c r="J138" i="17"/>
  <c r="I138" i="17"/>
  <c r="K138" i="17" s="1"/>
  <c r="L138" i="17" s="1"/>
  <c r="J137" i="17"/>
  <c r="I137" i="17"/>
  <c r="K137" i="17" s="1"/>
  <c r="L137" i="17" s="1"/>
  <c r="J136" i="17"/>
  <c r="I136" i="17"/>
  <c r="K136" i="17" s="1"/>
  <c r="L136" i="17" s="1"/>
  <c r="J135" i="17"/>
  <c r="I135" i="17"/>
  <c r="K135" i="17" s="1"/>
  <c r="J134" i="17"/>
  <c r="I134" i="17"/>
  <c r="K134" i="17" s="1"/>
  <c r="L134" i="17" s="1"/>
  <c r="J133" i="17"/>
  <c r="I133" i="17"/>
  <c r="K133" i="17" s="1"/>
  <c r="L133" i="17" s="1"/>
  <c r="J132" i="17"/>
  <c r="I132" i="17"/>
  <c r="K132" i="17" s="1"/>
  <c r="L132" i="17" s="1"/>
  <c r="K131" i="17"/>
  <c r="J131" i="17"/>
  <c r="I131" i="17"/>
  <c r="J130" i="17"/>
  <c r="I130" i="17"/>
  <c r="K130" i="17" s="1"/>
  <c r="L130" i="17" s="1"/>
  <c r="J129" i="17"/>
  <c r="I129" i="17"/>
  <c r="K129" i="17" s="1"/>
  <c r="J128" i="17"/>
  <c r="I128" i="17"/>
  <c r="K128" i="17" s="1"/>
  <c r="J127" i="17"/>
  <c r="I127" i="17"/>
  <c r="K127" i="17" s="1"/>
  <c r="L127" i="17" s="1"/>
  <c r="J126" i="17"/>
  <c r="I126" i="17"/>
  <c r="K126" i="17" s="1"/>
  <c r="L126" i="17" s="1"/>
  <c r="K125" i="17"/>
  <c r="J125" i="17"/>
  <c r="I125" i="17"/>
  <c r="J124" i="17"/>
  <c r="I124" i="17"/>
  <c r="K124" i="17" s="1"/>
  <c r="J123" i="17"/>
  <c r="I123" i="17"/>
  <c r="K123" i="17" s="1"/>
  <c r="J122" i="17"/>
  <c r="I122" i="17"/>
  <c r="K122" i="17" s="1"/>
  <c r="J121" i="17"/>
  <c r="I121" i="17"/>
  <c r="K121" i="17" s="1"/>
  <c r="L121" i="17" s="1"/>
  <c r="J120" i="17"/>
  <c r="I120" i="17"/>
  <c r="K120" i="17" s="1"/>
  <c r="J119" i="17"/>
  <c r="I119" i="17"/>
  <c r="K119" i="17" s="1"/>
  <c r="J118" i="17"/>
  <c r="I118" i="17"/>
  <c r="K118" i="17" s="1"/>
  <c r="J117" i="17"/>
  <c r="I117" i="17"/>
  <c r="K117" i="17" s="1"/>
  <c r="L117" i="17" s="1"/>
  <c r="J116" i="17"/>
  <c r="L116" i="17" s="1"/>
  <c r="I116" i="17"/>
  <c r="K116" i="17" s="1"/>
  <c r="J115" i="17"/>
  <c r="I115" i="17"/>
  <c r="K115" i="17" s="1"/>
  <c r="L115" i="17" s="1"/>
  <c r="J114" i="17"/>
  <c r="I114" i="17"/>
  <c r="K114" i="17" s="1"/>
  <c r="L114" i="17" s="1"/>
  <c r="K113" i="17"/>
  <c r="J113" i="17"/>
  <c r="I113" i="17"/>
  <c r="J112" i="17"/>
  <c r="I112" i="17"/>
  <c r="K112" i="17" s="1"/>
  <c r="L112" i="17" s="1"/>
  <c r="K111" i="17"/>
  <c r="J111" i="17"/>
  <c r="I111" i="17"/>
  <c r="J110" i="17"/>
  <c r="I110" i="17"/>
  <c r="K110" i="17" s="1"/>
  <c r="J109" i="17"/>
  <c r="I109" i="17"/>
  <c r="K109" i="17" s="1"/>
  <c r="J108" i="17"/>
  <c r="I108" i="17"/>
  <c r="K108" i="17" s="1"/>
  <c r="L108" i="17" s="1"/>
  <c r="J107" i="17"/>
  <c r="I107" i="17"/>
  <c r="K107" i="17" s="1"/>
  <c r="J106" i="17"/>
  <c r="I106" i="17"/>
  <c r="K106" i="17" s="1"/>
  <c r="J105" i="17"/>
  <c r="I105" i="17"/>
  <c r="K105" i="17" s="1"/>
  <c r="L105" i="17" s="1"/>
  <c r="J104" i="17"/>
  <c r="I104" i="17"/>
  <c r="K104" i="17" s="1"/>
  <c r="J103" i="17"/>
  <c r="I103" i="17"/>
  <c r="K103" i="17" s="1"/>
  <c r="J102" i="17"/>
  <c r="I102" i="17"/>
  <c r="K102" i="17" s="1"/>
  <c r="L102" i="17" s="1"/>
  <c r="J101" i="17"/>
  <c r="I101" i="17"/>
  <c r="K101" i="17" s="1"/>
  <c r="L101" i="17" s="1"/>
  <c r="J100" i="17"/>
  <c r="I100" i="17"/>
  <c r="K100" i="17" s="1"/>
  <c r="L100" i="17" s="1"/>
  <c r="V99" i="17"/>
  <c r="J99" i="17"/>
  <c r="I99" i="17"/>
  <c r="K99" i="17" s="1"/>
  <c r="J98" i="17"/>
  <c r="I98" i="17"/>
  <c r="K98" i="17" s="1"/>
  <c r="L98" i="17" s="1"/>
  <c r="J97" i="17"/>
  <c r="I97" i="17"/>
  <c r="K97" i="17" s="1"/>
  <c r="L97" i="17" s="1"/>
  <c r="V96" i="17"/>
  <c r="J96" i="17"/>
  <c r="I96" i="17"/>
  <c r="K96" i="17" s="1"/>
  <c r="L96" i="17" s="1"/>
  <c r="J95" i="17"/>
  <c r="I95" i="17"/>
  <c r="K95" i="17" s="1"/>
  <c r="L95" i="17" s="1"/>
  <c r="K94" i="17"/>
  <c r="J94" i="17"/>
  <c r="I94" i="17"/>
  <c r="J93" i="17"/>
  <c r="I93" i="17"/>
  <c r="K93" i="17" s="1"/>
  <c r="J92" i="17"/>
  <c r="I92" i="17"/>
  <c r="K92" i="17" s="1"/>
  <c r="L92" i="17" s="1"/>
  <c r="V91" i="17"/>
  <c r="J91" i="17"/>
  <c r="I91" i="17"/>
  <c r="K91" i="17" s="1"/>
  <c r="L91" i="17" s="1"/>
  <c r="J90" i="17"/>
  <c r="I90" i="17"/>
  <c r="K90" i="17" s="1"/>
  <c r="K89" i="17"/>
  <c r="J89" i="17"/>
  <c r="I89" i="17"/>
  <c r="J88" i="17"/>
  <c r="I88" i="17"/>
  <c r="K88" i="17" s="1"/>
  <c r="L88" i="17" s="1"/>
  <c r="J87" i="17"/>
  <c r="I87" i="17"/>
  <c r="K87" i="17" s="1"/>
  <c r="L87" i="17" s="1"/>
  <c r="J86" i="17"/>
  <c r="I86" i="17"/>
  <c r="K86" i="17" s="1"/>
  <c r="J85" i="17"/>
  <c r="I85" i="17"/>
  <c r="K85" i="17" s="1"/>
  <c r="L85" i="17" s="1"/>
  <c r="J84" i="17"/>
  <c r="L84" i="17" s="1"/>
  <c r="I84" i="17"/>
  <c r="K84" i="17" s="1"/>
  <c r="J83" i="17"/>
  <c r="I83" i="17"/>
  <c r="K83" i="17" s="1"/>
  <c r="L83" i="17" s="1"/>
  <c r="J82" i="17"/>
  <c r="I82" i="17"/>
  <c r="K82" i="17" s="1"/>
  <c r="L82" i="17" s="1"/>
  <c r="J81" i="17"/>
  <c r="I81" i="17"/>
  <c r="K81" i="17" s="1"/>
  <c r="J80" i="17"/>
  <c r="I80" i="17"/>
  <c r="K80" i="17" s="1"/>
  <c r="J79" i="17"/>
  <c r="I79" i="17"/>
  <c r="K79" i="17" s="1"/>
  <c r="L79" i="17" s="1"/>
  <c r="V81" i="17" s="1"/>
  <c r="J78" i="17"/>
  <c r="I78" i="17"/>
  <c r="K78" i="17" s="1"/>
  <c r="L78" i="17" s="1"/>
  <c r="J77" i="17"/>
  <c r="I77" i="17"/>
  <c r="K77" i="17" s="1"/>
  <c r="L77" i="17" s="1"/>
  <c r="V79" i="17" s="1"/>
  <c r="J76" i="17"/>
  <c r="I76" i="17"/>
  <c r="K76" i="17" s="1"/>
  <c r="J75" i="17"/>
  <c r="I75" i="17"/>
  <c r="K75" i="17" s="1"/>
  <c r="L75" i="17" s="1"/>
  <c r="V77" i="17" s="1"/>
  <c r="J74" i="17"/>
  <c r="I74" i="17"/>
  <c r="K74" i="17" s="1"/>
  <c r="L74" i="17" s="1"/>
  <c r="J73" i="17"/>
  <c r="I73" i="17"/>
  <c r="K73" i="17" s="1"/>
  <c r="L73" i="17" s="1"/>
  <c r="V75" i="17" s="1"/>
  <c r="K72" i="17"/>
  <c r="L72" i="17" s="1"/>
  <c r="J72" i="17"/>
  <c r="I72" i="17"/>
  <c r="J71" i="17"/>
  <c r="I71" i="17"/>
  <c r="K71" i="17" s="1"/>
  <c r="J70" i="17"/>
  <c r="I70" i="17"/>
  <c r="K70" i="17" s="1"/>
  <c r="J69" i="17"/>
  <c r="I69" i="17"/>
  <c r="K69" i="17" s="1"/>
  <c r="L69" i="17" s="1"/>
  <c r="J68" i="17"/>
  <c r="I68" i="17"/>
  <c r="K68" i="17" s="1"/>
  <c r="L68" i="17" s="1"/>
  <c r="V70" i="17" s="1"/>
  <c r="J67" i="17"/>
  <c r="I67" i="17"/>
  <c r="K67" i="17" s="1"/>
  <c r="L67" i="17" s="1"/>
  <c r="J66" i="17"/>
  <c r="I66" i="17"/>
  <c r="K66" i="17" s="1"/>
  <c r="J65" i="17"/>
  <c r="I65" i="17"/>
  <c r="K65" i="17" s="1"/>
  <c r="J64" i="17"/>
  <c r="I64" i="17"/>
  <c r="K64" i="17" s="1"/>
  <c r="L64" i="17" s="1"/>
  <c r="K63" i="17"/>
  <c r="J63" i="17"/>
  <c r="I63" i="17"/>
  <c r="J62" i="17"/>
  <c r="I62" i="17"/>
  <c r="K62" i="17" s="1"/>
  <c r="L62" i="17" s="1"/>
  <c r="J61" i="17"/>
  <c r="I61" i="17"/>
  <c r="K61" i="17" s="1"/>
  <c r="L61" i="17" s="1"/>
  <c r="J60" i="17"/>
  <c r="I60" i="17"/>
  <c r="K60" i="17" s="1"/>
  <c r="J59" i="17"/>
  <c r="I59" i="17"/>
  <c r="K59" i="17" s="1"/>
  <c r="J58" i="17"/>
  <c r="I58" i="17"/>
  <c r="K58" i="17" s="1"/>
  <c r="L58" i="17" s="1"/>
  <c r="J57" i="17"/>
  <c r="I57" i="17"/>
  <c r="K57" i="17" s="1"/>
  <c r="L57" i="17" s="1"/>
  <c r="J56" i="17"/>
  <c r="I56" i="17"/>
  <c r="K56" i="17" s="1"/>
  <c r="L56" i="17" s="1"/>
  <c r="J55" i="17"/>
  <c r="I55" i="17"/>
  <c r="K55" i="17" s="1"/>
  <c r="L55" i="17" s="1"/>
  <c r="J54" i="17"/>
  <c r="I54" i="17"/>
  <c r="K54" i="17" s="1"/>
  <c r="J53" i="17"/>
  <c r="I53" i="17"/>
  <c r="K53" i="17" s="1"/>
  <c r="L53" i="17" s="1"/>
  <c r="J52" i="17"/>
  <c r="I52" i="17"/>
  <c r="K52" i="17" s="1"/>
  <c r="J51" i="17"/>
  <c r="I51" i="17"/>
  <c r="K51" i="17" s="1"/>
  <c r="J50" i="17"/>
  <c r="L50" i="17" s="1"/>
  <c r="I50" i="17"/>
  <c r="K50" i="17" s="1"/>
  <c r="J49" i="17"/>
  <c r="I49" i="17"/>
  <c r="K49" i="17" s="1"/>
  <c r="K48" i="17"/>
  <c r="J48" i="17"/>
  <c r="I48" i="17"/>
  <c r="K47" i="17"/>
  <c r="J47" i="17"/>
  <c r="I47" i="17"/>
  <c r="J46" i="17"/>
  <c r="I46" i="17"/>
  <c r="K46" i="17" s="1"/>
  <c r="L46" i="17" s="1"/>
  <c r="K45" i="17"/>
  <c r="J45" i="17"/>
  <c r="I45" i="17"/>
  <c r="J44" i="17"/>
  <c r="I44" i="17"/>
  <c r="K44" i="17" s="1"/>
  <c r="J43" i="17"/>
  <c r="I43" i="17"/>
  <c r="K43" i="17" s="1"/>
  <c r="J42" i="17"/>
  <c r="I42" i="17"/>
  <c r="K42" i="17" s="1"/>
  <c r="K41" i="17"/>
  <c r="L41" i="17" s="1"/>
  <c r="J41" i="17"/>
  <c r="I41" i="17"/>
  <c r="J40" i="17"/>
  <c r="I40" i="17"/>
  <c r="K40" i="17" s="1"/>
  <c r="J39" i="17"/>
  <c r="I39" i="17"/>
  <c r="K39" i="17" s="1"/>
  <c r="J38" i="17"/>
  <c r="I38" i="17"/>
  <c r="K38" i="17" s="1"/>
  <c r="L38" i="17" s="1"/>
  <c r="J37" i="17"/>
  <c r="I37" i="17"/>
  <c r="K37" i="17" s="1"/>
  <c r="L37" i="17" s="1"/>
  <c r="J36" i="17"/>
  <c r="I36" i="17"/>
  <c r="K36" i="17" s="1"/>
  <c r="J35" i="17"/>
  <c r="I35" i="17"/>
  <c r="K35" i="17" s="1"/>
  <c r="L35" i="17" s="1"/>
  <c r="J34" i="17"/>
  <c r="L34" i="17" s="1"/>
  <c r="I34" i="17"/>
  <c r="K34" i="17" s="1"/>
  <c r="J33" i="17"/>
  <c r="I33" i="17"/>
  <c r="K33" i="17" s="1"/>
  <c r="J32" i="17"/>
  <c r="I32" i="17"/>
  <c r="K32" i="17" s="1"/>
  <c r="J31" i="17"/>
  <c r="I31" i="17"/>
  <c r="K31" i="17" s="1"/>
  <c r="L31" i="17" s="1"/>
  <c r="J30" i="17"/>
  <c r="I30" i="17"/>
  <c r="K30" i="17" s="1"/>
  <c r="K29" i="17"/>
  <c r="L29" i="17" s="1"/>
  <c r="J29" i="17"/>
  <c r="I29" i="17"/>
  <c r="J28" i="17"/>
  <c r="I28" i="17"/>
  <c r="K28" i="17" s="1"/>
  <c r="J27" i="17"/>
  <c r="I27" i="17"/>
  <c r="K27" i="17" s="1"/>
  <c r="J26" i="17"/>
  <c r="L26" i="17" s="1"/>
  <c r="I26" i="17"/>
  <c r="K26" i="17" s="1"/>
  <c r="J25" i="17"/>
  <c r="I25" i="17"/>
  <c r="K25" i="17" s="1"/>
  <c r="L25" i="17" s="1"/>
  <c r="K24" i="17"/>
  <c r="J24" i="17"/>
  <c r="I24" i="17"/>
  <c r="J23" i="17"/>
  <c r="I23" i="17"/>
  <c r="K23" i="17" s="1"/>
  <c r="J22" i="17"/>
  <c r="I22" i="17"/>
  <c r="K22" i="17" s="1"/>
  <c r="L22" i="17" s="1"/>
  <c r="J21" i="17"/>
  <c r="I21" i="17"/>
  <c r="K21" i="17" s="1"/>
  <c r="J20" i="17"/>
  <c r="I20" i="17"/>
  <c r="K20" i="17" s="1"/>
  <c r="L20" i="17" s="1"/>
  <c r="J19" i="17"/>
  <c r="I19" i="17"/>
  <c r="K19" i="17" s="1"/>
  <c r="J18" i="17"/>
  <c r="I18" i="17"/>
  <c r="K18" i="17" s="1"/>
  <c r="L18" i="17" s="1"/>
  <c r="K17" i="17"/>
  <c r="J17" i="17"/>
  <c r="I17" i="17"/>
  <c r="J16" i="17"/>
  <c r="I16" i="17"/>
  <c r="K16" i="17" s="1"/>
  <c r="L16" i="17" s="1"/>
  <c r="J15" i="17"/>
  <c r="I15" i="17"/>
  <c r="K15" i="17" s="1"/>
  <c r="J14" i="17"/>
  <c r="I14" i="17"/>
  <c r="K14" i="17" s="1"/>
  <c r="L14" i="17" s="1"/>
  <c r="J13" i="17"/>
  <c r="I13" i="17"/>
  <c r="K13" i="17" s="1"/>
  <c r="L13" i="17" s="1"/>
  <c r="J12" i="17"/>
  <c r="I12" i="17"/>
  <c r="K12" i="17" s="1"/>
  <c r="J11" i="17"/>
  <c r="I11" i="17"/>
  <c r="K11" i="17" s="1"/>
  <c r="J10" i="17"/>
  <c r="L10" i="17" s="1"/>
  <c r="I10" i="17"/>
  <c r="K10" i="17" s="1"/>
  <c r="J9" i="17"/>
  <c r="I9" i="17"/>
  <c r="K9" i="17" s="1"/>
  <c r="L9" i="17" s="1"/>
  <c r="J8" i="17"/>
  <c r="I8" i="17"/>
  <c r="K8" i="17" s="1"/>
  <c r="J7" i="17"/>
  <c r="I7" i="17"/>
  <c r="K7" i="17" s="1"/>
  <c r="J6" i="17"/>
  <c r="I6" i="17"/>
  <c r="K6" i="17" s="1"/>
  <c r="L6" i="17" s="1"/>
  <c r="J5" i="17"/>
  <c r="I5" i="17"/>
  <c r="K5" i="17" s="1"/>
  <c r="J4" i="17"/>
  <c r="I4" i="17"/>
  <c r="K4" i="17" s="1"/>
  <c r="J3" i="17"/>
  <c r="I3" i="17"/>
  <c r="K3" i="17" s="1"/>
  <c r="J2" i="17"/>
  <c r="I2" i="17"/>
  <c r="K2" i="17" s="1"/>
  <c r="L2" i="17" s="1"/>
  <c r="J322" i="16"/>
  <c r="I322" i="16"/>
  <c r="K322" i="16" s="1"/>
  <c r="J321" i="16"/>
  <c r="I321" i="16"/>
  <c r="K321" i="16" s="1"/>
  <c r="J320" i="16"/>
  <c r="I320" i="16"/>
  <c r="K320" i="16" s="1"/>
  <c r="L320" i="16" s="1"/>
  <c r="J319" i="16"/>
  <c r="I319" i="16"/>
  <c r="K319" i="16" s="1"/>
  <c r="J318" i="16"/>
  <c r="I318" i="16"/>
  <c r="K318" i="16" s="1"/>
  <c r="L318" i="16" s="1"/>
  <c r="J317" i="16"/>
  <c r="I317" i="16"/>
  <c r="K317" i="16" s="1"/>
  <c r="J316" i="16"/>
  <c r="I316" i="16"/>
  <c r="K316" i="16" s="1"/>
  <c r="L316" i="16" s="1"/>
  <c r="V98" i="16" s="1"/>
  <c r="J315" i="16"/>
  <c r="I315" i="16"/>
  <c r="K315" i="16" s="1"/>
  <c r="J314" i="16"/>
  <c r="I314" i="16"/>
  <c r="K314" i="16" s="1"/>
  <c r="L314" i="16" s="1"/>
  <c r="J313" i="16"/>
  <c r="I313" i="16"/>
  <c r="K313" i="16" s="1"/>
  <c r="L313" i="16" s="1"/>
  <c r="J312" i="16"/>
  <c r="I312" i="16"/>
  <c r="K312" i="16" s="1"/>
  <c r="L312" i="16" s="1"/>
  <c r="V94" i="16" s="1"/>
  <c r="J311" i="16"/>
  <c r="I311" i="16"/>
  <c r="K311" i="16" s="1"/>
  <c r="L311" i="16" s="1"/>
  <c r="J310" i="16"/>
  <c r="I310" i="16"/>
  <c r="K310" i="16" s="1"/>
  <c r="J309" i="16"/>
  <c r="I309" i="16"/>
  <c r="K309" i="16" s="1"/>
  <c r="J308" i="16"/>
  <c r="I308" i="16"/>
  <c r="K308" i="16" s="1"/>
  <c r="L308" i="16" s="1"/>
  <c r="V90" i="16" s="1"/>
  <c r="J307" i="16"/>
  <c r="I307" i="16"/>
  <c r="K307" i="16" s="1"/>
  <c r="J306" i="16"/>
  <c r="I306" i="16"/>
  <c r="K306" i="16" s="1"/>
  <c r="J305" i="16"/>
  <c r="I305" i="16"/>
  <c r="K305" i="16" s="1"/>
  <c r="J304" i="16"/>
  <c r="I304" i="16"/>
  <c r="K304" i="16" s="1"/>
  <c r="L304" i="16" s="1"/>
  <c r="J303" i="16"/>
  <c r="I303" i="16"/>
  <c r="K303" i="16" s="1"/>
  <c r="J302" i="16"/>
  <c r="I302" i="16"/>
  <c r="K302" i="16" s="1"/>
  <c r="J301" i="16"/>
  <c r="I301" i="16"/>
  <c r="K301" i="16" s="1"/>
  <c r="J300" i="16"/>
  <c r="I300" i="16"/>
  <c r="K300" i="16" s="1"/>
  <c r="L300" i="16" s="1"/>
  <c r="J299" i="16"/>
  <c r="I299" i="16"/>
  <c r="K299" i="16" s="1"/>
  <c r="J298" i="16"/>
  <c r="I298" i="16"/>
  <c r="K298" i="16" s="1"/>
  <c r="J297" i="16"/>
  <c r="I297" i="16"/>
  <c r="K297" i="16" s="1"/>
  <c r="J296" i="16"/>
  <c r="I296" i="16"/>
  <c r="K296" i="16" s="1"/>
  <c r="J295" i="16"/>
  <c r="I295" i="16"/>
  <c r="K295" i="16" s="1"/>
  <c r="J294" i="16"/>
  <c r="I294" i="16"/>
  <c r="K294" i="16" s="1"/>
  <c r="J293" i="16"/>
  <c r="I293" i="16"/>
  <c r="K293" i="16" s="1"/>
  <c r="L293" i="16" s="1"/>
  <c r="K292" i="16"/>
  <c r="J292" i="16"/>
  <c r="I292" i="16"/>
  <c r="J291" i="16"/>
  <c r="I291" i="16"/>
  <c r="K291" i="16" s="1"/>
  <c r="J290" i="16"/>
  <c r="I290" i="16"/>
  <c r="K290" i="16" s="1"/>
  <c r="J289" i="16"/>
  <c r="I289" i="16"/>
  <c r="K289" i="16" s="1"/>
  <c r="L289" i="16" s="1"/>
  <c r="J288" i="16"/>
  <c r="I288" i="16"/>
  <c r="K288" i="16" s="1"/>
  <c r="J287" i="16"/>
  <c r="I287" i="16"/>
  <c r="K287" i="16" s="1"/>
  <c r="J286" i="16"/>
  <c r="I286" i="16"/>
  <c r="K286" i="16" s="1"/>
  <c r="J285" i="16"/>
  <c r="I285" i="16"/>
  <c r="K285" i="16" s="1"/>
  <c r="J284" i="16"/>
  <c r="I284" i="16"/>
  <c r="K284" i="16" s="1"/>
  <c r="J283" i="16"/>
  <c r="I283" i="16"/>
  <c r="K283" i="16" s="1"/>
  <c r="J282" i="16"/>
  <c r="I282" i="16"/>
  <c r="K282" i="16" s="1"/>
  <c r="J281" i="16"/>
  <c r="I281" i="16"/>
  <c r="K281" i="16" s="1"/>
  <c r="L281" i="16" s="1"/>
  <c r="K280" i="16"/>
  <c r="J280" i="16"/>
  <c r="I280" i="16"/>
  <c r="J279" i="16"/>
  <c r="I279" i="16"/>
  <c r="K279" i="16" s="1"/>
  <c r="J278" i="16"/>
  <c r="I278" i="16"/>
  <c r="K278" i="16" s="1"/>
  <c r="J277" i="16"/>
  <c r="I277" i="16"/>
  <c r="K277" i="16" s="1"/>
  <c r="J276" i="16"/>
  <c r="I276" i="16"/>
  <c r="K276" i="16" s="1"/>
  <c r="L276" i="16" s="1"/>
  <c r="J275" i="16"/>
  <c r="I275" i="16"/>
  <c r="K275" i="16" s="1"/>
  <c r="J274" i="16"/>
  <c r="I274" i="16"/>
  <c r="K274" i="16" s="1"/>
  <c r="L274" i="16" s="1"/>
  <c r="J273" i="16"/>
  <c r="I273" i="16"/>
  <c r="K273" i="16" s="1"/>
  <c r="J272" i="16"/>
  <c r="I272" i="16"/>
  <c r="K272" i="16" s="1"/>
  <c r="J271" i="16"/>
  <c r="I271" i="16"/>
  <c r="K271" i="16" s="1"/>
  <c r="J270" i="16"/>
  <c r="I270" i="16"/>
  <c r="K270" i="16" s="1"/>
  <c r="J269" i="16"/>
  <c r="I269" i="16"/>
  <c r="K269" i="16" s="1"/>
  <c r="J268" i="16"/>
  <c r="I268" i="16"/>
  <c r="K268" i="16" s="1"/>
  <c r="L268" i="16" s="1"/>
  <c r="J267" i="16"/>
  <c r="I267" i="16"/>
  <c r="K267" i="16" s="1"/>
  <c r="J266" i="16"/>
  <c r="I266" i="16"/>
  <c r="K266" i="16" s="1"/>
  <c r="L266" i="16" s="1"/>
  <c r="J265" i="16"/>
  <c r="I265" i="16"/>
  <c r="K265" i="16" s="1"/>
  <c r="J264" i="16"/>
  <c r="I264" i="16"/>
  <c r="K264" i="16" s="1"/>
  <c r="L264" i="16" s="1"/>
  <c r="J263" i="16"/>
  <c r="I263" i="16"/>
  <c r="K263" i="16" s="1"/>
  <c r="J262" i="16"/>
  <c r="I262" i="16"/>
  <c r="K262" i="16" s="1"/>
  <c r="J261" i="16"/>
  <c r="I261" i="16"/>
  <c r="K261" i="16" s="1"/>
  <c r="K260" i="16"/>
  <c r="J260" i="16"/>
  <c r="I260" i="16"/>
  <c r="J259" i="16"/>
  <c r="I259" i="16"/>
  <c r="K259" i="16" s="1"/>
  <c r="L259" i="16" s="1"/>
  <c r="J258" i="16"/>
  <c r="I258" i="16"/>
  <c r="K258" i="16" s="1"/>
  <c r="L258" i="16" s="1"/>
  <c r="J257" i="16"/>
  <c r="I257" i="16"/>
  <c r="K257" i="16" s="1"/>
  <c r="L257" i="16" s="1"/>
  <c r="J256" i="16"/>
  <c r="I256" i="16"/>
  <c r="K256" i="16" s="1"/>
  <c r="L256" i="16" s="1"/>
  <c r="J255" i="16"/>
  <c r="I255" i="16"/>
  <c r="K255" i="16" s="1"/>
  <c r="J254" i="16"/>
  <c r="I254" i="16"/>
  <c r="K254" i="16" s="1"/>
  <c r="J253" i="16"/>
  <c r="I253" i="16"/>
  <c r="K253" i="16" s="1"/>
  <c r="J252" i="16"/>
  <c r="I252" i="16"/>
  <c r="K252" i="16" s="1"/>
  <c r="L252" i="16" s="1"/>
  <c r="J251" i="16"/>
  <c r="I251" i="16"/>
  <c r="K251" i="16" s="1"/>
  <c r="L251" i="16" s="1"/>
  <c r="J250" i="16"/>
  <c r="I250" i="16"/>
  <c r="K250" i="16" s="1"/>
  <c r="L250" i="16" s="1"/>
  <c r="J249" i="16"/>
  <c r="I249" i="16"/>
  <c r="K249" i="16" s="1"/>
  <c r="L249" i="16" s="1"/>
  <c r="J248" i="16"/>
  <c r="I248" i="16"/>
  <c r="K248" i="16" s="1"/>
  <c r="J247" i="16"/>
  <c r="I247" i="16"/>
  <c r="K247" i="16" s="1"/>
  <c r="J246" i="16"/>
  <c r="I246" i="16"/>
  <c r="K246" i="16" s="1"/>
  <c r="J245" i="16"/>
  <c r="I245" i="16"/>
  <c r="K245" i="16" s="1"/>
  <c r="J244" i="16"/>
  <c r="I244" i="16"/>
  <c r="K244" i="16" s="1"/>
  <c r="L244" i="16" s="1"/>
  <c r="J243" i="16"/>
  <c r="I243" i="16"/>
  <c r="K243" i="16" s="1"/>
  <c r="L243" i="16" s="1"/>
  <c r="J242" i="16"/>
  <c r="I242" i="16"/>
  <c r="K242" i="16" s="1"/>
  <c r="L242" i="16" s="1"/>
  <c r="J241" i="16"/>
  <c r="I241" i="16"/>
  <c r="K241" i="16" s="1"/>
  <c r="J240" i="16"/>
  <c r="I240" i="16"/>
  <c r="K240" i="16" s="1"/>
  <c r="L240" i="16" s="1"/>
  <c r="J239" i="16"/>
  <c r="I239" i="16"/>
  <c r="K239" i="16" s="1"/>
  <c r="J238" i="16"/>
  <c r="I238" i="16"/>
  <c r="K238" i="16" s="1"/>
  <c r="L238" i="16" s="1"/>
  <c r="J237" i="16"/>
  <c r="I237" i="16"/>
  <c r="K237" i="16" s="1"/>
  <c r="J236" i="16"/>
  <c r="I236" i="16"/>
  <c r="K236" i="16" s="1"/>
  <c r="L236" i="16" s="1"/>
  <c r="J235" i="16"/>
  <c r="I235" i="16"/>
  <c r="K235" i="16" s="1"/>
  <c r="L235" i="16" s="1"/>
  <c r="J234" i="16"/>
  <c r="I234" i="16"/>
  <c r="K234" i="16" s="1"/>
  <c r="L234" i="16" s="1"/>
  <c r="J233" i="16"/>
  <c r="I233" i="16"/>
  <c r="K233" i="16" s="1"/>
  <c r="L233" i="16" s="1"/>
  <c r="J232" i="16"/>
  <c r="I232" i="16"/>
  <c r="K232" i="16" s="1"/>
  <c r="L232" i="16" s="1"/>
  <c r="J231" i="16"/>
  <c r="I231" i="16"/>
  <c r="K231" i="16" s="1"/>
  <c r="L231" i="16" s="1"/>
  <c r="J230" i="16"/>
  <c r="I230" i="16"/>
  <c r="K230" i="16" s="1"/>
  <c r="J229" i="16"/>
  <c r="I229" i="16"/>
  <c r="K229" i="16" s="1"/>
  <c r="J228" i="16"/>
  <c r="I228" i="16"/>
  <c r="K228" i="16" s="1"/>
  <c r="L228" i="16" s="1"/>
  <c r="J227" i="16"/>
  <c r="I227" i="16"/>
  <c r="K227" i="16" s="1"/>
  <c r="J226" i="16"/>
  <c r="I226" i="16"/>
  <c r="K226" i="16" s="1"/>
  <c r="J225" i="16"/>
  <c r="I225" i="16"/>
  <c r="K225" i="16" s="1"/>
  <c r="J224" i="16"/>
  <c r="I224" i="16"/>
  <c r="K224" i="16" s="1"/>
  <c r="L224" i="16" s="1"/>
  <c r="J223" i="16"/>
  <c r="I223" i="16"/>
  <c r="K223" i="16" s="1"/>
  <c r="J222" i="16"/>
  <c r="I222" i="16"/>
  <c r="K222" i="16" s="1"/>
  <c r="J221" i="16"/>
  <c r="I221" i="16"/>
  <c r="K221" i="16" s="1"/>
  <c r="J220" i="16"/>
  <c r="I220" i="16"/>
  <c r="K220" i="16" s="1"/>
  <c r="L220" i="16" s="1"/>
  <c r="J219" i="16"/>
  <c r="I219" i="16"/>
  <c r="K219" i="16" s="1"/>
  <c r="J218" i="16"/>
  <c r="I218" i="16"/>
  <c r="K218" i="16" s="1"/>
  <c r="L218" i="16" s="1"/>
  <c r="J217" i="16"/>
  <c r="I217" i="16"/>
  <c r="K217" i="16" s="1"/>
  <c r="L217" i="16" s="1"/>
  <c r="J216" i="16"/>
  <c r="I216" i="16"/>
  <c r="K216" i="16" s="1"/>
  <c r="L216" i="16" s="1"/>
  <c r="J215" i="16"/>
  <c r="I215" i="16"/>
  <c r="K215" i="16" s="1"/>
  <c r="J214" i="16"/>
  <c r="I214" i="16"/>
  <c r="K214" i="16" s="1"/>
  <c r="J213" i="16"/>
  <c r="I213" i="16"/>
  <c r="K213" i="16" s="1"/>
  <c r="L213" i="16" s="1"/>
  <c r="J212" i="16"/>
  <c r="I212" i="16"/>
  <c r="K212" i="16" s="1"/>
  <c r="L212" i="16" s="1"/>
  <c r="J211" i="16"/>
  <c r="I211" i="16"/>
  <c r="K211" i="16" s="1"/>
  <c r="L211" i="16" s="1"/>
  <c r="J210" i="16"/>
  <c r="I210" i="16"/>
  <c r="K210" i="16" s="1"/>
  <c r="J209" i="16"/>
  <c r="I209" i="16"/>
  <c r="K209" i="16" s="1"/>
  <c r="L209" i="16" s="1"/>
  <c r="J208" i="16"/>
  <c r="I208" i="16"/>
  <c r="K208" i="16" s="1"/>
  <c r="L208" i="16" s="1"/>
  <c r="J207" i="16"/>
  <c r="I207" i="16"/>
  <c r="K207" i="16" s="1"/>
  <c r="J206" i="16"/>
  <c r="I206" i="16"/>
  <c r="K206" i="16" s="1"/>
  <c r="L206" i="16" s="1"/>
  <c r="J205" i="16"/>
  <c r="I205" i="16"/>
  <c r="K205" i="16" s="1"/>
  <c r="J204" i="16"/>
  <c r="I204" i="16"/>
  <c r="K204" i="16" s="1"/>
  <c r="L204" i="16" s="1"/>
  <c r="J203" i="16"/>
  <c r="I203" i="16"/>
  <c r="K203" i="16" s="1"/>
  <c r="J202" i="16"/>
  <c r="I202" i="16"/>
  <c r="K202" i="16" s="1"/>
  <c r="L202" i="16" s="1"/>
  <c r="J201" i="16"/>
  <c r="I201" i="16"/>
  <c r="K201" i="16" s="1"/>
  <c r="L201" i="16" s="1"/>
  <c r="K200" i="16"/>
  <c r="L200" i="16" s="1"/>
  <c r="J200" i="16"/>
  <c r="I200" i="16"/>
  <c r="J199" i="16"/>
  <c r="I199" i="16"/>
  <c r="K199" i="16" s="1"/>
  <c r="J198" i="16"/>
  <c r="I198" i="16"/>
  <c r="K198" i="16" s="1"/>
  <c r="L198" i="16" s="1"/>
  <c r="J197" i="16"/>
  <c r="I197" i="16"/>
  <c r="K197" i="16" s="1"/>
  <c r="J196" i="16"/>
  <c r="I196" i="16"/>
  <c r="K196" i="16" s="1"/>
  <c r="L196" i="16" s="1"/>
  <c r="J195" i="16"/>
  <c r="I195" i="16"/>
  <c r="K195" i="16" s="1"/>
  <c r="J194" i="16"/>
  <c r="I194" i="16"/>
  <c r="K194" i="16" s="1"/>
  <c r="L194" i="16" s="1"/>
  <c r="J193" i="16"/>
  <c r="I193" i="16"/>
  <c r="K193" i="16" s="1"/>
  <c r="J192" i="16"/>
  <c r="I192" i="16"/>
  <c r="K192" i="16" s="1"/>
  <c r="L192" i="16" s="1"/>
  <c r="J191" i="16"/>
  <c r="I191" i="16"/>
  <c r="K191" i="16" s="1"/>
  <c r="L191" i="16" s="1"/>
  <c r="J190" i="16"/>
  <c r="I190" i="16"/>
  <c r="K190" i="16" s="1"/>
  <c r="J189" i="16"/>
  <c r="I189" i="16"/>
  <c r="K189" i="16" s="1"/>
  <c r="J188" i="16"/>
  <c r="I188" i="16"/>
  <c r="K188" i="16" s="1"/>
  <c r="L188" i="16" s="1"/>
  <c r="J187" i="16"/>
  <c r="I187" i="16"/>
  <c r="K187" i="16" s="1"/>
  <c r="L187" i="16" s="1"/>
  <c r="J186" i="16"/>
  <c r="I186" i="16"/>
  <c r="K186" i="16" s="1"/>
  <c r="L186" i="16" s="1"/>
  <c r="J185" i="16"/>
  <c r="I185" i="16"/>
  <c r="K185" i="16" s="1"/>
  <c r="J184" i="16"/>
  <c r="I184" i="16"/>
  <c r="K184" i="16" s="1"/>
  <c r="L184" i="16" s="1"/>
  <c r="J183" i="16"/>
  <c r="I183" i="16"/>
  <c r="K183" i="16" s="1"/>
  <c r="L183" i="16" s="1"/>
  <c r="J182" i="16"/>
  <c r="I182" i="16"/>
  <c r="K182" i="16" s="1"/>
  <c r="L182" i="16" s="1"/>
  <c r="J181" i="16"/>
  <c r="I181" i="16"/>
  <c r="K181" i="16" s="1"/>
  <c r="J180" i="16"/>
  <c r="I180" i="16"/>
  <c r="K180" i="16" s="1"/>
  <c r="L180" i="16" s="1"/>
  <c r="J179" i="16"/>
  <c r="I179" i="16"/>
  <c r="K179" i="16" s="1"/>
  <c r="L179" i="16" s="1"/>
  <c r="J178" i="16"/>
  <c r="I178" i="16"/>
  <c r="K178" i="16" s="1"/>
  <c r="J177" i="16"/>
  <c r="I177" i="16"/>
  <c r="K177" i="16" s="1"/>
  <c r="J176" i="16"/>
  <c r="I176" i="16"/>
  <c r="K176" i="16" s="1"/>
  <c r="L176" i="16" s="1"/>
  <c r="J175" i="16"/>
  <c r="I175" i="16"/>
  <c r="K175" i="16" s="1"/>
  <c r="J174" i="16"/>
  <c r="I174" i="16"/>
  <c r="K174" i="16" s="1"/>
  <c r="L174" i="16" s="1"/>
  <c r="J173" i="16"/>
  <c r="I173" i="16"/>
  <c r="K173" i="16" s="1"/>
  <c r="L173" i="16" s="1"/>
  <c r="J172" i="16"/>
  <c r="I172" i="16"/>
  <c r="K172" i="16" s="1"/>
  <c r="L172" i="16" s="1"/>
  <c r="J171" i="16"/>
  <c r="I171" i="16"/>
  <c r="K171" i="16" s="1"/>
  <c r="J170" i="16"/>
  <c r="I170" i="16"/>
  <c r="K170" i="16" s="1"/>
  <c r="J169" i="16"/>
  <c r="I169" i="16"/>
  <c r="K169" i="16" s="1"/>
  <c r="J168" i="16"/>
  <c r="I168" i="16"/>
  <c r="K168" i="16" s="1"/>
  <c r="L168" i="16" s="1"/>
  <c r="J167" i="16"/>
  <c r="I167" i="16"/>
  <c r="K167" i="16" s="1"/>
  <c r="L167" i="16" s="1"/>
  <c r="J166" i="16"/>
  <c r="I166" i="16"/>
  <c r="K166" i="16" s="1"/>
  <c r="L166" i="16" s="1"/>
  <c r="J165" i="16"/>
  <c r="I165" i="16"/>
  <c r="K165" i="16" s="1"/>
  <c r="L165" i="16" s="1"/>
  <c r="J164" i="16"/>
  <c r="I164" i="16"/>
  <c r="K164" i="16" s="1"/>
  <c r="L164" i="16" s="1"/>
  <c r="J163" i="16"/>
  <c r="I163" i="16"/>
  <c r="K163" i="16" s="1"/>
  <c r="J162" i="16"/>
  <c r="I162" i="16"/>
  <c r="K162" i="16" s="1"/>
  <c r="J161" i="16"/>
  <c r="I161" i="16"/>
  <c r="K161" i="16" s="1"/>
  <c r="J160" i="16"/>
  <c r="I160" i="16"/>
  <c r="K160" i="16" s="1"/>
  <c r="L160" i="16" s="1"/>
  <c r="J159" i="16"/>
  <c r="I159" i="16"/>
  <c r="K159" i="16" s="1"/>
  <c r="L159" i="16" s="1"/>
  <c r="J158" i="16"/>
  <c r="I158" i="16"/>
  <c r="K158" i="16" s="1"/>
  <c r="J157" i="16"/>
  <c r="I157" i="16"/>
  <c r="K157" i="16" s="1"/>
  <c r="J156" i="16"/>
  <c r="I156" i="16"/>
  <c r="K156" i="16" s="1"/>
  <c r="L156" i="16" s="1"/>
  <c r="J155" i="16"/>
  <c r="I155" i="16"/>
  <c r="K155" i="16" s="1"/>
  <c r="J154" i="16"/>
  <c r="I154" i="16"/>
  <c r="K154" i="16" s="1"/>
  <c r="J153" i="16"/>
  <c r="I153" i="16"/>
  <c r="K153" i="16" s="1"/>
  <c r="L153" i="16" s="1"/>
  <c r="J152" i="16"/>
  <c r="I152" i="16"/>
  <c r="K152" i="16" s="1"/>
  <c r="J151" i="16"/>
  <c r="I151" i="16"/>
  <c r="K151" i="16" s="1"/>
  <c r="L151" i="16" s="1"/>
  <c r="J150" i="16"/>
  <c r="I150" i="16"/>
  <c r="K150" i="16" s="1"/>
  <c r="J149" i="16"/>
  <c r="I149" i="16"/>
  <c r="K149" i="16" s="1"/>
  <c r="L149" i="16" s="1"/>
  <c r="J148" i="16"/>
  <c r="I148" i="16"/>
  <c r="K148" i="16" s="1"/>
  <c r="J147" i="16"/>
  <c r="I147" i="16"/>
  <c r="K147" i="16" s="1"/>
  <c r="L147" i="16" s="1"/>
  <c r="J146" i="16"/>
  <c r="I146" i="16"/>
  <c r="K146" i="16" s="1"/>
  <c r="K145" i="16"/>
  <c r="J145" i="16"/>
  <c r="I145" i="16"/>
  <c r="J144" i="16"/>
  <c r="I144" i="16"/>
  <c r="K144" i="16" s="1"/>
  <c r="J143" i="16"/>
  <c r="I143" i="16"/>
  <c r="K143" i="16" s="1"/>
  <c r="L143" i="16" s="1"/>
  <c r="L142" i="16"/>
  <c r="J142" i="16"/>
  <c r="I142" i="16"/>
  <c r="K142" i="16" s="1"/>
  <c r="J141" i="16"/>
  <c r="I141" i="16"/>
  <c r="K141" i="16" s="1"/>
  <c r="J140" i="16"/>
  <c r="I140" i="16"/>
  <c r="K140" i="16" s="1"/>
  <c r="K139" i="16"/>
  <c r="L139" i="16" s="1"/>
  <c r="J139" i="16"/>
  <c r="I139" i="16"/>
  <c r="J138" i="16"/>
  <c r="I138" i="16"/>
  <c r="K138" i="16" s="1"/>
  <c r="J137" i="16"/>
  <c r="I137" i="16"/>
  <c r="K137" i="16" s="1"/>
  <c r="J136" i="16"/>
  <c r="I136" i="16"/>
  <c r="K136" i="16" s="1"/>
  <c r="L136" i="16" s="1"/>
  <c r="J135" i="16"/>
  <c r="I135" i="16"/>
  <c r="K135" i="16" s="1"/>
  <c r="J134" i="16"/>
  <c r="I134" i="16"/>
  <c r="K134" i="16" s="1"/>
  <c r="L134" i="16" s="1"/>
  <c r="J133" i="16"/>
  <c r="I133" i="16"/>
  <c r="K133" i="16" s="1"/>
  <c r="L133" i="16" s="1"/>
  <c r="J132" i="16"/>
  <c r="I132" i="16"/>
  <c r="K132" i="16" s="1"/>
  <c r="J131" i="16"/>
  <c r="I131" i="16"/>
  <c r="K131" i="16" s="1"/>
  <c r="L131" i="16" s="1"/>
  <c r="J130" i="16"/>
  <c r="I130" i="16"/>
  <c r="K130" i="16" s="1"/>
  <c r="L130" i="16" s="1"/>
  <c r="K129" i="16"/>
  <c r="J129" i="16"/>
  <c r="I129" i="16"/>
  <c r="J128" i="16"/>
  <c r="I128" i="16"/>
  <c r="K128" i="16" s="1"/>
  <c r="J127" i="16"/>
  <c r="I127" i="16"/>
  <c r="K127" i="16" s="1"/>
  <c r="L127" i="16" s="1"/>
  <c r="J126" i="16"/>
  <c r="I126" i="16"/>
  <c r="K126" i="16" s="1"/>
  <c r="L126" i="16" s="1"/>
  <c r="J125" i="16"/>
  <c r="I125" i="16"/>
  <c r="K125" i="16" s="1"/>
  <c r="L125" i="16" s="1"/>
  <c r="J124" i="16"/>
  <c r="I124" i="16"/>
  <c r="K124" i="16" s="1"/>
  <c r="J123" i="16"/>
  <c r="I123" i="16"/>
  <c r="K123" i="16" s="1"/>
  <c r="L123" i="16" s="1"/>
  <c r="J122" i="16"/>
  <c r="I122" i="16"/>
  <c r="K122" i="16" s="1"/>
  <c r="L122" i="16" s="1"/>
  <c r="K121" i="16"/>
  <c r="J121" i="16"/>
  <c r="I121" i="16"/>
  <c r="J120" i="16"/>
  <c r="I120" i="16"/>
  <c r="K120" i="16" s="1"/>
  <c r="L120" i="16" s="1"/>
  <c r="J119" i="16"/>
  <c r="I119" i="16"/>
  <c r="K119" i="16" s="1"/>
  <c r="L119" i="16" s="1"/>
  <c r="J118" i="16"/>
  <c r="I118" i="16"/>
  <c r="K118" i="16" s="1"/>
  <c r="J117" i="16"/>
  <c r="I117" i="16"/>
  <c r="K117" i="16" s="1"/>
  <c r="J116" i="16"/>
  <c r="I116" i="16"/>
  <c r="K116" i="16" s="1"/>
  <c r="J115" i="16"/>
  <c r="I115" i="16"/>
  <c r="K115" i="16" s="1"/>
  <c r="L115" i="16" s="1"/>
  <c r="J114" i="16"/>
  <c r="I114" i="16"/>
  <c r="K114" i="16" s="1"/>
  <c r="J113" i="16"/>
  <c r="I113" i="16"/>
  <c r="K113" i="16" s="1"/>
  <c r="J112" i="16"/>
  <c r="I112" i="16"/>
  <c r="K112" i="16" s="1"/>
  <c r="L112" i="16" s="1"/>
  <c r="J111" i="16"/>
  <c r="I111" i="16"/>
  <c r="K111" i="16" s="1"/>
  <c r="L111" i="16" s="1"/>
  <c r="J110" i="16"/>
  <c r="I110" i="16"/>
  <c r="K110" i="16" s="1"/>
  <c r="J109" i="16"/>
  <c r="I109" i="16"/>
  <c r="K109" i="16" s="1"/>
  <c r="L109" i="16" s="1"/>
  <c r="J108" i="16"/>
  <c r="I108" i="16"/>
  <c r="K108" i="16" s="1"/>
  <c r="J107" i="16"/>
  <c r="I107" i="16"/>
  <c r="K107" i="16" s="1"/>
  <c r="L107" i="16" s="1"/>
  <c r="J106" i="16"/>
  <c r="I106" i="16"/>
  <c r="K106" i="16" s="1"/>
  <c r="J105" i="16"/>
  <c r="I105" i="16"/>
  <c r="K105" i="16" s="1"/>
  <c r="J104" i="16"/>
  <c r="I104" i="16"/>
  <c r="K104" i="16" s="1"/>
  <c r="J103" i="16"/>
  <c r="I103" i="16"/>
  <c r="K103" i="16" s="1"/>
  <c r="J102" i="16"/>
  <c r="I102" i="16"/>
  <c r="K102" i="16" s="1"/>
  <c r="L102" i="16" s="1"/>
  <c r="J101" i="16"/>
  <c r="I101" i="16"/>
  <c r="K101" i="16" s="1"/>
  <c r="L101" i="16" s="1"/>
  <c r="V100" i="16"/>
  <c r="J100" i="16"/>
  <c r="I100" i="16"/>
  <c r="K100" i="16" s="1"/>
  <c r="J99" i="16"/>
  <c r="I99" i="16"/>
  <c r="K99" i="16" s="1"/>
  <c r="L99" i="16" s="1"/>
  <c r="J98" i="16"/>
  <c r="I98" i="16"/>
  <c r="K98" i="16" s="1"/>
  <c r="L98" i="16" s="1"/>
  <c r="J97" i="16"/>
  <c r="I97" i="16"/>
  <c r="K97" i="16" s="1"/>
  <c r="L97" i="16" s="1"/>
  <c r="V96" i="16"/>
  <c r="K96" i="16"/>
  <c r="J96" i="16"/>
  <c r="I96" i="16"/>
  <c r="V95" i="16"/>
  <c r="J95" i="16"/>
  <c r="I95" i="16"/>
  <c r="K95" i="16" s="1"/>
  <c r="L95" i="16" s="1"/>
  <c r="K94" i="16"/>
  <c r="J94" i="16"/>
  <c r="I94" i="16"/>
  <c r="J93" i="16"/>
  <c r="I93" i="16"/>
  <c r="K93" i="16" s="1"/>
  <c r="J92" i="16"/>
  <c r="I92" i="16"/>
  <c r="K92" i="16" s="1"/>
  <c r="L92" i="16" s="1"/>
  <c r="J91" i="16"/>
  <c r="I91" i="16"/>
  <c r="K91" i="16" s="1"/>
  <c r="J90" i="16"/>
  <c r="I90" i="16"/>
  <c r="K90" i="16" s="1"/>
  <c r="J89" i="16"/>
  <c r="I89" i="16"/>
  <c r="K89" i="16" s="1"/>
  <c r="L89" i="16" s="1"/>
  <c r="J88" i="16"/>
  <c r="I88" i="16"/>
  <c r="K88" i="16" s="1"/>
  <c r="L88" i="16" s="1"/>
  <c r="J87" i="16"/>
  <c r="I87" i="16"/>
  <c r="K87" i="16" s="1"/>
  <c r="L87" i="16" s="1"/>
  <c r="J86" i="16"/>
  <c r="I86" i="16"/>
  <c r="K86" i="16" s="1"/>
  <c r="J85" i="16"/>
  <c r="I85" i="16"/>
  <c r="K85" i="16" s="1"/>
  <c r="L85" i="16" s="1"/>
  <c r="J84" i="16"/>
  <c r="I84" i="16"/>
  <c r="K84" i="16" s="1"/>
  <c r="J83" i="16"/>
  <c r="I83" i="16"/>
  <c r="K83" i="16" s="1"/>
  <c r="L83" i="16" s="1"/>
  <c r="J82" i="16"/>
  <c r="I82" i="16"/>
  <c r="K82" i="16" s="1"/>
  <c r="J81" i="16"/>
  <c r="I81" i="16"/>
  <c r="K81" i="16" s="1"/>
  <c r="J80" i="16"/>
  <c r="I80" i="16"/>
  <c r="K80" i="16" s="1"/>
  <c r="J79" i="16"/>
  <c r="I79" i="16"/>
  <c r="K79" i="16" s="1"/>
  <c r="L79" i="16" s="1"/>
  <c r="J78" i="16"/>
  <c r="I78" i="16"/>
  <c r="K78" i="16" s="1"/>
  <c r="J77" i="16"/>
  <c r="I77" i="16"/>
  <c r="K77" i="16" s="1"/>
  <c r="J76" i="16"/>
  <c r="I76" i="16"/>
  <c r="K76" i="16" s="1"/>
  <c r="J75" i="16"/>
  <c r="I75" i="16"/>
  <c r="K75" i="16" s="1"/>
  <c r="J74" i="16"/>
  <c r="I74" i="16"/>
  <c r="K74" i="16" s="1"/>
  <c r="L74" i="16" s="1"/>
  <c r="J73" i="16"/>
  <c r="I73" i="16"/>
  <c r="K73" i="16" s="1"/>
  <c r="L73" i="16" s="1"/>
  <c r="V75" i="16" s="1"/>
  <c r="K72" i="16"/>
  <c r="L72" i="16" s="1"/>
  <c r="V74" i="16" s="1"/>
  <c r="J72" i="16"/>
  <c r="I72" i="16"/>
  <c r="J71" i="16"/>
  <c r="I71" i="16"/>
  <c r="K71" i="16" s="1"/>
  <c r="L71" i="16" s="1"/>
  <c r="J70" i="16"/>
  <c r="I70" i="16"/>
  <c r="K70" i="16" s="1"/>
  <c r="L70" i="16" s="1"/>
  <c r="J69" i="16"/>
  <c r="I69" i="16"/>
  <c r="K69" i="16" s="1"/>
  <c r="J68" i="16"/>
  <c r="I68" i="16"/>
  <c r="K68" i="16" s="1"/>
  <c r="J67" i="16"/>
  <c r="I67" i="16"/>
  <c r="K67" i="16" s="1"/>
  <c r="L67" i="16" s="1"/>
  <c r="J66" i="16"/>
  <c r="I66" i="16"/>
  <c r="K66" i="16" s="1"/>
  <c r="J65" i="16"/>
  <c r="I65" i="16"/>
  <c r="K65" i="16" s="1"/>
  <c r="J64" i="16"/>
  <c r="I64" i="16"/>
  <c r="K64" i="16" s="1"/>
  <c r="L64" i="16" s="1"/>
  <c r="J63" i="16"/>
  <c r="I63" i="16"/>
  <c r="K63" i="16" s="1"/>
  <c r="L63" i="16" s="1"/>
  <c r="V65" i="16" s="1"/>
  <c r="J62" i="16"/>
  <c r="I62" i="16"/>
  <c r="K62" i="16" s="1"/>
  <c r="J61" i="16"/>
  <c r="I61" i="16"/>
  <c r="K61" i="16" s="1"/>
  <c r="L61" i="16" s="1"/>
  <c r="J60" i="16"/>
  <c r="I60" i="16"/>
  <c r="K60" i="16" s="1"/>
  <c r="L60" i="16" s="1"/>
  <c r="J59" i="16"/>
  <c r="I59" i="16"/>
  <c r="K59" i="16" s="1"/>
  <c r="L59" i="16" s="1"/>
  <c r="J58" i="16"/>
  <c r="I58" i="16"/>
  <c r="K58" i="16" s="1"/>
  <c r="J57" i="16"/>
  <c r="I57" i="16"/>
  <c r="K57" i="16" s="1"/>
  <c r="L57" i="16" s="1"/>
  <c r="J56" i="16"/>
  <c r="I56" i="16"/>
  <c r="K56" i="16" s="1"/>
  <c r="J55" i="16"/>
  <c r="I55" i="16"/>
  <c r="K55" i="16" s="1"/>
  <c r="L55" i="16" s="1"/>
  <c r="J54" i="16"/>
  <c r="I54" i="16"/>
  <c r="K54" i="16" s="1"/>
  <c r="J53" i="16"/>
  <c r="I53" i="16"/>
  <c r="K53" i="16" s="1"/>
  <c r="J52" i="16"/>
  <c r="I52" i="16"/>
  <c r="K52" i="16" s="1"/>
  <c r="J51" i="16"/>
  <c r="I51" i="16"/>
  <c r="K51" i="16" s="1"/>
  <c r="J50" i="16"/>
  <c r="I50" i="16"/>
  <c r="K50" i="16" s="1"/>
  <c r="J49" i="16"/>
  <c r="I49" i="16"/>
  <c r="K49" i="16" s="1"/>
  <c r="L49" i="16" s="1"/>
  <c r="J48" i="16"/>
  <c r="I48" i="16"/>
  <c r="K48" i="16" s="1"/>
  <c r="L48" i="16" s="1"/>
  <c r="J47" i="16"/>
  <c r="I47" i="16"/>
  <c r="K47" i="16" s="1"/>
  <c r="L47" i="16" s="1"/>
  <c r="J46" i="16"/>
  <c r="I46" i="16"/>
  <c r="K46" i="16" s="1"/>
  <c r="J45" i="16"/>
  <c r="I45" i="16"/>
  <c r="K45" i="16" s="1"/>
  <c r="L45" i="16" s="1"/>
  <c r="J44" i="16"/>
  <c r="I44" i="16"/>
  <c r="K44" i="16" s="1"/>
  <c r="J43" i="16"/>
  <c r="I43" i="16"/>
  <c r="K43" i="16" s="1"/>
  <c r="J42" i="16"/>
  <c r="I42" i="16"/>
  <c r="K42" i="16" s="1"/>
  <c r="J41" i="16"/>
  <c r="I41" i="16"/>
  <c r="K41" i="16" s="1"/>
  <c r="J40" i="16"/>
  <c r="I40" i="16"/>
  <c r="K40" i="16" s="1"/>
  <c r="L40" i="16" s="1"/>
  <c r="J39" i="16"/>
  <c r="I39" i="16"/>
  <c r="K39" i="16" s="1"/>
  <c r="J38" i="16"/>
  <c r="I38" i="16"/>
  <c r="K38" i="16" s="1"/>
  <c r="J37" i="16"/>
  <c r="I37" i="16"/>
  <c r="K37" i="16" s="1"/>
  <c r="L37" i="16" s="1"/>
  <c r="J36" i="16"/>
  <c r="I36" i="16"/>
  <c r="K36" i="16" s="1"/>
  <c r="L36" i="16" s="1"/>
  <c r="J35" i="16"/>
  <c r="I35" i="16"/>
  <c r="K35" i="16" s="1"/>
  <c r="L35" i="16" s="1"/>
  <c r="K34" i="16"/>
  <c r="J34" i="16"/>
  <c r="I34" i="16"/>
  <c r="J33" i="16"/>
  <c r="I33" i="16"/>
  <c r="K33" i="16" s="1"/>
  <c r="J32" i="16"/>
  <c r="I32" i="16"/>
  <c r="K32" i="16" s="1"/>
  <c r="J31" i="16"/>
  <c r="I31" i="16"/>
  <c r="K31" i="16" s="1"/>
  <c r="L31" i="16" s="1"/>
  <c r="J30" i="16"/>
  <c r="I30" i="16"/>
  <c r="K30" i="16" s="1"/>
  <c r="L30" i="16" s="1"/>
  <c r="J29" i="16"/>
  <c r="I29" i="16"/>
  <c r="K29" i="16" s="1"/>
  <c r="L29" i="16" s="1"/>
  <c r="J28" i="16"/>
  <c r="I28" i="16"/>
  <c r="K28" i="16" s="1"/>
  <c r="J27" i="16"/>
  <c r="I27" i="16"/>
  <c r="K27" i="16" s="1"/>
  <c r="L27" i="16" s="1"/>
  <c r="J26" i="16"/>
  <c r="I26" i="16"/>
  <c r="K26" i="16" s="1"/>
  <c r="L26" i="16" s="1"/>
  <c r="J25" i="16"/>
  <c r="I25" i="16"/>
  <c r="K25" i="16" s="1"/>
  <c r="L25" i="16" s="1"/>
  <c r="J24" i="16"/>
  <c r="I24" i="16"/>
  <c r="K24" i="16" s="1"/>
  <c r="L24" i="16" s="1"/>
  <c r="J23" i="16"/>
  <c r="I23" i="16"/>
  <c r="K23" i="16" s="1"/>
  <c r="J22" i="16"/>
  <c r="I22" i="16"/>
  <c r="K22" i="16" s="1"/>
  <c r="J21" i="16"/>
  <c r="I21" i="16"/>
  <c r="K21" i="16" s="1"/>
  <c r="L21" i="16" s="1"/>
  <c r="K20" i="16"/>
  <c r="L20" i="16" s="1"/>
  <c r="J20" i="16"/>
  <c r="I20" i="16"/>
  <c r="J19" i="16"/>
  <c r="I19" i="16"/>
  <c r="K19" i="16" s="1"/>
  <c r="L19" i="16" s="1"/>
  <c r="J18" i="16"/>
  <c r="I18" i="16"/>
  <c r="K18" i="16" s="1"/>
  <c r="L18" i="16" s="1"/>
  <c r="J17" i="16"/>
  <c r="I17" i="16"/>
  <c r="K17" i="16" s="1"/>
  <c r="L17" i="16" s="1"/>
  <c r="J16" i="16"/>
  <c r="I16" i="16"/>
  <c r="K16" i="16" s="1"/>
  <c r="J15" i="16"/>
  <c r="I15" i="16"/>
  <c r="K15" i="16" s="1"/>
  <c r="L15" i="16" s="1"/>
  <c r="J14" i="16"/>
  <c r="I14" i="16"/>
  <c r="K14" i="16" s="1"/>
  <c r="L14" i="16" s="1"/>
  <c r="J13" i="16"/>
  <c r="I13" i="16"/>
  <c r="K13" i="16" s="1"/>
  <c r="L13" i="16" s="1"/>
  <c r="J12" i="16"/>
  <c r="I12" i="16"/>
  <c r="K12" i="16" s="1"/>
  <c r="L12" i="16" s="1"/>
  <c r="J11" i="16"/>
  <c r="I11" i="16"/>
  <c r="K11" i="16" s="1"/>
  <c r="J10" i="16"/>
  <c r="I10" i="16"/>
  <c r="K10" i="16" s="1"/>
  <c r="J9" i="16"/>
  <c r="I9" i="16"/>
  <c r="K9" i="16" s="1"/>
  <c r="J8" i="16"/>
  <c r="I8" i="16"/>
  <c r="K8" i="16" s="1"/>
  <c r="L8" i="16" s="1"/>
  <c r="J7" i="16"/>
  <c r="I7" i="16"/>
  <c r="K7" i="16" s="1"/>
  <c r="J6" i="16"/>
  <c r="I6" i="16"/>
  <c r="K6" i="16" s="1"/>
  <c r="J5" i="16"/>
  <c r="I5" i="16"/>
  <c r="K5" i="16" s="1"/>
  <c r="J4" i="16"/>
  <c r="I4" i="16"/>
  <c r="K4" i="16" s="1"/>
  <c r="L4" i="16" s="1"/>
  <c r="J3" i="16"/>
  <c r="I3" i="16"/>
  <c r="K3" i="16" s="1"/>
  <c r="L3" i="16" s="1"/>
  <c r="J2" i="16"/>
  <c r="I2" i="16"/>
  <c r="K2" i="16" s="1"/>
  <c r="I322" i="9"/>
  <c r="K322" i="9" s="1"/>
  <c r="L322" i="9" s="1"/>
  <c r="M322" i="9" s="1"/>
  <c r="P322" i="9" s="1"/>
  <c r="J322" i="9"/>
  <c r="I322" i="1"/>
  <c r="K322" i="1" s="1"/>
  <c r="J322" i="1"/>
  <c r="L292" i="18" l="1"/>
  <c r="L5" i="18"/>
  <c r="L9" i="18"/>
  <c r="L12" i="18"/>
  <c r="L73" i="18"/>
  <c r="V75" i="18" s="1"/>
  <c r="L87" i="18"/>
  <c r="L94" i="18"/>
  <c r="L199" i="18"/>
  <c r="L232" i="18"/>
  <c r="L236" i="18"/>
  <c r="L240" i="18"/>
  <c r="L275" i="18"/>
  <c r="L290" i="18"/>
  <c r="L115" i="18"/>
  <c r="L2" i="18"/>
  <c r="L6" i="18"/>
  <c r="L43" i="18"/>
  <c r="L47" i="18"/>
  <c r="L62" i="18"/>
  <c r="V64" i="18" s="1"/>
  <c r="L70" i="18"/>
  <c r="L81" i="18"/>
  <c r="L88" i="18"/>
  <c r="L91" i="18"/>
  <c r="L139" i="18"/>
  <c r="L143" i="18"/>
  <c r="L147" i="18"/>
  <c r="L162" i="18"/>
  <c r="L166" i="18"/>
  <c r="L188" i="18"/>
  <c r="L192" i="18"/>
  <c r="L203" i="18"/>
  <c r="L217" i="18"/>
  <c r="L225" i="18"/>
  <c r="L256" i="18"/>
  <c r="L17" i="18"/>
  <c r="L40" i="18"/>
  <c r="L51" i="18"/>
  <c r="L55" i="18"/>
  <c r="L78" i="18"/>
  <c r="V80" i="18" s="1"/>
  <c r="L85" i="18"/>
  <c r="L102" i="18"/>
  <c r="L106" i="18"/>
  <c r="L110" i="18"/>
  <c r="L114" i="18"/>
  <c r="L121" i="18"/>
  <c r="L125" i="18"/>
  <c r="L155" i="18"/>
  <c r="L200" i="18"/>
  <c r="L233" i="18"/>
  <c r="L241" i="18"/>
  <c r="L244" i="18"/>
  <c r="L264" i="18"/>
  <c r="L268" i="18"/>
  <c r="L272" i="18"/>
  <c r="L291" i="18"/>
  <c r="L7" i="18"/>
  <c r="L25" i="18"/>
  <c r="L63" i="18"/>
  <c r="L67" i="18"/>
  <c r="L71" i="18"/>
  <c r="V73" i="18" s="1"/>
  <c r="L75" i="18"/>
  <c r="V77" i="18" s="1"/>
  <c r="L92" i="18"/>
  <c r="L118" i="18"/>
  <c r="L133" i="18"/>
  <c r="L136" i="18"/>
  <c r="L140" i="18"/>
  <c r="L148" i="18"/>
  <c r="L159" i="18"/>
  <c r="L167" i="18"/>
  <c r="L185" i="18"/>
  <c r="L204" i="18"/>
  <c r="L218" i="18"/>
  <c r="L226" i="18"/>
  <c r="L249" i="18"/>
  <c r="L257" i="18"/>
  <c r="L280" i="18"/>
  <c r="L284" i="18"/>
  <c r="L307" i="18"/>
  <c r="L314" i="18"/>
  <c r="V96" i="18" s="1"/>
  <c r="L322" i="18"/>
  <c r="L156" i="18"/>
  <c r="L14" i="18"/>
  <c r="L18" i="18"/>
  <c r="L22" i="18"/>
  <c r="L29" i="18"/>
  <c r="L33" i="18"/>
  <c r="L41" i="18"/>
  <c r="L56" i="18"/>
  <c r="L79" i="18"/>
  <c r="L96" i="18"/>
  <c r="L111" i="18"/>
  <c r="L122" i="18"/>
  <c r="L126" i="18"/>
  <c r="L152" i="18"/>
  <c r="L171" i="18"/>
  <c r="L182" i="18"/>
  <c r="L234" i="18"/>
  <c r="L242" i="18"/>
  <c r="L265" i="18"/>
  <c r="L273" i="18"/>
  <c r="L174" i="18"/>
  <c r="L231" i="18"/>
  <c r="L238" i="18"/>
  <c r="L245" i="18"/>
  <c r="L263" i="18"/>
  <c r="L270" i="18"/>
  <c r="L277" i="18"/>
  <c r="L295" i="18"/>
  <c r="L302" i="18"/>
  <c r="V84" i="18" s="1"/>
  <c r="L309" i="18"/>
  <c r="V91" i="18" s="1"/>
  <c r="L312" i="18"/>
  <c r="V94" i="18" s="1"/>
  <c r="L177" i="18"/>
  <c r="L30" i="18"/>
  <c r="L37" i="18"/>
  <c r="L44" i="18"/>
  <c r="L48" i="18"/>
  <c r="L61" i="18"/>
  <c r="L68" i="18"/>
  <c r="V70" i="18" s="1"/>
  <c r="L74" i="18"/>
  <c r="V76" i="18" s="1"/>
  <c r="L109" i="18"/>
  <c r="L112" i="18"/>
  <c r="L137" i="18"/>
  <c r="L144" i="18"/>
  <c r="L158" i="18"/>
  <c r="L181" i="18"/>
  <c r="L193" i="18"/>
  <c r="L208" i="18"/>
  <c r="L211" i="18"/>
  <c r="L214" i="18"/>
  <c r="L221" i="18"/>
  <c r="L239" i="18"/>
  <c r="L246" i="18"/>
  <c r="L253" i="18"/>
  <c r="L271" i="18"/>
  <c r="L278" i="18"/>
  <c r="L285" i="18"/>
  <c r="L288" i="18"/>
  <c r="L303" i="18"/>
  <c r="V85" i="18" s="1"/>
  <c r="L310" i="18"/>
  <c r="V92" i="18" s="1"/>
  <c r="L317" i="18"/>
  <c r="V99" i="18" s="1"/>
  <c r="L10" i="18"/>
  <c r="L13" i="18"/>
  <c r="L23" i="18"/>
  <c r="L84" i="18"/>
  <c r="L134" i="18"/>
  <c r="L145" i="18"/>
  <c r="L151" i="18"/>
  <c r="L175" i="18"/>
  <c r="L194" i="18"/>
  <c r="L222" i="18"/>
  <c r="L229" i="18"/>
  <c r="L247" i="18"/>
  <c r="L254" i="18"/>
  <c r="L261" i="18"/>
  <c r="L279" i="18"/>
  <c r="L286" i="18"/>
  <c r="L293" i="18"/>
  <c r="L311" i="18"/>
  <c r="L318" i="18"/>
  <c r="V100" i="18" s="1"/>
  <c r="L24" i="18"/>
  <c r="L8" i="18"/>
  <c r="L21" i="18"/>
  <c r="L28" i="18"/>
  <c r="L32" i="18"/>
  <c r="L46" i="18"/>
  <c r="L53" i="18"/>
  <c r="L66" i="18"/>
  <c r="V68" i="18" s="1"/>
  <c r="L82" i="18"/>
  <c r="L98" i="18"/>
  <c r="L107" i="18"/>
  <c r="L117" i="18"/>
  <c r="L120" i="18"/>
  <c r="L132" i="18"/>
  <c r="L146" i="18"/>
  <c r="L163" i="18"/>
  <c r="L173" i="18"/>
  <c r="L186" i="18"/>
  <c r="L189" i="18"/>
  <c r="L201" i="18"/>
  <c r="L207" i="18"/>
  <c r="L213" i="18"/>
  <c r="L223" i="18"/>
  <c r="L230" i="18"/>
  <c r="L237" i="18"/>
  <c r="L255" i="18"/>
  <c r="L262" i="18"/>
  <c r="L269" i="18"/>
  <c r="L287" i="18"/>
  <c r="L294" i="18"/>
  <c r="L301" i="18"/>
  <c r="L319" i="18"/>
  <c r="V101" i="18" s="1"/>
  <c r="V83" i="18"/>
  <c r="L26" i="18"/>
  <c r="L65" i="18"/>
  <c r="L89" i="18"/>
  <c r="L108" i="18"/>
  <c r="L116" i="18"/>
  <c r="L235" i="18"/>
  <c r="L267" i="18"/>
  <c r="L299" i="18"/>
  <c r="V65" i="18"/>
  <c r="V102" i="18"/>
  <c r="V79" i="18"/>
  <c r="L52" i="18"/>
  <c r="L80" i="18"/>
  <c r="L170" i="18"/>
  <c r="L183" i="18"/>
  <c r="V89" i="18"/>
  <c r="V81" i="18"/>
  <c r="V93" i="18"/>
  <c r="V72" i="18"/>
  <c r="L202" i="18"/>
  <c r="V66" i="18"/>
  <c r="L69" i="18"/>
  <c r="V74" i="18"/>
  <c r="L36" i="18"/>
  <c r="L58" i="18"/>
  <c r="L42" i="18"/>
  <c r="V69" i="18"/>
  <c r="L165" i="18"/>
  <c r="L178" i="18"/>
  <c r="V86" i="18"/>
  <c r="V103" i="18"/>
  <c r="L157" i="18"/>
  <c r="L197" i="18"/>
  <c r="L5" i="17"/>
  <c r="L43" i="17"/>
  <c r="L106" i="17"/>
  <c r="L149" i="17"/>
  <c r="L186" i="17"/>
  <c r="L212" i="17"/>
  <c r="L231" i="17"/>
  <c r="L281" i="17"/>
  <c r="L12" i="17"/>
  <c r="L19" i="17"/>
  <c r="L40" i="17"/>
  <c r="L54" i="17"/>
  <c r="L76" i="17"/>
  <c r="V78" i="17" s="1"/>
  <c r="L103" i="17"/>
  <c r="L110" i="17"/>
  <c r="L120" i="17"/>
  <c r="L124" i="17"/>
  <c r="L135" i="17"/>
  <c r="L153" i="17"/>
  <c r="L171" i="17"/>
  <c r="L175" i="17"/>
  <c r="L179" i="17"/>
  <c r="L183" i="17"/>
  <c r="L190" i="17"/>
  <c r="L205" i="17"/>
  <c r="L216" i="17"/>
  <c r="L220" i="17"/>
  <c r="L224" i="17"/>
  <c r="L243" i="17"/>
  <c r="L247" i="17"/>
  <c r="L258" i="17"/>
  <c r="L285" i="17"/>
  <c r="L274" i="17"/>
  <c r="L278" i="17"/>
  <c r="L282" i="17"/>
  <c r="L289" i="17"/>
  <c r="L293" i="17"/>
  <c r="L301" i="17"/>
  <c r="L305" i="17"/>
  <c r="L320" i="17"/>
  <c r="V102" i="17" s="1"/>
  <c r="L47" i="17"/>
  <c r="L157" i="17"/>
  <c r="L194" i="17"/>
  <c r="L228" i="17"/>
  <c r="L3" i="17"/>
  <c r="L7" i="17"/>
  <c r="L27" i="17"/>
  <c r="L70" i="17"/>
  <c r="V72" i="17" s="1"/>
  <c r="L118" i="17"/>
  <c r="L129" i="17"/>
  <c r="L140" i="17"/>
  <c r="L147" i="17"/>
  <c r="L154" i="17"/>
  <c r="L158" i="17"/>
  <c r="L169" i="17"/>
  <c r="L195" i="17"/>
  <c r="L199" i="17"/>
  <c r="L203" i="17"/>
  <c r="L214" i="17"/>
  <c r="L229" i="17"/>
  <c r="L263" i="17"/>
  <c r="L267" i="17"/>
  <c r="L271" i="17"/>
  <c r="L275" i="17"/>
  <c r="L279" i="17"/>
  <c r="L321" i="17"/>
  <c r="V103" i="17" s="1"/>
  <c r="L287" i="17"/>
  <c r="L4" i="17"/>
  <c r="L21" i="17"/>
  <c r="L24" i="17"/>
  <c r="L28" i="17"/>
  <c r="L42" i="17"/>
  <c r="L60" i="17"/>
  <c r="L63" i="17"/>
  <c r="L71" i="17"/>
  <c r="L122" i="17"/>
  <c r="L256" i="17"/>
  <c r="L307" i="17"/>
  <c r="V89" i="17" s="1"/>
  <c r="L148" i="17"/>
  <c r="L311" i="17"/>
  <c r="V93" i="17" s="1"/>
  <c r="L48" i="17"/>
  <c r="L288" i="17"/>
  <c r="L312" i="17"/>
  <c r="L15" i="17"/>
  <c r="L99" i="17"/>
  <c r="L208" i="17"/>
  <c r="L260" i="17"/>
  <c r="L125" i="17"/>
  <c r="L23" i="17"/>
  <c r="L93" i="17"/>
  <c r="L89" i="17"/>
  <c r="L8" i="17"/>
  <c r="L44" i="17"/>
  <c r="L163" i="17"/>
  <c r="L187" i="17"/>
  <c r="L197" i="17"/>
  <c r="L241" i="17"/>
  <c r="L297" i="17"/>
  <c r="L318" i="17"/>
  <c r="L45" i="17"/>
  <c r="L94" i="17"/>
  <c r="L164" i="17"/>
  <c r="L11" i="17"/>
  <c r="L80" i="17"/>
  <c r="V82" i="17" s="1"/>
  <c r="L104" i="17"/>
  <c r="L167" i="17"/>
  <c r="L191" i="17"/>
  <c r="L201" i="17"/>
  <c r="L211" i="17"/>
  <c r="L235" i="17"/>
  <c r="L245" i="17"/>
  <c r="L266" i="17"/>
  <c r="L273" i="17"/>
  <c r="L188" i="17"/>
  <c r="L215" i="17"/>
  <c r="L32" i="17"/>
  <c r="L39" i="17"/>
  <c r="L51" i="17"/>
  <c r="L81" i="17"/>
  <c r="V83" i="17" s="1"/>
  <c r="L128" i="17"/>
  <c r="L174" i="17"/>
  <c r="L177" i="17"/>
  <c r="L198" i="17"/>
  <c r="L218" i="17"/>
  <c r="L225" i="17"/>
  <c r="L239" i="17"/>
  <c r="L242" i="17"/>
  <c r="L249" i="17"/>
  <c r="L270" i="17"/>
  <c r="L277" i="17"/>
  <c r="L295" i="17"/>
  <c r="L298" i="17"/>
  <c r="L319" i="17"/>
  <c r="V101" i="17" s="1"/>
  <c r="V69" i="17"/>
  <c r="V73" i="17"/>
  <c r="V80" i="17"/>
  <c r="V76" i="17"/>
  <c r="L141" i="17"/>
  <c r="L17" i="17"/>
  <c r="V64" i="17"/>
  <c r="V74" i="17"/>
  <c r="L210" i="17"/>
  <c r="L33" i="17"/>
  <c r="L36" i="17"/>
  <c r="V66" i="17"/>
  <c r="V71" i="17"/>
  <c r="L202" i="17"/>
  <c r="V94" i="17"/>
  <c r="L66" i="17"/>
  <c r="V65" i="17"/>
  <c r="L131" i="17"/>
  <c r="L49" i="17"/>
  <c r="L52" i="17"/>
  <c r="L65" i="17"/>
  <c r="L86" i="17"/>
  <c r="L90" i="17"/>
  <c r="L113" i="17"/>
  <c r="L145" i="17"/>
  <c r="L59" i="17"/>
  <c r="L109" i="17"/>
  <c r="L30" i="17"/>
  <c r="V86" i="17"/>
  <c r="L107" i="17"/>
  <c r="L139" i="17"/>
  <c r="L221" i="17"/>
  <c r="L251" i="17"/>
  <c r="L315" i="17"/>
  <c r="V84" i="17"/>
  <c r="V87" i="17"/>
  <c r="L111" i="17"/>
  <c r="L143" i="17"/>
  <c r="L165" i="17"/>
  <c r="V100" i="17"/>
  <c r="L234" i="17"/>
  <c r="V90" i="17"/>
  <c r="L119" i="17"/>
  <c r="L151" i="17"/>
  <c r="L123" i="17"/>
  <c r="L189" i="17"/>
  <c r="L283" i="17"/>
  <c r="V92" i="17"/>
  <c r="V98" i="17"/>
  <c r="L11" i="16"/>
  <c r="L94" i="16"/>
  <c r="L292" i="16"/>
  <c r="L52" i="16"/>
  <c r="L77" i="16"/>
  <c r="L175" i="16"/>
  <c r="L225" i="16"/>
  <c r="L267" i="16"/>
  <c r="L275" i="16"/>
  <c r="L282" i="16"/>
  <c r="L286" i="16"/>
  <c r="L305" i="16"/>
  <c r="V87" i="16" s="1"/>
  <c r="L53" i="16"/>
  <c r="L138" i="16"/>
  <c r="L210" i="16"/>
  <c r="L241" i="16"/>
  <c r="L279" i="16"/>
  <c r="L321" i="16"/>
  <c r="V103" i="16" s="1"/>
  <c r="L90" i="16"/>
  <c r="L93" i="16"/>
  <c r="L117" i="16"/>
  <c r="L157" i="16"/>
  <c r="L226" i="16"/>
  <c r="L245" i="16"/>
  <c r="L272" i="16"/>
  <c r="L291" i="16"/>
  <c r="L298" i="16"/>
  <c r="L306" i="16"/>
  <c r="V88" i="16" s="1"/>
  <c r="L46" i="16"/>
  <c r="L50" i="16"/>
  <c r="L54" i="16"/>
  <c r="L65" i="16"/>
  <c r="V67" i="16" s="1"/>
  <c r="L68" i="16"/>
  <c r="V70" i="16" s="1"/>
  <c r="L110" i="16"/>
  <c r="L135" i="16"/>
  <c r="L260" i="16"/>
  <c r="L2" i="16"/>
  <c r="L10" i="16"/>
  <c r="L34" i="16"/>
  <c r="L62" i="16"/>
  <c r="V64" i="16" s="1"/>
  <c r="L69" i="16"/>
  <c r="L76" i="16"/>
  <c r="L80" i="16"/>
  <c r="L84" i="16"/>
  <c r="L96" i="16"/>
  <c r="L114" i="16"/>
  <c r="L132" i="16"/>
  <c r="L146" i="16"/>
  <c r="L150" i="16"/>
  <c r="L154" i="16"/>
  <c r="L158" i="16"/>
  <c r="L181" i="16"/>
  <c r="L227" i="16"/>
  <c r="L265" i="16"/>
  <c r="L273" i="16"/>
  <c r="L284" i="16"/>
  <c r="L288" i="16"/>
  <c r="L299" i="16"/>
  <c r="L307" i="16"/>
  <c r="L103" i="16"/>
  <c r="L129" i="16"/>
  <c r="L189" i="16"/>
  <c r="L248" i="16"/>
  <c r="L263" i="16"/>
  <c r="L270" i="16"/>
  <c r="L277" i="16"/>
  <c r="L280" i="16"/>
  <c r="L295" i="16"/>
  <c r="L302" i="16"/>
  <c r="V84" i="16" s="1"/>
  <c r="L309" i="16"/>
  <c r="V91" i="16" s="1"/>
  <c r="L9" i="16"/>
  <c r="L28" i="16"/>
  <c r="L44" i="16"/>
  <c r="L148" i="16"/>
  <c r="L193" i="16"/>
  <c r="L6" i="16"/>
  <c r="L16" i="16"/>
  <c r="L38" i="16"/>
  <c r="L41" i="16"/>
  <c r="L51" i="16"/>
  <c r="L58" i="16"/>
  <c r="L104" i="16"/>
  <c r="L118" i="16"/>
  <c r="L124" i="16"/>
  <c r="L145" i="16"/>
  <c r="L152" i="16"/>
  <c r="L162" i="16"/>
  <c r="L169" i="16"/>
  <c r="L190" i="16"/>
  <c r="L197" i="16"/>
  <c r="L207" i="16"/>
  <c r="L214" i="16"/>
  <c r="L221" i="16"/>
  <c r="L239" i="16"/>
  <c r="L246" i="16"/>
  <c r="L253" i="16"/>
  <c r="L271" i="16"/>
  <c r="L278" i="16"/>
  <c r="L285" i="16"/>
  <c r="L303" i="16"/>
  <c r="V85" i="16" s="1"/>
  <c r="L310" i="16"/>
  <c r="V92" i="16" s="1"/>
  <c r="L317" i="16"/>
  <c r="V99" i="16" s="1"/>
  <c r="L7" i="16"/>
  <c r="L22" i="16"/>
  <c r="L39" i="16"/>
  <c r="L42" i="16"/>
  <c r="L78" i="16"/>
  <c r="V80" i="16" s="1"/>
  <c r="L140" i="16"/>
  <c r="L163" i="16"/>
  <c r="L170" i="16"/>
  <c r="L177" i="16"/>
  <c r="L215" i="16"/>
  <c r="L222" i="16"/>
  <c r="L229" i="16"/>
  <c r="L247" i="16"/>
  <c r="L254" i="16"/>
  <c r="L261" i="16"/>
  <c r="L296" i="16"/>
  <c r="L195" i="16"/>
  <c r="L283" i="16"/>
  <c r="L290" i="16"/>
  <c r="L297" i="16"/>
  <c r="L315" i="16"/>
  <c r="L322" i="16"/>
  <c r="L23" i="16"/>
  <c r="L75" i="16"/>
  <c r="V77" i="16" s="1"/>
  <c r="L82" i="16"/>
  <c r="L100" i="16"/>
  <c r="L106" i="16"/>
  <c r="L116" i="16"/>
  <c r="L141" i="16"/>
  <c r="L171" i="16"/>
  <c r="L178" i="16"/>
  <c r="L185" i="16"/>
  <c r="L199" i="16"/>
  <c r="L205" i="16"/>
  <c r="L223" i="16"/>
  <c r="L230" i="16"/>
  <c r="L237" i="16"/>
  <c r="L255" i="16"/>
  <c r="L262" i="16"/>
  <c r="L269" i="16"/>
  <c r="L287" i="16"/>
  <c r="L294" i="16"/>
  <c r="L301" i="16"/>
  <c r="L319" i="16"/>
  <c r="V101" i="16" s="1"/>
  <c r="V79" i="16"/>
  <c r="L5" i="16"/>
  <c r="L43" i="16"/>
  <c r="V73" i="16"/>
  <c r="V78" i="16"/>
  <c r="L137" i="16"/>
  <c r="L66" i="16"/>
  <c r="L81" i="16"/>
  <c r="L121" i="16"/>
  <c r="V71" i="16"/>
  <c r="V76" i="16"/>
  <c r="L86" i="16"/>
  <c r="L113" i="16"/>
  <c r="L203" i="16"/>
  <c r="V102" i="16"/>
  <c r="L32" i="16"/>
  <c r="V66" i="16"/>
  <c r="V81" i="16"/>
  <c r="V89" i="16"/>
  <c r="L56" i="16"/>
  <c r="L91" i="16"/>
  <c r="L144" i="16"/>
  <c r="V93" i="16"/>
  <c r="V69" i="16"/>
  <c r="V82" i="16"/>
  <c r="L105" i="16"/>
  <c r="L128" i="16"/>
  <c r="L219" i="16"/>
  <c r="V97" i="16"/>
  <c r="L33" i="16"/>
  <c r="V72" i="16"/>
  <c r="L108" i="16"/>
  <c r="V86" i="16"/>
  <c r="L155" i="16"/>
  <c r="L161" i="16"/>
  <c r="L322" i="1"/>
  <c r="V82" i="18" l="1"/>
  <c r="V71" i="18"/>
  <c r="N2" i="18" s="1"/>
  <c r="V67" i="18"/>
  <c r="N5" i="18" s="1"/>
  <c r="V97" i="17"/>
  <c r="V68" i="17"/>
  <c r="V67" i="17"/>
  <c r="N2" i="17" s="1"/>
  <c r="V83" i="16"/>
  <c r="V68" i="16"/>
  <c r="N5" i="16" s="1"/>
  <c r="M209" i="18" l="1"/>
  <c r="M201" i="18"/>
  <c r="M193" i="18"/>
  <c r="M205" i="18"/>
  <c r="M181" i="18"/>
  <c r="M171" i="18"/>
  <c r="M120" i="18"/>
  <c r="M114" i="18"/>
  <c r="M128" i="18"/>
  <c r="M152" i="18"/>
  <c r="M40" i="18"/>
  <c r="M37" i="18"/>
  <c r="M132" i="18"/>
  <c r="M136" i="18"/>
  <c r="M211" i="18"/>
  <c r="M90" i="18"/>
  <c r="M147" i="18"/>
  <c r="M13" i="18"/>
  <c r="M7" i="18"/>
  <c r="M143" i="18"/>
  <c r="M70" i="18"/>
  <c r="M110" i="18"/>
  <c r="M84" i="18"/>
  <c r="M41" i="18"/>
  <c r="M138" i="18"/>
  <c r="M239" i="18"/>
  <c r="M231" i="18"/>
  <c r="M275" i="18"/>
  <c r="M88" i="18"/>
  <c r="M76" i="18"/>
  <c r="M148" i="18"/>
  <c r="M279" i="18"/>
  <c r="M51" i="18"/>
  <c r="M155" i="18"/>
  <c r="M283" i="18"/>
  <c r="M277" i="18"/>
  <c r="M48" i="18"/>
  <c r="M168" i="18"/>
  <c r="M240" i="18"/>
  <c r="M319" i="18"/>
  <c r="M191" i="18"/>
  <c r="M249" i="18"/>
  <c r="M313" i="18"/>
  <c r="M196" i="18"/>
  <c r="M218" i="18"/>
  <c r="M250" i="18"/>
  <c r="M282" i="18"/>
  <c r="M314" i="18"/>
  <c r="M57" i="18"/>
  <c r="M312" i="18"/>
  <c r="M180" i="18"/>
  <c r="M293" i="18"/>
  <c r="M72" i="18"/>
  <c r="M187" i="18"/>
  <c r="M31" i="18"/>
  <c r="M67" i="18"/>
  <c r="M255" i="18"/>
  <c r="M198" i="18"/>
  <c r="M257" i="18"/>
  <c r="M321" i="18"/>
  <c r="M145" i="18"/>
  <c r="M254" i="18"/>
  <c r="M286" i="18"/>
  <c r="M318" i="18"/>
  <c r="M322" i="18"/>
  <c r="M102" i="18"/>
  <c r="M238" i="18"/>
  <c r="M53" i="18"/>
  <c r="M261" i="18"/>
  <c r="M179" i="18"/>
  <c r="M297" i="18"/>
  <c r="M160" i="18"/>
  <c r="M276" i="18"/>
  <c r="M214" i="18"/>
  <c r="M2" i="18"/>
  <c r="M11" i="18"/>
  <c r="M27" i="18"/>
  <c r="M14" i="18"/>
  <c r="M4" i="18"/>
  <c r="M66" i="18"/>
  <c r="M131" i="18"/>
  <c r="M252" i="18"/>
  <c r="M97" i="18"/>
  <c r="M141" i="18"/>
  <c r="M253" i="18"/>
  <c r="M317" i="18"/>
  <c r="M12" i="18"/>
  <c r="M73" i="18"/>
  <c r="M176" i="18"/>
  <c r="M292" i="18"/>
  <c r="M107" i="18"/>
  <c r="M94" i="18"/>
  <c r="M99" i="18"/>
  <c r="M300" i="18"/>
  <c r="M158" i="18"/>
  <c r="M222" i="18"/>
  <c r="M311" i="18"/>
  <c r="M153" i="18"/>
  <c r="M149" i="18"/>
  <c r="M262" i="18"/>
  <c r="M28" i="18"/>
  <c r="M287" i="18"/>
  <c r="M169" i="18"/>
  <c r="M298" i="18"/>
  <c r="M134" i="18"/>
  <c r="M98" i="18"/>
  <c r="M228" i="18"/>
  <c r="M133" i="18"/>
  <c r="M39" i="18"/>
  <c r="M15" i="18"/>
  <c r="M289" i="18"/>
  <c r="M59" i="18"/>
  <c r="M125" i="18"/>
  <c r="M74" i="18"/>
  <c r="M251" i="18"/>
  <c r="M233" i="18"/>
  <c r="M306" i="18"/>
  <c r="M6" i="18"/>
  <c r="M43" i="18"/>
  <c r="M24" i="18"/>
  <c r="M8" i="18"/>
  <c r="M75" i="18"/>
  <c r="M208" i="18"/>
  <c r="M68" i="18"/>
  <c r="M129" i="18"/>
  <c r="M101" i="18"/>
  <c r="M60" i="18"/>
  <c r="M144" i="18"/>
  <c r="M256" i="18"/>
  <c r="M19" i="18"/>
  <c r="M307" i="18"/>
  <c r="M159" i="18"/>
  <c r="M25" i="18"/>
  <c r="M111" i="18"/>
  <c r="M207" i="18"/>
  <c r="M296" i="18"/>
  <c r="M123" i="18"/>
  <c r="M195" i="18"/>
  <c r="M315" i="18"/>
  <c r="M184" i="18"/>
  <c r="M269" i="18"/>
  <c r="M137" i="18"/>
  <c r="M210" i="18"/>
  <c r="M265" i="18"/>
  <c r="M226" i="18"/>
  <c r="M258" i="18"/>
  <c r="M290" i="18"/>
  <c r="M140" i="18"/>
  <c r="M212" i="18"/>
  <c r="M164" i="18"/>
  <c r="M294" i="18"/>
  <c r="M175" i="18"/>
  <c r="M166" i="18"/>
  <c r="M281" i="18"/>
  <c r="M234" i="18"/>
  <c r="M96" i="18"/>
  <c r="M189" i="18"/>
  <c r="M54" i="18"/>
  <c r="M247" i="18"/>
  <c r="M112" i="18"/>
  <c r="M139" i="18"/>
  <c r="M182" i="18"/>
  <c r="M302" i="18"/>
  <c r="M16" i="18"/>
  <c r="M221" i="18"/>
  <c r="M135" i="18"/>
  <c r="M34" i="18"/>
  <c r="M206" i="18"/>
  <c r="M91" i="18"/>
  <c r="M142" i="18"/>
  <c r="M268" i="18"/>
  <c r="M241" i="18"/>
  <c r="M310" i="18"/>
  <c r="M30" i="18"/>
  <c r="M3" i="18"/>
  <c r="M81" i="18"/>
  <c r="M56" i="18"/>
  <c r="M21" i="18"/>
  <c r="M248" i="18"/>
  <c r="M87" i="18"/>
  <c r="M163" i="18"/>
  <c r="M284" i="18"/>
  <c r="M259" i="18"/>
  <c r="M63" i="18"/>
  <c r="M150" i="18"/>
  <c r="M271" i="18"/>
  <c r="M320" i="18"/>
  <c r="M22" i="18"/>
  <c r="M83" i="18"/>
  <c r="M200" i="18"/>
  <c r="M199" i="18"/>
  <c r="M50" i="18"/>
  <c r="M122" i="18"/>
  <c r="M229" i="18"/>
  <c r="M309" i="18"/>
  <c r="M78" i="18"/>
  <c r="M215" i="18"/>
  <c r="M32" i="18"/>
  <c r="M45" i="18"/>
  <c r="M92" i="18"/>
  <c r="M190" i="18"/>
  <c r="M272" i="18"/>
  <c r="M273" i="18"/>
  <c r="M230" i="18"/>
  <c r="M266" i="18"/>
  <c r="M119" i="18"/>
  <c r="M186" i="18"/>
  <c r="M162" i="18"/>
  <c r="M77" i="18"/>
  <c r="M117" i="18"/>
  <c r="M18" i="18"/>
  <c r="M71" i="18"/>
  <c r="M227" i="18"/>
  <c r="M236" i="18"/>
  <c r="M124" i="18"/>
  <c r="M213" i="18"/>
  <c r="M225" i="18"/>
  <c r="M192" i="18"/>
  <c r="M9" i="18"/>
  <c r="M154" i="18"/>
  <c r="M79" i="18"/>
  <c r="M17" i="18"/>
  <c r="M118" i="18"/>
  <c r="M242" i="18"/>
  <c r="M10" i="18"/>
  <c r="M220" i="18"/>
  <c r="M295" i="18"/>
  <c r="M224" i="18"/>
  <c r="M260" i="18"/>
  <c r="M245" i="18"/>
  <c r="M264" i="18"/>
  <c r="M151" i="18"/>
  <c r="M174" i="18"/>
  <c r="M246" i="18"/>
  <c r="M33" i="18"/>
  <c r="M86" i="18"/>
  <c r="M100" i="18"/>
  <c r="M106" i="18"/>
  <c r="M46" i="18"/>
  <c r="M95" i="18"/>
  <c r="M280" i="18"/>
  <c r="M173" i="18"/>
  <c r="M82" i="18"/>
  <c r="M167" i="18"/>
  <c r="M285" i="18"/>
  <c r="M44" i="18"/>
  <c r="M93" i="18"/>
  <c r="M203" i="18"/>
  <c r="M23" i="18"/>
  <c r="M291" i="18"/>
  <c r="M61" i="18"/>
  <c r="M126" i="18"/>
  <c r="M232" i="18"/>
  <c r="M219" i="18"/>
  <c r="M113" i="18"/>
  <c r="M104" i="18"/>
  <c r="M204" i="18"/>
  <c r="M217" i="18"/>
  <c r="M185" i="18"/>
  <c r="M288" i="18"/>
  <c r="M301" i="18"/>
  <c r="M270" i="18"/>
  <c r="M121" i="18"/>
  <c r="M38" i="18"/>
  <c r="M105" i="18"/>
  <c r="M194" i="18"/>
  <c r="M263" i="18"/>
  <c r="M303" i="18"/>
  <c r="M243" i="18"/>
  <c r="M172" i="18"/>
  <c r="M244" i="18"/>
  <c r="M64" i="18"/>
  <c r="M146" i="18"/>
  <c r="M161" i="18"/>
  <c r="M156" i="18"/>
  <c r="M274" i="18"/>
  <c r="M130" i="18"/>
  <c r="M62" i="18"/>
  <c r="M20" i="18"/>
  <c r="M127" i="18"/>
  <c r="M55" i="18"/>
  <c r="M216" i="18"/>
  <c r="M304" i="18"/>
  <c r="M177" i="18"/>
  <c r="M278" i="18"/>
  <c r="M109" i="18"/>
  <c r="M49" i="18"/>
  <c r="M103" i="18"/>
  <c r="M35" i="18"/>
  <c r="M316" i="18"/>
  <c r="M47" i="18"/>
  <c r="M5" i="18"/>
  <c r="M188" i="18"/>
  <c r="M308" i="18"/>
  <c r="M223" i="18"/>
  <c r="M85" i="18"/>
  <c r="M115" i="18"/>
  <c r="M29" i="18"/>
  <c r="M237" i="18"/>
  <c r="M305" i="18"/>
  <c r="M197" i="18"/>
  <c r="M42" i="18"/>
  <c r="M52" i="18"/>
  <c r="M157" i="18"/>
  <c r="M26" i="18"/>
  <c r="M65" i="18"/>
  <c r="M108" i="18"/>
  <c r="M36" i="18"/>
  <c r="M178" i="18"/>
  <c r="M58" i="18"/>
  <c r="M183" i="18"/>
  <c r="M202" i="18"/>
  <c r="M80" i="18"/>
  <c r="M69" i="18"/>
  <c r="M299" i="18"/>
  <c r="M89" i="18"/>
  <c r="M267" i="18"/>
  <c r="M170" i="18"/>
  <c r="M165" i="18"/>
  <c r="M116" i="18"/>
  <c r="M235" i="18"/>
  <c r="N5" i="17"/>
  <c r="M261" i="17"/>
  <c r="M285" i="17"/>
  <c r="M317" i="17"/>
  <c r="M309" i="17"/>
  <c r="M245" i="17"/>
  <c r="M211" i="17"/>
  <c r="M269" i="17"/>
  <c r="M293" i="17"/>
  <c r="M253" i="17"/>
  <c r="M101" i="17"/>
  <c r="M179" i="17"/>
  <c r="M41" i="17"/>
  <c r="M301" i="17"/>
  <c r="M277" i="17"/>
  <c r="M181" i="17"/>
  <c r="M171" i="17"/>
  <c r="M34" i="17"/>
  <c r="M88" i="17"/>
  <c r="M235" i="17"/>
  <c r="M240" i="17"/>
  <c r="M6" i="17"/>
  <c r="M2" i="17"/>
  <c r="M12" i="17"/>
  <c r="M92" i="17"/>
  <c r="M27" i="17"/>
  <c r="M25" i="17"/>
  <c r="M8" i="17"/>
  <c r="M83" i="17"/>
  <c r="M80" i="17"/>
  <c r="M133" i="17"/>
  <c r="M238" i="17"/>
  <c r="M286" i="17"/>
  <c r="M51" i="17"/>
  <c r="M144" i="17"/>
  <c r="M320" i="17"/>
  <c r="M26" i="17"/>
  <c r="M197" i="17"/>
  <c r="M292" i="17"/>
  <c r="M233" i="17"/>
  <c r="M130" i="17"/>
  <c r="M280" i="17"/>
  <c r="M264" i="17"/>
  <c r="M203" i="17"/>
  <c r="M194" i="17"/>
  <c r="M229" i="17"/>
  <c r="M20" i="17"/>
  <c r="M138" i="17"/>
  <c r="M304" i="17"/>
  <c r="M198" i="17"/>
  <c r="M275" i="17"/>
  <c r="M193" i="17"/>
  <c r="M318" i="17"/>
  <c r="M117" i="17"/>
  <c r="M307" i="17"/>
  <c r="M217" i="17"/>
  <c r="M313" i="17"/>
  <c r="M287" i="17"/>
  <c r="M266" i="17"/>
  <c r="M68" i="17"/>
  <c r="M316" i="17"/>
  <c r="M274" i="17"/>
  <c r="M23" i="17"/>
  <c r="M254" i="17"/>
  <c r="M244" i="17"/>
  <c r="M149" i="17"/>
  <c r="M222" i="17"/>
  <c r="M249" i="17"/>
  <c r="M311" i="17"/>
  <c r="M290" i="17"/>
  <c r="M72" i="17"/>
  <c r="M178" i="17"/>
  <c r="M160" i="17"/>
  <c r="M185" i="17"/>
  <c r="M214" i="17"/>
  <c r="M196" i="17"/>
  <c r="M91" i="17"/>
  <c r="M105" i="17"/>
  <c r="M57" i="17"/>
  <c r="M28" i="17"/>
  <c r="M38" i="17"/>
  <c r="M110" i="17"/>
  <c r="M118" i="17"/>
  <c r="M148" i="17"/>
  <c r="M289" i="17"/>
  <c r="M163" i="17"/>
  <c r="M48" i="17"/>
  <c r="M69" i="17"/>
  <c r="M200" i="17"/>
  <c r="M136" i="17"/>
  <c r="M272" i="17"/>
  <c r="M134" i="17"/>
  <c r="M63" i="17"/>
  <c r="M99" i="17"/>
  <c r="M248" i="17"/>
  <c r="M204" i="17"/>
  <c r="M46" i="17"/>
  <c r="M161" i="17"/>
  <c r="M302" i="17"/>
  <c r="M206" i="17"/>
  <c r="M132" i="17"/>
  <c r="M267" i="17"/>
  <c r="M188" i="17"/>
  <c r="M177" i="17"/>
  <c r="M230" i="17"/>
  <c r="M295" i="17"/>
  <c r="M84" i="17"/>
  <c r="M7" i="17"/>
  <c r="M122" i="17"/>
  <c r="M219" i="17"/>
  <c r="M296" i="17"/>
  <c r="M279" i="17"/>
  <c r="M232" i="17"/>
  <c r="M114" i="17"/>
  <c r="M40" i="17"/>
  <c r="M31" i="17"/>
  <c r="M44" i="17"/>
  <c r="M142" i="17"/>
  <c r="M150" i="17"/>
  <c r="M4" i="17"/>
  <c r="M61" i="17"/>
  <c r="M85" i="17"/>
  <c r="M62" i="17"/>
  <c r="M169" i="17"/>
  <c r="M32" i="17"/>
  <c r="M3" i="17"/>
  <c r="M231" i="17"/>
  <c r="M162" i="17"/>
  <c r="M14" i="17"/>
  <c r="M140" i="17"/>
  <c r="M29" i="17"/>
  <c r="M218" i="17"/>
  <c r="M124" i="17"/>
  <c r="M173" i="17"/>
  <c r="M305" i="17"/>
  <c r="M228" i="17"/>
  <c r="M236" i="17"/>
  <c r="M321" i="17"/>
  <c r="M147" i="17"/>
  <c r="M294" i="17"/>
  <c r="M209" i="17"/>
  <c r="M220" i="17"/>
  <c r="M246" i="17"/>
  <c r="M303" i="17"/>
  <c r="M282" i="17"/>
  <c r="M182" i="17"/>
  <c r="M129" i="17"/>
  <c r="M268" i="17"/>
  <c r="M115" i="17"/>
  <c r="M322" i="17"/>
  <c r="M15" i="17"/>
  <c r="M120" i="17"/>
  <c r="M43" i="17"/>
  <c r="M37" i="17"/>
  <c r="M53" i="17"/>
  <c r="M11" i="17"/>
  <c r="M176" i="17"/>
  <c r="M121" i="17"/>
  <c r="M175" i="17"/>
  <c r="M126" i="17"/>
  <c r="M73" i="17"/>
  <c r="M256" i="17"/>
  <c r="M56" i="17"/>
  <c r="M157" i="17"/>
  <c r="M81" i="17"/>
  <c r="M186" i="17"/>
  <c r="M16" i="17"/>
  <c r="M225" i="17"/>
  <c r="M239" i="17"/>
  <c r="M297" i="17"/>
  <c r="M247" i="17"/>
  <c r="M116" i="17"/>
  <c r="M192" i="17"/>
  <c r="M13" i="17"/>
  <c r="M64" i="17"/>
  <c r="M89" i="17"/>
  <c r="M106" i="17"/>
  <c r="M9" i="17"/>
  <c r="M137" i="17"/>
  <c r="M87" i="17"/>
  <c r="M95" i="17"/>
  <c r="M67" i="17"/>
  <c r="M47" i="17"/>
  <c r="M24" i="17"/>
  <c r="M70" i="17"/>
  <c r="M74" i="17"/>
  <c r="M153" i="17"/>
  <c r="M77" i="17"/>
  <c r="M187" i="17"/>
  <c r="M35" i="17"/>
  <c r="M75" i="17"/>
  <c r="M55" i="17"/>
  <c r="M262" i="17"/>
  <c r="M94" i="17"/>
  <c r="M167" i="17"/>
  <c r="M223" i="17"/>
  <c r="M39" i="17"/>
  <c r="M125" i="17"/>
  <c r="M237" i="17"/>
  <c r="M183" i="17"/>
  <c r="M19" i="17"/>
  <c r="M195" i="17"/>
  <c r="M278" i="17"/>
  <c r="M257" i="17"/>
  <c r="M308" i="17"/>
  <c r="M170" i="17"/>
  <c r="M300" i="17"/>
  <c r="M243" i="17"/>
  <c r="M158" i="17"/>
  <c r="M252" i="17"/>
  <c r="M255" i="17"/>
  <c r="M319" i="17"/>
  <c r="M298" i="17"/>
  <c r="M184" i="17"/>
  <c r="M215" i="17"/>
  <c r="M172" i="17"/>
  <c r="M18" i="17"/>
  <c r="M146" i="17"/>
  <c r="M103" i="17"/>
  <c r="M159" i="17"/>
  <c r="M50" i="17"/>
  <c r="M154" i="17"/>
  <c r="M213" i="17"/>
  <c r="M100" i="17"/>
  <c r="M190" i="17"/>
  <c r="M104" i="17"/>
  <c r="M96" i="17"/>
  <c r="M93" i="17"/>
  <c r="M312" i="17"/>
  <c r="M98" i="17"/>
  <c r="M191" i="17"/>
  <c r="M97" i="17"/>
  <c r="M265" i="17"/>
  <c r="M128" i="17"/>
  <c r="M10" i="17"/>
  <c r="M212" i="17"/>
  <c r="M205" i="17"/>
  <c r="M155" i="17"/>
  <c r="M281" i="17"/>
  <c r="M260" i="17"/>
  <c r="M82" i="17"/>
  <c r="M180" i="17"/>
  <c r="M241" i="17"/>
  <c r="M270" i="17"/>
  <c r="M166" i="17"/>
  <c r="M263" i="17"/>
  <c r="M242" i="17"/>
  <c r="M306" i="17"/>
  <c r="M168" i="17"/>
  <c r="M224" i="17"/>
  <c r="M258" i="17"/>
  <c r="M22" i="17"/>
  <c r="M152" i="17"/>
  <c r="M60" i="17"/>
  <c r="M21" i="17"/>
  <c r="M71" i="17"/>
  <c r="M54" i="17"/>
  <c r="M5" i="17"/>
  <c r="M78" i="17"/>
  <c r="M174" i="17"/>
  <c r="M227" i="17"/>
  <c r="M112" i="17"/>
  <c r="M156" i="17"/>
  <c r="M42" i="17"/>
  <c r="M127" i="17"/>
  <c r="M199" i="17"/>
  <c r="M108" i="17"/>
  <c r="M207" i="17"/>
  <c r="M135" i="17"/>
  <c r="M79" i="17"/>
  <c r="M76" i="17"/>
  <c r="M259" i="17"/>
  <c r="M45" i="17"/>
  <c r="M288" i="17"/>
  <c r="M164" i="17"/>
  <c r="M284" i="17"/>
  <c r="M291" i="17"/>
  <c r="M102" i="17"/>
  <c r="M201" i="17"/>
  <c r="M273" i="17"/>
  <c r="M310" i="17"/>
  <c r="M271" i="17"/>
  <c r="M250" i="17"/>
  <c r="M314" i="17"/>
  <c r="M208" i="17"/>
  <c r="M216" i="17"/>
  <c r="M226" i="17"/>
  <c r="M58" i="17"/>
  <c r="M299" i="17"/>
  <c r="M276" i="17"/>
  <c r="M189" i="17"/>
  <c r="M143" i="17"/>
  <c r="M119" i="17"/>
  <c r="M221" i="17"/>
  <c r="M113" i="17"/>
  <c r="M165" i="17"/>
  <c r="M202" i="17"/>
  <c r="M86" i="17"/>
  <c r="M151" i="17"/>
  <c r="M145" i="17"/>
  <c r="M49" i="17"/>
  <c r="M66" i="17"/>
  <c r="M234" i="17"/>
  <c r="M36" i="17"/>
  <c r="M283" i="17"/>
  <c r="M30" i="17"/>
  <c r="M139" i="17"/>
  <c r="M33" i="17"/>
  <c r="M251" i="17"/>
  <c r="M52" i="17"/>
  <c r="M210" i="17"/>
  <c r="M141" i="17"/>
  <c r="M59" i="17"/>
  <c r="M17" i="17"/>
  <c r="M65" i="17"/>
  <c r="M131" i="17"/>
  <c r="M107" i="17"/>
  <c r="M315" i="17"/>
  <c r="M111" i="17"/>
  <c r="M90" i="17"/>
  <c r="M123" i="17"/>
  <c r="M109" i="17"/>
  <c r="N2" i="16"/>
  <c r="P188" i="18" l="1"/>
  <c r="P310" i="18"/>
  <c r="P221" i="18"/>
  <c r="P20" i="18"/>
  <c r="P286" i="18"/>
  <c r="P84" i="18"/>
  <c r="P159" i="18"/>
  <c r="P11" i="18"/>
  <c r="P53" i="18"/>
  <c r="P111" i="18"/>
  <c r="P108" i="18"/>
  <c r="P263" i="18"/>
  <c r="P248" i="18"/>
  <c r="P290" i="18"/>
  <c r="P315" i="18"/>
  <c r="P180" i="18"/>
  <c r="P7" i="18"/>
  <c r="P40" i="18"/>
  <c r="P207" i="18"/>
  <c r="P240" i="18"/>
  <c r="P65" i="18"/>
  <c r="P29" i="18"/>
  <c r="P220" i="18"/>
  <c r="P229" i="18"/>
  <c r="P271" i="18"/>
  <c r="P21" i="18"/>
  <c r="P98" i="18"/>
  <c r="P153" i="18"/>
  <c r="P102" i="18"/>
  <c r="P198" i="18"/>
  <c r="P38" i="18"/>
  <c r="P95" i="18"/>
  <c r="P162" i="18"/>
  <c r="P160" i="18"/>
  <c r="P43" i="18"/>
  <c r="P158" i="18"/>
  <c r="P297" i="18"/>
  <c r="P31" i="18"/>
  <c r="O2" i="18"/>
  <c r="P202" i="18" s="1"/>
  <c r="P284" i="18"/>
  <c r="P54" i="18"/>
  <c r="P179" i="18"/>
  <c r="P254" i="18"/>
  <c r="P187" i="18"/>
  <c r="P115" i="18"/>
  <c r="P35" i="18"/>
  <c r="P55" i="18"/>
  <c r="P146" i="18"/>
  <c r="P23" i="18"/>
  <c r="P225" i="18"/>
  <c r="P77" i="18"/>
  <c r="P150" i="18"/>
  <c r="P56" i="18"/>
  <c r="P91" i="18"/>
  <c r="P8" i="18"/>
  <c r="P125" i="18"/>
  <c r="P134" i="18"/>
  <c r="P311" i="18"/>
  <c r="P176" i="18"/>
  <c r="P255" i="18"/>
  <c r="P191" i="18"/>
  <c r="P51" i="18"/>
  <c r="P138" i="18"/>
  <c r="P147" i="18"/>
  <c r="P279" i="17"/>
  <c r="P177" i="17"/>
  <c r="P233" i="17"/>
  <c r="P15" i="17"/>
  <c r="P48" i="17"/>
  <c r="P133" i="17"/>
  <c r="P35" i="17"/>
  <c r="P173" i="17"/>
  <c r="P3" i="17"/>
  <c r="P209" i="17"/>
  <c r="P124" i="17"/>
  <c r="P311" i="17"/>
  <c r="P49" i="17"/>
  <c r="P50" i="17"/>
  <c r="P298" i="17"/>
  <c r="P7" i="17"/>
  <c r="P206" i="17"/>
  <c r="P203" i="17"/>
  <c r="P255" i="17"/>
  <c r="P53" i="17"/>
  <c r="P129" i="17"/>
  <c r="O2" i="17"/>
  <c r="P299" i="17" s="1"/>
  <c r="P302" i="17"/>
  <c r="P38" i="17"/>
  <c r="P286" i="17"/>
  <c r="P271" i="17"/>
  <c r="P288" i="17"/>
  <c r="P146" i="17"/>
  <c r="P295" i="17"/>
  <c r="P136" i="17"/>
  <c r="P110" i="17"/>
  <c r="P27" i="17"/>
  <c r="P34" i="17"/>
  <c r="M197" i="16"/>
  <c r="M181" i="16"/>
  <c r="M165" i="16"/>
  <c r="M139" i="16"/>
  <c r="M123" i="16"/>
  <c r="M189" i="16"/>
  <c r="M100" i="16"/>
  <c r="M54" i="16"/>
  <c r="M114" i="16"/>
  <c r="M173" i="16"/>
  <c r="M47" i="16"/>
  <c r="M117" i="16"/>
  <c r="M78" i="16"/>
  <c r="M31" i="16"/>
  <c r="M157" i="16"/>
  <c r="M124" i="16"/>
  <c r="M38" i="16"/>
  <c r="M57" i="16"/>
  <c r="M200" i="16"/>
  <c r="M140" i="16"/>
  <c r="M147" i="16"/>
  <c r="M131" i="16"/>
  <c r="M73" i="16"/>
  <c r="M8" i="16"/>
  <c r="M168" i="16"/>
  <c r="M34" i="16"/>
  <c r="M25" i="16"/>
  <c r="M10" i="16"/>
  <c r="M4" i="16"/>
  <c r="M109" i="16"/>
  <c r="M227" i="16"/>
  <c r="M162" i="16"/>
  <c r="M280" i="16"/>
  <c r="M58" i="16"/>
  <c r="M178" i="16"/>
  <c r="M36" i="16"/>
  <c r="M74" i="16"/>
  <c r="M163" i="16"/>
  <c r="M256" i="16"/>
  <c r="M62" i="16"/>
  <c r="M110" i="16"/>
  <c r="M167" i="16"/>
  <c r="M292" i="16"/>
  <c r="M130" i="16"/>
  <c r="M247" i="16"/>
  <c r="M244" i="16"/>
  <c r="M72" i="16"/>
  <c r="M107" i="16"/>
  <c r="M251" i="16"/>
  <c r="M171" i="16"/>
  <c r="M255" i="16"/>
  <c r="M158" i="16"/>
  <c r="M169" i="16"/>
  <c r="M241" i="16"/>
  <c r="M305" i="16"/>
  <c r="M226" i="16"/>
  <c r="M198" i="16"/>
  <c r="M266" i="16"/>
  <c r="M298" i="16"/>
  <c r="M2" i="16"/>
  <c r="M12" i="16"/>
  <c r="M41" i="16"/>
  <c r="M77" i="16"/>
  <c r="M21" i="16"/>
  <c r="M11" i="16"/>
  <c r="M184" i="16"/>
  <c r="M85" i="16"/>
  <c r="M308" i="16"/>
  <c r="M269" i="16"/>
  <c r="M174" i="16"/>
  <c r="M313" i="16"/>
  <c r="M238" i="16"/>
  <c r="M270" i="16"/>
  <c r="M304" i="16"/>
  <c r="M213" i="16"/>
  <c r="M295" i="16"/>
  <c r="M61" i="16"/>
  <c r="M220" i="16"/>
  <c r="M259" i="16"/>
  <c r="M194" i="16"/>
  <c r="M271" i="16"/>
  <c r="M320" i="16"/>
  <c r="M64" i="16"/>
  <c r="M116" i="16"/>
  <c r="M179" i="16"/>
  <c r="M307" i="16"/>
  <c r="M136" i="16"/>
  <c r="M261" i="16"/>
  <c r="M80" i="16"/>
  <c r="M120" i="16"/>
  <c r="M268" i="16"/>
  <c r="M70" i="16"/>
  <c r="M176" i="16"/>
  <c r="M164" i="16"/>
  <c r="M249" i="16"/>
  <c r="M234" i="16"/>
  <c r="M302" i="16"/>
  <c r="M166" i="16"/>
  <c r="M18" i="16"/>
  <c r="M71" i="16"/>
  <c r="M276" i="16"/>
  <c r="M151" i="16"/>
  <c r="M101" i="16"/>
  <c r="M35" i="16"/>
  <c r="M67" i="16"/>
  <c r="M133" i="16"/>
  <c r="M225" i="16"/>
  <c r="M258" i="16"/>
  <c r="M88" i="16"/>
  <c r="M277" i="16"/>
  <c r="M154" i="16"/>
  <c r="M152" i="16"/>
  <c r="M150" i="16"/>
  <c r="M233" i="16"/>
  <c r="M294" i="16"/>
  <c r="M9" i="16"/>
  <c r="M60" i="16"/>
  <c r="M83" i="16"/>
  <c r="M29" i="16"/>
  <c r="M14" i="16"/>
  <c r="M20" i="16"/>
  <c r="M94" i="16"/>
  <c r="M216" i="16"/>
  <c r="M309" i="16"/>
  <c r="M235" i="16"/>
  <c r="M19" i="16"/>
  <c r="M95" i="16"/>
  <c r="M285" i="16"/>
  <c r="M13" i="16"/>
  <c r="M135" i="16"/>
  <c r="M201" i="16"/>
  <c r="M264" i="16"/>
  <c r="M45" i="16"/>
  <c r="M283" i="16"/>
  <c r="M186" i="16"/>
  <c r="M272" i="16"/>
  <c r="M180" i="16"/>
  <c r="M185" i="16"/>
  <c r="M257" i="16"/>
  <c r="M321" i="16"/>
  <c r="M242" i="16"/>
  <c r="M274" i="16"/>
  <c r="M306" i="16"/>
  <c r="M196" i="16"/>
  <c r="M310" i="16"/>
  <c r="M188" i="16"/>
  <c r="M53" i="16"/>
  <c r="M145" i="16"/>
  <c r="M299" i="16"/>
  <c r="M260" i="16"/>
  <c r="M311" i="16"/>
  <c r="M210" i="16"/>
  <c r="M103" i="16"/>
  <c r="M156" i="16"/>
  <c r="M316" i="16"/>
  <c r="M104" i="16"/>
  <c r="M232" i="16"/>
  <c r="M291" i="16"/>
  <c r="M230" i="16"/>
  <c r="M193" i="16"/>
  <c r="M15" i="16"/>
  <c r="M126" i="16"/>
  <c r="M96" i="16"/>
  <c r="M149" i="16"/>
  <c r="M3" i="16"/>
  <c r="M26" i="16"/>
  <c r="M17" i="16"/>
  <c r="M55" i="16"/>
  <c r="M112" i="16"/>
  <c r="M231" i="16"/>
  <c r="M68" i="16"/>
  <c r="M252" i="16"/>
  <c r="M39" i="16"/>
  <c r="M207" i="16"/>
  <c r="M288" i="16"/>
  <c r="M40" i="16"/>
  <c r="M138" i="16"/>
  <c r="M211" i="16"/>
  <c r="M90" i="16"/>
  <c r="M97" i="16"/>
  <c r="M183" i="16"/>
  <c r="M279" i="16"/>
  <c r="M52" i="16"/>
  <c r="M84" i="16"/>
  <c r="M160" i="16"/>
  <c r="M300" i="16"/>
  <c r="M75" i="16"/>
  <c r="M205" i="16"/>
  <c r="M287" i="16"/>
  <c r="M190" i="16"/>
  <c r="M265" i="16"/>
  <c r="M172" i="16"/>
  <c r="M246" i="16"/>
  <c r="M278" i="16"/>
  <c r="M175" i="16"/>
  <c r="M49" i="16"/>
  <c r="M263" i="16"/>
  <c r="M229" i="16"/>
  <c r="M237" i="16"/>
  <c r="M289" i="16"/>
  <c r="M290" i="16"/>
  <c r="M50" i="16"/>
  <c r="M153" i="16"/>
  <c r="M253" i="16"/>
  <c r="M275" i="16"/>
  <c r="M297" i="16"/>
  <c r="M28" i="16"/>
  <c r="M6" i="16"/>
  <c r="M142" i="16"/>
  <c r="M159" i="16"/>
  <c r="M7" i="16"/>
  <c r="M30" i="16"/>
  <c r="M23" i="16"/>
  <c r="M63" i="16"/>
  <c r="M118" i="16"/>
  <c r="M245" i="16"/>
  <c r="M312" i="16"/>
  <c r="M267" i="16"/>
  <c r="M51" i="16"/>
  <c r="M115" i="16"/>
  <c r="M221" i="16"/>
  <c r="M303" i="16"/>
  <c r="M87" i="16"/>
  <c r="M79" i="16"/>
  <c r="M141" i="16"/>
  <c r="M228" i="16"/>
  <c r="M111" i="16"/>
  <c r="M119" i="16"/>
  <c r="M195" i="16"/>
  <c r="M293" i="16"/>
  <c r="M65" i="16"/>
  <c r="M89" i="16"/>
  <c r="M199" i="16"/>
  <c r="M315" i="16"/>
  <c r="M208" i="16"/>
  <c r="M301" i="16"/>
  <c r="M206" i="16"/>
  <c r="M209" i="16"/>
  <c r="M273" i="16"/>
  <c r="M250" i="16"/>
  <c r="M282" i="16"/>
  <c r="M314" i="16"/>
  <c r="M170" i="16"/>
  <c r="M322" i="16"/>
  <c r="M191" i="16"/>
  <c r="M92" i="16"/>
  <c r="M48" i="16"/>
  <c r="M148" i="16"/>
  <c r="M59" i="16"/>
  <c r="M42" i="16"/>
  <c r="M240" i="16"/>
  <c r="M218" i="16"/>
  <c r="M37" i="16"/>
  <c r="M16" i="16"/>
  <c r="M27" i="16"/>
  <c r="M93" i="16"/>
  <c r="M22" i="16"/>
  <c r="M46" i="16"/>
  <c r="M82" i="16"/>
  <c r="M248" i="16"/>
  <c r="M134" i="16"/>
  <c r="M284" i="16"/>
  <c r="M69" i="16"/>
  <c r="M132" i="16"/>
  <c r="M224" i="16"/>
  <c r="M192" i="16"/>
  <c r="M99" i="16"/>
  <c r="M143" i="16"/>
  <c r="M243" i="16"/>
  <c r="M212" i="16"/>
  <c r="M122" i="16"/>
  <c r="M215" i="16"/>
  <c r="M296" i="16"/>
  <c r="M98" i="16"/>
  <c r="M204" i="16"/>
  <c r="M223" i="16"/>
  <c r="M214" i="16"/>
  <c r="M217" i="16"/>
  <c r="M281" i="16"/>
  <c r="M202" i="16"/>
  <c r="M177" i="16"/>
  <c r="M254" i="16"/>
  <c r="M286" i="16"/>
  <c r="M318" i="16"/>
  <c r="M44" i="16"/>
  <c r="M106" i="16"/>
  <c r="M129" i="16"/>
  <c r="M239" i="16"/>
  <c r="M146" i="16"/>
  <c r="M125" i="16"/>
  <c r="M102" i="16"/>
  <c r="M187" i="16"/>
  <c r="M222" i="16"/>
  <c r="M182" i="16"/>
  <c r="M24" i="16"/>
  <c r="M76" i="16"/>
  <c r="M317" i="16"/>
  <c r="M127" i="16"/>
  <c r="M236" i="16"/>
  <c r="M319" i="16"/>
  <c r="M262" i="16"/>
  <c r="M108" i="16"/>
  <c r="M113" i="16"/>
  <c r="M66" i="16"/>
  <c r="M81" i="16"/>
  <c r="M86" i="16"/>
  <c r="M121" i="16"/>
  <c r="M219" i="16"/>
  <c r="M43" i="16"/>
  <c r="M128" i="16"/>
  <c r="M161" i="16"/>
  <c r="M137" i="16"/>
  <c r="M155" i="16"/>
  <c r="M144" i="16"/>
  <c r="M33" i="16"/>
  <c r="M56" i="16"/>
  <c r="M105" i="16"/>
  <c r="M91" i="16"/>
  <c r="M5" i="16"/>
  <c r="M32" i="16"/>
  <c r="M203" i="16"/>
  <c r="P257" i="18" l="1"/>
  <c r="P320" i="18"/>
  <c r="P60" i="18"/>
  <c r="P184" i="18"/>
  <c r="P183" i="18"/>
  <c r="P197" i="18"/>
  <c r="P57" i="18"/>
  <c r="P226" i="18"/>
  <c r="P10" i="18"/>
  <c r="P26" i="18"/>
  <c r="P17" i="18"/>
  <c r="P247" i="18"/>
  <c r="P157" i="18"/>
  <c r="P74" i="18"/>
  <c r="P173" i="18"/>
  <c r="P199" i="18"/>
  <c r="P238" i="18"/>
  <c r="P18" i="18"/>
  <c r="P45" i="18"/>
  <c r="P78" i="18"/>
  <c r="P48" i="18"/>
  <c r="P32" i="18"/>
  <c r="P166" i="18"/>
  <c r="P174" i="18"/>
  <c r="P171" i="18"/>
  <c r="P44" i="18"/>
  <c r="P49" i="18"/>
  <c r="P201" i="18"/>
  <c r="P19" i="18"/>
  <c r="P291" i="18"/>
  <c r="P113" i="18"/>
  <c r="P2" i="18"/>
  <c r="P82" i="18"/>
  <c r="P121" i="18"/>
  <c r="P230" i="18"/>
  <c r="P218" i="18"/>
  <c r="P245" i="18"/>
  <c r="P131" i="18"/>
  <c r="P139" i="18"/>
  <c r="P280" i="18"/>
  <c r="P250" i="18"/>
  <c r="P62" i="18"/>
  <c r="P165" i="18"/>
  <c r="P249" i="18"/>
  <c r="P182" i="18"/>
  <c r="P217" i="18"/>
  <c r="P52" i="18"/>
  <c r="P208" i="18"/>
  <c r="P61" i="18"/>
  <c r="P319" i="18"/>
  <c r="P168" i="18"/>
  <c r="P28" i="18"/>
  <c r="P210" i="18"/>
  <c r="P314" i="18"/>
  <c r="P312" i="18"/>
  <c r="P142" i="18"/>
  <c r="P316" i="18"/>
  <c r="P242" i="18"/>
  <c r="P307" i="18"/>
  <c r="P185" i="18"/>
  <c r="P205" i="18"/>
  <c r="P14" i="18"/>
  <c r="P39" i="18"/>
  <c r="P34" i="18"/>
  <c r="P110" i="18"/>
  <c r="P103" i="18"/>
  <c r="P97" i="18"/>
  <c r="P309" i="18"/>
  <c r="P299" i="18"/>
  <c r="P37" i="18"/>
  <c r="P288" i="18"/>
  <c r="P151" i="18"/>
  <c r="P260" i="18"/>
  <c r="P66" i="18"/>
  <c r="P90" i="18"/>
  <c r="P155" i="18"/>
  <c r="P75" i="18"/>
  <c r="P246" i="18"/>
  <c r="P164" i="18"/>
  <c r="P193" i="18"/>
  <c r="P251" i="18"/>
  <c r="P273" i="18"/>
  <c r="P76" i="18"/>
  <c r="P275" i="18"/>
  <c r="P303" i="18"/>
  <c r="P104" i="18"/>
  <c r="P100" i="18"/>
  <c r="P24" i="18"/>
  <c r="P143" i="18"/>
  <c r="P141" i="18"/>
  <c r="P140" i="18"/>
  <c r="P71" i="18"/>
  <c r="P274" i="18"/>
  <c r="P15" i="18"/>
  <c r="P12" i="18"/>
  <c r="P41" i="18"/>
  <c r="P85" i="18"/>
  <c r="P72" i="18"/>
  <c r="P306" i="18"/>
  <c r="P163" i="18"/>
  <c r="P285" i="18"/>
  <c r="P178" i="18"/>
  <c r="P172" i="18"/>
  <c r="P186" i="18"/>
  <c r="P296" i="18"/>
  <c r="P94" i="18"/>
  <c r="P96" i="18"/>
  <c r="P154" i="18"/>
  <c r="P177" i="18"/>
  <c r="P137" i="18"/>
  <c r="P289" i="18"/>
  <c r="P318" i="18"/>
  <c r="P116" i="18"/>
  <c r="P145" i="18"/>
  <c r="P129" i="18"/>
  <c r="P83" i="18"/>
  <c r="P232" i="18"/>
  <c r="P267" i="18"/>
  <c r="P308" i="18"/>
  <c r="P264" i="18"/>
  <c r="P81" i="18"/>
  <c r="P156" i="18"/>
  <c r="P200" i="18"/>
  <c r="P222" i="18"/>
  <c r="P277" i="18"/>
  <c r="P262" i="18"/>
  <c r="P16" i="18"/>
  <c r="P224" i="18"/>
  <c r="P5" i="18"/>
  <c r="P30" i="18"/>
  <c r="P294" i="18"/>
  <c r="P73" i="18"/>
  <c r="P181" i="18"/>
  <c r="P261" i="18"/>
  <c r="P25" i="18"/>
  <c r="P215" i="18"/>
  <c r="P301" i="18"/>
  <c r="P136" i="18"/>
  <c r="P120" i="18"/>
  <c r="P244" i="18"/>
  <c r="P92" i="18"/>
  <c r="P259" i="18"/>
  <c r="P59" i="18"/>
  <c r="P152" i="18"/>
  <c r="P214" i="18"/>
  <c r="P195" i="18"/>
  <c r="P272" i="18"/>
  <c r="P194" i="18"/>
  <c r="P119" i="18"/>
  <c r="P279" i="18"/>
  <c r="P231" i="18"/>
  <c r="P107" i="18"/>
  <c r="P234" i="18"/>
  <c r="P9" i="18"/>
  <c r="P304" i="18"/>
  <c r="P219" i="18"/>
  <c r="P112" i="18"/>
  <c r="P196" i="18"/>
  <c r="P133" i="18"/>
  <c r="P241" i="18"/>
  <c r="P86" i="18"/>
  <c r="P305" i="18"/>
  <c r="P236" i="18"/>
  <c r="P3" i="18"/>
  <c r="P144" i="18"/>
  <c r="P132" i="18"/>
  <c r="P27" i="18"/>
  <c r="P269" i="18"/>
  <c r="P266" i="18"/>
  <c r="P243" i="18"/>
  <c r="P300" i="18"/>
  <c r="P282" i="18"/>
  <c r="P223" i="18"/>
  <c r="P203" i="18"/>
  <c r="P209" i="18"/>
  <c r="P287" i="18"/>
  <c r="P265" i="18"/>
  <c r="P252" i="18"/>
  <c r="P258" i="18"/>
  <c r="P117" i="18"/>
  <c r="P161" i="18"/>
  <c r="P270" i="18"/>
  <c r="P298" i="18"/>
  <c r="P283" i="18"/>
  <c r="P302" i="18"/>
  <c r="P295" i="18"/>
  <c r="P47" i="18"/>
  <c r="P170" i="18"/>
  <c r="P213" i="18"/>
  <c r="P293" i="18"/>
  <c r="P233" i="18"/>
  <c r="P87" i="18"/>
  <c r="P167" i="18"/>
  <c r="P36" i="18"/>
  <c r="P106" i="18"/>
  <c r="P118" i="18"/>
  <c r="P206" i="18"/>
  <c r="P70" i="18"/>
  <c r="P253" i="18"/>
  <c r="P212" i="18"/>
  <c r="P227" i="18"/>
  <c r="P130" i="18"/>
  <c r="P6" i="18"/>
  <c r="P4" i="18"/>
  <c r="P114" i="18"/>
  <c r="P127" i="18"/>
  <c r="P80" i="18"/>
  <c r="P317" i="18"/>
  <c r="P322" i="18"/>
  <c r="P256" i="18"/>
  <c r="P122" i="18"/>
  <c r="P204" i="18"/>
  <c r="P235" i="18"/>
  <c r="P42" i="18"/>
  <c r="P124" i="18"/>
  <c r="P13" i="18"/>
  <c r="P149" i="18"/>
  <c r="P128" i="18"/>
  <c r="P276" i="18"/>
  <c r="P123" i="18"/>
  <c r="P190" i="18"/>
  <c r="P105" i="18"/>
  <c r="P69" i="18"/>
  <c r="P101" i="18"/>
  <c r="P211" i="18"/>
  <c r="P93" i="18"/>
  <c r="P63" i="18"/>
  <c r="P239" i="18"/>
  <c r="P292" i="18"/>
  <c r="P281" i="18"/>
  <c r="P192" i="18"/>
  <c r="P216" i="18"/>
  <c r="P58" i="18"/>
  <c r="P175" i="18"/>
  <c r="P313" i="18"/>
  <c r="P228" i="18"/>
  <c r="P268" i="18"/>
  <c r="P33" i="18"/>
  <c r="P237" i="18"/>
  <c r="P148" i="18"/>
  <c r="P64" i="18"/>
  <c r="P321" i="18"/>
  <c r="P68" i="18"/>
  <c r="P22" i="18"/>
  <c r="P126" i="18"/>
  <c r="P89" i="18"/>
  <c r="P109" i="18"/>
  <c r="P46" i="18"/>
  <c r="P50" i="18"/>
  <c r="P88" i="18"/>
  <c r="P99" i="18"/>
  <c r="P189" i="18"/>
  <c r="P79" i="18"/>
  <c r="P278" i="18"/>
  <c r="P135" i="18"/>
  <c r="P169" i="18"/>
  <c r="P67" i="18"/>
  <c r="P182" i="17"/>
  <c r="P25" i="17"/>
  <c r="P103" i="17"/>
  <c r="P157" i="17"/>
  <c r="P107" i="17"/>
  <c r="P227" i="17"/>
  <c r="P60" i="17"/>
  <c r="P175" i="17"/>
  <c r="P225" i="17"/>
  <c r="P37" i="17"/>
  <c r="P144" i="17"/>
  <c r="P164" i="17"/>
  <c r="P116" i="17"/>
  <c r="P244" i="17"/>
  <c r="P59" i="17"/>
  <c r="P112" i="17"/>
  <c r="P215" i="17"/>
  <c r="P89" i="17"/>
  <c r="P252" i="17"/>
  <c r="P272" i="17"/>
  <c r="P250" i="17"/>
  <c r="P93" i="17"/>
  <c r="P123" i="17"/>
  <c r="P245" i="17"/>
  <c r="P226" i="17"/>
  <c r="P213" i="17"/>
  <c r="P97" i="17"/>
  <c r="P160" i="17"/>
  <c r="P143" i="17"/>
  <c r="P309" i="17"/>
  <c r="P274" i="17"/>
  <c r="P92" i="17"/>
  <c r="P200" i="17"/>
  <c r="P260" i="17"/>
  <c r="P320" i="17"/>
  <c r="P145" i="17"/>
  <c r="P316" i="17"/>
  <c r="P290" i="17"/>
  <c r="P2" i="17"/>
  <c r="P282" i="17"/>
  <c r="P165" i="17"/>
  <c r="P14" i="17"/>
  <c r="P212" i="17"/>
  <c r="P61" i="17"/>
  <c r="P208" i="17"/>
  <c r="P125" i="17"/>
  <c r="P248" i="17"/>
  <c r="P138" i="17"/>
  <c r="P36" i="17"/>
  <c r="P51" i="17"/>
  <c r="P161" i="17"/>
  <c r="P256" i="17"/>
  <c r="P104" i="17"/>
  <c r="P276" i="17"/>
  <c r="P236" i="17"/>
  <c r="P264" i="17"/>
  <c r="P84" i="17"/>
  <c r="P56" i="17"/>
  <c r="P96" i="17"/>
  <c r="P189" i="17"/>
  <c r="P262" i="17"/>
  <c r="P193" i="17"/>
  <c r="P31" i="17"/>
  <c r="P87" i="17"/>
  <c r="P270" i="17"/>
  <c r="P33" i="17"/>
  <c r="P205" i="17"/>
  <c r="P216" i="17"/>
  <c r="P73" i="17"/>
  <c r="P41" i="17"/>
  <c r="P91" i="17"/>
  <c r="P115" i="17"/>
  <c r="P251" i="17"/>
  <c r="P301" i="17"/>
  <c r="P105" i="17"/>
  <c r="P220" i="17"/>
  <c r="P170" i="17"/>
  <c r="P79" i="17"/>
  <c r="P232" i="17"/>
  <c r="P292" i="17"/>
  <c r="P188" i="17"/>
  <c r="P16" i="17"/>
  <c r="P191" i="17"/>
  <c r="P158" i="17"/>
  <c r="P217" i="17"/>
  <c r="P4" i="17"/>
  <c r="P24" i="17"/>
  <c r="P306" i="17"/>
  <c r="P141" i="17"/>
  <c r="P280" i="17"/>
  <c r="P297" i="17"/>
  <c r="P128" i="17"/>
  <c r="P86" i="17"/>
  <c r="P19" i="17"/>
  <c r="P275" i="17"/>
  <c r="P40" i="17"/>
  <c r="P247" i="17"/>
  <c r="P10" i="17"/>
  <c r="P151" i="17"/>
  <c r="P45" i="17"/>
  <c r="P68" i="17"/>
  <c r="P169" i="17"/>
  <c r="P77" i="17"/>
  <c r="P22" i="17"/>
  <c r="P131" i="17"/>
  <c r="P166" i="17"/>
  <c r="P281" i="17"/>
  <c r="P70" i="17"/>
  <c r="P240" i="17"/>
  <c r="P289" i="17"/>
  <c r="P176" i="17"/>
  <c r="P242" i="17"/>
  <c r="P6" i="17"/>
  <c r="P163" i="17"/>
  <c r="P322" i="17"/>
  <c r="P184" i="17"/>
  <c r="P102" i="17"/>
  <c r="P106" i="17"/>
  <c r="P20" i="17"/>
  <c r="P296" i="17"/>
  <c r="P64" i="17"/>
  <c r="P21" i="17"/>
  <c r="P310" i="17"/>
  <c r="P254" i="17"/>
  <c r="P162" i="17"/>
  <c r="P55" i="17"/>
  <c r="P71" i="17"/>
  <c r="P313" i="17"/>
  <c r="P198" i="17"/>
  <c r="P9" i="17"/>
  <c r="P180" i="17"/>
  <c r="P127" i="17"/>
  <c r="P137" i="17"/>
  <c r="P241" i="17"/>
  <c r="P139" i="17"/>
  <c r="P317" i="17"/>
  <c r="P249" i="17"/>
  <c r="P218" i="17"/>
  <c r="P223" i="17"/>
  <c r="P174" i="17"/>
  <c r="P132" i="17"/>
  <c r="P152" i="17"/>
  <c r="P234" i="17"/>
  <c r="P190" i="17"/>
  <c r="P83" i="17"/>
  <c r="P81" i="17"/>
  <c r="P171" i="17"/>
  <c r="P80" i="17"/>
  <c r="P99" i="17"/>
  <c r="P121" i="17"/>
  <c r="P154" i="17"/>
  <c r="P221" i="17"/>
  <c r="P265" i="17"/>
  <c r="P307" i="17"/>
  <c r="P150" i="17"/>
  <c r="P47" i="17"/>
  <c r="P201" i="17"/>
  <c r="P269" i="17"/>
  <c r="P178" i="17"/>
  <c r="P228" i="17"/>
  <c r="P183" i="17"/>
  <c r="P42" i="17"/>
  <c r="P46" i="17"/>
  <c r="P287" i="17"/>
  <c r="P85" i="17"/>
  <c r="P74" i="17"/>
  <c r="P224" i="17"/>
  <c r="P17" i="17"/>
  <c r="P285" i="17"/>
  <c r="P222" i="17"/>
  <c r="P62" i="17"/>
  <c r="P153" i="17"/>
  <c r="P258" i="17"/>
  <c r="P65" i="17"/>
  <c r="P179" i="17"/>
  <c r="P196" i="17"/>
  <c r="P294" i="17"/>
  <c r="P257" i="17"/>
  <c r="P207" i="17"/>
  <c r="P192" i="17"/>
  <c r="P135" i="17"/>
  <c r="P111" i="17"/>
  <c r="P168" i="17"/>
  <c r="P26" i="17"/>
  <c r="P122" i="17"/>
  <c r="P95" i="17"/>
  <c r="P230" i="17"/>
  <c r="P197" i="17"/>
  <c r="P267" i="17"/>
  <c r="P186" i="17"/>
  <c r="P98" i="17"/>
  <c r="P66" i="17"/>
  <c r="P283" i="17"/>
  <c r="P23" i="17"/>
  <c r="P231" i="17"/>
  <c r="P75" i="17"/>
  <c r="P113" i="17"/>
  <c r="P181" i="17"/>
  <c r="P28" i="17"/>
  <c r="P303" i="17"/>
  <c r="P243" i="17"/>
  <c r="P259" i="17"/>
  <c r="P43" i="17"/>
  <c r="P266" i="17"/>
  <c r="P149" i="17"/>
  <c r="P101" i="17"/>
  <c r="P29" i="17"/>
  <c r="P78" i="17"/>
  <c r="P76" i="17"/>
  <c r="P235" i="17"/>
  <c r="P148" i="17"/>
  <c r="P268" i="17"/>
  <c r="P319" i="17"/>
  <c r="P284" i="17"/>
  <c r="P187" i="17"/>
  <c r="P291" i="17"/>
  <c r="P90" i="17"/>
  <c r="P54" i="17"/>
  <c r="P194" i="17"/>
  <c r="P44" i="17"/>
  <c r="P308" i="17"/>
  <c r="P229" i="17"/>
  <c r="P219" i="17"/>
  <c r="P13" i="17"/>
  <c r="P155" i="17"/>
  <c r="P52" i="17"/>
  <c r="P211" i="17"/>
  <c r="P72" i="17"/>
  <c r="P305" i="17"/>
  <c r="P237" i="17"/>
  <c r="P210" i="17"/>
  <c r="P12" i="17"/>
  <c r="P69" i="17"/>
  <c r="P120" i="17"/>
  <c r="P172" i="17"/>
  <c r="P273" i="17"/>
  <c r="P18" i="17"/>
  <c r="P114" i="17"/>
  <c r="P30" i="17"/>
  <c r="P63" i="17"/>
  <c r="P261" i="17"/>
  <c r="P140" i="17"/>
  <c r="P94" i="17"/>
  <c r="P5" i="17"/>
  <c r="P109" i="17"/>
  <c r="P214" i="17"/>
  <c r="P167" i="17"/>
  <c r="P239" i="17"/>
  <c r="P253" i="17"/>
  <c r="P185" i="17"/>
  <c r="P321" i="17"/>
  <c r="P195" i="17"/>
  <c r="P199" i="17"/>
  <c r="P156" i="17"/>
  <c r="P88" i="17"/>
  <c r="P118" i="17"/>
  <c r="P147" i="17"/>
  <c r="P278" i="17"/>
  <c r="P108" i="17"/>
  <c r="P130" i="17"/>
  <c r="P8" i="17"/>
  <c r="P134" i="17"/>
  <c r="P11" i="17"/>
  <c r="P159" i="17"/>
  <c r="P314" i="17"/>
  <c r="P39" i="17"/>
  <c r="P119" i="17"/>
  <c r="P293" i="17"/>
  <c r="P202" i="17"/>
  <c r="P318" i="17"/>
  <c r="P32" i="17"/>
  <c r="P312" i="17"/>
  <c r="P82" i="17"/>
  <c r="P117" i="17"/>
  <c r="P142" i="17"/>
  <c r="P67" i="17"/>
  <c r="P263" i="17"/>
  <c r="P315" i="17"/>
  <c r="P277" i="17"/>
  <c r="P57" i="17"/>
  <c r="P246" i="17"/>
  <c r="P300" i="17"/>
  <c r="P304" i="17"/>
  <c r="P238" i="17"/>
  <c r="P204" i="17"/>
  <c r="P126" i="17"/>
  <c r="P100" i="17"/>
  <c r="P58" i="17"/>
  <c r="P40" i="16"/>
  <c r="O2" i="16"/>
  <c r="P204" i="16" s="1"/>
  <c r="P124" i="16"/>
  <c r="P281" i="16"/>
  <c r="P17" i="16"/>
  <c r="P256" i="16"/>
  <c r="P212" i="16"/>
  <c r="P279" i="16"/>
  <c r="P220" i="16"/>
  <c r="P240" i="16"/>
  <c r="P195" i="16"/>
  <c r="P242" i="16"/>
  <c r="P4" i="16"/>
  <c r="P187" i="16"/>
  <c r="P253" i="16"/>
  <c r="P71" i="16"/>
  <c r="P117" i="16"/>
  <c r="P33" i="16"/>
  <c r="P42" i="16"/>
  <c r="P228" i="16"/>
  <c r="P211" i="16"/>
  <c r="P156" i="16"/>
  <c r="P166" i="16"/>
  <c r="P320" i="16"/>
  <c r="P34" i="16"/>
  <c r="P173" i="16"/>
  <c r="P64" i="16"/>
  <c r="P298" i="16"/>
  <c r="P155" i="16"/>
  <c r="P317" i="16"/>
  <c r="P282" i="16"/>
  <c r="P141" i="16"/>
  <c r="P138" i="16"/>
  <c r="P112" i="16"/>
  <c r="P310" i="16"/>
  <c r="P67" i="16"/>
  <c r="P302" i="16"/>
  <c r="P270" i="16"/>
  <c r="P280" i="16"/>
  <c r="P168" i="16"/>
  <c r="P114" i="16"/>
  <c r="P116" i="16" l="1"/>
  <c r="P205" i="16"/>
  <c r="P223" i="16"/>
  <c r="P78" i="16"/>
  <c r="P276" i="16"/>
  <c r="P275" i="16"/>
  <c r="P43" i="16"/>
  <c r="P41" i="16"/>
  <c r="P260" i="16"/>
  <c r="P16" i="16"/>
  <c r="P99" i="16"/>
  <c r="P29" i="16"/>
  <c r="P273" i="16"/>
  <c r="P286" i="16"/>
  <c r="P14" i="16"/>
  <c r="P38" i="16"/>
  <c r="P271" i="16"/>
  <c r="P15" i="16"/>
  <c r="P199" i="16"/>
  <c r="P81" i="16"/>
  <c r="P213" i="16"/>
  <c r="P57" i="16"/>
  <c r="P120" i="16"/>
  <c r="P126" i="16"/>
  <c r="P314" i="16"/>
  <c r="P139" i="16"/>
  <c r="P70" i="16"/>
  <c r="P49" i="16"/>
  <c r="P318" i="16"/>
  <c r="P147" i="16"/>
  <c r="P88" i="16"/>
  <c r="P221" i="16"/>
  <c r="P25" i="16"/>
  <c r="P174" i="16"/>
  <c r="P291" i="16"/>
  <c r="P284" i="16"/>
  <c r="P73" i="16"/>
  <c r="P95" i="16"/>
  <c r="P27" i="16"/>
  <c r="P54" i="16"/>
  <c r="P285" i="16"/>
  <c r="P225" i="16"/>
  <c r="P300" i="16"/>
  <c r="P140" i="16"/>
  <c r="P56" i="16"/>
  <c r="P206" i="16"/>
  <c r="P190" i="16"/>
  <c r="P288" i="16"/>
  <c r="P110" i="16"/>
  <c r="P150" i="16"/>
  <c r="P160" i="16"/>
  <c r="P22" i="16"/>
  <c r="P46" i="16"/>
  <c r="P316" i="16"/>
  <c r="P171" i="16"/>
  <c r="P94" i="16"/>
  <c r="P278" i="16"/>
  <c r="P127" i="16"/>
  <c r="P10" i="16"/>
  <c r="P264" i="16"/>
  <c r="P115" i="16"/>
  <c r="P105" i="16"/>
  <c r="P169" i="16"/>
  <c r="P232" i="16"/>
  <c r="P191" i="16"/>
  <c r="P189" i="16"/>
  <c r="P164" i="16"/>
  <c r="P229" i="16"/>
  <c r="P128" i="16"/>
  <c r="P77" i="16"/>
  <c r="P52" i="16"/>
  <c r="P113" i="16"/>
  <c r="P107" i="16"/>
  <c r="P250" i="16"/>
  <c r="P203" i="16"/>
  <c r="P233" i="16"/>
  <c r="P309" i="16"/>
  <c r="P247" i="16"/>
  <c r="P121" i="16"/>
  <c r="P217" i="16"/>
  <c r="P24" i="16"/>
  <c r="P251" i="16"/>
  <c r="P20" i="16"/>
  <c r="P224" i="16"/>
  <c r="P125" i="16"/>
  <c r="P170" i="16"/>
  <c r="P266" i="16"/>
  <c r="P135" i="16"/>
  <c r="P50" i="16"/>
  <c r="P144" i="16"/>
  <c r="P36" i="16"/>
  <c r="P321" i="16"/>
  <c r="P218" i="16"/>
  <c r="P292" i="16"/>
  <c r="P61" i="16"/>
  <c r="P3" i="16"/>
  <c r="P243" i="16"/>
  <c r="P31" i="16"/>
  <c r="P83" i="16"/>
  <c r="P63" i="16"/>
  <c r="P178" i="16"/>
  <c r="P136" i="16"/>
  <c r="P265" i="16"/>
  <c r="P161" i="16"/>
  <c r="P226" i="16"/>
  <c r="P148" i="16"/>
  <c r="P198" i="16"/>
  <c r="P13" i="16"/>
  <c r="P290" i="16"/>
  <c r="P296" i="16"/>
  <c r="P165" i="16"/>
  <c r="P236" i="16"/>
  <c r="P184" i="16"/>
  <c r="P185" i="16"/>
  <c r="P159" i="16"/>
  <c r="P47" i="16"/>
  <c r="P2" i="16"/>
  <c r="P104" i="16"/>
  <c r="P248" i="16"/>
  <c r="P68" i="16"/>
  <c r="P179" i="16"/>
  <c r="P39" i="16"/>
  <c r="P214" i="16"/>
  <c r="P131" i="16"/>
  <c r="P283" i="16"/>
  <c r="P303" i="16"/>
  <c r="P257" i="16"/>
  <c r="P101" i="16"/>
  <c r="P118" i="16"/>
  <c r="P5" i="16"/>
  <c r="P21" i="16"/>
  <c r="P93" i="16"/>
  <c r="P59" i="16"/>
  <c r="P58" i="16"/>
  <c r="P254" i="16"/>
  <c r="P30" i="16"/>
  <c r="P299" i="16"/>
  <c r="P307" i="16"/>
  <c r="P305" i="16"/>
  <c r="P172" i="16"/>
  <c r="P246" i="16"/>
  <c r="P197" i="16"/>
  <c r="P11" i="16"/>
  <c r="P180" i="16"/>
  <c r="P142" i="16"/>
  <c r="P146" i="16"/>
  <c r="P200" i="16"/>
  <c r="P181" i="16"/>
  <c r="P304" i="16"/>
  <c r="P188" i="16"/>
  <c r="P267" i="16"/>
  <c r="P18" i="16"/>
  <c r="P295" i="16"/>
  <c r="P149" i="16"/>
  <c r="P143" i="16"/>
  <c r="P208" i="16"/>
  <c r="P176" i="16"/>
  <c r="P183" i="16"/>
  <c r="P222" i="16"/>
  <c r="P241" i="16"/>
  <c r="P274" i="16"/>
  <c r="P92" i="16"/>
  <c r="P7" i="16"/>
  <c r="P154" i="16"/>
  <c r="P65" i="16"/>
  <c r="P294" i="16"/>
  <c r="P152" i="16"/>
  <c r="P32" i="16"/>
  <c r="P272" i="16"/>
  <c r="P132" i="16"/>
  <c r="P66" i="16"/>
  <c r="P84" i="16"/>
  <c r="P137" i="16"/>
  <c r="P80" i="16"/>
  <c r="P103" i="16"/>
  <c r="P312" i="16"/>
  <c r="P177" i="16"/>
  <c r="P86" i="16"/>
  <c r="P175" i="16"/>
  <c r="P167" i="16"/>
  <c r="P133" i="16"/>
  <c r="P231" i="16"/>
  <c r="P315" i="16"/>
  <c r="P53" i="16"/>
  <c r="P308" i="16"/>
  <c r="P145" i="16"/>
  <c r="P119" i="16"/>
  <c r="P44" i="16"/>
  <c r="P74" i="16"/>
  <c r="P60" i="16"/>
  <c r="P23" i="16"/>
  <c r="P262" i="16"/>
  <c r="P109" i="16"/>
  <c r="P19" i="16"/>
  <c r="P297" i="16"/>
  <c r="P106" i="16"/>
  <c r="P72" i="16"/>
  <c r="P311" i="16"/>
  <c r="P48" i="16"/>
  <c r="P51" i="16"/>
  <c r="P238" i="16"/>
  <c r="P289" i="16"/>
  <c r="P85" i="16"/>
  <c r="P192" i="16"/>
  <c r="P153" i="16"/>
  <c r="P130" i="16"/>
  <c r="P258" i="16"/>
  <c r="P252" i="16"/>
  <c r="P301" i="16"/>
  <c r="P319" i="16"/>
  <c r="P102" i="16"/>
  <c r="P12" i="16"/>
  <c r="P235" i="16"/>
  <c r="P287" i="16"/>
  <c r="P37" i="16"/>
  <c r="P201" i="16"/>
  <c r="P163" i="16"/>
  <c r="P151" i="16"/>
  <c r="P26" i="16"/>
  <c r="P293" i="16"/>
  <c r="P182" i="16"/>
  <c r="P100" i="16"/>
  <c r="P313" i="16"/>
  <c r="P186" i="16"/>
  <c r="P237" i="16"/>
  <c r="P69" i="16"/>
  <c r="P255" i="16"/>
  <c r="P8" i="16"/>
  <c r="P194" i="16"/>
  <c r="P196" i="16"/>
  <c r="P6" i="16"/>
  <c r="P215" i="16"/>
  <c r="P216" i="16"/>
  <c r="P98" i="16"/>
  <c r="P82" i="16"/>
  <c r="P158" i="16"/>
  <c r="P9" i="16"/>
  <c r="P97" i="16"/>
  <c r="P322" i="16"/>
  <c r="P219" i="16"/>
  <c r="P123" i="16"/>
  <c r="P269" i="16"/>
  <c r="P45" i="16"/>
  <c r="P263" i="16"/>
  <c r="P134" i="16"/>
  <c r="P75" i="16"/>
  <c r="P244" i="16"/>
  <c r="P277" i="16"/>
  <c r="P207" i="16"/>
  <c r="P209" i="16"/>
  <c r="P108" i="16"/>
  <c r="P157" i="16"/>
  <c r="P259" i="16"/>
  <c r="P306" i="16"/>
  <c r="P28" i="16"/>
  <c r="P122" i="16"/>
  <c r="P268" i="16"/>
  <c r="P162" i="16"/>
  <c r="P261" i="16"/>
  <c r="P210" i="16"/>
  <c r="P245" i="16"/>
  <c r="P202" i="16"/>
  <c r="P90" i="16"/>
  <c r="P234" i="16"/>
  <c r="P193" i="16"/>
  <c r="P79" i="16"/>
  <c r="P239" i="16"/>
  <c r="P111" i="16"/>
  <c r="P91" i="16"/>
  <c r="P227" i="16"/>
  <c r="P249" i="16"/>
  <c r="P230" i="16"/>
  <c r="P87" i="16"/>
  <c r="P129" i="16"/>
  <c r="P96" i="16"/>
  <c r="P62" i="16"/>
  <c r="P35" i="16"/>
  <c r="P55" i="16"/>
  <c r="P89" i="16"/>
  <c r="P76" i="16"/>
  <c r="J321" i="9" l="1"/>
  <c r="I321" i="9"/>
  <c r="K321" i="9" s="1"/>
  <c r="J320" i="9"/>
  <c r="I320" i="9"/>
  <c r="K320" i="9" s="1"/>
  <c r="J319" i="9"/>
  <c r="I319" i="9"/>
  <c r="K319" i="9" s="1"/>
  <c r="J318" i="9"/>
  <c r="I318" i="9"/>
  <c r="K318" i="9" s="1"/>
  <c r="J317" i="9"/>
  <c r="I317" i="9"/>
  <c r="K317" i="9" s="1"/>
  <c r="J316" i="9"/>
  <c r="I316" i="9"/>
  <c r="K316" i="9" s="1"/>
  <c r="J315" i="9"/>
  <c r="I315" i="9"/>
  <c r="K315" i="9" s="1"/>
  <c r="J314" i="9"/>
  <c r="I314" i="9"/>
  <c r="K314" i="9" s="1"/>
  <c r="J313" i="9"/>
  <c r="I313" i="9"/>
  <c r="K313" i="9" s="1"/>
  <c r="J312" i="9"/>
  <c r="I312" i="9"/>
  <c r="K312" i="9" s="1"/>
  <c r="J311" i="9"/>
  <c r="I311" i="9"/>
  <c r="K311" i="9" s="1"/>
  <c r="J310" i="9"/>
  <c r="I310" i="9"/>
  <c r="K310" i="9" s="1"/>
  <c r="J309" i="9"/>
  <c r="I309" i="9"/>
  <c r="K309" i="9" s="1"/>
  <c r="J308" i="9"/>
  <c r="I308" i="9"/>
  <c r="K308" i="9" s="1"/>
  <c r="J307" i="9"/>
  <c r="I307" i="9"/>
  <c r="K307" i="9" s="1"/>
  <c r="J306" i="9"/>
  <c r="I306" i="9"/>
  <c r="K306" i="9" s="1"/>
  <c r="J305" i="9"/>
  <c r="I305" i="9"/>
  <c r="K305" i="9" s="1"/>
  <c r="J304" i="9"/>
  <c r="I304" i="9"/>
  <c r="K304" i="9" s="1"/>
  <c r="J303" i="9"/>
  <c r="I303" i="9"/>
  <c r="K303" i="9" s="1"/>
  <c r="J302" i="9"/>
  <c r="I302" i="9"/>
  <c r="K302" i="9" s="1"/>
  <c r="J301" i="9"/>
  <c r="I301" i="9"/>
  <c r="K301" i="9" s="1"/>
  <c r="J300" i="9"/>
  <c r="I300" i="9"/>
  <c r="K300" i="9" s="1"/>
  <c r="J299" i="9"/>
  <c r="I299" i="9"/>
  <c r="K299" i="9" s="1"/>
  <c r="J298" i="9"/>
  <c r="I298" i="9"/>
  <c r="K298" i="9" s="1"/>
  <c r="J297" i="9"/>
  <c r="I297" i="9"/>
  <c r="K297" i="9" s="1"/>
  <c r="J296" i="9"/>
  <c r="I296" i="9"/>
  <c r="K296" i="9" s="1"/>
  <c r="J295" i="9"/>
  <c r="I295" i="9"/>
  <c r="K295" i="9" s="1"/>
  <c r="J294" i="9"/>
  <c r="I294" i="9"/>
  <c r="K294" i="9" s="1"/>
  <c r="J293" i="9"/>
  <c r="I293" i="9"/>
  <c r="K293" i="9" s="1"/>
  <c r="J292" i="9"/>
  <c r="I292" i="9"/>
  <c r="K292" i="9" s="1"/>
  <c r="J291" i="9"/>
  <c r="I291" i="9"/>
  <c r="K291" i="9" s="1"/>
  <c r="J290" i="9"/>
  <c r="I290" i="9"/>
  <c r="K290" i="9" s="1"/>
  <c r="J289" i="9"/>
  <c r="I289" i="9"/>
  <c r="K289" i="9" s="1"/>
  <c r="J288" i="9"/>
  <c r="I288" i="9"/>
  <c r="K288" i="9" s="1"/>
  <c r="J287" i="9"/>
  <c r="I287" i="9"/>
  <c r="K287" i="9" s="1"/>
  <c r="J286" i="9"/>
  <c r="I286" i="9"/>
  <c r="K286" i="9" s="1"/>
  <c r="J285" i="9"/>
  <c r="I285" i="9"/>
  <c r="K285" i="9" s="1"/>
  <c r="J284" i="9"/>
  <c r="I284" i="9"/>
  <c r="K284" i="9" s="1"/>
  <c r="J283" i="9"/>
  <c r="I283" i="9"/>
  <c r="K283" i="9" s="1"/>
  <c r="J282" i="9"/>
  <c r="I282" i="9"/>
  <c r="K282" i="9" s="1"/>
  <c r="J281" i="9"/>
  <c r="I281" i="9"/>
  <c r="K281" i="9" s="1"/>
  <c r="J280" i="9"/>
  <c r="I280" i="9"/>
  <c r="K280" i="9" s="1"/>
  <c r="J279" i="9"/>
  <c r="I279" i="9"/>
  <c r="K279" i="9" s="1"/>
  <c r="J278" i="9"/>
  <c r="I278" i="9"/>
  <c r="K278" i="9" s="1"/>
  <c r="J277" i="9"/>
  <c r="I277" i="9"/>
  <c r="K277" i="9" s="1"/>
  <c r="J276" i="9"/>
  <c r="I276" i="9"/>
  <c r="K276" i="9" s="1"/>
  <c r="J275" i="9"/>
  <c r="I275" i="9"/>
  <c r="K275" i="9" s="1"/>
  <c r="J274" i="9"/>
  <c r="I274" i="9"/>
  <c r="K274" i="9" s="1"/>
  <c r="J273" i="9"/>
  <c r="I273" i="9"/>
  <c r="K273" i="9" s="1"/>
  <c r="J272" i="9"/>
  <c r="I272" i="9"/>
  <c r="K272" i="9" s="1"/>
  <c r="J271" i="9"/>
  <c r="I271" i="9"/>
  <c r="K271" i="9" s="1"/>
  <c r="J270" i="9"/>
  <c r="I270" i="9"/>
  <c r="K270" i="9" s="1"/>
  <c r="J269" i="9"/>
  <c r="I269" i="9"/>
  <c r="K269" i="9" s="1"/>
  <c r="J268" i="9"/>
  <c r="I268" i="9"/>
  <c r="K268" i="9" s="1"/>
  <c r="J267" i="9"/>
  <c r="I267" i="9"/>
  <c r="K267" i="9" s="1"/>
  <c r="J266" i="9"/>
  <c r="I266" i="9"/>
  <c r="K266" i="9" s="1"/>
  <c r="J265" i="9"/>
  <c r="I265" i="9"/>
  <c r="K265" i="9" s="1"/>
  <c r="J264" i="9"/>
  <c r="I264" i="9"/>
  <c r="K264" i="9" s="1"/>
  <c r="J263" i="9"/>
  <c r="I263" i="9"/>
  <c r="K263" i="9" s="1"/>
  <c r="J262" i="9"/>
  <c r="I262" i="9"/>
  <c r="K262" i="9" s="1"/>
  <c r="J261" i="9"/>
  <c r="I261" i="9"/>
  <c r="K261" i="9" s="1"/>
  <c r="J260" i="9"/>
  <c r="I260" i="9"/>
  <c r="K260" i="9" s="1"/>
  <c r="J259" i="9"/>
  <c r="I259" i="9"/>
  <c r="K259" i="9" s="1"/>
  <c r="J258" i="9"/>
  <c r="I258" i="9"/>
  <c r="K258" i="9" s="1"/>
  <c r="J257" i="9"/>
  <c r="I257" i="9"/>
  <c r="K257" i="9" s="1"/>
  <c r="J256" i="9"/>
  <c r="I256" i="9"/>
  <c r="K256" i="9" s="1"/>
  <c r="J255" i="9"/>
  <c r="I255" i="9"/>
  <c r="K255" i="9" s="1"/>
  <c r="J254" i="9"/>
  <c r="I254" i="9"/>
  <c r="K254" i="9" s="1"/>
  <c r="J253" i="9"/>
  <c r="I253" i="9"/>
  <c r="K253" i="9" s="1"/>
  <c r="J252" i="9"/>
  <c r="I252" i="9"/>
  <c r="K252" i="9" s="1"/>
  <c r="J251" i="9"/>
  <c r="I251" i="9"/>
  <c r="K251" i="9" s="1"/>
  <c r="J250" i="9"/>
  <c r="I250" i="9"/>
  <c r="K250" i="9" s="1"/>
  <c r="J249" i="9"/>
  <c r="I249" i="9"/>
  <c r="K249" i="9" s="1"/>
  <c r="J248" i="9"/>
  <c r="I248" i="9"/>
  <c r="K248" i="9" s="1"/>
  <c r="J247" i="9"/>
  <c r="I247" i="9"/>
  <c r="K247" i="9" s="1"/>
  <c r="J246" i="9"/>
  <c r="I246" i="9"/>
  <c r="K246" i="9" s="1"/>
  <c r="J245" i="9"/>
  <c r="I245" i="9"/>
  <c r="K245" i="9" s="1"/>
  <c r="J244" i="9"/>
  <c r="I244" i="9"/>
  <c r="K244" i="9" s="1"/>
  <c r="J243" i="9"/>
  <c r="I243" i="9"/>
  <c r="K243" i="9" s="1"/>
  <c r="J242" i="9"/>
  <c r="I242" i="9"/>
  <c r="K242" i="9" s="1"/>
  <c r="J241" i="9"/>
  <c r="I241" i="9"/>
  <c r="K241" i="9" s="1"/>
  <c r="J240" i="9"/>
  <c r="I240" i="9"/>
  <c r="K240" i="9" s="1"/>
  <c r="J239" i="9"/>
  <c r="I239" i="9"/>
  <c r="K239" i="9" s="1"/>
  <c r="J238" i="9"/>
  <c r="I238" i="9"/>
  <c r="K238" i="9" s="1"/>
  <c r="J237" i="9"/>
  <c r="I237" i="9"/>
  <c r="K237" i="9" s="1"/>
  <c r="J236" i="9"/>
  <c r="I236" i="9"/>
  <c r="K236" i="9" s="1"/>
  <c r="J235" i="9"/>
  <c r="I235" i="9"/>
  <c r="K235" i="9" s="1"/>
  <c r="J234" i="9"/>
  <c r="I234" i="9"/>
  <c r="K234" i="9" s="1"/>
  <c r="J233" i="9"/>
  <c r="I233" i="9"/>
  <c r="K233" i="9" s="1"/>
  <c r="J232" i="9"/>
  <c r="I232" i="9"/>
  <c r="K232" i="9" s="1"/>
  <c r="J231" i="9"/>
  <c r="I231" i="9"/>
  <c r="K231" i="9" s="1"/>
  <c r="J230" i="9"/>
  <c r="I230" i="9"/>
  <c r="K230" i="9" s="1"/>
  <c r="J229" i="9"/>
  <c r="I229" i="9"/>
  <c r="K229" i="9" s="1"/>
  <c r="J228" i="9"/>
  <c r="I228" i="9"/>
  <c r="K228" i="9" s="1"/>
  <c r="J227" i="9"/>
  <c r="I227" i="9"/>
  <c r="K227" i="9" s="1"/>
  <c r="J226" i="9"/>
  <c r="I226" i="9"/>
  <c r="K226" i="9" s="1"/>
  <c r="J225" i="9"/>
  <c r="I225" i="9"/>
  <c r="K225" i="9" s="1"/>
  <c r="J224" i="9"/>
  <c r="I224" i="9"/>
  <c r="K224" i="9" s="1"/>
  <c r="J223" i="9"/>
  <c r="I223" i="9"/>
  <c r="K223" i="9" s="1"/>
  <c r="J222" i="9"/>
  <c r="I222" i="9"/>
  <c r="K222" i="9" s="1"/>
  <c r="J221" i="9"/>
  <c r="I221" i="9"/>
  <c r="K221" i="9" s="1"/>
  <c r="J220" i="9"/>
  <c r="I220" i="9"/>
  <c r="K220" i="9" s="1"/>
  <c r="J219" i="9"/>
  <c r="I219" i="9"/>
  <c r="K219" i="9" s="1"/>
  <c r="J218" i="9"/>
  <c r="I218" i="9"/>
  <c r="K218" i="9" s="1"/>
  <c r="J217" i="9"/>
  <c r="I217" i="9"/>
  <c r="K217" i="9" s="1"/>
  <c r="J216" i="9"/>
  <c r="I216" i="9"/>
  <c r="K216" i="9" s="1"/>
  <c r="J215" i="9"/>
  <c r="I215" i="9"/>
  <c r="K215" i="9" s="1"/>
  <c r="J214" i="9"/>
  <c r="I214" i="9"/>
  <c r="K214" i="9" s="1"/>
  <c r="J213" i="9"/>
  <c r="I213" i="9"/>
  <c r="K213" i="9" s="1"/>
  <c r="J212" i="9"/>
  <c r="I212" i="9"/>
  <c r="K212" i="9" s="1"/>
  <c r="J211" i="9"/>
  <c r="I211" i="9"/>
  <c r="K211" i="9" s="1"/>
  <c r="J210" i="9"/>
  <c r="I210" i="9"/>
  <c r="K210" i="9" s="1"/>
  <c r="J209" i="9"/>
  <c r="I209" i="9"/>
  <c r="K209" i="9" s="1"/>
  <c r="J208" i="9"/>
  <c r="I208" i="9"/>
  <c r="K208" i="9" s="1"/>
  <c r="J207" i="9"/>
  <c r="I207" i="9"/>
  <c r="K207" i="9" s="1"/>
  <c r="J206" i="9"/>
  <c r="I206" i="9"/>
  <c r="K206" i="9" s="1"/>
  <c r="J205" i="9"/>
  <c r="I205" i="9"/>
  <c r="K205" i="9" s="1"/>
  <c r="J204" i="9"/>
  <c r="I204" i="9"/>
  <c r="K204" i="9" s="1"/>
  <c r="J203" i="9"/>
  <c r="I203" i="9"/>
  <c r="K203" i="9" s="1"/>
  <c r="J202" i="9"/>
  <c r="I202" i="9"/>
  <c r="K202" i="9" s="1"/>
  <c r="J201" i="9"/>
  <c r="I201" i="9"/>
  <c r="K201" i="9" s="1"/>
  <c r="J200" i="9"/>
  <c r="I200" i="9"/>
  <c r="K200" i="9" s="1"/>
  <c r="J199" i="9"/>
  <c r="I199" i="9"/>
  <c r="K199" i="9" s="1"/>
  <c r="J198" i="9"/>
  <c r="I198" i="9"/>
  <c r="K198" i="9" s="1"/>
  <c r="J197" i="9"/>
  <c r="I197" i="9"/>
  <c r="K197" i="9" s="1"/>
  <c r="J196" i="9"/>
  <c r="I196" i="9"/>
  <c r="K196" i="9" s="1"/>
  <c r="J195" i="9"/>
  <c r="I195" i="9"/>
  <c r="K195" i="9" s="1"/>
  <c r="J194" i="9"/>
  <c r="I194" i="9"/>
  <c r="K194" i="9" s="1"/>
  <c r="J193" i="9"/>
  <c r="I193" i="9"/>
  <c r="K193" i="9" s="1"/>
  <c r="J192" i="9"/>
  <c r="I192" i="9"/>
  <c r="K192" i="9" s="1"/>
  <c r="J191" i="9"/>
  <c r="I191" i="9"/>
  <c r="K191" i="9" s="1"/>
  <c r="J190" i="9"/>
  <c r="I190" i="9"/>
  <c r="K190" i="9" s="1"/>
  <c r="J189" i="9"/>
  <c r="I189" i="9"/>
  <c r="K189" i="9" s="1"/>
  <c r="J188" i="9"/>
  <c r="I188" i="9"/>
  <c r="K188" i="9" s="1"/>
  <c r="J187" i="9"/>
  <c r="I187" i="9"/>
  <c r="K187" i="9" s="1"/>
  <c r="J186" i="9"/>
  <c r="I186" i="9"/>
  <c r="K186" i="9" s="1"/>
  <c r="J185" i="9"/>
  <c r="I185" i="9"/>
  <c r="K185" i="9" s="1"/>
  <c r="J184" i="9"/>
  <c r="I184" i="9"/>
  <c r="K184" i="9" s="1"/>
  <c r="J183" i="9"/>
  <c r="I183" i="9"/>
  <c r="K183" i="9" s="1"/>
  <c r="J182" i="9"/>
  <c r="I182" i="9"/>
  <c r="K182" i="9" s="1"/>
  <c r="J181" i="9"/>
  <c r="I181" i="9"/>
  <c r="K181" i="9" s="1"/>
  <c r="J180" i="9"/>
  <c r="I180" i="9"/>
  <c r="K180" i="9" s="1"/>
  <c r="J179" i="9"/>
  <c r="I179" i="9"/>
  <c r="K179" i="9" s="1"/>
  <c r="J178" i="9"/>
  <c r="I178" i="9"/>
  <c r="K178" i="9" s="1"/>
  <c r="J177" i="9"/>
  <c r="I177" i="9"/>
  <c r="K177" i="9" s="1"/>
  <c r="J176" i="9"/>
  <c r="I176" i="9"/>
  <c r="K176" i="9" s="1"/>
  <c r="J175" i="9"/>
  <c r="I175" i="9"/>
  <c r="K175" i="9" s="1"/>
  <c r="J174" i="9"/>
  <c r="I174" i="9"/>
  <c r="K174" i="9" s="1"/>
  <c r="J173" i="9"/>
  <c r="I173" i="9"/>
  <c r="K173" i="9" s="1"/>
  <c r="J172" i="9"/>
  <c r="I172" i="9"/>
  <c r="K172" i="9" s="1"/>
  <c r="J171" i="9"/>
  <c r="I171" i="9"/>
  <c r="K171" i="9" s="1"/>
  <c r="J170" i="9"/>
  <c r="I170" i="9"/>
  <c r="K170" i="9" s="1"/>
  <c r="J169" i="9"/>
  <c r="I169" i="9"/>
  <c r="K169" i="9" s="1"/>
  <c r="J168" i="9"/>
  <c r="I168" i="9"/>
  <c r="K168" i="9" s="1"/>
  <c r="J167" i="9"/>
  <c r="I167" i="9"/>
  <c r="K167" i="9" s="1"/>
  <c r="J166" i="9"/>
  <c r="I166" i="9"/>
  <c r="K166" i="9" s="1"/>
  <c r="J165" i="9"/>
  <c r="I165" i="9"/>
  <c r="K165" i="9" s="1"/>
  <c r="J164" i="9"/>
  <c r="I164" i="9"/>
  <c r="K164" i="9" s="1"/>
  <c r="J163" i="9"/>
  <c r="I163" i="9"/>
  <c r="K163" i="9" s="1"/>
  <c r="J162" i="9"/>
  <c r="I162" i="9"/>
  <c r="K162" i="9" s="1"/>
  <c r="J161" i="9"/>
  <c r="I161" i="9"/>
  <c r="K161" i="9" s="1"/>
  <c r="J160" i="9"/>
  <c r="I160" i="9"/>
  <c r="K160" i="9" s="1"/>
  <c r="J159" i="9"/>
  <c r="I159" i="9"/>
  <c r="K159" i="9" s="1"/>
  <c r="J158" i="9"/>
  <c r="I158" i="9"/>
  <c r="K158" i="9" s="1"/>
  <c r="J157" i="9"/>
  <c r="I157" i="9"/>
  <c r="K157" i="9" s="1"/>
  <c r="J156" i="9"/>
  <c r="I156" i="9"/>
  <c r="K156" i="9" s="1"/>
  <c r="J155" i="9"/>
  <c r="I155" i="9"/>
  <c r="K155" i="9" s="1"/>
  <c r="J154" i="9"/>
  <c r="I154" i="9"/>
  <c r="K154" i="9" s="1"/>
  <c r="J153" i="9"/>
  <c r="I153" i="9"/>
  <c r="K153" i="9" s="1"/>
  <c r="J152" i="9"/>
  <c r="I152" i="9"/>
  <c r="K152" i="9" s="1"/>
  <c r="J151" i="9"/>
  <c r="I151" i="9"/>
  <c r="K151" i="9" s="1"/>
  <c r="J150" i="9"/>
  <c r="I150" i="9"/>
  <c r="K150" i="9" s="1"/>
  <c r="J149" i="9"/>
  <c r="I149" i="9"/>
  <c r="K149" i="9" s="1"/>
  <c r="J148" i="9"/>
  <c r="I148" i="9"/>
  <c r="K148" i="9" s="1"/>
  <c r="J147" i="9"/>
  <c r="I147" i="9"/>
  <c r="K147" i="9" s="1"/>
  <c r="J146" i="9"/>
  <c r="I146" i="9"/>
  <c r="K146" i="9" s="1"/>
  <c r="J145" i="9"/>
  <c r="I145" i="9"/>
  <c r="K145" i="9" s="1"/>
  <c r="J144" i="9"/>
  <c r="I144" i="9"/>
  <c r="K144" i="9" s="1"/>
  <c r="J143" i="9"/>
  <c r="I143" i="9"/>
  <c r="K143" i="9" s="1"/>
  <c r="J142" i="9"/>
  <c r="I142" i="9"/>
  <c r="K142" i="9" s="1"/>
  <c r="J141" i="9"/>
  <c r="I141" i="9"/>
  <c r="K141" i="9" s="1"/>
  <c r="J140" i="9"/>
  <c r="I140" i="9"/>
  <c r="K140" i="9" s="1"/>
  <c r="J139" i="9"/>
  <c r="I139" i="9"/>
  <c r="K139" i="9" s="1"/>
  <c r="J138" i="9"/>
  <c r="I138" i="9"/>
  <c r="K138" i="9" s="1"/>
  <c r="J137" i="9"/>
  <c r="I137" i="9"/>
  <c r="K137" i="9" s="1"/>
  <c r="J136" i="9"/>
  <c r="I136" i="9"/>
  <c r="K136" i="9" s="1"/>
  <c r="J135" i="9"/>
  <c r="I135" i="9"/>
  <c r="K135" i="9" s="1"/>
  <c r="J134" i="9"/>
  <c r="I134" i="9"/>
  <c r="K134" i="9" s="1"/>
  <c r="J133" i="9"/>
  <c r="I133" i="9"/>
  <c r="K133" i="9" s="1"/>
  <c r="J132" i="9"/>
  <c r="I132" i="9"/>
  <c r="K132" i="9" s="1"/>
  <c r="J131" i="9"/>
  <c r="I131" i="9"/>
  <c r="K131" i="9" s="1"/>
  <c r="J130" i="9"/>
  <c r="I130" i="9"/>
  <c r="K130" i="9" s="1"/>
  <c r="J129" i="9"/>
  <c r="I129" i="9"/>
  <c r="K129" i="9" s="1"/>
  <c r="J128" i="9"/>
  <c r="I128" i="9"/>
  <c r="K128" i="9" s="1"/>
  <c r="J127" i="9"/>
  <c r="I127" i="9"/>
  <c r="K127" i="9" s="1"/>
  <c r="J126" i="9"/>
  <c r="I126" i="9"/>
  <c r="K126" i="9" s="1"/>
  <c r="J125" i="9"/>
  <c r="I125" i="9"/>
  <c r="K125" i="9" s="1"/>
  <c r="J124" i="9"/>
  <c r="I124" i="9"/>
  <c r="K124" i="9" s="1"/>
  <c r="J123" i="9"/>
  <c r="I123" i="9"/>
  <c r="K123" i="9" s="1"/>
  <c r="J122" i="9"/>
  <c r="I122" i="9"/>
  <c r="K122" i="9" s="1"/>
  <c r="J121" i="9"/>
  <c r="I121" i="9"/>
  <c r="K121" i="9" s="1"/>
  <c r="J120" i="9"/>
  <c r="I120" i="9"/>
  <c r="K120" i="9" s="1"/>
  <c r="J119" i="9"/>
  <c r="I119" i="9"/>
  <c r="K119" i="9" s="1"/>
  <c r="J118" i="9"/>
  <c r="I118" i="9"/>
  <c r="K118" i="9" s="1"/>
  <c r="J117" i="9"/>
  <c r="I117" i="9"/>
  <c r="K117" i="9" s="1"/>
  <c r="J116" i="9"/>
  <c r="I116" i="9"/>
  <c r="K116" i="9" s="1"/>
  <c r="J115" i="9"/>
  <c r="I115" i="9"/>
  <c r="K115" i="9" s="1"/>
  <c r="J114" i="9"/>
  <c r="I114" i="9"/>
  <c r="K114" i="9" s="1"/>
  <c r="J113" i="9"/>
  <c r="I113" i="9"/>
  <c r="K113" i="9" s="1"/>
  <c r="J112" i="9"/>
  <c r="I112" i="9"/>
  <c r="K112" i="9" s="1"/>
  <c r="J111" i="9"/>
  <c r="I111" i="9"/>
  <c r="K111" i="9" s="1"/>
  <c r="J110" i="9"/>
  <c r="I110" i="9"/>
  <c r="K110" i="9" s="1"/>
  <c r="J109" i="9"/>
  <c r="I109" i="9"/>
  <c r="K109" i="9" s="1"/>
  <c r="J108" i="9"/>
  <c r="I108" i="9"/>
  <c r="K108" i="9" s="1"/>
  <c r="J107" i="9"/>
  <c r="I107" i="9"/>
  <c r="K107" i="9" s="1"/>
  <c r="J106" i="9"/>
  <c r="I106" i="9"/>
  <c r="K106" i="9" s="1"/>
  <c r="J105" i="9"/>
  <c r="I105" i="9"/>
  <c r="K105" i="9" s="1"/>
  <c r="J104" i="9"/>
  <c r="I104" i="9"/>
  <c r="K104" i="9" s="1"/>
  <c r="J103" i="9"/>
  <c r="I103" i="9"/>
  <c r="K103" i="9" s="1"/>
  <c r="J102" i="9"/>
  <c r="I102" i="9"/>
  <c r="K102" i="9" s="1"/>
  <c r="J101" i="9"/>
  <c r="I101" i="9"/>
  <c r="K101" i="9" s="1"/>
  <c r="J100" i="9"/>
  <c r="I100" i="9"/>
  <c r="K100" i="9" s="1"/>
  <c r="J99" i="9"/>
  <c r="I99" i="9"/>
  <c r="K99" i="9" s="1"/>
  <c r="J98" i="9"/>
  <c r="I98" i="9"/>
  <c r="K98" i="9" s="1"/>
  <c r="J97" i="9"/>
  <c r="I97" i="9"/>
  <c r="K97" i="9" s="1"/>
  <c r="J96" i="9"/>
  <c r="I96" i="9"/>
  <c r="K96" i="9" s="1"/>
  <c r="J95" i="9"/>
  <c r="I95" i="9"/>
  <c r="K95" i="9" s="1"/>
  <c r="J94" i="9"/>
  <c r="I94" i="9"/>
  <c r="K94" i="9" s="1"/>
  <c r="J93" i="9"/>
  <c r="I93" i="9"/>
  <c r="K93" i="9" s="1"/>
  <c r="J92" i="9"/>
  <c r="I92" i="9"/>
  <c r="K92" i="9" s="1"/>
  <c r="J91" i="9"/>
  <c r="I91" i="9"/>
  <c r="K91" i="9" s="1"/>
  <c r="J90" i="9"/>
  <c r="I90" i="9"/>
  <c r="K90" i="9" s="1"/>
  <c r="J89" i="9"/>
  <c r="I89" i="9"/>
  <c r="K89" i="9" s="1"/>
  <c r="J88" i="9"/>
  <c r="I88" i="9"/>
  <c r="K88" i="9" s="1"/>
  <c r="J87" i="9"/>
  <c r="I87" i="9"/>
  <c r="K87" i="9" s="1"/>
  <c r="J86" i="9"/>
  <c r="I86" i="9"/>
  <c r="K86" i="9" s="1"/>
  <c r="J85" i="9"/>
  <c r="I85" i="9"/>
  <c r="K85" i="9" s="1"/>
  <c r="J84" i="9"/>
  <c r="I84" i="9"/>
  <c r="K84" i="9" s="1"/>
  <c r="J83" i="9"/>
  <c r="I83" i="9"/>
  <c r="K83" i="9" s="1"/>
  <c r="J82" i="9"/>
  <c r="I82" i="9"/>
  <c r="K82" i="9" s="1"/>
  <c r="J81" i="9"/>
  <c r="I81" i="9"/>
  <c r="K81" i="9" s="1"/>
  <c r="J80" i="9"/>
  <c r="I80" i="9"/>
  <c r="K80" i="9" s="1"/>
  <c r="J79" i="9"/>
  <c r="I79" i="9"/>
  <c r="K79" i="9" s="1"/>
  <c r="J78" i="9"/>
  <c r="I78" i="9"/>
  <c r="K78" i="9" s="1"/>
  <c r="J77" i="9"/>
  <c r="I77" i="9"/>
  <c r="K77" i="9" s="1"/>
  <c r="J76" i="9"/>
  <c r="I76" i="9"/>
  <c r="K76" i="9" s="1"/>
  <c r="J75" i="9"/>
  <c r="I75" i="9"/>
  <c r="K75" i="9" s="1"/>
  <c r="J74" i="9"/>
  <c r="I74" i="9"/>
  <c r="K74" i="9" s="1"/>
  <c r="J73" i="9"/>
  <c r="I73" i="9"/>
  <c r="K73" i="9" s="1"/>
  <c r="J72" i="9"/>
  <c r="I72" i="9"/>
  <c r="K72" i="9" s="1"/>
  <c r="J71" i="9"/>
  <c r="I71" i="9"/>
  <c r="K71" i="9" s="1"/>
  <c r="J70" i="9"/>
  <c r="I70" i="9"/>
  <c r="K70" i="9" s="1"/>
  <c r="J69" i="9"/>
  <c r="I69" i="9"/>
  <c r="K69" i="9" s="1"/>
  <c r="J68" i="9"/>
  <c r="I68" i="9"/>
  <c r="K68" i="9" s="1"/>
  <c r="J67" i="9"/>
  <c r="I67" i="9"/>
  <c r="K67" i="9" s="1"/>
  <c r="J66" i="9"/>
  <c r="I66" i="9"/>
  <c r="K66" i="9" s="1"/>
  <c r="J65" i="9"/>
  <c r="I65" i="9"/>
  <c r="K65" i="9" s="1"/>
  <c r="J64" i="9"/>
  <c r="I64" i="9"/>
  <c r="K64" i="9" s="1"/>
  <c r="J63" i="9"/>
  <c r="I63" i="9"/>
  <c r="K63" i="9" s="1"/>
  <c r="J62" i="9"/>
  <c r="I62" i="9"/>
  <c r="K62" i="9" s="1"/>
  <c r="J61" i="9"/>
  <c r="I61" i="9"/>
  <c r="K61" i="9" s="1"/>
  <c r="J60" i="9"/>
  <c r="I60" i="9"/>
  <c r="K60" i="9" s="1"/>
  <c r="J59" i="9"/>
  <c r="I59" i="9"/>
  <c r="K59" i="9" s="1"/>
  <c r="J58" i="9"/>
  <c r="I58" i="9"/>
  <c r="K58" i="9" s="1"/>
  <c r="J57" i="9"/>
  <c r="I57" i="9"/>
  <c r="K57" i="9" s="1"/>
  <c r="J56" i="9"/>
  <c r="I56" i="9"/>
  <c r="K56" i="9" s="1"/>
  <c r="J55" i="9"/>
  <c r="I55" i="9"/>
  <c r="K55" i="9" s="1"/>
  <c r="J54" i="9"/>
  <c r="I54" i="9"/>
  <c r="K54" i="9" s="1"/>
  <c r="J53" i="9"/>
  <c r="I53" i="9"/>
  <c r="K53" i="9" s="1"/>
  <c r="J52" i="9"/>
  <c r="I52" i="9"/>
  <c r="K52" i="9" s="1"/>
  <c r="J51" i="9"/>
  <c r="I51" i="9"/>
  <c r="K51" i="9" s="1"/>
  <c r="J50" i="9"/>
  <c r="I50" i="9"/>
  <c r="K50" i="9" s="1"/>
  <c r="J49" i="9"/>
  <c r="I49" i="9"/>
  <c r="K49" i="9" s="1"/>
  <c r="J48" i="9"/>
  <c r="I48" i="9"/>
  <c r="K48" i="9" s="1"/>
  <c r="J47" i="9"/>
  <c r="I47" i="9"/>
  <c r="K47" i="9" s="1"/>
  <c r="J46" i="9"/>
  <c r="I46" i="9"/>
  <c r="K46" i="9" s="1"/>
  <c r="J45" i="9"/>
  <c r="I45" i="9"/>
  <c r="K45" i="9" s="1"/>
  <c r="J44" i="9"/>
  <c r="I44" i="9"/>
  <c r="K44" i="9" s="1"/>
  <c r="J43" i="9"/>
  <c r="I43" i="9"/>
  <c r="K43" i="9" s="1"/>
  <c r="J42" i="9"/>
  <c r="I42" i="9"/>
  <c r="K42" i="9" s="1"/>
  <c r="J41" i="9"/>
  <c r="I41" i="9"/>
  <c r="K41" i="9" s="1"/>
  <c r="J40" i="9"/>
  <c r="I40" i="9"/>
  <c r="K40" i="9" s="1"/>
  <c r="J39" i="9"/>
  <c r="I39" i="9"/>
  <c r="K39" i="9" s="1"/>
  <c r="J38" i="9"/>
  <c r="I38" i="9"/>
  <c r="K38" i="9" s="1"/>
  <c r="J37" i="9"/>
  <c r="I37" i="9"/>
  <c r="K37" i="9" s="1"/>
  <c r="J36" i="9"/>
  <c r="I36" i="9"/>
  <c r="K36" i="9" s="1"/>
  <c r="J35" i="9"/>
  <c r="I35" i="9"/>
  <c r="K35" i="9" s="1"/>
  <c r="J34" i="9"/>
  <c r="I34" i="9"/>
  <c r="K34" i="9" s="1"/>
  <c r="L34" i="9" s="1"/>
  <c r="J33" i="9"/>
  <c r="I33" i="9"/>
  <c r="K33" i="9" s="1"/>
  <c r="J32" i="9"/>
  <c r="I32" i="9"/>
  <c r="K32" i="9" s="1"/>
  <c r="J31" i="9"/>
  <c r="I31" i="9"/>
  <c r="K31" i="9" s="1"/>
  <c r="J30" i="9"/>
  <c r="I30" i="9"/>
  <c r="K30" i="9" s="1"/>
  <c r="J29" i="9"/>
  <c r="I29" i="9"/>
  <c r="K29" i="9" s="1"/>
  <c r="J28" i="9"/>
  <c r="I28" i="9"/>
  <c r="K28" i="9" s="1"/>
  <c r="J27" i="9"/>
  <c r="I27" i="9"/>
  <c r="K27" i="9" s="1"/>
  <c r="J26" i="9"/>
  <c r="I26" i="9"/>
  <c r="K26" i="9" s="1"/>
  <c r="L26" i="9" s="1"/>
  <c r="J25" i="9"/>
  <c r="I25" i="9"/>
  <c r="K25" i="9" s="1"/>
  <c r="J24" i="9"/>
  <c r="I24" i="9"/>
  <c r="K24" i="9" s="1"/>
  <c r="J23" i="9"/>
  <c r="I23" i="9"/>
  <c r="K23" i="9" s="1"/>
  <c r="J22" i="9"/>
  <c r="I22" i="9"/>
  <c r="K22" i="9" s="1"/>
  <c r="L22" i="9" s="1"/>
  <c r="J21" i="9"/>
  <c r="I21" i="9"/>
  <c r="K21" i="9" s="1"/>
  <c r="J20" i="9"/>
  <c r="I20" i="9"/>
  <c r="K20" i="9" s="1"/>
  <c r="J19" i="9"/>
  <c r="I19" i="9"/>
  <c r="K19" i="9" s="1"/>
  <c r="J18" i="9"/>
  <c r="I18" i="9"/>
  <c r="K18" i="9" s="1"/>
  <c r="J17" i="9"/>
  <c r="I17" i="9"/>
  <c r="K17" i="9" s="1"/>
  <c r="J16" i="9"/>
  <c r="I16" i="9"/>
  <c r="K16" i="9" s="1"/>
  <c r="J15" i="9"/>
  <c r="I15" i="9"/>
  <c r="K15" i="9" s="1"/>
  <c r="J14" i="9"/>
  <c r="I14" i="9"/>
  <c r="K14" i="9" s="1"/>
  <c r="L14" i="9" s="1"/>
  <c r="J13" i="9"/>
  <c r="I13" i="9"/>
  <c r="K13" i="9" s="1"/>
  <c r="J12" i="9"/>
  <c r="I12" i="9"/>
  <c r="K12" i="9" s="1"/>
  <c r="J11" i="9"/>
  <c r="I11" i="9"/>
  <c r="K11" i="9" s="1"/>
  <c r="J10" i="9"/>
  <c r="I10" i="9"/>
  <c r="K10" i="9" s="1"/>
  <c r="L10" i="9" s="1"/>
  <c r="J9" i="9"/>
  <c r="I9" i="9"/>
  <c r="K9" i="9" s="1"/>
  <c r="J8" i="9"/>
  <c r="I8" i="9"/>
  <c r="K8" i="9" s="1"/>
  <c r="J7" i="9"/>
  <c r="I7" i="9"/>
  <c r="K7" i="9" s="1"/>
  <c r="J6" i="9"/>
  <c r="I6" i="9"/>
  <c r="K6" i="9" s="1"/>
  <c r="J5" i="9"/>
  <c r="I5" i="9"/>
  <c r="K5" i="9" s="1"/>
  <c r="J4" i="9"/>
  <c r="I4" i="9"/>
  <c r="K4" i="9" s="1"/>
  <c r="J3" i="9"/>
  <c r="I3" i="9"/>
  <c r="K3" i="9" s="1"/>
  <c r="J2" i="9"/>
  <c r="I2" i="9"/>
  <c r="K2" i="9" s="1"/>
  <c r="L278" i="9" l="1"/>
  <c r="L282" i="9"/>
  <c r="L290" i="9"/>
  <c r="L294" i="9"/>
  <c r="L252" i="9"/>
  <c r="L302" i="9"/>
  <c r="V84" i="9" s="1"/>
  <c r="L83" i="9"/>
  <c r="L179" i="9"/>
  <c r="L183" i="9"/>
  <c r="L187" i="9"/>
  <c r="L191" i="9"/>
  <c r="L195" i="9"/>
  <c r="L199" i="9"/>
  <c r="L203" i="9"/>
  <c r="L207" i="9"/>
  <c r="L211" i="9"/>
  <c r="L219" i="9"/>
  <c r="L223" i="9"/>
  <c r="L227" i="9"/>
  <c r="L231" i="9"/>
  <c r="L235" i="9"/>
  <c r="L239" i="9"/>
  <c r="L243" i="9"/>
  <c r="L251" i="9"/>
  <c r="L255" i="9"/>
  <c r="L259" i="9"/>
  <c r="L263" i="9"/>
  <c r="L267" i="9"/>
  <c r="L271" i="9"/>
  <c r="L275" i="9"/>
  <c r="L283" i="9"/>
  <c r="L8" i="9"/>
  <c r="L16" i="9"/>
  <c r="L32" i="9"/>
  <c r="L40" i="9"/>
  <c r="L44" i="9"/>
  <c r="L52" i="9"/>
  <c r="L88" i="9"/>
  <c r="L108" i="9"/>
  <c r="L116" i="9"/>
  <c r="L120" i="9"/>
  <c r="L128" i="9"/>
  <c r="L132" i="9"/>
  <c r="L136" i="9"/>
  <c r="L144" i="9"/>
  <c r="L164" i="9"/>
  <c r="L168" i="9"/>
  <c r="L172" i="9"/>
  <c r="L180" i="9"/>
  <c r="L188" i="9"/>
  <c r="L192" i="9"/>
  <c r="L196" i="9"/>
  <c r="L200" i="9"/>
  <c r="L208" i="9"/>
  <c r="L220" i="9"/>
  <c r="L232" i="9"/>
  <c r="L240" i="9"/>
  <c r="L287" i="9"/>
  <c r="L291" i="9"/>
  <c r="L295" i="9"/>
  <c r="L299" i="9"/>
  <c r="L303" i="9"/>
  <c r="V85" i="9" s="1"/>
  <c r="L307" i="9"/>
  <c r="V89" i="9" s="1"/>
  <c r="L315" i="9"/>
  <c r="V97" i="9" s="1"/>
  <c r="L319" i="9"/>
  <c r="V101" i="9" s="1"/>
  <c r="L256" i="9"/>
  <c r="L260" i="9"/>
  <c r="L264" i="9"/>
  <c r="L272" i="9"/>
  <c r="L284" i="9"/>
  <c r="L292" i="9"/>
  <c r="L296" i="9"/>
  <c r="L304" i="9"/>
  <c r="V86" i="9" s="1"/>
  <c r="L308" i="9"/>
  <c r="V90" i="9" s="1"/>
  <c r="L316" i="9"/>
  <c r="V98" i="9" s="1"/>
  <c r="L5" i="9"/>
  <c r="L9" i="9"/>
  <c r="L13" i="9"/>
  <c r="L17" i="9"/>
  <c r="L21" i="9"/>
  <c r="L25" i="9"/>
  <c r="L53" i="9"/>
  <c r="L57" i="9"/>
  <c r="L61" i="9"/>
  <c r="L97" i="9"/>
  <c r="L101" i="9"/>
  <c r="L157" i="9"/>
  <c r="L165" i="9"/>
  <c r="L169" i="9"/>
  <c r="L173" i="9"/>
  <c r="L51" i="9"/>
  <c r="L63" i="9"/>
  <c r="L67" i="9"/>
  <c r="V69" i="9" s="1"/>
  <c r="L75" i="9"/>
  <c r="V77" i="9" s="1"/>
  <c r="L79" i="9"/>
  <c r="V81" i="9" s="1"/>
  <c r="L56" i="9"/>
  <c r="L60" i="9"/>
  <c r="L64" i="9"/>
  <c r="V66" i="9" s="1"/>
  <c r="L72" i="9"/>
  <c r="L76" i="9"/>
  <c r="V78" i="9" s="1"/>
  <c r="L80" i="9"/>
  <c r="V82" i="9" s="1"/>
  <c r="L73" i="9"/>
  <c r="V75" i="9" s="1"/>
  <c r="L77" i="9"/>
  <c r="V79" i="9" s="1"/>
  <c r="L81" i="9"/>
  <c r="V83" i="9" s="1"/>
  <c r="L176" i="9"/>
  <c r="L47" i="9"/>
  <c r="L86" i="9"/>
  <c r="L90" i="9"/>
  <c r="L94" i="9"/>
  <c r="L134" i="9"/>
  <c r="L138" i="9"/>
  <c r="L146" i="9"/>
  <c r="L162" i="9"/>
  <c r="L166" i="9"/>
  <c r="L170" i="9"/>
  <c r="L174" i="9"/>
  <c r="L181" i="9"/>
  <c r="L189" i="9"/>
  <c r="L193" i="9"/>
  <c r="L201" i="9"/>
  <c r="L205" i="9"/>
  <c r="L209" i="9"/>
  <c r="L221" i="9"/>
  <c r="L225" i="9"/>
  <c r="L233" i="9"/>
  <c r="L237" i="9"/>
  <c r="L245" i="9"/>
  <c r="L249" i="9"/>
  <c r="L253" i="9"/>
  <c r="L257" i="9"/>
  <c r="L265" i="9"/>
  <c r="L269" i="9"/>
  <c r="L82" i="9"/>
  <c r="L37" i="9"/>
  <c r="L41" i="9"/>
  <c r="L45" i="9"/>
  <c r="L84" i="9"/>
  <c r="L95" i="9"/>
  <c r="L99" i="9"/>
  <c r="L106" i="9"/>
  <c r="L110" i="9"/>
  <c r="L114" i="9"/>
  <c r="L276" i="9"/>
  <c r="L38" i="9"/>
  <c r="L49" i="9"/>
  <c r="L96" i="9"/>
  <c r="L115" i="9"/>
  <c r="L19" i="9"/>
  <c r="L23" i="9"/>
  <c r="L31" i="9"/>
  <c r="L50" i="9"/>
  <c r="L54" i="9"/>
  <c r="L66" i="9"/>
  <c r="V68" i="9" s="1"/>
  <c r="L74" i="9"/>
  <c r="V76" i="9" s="1"/>
  <c r="L85" i="9"/>
  <c r="L89" i="9"/>
  <c r="L100" i="9"/>
  <c r="L131" i="9"/>
  <c r="L135" i="9"/>
  <c r="L143" i="9"/>
  <c r="L163" i="9"/>
  <c r="L167" i="9"/>
  <c r="L171" i="9"/>
  <c r="L194" i="9"/>
  <c r="L198" i="9"/>
  <c r="L202" i="9"/>
  <c r="L206" i="9"/>
  <c r="L214" i="9"/>
  <c r="L218" i="9"/>
  <c r="L226" i="9"/>
  <c r="L230" i="9"/>
  <c r="L238" i="9"/>
  <c r="L242" i="9"/>
  <c r="L250" i="9"/>
  <c r="L258" i="9"/>
  <c r="L262" i="9"/>
  <c r="L270" i="9"/>
  <c r="L285" i="9"/>
  <c r="L289" i="9"/>
  <c r="L297" i="9"/>
  <c r="L301" i="9"/>
  <c r="L309" i="9"/>
  <c r="V91" i="9" s="1"/>
  <c r="L317" i="9"/>
  <c r="V99" i="9" s="1"/>
  <c r="L321" i="9"/>
  <c r="V103" i="9" s="1"/>
  <c r="L139" i="9"/>
  <c r="L154" i="9"/>
  <c r="L158" i="9"/>
  <c r="L184" i="9"/>
  <c r="L246" i="9"/>
  <c r="L277" i="9"/>
  <c r="L36" i="9"/>
  <c r="L3" i="9"/>
  <c r="L28" i="9"/>
  <c r="L42" i="9"/>
  <c r="L58" i="9"/>
  <c r="L68" i="9"/>
  <c r="V70" i="9" s="1"/>
  <c r="L98" i="9"/>
  <c r="L104" i="9"/>
  <c r="L111" i="9"/>
  <c r="L118" i="9"/>
  <c r="L122" i="9"/>
  <c r="L151" i="9"/>
  <c r="L155" i="9"/>
  <c r="L159" i="9"/>
  <c r="L185" i="9"/>
  <c r="L212" i="9"/>
  <c r="L4" i="9"/>
  <c r="L7" i="9"/>
  <c r="L29" i="9"/>
  <c r="L46" i="9"/>
  <c r="L69" i="9"/>
  <c r="V71" i="9" s="1"/>
  <c r="L112" i="9"/>
  <c r="L119" i="9"/>
  <c r="L123" i="9"/>
  <c r="L130" i="9"/>
  <c r="L148" i="9"/>
  <c r="L152" i="9"/>
  <c r="L160" i="9"/>
  <c r="L178" i="9"/>
  <c r="L182" i="9"/>
  <c r="L186" i="9"/>
  <c r="L213" i="9"/>
  <c r="L244" i="9"/>
  <c r="L310" i="9"/>
  <c r="V92" i="9" s="1"/>
  <c r="L140" i="9"/>
  <c r="L215" i="9"/>
  <c r="L43" i="9"/>
  <c r="L103" i="9"/>
  <c r="L216" i="9"/>
  <c r="L234" i="9"/>
  <c r="L241" i="9"/>
  <c r="L248" i="9"/>
  <c r="L266" i="9"/>
  <c r="L273" i="9"/>
  <c r="L280" i="9"/>
  <c r="L298" i="9"/>
  <c r="L305" i="9"/>
  <c r="V87" i="9" s="1"/>
  <c r="L312" i="9"/>
  <c r="V94" i="9" s="1"/>
  <c r="L33" i="9"/>
  <c r="L2" i="9"/>
  <c r="L55" i="9"/>
  <c r="L78" i="9"/>
  <c r="V80" i="9" s="1"/>
  <c r="L35" i="9"/>
  <c r="L91" i="9"/>
  <c r="L107" i="9"/>
  <c r="L142" i="9"/>
  <c r="L177" i="9"/>
  <c r="L210" i="9"/>
  <c r="L217" i="9"/>
  <c r="L224" i="9"/>
  <c r="L274" i="9"/>
  <c r="L281" i="9"/>
  <c r="L288" i="9"/>
  <c r="L306" i="9"/>
  <c r="V88" i="9" s="1"/>
  <c r="L313" i="9"/>
  <c r="V95" i="9" s="1"/>
  <c r="L320" i="9"/>
  <c r="V102" i="9" s="1"/>
  <c r="L124" i="9"/>
  <c r="L147" i="9"/>
  <c r="L175" i="9"/>
  <c r="L311" i="9"/>
  <c r="V93" i="9" s="1"/>
  <c r="L20" i="9"/>
  <c r="L149" i="9"/>
  <c r="L228" i="9"/>
  <c r="L48" i="9"/>
  <c r="L247" i="9"/>
  <c r="L279" i="9"/>
  <c r="L15" i="9"/>
  <c r="L59" i="9"/>
  <c r="L70" i="9"/>
  <c r="V72" i="9" s="1"/>
  <c r="L314" i="9"/>
  <c r="V96" i="9" s="1"/>
  <c r="L6" i="9"/>
  <c r="L12" i="9"/>
  <c r="L18" i="9"/>
  <c r="L24" i="9"/>
  <c r="L30" i="9"/>
  <c r="L39" i="9"/>
  <c r="L62" i="9"/>
  <c r="V64" i="9" s="1"/>
  <c r="L65" i="9"/>
  <c r="V67" i="9" s="1"/>
  <c r="L71" i="9"/>
  <c r="V73" i="9" s="1"/>
  <c r="L87" i="9"/>
  <c r="L92" i="9"/>
  <c r="L102" i="9"/>
  <c r="L127" i="9"/>
  <c r="L150" i="9"/>
  <c r="L190" i="9"/>
  <c r="L197" i="9"/>
  <c r="L204" i="9"/>
  <c r="L222" i="9"/>
  <c r="L229" i="9"/>
  <c r="L236" i="9"/>
  <c r="L254" i="9"/>
  <c r="L261" i="9"/>
  <c r="L268" i="9"/>
  <c r="L286" i="9"/>
  <c r="L293" i="9"/>
  <c r="L300" i="9"/>
  <c r="L318" i="9"/>
  <c r="V100" i="9" s="1"/>
  <c r="V65" i="9"/>
  <c r="V74" i="9"/>
  <c r="L126" i="9"/>
  <c r="L27" i="9"/>
  <c r="L93" i="9"/>
  <c r="L161" i="9"/>
  <c r="L11" i="9"/>
  <c r="L117" i="9"/>
  <c r="L156" i="9"/>
  <c r="L133" i="9"/>
  <c r="L105" i="9"/>
  <c r="L121" i="9"/>
  <c r="L137" i="9"/>
  <c r="L153" i="9"/>
  <c r="L109" i="9"/>
  <c r="L125" i="9"/>
  <c r="L141" i="9"/>
  <c r="L113" i="9"/>
  <c r="L129" i="9"/>
  <c r="L145" i="9"/>
  <c r="J321" i="1"/>
  <c r="I321" i="1"/>
  <c r="K321" i="1" s="1"/>
  <c r="J320" i="1"/>
  <c r="I320" i="1"/>
  <c r="K320" i="1" s="1"/>
  <c r="J319" i="1"/>
  <c r="I319" i="1"/>
  <c r="K319" i="1" s="1"/>
  <c r="J318" i="1"/>
  <c r="I318" i="1"/>
  <c r="K318" i="1" s="1"/>
  <c r="J317" i="1"/>
  <c r="I317" i="1"/>
  <c r="K317" i="1" s="1"/>
  <c r="J316" i="1"/>
  <c r="I316" i="1"/>
  <c r="K316" i="1" s="1"/>
  <c r="J315" i="1"/>
  <c r="I315" i="1"/>
  <c r="K315" i="1" s="1"/>
  <c r="J314" i="1"/>
  <c r="I314" i="1"/>
  <c r="K314" i="1" s="1"/>
  <c r="J313" i="1"/>
  <c r="I313" i="1"/>
  <c r="J312" i="1"/>
  <c r="I312" i="1"/>
  <c r="K312" i="1" s="1"/>
  <c r="J311" i="1"/>
  <c r="I311" i="1"/>
  <c r="K311" i="1" s="1"/>
  <c r="J310" i="1"/>
  <c r="I310" i="1"/>
  <c r="K310" i="1" s="1"/>
  <c r="J309" i="1"/>
  <c r="I309" i="1"/>
  <c r="K309" i="1" s="1"/>
  <c r="J308" i="1"/>
  <c r="I308" i="1"/>
  <c r="K308" i="1" s="1"/>
  <c r="J307" i="1"/>
  <c r="I307" i="1"/>
  <c r="K307" i="1" s="1"/>
  <c r="J306" i="1"/>
  <c r="I306" i="1"/>
  <c r="K306" i="1" s="1"/>
  <c r="J305" i="1"/>
  <c r="I305" i="1"/>
  <c r="K305" i="1" s="1"/>
  <c r="J304" i="1"/>
  <c r="I304" i="1"/>
  <c r="K304" i="1" s="1"/>
  <c r="J303" i="1"/>
  <c r="I303" i="1"/>
  <c r="K303" i="1" s="1"/>
  <c r="J302" i="1"/>
  <c r="I302" i="1"/>
  <c r="K302" i="1" s="1"/>
  <c r="J301" i="1"/>
  <c r="I301" i="1"/>
  <c r="K301" i="1" s="1"/>
  <c r="J300" i="1"/>
  <c r="I300" i="1"/>
  <c r="K300" i="1" s="1"/>
  <c r="J299" i="1"/>
  <c r="I299" i="1"/>
  <c r="K299" i="1" s="1"/>
  <c r="J298" i="1"/>
  <c r="I298" i="1"/>
  <c r="K298" i="1" s="1"/>
  <c r="J297" i="1"/>
  <c r="I297" i="1"/>
  <c r="K297" i="1" s="1"/>
  <c r="J296" i="1"/>
  <c r="I296" i="1"/>
  <c r="K296" i="1" s="1"/>
  <c r="J295" i="1"/>
  <c r="I295" i="1"/>
  <c r="K295" i="1" s="1"/>
  <c r="J294" i="1"/>
  <c r="I294" i="1"/>
  <c r="K294" i="1" s="1"/>
  <c r="J293" i="1"/>
  <c r="I293" i="1"/>
  <c r="K293" i="1" s="1"/>
  <c r="J292" i="1"/>
  <c r="I292" i="1"/>
  <c r="K292" i="1" s="1"/>
  <c r="J291" i="1"/>
  <c r="I291" i="1"/>
  <c r="K291" i="1" s="1"/>
  <c r="J290" i="1"/>
  <c r="I290" i="1"/>
  <c r="K290" i="1" s="1"/>
  <c r="J289" i="1"/>
  <c r="I289" i="1"/>
  <c r="K289" i="1" s="1"/>
  <c r="J288" i="1"/>
  <c r="I288" i="1"/>
  <c r="K288" i="1" s="1"/>
  <c r="J287" i="1"/>
  <c r="I287" i="1"/>
  <c r="K287" i="1" s="1"/>
  <c r="J286" i="1"/>
  <c r="I286" i="1"/>
  <c r="K286" i="1" s="1"/>
  <c r="J285" i="1"/>
  <c r="I285" i="1"/>
  <c r="K285" i="1" s="1"/>
  <c r="J284" i="1"/>
  <c r="I284" i="1"/>
  <c r="K284" i="1" s="1"/>
  <c r="J283" i="1"/>
  <c r="I283" i="1"/>
  <c r="J282" i="1"/>
  <c r="I282" i="1"/>
  <c r="K282" i="1" s="1"/>
  <c r="J281" i="1"/>
  <c r="I281" i="1"/>
  <c r="K281" i="1" s="1"/>
  <c r="J280" i="1"/>
  <c r="I280" i="1"/>
  <c r="K280" i="1" s="1"/>
  <c r="J279" i="1"/>
  <c r="I279" i="1"/>
  <c r="K279" i="1" s="1"/>
  <c r="J278" i="1"/>
  <c r="I278" i="1"/>
  <c r="K278" i="1" s="1"/>
  <c r="J277" i="1"/>
  <c r="I277" i="1"/>
  <c r="K277" i="1" s="1"/>
  <c r="J276" i="1"/>
  <c r="I276" i="1"/>
  <c r="K276" i="1" s="1"/>
  <c r="J275" i="1"/>
  <c r="I275" i="1"/>
  <c r="K275" i="1" s="1"/>
  <c r="J274" i="1"/>
  <c r="I274" i="1"/>
  <c r="K274" i="1" s="1"/>
  <c r="J273" i="1"/>
  <c r="I273" i="1"/>
  <c r="K273" i="1" s="1"/>
  <c r="J272" i="1"/>
  <c r="I272" i="1"/>
  <c r="K272" i="1" s="1"/>
  <c r="J271" i="1"/>
  <c r="I271" i="1"/>
  <c r="K271" i="1" s="1"/>
  <c r="J270" i="1"/>
  <c r="I270" i="1"/>
  <c r="K270" i="1" s="1"/>
  <c r="J269" i="1"/>
  <c r="I269" i="1"/>
  <c r="J268" i="1"/>
  <c r="I268" i="1"/>
  <c r="K268" i="1" s="1"/>
  <c r="J267" i="1"/>
  <c r="I267" i="1"/>
  <c r="K267" i="1" s="1"/>
  <c r="J266" i="1"/>
  <c r="I266" i="1"/>
  <c r="K266" i="1" s="1"/>
  <c r="J265" i="1"/>
  <c r="I265" i="1"/>
  <c r="J264" i="1"/>
  <c r="I264" i="1"/>
  <c r="K264" i="1" s="1"/>
  <c r="J263" i="1"/>
  <c r="I263" i="1"/>
  <c r="J262" i="1"/>
  <c r="I262" i="1"/>
  <c r="K262" i="1" s="1"/>
  <c r="J261" i="1"/>
  <c r="I261" i="1"/>
  <c r="K261" i="1" s="1"/>
  <c r="J260" i="1"/>
  <c r="I260" i="1"/>
  <c r="K260" i="1" s="1"/>
  <c r="J259" i="1"/>
  <c r="I259" i="1"/>
  <c r="K259" i="1" s="1"/>
  <c r="J258" i="1"/>
  <c r="I258" i="1"/>
  <c r="K258" i="1" s="1"/>
  <c r="J257" i="1"/>
  <c r="I257" i="1"/>
  <c r="J256" i="1"/>
  <c r="I256" i="1"/>
  <c r="K256" i="1" s="1"/>
  <c r="J255" i="1"/>
  <c r="I255" i="1"/>
  <c r="K255" i="1" s="1"/>
  <c r="J254" i="1"/>
  <c r="I254" i="1"/>
  <c r="K254" i="1" s="1"/>
  <c r="J253" i="1"/>
  <c r="I253" i="1"/>
  <c r="K253" i="1" s="1"/>
  <c r="J252" i="1"/>
  <c r="I252" i="1"/>
  <c r="K252" i="1" s="1"/>
  <c r="J251" i="1"/>
  <c r="I251" i="1"/>
  <c r="K251" i="1" s="1"/>
  <c r="J250" i="1"/>
  <c r="I250" i="1"/>
  <c r="J249" i="1"/>
  <c r="I249" i="1"/>
  <c r="J248" i="1"/>
  <c r="I248" i="1"/>
  <c r="K248" i="1" s="1"/>
  <c r="J247" i="1"/>
  <c r="I247" i="1"/>
  <c r="K247" i="1" s="1"/>
  <c r="J246" i="1"/>
  <c r="I246" i="1"/>
  <c r="K246" i="1" s="1"/>
  <c r="J245" i="1"/>
  <c r="I245" i="1"/>
  <c r="J244" i="1"/>
  <c r="I244" i="1"/>
  <c r="K244" i="1" s="1"/>
  <c r="J243" i="1"/>
  <c r="I243" i="1"/>
  <c r="K243" i="1" s="1"/>
  <c r="J242" i="1"/>
  <c r="I242" i="1"/>
  <c r="K242" i="1" s="1"/>
  <c r="J241" i="1"/>
  <c r="I241" i="1"/>
  <c r="K241" i="1" s="1"/>
  <c r="J240" i="1"/>
  <c r="I240" i="1"/>
  <c r="K240" i="1" s="1"/>
  <c r="J239" i="1"/>
  <c r="I239" i="1"/>
  <c r="K239" i="1" s="1"/>
  <c r="J238" i="1"/>
  <c r="I238" i="1"/>
  <c r="K238" i="1" s="1"/>
  <c r="J237" i="1"/>
  <c r="I237" i="1"/>
  <c r="K237" i="1" s="1"/>
  <c r="J236" i="1"/>
  <c r="I236" i="1"/>
  <c r="K236" i="1" s="1"/>
  <c r="J235" i="1"/>
  <c r="I235" i="1"/>
  <c r="K235" i="1" s="1"/>
  <c r="J234" i="1"/>
  <c r="I234" i="1"/>
  <c r="K234" i="1" s="1"/>
  <c r="J233" i="1"/>
  <c r="I233" i="1"/>
  <c r="J232" i="1"/>
  <c r="I232" i="1"/>
  <c r="K232" i="1" s="1"/>
  <c r="J231" i="1"/>
  <c r="I231" i="1"/>
  <c r="J230" i="1"/>
  <c r="I230" i="1"/>
  <c r="J229" i="1"/>
  <c r="I229" i="1"/>
  <c r="J228" i="1"/>
  <c r="I228" i="1"/>
  <c r="K228" i="1" s="1"/>
  <c r="J227" i="1"/>
  <c r="I227" i="1"/>
  <c r="K227" i="1" s="1"/>
  <c r="J226" i="1"/>
  <c r="I226" i="1"/>
  <c r="K226" i="1" s="1"/>
  <c r="J225" i="1"/>
  <c r="I225" i="1"/>
  <c r="K225" i="1" s="1"/>
  <c r="J224" i="1"/>
  <c r="I224" i="1"/>
  <c r="K224" i="1" s="1"/>
  <c r="J223" i="1"/>
  <c r="I223" i="1"/>
  <c r="K223" i="1" s="1"/>
  <c r="J222" i="1"/>
  <c r="I222" i="1"/>
  <c r="K222" i="1" s="1"/>
  <c r="J221" i="1"/>
  <c r="I221" i="1"/>
  <c r="K221" i="1" s="1"/>
  <c r="J220" i="1"/>
  <c r="I220" i="1"/>
  <c r="J219" i="1"/>
  <c r="I219" i="1"/>
  <c r="K219" i="1" s="1"/>
  <c r="J218" i="1"/>
  <c r="I218" i="1"/>
  <c r="K218" i="1" s="1"/>
  <c r="J217" i="1"/>
  <c r="I217" i="1"/>
  <c r="K217" i="1" s="1"/>
  <c r="J216" i="1"/>
  <c r="I216" i="1"/>
  <c r="K216" i="1" s="1"/>
  <c r="J215" i="1"/>
  <c r="I215" i="1"/>
  <c r="K215" i="1" s="1"/>
  <c r="J214" i="1"/>
  <c r="I214" i="1"/>
  <c r="K214" i="1" s="1"/>
  <c r="J213" i="1"/>
  <c r="I213" i="1"/>
  <c r="K213" i="1" s="1"/>
  <c r="J212" i="1"/>
  <c r="I212" i="1"/>
  <c r="K212" i="1" s="1"/>
  <c r="J211" i="1"/>
  <c r="I211" i="1"/>
  <c r="J210" i="1"/>
  <c r="I210" i="1"/>
  <c r="K210" i="1" s="1"/>
  <c r="J209" i="1"/>
  <c r="I209" i="1"/>
  <c r="K209" i="1" s="1"/>
  <c r="J208" i="1"/>
  <c r="I208" i="1"/>
  <c r="K208" i="1" s="1"/>
  <c r="J207" i="1"/>
  <c r="I207" i="1"/>
  <c r="K207" i="1" s="1"/>
  <c r="J206" i="1"/>
  <c r="I206" i="1"/>
  <c r="K206" i="1" s="1"/>
  <c r="J205" i="1"/>
  <c r="I205" i="1"/>
  <c r="J204" i="1"/>
  <c r="I204" i="1"/>
  <c r="K204" i="1" s="1"/>
  <c r="J203" i="1"/>
  <c r="I203" i="1"/>
  <c r="K203" i="1" s="1"/>
  <c r="J202" i="1"/>
  <c r="I202" i="1"/>
  <c r="K202" i="1" s="1"/>
  <c r="J201" i="1"/>
  <c r="I201" i="1"/>
  <c r="K201" i="1" s="1"/>
  <c r="J200" i="1"/>
  <c r="I200" i="1"/>
  <c r="K200" i="1" s="1"/>
  <c r="J199" i="1"/>
  <c r="I199" i="1"/>
  <c r="K199" i="1" s="1"/>
  <c r="J198" i="1"/>
  <c r="I198" i="1"/>
  <c r="K198" i="1" s="1"/>
  <c r="J197" i="1"/>
  <c r="I197" i="1"/>
  <c r="K197" i="1" s="1"/>
  <c r="J196" i="1"/>
  <c r="I196" i="1"/>
  <c r="K196" i="1" s="1"/>
  <c r="J195" i="1"/>
  <c r="I195" i="1"/>
  <c r="J194" i="1"/>
  <c r="I194" i="1"/>
  <c r="K194" i="1" s="1"/>
  <c r="J193" i="1"/>
  <c r="I193" i="1"/>
  <c r="K193" i="1" s="1"/>
  <c r="J192" i="1"/>
  <c r="I192" i="1"/>
  <c r="J191" i="1"/>
  <c r="I191" i="1"/>
  <c r="K191" i="1" s="1"/>
  <c r="J190" i="1"/>
  <c r="I190" i="1"/>
  <c r="K190" i="1" s="1"/>
  <c r="J189" i="1"/>
  <c r="I189" i="1"/>
  <c r="K189" i="1" s="1"/>
  <c r="J188" i="1"/>
  <c r="I188" i="1"/>
  <c r="K188" i="1" s="1"/>
  <c r="J187" i="1"/>
  <c r="I187" i="1"/>
  <c r="K187" i="1" s="1"/>
  <c r="J186" i="1"/>
  <c r="I186" i="1"/>
  <c r="K186" i="1" s="1"/>
  <c r="J185" i="1"/>
  <c r="I185" i="1"/>
  <c r="K185" i="1" s="1"/>
  <c r="J184" i="1"/>
  <c r="I184" i="1"/>
  <c r="J183" i="1"/>
  <c r="I183" i="1"/>
  <c r="K183" i="1" s="1"/>
  <c r="J182" i="1"/>
  <c r="I182" i="1"/>
  <c r="K182" i="1" s="1"/>
  <c r="J181" i="1"/>
  <c r="I181" i="1"/>
  <c r="K181" i="1" s="1"/>
  <c r="J180" i="1"/>
  <c r="I180" i="1"/>
  <c r="K180" i="1" s="1"/>
  <c r="J179" i="1"/>
  <c r="I179" i="1"/>
  <c r="K179" i="1" s="1"/>
  <c r="J178" i="1"/>
  <c r="I178" i="1"/>
  <c r="K178" i="1" s="1"/>
  <c r="J177" i="1"/>
  <c r="I177" i="1"/>
  <c r="K177" i="1" s="1"/>
  <c r="J176" i="1"/>
  <c r="I176" i="1"/>
  <c r="K176" i="1" s="1"/>
  <c r="J175" i="1"/>
  <c r="I175" i="1"/>
  <c r="J174" i="1"/>
  <c r="I174" i="1"/>
  <c r="K174" i="1" s="1"/>
  <c r="J173" i="1"/>
  <c r="I173" i="1"/>
  <c r="K173" i="1" s="1"/>
  <c r="J172" i="1"/>
  <c r="I172" i="1"/>
  <c r="K172" i="1" s="1"/>
  <c r="J171" i="1"/>
  <c r="I171" i="1"/>
  <c r="K171" i="1" s="1"/>
  <c r="J170" i="1"/>
  <c r="I170" i="1"/>
  <c r="K170" i="1" s="1"/>
  <c r="J169" i="1"/>
  <c r="I169" i="1"/>
  <c r="K169" i="1" s="1"/>
  <c r="J168" i="1"/>
  <c r="I168" i="1"/>
  <c r="J167" i="1"/>
  <c r="I167" i="1"/>
  <c r="K167" i="1" s="1"/>
  <c r="J166" i="1"/>
  <c r="I166" i="1"/>
  <c r="K166" i="1" s="1"/>
  <c r="J165" i="1"/>
  <c r="I165" i="1"/>
  <c r="K165" i="1" s="1"/>
  <c r="J164" i="1"/>
  <c r="I164" i="1"/>
  <c r="K164" i="1" s="1"/>
  <c r="J163" i="1"/>
  <c r="I163" i="1"/>
  <c r="K163" i="1" s="1"/>
  <c r="J162" i="1"/>
  <c r="I162" i="1"/>
  <c r="K162" i="1" s="1"/>
  <c r="J161" i="1"/>
  <c r="I161" i="1"/>
  <c r="K161" i="1" s="1"/>
  <c r="J160" i="1"/>
  <c r="I160" i="1"/>
  <c r="K160" i="1" s="1"/>
  <c r="J159" i="1"/>
  <c r="I159" i="1"/>
  <c r="K159" i="1" s="1"/>
  <c r="J158" i="1"/>
  <c r="I158" i="1"/>
  <c r="K158" i="1" s="1"/>
  <c r="J157" i="1"/>
  <c r="I157" i="1"/>
  <c r="K157" i="1" s="1"/>
  <c r="J156" i="1"/>
  <c r="I156" i="1"/>
  <c r="K156" i="1" s="1"/>
  <c r="J155" i="1"/>
  <c r="I155" i="1"/>
  <c r="J154" i="1"/>
  <c r="I154" i="1"/>
  <c r="K154" i="1" s="1"/>
  <c r="J153" i="1"/>
  <c r="I153" i="1"/>
  <c r="K153" i="1" s="1"/>
  <c r="J152" i="1"/>
  <c r="I152" i="1"/>
  <c r="K152" i="1" s="1"/>
  <c r="J151" i="1"/>
  <c r="I151" i="1"/>
  <c r="K151" i="1" s="1"/>
  <c r="J150" i="1"/>
  <c r="I150" i="1"/>
  <c r="J149" i="1"/>
  <c r="I149" i="1"/>
  <c r="J148" i="1"/>
  <c r="I148" i="1"/>
  <c r="K148" i="1" s="1"/>
  <c r="J147" i="1"/>
  <c r="I147" i="1"/>
  <c r="J146" i="1"/>
  <c r="I146" i="1"/>
  <c r="K146" i="1" s="1"/>
  <c r="J145" i="1"/>
  <c r="I145" i="1"/>
  <c r="J144" i="1"/>
  <c r="I144" i="1"/>
  <c r="K144" i="1" s="1"/>
  <c r="J143" i="1"/>
  <c r="I143" i="1"/>
  <c r="J142" i="1"/>
  <c r="I142" i="1"/>
  <c r="K142" i="1" s="1"/>
  <c r="J141" i="1"/>
  <c r="I141" i="1"/>
  <c r="K141" i="1" s="1"/>
  <c r="J140" i="1"/>
  <c r="I140" i="1"/>
  <c r="K140" i="1" s="1"/>
  <c r="J139" i="1"/>
  <c r="I139" i="1"/>
  <c r="K139" i="1" s="1"/>
  <c r="J138" i="1"/>
  <c r="I138" i="1"/>
  <c r="K138" i="1" s="1"/>
  <c r="J137" i="1"/>
  <c r="I137" i="1"/>
  <c r="K137" i="1" s="1"/>
  <c r="J136" i="1"/>
  <c r="I136" i="1"/>
  <c r="K136" i="1" s="1"/>
  <c r="J135" i="1"/>
  <c r="I135" i="1"/>
  <c r="K135" i="1" s="1"/>
  <c r="J134" i="1"/>
  <c r="I134" i="1"/>
  <c r="K134" i="1" s="1"/>
  <c r="J133" i="1"/>
  <c r="I133" i="1"/>
  <c r="K133" i="1" s="1"/>
  <c r="J132" i="1"/>
  <c r="I132" i="1"/>
  <c r="K132" i="1" s="1"/>
  <c r="J131" i="1"/>
  <c r="I131" i="1"/>
  <c r="K131" i="1" s="1"/>
  <c r="J130" i="1"/>
  <c r="I130" i="1"/>
  <c r="J129" i="1"/>
  <c r="I129" i="1"/>
  <c r="J128" i="1"/>
  <c r="I128" i="1"/>
  <c r="K128" i="1" s="1"/>
  <c r="J127" i="1"/>
  <c r="I127" i="1"/>
  <c r="K127" i="1" s="1"/>
  <c r="J126" i="1"/>
  <c r="I126" i="1"/>
  <c r="K126" i="1" s="1"/>
  <c r="J125" i="1"/>
  <c r="I125" i="1"/>
  <c r="K125" i="1" s="1"/>
  <c r="J124" i="1"/>
  <c r="I124" i="1"/>
  <c r="J123" i="1"/>
  <c r="I123" i="1"/>
  <c r="K123" i="1" s="1"/>
  <c r="J122" i="1"/>
  <c r="I122" i="1"/>
  <c r="K122" i="1" s="1"/>
  <c r="J121" i="1"/>
  <c r="I121" i="1"/>
  <c r="K121" i="1" s="1"/>
  <c r="J120" i="1"/>
  <c r="I120" i="1"/>
  <c r="K120" i="1" s="1"/>
  <c r="J119" i="1"/>
  <c r="I119" i="1"/>
  <c r="K119" i="1" s="1"/>
  <c r="J118" i="1"/>
  <c r="I118" i="1"/>
  <c r="K118" i="1" s="1"/>
  <c r="J117" i="1"/>
  <c r="I117" i="1"/>
  <c r="K117" i="1" s="1"/>
  <c r="J116" i="1"/>
  <c r="I116" i="1"/>
  <c r="K116" i="1" s="1"/>
  <c r="J115" i="1"/>
  <c r="I115" i="1"/>
  <c r="K115" i="1" s="1"/>
  <c r="J114" i="1"/>
  <c r="I114" i="1"/>
  <c r="K114" i="1" s="1"/>
  <c r="J113" i="1"/>
  <c r="I113" i="1"/>
  <c r="K113" i="1" s="1"/>
  <c r="J112" i="1"/>
  <c r="I112" i="1"/>
  <c r="K112" i="1" s="1"/>
  <c r="J111" i="1"/>
  <c r="I111" i="1"/>
  <c r="J110" i="1"/>
  <c r="I110" i="1"/>
  <c r="J109" i="1"/>
  <c r="I109" i="1"/>
  <c r="J108" i="1"/>
  <c r="I108" i="1"/>
  <c r="K108" i="1" s="1"/>
  <c r="J107" i="1"/>
  <c r="I107" i="1"/>
  <c r="K107" i="1" s="1"/>
  <c r="J106" i="1"/>
  <c r="I106" i="1"/>
  <c r="K106" i="1" s="1"/>
  <c r="J105" i="1"/>
  <c r="I105" i="1"/>
  <c r="J104" i="1"/>
  <c r="I104" i="1"/>
  <c r="K104" i="1" s="1"/>
  <c r="J103" i="1"/>
  <c r="I103" i="1"/>
  <c r="J102" i="1"/>
  <c r="I102" i="1"/>
  <c r="K102" i="1" s="1"/>
  <c r="J101" i="1"/>
  <c r="I101" i="1"/>
  <c r="K101" i="1" s="1"/>
  <c r="J100" i="1"/>
  <c r="I100" i="1"/>
  <c r="K100" i="1" s="1"/>
  <c r="J99" i="1"/>
  <c r="I99" i="1"/>
  <c r="K99" i="1" s="1"/>
  <c r="J98" i="1"/>
  <c r="I98" i="1"/>
  <c r="K98" i="1" s="1"/>
  <c r="J97" i="1"/>
  <c r="I97" i="1"/>
  <c r="K97" i="1" s="1"/>
  <c r="J96" i="1"/>
  <c r="I96" i="1"/>
  <c r="K96" i="1" s="1"/>
  <c r="J95" i="1"/>
  <c r="I95" i="1"/>
  <c r="K95" i="1" s="1"/>
  <c r="J94" i="1"/>
  <c r="I94" i="1"/>
  <c r="K94" i="1" s="1"/>
  <c r="J93" i="1"/>
  <c r="I93" i="1"/>
  <c r="K93" i="1" s="1"/>
  <c r="J92" i="1"/>
  <c r="I92" i="1"/>
  <c r="K92" i="1" s="1"/>
  <c r="J91" i="1"/>
  <c r="I91" i="1"/>
  <c r="K91" i="1" s="1"/>
  <c r="J90" i="1"/>
  <c r="I90" i="1"/>
  <c r="K90" i="1" s="1"/>
  <c r="J89" i="1"/>
  <c r="I89" i="1"/>
  <c r="K89" i="1" s="1"/>
  <c r="J88" i="1"/>
  <c r="I88" i="1"/>
  <c r="K88" i="1" s="1"/>
  <c r="J87" i="1"/>
  <c r="I87" i="1"/>
  <c r="K87" i="1" s="1"/>
  <c r="J86" i="1"/>
  <c r="I86" i="1"/>
  <c r="K86" i="1" s="1"/>
  <c r="J85" i="1"/>
  <c r="I85" i="1"/>
  <c r="K85" i="1" s="1"/>
  <c r="J84" i="1"/>
  <c r="I84" i="1"/>
  <c r="K84" i="1" s="1"/>
  <c r="J83" i="1"/>
  <c r="I83" i="1"/>
  <c r="K83" i="1" s="1"/>
  <c r="J82" i="1"/>
  <c r="I82" i="1"/>
  <c r="K82" i="1" s="1"/>
  <c r="J81" i="1"/>
  <c r="I81" i="1"/>
  <c r="K81" i="1" s="1"/>
  <c r="J80" i="1"/>
  <c r="I80" i="1"/>
  <c r="K80" i="1" s="1"/>
  <c r="J79" i="1"/>
  <c r="I79" i="1"/>
  <c r="K79" i="1" s="1"/>
  <c r="J78" i="1"/>
  <c r="I78" i="1"/>
  <c r="K78" i="1" s="1"/>
  <c r="J77" i="1"/>
  <c r="I77" i="1"/>
  <c r="K77" i="1" s="1"/>
  <c r="L77" i="1" s="1"/>
  <c r="J76" i="1"/>
  <c r="I76" i="1"/>
  <c r="K76" i="1" s="1"/>
  <c r="J75" i="1"/>
  <c r="I75" i="1"/>
  <c r="K75" i="1" s="1"/>
  <c r="J74" i="1"/>
  <c r="I74" i="1"/>
  <c r="K74" i="1" s="1"/>
  <c r="J73" i="1"/>
  <c r="I73" i="1"/>
  <c r="K73" i="1" s="1"/>
  <c r="J72" i="1"/>
  <c r="I72" i="1"/>
  <c r="J71" i="1"/>
  <c r="I71" i="1"/>
  <c r="K71" i="1" s="1"/>
  <c r="J70" i="1"/>
  <c r="I70" i="1"/>
  <c r="K70" i="1" s="1"/>
  <c r="J69" i="1"/>
  <c r="I69" i="1"/>
  <c r="K69" i="1" s="1"/>
  <c r="J68" i="1"/>
  <c r="I68" i="1"/>
  <c r="K68" i="1" s="1"/>
  <c r="J67" i="1"/>
  <c r="I67" i="1"/>
  <c r="K67" i="1" s="1"/>
  <c r="J66" i="1"/>
  <c r="I66" i="1"/>
  <c r="K66" i="1" s="1"/>
  <c r="J65" i="1"/>
  <c r="I65" i="1"/>
  <c r="K65" i="1" s="1"/>
  <c r="J64" i="1"/>
  <c r="I64" i="1"/>
  <c r="K64" i="1" s="1"/>
  <c r="J63" i="1"/>
  <c r="I63" i="1"/>
  <c r="J62" i="1"/>
  <c r="I62" i="1"/>
  <c r="K62" i="1" s="1"/>
  <c r="J61" i="1"/>
  <c r="I61" i="1"/>
  <c r="K61" i="1" s="1"/>
  <c r="J60" i="1"/>
  <c r="I60" i="1"/>
  <c r="J59" i="1"/>
  <c r="I59" i="1"/>
  <c r="K59" i="1" s="1"/>
  <c r="J58" i="1"/>
  <c r="I58" i="1"/>
  <c r="K58" i="1" s="1"/>
  <c r="J57" i="1"/>
  <c r="I57" i="1"/>
  <c r="K57" i="1" s="1"/>
  <c r="J56" i="1"/>
  <c r="I56" i="1"/>
  <c r="K56" i="1" s="1"/>
  <c r="J55" i="1"/>
  <c r="I55" i="1"/>
  <c r="K55" i="1" s="1"/>
  <c r="J54" i="1"/>
  <c r="I54" i="1"/>
  <c r="K54" i="1" s="1"/>
  <c r="J53" i="1"/>
  <c r="I53" i="1"/>
  <c r="K53" i="1" s="1"/>
  <c r="J52" i="1"/>
  <c r="I52" i="1"/>
  <c r="J51" i="1"/>
  <c r="I51" i="1"/>
  <c r="K51" i="1" s="1"/>
  <c r="J50" i="1"/>
  <c r="I50" i="1"/>
  <c r="K50" i="1" s="1"/>
  <c r="J49" i="1"/>
  <c r="I49" i="1"/>
  <c r="K49" i="1" s="1"/>
  <c r="J48" i="1"/>
  <c r="I48" i="1"/>
  <c r="K48" i="1" s="1"/>
  <c r="J47" i="1"/>
  <c r="I47" i="1"/>
  <c r="K47" i="1" s="1"/>
  <c r="J46" i="1"/>
  <c r="I46" i="1"/>
  <c r="K46" i="1" s="1"/>
  <c r="J45" i="1"/>
  <c r="I45" i="1"/>
  <c r="K45" i="1" s="1"/>
  <c r="J44" i="1"/>
  <c r="I44" i="1"/>
  <c r="K44" i="1" s="1"/>
  <c r="J43" i="1"/>
  <c r="I43" i="1"/>
  <c r="J42" i="1"/>
  <c r="I42" i="1"/>
  <c r="K42" i="1" s="1"/>
  <c r="J41" i="1"/>
  <c r="I41" i="1"/>
  <c r="K41" i="1" s="1"/>
  <c r="J40" i="1"/>
  <c r="I40" i="1"/>
  <c r="K40" i="1" s="1"/>
  <c r="J39" i="1"/>
  <c r="I39" i="1"/>
  <c r="K39" i="1" s="1"/>
  <c r="J38" i="1"/>
  <c r="I38" i="1"/>
  <c r="K38" i="1" s="1"/>
  <c r="J37" i="1"/>
  <c r="I37" i="1"/>
  <c r="K37" i="1" s="1"/>
  <c r="J36" i="1"/>
  <c r="I36" i="1"/>
  <c r="K36" i="1" s="1"/>
  <c r="J35" i="1"/>
  <c r="I35" i="1"/>
  <c r="K35" i="1" s="1"/>
  <c r="J34" i="1"/>
  <c r="I34" i="1"/>
  <c r="K34" i="1" s="1"/>
  <c r="J33" i="1"/>
  <c r="I33" i="1"/>
  <c r="K33" i="1" s="1"/>
  <c r="J32" i="1"/>
  <c r="I32" i="1"/>
  <c r="K32" i="1" s="1"/>
  <c r="J31" i="1"/>
  <c r="I31" i="1"/>
  <c r="K31" i="1" s="1"/>
  <c r="J30" i="1"/>
  <c r="I30" i="1"/>
  <c r="J29" i="1"/>
  <c r="I29" i="1"/>
  <c r="K29" i="1" s="1"/>
  <c r="J28" i="1"/>
  <c r="I28" i="1"/>
  <c r="K28" i="1" s="1"/>
  <c r="J27" i="1"/>
  <c r="I27" i="1"/>
  <c r="K27" i="1" s="1"/>
  <c r="J26" i="1"/>
  <c r="I26" i="1"/>
  <c r="K26" i="1" s="1"/>
  <c r="J25" i="1"/>
  <c r="I25" i="1"/>
  <c r="K25" i="1" s="1"/>
  <c r="J24" i="1"/>
  <c r="I24" i="1"/>
  <c r="K24" i="1" s="1"/>
  <c r="J23" i="1"/>
  <c r="I23" i="1"/>
  <c r="J22" i="1"/>
  <c r="I22" i="1"/>
  <c r="K22" i="1" s="1"/>
  <c r="J21" i="1"/>
  <c r="I21" i="1"/>
  <c r="K21" i="1" s="1"/>
  <c r="J20" i="1"/>
  <c r="I20" i="1"/>
  <c r="K20" i="1" s="1"/>
  <c r="J19" i="1"/>
  <c r="I19" i="1"/>
  <c r="K19" i="1" s="1"/>
  <c r="J18" i="1"/>
  <c r="I18" i="1"/>
  <c r="K18" i="1" s="1"/>
  <c r="J17" i="1"/>
  <c r="I17" i="1"/>
  <c r="K17" i="1" s="1"/>
  <c r="J16" i="1"/>
  <c r="I16" i="1"/>
  <c r="K16" i="1" s="1"/>
  <c r="J15" i="1"/>
  <c r="I15" i="1"/>
  <c r="K15" i="1" s="1"/>
  <c r="J14" i="1"/>
  <c r="I14" i="1"/>
  <c r="K14" i="1" s="1"/>
  <c r="J13" i="1"/>
  <c r="I13" i="1"/>
  <c r="K13" i="1" s="1"/>
  <c r="J12" i="1"/>
  <c r="I12" i="1"/>
  <c r="K12" i="1" s="1"/>
  <c r="J11" i="1"/>
  <c r="I11" i="1"/>
  <c r="J10" i="1"/>
  <c r="I10" i="1"/>
  <c r="K10" i="1" s="1"/>
  <c r="J9" i="1"/>
  <c r="I9" i="1"/>
  <c r="K9" i="1" s="1"/>
  <c r="J8" i="1"/>
  <c r="I8" i="1"/>
  <c r="K8" i="1" s="1"/>
  <c r="J7" i="1"/>
  <c r="I7" i="1"/>
  <c r="K7" i="1" s="1"/>
  <c r="J6" i="1"/>
  <c r="I6" i="1"/>
  <c r="K6" i="1" s="1"/>
  <c r="J5" i="1"/>
  <c r="I5" i="1"/>
  <c r="K5" i="1" s="1"/>
  <c r="J4" i="1"/>
  <c r="I4" i="1"/>
  <c r="J3" i="1"/>
  <c r="I3" i="1"/>
  <c r="J2" i="1"/>
  <c r="I2" i="1"/>
  <c r="K2" i="1" s="1"/>
  <c r="L95" i="1" l="1"/>
  <c r="L44" i="1"/>
  <c r="L80" i="1"/>
  <c r="V82" i="1" s="1"/>
  <c r="L100" i="1"/>
  <c r="L144" i="1"/>
  <c r="L188" i="1"/>
  <c r="L208" i="1"/>
  <c r="L232" i="1"/>
  <c r="L252" i="1"/>
  <c r="L272" i="1"/>
  <c r="L292" i="1"/>
  <c r="L97" i="1"/>
  <c r="N2" i="9"/>
  <c r="M154" i="9" s="1"/>
  <c r="N5" i="9"/>
  <c r="L14" i="1"/>
  <c r="L70" i="1"/>
  <c r="V72" i="1" s="1"/>
  <c r="L82" i="1"/>
  <c r="L154" i="1"/>
  <c r="L178" i="1"/>
  <c r="L198" i="1"/>
  <c r="L238" i="1"/>
  <c r="L242" i="1"/>
  <c r="L262" i="1"/>
  <c r="L282" i="1"/>
  <c r="L302" i="1"/>
  <c r="V84" i="1" s="1"/>
  <c r="L42" i="1"/>
  <c r="L73" i="1"/>
  <c r="V75" i="1" s="1"/>
  <c r="L93" i="1"/>
  <c r="L46" i="1"/>
  <c r="L56" i="1"/>
  <c r="L106" i="1"/>
  <c r="L116" i="1"/>
  <c r="L126" i="1"/>
  <c r="L136" i="1"/>
  <c r="L216" i="1"/>
  <c r="L236" i="1"/>
  <c r="L246" i="1"/>
  <c r="L256" i="1"/>
  <c r="L276" i="1"/>
  <c r="L286" i="1"/>
  <c r="L296" i="1"/>
  <c r="L316" i="1"/>
  <c r="V98" i="1" s="1"/>
  <c r="L176" i="1"/>
  <c r="L258" i="1"/>
  <c r="L319" i="1"/>
  <c r="V101" i="1" s="1"/>
  <c r="L161" i="1"/>
  <c r="L212" i="1"/>
  <c r="L222" i="1"/>
  <c r="L318" i="1"/>
  <c r="V100" i="1" s="1"/>
  <c r="L6" i="1"/>
  <c r="L16" i="1"/>
  <c r="L26" i="1"/>
  <c r="L36" i="1"/>
  <c r="L85" i="1"/>
  <c r="L206" i="1"/>
  <c r="L76" i="1"/>
  <c r="V78" i="1" s="1"/>
  <c r="L166" i="1"/>
  <c r="L186" i="1"/>
  <c r="L196" i="1"/>
  <c r="L156" i="1"/>
  <c r="L306" i="1"/>
  <c r="V88" i="1" s="1"/>
  <c r="L218" i="1"/>
  <c r="L228" i="1"/>
  <c r="L248" i="1"/>
  <c r="L268" i="1"/>
  <c r="L278" i="1"/>
  <c r="L288" i="1"/>
  <c r="L298" i="1"/>
  <c r="L308" i="1"/>
  <c r="V90" i="1" s="1"/>
  <c r="L201" i="1"/>
  <c r="L12" i="1"/>
  <c r="L79" i="1"/>
  <c r="V81" i="1" s="1"/>
  <c r="L202" i="1"/>
  <c r="L267" i="1"/>
  <c r="L285" i="1"/>
  <c r="L41" i="1"/>
  <c r="L22" i="1"/>
  <c r="L32" i="1"/>
  <c r="L61" i="1"/>
  <c r="L89" i="1"/>
  <c r="L98" i="1"/>
  <c r="L165" i="1"/>
  <c r="L193" i="1"/>
  <c r="L239" i="1"/>
  <c r="L295" i="1"/>
  <c r="K220" i="1"/>
  <c r="L220" i="1" s="1"/>
  <c r="K60" i="1"/>
  <c r="L60" i="1" s="1"/>
  <c r="L221" i="1"/>
  <c r="L305" i="1"/>
  <c r="V87" i="1" s="1"/>
  <c r="L20" i="1"/>
  <c r="L62" i="1"/>
  <c r="V64" i="1" s="1"/>
  <c r="L240" i="1"/>
  <c r="L315" i="1"/>
  <c r="V97" i="1" s="1"/>
  <c r="L58" i="1"/>
  <c r="L59" i="1"/>
  <c r="L99" i="1"/>
  <c r="L5" i="1"/>
  <c r="L81" i="1"/>
  <c r="V83" i="1" s="1"/>
  <c r="L118" i="1"/>
  <c r="L185" i="1"/>
  <c r="L259" i="1"/>
  <c r="K257" i="1"/>
  <c r="L257" i="1" s="1"/>
  <c r="L138" i="1"/>
  <c r="L241" i="1"/>
  <c r="L15" i="1"/>
  <c r="L119" i="1"/>
  <c r="L158" i="1"/>
  <c r="L260" i="1"/>
  <c r="K195" i="1"/>
  <c r="L195" i="1" s="1"/>
  <c r="K175" i="1"/>
  <c r="L175" i="1" s="1"/>
  <c r="K155" i="1"/>
  <c r="L155" i="1" s="1"/>
  <c r="L35" i="1"/>
  <c r="L317" i="1"/>
  <c r="V99" i="1" s="1"/>
  <c r="L34" i="1"/>
  <c r="L215" i="1"/>
  <c r="L279" i="1"/>
  <c r="K313" i="1"/>
  <c r="L313" i="1" s="1"/>
  <c r="V95" i="1" s="1"/>
  <c r="K233" i="1"/>
  <c r="L233" i="1" s="1"/>
  <c r="L139" i="1"/>
  <c r="L45" i="1"/>
  <c r="L65" i="1"/>
  <c r="V67" i="1" s="1"/>
  <c r="L140" i="1"/>
  <c r="L197" i="1"/>
  <c r="L224" i="1"/>
  <c r="L261" i="1"/>
  <c r="L289" i="1"/>
  <c r="L299" i="1"/>
  <c r="K192" i="1"/>
  <c r="L192" i="1" s="1"/>
  <c r="K72" i="1"/>
  <c r="L72" i="1" s="1"/>
  <c r="V74" i="1" s="1"/>
  <c r="K52" i="1"/>
  <c r="L52" i="1" s="1"/>
  <c r="L92" i="1"/>
  <c r="L101" i="1"/>
  <c r="L83" i="1"/>
  <c r="L102" i="1"/>
  <c r="L121" i="1"/>
  <c r="L169" i="1"/>
  <c r="L234" i="1"/>
  <c r="L243" i="1"/>
  <c r="K231" i="1"/>
  <c r="L231" i="1" s="1"/>
  <c r="K211" i="1"/>
  <c r="L211" i="1" s="1"/>
  <c r="K111" i="1"/>
  <c r="L111" i="1" s="1"/>
  <c r="K11" i="1"/>
  <c r="L11" i="1" s="1"/>
  <c r="L25" i="1"/>
  <c r="L55" i="1"/>
  <c r="L159" i="1"/>
  <c r="L27" i="1"/>
  <c r="L66" i="1"/>
  <c r="V68" i="1" s="1"/>
  <c r="L75" i="1"/>
  <c r="V77" i="1" s="1"/>
  <c r="L112" i="1"/>
  <c r="L141" i="1"/>
  <c r="L225" i="1"/>
  <c r="L309" i="1"/>
  <c r="V91" i="1" s="1"/>
  <c r="K250" i="1"/>
  <c r="L250" i="1" s="1"/>
  <c r="K230" i="1"/>
  <c r="L230" i="1" s="1"/>
  <c r="K150" i="1"/>
  <c r="L150" i="1" s="1"/>
  <c r="K130" i="1"/>
  <c r="L130" i="1" s="1"/>
  <c r="K110" i="1"/>
  <c r="L110" i="1" s="1"/>
  <c r="K30" i="1"/>
  <c r="L30" i="1" s="1"/>
  <c r="L37" i="1"/>
  <c r="L122" i="1"/>
  <c r="L179" i="1"/>
  <c r="K269" i="1"/>
  <c r="L269" i="1" s="1"/>
  <c r="K249" i="1"/>
  <c r="L249" i="1" s="1"/>
  <c r="K229" i="1"/>
  <c r="L229" i="1" s="1"/>
  <c r="K149" i="1"/>
  <c r="L149" i="1" s="1"/>
  <c r="K129" i="1"/>
  <c r="L129" i="1" s="1"/>
  <c r="K109" i="1"/>
  <c r="L109" i="1" s="1"/>
  <c r="L18" i="1"/>
  <c r="L132" i="1"/>
  <c r="L170" i="1"/>
  <c r="L235" i="1"/>
  <c r="L9" i="1"/>
  <c r="L38" i="1"/>
  <c r="L113" i="1"/>
  <c r="L152" i="1"/>
  <c r="L189" i="1"/>
  <c r="K168" i="1"/>
  <c r="L168" i="1" s="1"/>
  <c r="L19" i="1"/>
  <c r="L29" i="1"/>
  <c r="L48" i="1"/>
  <c r="L133" i="1"/>
  <c r="L199" i="1"/>
  <c r="L273" i="1"/>
  <c r="K147" i="1"/>
  <c r="L147" i="1" s="1"/>
  <c r="L114" i="1"/>
  <c r="L162" i="1"/>
  <c r="L190" i="1"/>
  <c r="L209" i="1"/>
  <c r="L255" i="1"/>
  <c r="L320" i="1"/>
  <c r="V102" i="1" s="1"/>
  <c r="L266" i="1"/>
  <c r="L226" i="1"/>
  <c r="L146" i="1"/>
  <c r="L49" i="1"/>
  <c r="L172" i="1"/>
  <c r="L181" i="1"/>
  <c r="L237" i="1"/>
  <c r="K265" i="1"/>
  <c r="L265" i="1" s="1"/>
  <c r="K245" i="1"/>
  <c r="L245" i="1" s="1"/>
  <c r="K205" i="1"/>
  <c r="L205" i="1" s="1"/>
  <c r="K145" i="1"/>
  <c r="L145" i="1" s="1"/>
  <c r="K105" i="1"/>
  <c r="L105" i="1" s="1"/>
  <c r="L39" i="1"/>
  <c r="L293" i="1"/>
  <c r="K184" i="1"/>
  <c r="L184" i="1" s="1"/>
  <c r="K124" i="1"/>
  <c r="L124" i="1" s="1"/>
  <c r="L24" i="1"/>
  <c r="K4" i="1"/>
  <c r="L4" i="1" s="1"/>
  <c r="L69" i="1"/>
  <c r="V71" i="1" s="1"/>
  <c r="L87" i="1"/>
  <c r="L115" i="1"/>
  <c r="L21" i="1"/>
  <c r="L50" i="1"/>
  <c r="L78" i="1"/>
  <c r="V80" i="1" s="1"/>
  <c r="L96" i="1"/>
  <c r="L125" i="1"/>
  <c r="L135" i="1"/>
  <c r="L219" i="1"/>
  <c r="L247" i="1"/>
  <c r="L275" i="1"/>
  <c r="L321" i="1"/>
  <c r="V103" i="1" s="1"/>
  <c r="K283" i="1"/>
  <c r="L283" i="1" s="1"/>
  <c r="K263" i="1"/>
  <c r="L263" i="1" s="1"/>
  <c r="K143" i="1"/>
  <c r="L143" i="1" s="1"/>
  <c r="K103" i="1"/>
  <c r="L103" i="1" s="1"/>
  <c r="K63" i="1"/>
  <c r="L63" i="1" s="1"/>
  <c r="V65" i="1" s="1"/>
  <c r="K43" i="1"/>
  <c r="L43" i="1" s="1"/>
  <c r="K23" i="1"/>
  <c r="L23" i="1" s="1"/>
  <c r="K3" i="1"/>
  <c r="L3" i="1" s="1"/>
  <c r="L71" i="1"/>
  <c r="V73" i="1" s="1"/>
  <c r="L107" i="1"/>
  <c r="L163" i="1"/>
  <c r="L287" i="1"/>
  <c r="L53" i="1"/>
  <c r="L90" i="1"/>
  <c r="L117" i="1"/>
  <c r="L173" i="1"/>
  <c r="L182" i="1"/>
  <c r="L191" i="1"/>
  <c r="L200" i="1"/>
  <c r="L244" i="1"/>
  <c r="L270" i="1"/>
  <c r="L314" i="1"/>
  <c r="V96" i="1" s="1"/>
  <c r="L164" i="1"/>
  <c r="L8" i="1"/>
  <c r="L54" i="1"/>
  <c r="L91" i="1"/>
  <c r="L137" i="1"/>
  <c r="L174" i="1"/>
  <c r="L183" i="1"/>
  <c r="L210" i="1"/>
  <c r="L297" i="1"/>
  <c r="L217" i="1"/>
  <c r="L7" i="1"/>
  <c r="L108" i="1"/>
  <c r="L127" i="1"/>
  <c r="L227" i="1"/>
  <c r="L253" i="1"/>
  <c r="L17" i="1"/>
  <c r="L64" i="1"/>
  <c r="V66" i="1" s="1"/>
  <c r="L128" i="1"/>
  <c r="L254" i="1"/>
  <c r="L271" i="1"/>
  <c r="L280" i="1"/>
  <c r="L74" i="1"/>
  <c r="V76" i="1" s="1"/>
  <c r="L307" i="1"/>
  <c r="V89" i="1" s="1"/>
  <c r="L10" i="1"/>
  <c r="L28" i="1"/>
  <c r="L120" i="1"/>
  <c r="L148" i="1"/>
  <c r="L157" i="1"/>
  <c r="L194" i="1"/>
  <c r="L203" i="1"/>
  <c r="L264" i="1"/>
  <c r="L281" i="1"/>
  <c r="L290" i="1"/>
  <c r="L84" i="1"/>
  <c r="L167" i="1"/>
  <c r="L204" i="1"/>
  <c r="L47" i="1"/>
  <c r="L57" i="1"/>
  <c r="L67" i="1"/>
  <c r="V69" i="1" s="1"/>
  <c r="L94" i="1"/>
  <c r="L131" i="1"/>
  <c r="L177" i="1"/>
  <c r="L213" i="1"/>
  <c r="L274" i="1"/>
  <c r="L291" i="1"/>
  <c r="L300" i="1"/>
  <c r="L68" i="1"/>
  <c r="V70" i="1" s="1"/>
  <c r="L187" i="1"/>
  <c r="L214" i="1"/>
  <c r="L13" i="1"/>
  <c r="L31" i="1"/>
  <c r="L40" i="1"/>
  <c r="L86" i="1"/>
  <c r="L104" i="1"/>
  <c r="L123" i="1"/>
  <c r="L142" i="1"/>
  <c r="L151" i="1"/>
  <c r="L160" i="1"/>
  <c r="L223" i="1"/>
  <c r="L284" i="1"/>
  <c r="L301" i="1"/>
  <c r="L310" i="1"/>
  <c r="V92" i="1" s="1"/>
  <c r="L134" i="1"/>
  <c r="L207" i="1"/>
  <c r="L294" i="1"/>
  <c r="L311" i="1"/>
  <c r="V93" i="1" s="1"/>
  <c r="L33" i="1"/>
  <c r="L51" i="1"/>
  <c r="L88" i="1"/>
  <c r="L153" i="1"/>
  <c r="L171" i="1"/>
  <c r="L180" i="1"/>
  <c r="L251" i="1"/>
  <c r="L277" i="1"/>
  <c r="L303" i="1"/>
  <c r="V85" i="1" s="1"/>
  <c r="L312" i="1"/>
  <c r="V94" i="1" s="1"/>
  <c r="L304" i="1"/>
  <c r="V86" i="1" s="1"/>
  <c r="L2" i="1"/>
  <c r="V79" i="1"/>
  <c r="M153" i="9" l="1"/>
  <c r="M48" i="9"/>
  <c r="M216" i="9"/>
  <c r="M197" i="9"/>
  <c r="M93" i="9"/>
  <c r="M109" i="9"/>
  <c r="M185" i="9"/>
  <c r="M187" i="9"/>
  <c r="M68" i="9"/>
  <c r="M207" i="9"/>
  <c r="M253" i="9"/>
  <c r="M33" i="9"/>
  <c r="M133" i="9"/>
  <c r="M6" i="9"/>
  <c r="M50" i="9"/>
  <c r="M218" i="9"/>
  <c r="M191" i="9"/>
  <c r="M300" i="9"/>
  <c r="M40" i="9"/>
  <c r="M104" i="9"/>
  <c r="M280" i="9"/>
  <c r="M124" i="9"/>
  <c r="M38" i="9"/>
  <c r="M145" i="9"/>
  <c r="M65" i="9"/>
  <c r="M117" i="9"/>
  <c r="M299" i="9"/>
  <c r="M92" i="9"/>
  <c r="M320" i="9"/>
  <c r="M95" i="9"/>
  <c r="M265" i="9"/>
  <c r="M167" i="9"/>
  <c r="M210" i="9"/>
  <c r="M35" i="9"/>
  <c r="M4" i="9"/>
  <c r="M297" i="9"/>
  <c r="M149" i="9"/>
  <c r="M279" i="9"/>
  <c r="M220" i="9"/>
  <c r="M190" i="9"/>
  <c r="M163" i="9"/>
  <c r="M287" i="9"/>
  <c r="M90" i="9"/>
  <c r="M47" i="9"/>
  <c r="M204" i="9"/>
  <c r="M55" i="9"/>
  <c r="M9" i="9"/>
  <c r="M302" i="9"/>
  <c r="M230" i="9"/>
  <c r="M41" i="9"/>
  <c r="M59" i="9"/>
  <c r="M318" i="9"/>
  <c r="M97" i="9"/>
  <c r="M86" i="9"/>
  <c r="M289" i="9"/>
  <c r="M274" i="9"/>
  <c r="M235" i="9"/>
  <c r="M268" i="9"/>
  <c r="M71" i="9"/>
  <c r="M244" i="9"/>
  <c r="M166" i="9"/>
  <c r="M175" i="9"/>
  <c r="M310" i="9"/>
  <c r="M2" i="9"/>
  <c r="M202" i="9"/>
  <c r="M186" i="9"/>
  <c r="M58" i="9"/>
  <c r="M54" i="9"/>
  <c r="M45" i="9"/>
  <c r="M168" i="9"/>
  <c r="M243" i="9"/>
  <c r="M307" i="9"/>
  <c r="M26" i="9"/>
  <c r="M284" i="9"/>
  <c r="M170" i="9"/>
  <c r="M217" i="9"/>
  <c r="M51" i="9"/>
  <c r="M128" i="9"/>
  <c r="M232" i="9"/>
  <c r="M142" i="9"/>
  <c r="M157" i="9"/>
  <c r="M306" i="9"/>
  <c r="M121" i="9"/>
  <c r="M200" i="9"/>
  <c r="M272" i="9"/>
  <c r="M213" i="9"/>
  <c r="M15" i="9"/>
  <c r="M295" i="9"/>
  <c r="M44" i="9"/>
  <c r="M164" i="9"/>
  <c r="M43" i="9"/>
  <c r="M252" i="9"/>
  <c r="M7" i="9"/>
  <c r="M205" i="9"/>
  <c r="M129" i="9"/>
  <c r="M242" i="9"/>
  <c r="M96" i="9"/>
  <c r="M31" i="9"/>
  <c r="M67" i="9"/>
  <c r="M172" i="9"/>
  <c r="M221" i="9"/>
  <c r="M180" i="9"/>
  <c r="M286" i="9"/>
  <c r="M136" i="9"/>
  <c r="M27" i="9"/>
  <c r="M263" i="9"/>
  <c r="M62" i="9"/>
  <c r="M158" i="9"/>
  <c r="M49" i="9"/>
  <c r="M155" i="9"/>
  <c r="M251" i="9"/>
  <c r="M315" i="9"/>
  <c r="M24" i="9"/>
  <c r="M308" i="9"/>
  <c r="M254" i="9"/>
  <c r="M249" i="9"/>
  <c r="M17" i="9"/>
  <c r="M77" i="9"/>
  <c r="M285" i="9"/>
  <c r="M294" i="9"/>
  <c r="M209" i="9"/>
  <c r="M262" i="9"/>
  <c r="M110" i="9"/>
  <c r="M214" i="9"/>
  <c r="M138" i="9"/>
  <c r="M226" i="9"/>
  <c r="M281" i="9"/>
  <c r="M152" i="9"/>
  <c r="M174" i="9"/>
  <c r="M140" i="9"/>
  <c r="M256" i="9"/>
  <c r="M260" i="9"/>
  <c r="M273" i="9"/>
  <c r="M206" i="9"/>
  <c r="M29" i="9"/>
  <c r="M304" i="9"/>
  <c r="M247" i="9"/>
  <c r="M63" i="9"/>
  <c r="M61" i="9"/>
  <c r="M116" i="9"/>
  <c r="M222" i="9"/>
  <c r="M269" i="9"/>
  <c r="M198" i="9"/>
  <c r="M282" i="9"/>
  <c r="M194" i="9"/>
  <c r="M28" i="9"/>
  <c r="M179" i="9"/>
  <c r="M236" i="9"/>
  <c r="M82" i="9"/>
  <c r="M19" i="9"/>
  <c r="M229" i="9"/>
  <c r="M20" i="9"/>
  <c r="M270" i="9"/>
  <c r="M156" i="9"/>
  <c r="M34" i="9"/>
  <c r="M46" i="9"/>
  <c r="M14" i="9"/>
  <c r="M203" i="9"/>
  <c r="M267" i="9"/>
  <c r="M60" i="9"/>
  <c r="M144" i="9"/>
  <c r="M88" i="9"/>
  <c r="M159" i="9"/>
  <c r="M313" i="9"/>
  <c r="M94" i="9"/>
  <c r="M292" i="9"/>
  <c r="M75" i="9"/>
  <c r="M139" i="9"/>
  <c r="M245" i="9"/>
  <c r="M261" i="9"/>
  <c r="M277" i="9"/>
  <c r="M85" i="9"/>
  <c r="M257" i="9"/>
  <c r="M188" i="9"/>
  <c r="M53" i="9"/>
  <c r="M176" i="9"/>
  <c r="M161" i="9"/>
  <c r="M189" i="9"/>
  <c r="M73" i="9"/>
  <c r="M101" i="9"/>
  <c r="M123" i="9"/>
  <c r="M231" i="9"/>
  <c r="M169" i="9"/>
  <c r="M148" i="9"/>
  <c r="M305" i="9"/>
  <c r="M178" i="9"/>
  <c r="M127" i="9"/>
  <c r="M225" i="9"/>
  <c r="M316" i="9"/>
  <c r="M119" i="9"/>
  <c r="M181" i="9"/>
  <c r="M162" i="9"/>
  <c r="M303" i="9"/>
  <c r="M301" i="9"/>
  <c r="M311" i="9"/>
  <c r="M271" i="9"/>
  <c r="M228" i="9"/>
  <c r="M111" i="9"/>
  <c r="M258" i="9"/>
  <c r="M208" i="9"/>
  <c r="M56" i="9"/>
  <c r="M118" i="9"/>
  <c r="M72" i="9"/>
  <c r="M12" i="9"/>
  <c r="M212" i="9"/>
  <c r="M16" i="9"/>
  <c r="M42" i="9"/>
  <c r="M74" i="9"/>
  <c r="M21" i="9"/>
  <c r="M211" i="9"/>
  <c r="M275" i="9"/>
  <c r="M64" i="9"/>
  <c r="M99" i="9"/>
  <c r="M196" i="9"/>
  <c r="M224" i="9"/>
  <c r="M147" i="9"/>
  <c r="M160" i="9"/>
  <c r="M173" i="9"/>
  <c r="M314" i="9"/>
  <c r="M66" i="9"/>
  <c r="M131" i="9"/>
  <c r="M319" i="9"/>
  <c r="M112" i="9"/>
  <c r="M83" i="9"/>
  <c r="M248" i="9"/>
  <c r="M32" i="9"/>
  <c r="M259" i="9"/>
  <c r="M199" i="9"/>
  <c r="M10" i="9"/>
  <c r="M276" i="9"/>
  <c r="M107" i="9"/>
  <c r="M201" i="9"/>
  <c r="M23" i="9"/>
  <c r="M239" i="9"/>
  <c r="M296" i="9"/>
  <c r="M150" i="9"/>
  <c r="M321" i="9"/>
  <c r="M132" i="9"/>
  <c r="M36" i="9"/>
  <c r="M76" i="9"/>
  <c r="M146" i="9"/>
  <c r="M137" i="9"/>
  <c r="M290" i="9"/>
  <c r="M141" i="9"/>
  <c r="M240" i="9"/>
  <c r="M81" i="9"/>
  <c r="M103" i="9"/>
  <c r="M114" i="9"/>
  <c r="M113" i="9"/>
  <c r="M298" i="9"/>
  <c r="M165" i="9"/>
  <c r="M135" i="9"/>
  <c r="M87" i="9"/>
  <c r="M130" i="9"/>
  <c r="M184" i="9"/>
  <c r="M171" i="9"/>
  <c r="M5" i="9"/>
  <c r="M30" i="9"/>
  <c r="M219" i="9"/>
  <c r="M283" i="9"/>
  <c r="M57" i="9"/>
  <c r="M234" i="9"/>
  <c r="M278" i="9"/>
  <c r="M288" i="9"/>
  <c r="M106" i="9"/>
  <c r="M108" i="9"/>
  <c r="M250" i="9"/>
  <c r="M312" i="9"/>
  <c r="M192" i="9"/>
  <c r="M78" i="9"/>
  <c r="M52" i="9"/>
  <c r="M237" i="9"/>
  <c r="M91" i="9"/>
  <c r="M317" i="9"/>
  <c r="M115" i="9"/>
  <c r="M98" i="9"/>
  <c r="M195" i="9"/>
  <c r="M89" i="9"/>
  <c r="M39" i="9"/>
  <c r="M25" i="9"/>
  <c r="M238" i="9"/>
  <c r="M100" i="9"/>
  <c r="M233" i="9"/>
  <c r="M122" i="9"/>
  <c r="M182" i="9"/>
  <c r="M183" i="9"/>
  <c r="M215" i="9"/>
  <c r="M80" i="9"/>
  <c r="M70" i="9"/>
  <c r="M8" i="9"/>
  <c r="M177" i="9"/>
  <c r="M246" i="9"/>
  <c r="M264" i="9"/>
  <c r="M241" i="9"/>
  <c r="M151" i="9"/>
  <c r="M193" i="9"/>
  <c r="M105" i="9"/>
  <c r="M3" i="9"/>
  <c r="M255" i="9"/>
  <c r="M309" i="9"/>
  <c r="M102" i="9"/>
  <c r="M223" i="9"/>
  <c r="M22" i="9"/>
  <c r="M126" i="9"/>
  <c r="M69" i="9"/>
  <c r="M18" i="9"/>
  <c r="M120" i="9"/>
  <c r="M37" i="9"/>
  <c r="M84" i="9"/>
  <c r="M227" i="9"/>
  <c r="M291" i="9"/>
  <c r="M143" i="9"/>
  <c r="M134" i="9"/>
  <c r="M11" i="9"/>
  <c r="M125" i="9"/>
  <c r="M13" i="9"/>
  <c r="M266" i="9"/>
  <c r="M79" i="9"/>
  <c r="M293" i="9"/>
  <c r="N2" i="1"/>
  <c r="M322" i="1" s="1"/>
  <c r="N5" i="1"/>
  <c r="O2" i="9" l="1"/>
  <c r="P211" i="9" s="1"/>
  <c r="P217" i="9"/>
  <c r="P285" i="9"/>
  <c r="M107" i="1"/>
  <c r="M305" i="1"/>
  <c r="M65" i="1"/>
  <c r="M165" i="1"/>
  <c r="M193" i="1"/>
  <c r="M156" i="1"/>
  <c r="M290" i="1"/>
  <c r="M208" i="1"/>
  <c r="M41" i="1"/>
  <c r="M49" i="1"/>
  <c r="M95" i="1"/>
  <c r="M215" i="1"/>
  <c r="M258" i="1"/>
  <c r="M276" i="1"/>
  <c r="M161" i="1"/>
  <c r="M135" i="1"/>
  <c r="M64" i="1"/>
  <c r="M314" i="1"/>
  <c r="M73" i="1"/>
  <c r="M201" i="1"/>
  <c r="M202" i="1"/>
  <c r="M220" i="1"/>
  <c r="M298" i="1"/>
  <c r="M58" i="1"/>
  <c r="M11" i="1"/>
  <c r="M59" i="1"/>
  <c r="M14" i="1"/>
  <c r="M104" i="1"/>
  <c r="M241" i="1"/>
  <c r="M285" i="1"/>
  <c r="M294" i="1"/>
  <c r="M171" i="1"/>
  <c r="M162" i="1"/>
  <c r="M97" i="1"/>
  <c r="M219" i="1"/>
  <c r="M211" i="1"/>
  <c r="M228" i="1"/>
  <c r="M68" i="1"/>
  <c r="M4" i="1"/>
  <c r="M69" i="1"/>
  <c r="M33" i="1"/>
  <c r="M123" i="1"/>
  <c r="M267" i="1"/>
  <c r="M180" i="1"/>
  <c r="M198" i="1"/>
  <c r="M106" i="1"/>
  <c r="M89" i="1"/>
  <c r="M81" i="1"/>
  <c r="M28" i="1"/>
  <c r="M118" i="1"/>
  <c r="M236" i="1"/>
  <c r="M237" i="1"/>
  <c r="M255" i="1"/>
  <c r="M316" i="1"/>
  <c r="M112" i="1"/>
  <c r="M50" i="1"/>
  <c r="M142" i="1"/>
  <c r="M293" i="1"/>
  <c r="M319" i="1"/>
  <c r="M302" i="1"/>
  <c r="M189" i="1"/>
  <c r="M216" i="1"/>
  <c r="M144" i="1"/>
  <c r="M72" i="1"/>
  <c r="M36" i="1"/>
  <c r="M137" i="1"/>
  <c r="M254" i="1"/>
  <c r="M263" i="1"/>
  <c r="M307" i="1"/>
  <c r="M10" i="1"/>
  <c r="M131" i="1"/>
  <c r="M85" i="1"/>
  <c r="M86" i="1"/>
  <c r="M151" i="1"/>
  <c r="M57" i="1"/>
  <c r="M235" i="1"/>
  <c r="M311" i="1"/>
  <c r="M225" i="1"/>
  <c r="M234" i="1"/>
  <c r="M172" i="1"/>
  <c r="M259" i="1"/>
  <c r="M117" i="1"/>
  <c r="M45" i="1"/>
  <c r="M174" i="1"/>
  <c r="M262" i="1"/>
  <c r="M289" i="1"/>
  <c r="M22" i="1"/>
  <c r="M76" i="1"/>
  <c r="M177" i="1"/>
  <c r="M103" i="1"/>
  <c r="M113" i="1"/>
  <c r="M160" i="1"/>
  <c r="M51" i="1"/>
  <c r="M13" i="1"/>
  <c r="M251" i="1"/>
  <c r="M242" i="1"/>
  <c r="M181" i="1"/>
  <c r="M114" i="1"/>
  <c r="M126" i="1"/>
  <c r="M55" i="1"/>
  <c r="M183" i="1"/>
  <c r="M271" i="1"/>
  <c r="M306" i="1"/>
  <c r="M98" i="1"/>
  <c r="M31" i="1"/>
  <c r="M94" i="1"/>
  <c r="M213" i="1"/>
  <c r="M122" i="1"/>
  <c r="M132" i="1"/>
  <c r="M169" i="1"/>
  <c r="M133" i="1"/>
  <c r="M87" i="1"/>
  <c r="M320" i="1"/>
  <c r="M277" i="1"/>
  <c r="M260" i="1"/>
  <c r="M190" i="1"/>
  <c r="M265" i="1"/>
  <c r="M154" i="1"/>
  <c r="M91" i="1"/>
  <c r="M192" i="1"/>
  <c r="M280" i="1"/>
  <c r="M47" i="1"/>
  <c r="M48" i="1"/>
  <c r="M102" i="1"/>
  <c r="M239" i="1"/>
  <c r="M141" i="1"/>
  <c r="M187" i="1"/>
  <c r="M196" i="1"/>
  <c r="M43" i="1"/>
  <c r="M178" i="1"/>
  <c r="M303" i="1"/>
  <c r="M268" i="1"/>
  <c r="M199" i="1"/>
  <c r="M153" i="1"/>
  <c r="M173" i="1"/>
  <c r="M99" i="1"/>
  <c r="M210" i="1"/>
  <c r="M288" i="1"/>
  <c r="M44" i="1"/>
  <c r="M120" i="1"/>
  <c r="M84" i="1"/>
  <c r="M121" i="1"/>
  <c r="M256" i="1"/>
  <c r="M150" i="1"/>
  <c r="M214" i="1"/>
  <c r="M223" i="1"/>
  <c r="M61" i="1"/>
  <c r="M25" i="1"/>
  <c r="M287" i="1"/>
  <c r="M295" i="1"/>
  <c r="M217" i="1"/>
  <c r="M250" i="1"/>
  <c r="M182" i="1"/>
  <c r="M108" i="1"/>
  <c r="M218" i="1"/>
  <c r="M163" i="1"/>
  <c r="M29" i="1"/>
  <c r="M139" i="1"/>
  <c r="M93" i="1"/>
  <c r="M140" i="1"/>
  <c r="M274" i="1"/>
  <c r="M159" i="1"/>
  <c r="M222" i="1"/>
  <c r="M249" i="1"/>
  <c r="M96" i="1"/>
  <c r="M52" i="1"/>
  <c r="M21" i="1"/>
  <c r="M145" i="1"/>
  <c r="M243" i="1"/>
  <c r="M129" i="1"/>
  <c r="M191" i="1"/>
  <c r="M127" i="1"/>
  <c r="M245" i="1"/>
  <c r="M19" i="1"/>
  <c r="M46" i="1"/>
  <c r="M148" i="1"/>
  <c r="M111" i="1"/>
  <c r="M149" i="1"/>
  <c r="M282" i="1"/>
  <c r="M168" i="1"/>
  <c r="M240" i="1"/>
  <c r="M266" i="1"/>
  <c r="M105" i="1"/>
  <c r="M70" i="1"/>
  <c r="M40" i="1"/>
  <c r="M312" i="1"/>
  <c r="M20" i="1"/>
  <c r="M269" i="1"/>
  <c r="M77" i="1"/>
  <c r="M200" i="1"/>
  <c r="M136" i="1"/>
  <c r="M297" i="1"/>
  <c r="M38" i="1"/>
  <c r="M3" i="1"/>
  <c r="M157" i="1"/>
  <c r="M130" i="1"/>
  <c r="M158" i="1"/>
  <c r="M291" i="1"/>
  <c r="M186" i="1"/>
  <c r="M248" i="1"/>
  <c r="M284" i="1"/>
  <c r="M124" i="1"/>
  <c r="M197" i="1"/>
  <c r="M39" i="1"/>
  <c r="M101" i="1"/>
  <c r="M286" i="1"/>
  <c r="M209" i="1"/>
  <c r="M155" i="1"/>
  <c r="M66" i="1"/>
  <c r="M12" i="1"/>
  <c r="M185" i="1"/>
  <c r="M166" i="1"/>
  <c r="M167" i="1"/>
  <c r="M300" i="1"/>
  <c r="M205" i="1"/>
  <c r="M275" i="1"/>
  <c r="M292" i="1"/>
  <c r="M143" i="1"/>
  <c r="M79" i="1"/>
  <c r="M8" i="1"/>
  <c r="M6" i="1"/>
  <c r="M42" i="1"/>
  <c r="M304" i="1"/>
  <c r="M67" i="1"/>
  <c r="M226" i="1"/>
  <c r="M164" i="1"/>
  <c r="M315" i="1"/>
  <c r="M30" i="1"/>
  <c r="M194" i="1"/>
  <c r="M221" i="1"/>
  <c r="M176" i="1"/>
  <c r="M308" i="1"/>
  <c r="M231" i="1"/>
  <c r="M301" i="1"/>
  <c r="M152" i="1"/>
  <c r="M88" i="1"/>
  <c r="M34" i="1"/>
  <c r="M78" i="1"/>
  <c r="M9" i="1"/>
  <c r="M32" i="1"/>
  <c r="M244" i="1"/>
  <c r="M227" i="1"/>
  <c r="M80" i="1"/>
  <c r="M82" i="1"/>
  <c r="M56" i="1"/>
  <c r="M203" i="1"/>
  <c r="M247" i="1"/>
  <c r="M195" i="1"/>
  <c r="M257" i="1"/>
  <c r="M318" i="1"/>
  <c r="M170" i="1"/>
  <c r="M115" i="1"/>
  <c r="M18" i="1"/>
  <c r="M281" i="1"/>
  <c r="M252" i="1"/>
  <c r="M253" i="1"/>
  <c r="M119" i="1"/>
  <c r="M75" i="1"/>
  <c r="M229" i="1"/>
  <c r="M273" i="1"/>
  <c r="M204" i="1"/>
  <c r="M90" i="1"/>
  <c r="M283" i="1"/>
  <c r="M27" i="1"/>
  <c r="M310" i="1"/>
  <c r="M179" i="1"/>
  <c r="M134" i="1"/>
  <c r="M62" i="1"/>
  <c r="M7" i="1"/>
  <c r="M26" i="1"/>
  <c r="M313" i="1"/>
  <c r="M261" i="1"/>
  <c r="M279" i="1"/>
  <c r="M92" i="1"/>
  <c r="M138" i="1"/>
  <c r="M246" i="1"/>
  <c r="M299" i="1"/>
  <c r="M212" i="1"/>
  <c r="M37" i="1"/>
  <c r="M83" i="1"/>
  <c r="M54" i="1"/>
  <c r="M206" i="1"/>
  <c r="M188" i="1"/>
  <c r="M71" i="1"/>
  <c r="M16" i="1"/>
  <c r="M35" i="1"/>
  <c r="M321" i="1"/>
  <c r="M184" i="1"/>
  <c r="M270" i="1"/>
  <c r="M296" i="1"/>
  <c r="M109" i="1"/>
  <c r="M147" i="1"/>
  <c r="M100" i="1"/>
  <c r="M264" i="1"/>
  <c r="M317" i="1"/>
  <c r="M230" i="1"/>
  <c r="M23" i="1"/>
  <c r="M309" i="1"/>
  <c r="M15" i="1"/>
  <c r="M2" i="1"/>
  <c r="M224" i="1"/>
  <c r="M207" i="1"/>
  <c r="M17" i="1"/>
  <c r="M63" i="1"/>
  <c r="M146" i="1"/>
  <c r="M278" i="1"/>
  <c r="M116" i="1"/>
  <c r="M128" i="1"/>
  <c r="M175" i="1"/>
  <c r="M110" i="1"/>
  <c r="M272" i="1"/>
  <c r="M238" i="1"/>
  <c r="M5" i="1"/>
  <c r="M74" i="1"/>
  <c r="M60" i="1"/>
  <c r="M24" i="1"/>
  <c r="M232" i="1"/>
  <c r="M233" i="1"/>
  <c r="M125" i="1"/>
  <c r="M53" i="1"/>
  <c r="P45" i="9" l="1"/>
  <c r="P304" i="9"/>
  <c r="P155" i="9"/>
  <c r="P33" i="9"/>
  <c r="P209" i="9"/>
  <c r="P225" i="9"/>
  <c r="P142" i="9"/>
  <c r="P276" i="9"/>
  <c r="P9" i="9"/>
  <c r="P227" i="9"/>
  <c r="P288" i="9"/>
  <c r="P289" i="9"/>
  <c r="P237" i="9"/>
  <c r="P189" i="9"/>
  <c r="P36" i="9"/>
  <c r="P174" i="9"/>
  <c r="P30" i="9"/>
  <c r="P37" i="9"/>
  <c r="P97" i="9"/>
  <c r="P275" i="9"/>
  <c r="P40" i="9"/>
  <c r="P32" i="9"/>
  <c r="P27" i="9"/>
  <c r="P139" i="9"/>
  <c r="P91" i="9"/>
  <c r="P164" i="9"/>
  <c r="P226" i="9"/>
  <c r="P214" i="9"/>
  <c r="P89" i="9"/>
  <c r="P282" i="9"/>
  <c r="P161" i="9"/>
  <c r="P80" i="9"/>
  <c r="P48" i="9"/>
  <c r="P238" i="9"/>
  <c r="P188" i="9"/>
  <c r="P16" i="9"/>
  <c r="P118" i="9"/>
  <c r="P29" i="9"/>
  <c r="P103" i="9"/>
  <c r="P302" i="9"/>
  <c r="P149" i="9"/>
  <c r="P208" i="9"/>
  <c r="P260" i="9"/>
  <c r="P181" i="9"/>
  <c r="P75" i="9"/>
  <c r="P50" i="9"/>
  <c r="P117" i="9"/>
  <c r="P206" i="9"/>
  <c r="P187" i="9"/>
  <c r="P70" i="9"/>
  <c r="P230" i="9"/>
  <c r="P256" i="9"/>
  <c r="P264" i="9"/>
  <c r="P241" i="9"/>
  <c r="P66" i="9"/>
  <c r="P76" i="9"/>
  <c r="P244" i="9"/>
  <c r="P305" i="9"/>
  <c r="P144" i="9"/>
  <c r="P157" i="9"/>
  <c r="P105" i="9"/>
  <c r="P184" i="9"/>
  <c r="P203" i="9"/>
  <c r="P177" i="9"/>
  <c r="P47" i="9"/>
  <c r="P74" i="9"/>
  <c r="P102" i="9"/>
  <c r="P223" i="9"/>
  <c r="P291" i="9"/>
  <c r="P266" i="9"/>
  <c r="P44" i="9"/>
  <c r="P21" i="9"/>
  <c r="P314" i="9"/>
  <c r="P252" i="9"/>
  <c r="P69" i="9"/>
  <c r="P19" i="9"/>
  <c r="P286" i="9"/>
  <c r="P292" i="9"/>
  <c r="P309" i="9"/>
  <c r="P299" i="9"/>
  <c r="P160" i="9"/>
  <c r="P127" i="9"/>
  <c r="P79" i="9"/>
  <c r="P293" i="9"/>
  <c r="P100" i="9"/>
  <c r="P96" i="9"/>
  <c r="P173" i="9"/>
  <c r="P239" i="9"/>
  <c r="P172" i="9"/>
  <c r="P88" i="9"/>
  <c r="P77" i="9"/>
  <c r="P198" i="9"/>
  <c r="P13" i="9"/>
  <c r="P245" i="9"/>
  <c r="P101" i="9"/>
  <c r="P59" i="9"/>
  <c r="P68" i="9"/>
  <c r="P233" i="9"/>
  <c r="P270" i="9"/>
  <c r="P83" i="9"/>
  <c r="P106" i="9"/>
  <c r="P24" i="9"/>
  <c r="P152" i="9"/>
  <c r="P154" i="9"/>
  <c r="P205" i="9"/>
  <c r="P254" i="9"/>
  <c r="P112" i="9"/>
  <c r="P53" i="9"/>
  <c r="P34" i="9"/>
  <c r="P58" i="9"/>
  <c r="P99" i="9"/>
  <c r="P150" i="9"/>
  <c r="P135" i="9"/>
  <c r="P312" i="9"/>
  <c r="P215" i="9"/>
  <c r="P153" i="9"/>
  <c r="P183" i="9"/>
  <c r="P86" i="9"/>
  <c r="P41" i="9"/>
  <c r="P14" i="9"/>
  <c r="P132" i="9"/>
  <c r="P128" i="9"/>
  <c r="P104" i="9"/>
  <c r="P133" i="9"/>
  <c r="P228" i="9"/>
  <c r="P290" i="9"/>
  <c r="P265" i="9"/>
  <c r="P258" i="9"/>
  <c r="P51" i="9"/>
  <c r="P94" i="9"/>
  <c r="P303" i="9"/>
  <c r="P308" i="9"/>
  <c r="P64" i="9"/>
  <c r="P300" i="9"/>
  <c r="P221" i="9"/>
  <c r="P249" i="9"/>
  <c r="P46" i="9"/>
  <c r="P170" i="9"/>
  <c r="P196" i="9"/>
  <c r="P273" i="9"/>
  <c r="P321" i="9"/>
  <c r="P87" i="9"/>
  <c r="P185" i="9"/>
  <c r="P123" i="9"/>
  <c r="P320" i="9"/>
  <c r="P163" i="9"/>
  <c r="P259" i="9"/>
  <c r="P224" i="9"/>
  <c r="P130" i="9"/>
  <c r="P120" i="9"/>
  <c r="P231" i="9"/>
  <c r="P235" i="9"/>
  <c r="P162" i="9"/>
  <c r="P124" i="9"/>
  <c r="P199" i="9"/>
  <c r="P240" i="9"/>
  <c r="P12" i="9"/>
  <c r="P131" i="9"/>
  <c r="P7" i="9"/>
  <c r="P78" i="9"/>
  <c r="P116" i="9"/>
  <c r="P180" i="9"/>
  <c r="P17" i="9"/>
  <c r="P277" i="9"/>
  <c r="P121" i="9"/>
  <c r="P246" i="9"/>
  <c r="P219" i="9"/>
  <c r="P111" i="9"/>
  <c r="P236" i="9"/>
  <c r="P190" i="9"/>
  <c r="P49" i="9"/>
  <c r="P82" i="9"/>
  <c r="P81" i="9"/>
  <c r="P253" i="9"/>
  <c r="P156" i="9"/>
  <c r="P122" i="9"/>
  <c r="P280" i="9"/>
  <c r="P138" i="9"/>
  <c r="P281" i="9"/>
  <c r="P93" i="9"/>
  <c r="P269" i="9"/>
  <c r="P200" i="9"/>
  <c r="P145" i="9"/>
  <c r="P272" i="9"/>
  <c r="P158" i="9"/>
  <c r="P257" i="9"/>
  <c r="P220" i="9"/>
  <c r="P316" i="9"/>
  <c r="P216" i="9"/>
  <c r="P213" i="9"/>
  <c r="P175" i="9"/>
  <c r="P10" i="9"/>
  <c r="P166" i="9"/>
  <c r="P126" i="9"/>
  <c r="P62" i="9"/>
  <c r="P39" i="9"/>
  <c r="P179" i="9"/>
  <c r="P159" i="9"/>
  <c r="P90" i="9"/>
  <c r="P311" i="9"/>
  <c r="P141" i="9"/>
  <c r="P283" i="9"/>
  <c r="P169" i="9"/>
  <c r="P318" i="9"/>
  <c r="P210" i="9"/>
  <c r="P35" i="9"/>
  <c r="P243" i="9"/>
  <c r="P313" i="9"/>
  <c r="P57" i="9"/>
  <c r="P192" i="9"/>
  <c r="P287" i="9"/>
  <c r="P248" i="9"/>
  <c r="P42" i="9"/>
  <c r="P255" i="9"/>
  <c r="P274" i="9"/>
  <c r="P202" i="9"/>
  <c r="P250" i="9"/>
  <c r="P38" i="9"/>
  <c r="P72" i="9"/>
  <c r="P234" i="9"/>
  <c r="P268" i="9"/>
  <c r="P98" i="9"/>
  <c r="P165" i="9"/>
  <c r="P182" i="9"/>
  <c r="P73" i="9"/>
  <c r="P125" i="9"/>
  <c r="P110" i="9"/>
  <c r="P296" i="9"/>
  <c r="P167" i="9"/>
  <c r="P193" i="9"/>
  <c r="P134" i="9"/>
  <c r="P317" i="9"/>
  <c r="P108" i="9"/>
  <c r="P222" i="9"/>
  <c r="P148" i="9"/>
  <c r="P204" i="9"/>
  <c r="P151" i="9"/>
  <c r="P25" i="9"/>
  <c r="P195" i="9"/>
  <c r="P143" i="9"/>
  <c r="P186" i="9"/>
  <c r="P3" i="9"/>
  <c r="P297" i="9"/>
  <c r="P262" i="9"/>
  <c r="P84" i="9"/>
  <c r="P218" i="9"/>
  <c r="P23" i="9"/>
  <c r="P11" i="9"/>
  <c r="P115" i="9"/>
  <c r="P212" i="9"/>
  <c r="P278" i="9"/>
  <c r="P295" i="9"/>
  <c r="P61" i="9"/>
  <c r="P201" i="9"/>
  <c r="P95" i="9"/>
  <c r="P119" i="9"/>
  <c r="P137" i="9"/>
  <c r="P191" i="9"/>
  <c r="P22" i="9"/>
  <c r="P315" i="9"/>
  <c r="P20" i="9"/>
  <c r="P31" i="9"/>
  <c r="P301" i="9"/>
  <c r="P284" i="9"/>
  <c r="P2" i="9"/>
  <c r="P26" i="9"/>
  <c r="P306" i="9"/>
  <c r="P15" i="9"/>
  <c r="P176" i="9"/>
  <c r="P147" i="9"/>
  <c r="P319" i="9"/>
  <c r="P178" i="9"/>
  <c r="P242" i="9"/>
  <c r="P229" i="9"/>
  <c r="P114" i="9"/>
  <c r="P310" i="9"/>
  <c r="P55" i="9"/>
  <c r="P92" i="9"/>
  <c r="P298" i="9"/>
  <c r="P279" i="9"/>
  <c r="P263" i="9"/>
  <c r="P232" i="9"/>
  <c r="P4" i="9"/>
  <c r="P60" i="9"/>
  <c r="P146" i="9"/>
  <c r="P85" i="9"/>
  <c r="P6" i="9"/>
  <c r="P43" i="9"/>
  <c r="P307" i="9"/>
  <c r="P194" i="9"/>
  <c r="P63" i="9"/>
  <c r="P18" i="9"/>
  <c r="P129" i="9"/>
  <c r="P65" i="9"/>
  <c r="P168" i="9"/>
  <c r="P271" i="9"/>
  <c r="P107" i="9"/>
  <c r="P251" i="9"/>
  <c r="P267" i="9"/>
  <c r="P171" i="9"/>
  <c r="P140" i="9"/>
  <c r="P5" i="9"/>
  <c r="P197" i="9"/>
  <c r="P247" i="9"/>
  <c r="P136" i="9"/>
  <c r="P52" i="9"/>
  <c r="P207" i="9"/>
  <c r="P261" i="9"/>
  <c r="P109" i="9"/>
  <c r="P113" i="9"/>
  <c r="P71" i="9"/>
  <c r="P54" i="9"/>
  <c r="P67" i="9"/>
  <c r="P294" i="9"/>
  <c r="P56" i="9"/>
  <c r="P28" i="9"/>
  <c r="P8" i="9"/>
  <c r="O2" i="1"/>
  <c r="P55" i="1" l="1"/>
  <c r="P322" i="1"/>
  <c r="P216" i="1"/>
  <c r="P259" i="1"/>
  <c r="P117" i="1"/>
  <c r="P121" i="1"/>
  <c r="P159" i="1"/>
  <c r="P48" i="1"/>
  <c r="P256" i="1"/>
  <c r="P105" i="1"/>
  <c r="P304" i="1"/>
  <c r="P273" i="1"/>
  <c r="P146" i="1"/>
  <c r="P156" i="1"/>
  <c r="P22" i="1"/>
  <c r="P155" i="1"/>
  <c r="P243" i="1"/>
  <c r="P221" i="1"/>
  <c r="P201" i="1"/>
  <c r="P202" i="1"/>
  <c r="P97" i="1"/>
  <c r="P33" i="1"/>
  <c r="P75" i="1"/>
  <c r="P189" i="1"/>
  <c r="P116" i="1"/>
  <c r="P183" i="1"/>
  <c r="P137" i="1"/>
  <c r="P280" i="1"/>
  <c r="P254" i="1"/>
  <c r="P213" i="1"/>
  <c r="P271" i="1"/>
  <c r="P21" i="1"/>
  <c r="P47" i="1"/>
  <c r="P145" i="1"/>
  <c r="P222" i="1"/>
  <c r="P109" i="1"/>
  <c r="P27" i="1"/>
  <c r="P112" i="1"/>
  <c r="P71" i="1"/>
  <c r="P99" i="1"/>
  <c r="P63" i="1"/>
  <c r="P292" i="1"/>
  <c r="P269" i="1"/>
  <c r="P77" i="1"/>
  <c r="P318" i="1"/>
  <c r="P272" i="1"/>
  <c r="P258" i="1"/>
  <c r="P316" i="1"/>
  <c r="P57" i="1"/>
  <c r="P163" i="1"/>
  <c r="P34" i="1"/>
  <c r="P212" i="1"/>
  <c r="P66" i="1"/>
  <c r="P26" i="1"/>
  <c r="P238" i="1"/>
  <c r="P162" i="1"/>
  <c r="P151" i="1"/>
  <c r="P251" i="1"/>
  <c r="P148" i="1"/>
  <c r="P119" i="1"/>
  <c r="P309" i="1"/>
  <c r="P16" i="1"/>
  <c r="P59" i="1"/>
  <c r="P187" i="1"/>
  <c r="P30" i="1"/>
  <c r="P194" i="1"/>
  <c r="P296" i="1"/>
  <c r="P125" i="1"/>
  <c r="P255" i="1"/>
  <c r="P13" i="1"/>
  <c r="P260" i="1"/>
  <c r="P130" i="1"/>
  <c r="P299" i="1"/>
  <c r="P168" i="1"/>
  <c r="P197" i="1"/>
  <c r="P35" i="1"/>
  <c r="P106" i="1"/>
  <c r="P61" i="1"/>
  <c r="P195" i="1"/>
  <c r="P257" i="1"/>
  <c r="P110" i="1"/>
  <c r="P302" i="1"/>
  <c r="P86" i="1"/>
  <c r="P277" i="1"/>
  <c r="P173" i="1"/>
  <c r="P275" i="1"/>
  <c r="P23" i="1"/>
  <c r="P73" i="1"/>
  <c r="P7" i="1"/>
  <c r="P32" i="1"/>
  <c r="P215" i="1"/>
  <c r="P51" i="1"/>
  <c r="P153" i="1"/>
  <c r="P218" i="1"/>
  <c r="P88" i="1"/>
  <c r="P232" i="1"/>
  <c r="P4" i="1"/>
  <c r="P84" i="1"/>
  <c r="P266" i="1"/>
  <c r="P283" i="1"/>
  <c r="P193" i="1"/>
  <c r="P289" i="1"/>
  <c r="P20" i="1"/>
  <c r="P62" i="1"/>
  <c r="P270" i="1"/>
  <c r="P95" i="1"/>
  <c r="P171" i="1"/>
  <c r="P320" i="1"/>
  <c r="P108" i="1"/>
  <c r="P46" i="1"/>
  <c r="P253" i="1"/>
  <c r="P233" i="1"/>
  <c r="P319" i="1"/>
  <c r="P274" i="1"/>
  <c r="P124" i="1"/>
  <c r="P165" i="1"/>
  <c r="P11" i="1"/>
  <c r="P94" i="1"/>
  <c r="P209" i="1"/>
  <c r="P184" i="1"/>
  <c r="P140" i="1"/>
  <c r="P294" i="1"/>
  <c r="P237" i="1"/>
  <c r="P199" i="1"/>
  <c r="P19" i="1"/>
  <c r="P157" i="1"/>
  <c r="P246" i="1"/>
  <c r="P69" i="1"/>
  <c r="P234" i="1"/>
  <c r="P240" i="1"/>
  <c r="P42" i="1"/>
  <c r="P58" i="1"/>
  <c r="P198" i="1"/>
  <c r="P141" i="1"/>
  <c r="P315" i="1"/>
  <c r="P128" i="1"/>
  <c r="P83" i="1"/>
  <c r="P236" i="1"/>
  <c r="P85" i="1"/>
  <c r="P182" i="1"/>
  <c r="P3" i="1"/>
  <c r="P205" i="1"/>
  <c r="P230" i="1"/>
  <c r="P314" i="1"/>
  <c r="P126" i="1"/>
  <c r="P284" i="1"/>
  <c r="P227" i="1"/>
  <c r="P180" i="1"/>
  <c r="P36" i="1"/>
  <c r="P223" i="1"/>
  <c r="P247" i="1"/>
  <c r="P175" i="1"/>
  <c r="P49" i="1"/>
  <c r="P131" i="1"/>
  <c r="P160" i="1"/>
  <c r="P245" i="1"/>
  <c r="P300" i="1"/>
  <c r="P152" i="1"/>
  <c r="P172" i="1"/>
  <c r="P68" i="1"/>
  <c r="P91" i="1"/>
  <c r="P6" i="1"/>
  <c r="P90" i="1"/>
  <c r="P72" i="1"/>
  <c r="P262" i="1"/>
  <c r="P52" i="1"/>
  <c r="P134" i="1"/>
  <c r="P248" i="1"/>
  <c r="P285" i="1"/>
  <c r="P113" i="1"/>
  <c r="P87" i="1"/>
  <c r="P38" i="1"/>
  <c r="P301" i="1"/>
  <c r="P252" i="1"/>
  <c r="P64" i="1"/>
  <c r="P293" i="1"/>
  <c r="P44" i="1"/>
  <c r="P244" i="1"/>
  <c r="P206" i="1"/>
  <c r="P174" i="1"/>
  <c r="P31" i="1"/>
  <c r="P312" i="1"/>
  <c r="P321" i="1"/>
  <c r="P2" i="1"/>
  <c r="P118" i="1"/>
  <c r="P133" i="1"/>
  <c r="P268" i="1"/>
  <c r="P167" i="1"/>
  <c r="P281" i="1"/>
  <c r="P138" i="1"/>
  <c r="P228" i="1"/>
  <c r="P225" i="1"/>
  <c r="P93" i="1"/>
  <c r="P204" i="1"/>
  <c r="P188" i="1"/>
  <c r="P98" i="1"/>
  <c r="P239" i="1"/>
  <c r="P286" i="1"/>
  <c r="P208" i="1"/>
  <c r="P41" i="1"/>
  <c r="P10" i="1"/>
  <c r="P303" i="1"/>
  <c r="P250" i="1"/>
  <c r="P231" i="1"/>
  <c r="P92" i="1"/>
  <c r="P317" i="1"/>
  <c r="P142" i="1"/>
  <c r="P114" i="1"/>
  <c r="P282" i="1"/>
  <c r="P54" i="1"/>
  <c r="P17" i="1"/>
  <c r="P102" i="1"/>
  <c r="P214" i="1"/>
  <c r="P164" i="1"/>
  <c r="P104" i="1"/>
  <c r="P241" i="1"/>
  <c r="P103" i="1"/>
  <c r="P217" i="1"/>
  <c r="P127" i="1"/>
  <c r="P18" i="1"/>
  <c r="P264" i="1"/>
  <c r="P120" i="1"/>
  <c r="P311" i="1"/>
  <c r="P154" i="1"/>
  <c r="P186" i="1"/>
  <c r="P224" i="1"/>
  <c r="P65" i="1"/>
  <c r="P150" i="1"/>
  <c r="P96" i="1"/>
  <c r="P203" i="1"/>
  <c r="P81" i="1"/>
  <c r="P28" i="1"/>
  <c r="P169" i="1"/>
  <c r="P191" i="1"/>
  <c r="P297" i="1"/>
  <c r="P279" i="1"/>
  <c r="P74" i="1"/>
  <c r="P135" i="1"/>
  <c r="P181" i="1"/>
  <c r="P288" i="1"/>
  <c r="P79" i="1"/>
  <c r="P207" i="1"/>
  <c r="P298" i="1"/>
  <c r="P249" i="1"/>
  <c r="P40" i="1"/>
  <c r="P179" i="1"/>
  <c r="P263" i="1"/>
  <c r="P307" i="1"/>
  <c r="P178" i="1"/>
  <c r="P136" i="1"/>
  <c r="P166" i="1"/>
  <c r="P100" i="1"/>
  <c r="P60" i="1"/>
  <c r="P211" i="1"/>
  <c r="P265" i="1"/>
  <c r="P139" i="1"/>
  <c r="P9" i="1"/>
  <c r="P80" i="1"/>
  <c r="P267" i="1"/>
  <c r="P70" i="1"/>
  <c r="P101" i="1"/>
  <c r="P278" i="1"/>
  <c r="P76" i="1"/>
  <c r="P177" i="1"/>
  <c r="P295" i="1"/>
  <c r="P185" i="1"/>
  <c r="P308" i="1"/>
  <c r="P5" i="1"/>
  <c r="P24" i="1"/>
  <c r="P50" i="1"/>
  <c r="P210" i="1"/>
  <c r="P149" i="1"/>
  <c r="P229" i="1"/>
  <c r="P305" i="1"/>
  <c r="P144" i="1"/>
  <c r="P39" i="1"/>
  <c r="P226" i="1"/>
  <c r="P290" i="1"/>
  <c r="P122" i="1"/>
  <c r="P132" i="1"/>
  <c r="P129" i="1"/>
  <c r="P176" i="1"/>
  <c r="P115" i="1"/>
  <c r="P8" i="1"/>
  <c r="P192" i="1"/>
  <c r="P235" i="1"/>
  <c r="P29" i="1"/>
  <c r="P291" i="1"/>
  <c r="P37" i="1"/>
  <c r="P220" i="1"/>
  <c r="P45" i="1"/>
  <c r="P67" i="1"/>
  <c r="P56" i="1"/>
  <c r="P14" i="1"/>
  <c r="P196" i="1"/>
  <c r="P43" i="1"/>
  <c r="P200" i="1"/>
  <c r="P170" i="1"/>
  <c r="P261" i="1"/>
  <c r="P53" i="1"/>
  <c r="P161" i="1"/>
  <c r="P242" i="1"/>
  <c r="P111" i="1"/>
  <c r="P143" i="1"/>
  <c r="P15" i="1"/>
  <c r="P107" i="1"/>
  <c r="P123" i="1"/>
  <c r="P306" i="1"/>
  <c r="P82" i="1"/>
  <c r="P310" i="1"/>
  <c r="P89" i="1"/>
  <c r="P25" i="1"/>
  <c r="P287" i="1"/>
  <c r="P12" i="1"/>
  <c r="P313" i="1"/>
  <c r="P147" i="1"/>
  <c r="P276" i="1"/>
  <c r="P219" i="1"/>
  <c r="P190" i="1"/>
  <c r="P158" i="1"/>
  <c r="P78" i="1"/>
</calcChain>
</file>

<file path=xl/sharedStrings.xml><?xml version="1.0" encoding="utf-8"?>
<sst xmlns="http://schemas.openxmlformats.org/spreadsheetml/2006/main" count="105" uniqueCount="19">
  <si>
    <t>Time (s)</t>
  </si>
  <si>
    <t>Image #</t>
  </si>
  <si>
    <t>Markers</t>
  </si>
  <si>
    <t>Slope of linear trendline</t>
  </si>
  <si>
    <r>
      <t>R</t>
    </r>
    <r>
      <rPr>
        <b/>
        <vertAlign val="subscript"/>
        <sz val="10"/>
        <rFont val="Arial"/>
        <family val="2"/>
      </rPr>
      <t>0</t>
    </r>
  </si>
  <si>
    <r>
      <rPr>
        <b/>
        <sz val="10"/>
        <rFont val="Symbol"/>
        <family val="1"/>
      </rPr>
      <t>D</t>
    </r>
    <r>
      <rPr>
        <b/>
        <sz val="10"/>
        <rFont val="Arial"/>
        <family val="2"/>
      </rPr>
      <t>R/R</t>
    </r>
    <r>
      <rPr>
        <b/>
        <vertAlign val="subscript"/>
        <sz val="10"/>
        <rFont val="Arial"/>
        <family val="2"/>
      </rPr>
      <t>0</t>
    </r>
  </si>
  <si>
    <t>21% O2</t>
  </si>
  <si>
    <r>
      <t>R</t>
    </r>
    <r>
      <rPr>
        <b/>
        <vertAlign val="superscript"/>
        <sz val="10"/>
        <rFont val="Arial"/>
        <family val="2"/>
      </rPr>
      <t>2</t>
    </r>
  </si>
  <si>
    <t>For baseline correction:</t>
  </si>
  <si>
    <t>For O2 pulse line:</t>
  </si>
  <si>
    <t>R1_DensMeanChannel0::R1_mScarlet</t>
  </si>
  <si>
    <t>R1_DensMeanChannel1::R1_eGFP</t>
  </si>
  <si>
    <t>R2_DensMeanChannel0::R2_mScarlet</t>
  </si>
  <si>
    <t>R2_DensMeanChannel1::R2_eGFP</t>
  </si>
  <si>
    <t>GFP</t>
  </si>
  <si>
    <t>mScarlet</t>
  </si>
  <si>
    <t>GFP/mScarlet ratio</t>
  </si>
  <si>
    <t>GFP/mScarlet, baseline-adjusted</t>
  </si>
  <si>
    <t>GFP adjust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</si>
</sst>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0"/>
      <name val="Symbol"/>
      <family val="1"/>
    </font>
    <font>
      <b/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/>
    <xf numFmtId="0" fontId="1" fillId="0" borderId="0" xfId="0" applyFont="1"/>
    <xf numFmtId="0" fontId="2" fillId="0" borderId="0" xfId="1" applyFont="1" applyAlignment="1">
      <alignment wrapText="1"/>
    </xf>
    <xf numFmtId="0" fontId="1" fillId="2" borderId="0" xfId="1" applyFill="1"/>
    <xf numFmtId="164" fontId="1" fillId="2" borderId="0" xfId="1" applyNumberFormat="1" applyFill="1"/>
    <xf numFmtId="2" fontId="1" fillId="2" borderId="0" xfId="1" applyNumberFormat="1" applyFill="1"/>
    <xf numFmtId="165" fontId="1" fillId="2" borderId="0" xfId="1" applyNumberFormat="1" applyFill="1"/>
    <xf numFmtId="0" fontId="1" fillId="0" borderId="0" xfId="1"/>
    <xf numFmtId="164" fontId="1" fillId="0" borderId="0" xfId="1" applyNumberFormat="1"/>
    <xf numFmtId="2" fontId="1" fillId="0" borderId="0" xfId="1" applyNumberFormat="1"/>
    <xf numFmtId="165" fontId="1" fillId="0" borderId="0" xfId="1" applyNumberFormat="1"/>
    <xf numFmtId="0" fontId="1" fillId="0" borderId="0" xfId="1" quotePrefix="1"/>
    <xf numFmtId="0" fontId="1" fillId="3" borderId="0" xfId="1" applyFill="1"/>
    <xf numFmtId="164" fontId="1" fillId="3" borderId="0" xfId="1" applyNumberFormat="1" applyFill="1"/>
    <xf numFmtId="2" fontId="1" fillId="3" borderId="0" xfId="1" applyNumberFormat="1" applyFill="1"/>
  </cellXfs>
  <cellStyles count="2">
    <cellStyle name="Normal" xfId="0" builtinId="0"/>
    <cellStyle name="Normal 2" xfId="1" xr:uid="{1D49C091-8A5D-49A2-90C3-7E5CC801D3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'240816E001'!$A$2:$A$321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'240816E001'!$J$2:$J$321</c:f>
              <c:numCache>
                <c:formatCode>0.0</c:formatCode>
                <c:ptCount val="320"/>
                <c:pt idx="0">
                  <c:v>486.95922809006004</c:v>
                </c:pt>
                <c:pt idx="1">
                  <c:v>495.16759381844997</c:v>
                </c:pt>
                <c:pt idx="2">
                  <c:v>506.61951619350998</c:v>
                </c:pt>
                <c:pt idx="3">
                  <c:v>517.77266666800995</c:v>
                </c:pt>
                <c:pt idx="4">
                  <c:v>517.29523338845001</c:v>
                </c:pt>
                <c:pt idx="5">
                  <c:v>506.22023688744997</c:v>
                </c:pt>
                <c:pt idx="6">
                  <c:v>624.09262678274001</c:v>
                </c:pt>
                <c:pt idx="7">
                  <c:v>690.88558766154006</c:v>
                </c:pt>
                <c:pt idx="8">
                  <c:v>1057.73802604087</c:v>
                </c:pt>
                <c:pt idx="9">
                  <c:v>1037.8749084362298</c:v>
                </c:pt>
                <c:pt idx="10">
                  <c:v>1023.7922286070401</c:v>
                </c:pt>
                <c:pt idx="11">
                  <c:v>1012.0915125301901</c:v>
                </c:pt>
                <c:pt idx="12">
                  <c:v>1004.70711914626</c:v>
                </c:pt>
                <c:pt idx="13">
                  <c:v>1013.6819075821901</c:v>
                </c:pt>
                <c:pt idx="14">
                  <c:v>1093.0962918616699</c:v>
                </c:pt>
                <c:pt idx="15">
                  <c:v>1084.3991372835601</c:v>
                </c:pt>
                <c:pt idx="16">
                  <c:v>1083.2226236148499</c:v>
                </c:pt>
                <c:pt idx="17">
                  <c:v>1061.7802238958</c:v>
                </c:pt>
                <c:pt idx="18">
                  <c:v>1039.4446508050801</c:v>
                </c:pt>
                <c:pt idx="19">
                  <c:v>1076.0663063863101</c:v>
                </c:pt>
                <c:pt idx="20">
                  <c:v>1069.6932028267699</c:v>
                </c:pt>
                <c:pt idx="21">
                  <c:v>1053.08706485578</c:v>
                </c:pt>
                <c:pt idx="22">
                  <c:v>1051.1261261260902</c:v>
                </c:pt>
                <c:pt idx="23">
                  <c:v>1059.5108507620298</c:v>
                </c:pt>
                <c:pt idx="24">
                  <c:v>1049.2632827949799</c:v>
                </c:pt>
                <c:pt idx="25">
                  <c:v>1051.2742893669399</c:v>
                </c:pt>
                <c:pt idx="26">
                  <c:v>1048.63921216117</c:v>
                </c:pt>
                <c:pt idx="27">
                  <c:v>1056.5035276961701</c:v>
                </c:pt>
                <c:pt idx="28">
                  <c:v>1064.9068736142299</c:v>
                </c:pt>
                <c:pt idx="29">
                  <c:v>1059.2795329697599</c:v>
                </c:pt>
                <c:pt idx="30">
                  <c:v>1057.0622001158599</c:v>
                </c:pt>
                <c:pt idx="31">
                  <c:v>1059.08110305427</c:v>
                </c:pt>
                <c:pt idx="32">
                  <c:v>1054.74002516934</c:v>
                </c:pt>
                <c:pt idx="33">
                  <c:v>1002.95255588184</c:v>
                </c:pt>
                <c:pt idx="34">
                  <c:v>1051.59658874154</c:v>
                </c:pt>
                <c:pt idx="35">
                  <c:v>1047.76880900742</c:v>
                </c:pt>
                <c:pt idx="36">
                  <c:v>1051.28015496986</c:v>
                </c:pt>
                <c:pt idx="37">
                  <c:v>1069.1800303629402</c:v>
                </c:pt>
                <c:pt idx="38">
                  <c:v>1068.3871536725501</c:v>
                </c:pt>
                <c:pt idx="39">
                  <c:v>1072.7500868940401</c:v>
                </c:pt>
                <c:pt idx="40">
                  <c:v>1043.43325143325</c:v>
                </c:pt>
                <c:pt idx="41">
                  <c:v>1044.4350320436999</c:v>
                </c:pt>
                <c:pt idx="42">
                  <c:v>1043.6429116444999</c:v>
                </c:pt>
                <c:pt idx="43">
                  <c:v>1013.2173284312801</c:v>
                </c:pt>
                <c:pt idx="44">
                  <c:v>1047.83368060572</c:v>
                </c:pt>
                <c:pt idx="45">
                  <c:v>1067.1484668344699</c:v>
                </c:pt>
                <c:pt idx="46">
                  <c:v>1038.8367563281899</c:v>
                </c:pt>
                <c:pt idx="47">
                  <c:v>1078.78868710028</c:v>
                </c:pt>
                <c:pt idx="48">
                  <c:v>1058.6324503355199</c:v>
                </c:pt>
                <c:pt idx="49">
                  <c:v>1063.80154327541</c:v>
                </c:pt>
                <c:pt idx="50">
                  <c:v>1073.95907868419</c:v>
                </c:pt>
                <c:pt idx="51">
                  <c:v>1082.04429207112</c:v>
                </c:pt>
                <c:pt idx="52">
                  <c:v>1081.8989094216799</c:v>
                </c:pt>
                <c:pt idx="53">
                  <c:v>1073.87213849917</c:v>
                </c:pt>
                <c:pt idx="54">
                  <c:v>1071.8793467734999</c:v>
                </c:pt>
                <c:pt idx="55">
                  <c:v>1062.4296686381799</c:v>
                </c:pt>
                <c:pt idx="56">
                  <c:v>1064.44640813453</c:v>
                </c:pt>
                <c:pt idx="57">
                  <c:v>1055.8124067952799</c:v>
                </c:pt>
                <c:pt idx="58">
                  <c:v>1067.3672007193102</c:v>
                </c:pt>
                <c:pt idx="59">
                  <c:v>1036.67235561856</c:v>
                </c:pt>
                <c:pt idx="60">
                  <c:v>1034.65903734367</c:v>
                </c:pt>
                <c:pt idx="61">
                  <c:v>1016.95242786686</c:v>
                </c:pt>
                <c:pt idx="62">
                  <c:v>1051.1338996253698</c:v>
                </c:pt>
                <c:pt idx="63">
                  <c:v>1003.4174561314099</c:v>
                </c:pt>
                <c:pt idx="64">
                  <c:v>1083.09225273282</c:v>
                </c:pt>
                <c:pt idx="65">
                  <c:v>1088.12940212941</c:v>
                </c:pt>
                <c:pt idx="66">
                  <c:v>1082.9983619984</c:v>
                </c:pt>
                <c:pt idx="67">
                  <c:v>1035.14414414418</c:v>
                </c:pt>
                <c:pt idx="68">
                  <c:v>1077.9792631953699</c:v>
                </c:pt>
                <c:pt idx="69">
                  <c:v>1058.4403142218</c:v>
                </c:pt>
                <c:pt idx="70">
                  <c:v>1057.1987468686302</c:v>
                </c:pt>
                <c:pt idx="71">
                  <c:v>1040.8073265530502</c:v>
                </c:pt>
                <c:pt idx="72">
                  <c:v>1048.06028459613</c:v>
                </c:pt>
                <c:pt idx="73">
                  <c:v>1043.8106099111599</c:v>
                </c:pt>
                <c:pt idx="74">
                  <c:v>1050.4398677277102</c:v>
                </c:pt>
                <c:pt idx="75">
                  <c:v>1045.54825843463</c:v>
                </c:pt>
                <c:pt idx="76">
                  <c:v>1056.530288656</c:v>
                </c:pt>
                <c:pt idx="77">
                  <c:v>1064.0549579635801</c:v>
                </c:pt>
                <c:pt idx="78">
                  <c:v>1067.0733243075701</c:v>
                </c:pt>
                <c:pt idx="79">
                  <c:v>1051.6077554362998</c:v>
                </c:pt>
                <c:pt idx="80">
                  <c:v>1066.8907987792099</c:v>
                </c:pt>
                <c:pt idx="81">
                  <c:v>1113.2506690735001</c:v>
                </c:pt>
                <c:pt idx="82">
                  <c:v>1139.1119236491199</c:v>
                </c:pt>
                <c:pt idx="83">
                  <c:v>1155.3251212622899</c:v>
                </c:pt>
                <c:pt idx="84">
                  <c:v>1177.4491654549199</c:v>
                </c:pt>
                <c:pt idx="85">
                  <c:v>1203.25601430748</c:v>
                </c:pt>
                <c:pt idx="86">
                  <c:v>1196.9406007120701</c:v>
                </c:pt>
                <c:pt idx="87">
                  <c:v>1203.3355783984798</c:v>
                </c:pt>
                <c:pt idx="88">
                  <c:v>1209.1991422220001</c:v>
                </c:pt>
                <c:pt idx="89">
                  <c:v>1200.2380905581299</c:v>
                </c:pt>
                <c:pt idx="90">
                  <c:v>1188.55997726854</c:v>
                </c:pt>
                <c:pt idx="91">
                  <c:v>1159.4238753781299</c:v>
                </c:pt>
                <c:pt idx="92">
                  <c:v>1138.1675038227099</c:v>
                </c:pt>
                <c:pt idx="93">
                  <c:v>1125.3065019789599</c:v>
                </c:pt>
                <c:pt idx="94">
                  <c:v>1117.41262713675</c:v>
                </c:pt>
                <c:pt idx="95">
                  <c:v>1107.6342132549198</c:v>
                </c:pt>
                <c:pt idx="96">
                  <c:v>1097.0962910962801</c:v>
                </c:pt>
                <c:pt idx="97">
                  <c:v>1093.61444830409</c:v>
                </c:pt>
                <c:pt idx="98">
                  <c:v>1060.28428809463</c:v>
                </c:pt>
                <c:pt idx="99">
                  <c:v>1043.43079443075</c:v>
                </c:pt>
                <c:pt idx="100">
                  <c:v>1047.72399672398</c:v>
                </c:pt>
                <c:pt idx="101">
                  <c:v>1057.8149058149502</c:v>
                </c:pt>
                <c:pt idx="102">
                  <c:v>1068.9831289839301</c:v>
                </c:pt>
                <c:pt idx="103">
                  <c:v>1059.45483471017</c:v>
                </c:pt>
                <c:pt idx="104">
                  <c:v>1047.2036232436201</c:v>
                </c:pt>
                <c:pt idx="105">
                  <c:v>1020.41976330476</c:v>
                </c:pt>
                <c:pt idx="106">
                  <c:v>1029.0476628987599</c:v>
                </c:pt>
                <c:pt idx="107">
                  <c:v>1036.5299927215099</c:v>
                </c:pt>
                <c:pt idx="108">
                  <c:v>1033.91054393178</c:v>
                </c:pt>
                <c:pt idx="109">
                  <c:v>1039.04011428476</c:v>
                </c:pt>
                <c:pt idx="110">
                  <c:v>1028.5383945171002</c:v>
                </c:pt>
                <c:pt idx="111">
                  <c:v>1028.9021616251198</c:v>
                </c:pt>
                <c:pt idx="112">
                  <c:v>1020.3176346987699</c:v>
                </c:pt>
                <c:pt idx="113">
                  <c:v>1016.35720989243</c:v>
                </c:pt>
                <c:pt idx="114">
                  <c:v>1005.57531182447</c:v>
                </c:pt>
                <c:pt idx="115">
                  <c:v>987.04680656809001</c:v>
                </c:pt>
                <c:pt idx="116">
                  <c:v>1001.99099099097</c:v>
                </c:pt>
                <c:pt idx="117">
                  <c:v>1007.45782145782</c:v>
                </c:pt>
                <c:pt idx="118">
                  <c:v>1011.7158067157799</c:v>
                </c:pt>
                <c:pt idx="119">
                  <c:v>1013.4127764128001</c:v>
                </c:pt>
                <c:pt idx="120">
                  <c:v>1019.6494676494801</c:v>
                </c:pt>
                <c:pt idx="121">
                  <c:v>1020.8969750675199</c:v>
                </c:pt>
                <c:pt idx="122">
                  <c:v>1023.98437990901</c:v>
                </c:pt>
                <c:pt idx="123">
                  <c:v>1030.0316416267099</c:v>
                </c:pt>
                <c:pt idx="124">
                  <c:v>1024.2784394677501</c:v>
                </c:pt>
                <c:pt idx="125">
                  <c:v>1024.0736879204399</c:v>
                </c:pt>
                <c:pt idx="126">
                  <c:v>1024.71275828739</c:v>
                </c:pt>
                <c:pt idx="127">
                  <c:v>1025.2492756542001</c:v>
                </c:pt>
                <c:pt idx="128">
                  <c:v>1017.5335723204701</c:v>
                </c:pt>
                <c:pt idx="129">
                  <c:v>1016.7117909265701</c:v>
                </c:pt>
                <c:pt idx="130">
                  <c:v>1028.92184077768</c:v>
                </c:pt>
                <c:pt idx="131">
                  <c:v>1030.39494980624</c:v>
                </c:pt>
                <c:pt idx="132">
                  <c:v>1030.7418680155299</c:v>
                </c:pt>
                <c:pt idx="133">
                  <c:v>1023.4382201271301</c:v>
                </c:pt>
                <c:pt idx="134">
                  <c:v>1018.5459927651001</c:v>
                </c:pt>
                <c:pt idx="135">
                  <c:v>1017.7837957886501</c:v>
                </c:pt>
                <c:pt idx="136">
                  <c:v>1014.9732190734201</c:v>
                </c:pt>
                <c:pt idx="137">
                  <c:v>1019.73724479586</c:v>
                </c:pt>
                <c:pt idx="138">
                  <c:v>1016.2317819004001</c:v>
                </c:pt>
                <c:pt idx="139">
                  <c:v>1009.28392784254</c:v>
                </c:pt>
                <c:pt idx="140">
                  <c:v>1017.6441841605201</c:v>
                </c:pt>
                <c:pt idx="141">
                  <c:v>1009.7241161060001</c:v>
                </c:pt>
                <c:pt idx="142">
                  <c:v>1009.7467400032699</c:v>
                </c:pt>
                <c:pt idx="143">
                  <c:v>1006.6259300461301</c:v>
                </c:pt>
                <c:pt idx="144">
                  <c:v>1036.2935429868398</c:v>
                </c:pt>
                <c:pt idx="145">
                  <c:v>997.84703656647014</c:v>
                </c:pt>
                <c:pt idx="146">
                  <c:v>942.04949343528995</c:v>
                </c:pt>
                <c:pt idx="147">
                  <c:v>996.17468900014001</c:v>
                </c:pt>
                <c:pt idx="148">
                  <c:v>1004.38249809943</c:v>
                </c:pt>
                <c:pt idx="149">
                  <c:v>999.32428758281003</c:v>
                </c:pt>
                <c:pt idx="150">
                  <c:v>968.12362169374001</c:v>
                </c:pt>
                <c:pt idx="151">
                  <c:v>992.95083173265994</c:v>
                </c:pt>
                <c:pt idx="152">
                  <c:v>984.02474605267992</c:v>
                </c:pt>
                <c:pt idx="153">
                  <c:v>972.03102399112004</c:v>
                </c:pt>
                <c:pt idx="154">
                  <c:v>975.02326682624005</c:v>
                </c:pt>
                <c:pt idx="155">
                  <c:v>968.24299514200004</c:v>
                </c:pt>
                <c:pt idx="156">
                  <c:v>966.69679762680005</c:v>
                </c:pt>
                <c:pt idx="157">
                  <c:v>964.94869039899004</c:v>
                </c:pt>
                <c:pt idx="158">
                  <c:v>965.14019555738992</c:v>
                </c:pt>
                <c:pt idx="159">
                  <c:v>963.73280382427015</c:v>
                </c:pt>
                <c:pt idx="160">
                  <c:v>966.01857092714999</c:v>
                </c:pt>
                <c:pt idx="161">
                  <c:v>963.99736582597995</c:v>
                </c:pt>
                <c:pt idx="162">
                  <c:v>962.94418137751006</c:v>
                </c:pt>
                <c:pt idx="163">
                  <c:v>970.3933942863099</c:v>
                </c:pt>
                <c:pt idx="164">
                  <c:v>969.63083755727007</c:v>
                </c:pt>
                <c:pt idx="165">
                  <c:v>971.35430323653009</c:v>
                </c:pt>
                <c:pt idx="166">
                  <c:v>973.45000244429002</c:v>
                </c:pt>
                <c:pt idx="167">
                  <c:v>977.16869474844009</c:v>
                </c:pt>
                <c:pt idx="168">
                  <c:v>976.54975513687009</c:v>
                </c:pt>
                <c:pt idx="169">
                  <c:v>972.04726699496996</c:v>
                </c:pt>
                <c:pt idx="170">
                  <c:v>975.18542433018001</c:v>
                </c:pt>
                <c:pt idx="171">
                  <c:v>972.95856311223997</c:v>
                </c:pt>
                <c:pt idx="172">
                  <c:v>970.85351202690003</c:v>
                </c:pt>
                <c:pt idx="173">
                  <c:v>966.30898095005011</c:v>
                </c:pt>
                <c:pt idx="174">
                  <c:v>967.81764541617008</c:v>
                </c:pt>
                <c:pt idx="175">
                  <c:v>966.59926818960014</c:v>
                </c:pt>
                <c:pt idx="176">
                  <c:v>961.75955127060001</c:v>
                </c:pt>
                <c:pt idx="177">
                  <c:v>962.17297725878996</c:v>
                </c:pt>
                <c:pt idx="178">
                  <c:v>961.20167711015006</c:v>
                </c:pt>
                <c:pt idx="179">
                  <c:v>961.34742309391993</c:v>
                </c:pt>
                <c:pt idx="180">
                  <c:v>962.57766679193992</c:v>
                </c:pt>
                <c:pt idx="181">
                  <c:v>963.21331723459014</c:v>
                </c:pt>
                <c:pt idx="182">
                  <c:v>957.01465495821003</c:v>
                </c:pt>
                <c:pt idx="183">
                  <c:v>942.99748808495997</c:v>
                </c:pt>
                <c:pt idx="184">
                  <c:v>927.61378452714007</c:v>
                </c:pt>
                <c:pt idx="185">
                  <c:v>962.77379920031012</c:v>
                </c:pt>
                <c:pt idx="186">
                  <c:v>957.65752316492001</c:v>
                </c:pt>
                <c:pt idx="187">
                  <c:v>962.95681175825996</c:v>
                </c:pt>
                <c:pt idx="188">
                  <c:v>964.50215991393998</c:v>
                </c:pt>
                <c:pt idx="189">
                  <c:v>963.22657416772995</c:v>
                </c:pt>
                <c:pt idx="190">
                  <c:v>969.75631714605993</c:v>
                </c:pt>
                <c:pt idx="191">
                  <c:v>960.23297963741993</c:v>
                </c:pt>
                <c:pt idx="192">
                  <c:v>951.71641695168</c:v>
                </c:pt>
                <c:pt idx="193">
                  <c:v>965.62334921189995</c:v>
                </c:pt>
                <c:pt idx="194">
                  <c:v>962.90046432329996</c:v>
                </c:pt>
                <c:pt idx="195">
                  <c:v>952.33988935130992</c:v>
                </c:pt>
                <c:pt idx="196">
                  <c:v>942.25781878349994</c:v>
                </c:pt>
                <c:pt idx="197">
                  <c:v>916.14734386789996</c:v>
                </c:pt>
                <c:pt idx="198">
                  <c:v>926.37960687961004</c:v>
                </c:pt>
                <c:pt idx="199">
                  <c:v>924.63827865299004</c:v>
                </c:pt>
                <c:pt idx="200">
                  <c:v>924.57401117698987</c:v>
                </c:pt>
                <c:pt idx="201">
                  <c:v>935.38847537379002</c:v>
                </c:pt>
                <c:pt idx="202">
                  <c:v>927.48478826418</c:v>
                </c:pt>
                <c:pt idx="203">
                  <c:v>918.35133930720008</c:v>
                </c:pt>
                <c:pt idx="204">
                  <c:v>907.35642594462001</c:v>
                </c:pt>
                <c:pt idx="205">
                  <c:v>901.89481861546005</c:v>
                </c:pt>
                <c:pt idx="206">
                  <c:v>916.31999646709005</c:v>
                </c:pt>
                <c:pt idx="207">
                  <c:v>924.97607433635994</c:v>
                </c:pt>
                <c:pt idx="208">
                  <c:v>920.5711486887601</c:v>
                </c:pt>
                <c:pt idx="209">
                  <c:v>917.13436029613013</c:v>
                </c:pt>
                <c:pt idx="210">
                  <c:v>915.91867000685988</c:v>
                </c:pt>
                <c:pt idx="211">
                  <c:v>919.14995744403996</c:v>
                </c:pt>
                <c:pt idx="212">
                  <c:v>915.94498040816995</c:v>
                </c:pt>
                <c:pt idx="213">
                  <c:v>948.21607915615004</c:v>
                </c:pt>
                <c:pt idx="214">
                  <c:v>925.81051384740999</c:v>
                </c:pt>
                <c:pt idx="215">
                  <c:v>912.72321201635009</c:v>
                </c:pt>
                <c:pt idx="216">
                  <c:v>927.72780527948998</c:v>
                </c:pt>
                <c:pt idx="217">
                  <c:v>941.06770429053995</c:v>
                </c:pt>
                <c:pt idx="218">
                  <c:v>937.74641394637013</c:v>
                </c:pt>
                <c:pt idx="219">
                  <c:v>953.99426699429</c:v>
                </c:pt>
                <c:pt idx="220">
                  <c:v>951.50696150695001</c:v>
                </c:pt>
                <c:pt idx="221">
                  <c:v>940.36936936933989</c:v>
                </c:pt>
                <c:pt idx="222">
                  <c:v>947.12366912364996</c:v>
                </c:pt>
                <c:pt idx="223">
                  <c:v>941.0728910728501</c:v>
                </c:pt>
                <c:pt idx="224">
                  <c:v>947.52907452912007</c:v>
                </c:pt>
                <c:pt idx="225">
                  <c:v>938.23177723180015</c:v>
                </c:pt>
                <c:pt idx="226">
                  <c:v>901.45126945124002</c:v>
                </c:pt>
                <c:pt idx="227">
                  <c:v>941.3423423423601</c:v>
                </c:pt>
                <c:pt idx="228">
                  <c:v>949.65683865685992</c:v>
                </c:pt>
                <c:pt idx="229">
                  <c:v>935.04914004914986</c:v>
                </c:pt>
                <c:pt idx="230">
                  <c:v>933.43033073184006</c:v>
                </c:pt>
                <c:pt idx="231">
                  <c:v>887.15841443052</c:v>
                </c:pt>
                <c:pt idx="232">
                  <c:v>914.24084646141989</c:v>
                </c:pt>
                <c:pt idx="233">
                  <c:v>890.30730998381</c:v>
                </c:pt>
                <c:pt idx="234">
                  <c:v>908.37801504717004</c:v>
                </c:pt>
                <c:pt idx="235">
                  <c:v>955.14269829529007</c:v>
                </c:pt>
                <c:pt idx="236">
                  <c:v>966.26992556844993</c:v>
                </c:pt>
                <c:pt idx="237">
                  <c:v>961.89451456496988</c:v>
                </c:pt>
                <c:pt idx="238">
                  <c:v>967.98063457199999</c:v>
                </c:pt>
                <c:pt idx="239">
                  <c:v>998.57617308843987</c:v>
                </c:pt>
                <c:pt idx="240">
                  <c:v>997.87863727324998</c:v>
                </c:pt>
                <c:pt idx="241">
                  <c:v>983.74585318359004</c:v>
                </c:pt>
                <c:pt idx="242">
                  <c:v>987.79258050888006</c:v>
                </c:pt>
                <c:pt idx="243">
                  <c:v>934.84402420710001</c:v>
                </c:pt>
                <c:pt idx="244">
                  <c:v>987.79309882993005</c:v>
                </c:pt>
                <c:pt idx="245">
                  <c:v>979.01526665582992</c:v>
                </c:pt>
                <c:pt idx="246">
                  <c:v>958.9863488702299</c:v>
                </c:pt>
                <c:pt idx="247">
                  <c:v>924.50278882166003</c:v>
                </c:pt>
                <c:pt idx="248">
                  <c:v>959.05007263403002</c:v>
                </c:pt>
                <c:pt idx="249">
                  <c:v>961.02401206776995</c:v>
                </c:pt>
                <c:pt idx="250">
                  <c:v>962.1977877014499</c:v>
                </c:pt>
                <c:pt idx="251">
                  <c:v>956.66692571798001</c:v>
                </c:pt>
                <c:pt idx="252">
                  <c:v>978.4910836516799</c:v>
                </c:pt>
                <c:pt idx="253">
                  <c:v>959.83154288993012</c:v>
                </c:pt>
                <c:pt idx="254">
                  <c:v>956.32916459925991</c:v>
                </c:pt>
                <c:pt idx="255">
                  <c:v>952.20555127129001</c:v>
                </c:pt>
                <c:pt idx="256">
                  <c:v>959.44998615074007</c:v>
                </c:pt>
                <c:pt idx="257">
                  <c:v>951.96259896263996</c:v>
                </c:pt>
                <c:pt idx="258">
                  <c:v>968.16611568438998</c:v>
                </c:pt>
                <c:pt idx="259">
                  <c:v>967.63257949387992</c:v>
                </c:pt>
                <c:pt idx="260">
                  <c:v>936.23993734942997</c:v>
                </c:pt>
                <c:pt idx="261">
                  <c:v>953.60854152093998</c:v>
                </c:pt>
                <c:pt idx="262">
                  <c:v>960.76753130041004</c:v>
                </c:pt>
                <c:pt idx="263">
                  <c:v>979.45054410751004</c:v>
                </c:pt>
                <c:pt idx="264">
                  <c:v>992.72570096839002</c:v>
                </c:pt>
                <c:pt idx="265">
                  <c:v>977.13133721959002</c:v>
                </c:pt>
                <c:pt idx="266">
                  <c:v>990.49448872379992</c:v>
                </c:pt>
                <c:pt idx="267">
                  <c:v>982.76460118655996</c:v>
                </c:pt>
                <c:pt idx="268">
                  <c:v>994.20985397812001</c:v>
                </c:pt>
                <c:pt idx="269">
                  <c:v>992.52138590919992</c:v>
                </c:pt>
                <c:pt idx="270">
                  <c:v>1002.65250355478</c:v>
                </c:pt>
                <c:pt idx="271">
                  <c:v>980.67472429762006</c:v>
                </c:pt>
                <c:pt idx="272">
                  <c:v>980.86325293750997</c:v>
                </c:pt>
                <c:pt idx="273">
                  <c:v>955.59104313965997</c:v>
                </c:pt>
                <c:pt idx="274">
                  <c:v>978.51442745161012</c:v>
                </c:pt>
                <c:pt idx="275">
                  <c:v>977.91281485564991</c:v>
                </c:pt>
                <c:pt idx="276">
                  <c:v>933.55574387005993</c:v>
                </c:pt>
                <c:pt idx="277">
                  <c:v>996.80625649764988</c:v>
                </c:pt>
                <c:pt idx="278">
                  <c:v>987.76424275854004</c:v>
                </c:pt>
                <c:pt idx="279">
                  <c:v>986.50153871872999</c:v>
                </c:pt>
                <c:pt idx="280">
                  <c:v>985.60753748185004</c:v>
                </c:pt>
                <c:pt idx="281">
                  <c:v>993.35971251395995</c:v>
                </c:pt>
                <c:pt idx="282">
                  <c:v>981.49482826054998</c:v>
                </c:pt>
                <c:pt idx="283">
                  <c:v>993.63932674791999</c:v>
                </c:pt>
                <c:pt idx="284">
                  <c:v>987.09072322788984</c:v>
                </c:pt>
                <c:pt idx="285">
                  <c:v>978.40933928366007</c:v>
                </c:pt>
                <c:pt idx="286">
                  <c:v>988.10598672883998</c:v>
                </c:pt>
                <c:pt idx="287">
                  <c:v>967.0609557237899</c:v>
                </c:pt>
                <c:pt idx="288">
                  <c:v>984.43166180572985</c:v>
                </c:pt>
                <c:pt idx="289">
                  <c:v>983.27941432366993</c:v>
                </c:pt>
                <c:pt idx="290">
                  <c:v>973.46619443429995</c:v>
                </c:pt>
                <c:pt idx="291">
                  <c:v>975.26270254209999</c:v>
                </c:pt>
                <c:pt idx="292">
                  <c:v>972.61566981418002</c:v>
                </c:pt>
                <c:pt idx="293">
                  <c:v>962.48075749548991</c:v>
                </c:pt>
                <c:pt idx="294">
                  <c:v>953.79757230489986</c:v>
                </c:pt>
                <c:pt idx="295">
                  <c:v>975.86857990630995</c:v>
                </c:pt>
                <c:pt idx="296">
                  <c:v>974.71646594435003</c:v>
                </c:pt>
                <c:pt idx="297">
                  <c:v>996.76440410184</c:v>
                </c:pt>
                <c:pt idx="298">
                  <c:v>995.23540967058</c:v>
                </c:pt>
                <c:pt idx="299">
                  <c:v>955.52200188629013</c:v>
                </c:pt>
                <c:pt idx="300">
                  <c:v>991.76156780154008</c:v>
                </c:pt>
                <c:pt idx="301">
                  <c:v>978.96954119239012</c:v>
                </c:pt>
                <c:pt idx="302">
                  <c:v>966.03882264453</c:v>
                </c:pt>
                <c:pt idx="303">
                  <c:v>971.22499324227988</c:v>
                </c:pt>
                <c:pt idx="304">
                  <c:v>973.51429216950987</c:v>
                </c:pt>
                <c:pt idx="305">
                  <c:v>968.05724936755996</c:v>
                </c:pt>
                <c:pt idx="306">
                  <c:v>981.73051387945998</c:v>
                </c:pt>
                <c:pt idx="307">
                  <c:v>1001.30547658208</c:v>
                </c:pt>
                <c:pt idx="308">
                  <c:v>992.94212505371001</c:v>
                </c:pt>
                <c:pt idx="309">
                  <c:v>1011.7460897379701</c:v>
                </c:pt>
                <c:pt idx="310">
                  <c:v>982.56785301735988</c:v>
                </c:pt>
                <c:pt idx="311">
                  <c:v>991.56782694022013</c:v>
                </c:pt>
                <c:pt idx="312">
                  <c:v>955.17801663079001</c:v>
                </c:pt>
                <c:pt idx="313">
                  <c:v>939.53007404438006</c:v>
                </c:pt>
                <c:pt idx="314">
                  <c:v>928.27981102855995</c:v>
                </c:pt>
                <c:pt idx="315">
                  <c:v>952.8345618346101</c:v>
                </c:pt>
                <c:pt idx="316">
                  <c:v>956.74997791912006</c:v>
                </c:pt>
                <c:pt idx="317">
                  <c:v>971.64961063891985</c:v>
                </c:pt>
                <c:pt idx="318">
                  <c:v>907.27578241435003</c:v>
                </c:pt>
                <c:pt idx="319">
                  <c:v>904.64401968809989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FD-4FB3-8BB3-55D8E273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6-4070-A8B2-8F61A25880E1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'240816E001'!$A$2:$A$321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'240816E001'!$P$2:$P$321</c:f>
              <c:numCache>
                <c:formatCode>General</c:formatCode>
                <c:ptCount val="320"/>
                <c:pt idx="0">
                  <c:v>216.6538324198369</c:v>
                </c:pt>
                <c:pt idx="1">
                  <c:v>225.05990212656019</c:v>
                </c:pt>
                <c:pt idx="2">
                  <c:v>239.78752957619815</c:v>
                </c:pt>
                <c:pt idx="3">
                  <c:v>245.24991665770565</c:v>
                </c:pt>
                <c:pt idx="4">
                  <c:v>236.80354045255348</c:v>
                </c:pt>
                <c:pt idx="5">
                  <c:v>194.49049333029663</c:v>
                </c:pt>
                <c:pt idx="6">
                  <c:v>157.46705971079282</c:v>
                </c:pt>
                <c:pt idx="7">
                  <c:v>134.75853542239614</c:v>
                </c:pt>
                <c:pt idx="8">
                  <c:v>113.59198450405997</c:v>
                </c:pt>
                <c:pt idx="9">
                  <c:v>106.80216542105279</c:v>
                </c:pt>
                <c:pt idx="10">
                  <c:v>96.114995131788291</c:v>
                </c:pt>
                <c:pt idx="11">
                  <c:v>89.220511033961387</c:v>
                </c:pt>
                <c:pt idx="12">
                  <c:v>88.931784391303438</c:v>
                </c:pt>
                <c:pt idx="13">
                  <c:v>83.37711485843397</c:v>
                </c:pt>
                <c:pt idx="14">
                  <c:v>77.51942015232413</c:v>
                </c:pt>
                <c:pt idx="15">
                  <c:v>72.497343162346468</c:v>
                </c:pt>
                <c:pt idx="16">
                  <c:v>69.087980852341985</c:v>
                </c:pt>
                <c:pt idx="17">
                  <c:v>64.018716399417258</c:v>
                </c:pt>
                <c:pt idx="18">
                  <c:v>60.00914345053625</c:v>
                </c:pt>
                <c:pt idx="19">
                  <c:v>51.742992544464151</c:v>
                </c:pt>
                <c:pt idx="20">
                  <c:v>47.55845301499788</c:v>
                </c:pt>
                <c:pt idx="21">
                  <c:v>45.782905220945516</c:v>
                </c:pt>
                <c:pt idx="22">
                  <c:v>41.714824750421378</c:v>
                </c:pt>
                <c:pt idx="23">
                  <c:v>38.092118016012158</c:v>
                </c:pt>
                <c:pt idx="24">
                  <c:v>34.989451293497723</c:v>
                </c:pt>
                <c:pt idx="25">
                  <c:v>31.967351372596394</c:v>
                </c:pt>
                <c:pt idx="26">
                  <c:v>30.838799214453509</c:v>
                </c:pt>
                <c:pt idx="27">
                  <c:v>27.493226060665201</c:v>
                </c:pt>
                <c:pt idx="28">
                  <c:v>23.89300558963917</c:v>
                </c:pt>
                <c:pt idx="29">
                  <c:v>22.686784066715919</c:v>
                </c:pt>
                <c:pt idx="30">
                  <c:v>19.098003024433776</c:v>
                </c:pt>
                <c:pt idx="31">
                  <c:v>16.442175788829836</c:v>
                </c:pt>
                <c:pt idx="32">
                  <c:v>15.484662828305998</c:v>
                </c:pt>
                <c:pt idx="33">
                  <c:v>16.980333838480842</c:v>
                </c:pt>
                <c:pt idx="34">
                  <c:v>13.02439764068796</c:v>
                </c:pt>
                <c:pt idx="35">
                  <c:v>11.740124925589134</c:v>
                </c:pt>
                <c:pt idx="36">
                  <c:v>9.7775070913928399</c:v>
                </c:pt>
                <c:pt idx="37">
                  <c:v>8.5555800793454075</c:v>
                </c:pt>
                <c:pt idx="38">
                  <c:v>7.4946167936711312</c:v>
                </c:pt>
                <c:pt idx="39">
                  <c:v>6.4397430156694844</c:v>
                </c:pt>
                <c:pt idx="40">
                  <c:v>7.9675750634555635</c:v>
                </c:pt>
                <c:pt idx="41">
                  <c:v>7.0140991326808457</c:v>
                </c:pt>
                <c:pt idx="42">
                  <c:v>6.3988721219667379</c:v>
                </c:pt>
                <c:pt idx="43">
                  <c:v>8.3320478761272234</c:v>
                </c:pt>
                <c:pt idx="44">
                  <c:v>5.1838926406719779</c:v>
                </c:pt>
                <c:pt idx="45">
                  <c:v>2.8550398174366052</c:v>
                </c:pt>
                <c:pt idx="46">
                  <c:v>2.5167676241870951</c:v>
                </c:pt>
                <c:pt idx="47">
                  <c:v>-0.13558865534432385</c:v>
                </c:pt>
                <c:pt idx="48">
                  <c:v>-1.267672654264751</c:v>
                </c:pt>
                <c:pt idx="49">
                  <c:v>-1.5864340598521049</c:v>
                </c:pt>
                <c:pt idx="50">
                  <c:v>-0.11078310212125188</c:v>
                </c:pt>
                <c:pt idx="51">
                  <c:v>-0.23262462494875008</c:v>
                </c:pt>
                <c:pt idx="52">
                  <c:v>-0.6128854843938123</c:v>
                </c:pt>
                <c:pt idx="53">
                  <c:v>-1.5028033377866803</c:v>
                </c:pt>
                <c:pt idx="54">
                  <c:v>-1.2203158246208303</c:v>
                </c:pt>
                <c:pt idx="55">
                  <c:v>-0.89119401909836338</c:v>
                </c:pt>
                <c:pt idx="56">
                  <c:v>0.36265337027979355</c:v>
                </c:pt>
                <c:pt idx="57">
                  <c:v>-0.27327856544958162</c:v>
                </c:pt>
                <c:pt idx="58">
                  <c:v>-1.4205655097236298</c:v>
                </c:pt>
                <c:pt idx="59">
                  <c:v>-2.7181673260763803</c:v>
                </c:pt>
                <c:pt idx="60">
                  <c:v>-3.8076352714531034</c:v>
                </c:pt>
                <c:pt idx="61">
                  <c:v>-4.4118496848983719</c:v>
                </c:pt>
                <c:pt idx="62">
                  <c:v>-4.8819850019488884</c:v>
                </c:pt>
                <c:pt idx="63">
                  <c:v>-4.5251197368750811</c:v>
                </c:pt>
                <c:pt idx="64">
                  <c:v>-4.6742928885658914</c:v>
                </c:pt>
                <c:pt idx="65">
                  <c:v>1.8269275304863029</c:v>
                </c:pt>
                <c:pt idx="66">
                  <c:v>0.50713328576799666</c:v>
                </c:pt>
                <c:pt idx="67">
                  <c:v>-0.32414711793877649</c:v>
                </c:pt>
                <c:pt idx="68">
                  <c:v>-3.4526996326787747</c:v>
                </c:pt>
                <c:pt idx="69">
                  <c:v>-3.7047881564845633</c:v>
                </c:pt>
                <c:pt idx="70">
                  <c:v>-1.7921162404680124</c:v>
                </c:pt>
                <c:pt idx="71">
                  <c:v>-1.3005351621428023</c:v>
                </c:pt>
                <c:pt idx="72">
                  <c:v>-1.3026586338909441</c:v>
                </c:pt>
                <c:pt idx="73">
                  <c:v>-1.4971921359640834</c:v>
                </c:pt>
                <c:pt idx="74">
                  <c:v>3.5777545437268659</c:v>
                </c:pt>
                <c:pt idx="75">
                  <c:v>3.4629806969842103</c:v>
                </c:pt>
                <c:pt idx="76">
                  <c:v>4.4744131294643772</c:v>
                </c:pt>
                <c:pt idx="77">
                  <c:v>5.8826353181727766</c:v>
                </c:pt>
                <c:pt idx="78">
                  <c:v>7.4320107554632155</c:v>
                </c:pt>
                <c:pt idx="79">
                  <c:v>8.5111644032439795</c:v>
                </c:pt>
                <c:pt idx="80">
                  <c:v>21.86046820172535</c:v>
                </c:pt>
                <c:pt idx="81">
                  <c:v>87.505485566192675</c:v>
                </c:pt>
                <c:pt idx="82">
                  <c:v>128.6713306517957</c:v>
                </c:pt>
                <c:pt idx="83">
                  <c:v>161.01640081228928</c:v>
                </c:pt>
                <c:pt idx="84">
                  <c:v>177.69420877516623</c:v>
                </c:pt>
                <c:pt idx="85">
                  <c:v>191.29590777296696</c:v>
                </c:pt>
                <c:pt idx="86">
                  <c:v>197.37393051956903</c:v>
                </c:pt>
                <c:pt idx="87">
                  <c:v>197.82036958745945</c:v>
                </c:pt>
                <c:pt idx="88">
                  <c:v>191.02877817774115</c:v>
                </c:pt>
                <c:pt idx="89">
                  <c:v>184.35751471057694</c:v>
                </c:pt>
                <c:pt idx="90">
                  <c:v>177.42503953697607</c:v>
                </c:pt>
                <c:pt idx="91">
                  <c:v>168.2698413600794</c:v>
                </c:pt>
                <c:pt idx="92">
                  <c:v>158.16508806204158</c:v>
                </c:pt>
                <c:pt idx="93">
                  <c:v>151.8457559532651</c:v>
                </c:pt>
                <c:pt idx="94">
                  <c:v>145.19605146545479</c:v>
                </c:pt>
                <c:pt idx="95">
                  <c:v>138.59770604465837</c:v>
                </c:pt>
                <c:pt idx="96">
                  <c:v>131.86892847792851</c:v>
                </c:pt>
                <c:pt idx="97">
                  <c:v>126.02804464851538</c:v>
                </c:pt>
                <c:pt idx="98">
                  <c:v>120.80815489014032</c:v>
                </c:pt>
                <c:pt idx="99">
                  <c:v>115.98060772624208</c:v>
                </c:pt>
                <c:pt idx="100">
                  <c:v>111.52718264391879</c:v>
                </c:pt>
                <c:pt idx="101">
                  <c:v>104.28769537639531</c:v>
                </c:pt>
                <c:pt idx="102">
                  <c:v>100.35055894601328</c:v>
                </c:pt>
                <c:pt idx="103">
                  <c:v>95.365567695289315</c:v>
                </c:pt>
                <c:pt idx="104">
                  <c:v>91.08254705865383</c:v>
                </c:pt>
                <c:pt idx="105">
                  <c:v>87.331766280039645</c:v>
                </c:pt>
                <c:pt idx="106">
                  <c:v>83.249369843190308</c:v>
                </c:pt>
                <c:pt idx="107">
                  <c:v>80.894914115476297</c:v>
                </c:pt>
                <c:pt idx="108">
                  <c:v>76.95334898309855</c:v>
                </c:pt>
                <c:pt idx="109">
                  <c:v>73.386379336235493</c:v>
                </c:pt>
                <c:pt idx="110">
                  <c:v>70.373923808811114</c:v>
                </c:pt>
                <c:pt idx="111">
                  <c:v>66.426983807551267</c:v>
                </c:pt>
                <c:pt idx="112">
                  <c:v>63.350248332203265</c:v>
                </c:pt>
                <c:pt idx="113">
                  <c:v>60.735163006204814</c:v>
                </c:pt>
                <c:pt idx="114">
                  <c:v>58.892715884649697</c:v>
                </c:pt>
                <c:pt idx="115">
                  <c:v>57.034525791814517</c:v>
                </c:pt>
                <c:pt idx="116">
                  <c:v>55.653927690245965</c:v>
                </c:pt>
                <c:pt idx="117">
                  <c:v>52.668180882979009</c:v>
                </c:pt>
                <c:pt idx="118">
                  <c:v>50.695296980564933</c:v>
                </c:pt>
                <c:pt idx="119">
                  <c:v>47.636315540516058</c:v>
                </c:pt>
                <c:pt idx="120">
                  <c:v>46.335877101164662</c:v>
                </c:pt>
                <c:pt idx="121">
                  <c:v>44.052845957545564</c:v>
                </c:pt>
                <c:pt idx="122">
                  <c:v>41.895984201590153</c:v>
                </c:pt>
                <c:pt idx="123">
                  <c:v>39.998426604986129</c:v>
                </c:pt>
                <c:pt idx="124">
                  <c:v>38.832567475640637</c:v>
                </c:pt>
                <c:pt idx="125">
                  <c:v>36.77338190094742</c:v>
                </c:pt>
                <c:pt idx="126">
                  <c:v>34.93285507974042</c:v>
                </c:pt>
                <c:pt idx="127">
                  <c:v>33.369614824810668</c:v>
                </c:pt>
                <c:pt idx="128">
                  <c:v>32.397285760164984</c:v>
                </c:pt>
                <c:pt idx="129">
                  <c:v>29.651286609601417</c:v>
                </c:pt>
                <c:pt idx="130">
                  <c:v>29.782800007841519</c:v>
                </c:pt>
                <c:pt idx="131">
                  <c:v>29.485828645014529</c:v>
                </c:pt>
                <c:pt idx="132">
                  <c:v>28.401980112495405</c:v>
                </c:pt>
                <c:pt idx="133">
                  <c:v>26.48693990884367</c:v>
                </c:pt>
                <c:pt idx="134">
                  <c:v>28.127264709768429</c:v>
                </c:pt>
                <c:pt idx="135">
                  <c:v>26.534274949563468</c:v>
                </c:pt>
                <c:pt idx="136">
                  <c:v>25.822793645451675</c:v>
                </c:pt>
                <c:pt idx="137">
                  <c:v>25.381574064872993</c:v>
                </c:pt>
                <c:pt idx="138">
                  <c:v>24.22163983807679</c:v>
                </c:pt>
                <c:pt idx="139">
                  <c:v>22.287375054921853</c:v>
                </c:pt>
                <c:pt idx="140">
                  <c:v>21.451339668423923</c:v>
                </c:pt>
                <c:pt idx="141">
                  <c:v>21.720273251023407</c:v>
                </c:pt>
                <c:pt idx="142">
                  <c:v>21.342331706443886</c:v>
                </c:pt>
                <c:pt idx="143">
                  <c:v>21.451508537438887</c:v>
                </c:pt>
                <c:pt idx="144">
                  <c:v>21.013744998395939</c:v>
                </c:pt>
                <c:pt idx="145">
                  <c:v>20.588755129880756</c:v>
                </c:pt>
                <c:pt idx="146">
                  <c:v>21.06249943505496</c:v>
                </c:pt>
                <c:pt idx="147">
                  <c:v>19.275634437193055</c:v>
                </c:pt>
                <c:pt idx="148">
                  <c:v>18.60375248190315</c:v>
                </c:pt>
                <c:pt idx="149">
                  <c:v>17.635031883891706</c:v>
                </c:pt>
                <c:pt idx="150">
                  <c:v>16.487468030940825</c:v>
                </c:pt>
                <c:pt idx="151">
                  <c:v>15.850311371804002</c:v>
                </c:pt>
                <c:pt idx="152">
                  <c:v>16.089324961813311</c:v>
                </c:pt>
                <c:pt idx="153">
                  <c:v>15.387764848385444</c:v>
                </c:pt>
                <c:pt idx="154">
                  <c:v>15.502637029903971</c:v>
                </c:pt>
                <c:pt idx="155">
                  <c:v>15.121311014511102</c:v>
                </c:pt>
                <c:pt idx="156">
                  <c:v>14.946890187025424</c:v>
                </c:pt>
                <c:pt idx="157">
                  <c:v>14.658633358778642</c:v>
                </c:pt>
                <c:pt idx="158">
                  <c:v>14.42646834658655</c:v>
                </c:pt>
                <c:pt idx="159">
                  <c:v>14.611944068225524</c:v>
                </c:pt>
                <c:pt idx="160">
                  <c:v>14.707956957798713</c:v>
                </c:pt>
                <c:pt idx="161">
                  <c:v>11.847570596165886</c:v>
                </c:pt>
                <c:pt idx="162">
                  <c:v>8.1672934148803549</c:v>
                </c:pt>
                <c:pt idx="163">
                  <c:v>6.3437240951844069</c:v>
                </c:pt>
                <c:pt idx="164">
                  <c:v>4.6193243183768189</c:v>
                </c:pt>
                <c:pt idx="165">
                  <c:v>3.6929656004936362</c:v>
                </c:pt>
                <c:pt idx="166">
                  <c:v>2.0924880512219515</c:v>
                </c:pt>
                <c:pt idx="167">
                  <c:v>0.83461336967026978</c:v>
                </c:pt>
                <c:pt idx="168">
                  <c:v>-0.27191382769192723</c:v>
                </c:pt>
                <c:pt idx="169">
                  <c:v>-1.087001843080192</c:v>
                </c:pt>
                <c:pt idx="170">
                  <c:v>-2.5903398318191262</c:v>
                </c:pt>
                <c:pt idx="171">
                  <c:v>-3.2200873718209841</c:v>
                </c:pt>
                <c:pt idx="172">
                  <c:v>-4.092373549173824</c:v>
                </c:pt>
                <c:pt idx="173">
                  <c:v>-5.6865315470132511</c:v>
                </c:pt>
                <c:pt idx="174">
                  <c:v>-7.5710922210912814</c:v>
                </c:pt>
                <c:pt idx="175">
                  <c:v>-8.2380957213789667</c:v>
                </c:pt>
                <c:pt idx="176">
                  <c:v>-9.4962724712436568</c:v>
                </c:pt>
                <c:pt idx="177">
                  <c:v>-10.666332623629438</c:v>
                </c:pt>
                <c:pt idx="178">
                  <c:v>-12.13636907711734</c:v>
                </c:pt>
                <c:pt idx="179">
                  <c:v>-12.835700281295217</c:v>
                </c:pt>
                <c:pt idx="180">
                  <c:v>-14.093171016915793</c:v>
                </c:pt>
                <c:pt idx="181">
                  <c:v>-15.586607695637161</c:v>
                </c:pt>
                <c:pt idx="182">
                  <c:v>-16.136421355051272</c:v>
                </c:pt>
                <c:pt idx="183">
                  <c:v>-16.689988467578797</c:v>
                </c:pt>
                <c:pt idx="184">
                  <c:v>-16.969193992975455</c:v>
                </c:pt>
                <c:pt idx="185">
                  <c:v>-19.884176541292135</c:v>
                </c:pt>
                <c:pt idx="186">
                  <c:v>-21.092146106123987</c:v>
                </c:pt>
                <c:pt idx="187">
                  <c:v>-21.657644086482915</c:v>
                </c:pt>
                <c:pt idx="188">
                  <c:v>-22.529794116371011</c:v>
                </c:pt>
                <c:pt idx="189">
                  <c:v>-24.352604577308416</c:v>
                </c:pt>
                <c:pt idx="190">
                  <c:v>-24.462793509179662</c:v>
                </c:pt>
                <c:pt idx="191">
                  <c:v>-24.920073144639098</c:v>
                </c:pt>
                <c:pt idx="192">
                  <c:v>-25.39122312805171</c:v>
                </c:pt>
                <c:pt idx="193">
                  <c:v>-26.442981412578881</c:v>
                </c:pt>
                <c:pt idx="194">
                  <c:v>-27.162463754185428</c:v>
                </c:pt>
                <c:pt idx="195">
                  <c:v>-27.858310740818666</c:v>
                </c:pt>
                <c:pt idx="196">
                  <c:v>-28.37603076606845</c:v>
                </c:pt>
                <c:pt idx="197">
                  <c:v>-27.631154752108454</c:v>
                </c:pt>
                <c:pt idx="198">
                  <c:v>-27.389089302475089</c:v>
                </c:pt>
                <c:pt idx="199">
                  <c:v>-28.035784776093266</c:v>
                </c:pt>
                <c:pt idx="200">
                  <c:v>-28.153931363012013</c:v>
                </c:pt>
                <c:pt idx="201">
                  <c:v>-28.523104587432428</c:v>
                </c:pt>
                <c:pt idx="202">
                  <c:v>-28.972006560692414</c:v>
                </c:pt>
                <c:pt idx="203">
                  <c:v>-28.55386516188209</c:v>
                </c:pt>
                <c:pt idx="204">
                  <c:v>-29.42324562544033</c:v>
                </c:pt>
                <c:pt idx="205">
                  <c:v>-28.777337006670606</c:v>
                </c:pt>
                <c:pt idx="206">
                  <c:v>-28.92639626115</c:v>
                </c:pt>
                <c:pt idx="207">
                  <c:v>-28.918796974137212</c:v>
                </c:pt>
                <c:pt idx="208">
                  <c:v>-29.579202060483766</c:v>
                </c:pt>
                <c:pt idx="209">
                  <c:v>-28.536887177861981</c:v>
                </c:pt>
                <c:pt idx="210">
                  <c:v>-29.026819982624207</c:v>
                </c:pt>
                <c:pt idx="211">
                  <c:v>-29.024643094981293</c:v>
                </c:pt>
                <c:pt idx="212">
                  <c:v>-28.997582602807821</c:v>
                </c:pt>
                <c:pt idx="213">
                  <c:v>-29.375477738267701</c:v>
                </c:pt>
                <c:pt idx="214">
                  <c:v>-28.721692442020203</c:v>
                </c:pt>
                <c:pt idx="215">
                  <c:v>-27.575644977855905</c:v>
                </c:pt>
                <c:pt idx="216">
                  <c:v>-28.75963730869384</c:v>
                </c:pt>
                <c:pt idx="217">
                  <c:v>-28.504222227089588</c:v>
                </c:pt>
                <c:pt idx="218">
                  <c:v>-27.767989164515182</c:v>
                </c:pt>
                <c:pt idx="219">
                  <c:v>-28.608683984231554</c:v>
                </c:pt>
                <c:pt idx="220">
                  <c:v>-27.168231120548597</c:v>
                </c:pt>
                <c:pt idx="221">
                  <c:v>-27.106718290643389</c:v>
                </c:pt>
                <c:pt idx="222">
                  <c:v>-27.490620155952616</c:v>
                </c:pt>
                <c:pt idx="223">
                  <c:v>-26.899018064961222</c:v>
                </c:pt>
                <c:pt idx="224">
                  <c:v>-26.920934960463534</c:v>
                </c:pt>
                <c:pt idx="225">
                  <c:v>-26.105023496062124</c:v>
                </c:pt>
                <c:pt idx="226">
                  <c:v>-25.169897125951422</c:v>
                </c:pt>
                <c:pt idx="227">
                  <c:v>-24.567309286297174</c:v>
                </c:pt>
                <c:pt idx="228">
                  <c:v>-24.274447555469077</c:v>
                </c:pt>
                <c:pt idx="229">
                  <c:v>-24.252162705686636</c:v>
                </c:pt>
                <c:pt idx="230">
                  <c:v>-23.900473463759518</c:v>
                </c:pt>
                <c:pt idx="231">
                  <c:v>-23.327155309289328</c:v>
                </c:pt>
                <c:pt idx="232">
                  <c:v>-22.512097249510518</c:v>
                </c:pt>
                <c:pt idx="233">
                  <c:v>-22.358649178634899</c:v>
                </c:pt>
                <c:pt idx="234">
                  <c:v>-20.979080694734421</c:v>
                </c:pt>
                <c:pt idx="235">
                  <c:v>-21.905097945412948</c:v>
                </c:pt>
                <c:pt idx="236">
                  <c:v>-21.204857006427442</c:v>
                </c:pt>
                <c:pt idx="237">
                  <c:v>-20.153802288625947</c:v>
                </c:pt>
                <c:pt idx="238">
                  <c:v>-20.670778980659286</c:v>
                </c:pt>
                <c:pt idx="239">
                  <c:v>-19.863108139413612</c:v>
                </c:pt>
                <c:pt idx="240">
                  <c:v>-20.012880889099616</c:v>
                </c:pt>
                <c:pt idx="241">
                  <c:v>-19.165897804898876</c:v>
                </c:pt>
                <c:pt idx="242">
                  <c:v>-19.072392426976648</c:v>
                </c:pt>
                <c:pt idx="243">
                  <c:v>-19.463659029041256</c:v>
                </c:pt>
                <c:pt idx="244">
                  <c:v>-18.999684954806632</c:v>
                </c:pt>
                <c:pt idx="245">
                  <c:v>-18.310182121844267</c:v>
                </c:pt>
                <c:pt idx="246">
                  <c:v>-17.408573589000657</c:v>
                </c:pt>
                <c:pt idx="247">
                  <c:v>-17.582884718863234</c:v>
                </c:pt>
                <c:pt idx="248">
                  <c:v>-16.630689525466199</c:v>
                </c:pt>
                <c:pt idx="249">
                  <c:v>-16.408051362351657</c:v>
                </c:pt>
                <c:pt idx="250">
                  <c:v>-16.980976889212247</c:v>
                </c:pt>
                <c:pt idx="251">
                  <c:v>-16.182200238320199</c:v>
                </c:pt>
                <c:pt idx="252">
                  <c:v>-16.126028545198242</c:v>
                </c:pt>
                <c:pt idx="253">
                  <c:v>-16.266179074092296</c:v>
                </c:pt>
                <c:pt idx="254">
                  <c:v>-15.72076914656037</c:v>
                </c:pt>
                <c:pt idx="255">
                  <c:v>-15.165842279337275</c:v>
                </c:pt>
                <c:pt idx="256">
                  <c:v>-15.198741334662847</c:v>
                </c:pt>
                <c:pt idx="257">
                  <c:v>-15.128377002648365</c:v>
                </c:pt>
                <c:pt idx="258">
                  <c:v>-14.479975715285034</c:v>
                </c:pt>
                <c:pt idx="259">
                  <c:v>-13.267904774569608</c:v>
                </c:pt>
                <c:pt idx="260">
                  <c:v>-12.76150294819648</c:v>
                </c:pt>
                <c:pt idx="261">
                  <c:v>-12.632444474327077</c:v>
                </c:pt>
                <c:pt idx="262">
                  <c:v>-13.487760804785273</c:v>
                </c:pt>
                <c:pt idx="263">
                  <c:v>-12.827771185405389</c:v>
                </c:pt>
                <c:pt idx="264">
                  <c:v>-12.469271431138884</c:v>
                </c:pt>
                <c:pt idx="265">
                  <c:v>-12.330591559129541</c:v>
                </c:pt>
                <c:pt idx="266">
                  <c:v>-11.566409370213943</c:v>
                </c:pt>
                <c:pt idx="267">
                  <c:v>-11.228904192832307</c:v>
                </c:pt>
                <c:pt idx="268">
                  <c:v>-10.965682436254358</c:v>
                </c:pt>
                <c:pt idx="269">
                  <c:v>-10.801189838031073</c:v>
                </c:pt>
                <c:pt idx="270">
                  <c:v>-9.7267965602644111</c:v>
                </c:pt>
                <c:pt idx="271">
                  <c:v>-8.8289988289458829</c:v>
                </c:pt>
                <c:pt idx="272">
                  <c:v>-8.9204500561719993</c:v>
                </c:pt>
                <c:pt idx="273">
                  <c:v>-7.208293742729782</c:v>
                </c:pt>
                <c:pt idx="274">
                  <c:v>-7.1330202538530063</c:v>
                </c:pt>
                <c:pt idx="275">
                  <c:v>-7.1961524889242954</c:v>
                </c:pt>
                <c:pt idx="276">
                  <c:v>-5.1790059172462053</c:v>
                </c:pt>
                <c:pt idx="277">
                  <c:v>-7.2446391213500601</c:v>
                </c:pt>
                <c:pt idx="278">
                  <c:v>-6.5308986536069096</c:v>
                </c:pt>
                <c:pt idx="279">
                  <c:v>-6.7076811217205021</c:v>
                </c:pt>
                <c:pt idx="280">
                  <c:v>-7.0537274971245552</c:v>
                </c:pt>
                <c:pt idx="281">
                  <c:v>-6.6462186808927504</c:v>
                </c:pt>
                <c:pt idx="282">
                  <c:v>-5.6695417904404666</c:v>
                </c:pt>
                <c:pt idx="283">
                  <c:v>-6.3787442546639301</c:v>
                </c:pt>
                <c:pt idx="284">
                  <c:v>-4.1132566539435524</c:v>
                </c:pt>
                <c:pt idx="285">
                  <c:v>-4.0971654256769687</c:v>
                </c:pt>
                <c:pt idx="286">
                  <c:v>-5.3334282139505067</c:v>
                </c:pt>
                <c:pt idx="287">
                  <c:v>-4.2808721981455164</c:v>
                </c:pt>
                <c:pt idx="288">
                  <c:v>-3.7175526125215823</c:v>
                </c:pt>
                <c:pt idx="289">
                  <c:v>-4.9763545283782014</c:v>
                </c:pt>
                <c:pt idx="290">
                  <c:v>-3.9236409477318714</c:v>
                </c:pt>
                <c:pt idx="291">
                  <c:v>-3.0375511023168826</c:v>
                </c:pt>
                <c:pt idx="292">
                  <c:v>-2.2905334584509691</c:v>
                </c:pt>
                <c:pt idx="293">
                  <c:v>-2.7429098322951049</c:v>
                </c:pt>
                <c:pt idx="294">
                  <c:v>-2.2325165428771241</c:v>
                </c:pt>
                <c:pt idx="295">
                  <c:v>-1.9953047507373047</c:v>
                </c:pt>
                <c:pt idx="296">
                  <c:v>-1.819121217395633</c:v>
                </c:pt>
                <c:pt idx="297">
                  <c:v>-2.3250948484585874</c:v>
                </c:pt>
                <c:pt idx="298">
                  <c:v>-3.0918201686125171</c:v>
                </c:pt>
                <c:pt idx="299">
                  <c:v>-0.26129843767037569</c:v>
                </c:pt>
                <c:pt idx="300">
                  <c:v>-1.2397275657180429</c:v>
                </c:pt>
                <c:pt idx="301">
                  <c:v>-0.8127210893230874</c:v>
                </c:pt>
                <c:pt idx="302">
                  <c:v>-1.6886140857559362</c:v>
                </c:pt>
                <c:pt idx="303">
                  <c:v>-1.6829762038522291</c:v>
                </c:pt>
                <c:pt idx="304">
                  <c:v>-0.94210274114251058</c:v>
                </c:pt>
                <c:pt idx="305">
                  <c:v>-0.67581854763588256</c:v>
                </c:pt>
                <c:pt idx="306">
                  <c:v>-0.86738957641251491</c:v>
                </c:pt>
                <c:pt idx="307">
                  <c:v>-1.1435285251272984</c:v>
                </c:pt>
                <c:pt idx="308">
                  <c:v>-1.2668597736124636</c:v>
                </c:pt>
                <c:pt idx="309">
                  <c:v>-0.97446042662135601</c:v>
                </c:pt>
                <c:pt idx="310">
                  <c:v>0.1772935081308312</c:v>
                </c:pt>
                <c:pt idx="311">
                  <c:v>0.4260724779173406</c:v>
                </c:pt>
                <c:pt idx="312">
                  <c:v>1.0128627314923973</c:v>
                </c:pt>
                <c:pt idx="313">
                  <c:v>0.68036824447968103</c:v>
                </c:pt>
                <c:pt idx="314">
                  <c:v>-0.57980818899874464</c:v>
                </c:pt>
                <c:pt idx="315">
                  <c:v>-0.10903959064379086</c:v>
                </c:pt>
                <c:pt idx="316">
                  <c:v>8.9943819896811453E-2</c:v>
                </c:pt>
                <c:pt idx="317">
                  <c:v>0.84482369858637407</c:v>
                </c:pt>
                <c:pt idx="318">
                  <c:v>2.3586364325605031</c:v>
                </c:pt>
                <c:pt idx="319">
                  <c:v>2.1210773451940192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96-4070-A8B2-8F61A2588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'240816E003'!$A$2:$A$321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'240816E003'!$J$2:$J$321</c:f>
              <c:numCache>
                <c:formatCode>0.0</c:formatCode>
                <c:ptCount val="320"/>
                <c:pt idx="0">
                  <c:v>303.49294781382002</c:v>
                </c:pt>
                <c:pt idx="1">
                  <c:v>302.94569816643002</c:v>
                </c:pt>
                <c:pt idx="2">
                  <c:v>305.18265162200998</c:v>
                </c:pt>
                <c:pt idx="3">
                  <c:v>314.34313767275</c:v>
                </c:pt>
                <c:pt idx="4">
                  <c:v>316.53032241822001</c:v>
                </c:pt>
                <c:pt idx="5">
                  <c:v>299.51357558229</c:v>
                </c:pt>
                <c:pt idx="6">
                  <c:v>282.14626670248003</c:v>
                </c:pt>
                <c:pt idx="7">
                  <c:v>292.91170989991997</c:v>
                </c:pt>
                <c:pt idx="8">
                  <c:v>302.70048676439001</c:v>
                </c:pt>
                <c:pt idx="9">
                  <c:v>311.27047587140999</c:v>
                </c:pt>
                <c:pt idx="10">
                  <c:v>315.88890575066</c:v>
                </c:pt>
                <c:pt idx="11">
                  <c:v>309.82783838095003</c:v>
                </c:pt>
                <c:pt idx="12">
                  <c:v>311.98910983531005</c:v>
                </c:pt>
                <c:pt idx="13">
                  <c:v>295.38569101491998</c:v>
                </c:pt>
                <c:pt idx="14">
                  <c:v>291.65866723613999</c:v>
                </c:pt>
                <c:pt idx="15">
                  <c:v>307.52367349371997</c:v>
                </c:pt>
                <c:pt idx="16">
                  <c:v>303.93100810403996</c:v>
                </c:pt>
                <c:pt idx="17">
                  <c:v>301.61442670109</c:v>
                </c:pt>
                <c:pt idx="18">
                  <c:v>298.1127423442</c:v>
                </c:pt>
                <c:pt idx="19">
                  <c:v>300.11290569992002</c:v>
                </c:pt>
                <c:pt idx="20">
                  <c:v>301.03459057477005</c:v>
                </c:pt>
                <c:pt idx="21">
                  <c:v>297.30319918242003</c:v>
                </c:pt>
                <c:pt idx="22">
                  <c:v>304.70675954037</c:v>
                </c:pt>
                <c:pt idx="23">
                  <c:v>311.71323500116</c:v>
                </c:pt>
                <c:pt idx="24">
                  <c:v>305.44933183524</c:v>
                </c:pt>
                <c:pt idx="25">
                  <c:v>258.49031718901</c:v>
                </c:pt>
                <c:pt idx="26">
                  <c:v>305.32468245241</c:v>
                </c:pt>
                <c:pt idx="27">
                  <c:v>311.63511311387998</c:v>
                </c:pt>
                <c:pt idx="28">
                  <c:v>312.95469069988002</c:v>
                </c:pt>
                <c:pt idx="29">
                  <c:v>312.92224665917001</c:v>
                </c:pt>
                <c:pt idx="30">
                  <c:v>307.26139007753</c:v>
                </c:pt>
                <c:pt idx="31">
                  <c:v>311.74128537050001</c:v>
                </c:pt>
                <c:pt idx="32">
                  <c:v>313.62138525654996</c:v>
                </c:pt>
                <c:pt idx="33">
                  <c:v>313.67393174279005</c:v>
                </c:pt>
                <c:pt idx="34">
                  <c:v>315.87512465484002</c:v>
                </c:pt>
                <c:pt idx="35">
                  <c:v>324.17391982358998</c:v>
                </c:pt>
                <c:pt idx="36">
                  <c:v>325.24741552275998</c:v>
                </c:pt>
                <c:pt idx="37">
                  <c:v>324.45654760721999</c:v>
                </c:pt>
                <c:pt idx="38">
                  <c:v>321.88325950058999</c:v>
                </c:pt>
                <c:pt idx="39">
                  <c:v>324.15307984971002</c:v>
                </c:pt>
                <c:pt idx="40">
                  <c:v>315.39419038916003</c:v>
                </c:pt>
                <c:pt idx="41">
                  <c:v>301.54890244143996</c:v>
                </c:pt>
                <c:pt idx="42">
                  <c:v>288.41840328196002</c:v>
                </c:pt>
                <c:pt idx="43">
                  <c:v>280.50770289034995</c:v>
                </c:pt>
                <c:pt idx="44">
                  <c:v>275.58513916544996</c:v>
                </c:pt>
                <c:pt idx="45">
                  <c:v>271.53016241757996</c:v>
                </c:pt>
                <c:pt idx="46">
                  <c:v>269.47411432837998</c:v>
                </c:pt>
                <c:pt idx="47">
                  <c:v>264.71078530142</c:v>
                </c:pt>
                <c:pt idx="48">
                  <c:v>264.29089280281005</c:v>
                </c:pt>
                <c:pt idx="49">
                  <c:v>266.0836513731</c:v>
                </c:pt>
                <c:pt idx="50">
                  <c:v>264.52127705807999</c:v>
                </c:pt>
                <c:pt idx="51">
                  <c:v>276.73427382237003</c:v>
                </c:pt>
                <c:pt idx="52">
                  <c:v>275.72499634550002</c:v>
                </c:pt>
                <c:pt idx="53">
                  <c:v>266.68225357844</c:v>
                </c:pt>
                <c:pt idx="54">
                  <c:v>265.53509894791</c:v>
                </c:pt>
                <c:pt idx="55">
                  <c:v>265.59524698454999</c:v>
                </c:pt>
                <c:pt idx="56">
                  <c:v>265.07457538726999</c:v>
                </c:pt>
                <c:pt idx="57">
                  <c:v>265.20141498065999</c:v>
                </c:pt>
                <c:pt idx="58">
                  <c:v>264.46422546451004</c:v>
                </c:pt>
                <c:pt idx="59">
                  <c:v>261.22662605239998</c:v>
                </c:pt>
                <c:pt idx="60">
                  <c:v>259.86591463102002</c:v>
                </c:pt>
                <c:pt idx="61">
                  <c:v>276.22632565253002</c:v>
                </c:pt>
                <c:pt idx="62">
                  <c:v>276.60123849067998</c:v>
                </c:pt>
                <c:pt idx="63">
                  <c:v>277.49543489801999</c:v>
                </c:pt>
                <c:pt idx="64">
                  <c:v>280.04389193514999</c:v>
                </c:pt>
                <c:pt idx="65">
                  <c:v>285.24440635668998</c:v>
                </c:pt>
                <c:pt idx="66">
                  <c:v>281.89719182144995</c:v>
                </c:pt>
                <c:pt idx="67">
                  <c:v>282.71586136850999</c:v>
                </c:pt>
                <c:pt idx="68">
                  <c:v>286.60816922865996</c:v>
                </c:pt>
                <c:pt idx="69">
                  <c:v>288.75587194855007</c:v>
                </c:pt>
                <c:pt idx="70">
                  <c:v>287.84295232365997</c:v>
                </c:pt>
                <c:pt idx="71">
                  <c:v>282.20319365412001</c:v>
                </c:pt>
                <c:pt idx="72">
                  <c:v>285.68330251704998</c:v>
                </c:pt>
                <c:pt idx="73">
                  <c:v>285.20578555822999</c:v>
                </c:pt>
                <c:pt idx="74">
                  <c:v>287.66416679505994</c:v>
                </c:pt>
                <c:pt idx="75">
                  <c:v>286.23325945328997</c:v>
                </c:pt>
                <c:pt idx="76">
                  <c:v>287.19586903872994</c:v>
                </c:pt>
                <c:pt idx="77">
                  <c:v>287.46183917855001</c:v>
                </c:pt>
                <c:pt idx="78">
                  <c:v>288.05372501609997</c:v>
                </c:pt>
                <c:pt idx="79">
                  <c:v>286.23615045454</c:v>
                </c:pt>
                <c:pt idx="80">
                  <c:v>280.59750684477001</c:v>
                </c:pt>
                <c:pt idx="81">
                  <c:v>291.90756895141999</c:v>
                </c:pt>
                <c:pt idx="82">
                  <c:v>313.89314171161999</c:v>
                </c:pt>
                <c:pt idx="83">
                  <c:v>315.49540836487995</c:v>
                </c:pt>
                <c:pt idx="84">
                  <c:v>321.52526710340999</c:v>
                </c:pt>
                <c:pt idx="85">
                  <c:v>326.54518617473002</c:v>
                </c:pt>
                <c:pt idx="86">
                  <c:v>336.98062661581002</c:v>
                </c:pt>
                <c:pt idx="87">
                  <c:v>337.30808859414998</c:v>
                </c:pt>
                <c:pt idx="88">
                  <c:v>343.88131597167001</c:v>
                </c:pt>
                <c:pt idx="89">
                  <c:v>356.22531288496998</c:v>
                </c:pt>
                <c:pt idx="90">
                  <c:v>353.84308736973998</c:v>
                </c:pt>
                <c:pt idx="91">
                  <c:v>356.12623413258001</c:v>
                </c:pt>
                <c:pt idx="92">
                  <c:v>357.18781727398999</c:v>
                </c:pt>
                <c:pt idx="93">
                  <c:v>342.83922999253002</c:v>
                </c:pt>
                <c:pt idx="94">
                  <c:v>340.7462859478</c:v>
                </c:pt>
                <c:pt idx="95">
                  <c:v>353.39586816123006</c:v>
                </c:pt>
                <c:pt idx="96">
                  <c:v>344.42996362555999</c:v>
                </c:pt>
                <c:pt idx="97">
                  <c:v>336.94138569272002</c:v>
                </c:pt>
                <c:pt idx="98">
                  <c:v>337.11676341771999</c:v>
                </c:pt>
                <c:pt idx="99">
                  <c:v>330.59809962141003</c:v>
                </c:pt>
                <c:pt idx="100">
                  <c:v>324.37905872395004</c:v>
                </c:pt>
                <c:pt idx="101">
                  <c:v>326.43852292529004</c:v>
                </c:pt>
                <c:pt idx="102">
                  <c:v>316.67284676050002</c:v>
                </c:pt>
                <c:pt idx="103">
                  <c:v>309.70098730606003</c:v>
                </c:pt>
                <c:pt idx="104">
                  <c:v>304.19675599435999</c:v>
                </c:pt>
                <c:pt idx="105">
                  <c:v>307.53032440056</c:v>
                </c:pt>
                <c:pt idx="106">
                  <c:v>305.95133991537</c:v>
                </c:pt>
                <c:pt idx="107">
                  <c:v>316.86248236953998</c:v>
                </c:pt>
                <c:pt idx="108">
                  <c:v>316.59449929478001</c:v>
                </c:pt>
                <c:pt idx="109">
                  <c:v>316.32087447107995</c:v>
                </c:pt>
                <c:pt idx="110">
                  <c:v>313.25176304653996</c:v>
                </c:pt>
                <c:pt idx="111">
                  <c:v>308.60719322990002</c:v>
                </c:pt>
                <c:pt idx="112">
                  <c:v>306.03538608235999</c:v>
                </c:pt>
                <c:pt idx="113">
                  <c:v>313.96253743522999</c:v>
                </c:pt>
                <c:pt idx="114">
                  <c:v>310.32341653820004</c:v>
                </c:pt>
                <c:pt idx="115">
                  <c:v>307.90881061079006</c:v>
                </c:pt>
                <c:pt idx="116">
                  <c:v>306.69712276766995</c:v>
                </c:pt>
                <c:pt idx="117">
                  <c:v>305.98236953456001</c:v>
                </c:pt>
                <c:pt idx="118">
                  <c:v>305.03737658673998</c:v>
                </c:pt>
                <c:pt idx="119">
                  <c:v>306.89537382559001</c:v>
                </c:pt>
                <c:pt idx="120">
                  <c:v>306.28342721318</c:v>
                </c:pt>
                <c:pt idx="121">
                  <c:v>313.47196086482995</c:v>
                </c:pt>
                <c:pt idx="122">
                  <c:v>305.66313841695001</c:v>
                </c:pt>
                <c:pt idx="123">
                  <c:v>306.47146477440998</c:v>
                </c:pt>
                <c:pt idx="124">
                  <c:v>312.92115616372996</c:v>
                </c:pt>
                <c:pt idx="125">
                  <c:v>310.45334107807003</c:v>
                </c:pt>
                <c:pt idx="126">
                  <c:v>319.78935799794999</c:v>
                </c:pt>
                <c:pt idx="127">
                  <c:v>313.56813382513002</c:v>
                </c:pt>
                <c:pt idx="128">
                  <c:v>311.62061417409996</c:v>
                </c:pt>
                <c:pt idx="129">
                  <c:v>310.76703717057001</c:v>
                </c:pt>
                <c:pt idx="130">
                  <c:v>309.11955984835998</c:v>
                </c:pt>
                <c:pt idx="131">
                  <c:v>308.29727196444003</c:v>
                </c:pt>
                <c:pt idx="132">
                  <c:v>306.76525642781002</c:v>
                </c:pt>
                <c:pt idx="133">
                  <c:v>310.73399173575001</c:v>
                </c:pt>
                <c:pt idx="134">
                  <c:v>310.51265921972004</c:v>
                </c:pt>
                <c:pt idx="135">
                  <c:v>310.78045383941998</c:v>
                </c:pt>
                <c:pt idx="136">
                  <c:v>312.01049397043005</c:v>
                </c:pt>
                <c:pt idx="137">
                  <c:v>316.72511153562999</c:v>
                </c:pt>
                <c:pt idx="138">
                  <c:v>317.83268167561999</c:v>
                </c:pt>
                <c:pt idx="139">
                  <c:v>319.60829817158998</c:v>
                </c:pt>
                <c:pt idx="140">
                  <c:v>324.99483088171996</c:v>
                </c:pt>
                <c:pt idx="141">
                  <c:v>320.02480640035003</c:v>
                </c:pt>
                <c:pt idx="142">
                  <c:v>319.46594127055005</c:v>
                </c:pt>
                <c:pt idx="143">
                  <c:v>318.1689562665</c:v>
                </c:pt>
                <c:pt idx="144">
                  <c:v>318.18225652065996</c:v>
                </c:pt>
                <c:pt idx="145">
                  <c:v>313.90267983075</c:v>
                </c:pt>
                <c:pt idx="146">
                  <c:v>309.99294781382002</c:v>
                </c:pt>
                <c:pt idx="147">
                  <c:v>314.19322990127</c:v>
                </c:pt>
                <c:pt idx="148">
                  <c:v>305.77150916785001</c:v>
                </c:pt>
                <c:pt idx="149">
                  <c:v>309.8568406206</c:v>
                </c:pt>
                <c:pt idx="150">
                  <c:v>311.33004231311998</c:v>
                </c:pt>
                <c:pt idx="151">
                  <c:v>313.01622002821</c:v>
                </c:pt>
                <c:pt idx="152">
                  <c:v>311.73342736248003</c:v>
                </c:pt>
                <c:pt idx="153">
                  <c:v>311.33356840620002</c:v>
                </c:pt>
                <c:pt idx="154">
                  <c:v>307.31382228490997</c:v>
                </c:pt>
                <c:pt idx="155">
                  <c:v>310.71861777151003</c:v>
                </c:pt>
                <c:pt idx="156">
                  <c:v>300.87600623562003</c:v>
                </c:pt>
                <c:pt idx="157">
                  <c:v>302.54378244624002</c:v>
                </c:pt>
                <c:pt idx="158">
                  <c:v>305.43632939895997</c:v>
                </c:pt>
                <c:pt idx="159">
                  <c:v>307.87397520599995</c:v>
                </c:pt>
                <c:pt idx="160">
                  <c:v>311.83694454755005</c:v>
                </c:pt>
                <c:pt idx="161">
                  <c:v>338.78711704439002</c:v>
                </c:pt>
                <c:pt idx="162">
                  <c:v>337.85360318438995</c:v>
                </c:pt>
                <c:pt idx="163">
                  <c:v>339.58877692098997</c:v>
                </c:pt>
                <c:pt idx="164">
                  <c:v>332.08105734019</c:v>
                </c:pt>
                <c:pt idx="165">
                  <c:v>329.60806915421995</c:v>
                </c:pt>
                <c:pt idx="166">
                  <c:v>328.05048102966998</c:v>
                </c:pt>
                <c:pt idx="167">
                  <c:v>305.96581752182999</c:v>
                </c:pt>
                <c:pt idx="168">
                  <c:v>299.35786639313005</c:v>
                </c:pt>
                <c:pt idx="169">
                  <c:v>298.26304654442998</c:v>
                </c:pt>
                <c:pt idx="170">
                  <c:v>296.37411055292</c:v>
                </c:pt>
                <c:pt idx="171">
                  <c:v>293.43253969826003</c:v>
                </c:pt>
                <c:pt idx="172">
                  <c:v>271.98690987465</c:v>
                </c:pt>
                <c:pt idx="173">
                  <c:v>271.84214493431</c:v>
                </c:pt>
                <c:pt idx="174">
                  <c:v>301.45973221501998</c:v>
                </c:pt>
                <c:pt idx="175">
                  <c:v>300.46346630797996</c:v>
                </c:pt>
                <c:pt idx="176">
                  <c:v>303.30537649958001</c:v>
                </c:pt>
                <c:pt idx="177">
                  <c:v>308.19469976703999</c:v>
                </c:pt>
                <c:pt idx="178">
                  <c:v>305.82222052740997</c:v>
                </c:pt>
                <c:pt idx="179">
                  <c:v>304.99286560435002</c:v>
                </c:pt>
                <c:pt idx="180">
                  <c:v>303.66406633810004</c:v>
                </c:pt>
                <c:pt idx="181">
                  <c:v>298.33403392973003</c:v>
                </c:pt>
                <c:pt idx="182">
                  <c:v>311.43322000347001</c:v>
                </c:pt>
                <c:pt idx="183">
                  <c:v>311.81387375348999</c:v>
                </c:pt>
                <c:pt idx="184">
                  <c:v>309.97456659986005</c:v>
                </c:pt>
                <c:pt idx="185">
                  <c:v>308.22790339741994</c:v>
                </c:pt>
                <c:pt idx="186">
                  <c:v>307.94466384580005</c:v>
                </c:pt>
                <c:pt idx="187">
                  <c:v>309.43474822457995</c:v>
                </c:pt>
                <c:pt idx="188">
                  <c:v>308.21524954841004</c:v>
                </c:pt>
                <c:pt idx="189">
                  <c:v>306.28801227328</c:v>
                </c:pt>
                <c:pt idx="190">
                  <c:v>305.96504540618002</c:v>
                </c:pt>
                <c:pt idx="191">
                  <c:v>305.91722317076</c:v>
                </c:pt>
                <c:pt idx="192">
                  <c:v>304.02736297726</c:v>
                </c:pt>
                <c:pt idx="193">
                  <c:v>306.36466829980998</c:v>
                </c:pt>
                <c:pt idx="194">
                  <c:v>305.63168485387996</c:v>
                </c:pt>
                <c:pt idx="195">
                  <c:v>306.15379160171005</c:v>
                </c:pt>
                <c:pt idx="196">
                  <c:v>305.99003785910003</c:v>
                </c:pt>
                <c:pt idx="197">
                  <c:v>306.37785366095</c:v>
                </c:pt>
                <c:pt idx="198">
                  <c:v>304.93877762106001</c:v>
                </c:pt>
                <c:pt idx="199">
                  <c:v>305.45667037834994</c:v>
                </c:pt>
                <c:pt idx="200">
                  <c:v>304.72839482344</c:v>
                </c:pt>
                <c:pt idx="201">
                  <c:v>306.23075990399002</c:v>
                </c:pt>
                <c:pt idx="202">
                  <c:v>305.70312820132006</c:v>
                </c:pt>
                <c:pt idx="203">
                  <c:v>304.76053002746994</c:v>
                </c:pt>
                <c:pt idx="204">
                  <c:v>302.11693118551</c:v>
                </c:pt>
                <c:pt idx="205">
                  <c:v>303.84188602677</c:v>
                </c:pt>
                <c:pt idx="206">
                  <c:v>300.17604632173004</c:v>
                </c:pt>
                <c:pt idx="207">
                  <c:v>298.86726993789</c:v>
                </c:pt>
                <c:pt idx="208">
                  <c:v>298.61929626605001</c:v>
                </c:pt>
                <c:pt idx="209">
                  <c:v>300.09251330016997</c:v>
                </c:pt>
                <c:pt idx="210">
                  <c:v>301.67125133002003</c:v>
                </c:pt>
                <c:pt idx="211">
                  <c:v>298.72722143864996</c:v>
                </c:pt>
                <c:pt idx="212">
                  <c:v>302.87854650731003</c:v>
                </c:pt>
                <c:pt idx="213">
                  <c:v>300.87040259321998</c:v>
                </c:pt>
                <c:pt idx="214">
                  <c:v>301.27780664637999</c:v>
                </c:pt>
                <c:pt idx="215">
                  <c:v>299.56680870016999</c:v>
                </c:pt>
                <c:pt idx="216">
                  <c:v>308.11346992304004</c:v>
                </c:pt>
                <c:pt idx="217">
                  <c:v>311.48110657462001</c:v>
                </c:pt>
                <c:pt idx="218">
                  <c:v>310.26907331800004</c:v>
                </c:pt>
                <c:pt idx="219">
                  <c:v>312.15652686017</c:v>
                </c:pt>
                <c:pt idx="220">
                  <c:v>312.51044564868005</c:v>
                </c:pt>
                <c:pt idx="221">
                  <c:v>308.61769925519002</c:v>
                </c:pt>
                <c:pt idx="222">
                  <c:v>308.48021577216002</c:v>
                </c:pt>
                <c:pt idx="223">
                  <c:v>309.11374260757998</c:v>
                </c:pt>
                <c:pt idx="224">
                  <c:v>308.13383713160999</c:v>
                </c:pt>
                <c:pt idx="225">
                  <c:v>309.03713211095999</c:v>
                </c:pt>
                <c:pt idx="226">
                  <c:v>305.44256353154003</c:v>
                </c:pt>
                <c:pt idx="227">
                  <c:v>300.94683987825999</c:v>
                </c:pt>
                <c:pt idx="228">
                  <c:v>299.35120926434001</c:v>
                </c:pt>
                <c:pt idx="229">
                  <c:v>300.20390616881002</c:v>
                </c:pt>
                <c:pt idx="230">
                  <c:v>299.53292356419996</c:v>
                </c:pt>
                <c:pt idx="231">
                  <c:v>294.52951426521003</c:v>
                </c:pt>
                <c:pt idx="232">
                  <c:v>295.01141612846999</c:v>
                </c:pt>
                <c:pt idx="233">
                  <c:v>297.46908873917999</c:v>
                </c:pt>
                <c:pt idx="234">
                  <c:v>297.92775898290995</c:v>
                </c:pt>
                <c:pt idx="235">
                  <c:v>293.68054188407001</c:v>
                </c:pt>
                <c:pt idx="236">
                  <c:v>289.17101798060997</c:v>
                </c:pt>
                <c:pt idx="237">
                  <c:v>291.47505695996995</c:v>
                </c:pt>
                <c:pt idx="238">
                  <c:v>299.45513034216003</c:v>
                </c:pt>
                <c:pt idx="239">
                  <c:v>291.45729038239006</c:v>
                </c:pt>
                <c:pt idx="240">
                  <c:v>288.74207344137005</c:v>
                </c:pt>
                <c:pt idx="241">
                  <c:v>290.02664740055002</c:v>
                </c:pt>
                <c:pt idx="242">
                  <c:v>318.71259234418</c:v>
                </c:pt>
                <c:pt idx="243">
                  <c:v>325.74308935070997</c:v>
                </c:pt>
                <c:pt idx="244">
                  <c:v>326.56699675501</c:v>
                </c:pt>
                <c:pt idx="245">
                  <c:v>326.23032045527998</c:v>
                </c:pt>
                <c:pt idx="246">
                  <c:v>325.51491216823001</c:v>
                </c:pt>
                <c:pt idx="247">
                  <c:v>320.89013560683998</c:v>
                </c:pt>
                <c:pt idx="248">
                  <c:v>320.16793757043001</c:v>
                </c:pt>
                <c:pt idx="249">
                  <c:v>319.19541647297001</c:v>
                </c:pt>
                <c:pt idx="250">
                  <c:v>318.61389182183007</c:v>
                </c:pt>
                <c:pt idx="251">
                  <c:v>321.18170706243006</c:v>
                </c:pt>
                <c:pt idx="252">
                  <c:v>319.12204812822</c:v>
                </c:pt>
                <c:pt idx="253">
                  <c:v>320.44317966922</c:v>
                </c:pt>
                <c:pt idx="254">
                  <c:v>319.34101456926999</c:v>
                </c:pt>
                <c:pt idx="255">
                  <c:v>319.45659261214001</c:v>
                </c:pt>
                <c:pt idx="256">
                  <c:v>319.63703008407998</c:v>
                </c:pt>
                <c:pt idx="257">
                  <c:v>317.74891065392001</c:v>
                </c:pt>
                <c:pt idx="258">
                  <c:v>318.94997971019001</c:v>
                </c:pt>
                <c:pt idx="259">
                  <c:v>316.88140310926002</c:v>
                </c:pt>
                <c:pt idx="260">
                  <c:v>315.28111826397998</c:v>
                </c:pt>
                <c:pt idx="261">
                  <c:v>313.17520742881993</c:v>
                </c:pt>
                <c:pt idx="262">
                  <c:v>312.14521101401999</c:v>
                </c:pt>
                <c:pt idx="263">
                  <c:v>306.24159253335</c:v>
                </c:pt>
                <c:pt idx="264">
                  <c:v>308.07638423778002</c:v>
                </c:pt>
                <c:pt idx="265">
                  <c:v>311.78080406741998</c:v>
                </c:pt>
                <c:pt idx="266">
                  <c:v>311.54273959705</c:v>
                </c:pt>
                <c:pt idx="267">
                  <c:v>311.98586195146999</c:v>
                </c:pt>
                <c:pt idx="268">
                  <c:v>308.75428875929003</c:v>
                </c:pt>
                <c:pt idx="269">
                  <c:v>309.52006901634002</c:v>
                </c:pt>
                <c:pt idx="270">
                  <c:v>313.98677417949</c:v>
                </c:pt>
                <c:pt idx="271">
                  <c:v>315.57645778197002</c:v>
                </c:pt>
                <c:pt idx="272">
                  <c:v>313.59562942742997</c:v>
                </c:pt>
                <c:pt idx="273">
                  <c:v>317.10930888575001</c:v>
                </c:pt>
                <c:pt idx="274">
                  <c:v>312.47672778561002</c:v>
                </c:pt>
                <c:pt idx="275">
                  <c:v>309.80606488011006</c:v>
                </c:pt>
                <c:pt idx="276">
                  <c:v>311.62341325811002</c:v>
                </c:pt>
                <c:pt idx="277">
                  <c:v>314.47813822285002</c:v>
                </c:pt>
                <c:pt idx="278">
                  <c:v>313.80112834979002</c:v>
                </c:pt>
                <c:pt idx="279">
                  <c:v>309.51622002821</c:v>
                </c:pt>
                <c:pt idx="280">
                  <c:v>312.51551480959</c:v>
                </c:pt>
                <c:pt idx="281">
                  <c:v>312.45627644569998</c:v>
                </c:pt>
                <c:pt idx="282">
                  <c:v>311.11212976022</c:v>
                </c:pt>
                <c:pt idx="283">
                  <c:v>311.07616361071996</c:v>
                </c:pt>
                <c:pt idx="284">
                  <c:v>311.11283497884</c:v>
                </c:pt>
                <c:pt idx="285">
                  <c:v>312.29830747532003</c:v>
                </c:pt>
                <c:pt idx="286">
                  <c:v>310.41325811001002</c:v>
                </c:pt>
                <c:pt idx="287">
                  <c:v>310.44922425951995</c:v>
                </c:pt>
                <c:pt idx="288">
                  <c:v>306.90126939351001</c:v>
                </c:pt>
                <c:pt idx="289">
                  <c:v>307.58956276444997</c:v>
                </c:pt>
                <c:pt idx="290">
                  <c:v>305.72284908321001</c:v>
                </c:pt>
                <c:pt idx="291">
                  <c:v>303.00493653033004</c:v>
                </c:pt>
                <c:pt idx="292">
                  <c:v>308.47179125528999</c:v>
                </c:pt>
                <c:pt idx="293">
                  <c:v>309.38081805359002</c:v>
                </c:pt>
                <c:pt idx="294">
                  <c:v>306.44076163610998</c:v>
                </c:pt>
                <c:pt idx="295">
                  <c:v>307.70662905500001</c:v>
                </c:pt>
                <c:pt idx="296">
                  <c:v>309.23483779972003</c:v>
                </c:pt>
                <c:pt idx="297">
                  <c:v>310.67771509167994</c:v>
                </c:pt>
                <c:pt idx="298">
                  <c:v>309.80465444288001</c:v>
                </c:pt>
                <c:pt idx="299">
                  <c:v>315.24092909438002</c:v>
                </c:pt>
                <c:pt idx="300">
                  <c:v>314.23210763180998</c:v>
                </c:pt>
                <c:pt idx="301">
                  <c:v>311.73214202055999</c:v>
                </c:pt>
                <c:pt idx="302">
                  <c:v>298.91740337120001</c:v>
                </c:pt>
                <c:pt idx="303">
                  <c:v>300.65271197606</c:v>
                </c:pt>
                <c:pt idx="304">
                  <c:v>299.26039183646998</c:v>
                </c:pt>
                <c:pt idx="305">
                  <c:v>300.68728549189001</c:v>
                </c:pt>
                <c:pt idx="306">
                  <c:v>304.23371221936998</c:v>
                </c:pt>
                <c:pt idx="307">
                  <c:v>301.38895823484</c:v>
                </c:pt>
                <c:pt idx="308">
                  <c:v>300.90669255435</c:v>
                </c:pt>
                <c:pt idx="309">
                  <c:v>301.80670778628996</c:v>
                </c:pt>
                <c:pt idx="310">
                  <c:v>301.05088849634001</c:v>
                </c:pt>
                <c:pt idx="311">
                  <c:v>300.43095978967995</c:v>
                </c:pt>
                <c:pt idx="312">
                  <c:v>298.31088865459003</c:v>
                </c:pt>
                <c:pt idx="313">
                  <c:v>293.51440109828002</c:v>
                </c:pt>
                <c:pt idx="314">
                  <c:v>294.08875439149006</c:v>
                </c:pt>
                <c:pt idx="315">
                  <c:v>293.15168944989</c:v>
                </c:pt>
                <c:pt idx="316">
                  <c:v>291.78230466634</c:v>
                </c:pt>
                <c:pt idx="317">
                  <c:v>292.13866423064002</c:v>
                </c:pt>
                <c:pt idx="318">
                  <c:v>289.63924050633</c:v>
                </c:pt>
                <c:pt idx="319">
                  <c:v>288.52022420199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D-094B-9B31-057E7585D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DD-2D40-BB2E-D7AA7BE01C93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'240816E003'!$A$2:$A$321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'240816E003'!$P$2:$P$321</c:f>
              <c:numCache>
                <c:formatCode>General</c:formatCode>
                <c:ptCount val="320"/>
                <c:pt idx="0">
                  <c:v>-0.89226703572214827</c:v>
                </c:pt>
                <c:pt idx="1">
                  <c:v>-2.470214096001873</c:v>
                </c:pt>
                <c:pt idx="2">
                  <c:v>-5.834417192621367</c:v>
                </c:pt>
                <c:pt idx="3">
                  <c:v>-9.8608264053014238</c:v>
                </c:pt>
                <c:pt idx="4">
                  <c:v>-9.2880087043269608</c:v>
                </c:pt>
                <c:pt idx="5">
                  <c:v>-6.6168150148533096</c:v>
                </c:pt>
                <c:pt idx="6">
                  <c:v>-4.9631515418737759</c:v>
                </c:pt>
                <c:pt idx="7">
                  <c:v>-6.9095256277582413</c:v>
                </c:pt>
                <c:pt idx="8">
                  <c:v>-8.4645538589595919</c:v>
                </c:pt>
                <c:pt idx="9">
                  <c:v>-10.027558435099101</c:v>
                </c:pt>
                <c:pt idx="10">
                  <c:v>-11.492597157323523</c:v>
                </c:pt>
                <c:pt idx="11">
                  <c:v>-9.2745643067788492</c:v>
                </c:pt>
                <c:pt idx="12">
                  <c:v>-10.248291784332476</c:v>
                </c:pt>
                <c:pt idx="13">
                  <c:v>-7.9857638424672039</c:v>
                </c:pt>
                <c:pt idx="14">
                  <c:v>-5.2769521033823334</c:v>
                </c:pt>
                <c:pt idx="15">
                  <c:v>-8.8676563844620251</c:v>
                </c:pt>
                <c:pt idx="16">
                  <c:v>-8.5643698849804366</c:v>
                </c:pt>
                <c:pt idx="17">
                  <c:v>-6.3979520305115303</c:v>
                </c:pt>
                <c:pt idx="18">
                  <c:v>-7.0784748659919465</c:v>
                </c:pt>
                <c:pt idx="19">
                  <c:v>-7.2479725637181147</c:v>
                </c:pt>
                <c:pt idx="20">
                  <c:v>-5.8456894320300563</c:v>
                </c:pt>
                <c:pt idx="21">
                  <c:v>-5.5467541318205384</c:v>
                </c:pt>
                <c:pt idx="22">
                  <c:v>-6.8119166577902792</c:v>
                </c:pt>
                <c:pt idx="23">
                  <c:v>-6.7335692306224439</c:v>
                </c:pt>
                <c:pt idx="24">
                  <c:v>-6.8018686084012927</c:v>
                </c:pt>
                <c:pt idx="25">
                  <c:v>0.90232950708315651</c:v>
                </c:pt>
                <c:pt idx="26">
                  <c:v>-5.8106136704839395</c:v>
                </c:pt>
                <c:pt idx="27">
                  <c:v>-7.3183992012732402</c:v>
                </c:pt>
                <c:pt idx="28">
                  <c:v>-6.6939694713288658</c:v>
                </c:pt>
                <c:pt idx="29">
                  <c:v>-5.8718985339387162</c:v>
                </c:pt>
                <c:pt idx="30">
                  <c:v>-4.7718448136260374</c:v>
                </c:pt>
                <c:pt idx="31">
                  <c:v>-5.0487665038541243</c:v>
                </c:pt>
                <c:pt idx="32">
                  <c:v>-5.5431206532894715</c:v>
                </c:pt>
                <c:pt idx="33">
                  <c:v>-5.0428609883794397</c:v>
                </c:pt>
                <c:pt idx="34">
                  <c:v>-5.8358088407671396</c:v>
                </c:pt>
                <c:pt idx="35">
                  <c:v>-7.9475591098553622</c:v>
                </c:pt>
                <c:pt idx="36">
                  <c:v>-8.4784916514985955</c:v>
                </c:pt>
                <c:pt idx="37">
                  <c:v>-8.3961937064243184</c:v>
                </c:pt>
                <c:pt idx="38">
                  <c:v>-7.9299729648551001</c:v>
                </c:pt>
                <c:pt idx="39">
                  <c:v>-8.066668848338491</c:v>
                </c:pt>
                <c:pt idx="40">
                  <c:v>-7.7986477444527704</c:v>
                </c:pt>
                <c:pt idx="41">
                  <c:v>-4.9262295198977695</c:v>
                </c:pt>
                <c:pt idx="42">
                  <c:v>-3.5188218215035048</c:v>
                </c:pt>
                <c:pt idx="43">
                  <c:v>-2.5369159937874608</c:v>
                </c:pt>
                <c:pt idx="44">
                  <c:v>-1.2510587332328806</c:v>
                </c:pt>
                <c:pt idx="45">
                  <c:v>-0.87647223595765444</c:v>
                </c:pt>
                <c:pt idx="46">
                  <c:v>-0.3888371975781566</c:v>
                </c:pt>
                <c:pt idx="47">
                  <c:v>0.31764617780797449</c:v>
                </c:pt>
                <c:pt idx="48">
                  <c:v>-0.30468203942552963</c:v>
                </c:pt>
                <c:pt idx="49">
                  <c:v>-0.48550706546428118</c:v>
                </c:pt>
                <c:pt idx="50">
                  <c:v>0.97230542225628469</c:v>
                </c:pt>
                <c:pt idx="51">
                  <c:v>-0.26364064660504927</c:v>
                </c:pt>
                <c:pt idx="52">
                  <c:v>-0.6179666018038954</c:v>
                </c:pt>
                <c:pt idx="53">
                  <c:v>1.3642702859841547</c:v>
                </c:pt>
                <c:pt idx="54">
                  <c:v>1.0992266138348832</c:v>
                </c:pt>
                <c:pt idx="55">
                  <c:v>1.5650562768929461</c:v>
                </c:pt>
                <c:pt idx="56">
                  <c:v>2.1192289815804459</c:v>
                </c:pt>
                <c:pt idx="57">
                  <c:v>1.4185111740809548</c:v>
                </c:pt>
                <c:pt idx="58">
                  <c:v>0.64264646221448507</c:v>
                </c:pt>
                <c:pt idx="59">
                  <c:v>0.68616103137147766</c:v>
                </c:pt>
                <c:pt idx="60">
                  <c:v>0.80146749086180102</c:v>
                </c:pt>
                <c:pt idx="61">
                  <c:v>0.30768646212946243</c:v>
                </c:pt>
                <c:pt idx="62">
                  <c:v>0.26934110096132291</c:v>
                </c:pt>
                <c:pt idx="63">
                  <c:v>0.3334010847790676</c:v>
                </c:pt>
                <c:pt idx="64">
                  <c:v>-1.2843273430174762</c:v>
                </c:pt>
                <c:pt idx="65">
                  <c:v>-1.2285449414072342</c:v>
                </c:pt>
                <c:pt idx="66">
                  <c:v>-0.2537295672869963</c:v>
                </c:pt>
                <c:pt idx="67">
                  <c:v>0.40581365470207215</c:v>
                </c:pt>
                <c:pt idx="68">
                  <c:v>-1.0581307578318326</c:v>
                </c:pt>
                <c:pt idx="69">
                  <c:v>-0.14751382441371882</c:v>
                </c:pt>
                <c:pt idx="70">
                  <c:v>0.30870644960065807</c:v>
                </c:pt>
                <c:pt idx="71">
                  <c:v>1.0153288317891176</c:v>
                </c:pt>
                <c:pt idx="72">
                  <c:v>0.95741604028675864</c:v>
                </c:pt>
                <c:pt idx="73">
                  <c:v>0.74744658269600328</c:v>
                </c:pt>
                <c:pt idx="74">
                  <c:v>-3.1574958760064005E-2</c:v>
                </c:pt>
                <c:pt idx="75">
                  <c:v>-0.54369468609915406</c:v>
                </c:pt>
                <c:pt idx="76">
                  <c:v>-0.72518289524275215</c:v>
                </c:pt>
                <c:pt idx="77">
                  <c:v>-0.23635808267506789</c:v>
                </c:pt>
                <c:pt idx="78">
                  <c:v>0.50923379238490929</c:v>
                </c:pt>
                <c:pt idx="79">
                  <c:v>-0.1467844334564963</c:v>
                </c:pt>
                <c:pt idx="80">
                  <c:v>-0.26222067376189762</c:v>
                </c:pt>
                <c:pt idx="81">
                  <c:v>-0.88264638593155631</c:v>
                </c:pt>
                <c:pt idx="82">
                  <c:v>-2.2730777199929606</c:v>
                </c:pt>
                <c:pt idx="83">
                  <c:v>10.004129236557171</c:v>
                </c:pt>
                <c:pt idx="84">
                  <c:v>77.972007438709539</c:v>
                </c:pt>
                <c:pt idx="85">
                  <c:v>141.84518965085385</c:v>
                </c:pt>
                <c:pt idx="86">
                  <c:v>186.41469637482192</c:v>
                </c:pt>
                <c:pt idx="87">
                  <c:v>202.68770590626809</c:v>
                </c:pt>
                <c:pt idx="88">
                  <c:v>205.18575804031735</c:v>
                </c:pt>
                <c:pt idx="89">
                  <c:v>197.64145677341293</c:v>
                </c:pt>
                <c:pt idx="90">
                  <c:v>190.59072553936747</c:v>
                </c:pt>
                <c:pt idx="91">
                  <c:v>179.55827032991763</c:v>
                </c:pt>
                <c:pt idx="92">
                  <c:v>169.20097044269465</c:v>
                </c:pt>
                <c:pt idx="93">
                  <c:v>161.58379625371541</c:v>
                </c:pt>
                <c:pt idx="94">
                  <c:v>148.09913970188148</c:v>
                </c:pt>
                <c:pt idx="95">
                  <c:v>131.4815197285489</c:v>
                </c:pt>
                <c:pt idx="96">
                  <c:v>122.11485697146082</c:v>
                </c:pt>
                <c:pt idx="97">
                  <c:v>116.34115252924305</c:v>
                </c:pt>
                <c:pt idx="98">
                  <c:v>104.00220082976412</c:v>
                </c:pt>
                <c:pt idx="99">
                  <c:v>93.21615446303467</c:v>
                </c:pt>
                <c:pt idx="100">
                  <c:v>82.287077544110389</c:v>
                </c:pt>
                <c:pt idx="101">
                  <c:v>68.944605169494594</c:v>
                </c:pt>
                <c:pt idx="102">
                  <c:v>59.58258145579223</c:v>
                </c:pt>
                <c:pt idx="103">
                  <c:v>48.592170408453164</c:v>
                </c:pt>
                <c:pt idx="104">
                  <c:v>40.762355336988414</c:v>
                </c:pt>
                <c:pt idx="105">
                  <c:v>34.048650075920797</c:v>
                </c:pt>
                <c:pt idx="106">
                  <c:v>25.117709170161</c:v>
                </c:pt>
                <c:pt idx="107">
                  <c:v>17.04397025172938</c:v>
                </c:pt>
                <c:pt idx="108">
                  <c:v>9.1828048112709233</c:v>
                </c:pt>
                <c:pt idx="109">
                  <c:v>3.1991121749806797</c:v>
                </c:pt>
                <c:pt idx="110">
                  <c:v>-3.3194125511927934</c:v>
                </c:pt>
                <c:pt idx="111">
                  <c:v>-5.5004750616580571</c:v>
                </c:pt>
                <c:pt idx="112">
                  <c:v>-9.2589759488624779</c:v>
                </c:pt>
                <c:pt idx="113">
                  <c:v>-12.70161654173525</c:v>
                </c:pt>
                <c:pt idx="114">
                  <c:v>-15.065575473565286</c:v>
                </c:pt>
                <c:pt idx="115">
                  <c:v>-17.138817921674914</c:v>
                </c:pt>
                <c:pt idx="116">
                  <c:v>-18.195522881671732</c:v>
                </c:pt>
                <c:pt idx="117">
                  <c:v>-18.991816920331591</c:v>
                </c:pt>
                <c:pt idx="118">
                  <c:v>-20.102088071494869</c:v>
                </c:pt>
                <c:pt idx="119">
                  <c:v>-21.777528399261666</c:v>
                </c:pt>
                <c:pt idx="120">
                  <c:v>-23.538780652434173</c:v>
                </c:pt>
                <c:pt idx="121">
                  <c:v>-23.903283279392209</c:v>
                </c:pt>
                <c:pt idx="122">
                  <c:v>-23.383663336869727</c:v>
                </c:pt>
                <c:pt idx="123">
                  <c:v>-24.747414754044865</c:v>
                </c:pt>
                <c:pt idx="124">
                  <c:v>-26.080528697512623</c:v>
                </c:pt>
                <c:pt idx="125">
                  <c:v>-26.31771120631592</c:v>
                </c:pt>
                <c:pt idx="126">
                  <c:v>-27.946216464441992</c:v>
                </c:pt>
                <c:pt idx="127">
                  <c:v>-25.880317578093106</c:v>
                </c:pt>
                <c:pt idx="128">
                  <c:v>-24.648904729888681</c:v>
                </c:pt>
                <c:pt idx="129">
                  <c:v>-25.912030656525211</c:v>
                </c:pt>
                <c:pt idx="130">
                  <c:v>-25.838007200423547</c:v>
                </c:pt>
                <c:pt idx="131">
                  <c:v>-25.407216074343825</c:v>
                </c:pt>
                <c:pt idx="132">
                  <c:v>-24.865732580015479</c:v>
                </c:pt>
                <c:pt idx="133">
                  <c:v>-25.739135297029677</c:v>
                </c:pt>
                <c:pt idx="134">
                  <c:v>-26.456231206591152</c:v>
                </c:pt>
                <c:pt idx="135">
                  <c:v>-26.977170825295438</c:v>
                </c:pt>
                <c:pt idx="136">
                  <c:v>-26.881416914908275</c:v>
                </c:pt>
                <c:pt idx="137">
                  <c:v>-27.656997805944151</c:v>
                </c:pt>
                <c:pt idx="138">
                  <c:v>-28.585744176663813</c:v>
                </c:pt>
                <c:pt idx="139">
                  <c:v>-28.419197862739292</c:v>
                </c:pt>
                <c:pt idx="140">
                  <c:v>-30.349522610076612</c:v>
                </c:pt>
                <c:pt idx="141">
                  <c:v>-29.991010446541068</c:v>
                </c:pt>
                <c:pt idx="142">
                  <c:v>-29.81117082172015</c:v>
                </c:pt>
                <c:pt idx="143">
                  <c:v>-29.849659275661288</c:v>
                </c:pt>
                <c:pt idx="144">
                  <c:v>-29.423845357777878</c:v>
                </c:pt>
                <c:pt idx="145">
                  <c:v>-26.649465191732091</c:v>
                </c:pt>
                <c:pt idx="146">
                  <c:v>-26.121195973185742</c:v>
                </c:pt>
                <c:pt idx="147">
                  <c:v>-27.50557109828684</c:v>
                </c:pt>
                <c:pt idx="148">
                  <c:v>-26.746211283708636</c:v>
                </c:pt>
                <c:pt idx="149">
                  <c:v>-27.039792499455416</c:v>
                </c:pt>
                <c:pt idx="150">
                  <c:v>-27.795811603403642</c:v>
                </c:pt>
                <c:pt idx="151">
                  <c:v>-27.10825106877013</c:v>
                </c:pt>
                <c:pt idx="152">
                  <c:v>-28.024448482910707</c:v>
                </c:pt>
                <c:pt idx="153">
                  <c:v>-28.037668704705638</c:v>
                </c:pt>
                <c:pt idx="154">
                  <c:v>-29.062776764274563</c:v>
                </c:pt>
                <c:pt idx="155">
                  <c:v>-27.540680876779216</c:v>
                </c:pt>
                <c:pt idx="156">
                  <c:v>-23.219666601253543</c:v>
                </c:pt>
                <c:pt idx="157">
                  <c:v>-21.925689113727007</c:v>
                </c:pt>
                <c:pt idx="158">
                  <c:v>-21.201578835355839</c:v>
                </c:pt>
                <c:pt idx="159">
                  <c:v>-21.428781981065114</c:v>
                </c:pt>
                <c:pt idx="160">
                  <c:v>-23.136134355897813</c:v>
                </c:pt>
                <c:pt idx="161">
                  <c:v>-23.010325630407262</c:v>
                </c:pt>
                <c:pt idx="162">
                  <c:v>-8.499406752962086</c:v>
                </c:pt>
                <c:pt idx="163">
                  <c:v>-14.889260755734259</c:v>
                </c:pt>
                <c:pt idx="164">
                  <c:v>-15.936964021161367</c:v>
                </c:pt>
                <c:pt idx="165">
                  <c:v>-18.296808052194876</c:v>
                </c:pt>
                <c:pt idx="166">
                  <c:v>-20.556927656172309</c:v>
                </c:pt>
                <c:pt idx="167">
                  <c:v>-19.324042468706249</c:v>
                </c:pt>
                <c:pt idx="168">
                  <c:v>-18.539700438697423</c:v>
                </c:pt>
                <c:pt idx="169">
                  <c:v>-15.945430633368417</c:v>
                </c:pt>
                <c:pt idx="170">
                  <c:v>-15.839345365162904</c:v>
                </c:pt>
                <c:pt idx="171">
                  <c:v>-15.112640599596919</c:v>
                </c:pt>
                <c:pt idx="172">
                  <c:v>-11.492519759585045</c:v>
                </c:pt>
                <c:pt idx="173">
                  <c:v>-11.054159735467191</c:v>
                </c:pt>
                <c:pt idx="174">
                  <c:v>-15.740827957251049</c:v>
                </c:pt>
                <c:pt idx="175">
                  <c:v>-16.268989277592485</c:v>
                </c:pt>
                <c:pt idx="176">
                  <c:v>-15.231401687885699</c:v>
                </c:pt>
                <c:pt idx="177">
                  <c:v>-16.935447323634346</c:v>
                </c:pt>
                <c:pt idx="178">
                  <c:v>-16.788633711769698</c:v>
                </c:pt>
                <c:pt idx="179">
                  <c:v>-16.183172377706757</c:v>
                </c:pt>
                <c:pt idx="180">
                  <c:v>-15.726341784920089</c:v>
                </c:pt>
                <c:pt idx="181">
                  <c:v>-15.653027180759594</c:v>
                </c:pt>
                <c:pt idx="182">
                  <c:v>-17.946103578558038</c:v>
                </c:pt>
                <c:pt idx="183">
                  <c:v>-18.120681867437987</c:v>
                </c:pt>
                <c:pt idx="184">
                  <c:v>-17.635440629544792</c:v>
                </c:pt>
                <c:pt idx="185">
                  <c:v>-16.586141687113457</c:v>
                </c:pt>
                <c:pt idx="186">
                  <c:v>-16.272299117112098</c:v>
                </c:pt>
                <c:pt idx="187">
                  <c:v>-16.584982505892988</c:v>
                </c:pt>
                <c:pt idx="188">
                  <c:v>-17.357497153598029</c:v>
                </c:pt>
                <c:pt idx="189">
                  <c:v>-16.762234699966466</c:v>
                </c:pt>
                <c:pt idx="190">
                  <c:v>-16.776581766178872</c:v>
                </c:pt>
                <c:pt idx="191">
                  <c:v>-16.586258704076727</c:v>
                </c:pt>
                <c:pt idx="192">
                  <c:v>-15.789977885649547</c:v>
                </c:pt>
                <c:pt idx="193">
                  <c:v>-15.590482265877197</c:v>
                </c:pt>
                <c:pt idx="194">
                  <c:v>-15.455485021299681</c:v>
                </c:pt>
                <c:pt idx="195">
                  <c:v>-15.453535594195925</c:v>
                </c:pt>
                <c:pt idx="196">
                  <c:v>-15.295240816872862</c:v>
                </c:pt>
                <c:pt idx="197">
                  <c:v>-14.472312880876686</c:v>
                </c:pt>
                <c:pt idx="198">
                  <c:v>-15.860617508695771</c:v>
                </c:pt>
                <c:pt idx="199">
                  <c:v>-14.093689384918237</c:v>
                </c:pt>
                <c:pt idx="200">
                  <c:v>-14.340076442669853</c:v>
                </c:pt>
                <c:pt idx="201">
                  <c:v>-14.196324552761233</c:v>
                </c:pt>
                <c:pt idx="202">
                  <c:v>-15.474560984353333</c:v>
                </c:pt>
                <c:pt idx="203">
                  <c:v>-14.771683025639398</c:v>
                </c:pt>
                <c:pt idx="204">
                  <c:v>-13.627602808976896</c:v>
                </c:pt>
                <c:pt idx="205">
                  <c:v>-13.800600018048033</c:v>
                </c:pt>
                <c:pt idx="206">
                  <c:v>-13.266317526068134</c:v>
                </c:pt>
                <c:pt idx="207">
                  <c:v>-13.267371177056672</c:v>
                </c:pt>
                <c:pt idx="208">
                  <c:v>-12.856838782196053</c:v>
                </c:pt>
                <c:pt idx="209">
                  <c:v>-10.866287847252156</c:v>
                </c:pt>
                <c:pt idx="210">
                  <c:v>-10.831247289003034</c:v>
                </c:pt>
                <c:pt idx="211">
                  <c:v>-11.871538016126049</c:v>
                </c:pt>
                <c:pt idx="212">
                  <c:v>-10.64903035401607</c:v>
                </c:pt>
                <c:pt idx="213">
                  <c:v>-10.160795099351329</c:v>
                </c:pt>
                <c:pt idx="214">
                  <c:v>-10.449198243872971</c:v>
                </c:pt>
                <c:pt idx="215">
                  <c:v>-10.108325239187245</c:v>
                </c:pt>
                <c:pt idx="216">
                  <c:v>-10.58393228294195</c:v>
                </c:pt>
                <c:pt idx="217">
                  <c:v>-9.9041426196865245</c:v>
                </c:pt>
                <c:pt idx="218">
                  <c:v>-9.0795404028975391</c:v>
                </c:pt>
                <c:pt idx="219">
                  <c:v>-9.6524610190021374</c:v>
                </c:pt>
                <c:pt idx="220">
                  <c:v>-9.382235035426687</c:v>
                </c:pt>
                <c:pt idx="221">
                  <c:v>-7.3373917449690618</c:v>
                </c:pt>
                <c:pt idx="222">
                  <c:v>-9.5085689005108112</c:v>
                </c:pt>
                <c:pt idx="223">
                  <c:v>-8.0821198286890894</c:v>
                </c:pt>
                <c:pt idx="224">
                  <c:v>-7.5638303445131561</c:v>
                </c:pt>
                <c:pt idx="225">
                  <c:v>-6.6562443285234059</c:v>
                </c:pt>
                <c:pt idx="226">
                  <c:v>-7.680850138344085</c:v>
                </c:pt>
                <c:pt idx="227">
                  <c:v>-8.3639993937757495</c:v>
                </c:pt>
                <c:pt idx="228">
                  <c:v>-8.0845594301807608</c:v>
                </c:pt>
                <c:pt idx="229">
                  <c:v>-7.7642416399871541</c:v>
                </c:pt>
                <c:pt idx="230">
                  <c:v>-7.052897354891936</c:v>
                </c:pt>
                <c:pt idx="231">
                  <c:v>-7.2825254980196323</c:v>
                </c:pt>
                <c:pt idx="232">
                  <c:v>-5.4855788983752616</c:v>
                </c:pt>
                <c:pt idx="233">
                  <c:v>-5.3058767455431974</c:v>
                </c:pt>
                <c:pt idx="234">
                  <c:v>-4.861124464664079</c:v>
                </c:pt>
                <c:pt idx="235">
                  <c:v>-4.3324548812538843</c:v>
                </c:pt>
                <c:pt idx="236">
                  <c:v>-0.15757569501127436</c:v>
                </c:pt>
                <c:pt idx="237">
                  <c:v>-0.61280102358658006</c:v>
                </c:pt>
                <c:pt idx="238">
                  <c:v>2.4870036757509966</c:v>
                </c:pt>
                <c:pt idx="239">
                  <c:v>3.064410699694327</c:v>
                </c:pt>
                <c:pt idx="240">
                  <c:v>7.0261851043444237</c:v>
                </c:pt>
                <c:pt idx="241">
                  <c:v>8.303345103804034</c:v>
                </c:pt>
                <c:pt idx="242">
                  <c:v>9.4931238091519496</c:v>
                </c:pt>
                <c:pt idx="243">
                  <c:v>10.532513718535512</c:v>
                </c:pt>
                <c:pt idx="244">
                  <c:v>13.413234648587</c:v>
                </c:pt>
                <c:pt idx="245">
                  <c:v>13.337647022595311</c:v>
                </c:pt>
                <c:pt idx="246">
                  <c:v>13.072701730371431</c:v>
                </c:pt>
                <c:pt idx="247">
                  <c:v>14.080255538989809</c:v>
                </c:pt>
                <c:pt idx="248">
                  <c:v>13.43413207462727</c:v>
                </c:pt>
                <c:pt idx="249">
                  <c:v>15.520245221674015</c:v>
                </c:pt>
                <c:pt idx="250">
                  <c:v>15.164084182703064</c:v>
                </c:pt>
                <c:pt idx="251">
                  <c:v>18.49458303778399</c:v>
                </c:pt>
                <c:pt idx="252">
                  <c:v>18.221080632093351</c:v>
                </c:pt>
                <c:pt idx="253">
                  <c:v>18.04481968843244</c:v>
                </c:pt>
                <c:pt idx="254">
                  <c:v>17.912835138999274</c:v>
                </c:pt>
                <c:pt idx="255">
                  <c:v>17.102689284299711</c:v>
                </c:pt>
                <c:pt idx="256">
                  <c:v>16.821511412106911</c:v>
                </c:pt>
                <c:pt idx="257">
                  <c:v>16.800502428214063</c:v>
                </c:pt>
                <c:pt idx="258">
                  <c:v>17.794819831727729</c:v>
                </c:pt>
                <c:pt idx="259">
                  <c:v>19.238902680988506</c:v>
                </c:pt>
                <c:pt idx="260">
                  <c:v>18.625251705219604</c:v>
                </c:pt>
                <c:pt idx="261">
                  <c:v>18.079418216556999</c:v>
                </c:pt>
                <c:pt idx="262">
                  <c:v>17.365362967085517</c:v>
                </c:pt>
                <c:pt idx="263">
                  <c:v>16.586587768564154</c:v>
                </c:pt>
                <c:pt idx="264">
                  <c:v>15.03777176174254</c:v>
                </c:pt>
                <c:pt idx="265">
                  <c:v>14.664352087299315</c:v>
                </c:pt>
                <c:pt idx="266">
                  <c:v>12.622626286019397</c:v>
                </c:pt>
                <c:pt idx="267">
                  <c:v>11.483101465543951</c:v>
                </c:pt>
                <c:pt idx="268">
                  <c:v>11.859108073152759</c:v>
                </c:pt>
                <c:pt idx="269">
                  <c:v>12.144147269798514</c:v>
                </c:pt>
                <c:pt idx="270">
                  <c:v>9.7729730563073129</c:v>
                </c:pt>
                <c:pt idx="271">
                  <c:v>10.263838949165429</c:v>
                </c:pt>
                <c:pt idx="272">
                  <c:v>9.9859269597856279</c:v>
                </c:pt>
                <c:pt idx="273">
                  <c:v>7.6414660605687539</c:v>
                </c:pt>
                <c:pt idx="274">
                  <c:v>4.9040643196258351</c:v>
                </c:pt>
                <c:pt idx="275">
                  <c:v>5.9391483676349752</c:v>
                </c:pt>
                <c:pt idx="276">
                  <c:v>5.030534024715247</c:v>
                </c:pt>
                <c:pt idx="277">
                  <c:v>5.8217030266401544</c:v>
                </c:pt>
                <c:pt idx="278">
                  <c:v>4.8572245699265579</c:v>
                </c:pt>
                <c:pt idx="279">
                  <c:v>4.4049025198196254</c:v>
                </c:pt>
                <c:pt idx="280">
                  <c:v>4.686971330319003</c:v>
                </c:pt>
                <c:pt idx="281">
                  <c:v>4.5418514662503435</c:v>
                </c:pt>
                <c:pt idx="282">
                  <c:v>5.9676333985709089</c:v>
                </c:pt>
                <c:pt idx="283">
                  <c:v>5.2587922212886458</c:v>
                </c:pt>
                <c:pt idx="284">
                  <c:v>5.3016493165019805</c:v>
                </c:pt>
                <c:pt idx="285">
                  <c:v>7.2361454994296093</c:v>
                </c:pt>
                <c:pt idx="286">
                  <c:v>6.8663979630651681</c:v>
                </c:pt>
                <c:pt idx="287">
                  <c:v>7.6184032342200201</c:v>
                </c:pt>
                <c:pt idx="288">
                  <c:v>10.969049954546851</c:v>
                </c:pt>
                <c:pt idx="289">
                  <c:v>11.704978367371783</c:v>
                </c:pt>
                <c:pt idx="290">
                  <c:v>11.39727796540606</c:v>
                </c:pt>
                <c:pt idx="291">
                  <c:v>12.31911571520072</c:v>
                </c:pt>
                <c:pt idx="292">
                  <c:v>11.379192562554991</c:v>
                </c:pt>
                <c:pt idx="293">
                  <c:v>11.953637774381095</c:v>
                </c:pt>
                <c:pt idx="294">
                  <c:v>11.683833427003</c:v>
                </c:pt>
                <c:pt idx="295">
                  <c:v>12.208700687076544</c:v>
                </c:pt>
                <c:pt idx="296">
                  <c:v>11.555234896948244</c:v>
                </c:pt>
                <c:pt idx="297">
                  <c:v>10.307536621622669</c:v>
                </c:pt>
                <c:pt idx="298">
                  <c:v>8.5475459742306228</c:v>
                </c:pt>
                <c:pt idx="299">
                  <c:v>12.02408061673629</c:v>
                </c:pt>
                <c:pt idx="300">
                  <c:v>10.661502452635636</c:v>
                </c:pt>
                <c:pt idx="301">
                  <c:v>10.848129379947151</c:v>
                </c:pt>
                <c:pt idx="302">
                  <c:v>12.294693395930819</c:v>
                </c:pt>
                <c:pt idx="303">
                  <c:v>11.960449562850927</c:v>
                </c:pt>
                <c:pt idx="304">
                  <c:v>12.378589450981833</c:v>
                </c:pt>
                <c:pt idx="305">
                  <c:v>13.215578145567953</c:v>
                </c:pt>
                <c:pt idx="306">
                  <c:v>12.290547035279294</c:v>
                </c:pt>
                <c:pt idx="307">
                  <c:v>13.591371397400707</c:v>
                </c:pt>
                <c:pt idx="308">
                  <c:v>13.650576221628896</c:v>
                </c:pt>
                <c:pt idx="309">
                  <c:v>12.755160168490528</c:v>
                </c:pt>
                <c:pt idx="310">
                  <c:v>13.494362805314289</c:v>
                </c:pt>
                <c:pt idx="311">
                  <c:v>12.150863612592362</c:v>
                </c:pt>
                <c:pt idx="312">
                  <c:v>11.947043206975588</c:v>
                </c:pt>
                <c:pt idx="313">
                  <c:v>12.530683545044031</c:v>
                </c:pt>
                <c:pt idx="314">
                  <c:v>9.5643596143789527</c:v>
                </c:pt>
                <c:pt idx="315">
                  <c:v>10.665353805132566</c:v>
                </c:pt>
                <c:pt idx="316">
                  <c:v>11.433789354793413</c:v>
                </c:pt>
                <c:pt idx="317">
                  <c:v>10.98285835886424</c:v>
                </c:pt>
                <c:pt idx="318">
                  <c:v>11.444919970355416</c:v>
                </c:pt>
                <c:pt idx="319">
                  <c:v>10.884681513330635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DD-2D40-BB2E-D7AA7BE01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'240816E004'!$A$2:$A$321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'240816E004'!$J$2:$J$321</c:f>
              <c:numCache>
                <c:formatCode>0.0</c:formatCode>
                <c:ptCount val="320"/>
                <c:pt idx="0">
                  <c:v>378.93099057078001</c:v>
                </c:pt>
                <c:pt idx="1">
                  <c:v>405.97619703605005</c:v>
                </c:pt>
                <c:pt idx="2">
                  <c:v>502.43601064461996</c:v>
                </c:pt>
                <c:pt idx="3">
                  <c:v>552.85033697521999</c:v>
                </c:pt>
                <c:pt idx="4">
                  <c:v>512.07820736922008</c:v>
                </c:pt>
                <c:pt idx="5">
                  <c:v>508.86452573294002</c:v>
                </c:pt>
                <c:pt idx="6">
                  <c:v>501.91556476291998</c:v>
                </c:pt>
                <c:pt idx="7">
                  <c:v>496.92360697097001</c:v>
                </c:pt>
                <c:pt idx="8">
                  <c:v>509.03702926442008</c:v>
                </c:pt>
                <c:pt idx="9">
                  <c:v>512.54702103584009</c:v>
                </c:pt>
                <c:pt idx="10">
                  <c:v>532.93130755047991</c:v>
                </c:pt>
                <c:pt idx="11">
                  <c:v>906.88910225631992</c:v>
                </c:pt>
                <c:pt idx="12">
                  <c:v>894.35861737874006</c:v>
                </c:pt>
                <c:pt idx="13">
                  <c:v>829.23715794527004</c:v>
                </c:pt>
                <c:pt idx="14">
                  <c:v>844.24509641600002</c:v>
                </c:pt>
                <c:pt idx="15">
                  <c:v>838.18520758415002</c:v>
                </c:pt>
                <c:pt idx="16">
                  <c:v>833.8528350972</c:v>
                </c:pt>
                <c:pt idx="17">
                  <c:v>799.20329700628997</c:v>
                </c:pt>
                <c:pt idx="18">
                  <c:v>782.02251564882999</c:v>
                </c:pt>
                <c:pt idx="19">
                  <c:v>782.94268712336998</c:v>
                </c:pt>
                <c:pt idx="20">
                  <c:v>829.47306101795004</c:v>
                </c:pt>
                <c:pt idx="21">
                  <c:v>792.62214130021994</c:v>
                </c:pt>
                <c:pt idx="22">
                  <c:v>836.80887727164009</c:v>
                </c:pt>
                <c:pt idx="23">
                  <c:v>849.05553220722004</c:v>
                </c:pt>
                <c:pt idx="24">
                  <c:v>860.79558425853998</c:v>
                </c:pt>
                <c:pt idx="25">
                  <c:v>853.95259833244006</c:v>
                </c:pt>
                <c:pt idx="26">
                  <c:v>826.96445914830997</c:v>
                </c:pt>
                <c:pt idx="27">
                  <c:v>851.33717777801996</c:v>
                </c:pt>
                <c:pt idx="28">
                  <c:v>860.99657396596001</c:v>
                </c:pt>
                <c:pt idx="29">
                  <c:v>866.91979384962008</c:v>
                </c:pt>
                <c:pt idx="30">
                  <c:v>810.97354797446997</c:v>
                </c:pt>
                <c:pt idx="31">
                  <c:v>822.00486323594998</c:v>
                </c:pt>
                <c:pt idx="32">
                  <c:v>807.12497984254992</c:v>
                </c:pt>
                <c:pt idx="33">
                  <c:v>874.29592147354992</c:v>
                </c:pt>
                <c:pt idx="34">
                  <c:v>845.52310782820996</c:v>
                </c:pt>
                <c:pt idx="35">
                  <c:v>801.50084406567998</c:v>
                </c:pt>
                <c:pt idx="36">
                  <c:v>785.78636581853004</c:v>
                </c:pt>
                <c:pt idx="37">
                  <c:v>790.01872299568004</c:v>
                </c:pt>
                <c:pt idx="38">
                  <c:v>781.27364378301002</c:v>
                </c:pt>
                <c:pt idx="39">
                  <c:v>792.87710033605003</c:v>
                </c:pt>
                <c:pt idx="40">
                  <c:v>783.56066337215998</c:v>
                </c:pt>
                <c:pt idx="41">
                  <c:v>801.2095390156901</c:v>
                </c:pt>
                <c:pt idx="42">
                  <c:v>794.14181040559004</c:v>
                </c:pt>
                <c:pt idx="43">
                  <c:v>782.03946734313001</c:v>
                </c:pt>
                <c:pt idx="44">
                  <c:v>760.77454360982995</c:v>
                </c:pt>
                <c:pt idx="45">
                  <c:v>763.63260443630998</c:v>
                </c:pt>
                <c:pt idx="46">
                  <c:v>754.45241645197996</c:v>
                </c:pt>
                <c:pt idx="47">
                  <c:v>770.21866010815006</c:v>
                </c:pt>
                <c:pt idx="48">
                  <c:v>763.14537930105007</c:v>
                </c:pt>
                <c:pt idx="49">
                  <c:v>772.02252992867</c:v>
                </c:pt>
                <c:pt idx="50">
                  <c:v>792.71682181306994</c:v>
                </c:pt>
                <c:pt idx="51">
                  <c:v>778.63583307141994</c:v>
                </c:pt>
                <c:pt idx="52">
                  <c:v>782.87354016930999</c:v>
                </c:pt>
                <c:pt idx="53">
                  <c:v>754.05435275400009</c:v>
                </c:pt>
                <c:pt idx="54">
                  <c:v>740.10972184326999</c:v>
                </c:pt>
                <c:pt idx="55">
                  <c:v>726.61673867819002</c:v>
                </c:pt>
                <c:pt idx="56">
                  <c:v>711.76282041098</c:v>
                </c:pt>
                <c:pt idx="57">
                  <c:v>749.20769184073004</c:v>
                </c:pt>
                <c:pt idx="58">
                  <c:v>759.25130329732997</c:v>
                </c:pt>
                <c:pt idx="59">
                  <c:v>747.07355133405997</c:v>
                </c:pt>
                <c:pt idx="60">
                  <c:v>765.76600389202997</c:v>
                </c:pt>
                <c:pt idx="61">
                  <c:v>728.86779818264995</c:v>
                </c:pt>
                <c:pt idx="62">
                  <c:v>694.76900855462009</c:v>
                </c:pt>
                <c:pt idx="63">
                  <c:v>721.27191087923006</c:v>
                </c:pt>
                <c:pt idx="64">
                  <c:v>651.62944016102995</c:v>
                </c:pt>
                <c:pt idx="65">
                  <c:v>636.3072526302999</c:v>
                </c:pt>
                <c:pt idx="66">
                  <c:v>642.02718067661999</c:v>
                </c:pt>
                <c:pt idx="67">
                  <c:v>650.89372857728995</c:v>
                </c:pt>
                <c:pt idx="68">
                  <c:v>657.67641550359008</c:v>
                </c:pt>
                <c:pt idx="69">
                  <c:v>686.37871050211004</c:v>
                </c:pt>
                <c:pt idx="70">
                  <c:v>699.96957978819</c:v>
                </c:pt>
                <c:pt idx="71">
                  <c:v>707.41665207155995</c:v>
                </c:pt>
                <c:pt idx="72">
                  <c:v>679.59389943836993</c:v>
                </c:pt>
                <c:pt idx="73">
                  <c:v>682.19779557982997</c:v>
                </c:pt>
                <c:pt idx="74">
                  <c:v>666.47249862192007</c:v>
                </c:pt>
                <c:pt idx="75">
                  <c:v>693.77617654628989</c:v>
                </c:pt>
                <c:pt idx="76">
                  <c:v>703.28106972573005</c:v>
                </c:pt>
                <c:pt idx="77">
                  <c:v>629.49351155943998</c:v>
                </c:pt>
                <c:pt idx="78">
                  <c:v>616.43365882155001</c:v>
                </c:pt>
                <c:pt idx="79">
                  <c:v>618.44580441787002</c:v>
                </c:pt>
                <c:pt idx="80">
                  <c:v>662.73733921764995</c:v>
                </c:pt>
                <c:pt idx="81">
                  <c:v>618.41818322739005</c:v>
                </c:pt>
                <c:pt idx="82">
                  <c:v>639.34959932050003</c:v>
                </c:pt>
                <c:pt idx="83">
                  <c:v>672.67426672883005</c:v>
                </c:pt>
                <c:pt idx="84">
                  <c:v>646.92971190776007</c:v>
                </c:pt>
                <c:pt idx="85">
                  <c:v>675.67624035230995</c:v>
                </c:pt>
                <c:pt idx="86">
                  <c:v>668.04649451603996</c:v>
                </c:pt>
                <c:pt idx="87">
                  <c:v>643.40521552679002</c:v>
                </c:pt>
                <c:pt idx="88">
                  <c:v>649.92471587761997</c:v>
                </c:pt>
                <c:pt idx="89">
                  <c:v>666.56419665608007</c:v>
                </c:pt>
                <c:pt idx="90">
                  <c:v>685.96969515121998</c:v>
                </c:pt>
                <c:pt idx="91">
                  <c:v>707.34963440304</c:v>
                </c:pt>
                <c:pt idx="92">
                  <c:v>682.86090696696999</c:v>
                </c:pt>
                <c:pt idx="93">
                  <c:v>692.93916971881004</c:v>
                </c:pt>
                <c:pt idx="94">
                  <c:v>701.96660480141998</c:v>
                </c:pt>
                <c:pt idx="95">
                  <c:v>789.25660915774995</c:v>
                </c:pt>
                <c:pt idx="96">
                  <c:v>771.93431052865003</c:v>
                </c:pt>
                <c:pt idx="97">
                  <c:v>782.74776939779008</c:v>
                </c:pt>
                <c:pt idx="98">
                  <c:v>834.32462498473001</c:v>
                </c:pt>
                <c:pt idx="99">
                  <c:v>816.86306937709003</c:v>
                </c:pt>
                <c:pt idx="100">
                  <c:v>839.97443084175006</c:v>
                </c:pt>
                <c:pt idx="101">
                  <c:v>849.83785446114007</c:v>
                </c:pt>
                <c:pt idx="102">
                  <c:v>871.10155531482997</c:v>
                </c:pt>
                <c:pt idx="103">
                  <c:v>859.31120748106002</c:v>
                </c:pt>
                <c:pt idx="104">
                  <c:v>867.83220112904996</c:v>
                </c:pt>
                <c:pt idx="105">
                  <c:v>876.70868402525002</c:v>
                </c:pt>
                <c:pt idx="106">
                  <c:v>893.15952748966993</c:v>
                </c:pt>
                <c:pt idx="107">
                  <c:v>853.21904707065005</c:v>
                </c:pt>
                <c:pt idx="108">
                  <c:v>792.71476777325006</c:v>
                </c:pt>
                <c:pt idx="109">
                  <c:v>815.13114364578996</c:v>
                </c:pt>
                <c:pt idx="110">
                  <c:v>801.77076691170998</c:v>
                </c:pt>
                <c:pt idx="111">
                  <c:v>831.79065213624995</c:v>
                </c:pt>
                <c:pt idx="112">
                  <c:v>783.59205651665002</c:v>
                </c:pt>
                <c:pt idx="113">
                  <c:v>784.25381229665004</c:v>
                </c:pt>
                <c:pt idx="114">
                  <c:v>801.41904015551006</c:v>
                </c:pt>
                <c:pt idx="115">
                  <c:v>773.03251718737999</c:v>
                </c:pt>
                <c:pt idx="116">
                  <c:v>821.97968451502004</c:v>
                </c:pt>
                <c:pt idx="117">
                  <c:v>811.58109503190997</c:v>
                </c:pt>
                <c:pt idx="118">
                  <c:v>782.51850533471998</c:v>
                </c:pt>
                <c:pt idx="119">
                  <c:v>784.36482423443999</c:v>
                </c:pt>
                <c:pt idx="120">
                  <c:v>886.4164263783299</c:v>
                </c:pt>
                <c:pt idx="121">
                  <c:v>922.06189100243</c:v>
                </c:pt>
                <c:pt idx="122">
                  <c:v>979.75636437578009</c:v>
                </c:pt>
                <c:pt idx="123">
                  <c:v>988.63793153359006</c:v>
                </c:pt>
                <c:pt idx="124">
                  <c:v>936.46805705994007</c:v>
                </c:pt>
                <c:pt idx="125">
                  <c:v>926.67899998587006</c:v>
                </c:pt>
                <c:pt idx="126">
                  <c:v>945.99390351085003</c:v>
                </c:pt>
                <c:pt idx="127">
                  <c:v>932.11911859748989</c:v>
                </c:pt>
                <c:pt idx="128">
                  <c:v>966.07085864510998</c:v>
                </c:pt>
                <c:pt idx="129">
                  <c:v>952.77191296766</c:v>
                </c:pt>
                <c:pt idx="130">
                  <c:v>947.39192293845997</c:v>
                </c:pt>
                <c:pt idx="131">
                  <c:v>955.91195298941</c:v>
                </c:pt>
                <c:pt idx="132">
                  <c:v>925.20646441895997</c:v>
                </c:pt>
                <c:pt idx="133">
                  <c:v>912.60259818492</c:v>
                </c:pt>
                <c:pt idx="134">
                  <c:v>941.00888072863995</c:v>
                </c:pt>
                <c:pt idx="135">
                  <c:v>910.74608575836999</c:v>
                </c:pt>
                <c:pt idx="136">
                  <c:v>905.89673547767995</c:v>
                </c:pt>
                <c:pt idx="137">
                  <c:v>910.32011498760994</c:v>
                </c:pt>
                <c:pt idx="138">
                  <c:v>918.94990883155003</c:v>
                </c:pt>
                <c:pt idx="139">
                  <c:v>862.41253623658997</c:v>
                </c:pt>
                <c:pt idx="140">
                  <c:v>814.83917796078003</c:v>
                </c:pt>
                <c:pt idx="141">
                  <c:v>788.86025633331997</c:v>
                </c:pt>
                <c:pt idx="142">
                  <c:v>807.82159399350007</c:v>
                </c:pt>
                <c:pt idx="143">
                  <c:v>890.0511297961101</c:v>
                </c:pt>
                <c:pt idx="144">
                  <c:v>881.37772397435003</c:v>
                </c:pt>
                <c:pt idx="145">
                  <c:v>893.22585606003997</c:v>
                </c:pt>
                <c:pt idx="146">
                  <c:v>901.94676940617001</c:v>
                </c:pt>
                <c:pt idx="147">
                  <c:v>969.57886631140002</c:v>
                </c:pt>
                <c:pt idx="148">
                  <c:v>953.70307052694989</c:v>
                </c:pt>
                <c:pt idx="149">
                  <c:v>966.0692004028499</c:v>
                </c:pt>
                <c:pt idx="150">
                  <c:v>972.04839900042998</c:v>
                </c:pt>
                <c:pt idx="151">
                  <c:v>980.82879148003008</c:v>
                </c:pt>
                <c:pt idx="152">
                  <c:v>953.17205610863016</c:v>
                </c:pt>
                <c:pt idx="153">
                  <c:v>954.69728533551984</c:v>
                </c:pt>
                <c:pt idx="154">
                  <c:v>942.6447699711</c:v>
                </c:pt>
                <c:pt idx="155">
                  <c:v>912.36071566349005</c:v>
                </c:pt>
                <c:pt idx="156">
                  <c:v>899.88028497655989</c:v>
                </c:pt>
                <c:pt idx="157">
                  <c:v>873.05018409107004</c:v>
                </c:pt>
                <c:pt idx="158">
                  <c:v>889.23137136704997</c:v>
                </c:pt>
                <c:pt idx="159">
                  <c:v>933.0145903924199</c:v>
                </c:pt>
                <c:pt idx="160">
                  <c:v>938.24570377637008</c:v>
                </c:pt>
                <c:pt idx="161">
                  <c:v>959.49551997888011</c:v>
                </c:pt>
                <c:pt idx="162">
                  <c:v>961.17084055189991</c:v>
                </c:pt>
                <c:pt idx="163">
                  <c:v>975.68748762118003</c:v>
                </c:pt>
                <c:pt idx="164">
                  <c:v>971.77898192295004</c:v>
                </c:pt>
                <c:pt idx="165">
                  <c:v>959.86244159031003</c:v>
                </c:pt>
                <c:pt idx="166">
                  <c:v>915.57084852535991</c:v>
                </c:pt>
                <c:pt idx="167">
                  <c:v>928.09074214146005</c:v>
                </c:pt>
                <c:pt idx="168">
                  <c:v>930.38891165798998</c:v>
                </c:pt>
                <c:pt idx="169">
                  <c:v>938.57949152523997</c:v>
                </c:pt>
                <c:pt idx="170">
                  <c:v>892.58570988301994</c:v>
                </c:pt>
                <c:pt idx="171">
                  <c:v>904.53243706671003</c:v>
                </c:pt>
                <c:pt idx="172">
                  <c:v>897.01114503635995</c:v>
                </c:pt>
                <c:pt idx="173">
                  <c:v>910.88445766342011</c:v>
                </c:pt>
                <c:pt idx="174">
                  <c:v>922.37964210948996</c:v>
                </c:pt>
                <c:pt idx="175">
                  <c:v>914.37432591720994</c:v>
                </c:pt>
                <c:pt idx="176">
                  <c:v>913.97924603448996</c:v>
                </c:pt>
                <c:pt idx="177">
                  <c:v>914.05853587195998</c:v>
                </c:pt>
                <c:pt idx="178">
                  <c:v>931.85932456886007</c:v>
                </c:pt>
                <c:pt idx="179">
                  <c:v>948.09845659918994</c:v>
                </c:pt>
                <c:pt idx="180">
                  <c:v>933.65052993092991</c:v>
                </c:pt>
                <c:pt idx="181">
                  <c:v>916.62734776029004</c:v>
                </c:pt>
                <c:pt idx="182">
                  <c:v>958.6422329111299</c:v>
                </c:pt>
                <c:pt idx="183">
                  <c:v>996.39274553155997</c:v>
                </c:pt>
                <c:pt idx="184">
                  <c:v>950.26551303177996</c:v>
                </c:pt>
                <c:pt idx="185">
                  <c:v>945.45574566759012</c:v>
                </c:pt>
                <c:pt idx="186">
                  <c:v>940.25443909023988</c:v>
                </c:pt>
                <c:pt idx="187">
                  <c:v>930.72774228254991</c:v>
                </c:pt>
                <c:pt idx="188">
                  <c:v>924.90974856842001</c:v>
                </c:pt>
                <c:pt idx="189">
                  <c:v>972.29042332405993</c:v>
                </c:pt>
                <c:pt idx="190">
                  <c:v>983.75974771204994</c:v>
                </c:pt>
                <c:pt idx="191">
                  <c:v>978.76160737304997</c:v>
                </c:pt>
                <c:pt idx="192">
                  <c:v>1011.41699069152</c:v>
                </c:pt>
                <c:pt idx="193">
                  <c:v>1012.2654294952499</c:v>
                </c:pt>
                <c:pt idx="194">
                  <c:v>1007.81311639261</c:v>
                </c:pt>
                <c:pt idx="195">
                  <c:v>968.52715811876999</c:v>
                </c:pt>
                <c:pt idx="196">
                  <c:v>937.1475568717201</c:v>
                </c:pt>
                <c:pt idx="197">
                  <c:v>964.50779193585993</c:v>
                </c:pt>
                <c:pt idx="198">
                  <c:v>942.43923928064987</c:v>
                </c:pt>
                <c:pt idx="199">
                  <c:v>955.09415058213995</c:v>
                </c:pt>
                <c:pt idx="200">
                  <c:v>969.97290770379004</c:v>
                </c:pt>
                <c:pt idx="201">
                  <c:v>915.35724540018998</c:v>
                </c:pt>
                <c:pt idx="202">
                  <c:v>954.11876753287993</c:v>
                </c:pt>
                <c:pt idx="203">
                  <c:v>978.22134780115016</c:v>
                </c:pt>
                <c:pt idx="204">
                  <c:v>993.14369821104003</c:v>
                </c:pt>
                <c:pt idx="205">
                  <c:v>962.1830311934699</c:v>
                </c:pt>
                <c:pt idx="206">
                  <c:v>975.49655513077005</c:v>
                </c:pt>
                <c:pt idx="207">
                  <c:v>920.36319603908009</c:v>
                </c:pt>
                <c:pt idx="208">
                  <c:v>953.72818027748008</c:v>
                </c:pt>
                <c:pt idx="209">
                  <c:v>989.61976181247996</c:v>
                </c:pt>
                <c:pt idx="210">
                  <c:v>1013.1379673664001</c:v>
                </c:pt>
                <c:pt idx="211">
                  <c:v>1012.9279086581901</c:v>
                </c:pt>
                <c:pt idx="212">
                  <c:v>1003.22935947212</c:v>
                </c:pt>
                <c:pt idx="213">
                  <c:v>1005.83817480163</c:v>
                </c:pt>
                <c:pt idx="214">
                  <c:v>913.16590423259004</c:v>
                </c:pt>
                <c:pt idx="215">
                  <c:v>883.51440970437011</c:v>
                </c:pt>
                <c:pt idx="216">
                  <c:v>884.20244048295012</c:v>
                </c:pt>
                <c:pt idx="217">
                  <c:v>886.41310632819</c:v>
                </c:pt>
                <c:pt idx="218">
                  <c:v>894.41825142887001</c:v>
                </c:pt>
                <c:pt idx="219">
                  <c:v>900.66013591073988</c:v>
                </c:pt>
                <c:pt idx="220">
                  <c:v>967.18117927775006</c:v>
                </c:pt>
                <c:pt idx="221">
                  <c:v>1006.9752644816401</c:v>
                </c:pt>
                <c:pt idx="222">
                  <c:v>1017.7943243173499</c:v>
                </c:pt>
                <c:pt idx="223">
                  <c:v>917.42182171112006</c:v>
                </c:pt>
                <c:pt idx="224">
                  <c:v>927.28885870289992</c:v>
                </c:pt>
                <c:pt idx="225">
                  <c:v>926.25467450518011</c:v>
                </c:pt>
                <c:pt idx="226">
                  <c:v>971.35730711139001</c:v>
                </c:pt>
                <c:pt idx="227">
                  <c:v>986.09935925004004</c:v>
                </c:pt>
                <c:pt idx="228">
                  <c:v>1012.5935490719199</c:v>
                </c:pt>
                <c:pt idx="229">
                  <c:v>986.12235622440005</c:v>
                </c:pt>
                <c:pt idx="230">
                  <c:v>922.00869480162009</c:v>
                </c:pt>
                <c:pt idx="231">
                  <c:v>932.73632960469001</c:v>
                </c:pt>
                <c:pt idx="232">
                  <c:v>914.29273146133994</c:v>
                </c:pt>
                <c:pt idx="233">
                  <c:v>935.82342284591004</c:v>
                </c:pt>
                <c:pt idx="234">
                  <c:v>870.71352503104993</c:v>
                </c:pt>
                <c:pt idx="235">
                  <c:v>887.94648230422013</c:v>
                </c:pt>
                <c:pt idx="236">
                  <c:v>930.08799488848001</c:v>
                </c:pt>
                <c:pt idx="237">
                  <c:v>942.55511240178998</c:v>
                </c:pt>
                <c:pt idx="238">
                  <c:v>958.00685520084005</c:v>
                </c:pt>
                <c:pt idx="239">
                  <c:v>924.66575831327998</c:v>
                </c:pt>
                <c:pt idx="240">
                  <c:v>920.12835764708007</c:v>
                </c:pt>
                <c:pt idx="241">
                  <c:v>901.30752087968995</c:v>
                </c:pt>
                <c:pt idx="242">
                  <c:v>881.35632267633991</c:v>
                </c:pt>
                <c:pt idx="243">
                  <c:v>941.82956232537003</c:v>
                </c:pt>
                <c:pt idx="244">
                  <c:v>929.26523341999996</c:v>
                </c:pt>
                <c:pt idx="245">
                  <c:v>861.86974933335</c:v>
                </c:pt>
                <c:pt idx="246">
                  <c:v>893.57278135595993</c:v>
                </c:pt>
                <c:pt idx="247">
                  <c:v>854.82859731545</c:v>
                </c:pt>
                <c:pt idx="248">
                  <c:v>819.77600901692995</c:v>
                </c:pt>
                <c:pt idx="249">
                  <c:v>901.88653582543998</c:v>
                </c:pt>
                <c:pt idx="250">
                  <c:v>880.95468056365996</c:v>
                </c:pt>
                <c:pt idx="251">
                  <c:v>877.76055561080011</c:v>
                </c:pt>
                <c:pt idx="252">
                  <c:v>858.16122706985004</c:v>
                </c:pt>
                <c:pt idx="253">
                  <c:v>807.38809080654005</c:v>
                </c:pt>
                <c:pt idx="254">
                  <c:v>792.42955828070001</c:v>
                </c:pt>
                <c:pt idx="255">
                  <c:v>788.65397740049002</c:v>
                </c:pt>
                <c:pt idx="256">
                  <c:v>788.45250192274</c:v>
                </c:pt>
                <c:pt idx="257">
                  <c:v>790.02273359396008</c:v>
                </c:pt>
                <c:pt idx="258">
                  <c:v>784.06533537405994</c:v>
                </c:pt>
                <c:pt idx="259">
                  <c:v>780.69972272262999</c:v>
                </c:pt>
                <c:pt idx="260">
                  <c:v>778.00501104779005</c:v>
                </c:pt>
                <c:pt idx="261">
                  <c:v>778.76444045809001</c:v>
                </c:pt>
                <c:pt idx="262">
                  <c:v>785.04846112569999</c:v>
                </c:pt>
                <c:pt idx="263">
                  <c:v>781.39922543902003</c:v>
                </c:pt>
                <c:pt idx="264">
                  <c:v>780.08139629403001</c:v>
                </c:pt>
                <c:pt idx="265">
                  <c:v>772.34770761586003</c:v>
                </c:pt>
                <c:pt idx="266">
                  <c:v>775.28474321447993</c:v>
                </c:pt>
                <c:pt idx="267">
                  <c:v>778.59666901263006</c:v>
                </c:pt>
                <c:pt idx="268">
                  <c:v>776.88315513984003</c:v>
                </c:pt>
                <c:pt idx="269">
                  <c:v>778.54342772991004</c:v>
                </c:pt>
                <c:pt idx="270">
                  <c:v>779.08175779905002</c:v>
                </c:pt>
                <c:pt idx="271">
                  <c:v>777.95961426187</c:v>
                </c:pt>
                <c:pt idx="272">
                  <c:v>780.09661146362009</c:v>
                </c:pt>
                <c:pt idx="273">
                  <c:v>779.16173377899997</c:v>
                </c:pt>
                <c:pt idx="274">
                  <c:v>776.35969564103004</c:v>
                </c:pt>
                <c:pt idx="275">
                  <c:v>775.97082068586997</c:v>
                </c:pt>
                <c:pt idx="276">
                  <c:v>774.83632344995999</c:v>
                </c:pt>
                <c:pt idx="277">
                  <c:v>774.66770208559001</c:v>
                </c:pt>
                <c:pt idx="278">
                  <c:v>773.17478431860002</c:v>
                </c:pt>
                <c:pt idx="279">
                  <c:v>766.34763883494998</c:v>
                </c:pt>
                <c:pt idx="280">
                  <c:v>757.63272919614997</c:v>
                </c:pt>
                <c:pt idx="281">
                  <c:v>759.68061228436</c:v>
                </c:pt>
                <c:pt idx="282">
                  <c:v>758.06310474220004</c:v>
                </c:pt>
                <c:pt idx="283">
                  <c:v>802.00420801786004</c:v>
                </c:pt>
                <c:pt idx="284">
                  <c:v>797.86405797938994</c:v>
                </c:pt>
                <c:pt idx="285">
                  <c:v>799.94182001167997</c:v>
                </c:pt>
                <c:pt idx="286">
                  <c:v>797.28839012313995</c:v>
                </c:pt>
                <c:pt idx="287">
                  <c:v>795.19646223877999</c:v>
                </c:pt>
                <c:pt idx="288">
                  <c:v>788.51131743487997</c:v>
                </c:pt>
                <c:pt idx="289">
                  <c:v>788.83561198225993</c:v>
                </c:pt>
                <c:pt idx="290">
                  <c:v>788.35255545464997</c:v>
                </c:pt>
                <c:pt idx="291">
                  <c:v>787.73253729271005</c:v>
                </c:pt>
                <c:pt idx="292">
                  <c:v>788.57188485097004</c:v>
                </c:pt>
                <c:pt idx="293">
                  <c:v>786.49440924524004</c:v>
                </c:pt>
                <c:pt idx="294">
                  <c:v>785.14961622775991</c:v>
                </c:pt>
                <c:pt idx="295">
                  <c:v>783.47428257437002</c:v>
                </c:pt>
                <c:pt idx="296">
                  <c:v>783.05764253364998</c:v>
                </c:pt>
                <c:pt idx="297">
                  <c:v>781.1555543730401</c:v>
                </c:pt>
                <c:pt idx="298">
                  <c:v>777.02004708224001</c:v>
                </c:pt>
                <c:pt idx="299">
                  <c:v>783.49459017056995</c:v>
                </c:pt>
                <c:pt idx="300">
                  <c:v>729.69588903863996</c:v>
                </c:pt>
                <c:pt idx="301">
                  <c:v>728.62531473952004</c:v>
                </c:pt>
                <c:pt idx="302">
                  <c:v>724.25962692825999</c:v>
                </c:pt>
                <c:pt idx="303">
                  <c:v>772.36049418992002</c:v>
                </c:pt>
                <c:pt idx="304">
                  <c:v>771.51454933511991</c:v>
                </c:pt>
                <c:pt idx="305">
                  <c:v>827.13033356661992</c:v>
                </c:pt>
                <c:pt idx="306">
                  <c:v>825.88515128202994</c:v>
                </c:pt>
                <c:pt idx="307">
                  <c:v>825.60964896552002</c:v>
                </c:pt>
                <c:pt idx="308">
                  <c:v>806.32925634367007</c:v>
                </c:pt>
                <c:pt idx="309">
                  <c:v>805.67001579046996</c:v>
                </c:pt>
                <c:pt idx="310">
                  <c:v>806.04743182041</c:v>
                </c:pt>
                <c:pt idx="311">
                  <c:v>807.94494340300002</c:v>
                </c:pt>
                <c:pt idx="312">
                  <c:v>808.30513126920005</c:v>
                </c:pt>
                <c:pt idx="313">
                  <c:v>804.98234312189004</c:v>
                </c:pt>
                <c:pt idx="314">
                  <c:v>805.32323467658</c:v>
                </c:pt>
                <c:pt idx="315">
                  <c:v>803.26282852003999</c:v>
                </c:pt>
                <c:pt idx="316">
                  <c:v>803.71285877065998</c:v>
                </c:pt>
                <c:pt idx="317">
                  <c:v>803.33917854807999</c:v>
                </c:pt>
                <c:pt idx="318">
                  <c:v>799.63204391257</c:v>
                </c:pt>
                <c:pt idx="319">
                  <c:v>802.65151120082999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C5-A149-8DCD-C9CC91FAA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7A-D146-9372-905ECCFEEFFB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'240816E004'!$A$2:$A$321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'240816E004'!$P$2:$P$321</c:f>
              <c:numCache>
                <c:formatCode>General</c:formatCode>
                <c:ptCount val="320"/>
                <c:pt idx="0">
                  <c:v>20.77118043252009</c:v>
                </c:pt>
                <c:pt idx="1">
                  <c:v>45.1682866615796</c:v>
                </c:pt>
                <c:pt idx="2">
                  <c:v>43.587720121897497</c:v>
                </c:pt>
                <c:pt idx="3">
                  <c:v>62.72747792446237</c:v>
                </c:pt>
                <c:pt idx="4">
                  <c:v>51.472074418423844</c:v>
                </c:pt>
                <c:pt idx="5">
                  <c:v>40.369850947064215</c:v>
                </c:pt>
                <c:pt idx="6">
                  <c:v>33.71852868457713</c:v>
                </c:pt>
                <c:pt idx="7">
                  <c:v>28.534628806071321</c:v>
                </c:pt>
                <c:pt idx="8">
                  <c:v>26.218419593992209</c:v>
                </c:pt>
                <c:pt idx="9">
                  <c:v>22.410973788371258</c:v>
                </c:pt>
                <c:pt idx="10">
                  <c:v>18.754632706433412</c:v>
                </c:pt>
                <c:pt idx="11">
                  <c:v>17.445482369025594</c:v>
                </c:pt>
                <c:pt idx="12">
                  <c:v>15.471543600692211</c:v>
                </c:pt>
                <c:pt idx="13">
                  <c:v>14.804997695120592</c:v>
                </c:pt>
                <c:pt idx="14">
                  <c:v>13.009762375888842</c:v>
                </c:pt>
                <c:pt idx="15">
                  <c:v>11.133777497929481</c:v>
                </c:pt>
                <c:pt idx="16">
                  <c:v>9.1706305238686348</c:v>
                </c:pt>
                <c:pt idx="17">
                  <c:v>7.878543314305829</c:v>
                </c:pt>
                <c:pt idx="18">
                  <c:v>5.7065478877654323</c:v>
                </c:pt>
                <c:pt idx="19">
                  <c:v>5.2533724574999159</c:v>
                </c:pt>
                <c:pt idx="20">
                  <c:v>3.2858773882333563</c:v>
                </c:pt>
                <c:pt idx="21">
                  <c:v>2.9678628010233665</c:v>
                </c:pt>
                <c:pt idx="22">
                  <c:v>0.63599394114284336</c:v>
                </c:pt>
                <c:pt idx="23">
                  <c:v>4.4320259521565195E-2</c:v>
                </c:pt>
                <c:pt idx="24">
                  <c:v>-1.0945913033853982</c:v>
                </c:pt>
                <c:pt idx="25">
                  <c:v>-2.0903648328081994</c:v>
                </c:pt>
                <c:pt idx="26">
                  <c:v>-1.6152019418843497</c:v>
                </c:pt>
                <c:pt idx="27">
                  <c:v>-2.8822289320703609</c:v>
                </c:pt>
                <c:pt idx="28">
                  <c:v>-3.8487240600205537</c:v>
                </c:pt>
                <c:pt idx="29">
                  <c:v>-3.8937988316012992</c:v>
                </c:pt>
                <c:pt idx="30">
                  <c:v>-2.8604777627946039</c:v>
                </c:pt>
                <c:pt idx="31">
                  <c:v>-2.7633832735351698</c:v>
                </c:pt>
                <c:pt idx="32">
                  <c:v>-3.254425415746006</c:v>
                </c:pt>
                <c:pt idx="33">
                  <c:v>-3.5062821119903838</c:v>
                </c:pt>
                <c:pt idx="34">
                  <c:v>-3.0044613395445467</c:v>
                </c:pt>
                <c:pt idx="35">
                  <c:v>-2.2677927649701677</c:v>
                </c:pt>
                <c:pt idx="36">
                  <c:v>-2.7479221018824709</c:v>
                </c:pt>
                <c:pt idx="37">
                  <c:v>-4.1227781902102985</c:v>
                </c:pt>
                <c:pt idx="38">
                  <c:v>-3.6880269268079817</c:v>
                </c:pt>
                <c:pt idx="39">
                  <c:v>-4.4823530945788885</c:v>
                </c:pt>
                <c:pt idx="40">
                  <c:v>-4.8217780996678421</c:v>
                </c:pt>
                <c:pt idx="41">
                  <c:v>-4.5088896458211893</c:v>
                </c:pt>
                <c:pt idx="42">
                  <c:v>-4.4384675468847856</c:v>
                </c:pt>
                <c:pt idx="43">
                  <c:v>-4.0505902020688369</c:v>
                </c:pt>
                <c:pt idx="44">
                  <c:v>-3.3877861641498299</c:v>
                </c:pt>
                <c:pt idx="45">
                  <c:v>-3.6633217613319777</c:v>
                </c:pt>
                <c:pt idx="46">
                  <c:v>-3.9761060103528916</c:v>
                </c:pt>
                <c:pt idx="47">
                  <c:v>-4.3780346154024201</c:v>
                </c:pt>
                <c:pt idx="48">
                  <c:v>-3.2802152928053969</c:v>
                </c:pt>
                <c:pt idx="49">
                  <c:v>-3.7906768238202799</c:v>
                </c:pt>
                <c:pt idx="50">
                  <c:v>-4.4370941011574319</c:v>
                </c:pt>
                <c:pt idx="51">
                  <c:v>-2.935820030366914</c:v>
                </c:pt>
                <c:pt idx="52">
                  <c:v>-1.9878573468326051</c:v>
                </c:pt>
                <c:pt idx="53">
                  <c:v>-7.3846635368837191E-2</c:v>
                </c:pt>
                <c:pt idx="54">
                  <c:v>0.86187581121843648</c:v>
                </c:pt>
                <c:pt idx="55">
                  <c:v>0.85390202667937676</c:v>
                </c:pt>
                <c:pt idx="56">
                  <c:v>0.35970862855002633</c:v>
                </c:pt>
                <c:pt idx="57">
                  <c:v>-1.4938261077243833</c:v>
                </c:pt>
                <c:pt idx="58">
                  <c:v>-1.7596147495991754</c:v>
                </c:pt>
                <c:pt idx="59">
                  <c:v>-1.4818263846378359</c:v>
                </c:pt>
                <c:pt idx="60">
                  <c:v>-1.7681712685595745</c:v>
                </c:pt>
                <c:pt idx="61">
                  <c:v>-1.9195810166373637</c:v>
                </c:pt>
                <c:pt idx="62">
                  <c:v>-0.23140854029848784</c:v>
                </c:pt>
                <c:pt idx="63">
                  <c:v>-1.8352798369186174</c:v>
                </c:pt>
                <c:pt idx="64">
                  <c:v>0.14739374398460733</c:v>
                </c:pt>
                <c:pt idx="65">
                  <c:v>0.9557698522671233</c:v>
                </c:pt>
                <c:pt idx="66">
                  <c:v>1.1492544773355708</c:v>
                </c:pt>
                <c:pt idx="67">
                  <c:v>0.96261117353828096</c:v>
                </c:pt>
                <c:pt idx="68">
                  <c:v>0.90423459150399277</c:v>
                </c:pt>
                <c:pt idx="69">
                  <c:v>-0.58657138987347091</c:v>
                </c:pt>
                <c:pt idx="70">
                  <c:v>-1.9493408562552768</c:v>
                </c:pt>
                <c:pt idx="71">
                  <c:v>-1.8981772030618349</c:v>
                </c:pt>
                <c:pt idx="72">
                  <c:v>-3.3324049644571162E-2</c:v>
                </c:pt>
                <c:pt idx="73">
                  <c:v>0.23464697349879501</c:v>
                </c:pt>
                <c:pt idx="74">
                  <c:v>-0.45892358567435482</c:v>
                </c:pt>
                <c:pt idx="75">
                  <c:v>-1.6439977551659029</c:v>
                </c:pt>
                <c:pt idx="76">
                  <c:v>-1.5718766695411095</c:v>
                </c:pt>
                <c:pt idx="77">
                  <c:v>1.9172974456025</c:v>
                </c:pt>
                <c:pt idx="78">
                  <c:v>3.2948126202856023</c:v>
                </c:pt>
                <c:pt idx="79">
                  <c:v>4.330631293614208</c:v>
                </c:pt>
                <c:pt idx="80">
                  <c:v>3.7110505441236619</c:v>
                </c:pt>
                <c:pt idx="81">
                  <c:v>4.4855326304409919</c:v>
                </c:pt>
                <c:pt idx="82">
                  <c:v>1.58261030364436</c:v>
                </c:pt>
                <c:pt idx="83">
                  <c:v>0.9270754743403633</c:v>
                </c:pt>
                <c:pt idx="84">
                  <c:v>1.4122924326418855</c:v>
                </c:pt>
                <c:pt idx="85">
                  <c:v>0.38409738642598806</c:v>
                </c:pt>
                <c:pt idx="86">
                  <c:v>2.5271499972540363</c:v>
                </c:pt>
                <c:pt idx="87">
                  <c:v>2.0175663048623655</c:v>
                </c:pt>
                <c:pt idx="88">
                  <c:v>6.0935581953865743</c:v>
                </c:pt>
                <c:pt idx="89">
                  <c:v>45.992740755797335</c:v>
                </c:pt>
                <c:pt idx="90">
                  <c:v>80.677627376608115</c:v>
                </c:pt>
                <c:pt idx="91">
                  <c:v>119.52001072238426</c:v>
                </c:pt>
                <c:pt idx="92">
                  <c:v>146.30495660888226</c:v>
                </c:pt>
                <c:pt idx="93">
                  <c:v>167.04976742302833</c:v>
                </c:pt>
                <c:pt idx="94">
                  <c:v>177.08564289249168</c:v>
                </c:pt>
                <c:pt idx="95">
                  <c:v>177.40698106327011</c:v>
                </c:pt>
                <c:pt idx="96">
                  <c:v>177.15864875746647</c:v>
                </c:pt>
                <c:pt idx="97">
                  <c:v>170.08790521021277</c:v>
                </c:pt>
                <c:pt idx="98">
                  <c:v>163.8079340679366</c:v>
                </c:pt>
                <c:pt idx="99">
                  <c:v>156.9639362887844</c:v>
                </c:pt>
                <c:pt idx="100">
                  <c:v>149.22523526953267</c:v>
                </c:pt>
                <c:pt idx="101">
                  <c:v>147.99399040592516</c:v>
                </c:pt>
                <c:pt idx="102">
                  <c:v>138.62408949921783</c:v>
                </c:pt>
                <c:pt idx="103">
                  <c:v>133.07971929991785</c:v>
                </c:pt>
                <c:pt idx="104">
                  <c:v>128.58493700916947</c:v>
                </c:pt>
                <c:pt idx="105">
                  <c:v>121.7315377073666</c:v>
                </c:pt>
                <c:pt idx="106">
                  <c:v>115.86198986387105</c:v>
                </c:pt>
                <c:pt idx="107">
                  <c:v>113.91507289679932</c:v>
                </c:pt>
                <c:pt idx="108">
                  <c:v>110.36935000170105</c:v>
                </c:pt>
                <c:pt idx="109">
                  <c:v>102.87759645708094</c:v>
                </c:pt>
                <c:pt idx="110">
                  <c:v>99.669783119561103</c:v>
                </c:pt>
                <c:pt idx="111">
                  <c:v>92.977580212523506</c:v>
                </c:pt>
                <c:pt idx="112">
                  <c:v>91.664840988833134</c:v>
                </c:pt>
                <c:pt idx="113">
                  <c:v>85.320368601487118</c:v>
                </c:pt>
                <c:pt idx="114">
                  <c:v>82.324613438973273</c:v>
                </c:pt>
                <c:pt idx="115">
                  <c:v>79.455346644573439</c:v>
                </c:pt>
                <c:pt idx="116">
                  <c:v>73.835315376059896</c:v>
                </c:pt>
                <c:pt idx="117">
                  <c:v>71.971000597077605</c:v>
                </c:pt>
                <c:pt idx="118">
                  <c:v>72.627648767839986</c:v>
                </c:pt>
                <c:pt idx="119">
                  <c:v>70.242927763976468</c:v>
                </c:pt>
                <c:pt idx="120">
                  <c:v>64.320770263061405</c:v>
                </c:pt>
                <c:pt idx="121">
                  <c:v>61.979286295404656</c:v>
                </c:pt>
                <c:pt idx="122">
                  <c:v>58.239127379344971</c:v>
                </c:pt>
                <c:pt idx="123">
                  <c:v>57.121395883682624</c:v>
                </c:pt>
                <c:pt idx="124">
                  <c:v>55.576629553592646</c:v>
                </c:pt>
                <c:pt idx="125">
                  <c:v>53.496602249869611</c:v>
                </c:pt>
                <c:pt idx="126">
                  <c:v>49.990260188693341</c:v>
                </c:pt>
                <c:pt idx="127">
                  <c:v>47.454295201252847</c:v>
                </c:pt>
                <c:pt idx="128">
                  <c:v>44.50160750029417</c:v>
                </c:pt>
                <c:pt idx="129">
                  <c:v>43.103153588873397</c:v>
                </c:pt>
                <c:pt idx="130">
                  <c:v>40.956417889751265</c:v>
                </c:pt>
                <c:pt idx="131">
                  <c:v>40.260012250450053</c:v>
                </c:pt>
                <c:pt idx="132">
                  <c:v>38.813435122753212</c:v>
                </c:pt>
                <c:pt idx="133">
                  <c:v>38.703474973056771</c:v>
                </c:pt>
                <c:pt idx="134">
                  <c:v>36.552064153715136</c:v>
                </c:pt>
                <c:pt idx="135">
                  <c:v>34.170015524717684</c:v>
                </c:pt>
                <c:pt idx="136">
                  <c:v>32.219335505550021</c:v>
                </c:pt>
                <c:pt idx="137">
                  <c:v>31.267755924761691</c:v>
                </c:pt>
                <c:pt idx="138">
                  <c:v>28.804618375549072</c:v>
                </c:pt>
                <c:pt idx="139">
                  <c:v>30.038655287565735</c:v>
                </c:pt>
                <c:pt idx="140">
                  <c:v>28.90904611069778</c:v>
                </c:pt>
                <c:pt idx="141">
                  <c:v>27.52853170221891</c:v>
                </c:pt>
                <c:pt idx="142">
                  <c:v>25.367786031747276</c:v>
                </c:pt>
                <c:pt idx="143">
                  <c:v>23.850020558703143</c:v>
                </c:pt>
                <c:pt idx="144">
                  <c:v>23.277499878331959</c:v>
                </c:pt>
                <c:pt idx="145">
                  <c:v>22.377609045114429</c:v>
                </c:pt>
                <c:pt idx="146">
                  <c:v>22.223129425006235</c:v>
                </c:pt>
                <c:pt idx="147">
                  <c:v>19.571056987630094</c:v>
                </c:pt>
                <c:pt idx="148">
                  <c:v>18.76043610733446</c:v>
                </c:pt>
                <c:pt idx="149">
                  <c:v>18.818566077047365</c:v>
                </c:pt>
                <c:pt idx="150">
                  <c:v>18.214645780660241</c:v>
                </c:pt>
                <c:pt idx="151">
                  <c:v>17.053991348247735</c:v>
                </c:pt>
                <c:pt idx="152">
                  <c:v>17.745124910220408</c:v>
                </c:pt>
                <c:pt idx="153">
                  <c:v>18.702644463098228</c:v>
                </c:pt>
                <c:pt idx="154">
                  <c:v>17.399675949437786</c:v>
                </c:pt>
                <c:pt idx="155">
                  <c:v>19.126743227869245</c:v>
                </c:pt>
                <c:pt idx="156">
                  <c:v>19.237911706271468</c:v>
                </c:pt>
                <c:pt idx="157">
                  <c:v>19.11127029893855</c:v>
                </c:pt>
                <c:pt idx="158">
                  <c:v>19.562029537791251</c:v>
                </c:pt>
                <c:pt idx="159">
                  <c:v>18.372243920855372</c:v>
                </c:pt>
                <c:pt idx="160">
                  <c:v>18.576950732588951</c:v>
                </c:pt>
                <c:pt idx="161">
                  <c:v>18.060987986737867</c:v>
                </c:pt>
                <c:pt idx="162">
                  <c:v>19.118484118202723</c:v>
                </c:pt>
                <c:pt idx="163">
                  <c:v>16.455932177820586</c:v>
                </c:pt>
                <c:pt idx="164">
                  <c:v>16.175832803790748</c:v>
                </c:pt>
                <c:pt idx="165">
                  <c:v>16.360308661050897</c:v>
                </c:pt>
                <c:pt idx="166">
                  <c:v>17.710177210083771</c:v>
                </c:pt>
                <c:pt idx="167">
                  <c:v>16.170431868973946</c:v>
                </c:pt>
                <c:pt idx="168">
                  <c:v>15.581439659850101</c:v>
                </c:pt>
                <c:pt idx="169">
                  <c:v>14.279531288396601</c:v>
                </c:pt>
                <c:pt idx="170">
                  <c:v>13.155490283371307</c:v>
                </c:pt>
                <c:pt idx="171">
                  <c:v>11.792669455475068</c:v>
                </c:pt>
                <c:pt idx="172">
                  <c:v>10.992612439488338</c:v>
                </c:pt>
                <c:pt idx="173">
                  <c:v>10.218172055149219</c:v>
                </c:pt>
                <c:pt idx="174">
                  <c:v>8.3865926997728089</c:v>
                </c:pt>
                <c:pt idx="175">
                  <c:v>7.8609609151515212</c:v>
                </c:pt>
                <c:pt idx="176">
                  <c:v>5.8557334334376492</c:v>
                </c:pt>
                <c:pt idx="177">
                  <c:v>4.1092097505733483</c:v>
                </c:pt>
                <c:pt idx="178">
                  <c:v>2.3213763026240271</c:v>
                </c:pt>
                <c:pt idx="179">
                  <c:v>0.16406011026207909</c:v>
                </c:pt>
                <c:pt idx="180">
                  <c:v>-1.0239709859569281</c:v>
                </c:pt>
                <c:pt idx="181">
                  <c:v>-1.4768002674661849</c:v>
                </c:pt>
                <c:pt idx="182">
                  <c:v>-3.8385672020982939</c:v>
                </c:pt>
                <c:pt idx="183">
                  <c:v>-5.4318154436884436</c:v>
                </c:pt>
                <c:pt idx="184">
                  <c:v>-5.6191765457401388</c:v>
                </c:pt>
                <c:pt idx="185">
                  <c:v>-5.9445572858802525</c:v>
                </c:pt>
                <c:pt idx="186">
                  <c:v>-7.1945767645650038</c:v>
                </c:pt>
                <c:pt idx="187">
                  <c:v>-7.7301136805524706</c:v>
                </c:pt>
                <c:pt idx="188">
                  <c:v>-8.8817305109256086</c:v>
                </c:pt>
                <c:pt idx="189">
                  <c:v>-10.850638614328455</c:v>
                </c:pt>
                <c:pt idx="190">
                  <c:v>-11.530881152817155</c:v>
                </c:pt>
                <c:pt idx="191">
                  <c:v>-12.340112454490773</c:v>
                </c:pt>
                <c:pt idx="192">
                  <c:v>-13.560883486124425</c:v>
                </c:pt>
                <c:pt idx="193">
                  <c:v>-14.159411738096713</c:v>
                </c:pt>
                <c:pt idx="194">
                  <c:v>-14.401093699442887</c:v>
                </c:pt>
                <c:pt idx="195">
                  <c:v>-14.122461314997956</c:v>
                </c:pt>
                <c:pt idx="196">
                  <c:v>-13.94405102900717</c:v>
                </c:pt>
                <c:pt idx="197">
                  <c:v>-14.81534562769458</c:v>
                </c:pt>
                <c:pt idx="198">
                  <c:v>-13.760043926053827</c:v>
                </c:pt>
                <c:pt idx="199">
                  <c:v>-14.33098095831572</c:v>
                </c:pt>
                <c:pt idx="200">
                  <c:v>-14.643481822493905</c:v>
                </c:pt>
                <c:pt idx="201">
                  <c:v>-14.217619438472894</c:v>
                </c:pt>
                <c:pt idx="202">
                  <c:v>-15.179877618214455</c:v>
                </c:pt>
                <c:pt idx="203">
                  <c:v>-15.2884409040349</c:v>
                </c:pt>
                <c:pt idx="204">
                  <c:v>-15.760911006146022</c:v>
                </c:pt>
                <c:pt idx="205">
                  <c:v>-14.579509566220308</c:v>
                </c:pt>
                <c:pt idx="206">
                  <c:v>-14.704067079809144</c:v>
                </c:pt>
                <c:pt idx="207">
                  <c:v>-13.842576501301968</c:v>
                </c:pt>
                <c:pt idx="208">
                  <c:v>-14.754094545428861</c:v>
                </c:pt>
                <c:pt idx="209">
                  <c:v>-15.159604285704134</c:v>
                </c:pt>
                <c:pt idx="210">
                  <c:v>-15.188176312903176</c:v>
                </c:pt>
                <c:pt idx="211">
                  <c:v>-15.327455399154299</c:v>
                </c:pt>
                <c:pt idx="212">
                  <c:v>-14.522931942941181</c:v>
                </c:pt>
                <c:pt idx="213">
                  <c:v>-14.003051101061487</c:v>
                </c:pt>
                <c:pt idx="214">
                  <c:v>-11.50647448803603</c:v>
                </c:pt>
                <c:pt idx="215">
                  <c:v>-10.26844781742013</c:v>
                </c:pt>
                <c:pt idx="216">
                  <c:v>-10.273487165199803</c:v>
                </c:pt>
                <c:pt idx="217">
                  <c:v>-9.6380701885748401</c:v>
                </c:pt>
                <c:pt idx="218">
                  <c:v>-9.4412632845160847</c:v>
                </c:pt>
                <c:pt idx="219">
                  <c:v>-9.6896617565256022</c:v>
                </c:pt>
                <c:pt idx="220">
                  <c:v>-9.9409941870140663</c:v>
                </c:pt>
                <c:pt idx="221">
                  <c:v>-9.8948482206699566</c:v>
                </c:pt>
                <c:pt idx="222">
                  <c:v>-9.7266740127362095</c:v>
                </c:pt>
                <c:pt idx="223">
                  <c:v>-6.2937501952282302</c:v>
                </c:pt>
                <c:pt idx="224">
                  <c:v>-5.7355776291632843</c:v>
                </c:pt>
                <c:pt idx="225">
                  <c:v>-5.4769741358690647</c:v>
                </c:pt>
                <c:pt idx="226">
                  <c:v>-6.5869032039963278</c:v>
                </c:pt>
                <c:pt idx="227">
                  <c:v>-5.925547768120369</c:v>
                </c:pt>
                <c:pt idx="228">
                  <c:v>-5.896824260388934</c:v>
                </c:pt>
                <c:pt idx="229">
                  <c:v>-3.9396795914936971</c:v>
                </c:pt>
                <c:pt idx="230">
                  <c:v>-1.6724202993154258</c:v>
                </c:pt>
                <c:pt idx="231">
                  <c:v>-1.3588275498953795</c:v>
                </c:pt>
                <c:pt idx="232">
                  <c:v>-1.0071383251936219</c:v>
                </c:pt>
                <c:pt idx="233">
                  <c:v>-1.0780187354135427</c:v>
                </c:pt>
                <c:pt idx="234">
                  <c:v>0.5773694980468862</c:v>
                </c:pt>
                <c:pt idx="235">
                  <c:v>0.62539536957886188</c:v>
                </c:pt>
                <c:pt idx="236">
                  <c:v>4.7859183505497088E-2</c:v>
                </c:pt>
                <c:pt idx="237">
                  <c:v>1.5799923362494857</c:v>
                </c:pt>
                <c:pt idx="238">
                  <c:v>1.4877282805296332</c:v>
                </c:pt>
                <c:pt idx="239">
                  <c:v>2.587688025338541</c:v>
                </c:pt>
                <c:pt idx="240">
                  <c:v>4.1708440659141601</c:v>
                </c:pt>
                <c:pt idx="241">
                  <c:v>4.3829343032439718</c:v>
                </c:pt>
                <c:pt idx="242">
                  <c:v>5.2683078707690632</c:v>
                </c:pt>
                <c:pt idx="243">
                  <c:v>4.7900930929962913</c:v>
                </c:pt>
                <c:pt idx="244">
                  <c:v>5.9193597301918262</c:v>
                </c:pt>
                <c:pt idx="245">
                  <c:v>8.2018910622381593</c:v>
                </c:pt>
                <c:pt idx="246">
                  <c:v>7.3922101275481404</c:v>
                </c:pt>
                <c:pt idx="247">
                  <c:v>9.0071542796916901</c:v>
                </c:pt>
                <c:pt idx="248">
                  <c:v>9.8362631627187369</c:v>
                </c:pt>
                <c:pt idx="249">
                  <c:v>10.307459782080139</c:v>
                </c:pt>
                <c:pt idx="250">
                  <c:v>10.783909624312836</c:v>
                </c:pt>
                <c:pt idx="251">
                  <c:v>11.723182948595017</c:v>
                </c:pt>
                <c:pt idx="252">
                  <c:v>12.050307801949137</c:v>
                </c:pt>
                <c:pt idx="253">
                  <c:v>13.310428159208913</c:v>
                </c:pt>
                <c:pt idx="254">
                  <c:v>13.063112533077403</c:v>
                </c:pt>
                <c:pt idx="255">
                  <c:v>12.920704873102279</c:v>
                </c:pt>
                <c:pt idx="256">
                  <c:v>13.845625497496519</c:v>
                </c:pt>
                <c:pt idx="257">
                  <c:v>13.712581700091262</c:v>
                </c:pt>
                <c:pt idx="258">
                  <c:v>14.392827136483119</c:v>
                </c:pt>
                <c:pt idx="259">
                  <c:v>14.675725059332395</c:v>
                </c:pt>
                <c:pt idx="260">
                  <c:v>14.663412479838357</c:v>
                </c:pt>
                <c:pt idx="261">
                  <c:v>15.087548450013838</c:v>
                </c:pt>
                <c:pt idx="262">
                  <c:v>15.808366584588576</c:v>
                </c:pt>
                <c:pt idx="263">
                  <c:v>15.138416426239514</c:v>
                </c:pt>
                <c:pt idx="264">
                  <c:v>15.958355380231104</c:v>
                </c:pt>
                <c:pt idx="265">
                  <c:v>16.520037471430804</c:v>
                </c:pt>
                <c:pt idx="266">
                  <c:v>17.229904496029722</c:v>
                </c:pt>
                <c:pt idx="267">
                  <c:v>17.790461305707119</c:v>
                </c:pt>
                <c:pt idx="268">
                  <c:v>17.609269689242669</c:v>
                </c:pt>
                <c:pt idx="269">
                  <c:v>18.2209232852437</c:v>
                </c:pt>
                <c:pt idx="270">
                  <c:v>18.258784572251265</c:v>
                </c:pt>
                <c:pt idx="271">
                  <c:v>18.305245075641857</c:v>
                </c:pt>
                <c:pt idx="272">
                  <c:v>18.341577651290912</c:v>
                </c:pt>
                <c:pt idx="273">
                  <c:v>18.57443971728835</c:v>
                </c:pt>
                <c:pt idx="274">
                  <c:v>18.711966958849722</c:v>
                </c:pt>
                <c:pt idx="275">
                  <c:v>19.364436066345203</c:v>
                </c:pt>
                <c:pt idx="276">
                  <c:v>20.04294074398846</c:v>
                </c:pt>
                <c:pt idx="277">
                  <c:v>19.561261731056138</c:v>
                </c:pt>
                <c:pt idx="278">
                  <c:v>19.003353126785431</c:v>
                </c:pt>
                <c:pt idx="279">
                  <c:v>20.001005914122327</c:v>
                </c:pt>
                <c:pt idx="280">
                  <c:v>20.649026276298461</c:v>
                </c:pt>
                <c:pt idx="281">
                  <c:v>20.26733485949762</c:v>
                </c:pt>
                <c:pt idx="282">
                  <c:v>20.692590899240969</c:v>
                </c:pt>
                <c:pt idx="283">
                  <c:v>20.656870015364287</c:v>
                </c:pt>
                <c:pt idx="284">
                  <c:v>20.895943881798164</c:v>
                </c:pt>
                <c:pt idx="285">
                  <c:v>21.72285317018564</c:v>
                </c:pt>
                <c:pt idx="286">
                  <c:v>20.938075512785925</c:v>
                </c:pt>
                <c:pt idx="287">
                  <c:v>21.101082468495683</c:v>
                </c:pt>
                <c:pt idx="288">
                  <c:v>21.828330641764289</c:v>
                </c:pt>
                <c:pt idx="289">
                  <c:v>21.863765279144161</c:v>
                </c:pt>
                <c:pt idx="290">
                  <c:v>22.045634991952902</c:v>
                </c:pt>
                <c:pt idx="291">
                  <c:v>22.328998000410035</c:v>
                </c:pt>
                <c:pt idx="292">
                  <c:v>22.537731327989832</c:v>
                </c:pt>
                <c:pt idx="293">
                  <c:v>22.49610861868673</c:v>
                </c:pt>
                <c:pt idx="294">
                  <c:v>23.004715113961804</c:v>
                </c:pt>
                <c:pt idx="295">
                  <c:v>22.590141705220375</c:v>
                </c:pt>
                <c:pt idx="296">
                  <c:v>23.42273057641205</c:v>
                </c:pt>
                <c:pt idx="297">
                  <c:v>24.165148898067919</c:v>
                </c:pt>
                <c:pt idx="298">
                  <c:v>23.907707251039849</c:v>
                </c:pt>
                <c:pt idx="299">
                  <c:v>23.682732309486845</c:v>
                </c:pt>
                <c:pt idx="300">
                  <c:v>25.461640173753853</c:v>
                </c:pt>
                <c:pt idx="301">
                  <c:v>25.057366318864045</c:v>
                </c:pt>
                <c:pt idx="302">
                  <c:v>25.519403536713703</c:v>
                </c:pt>
                <c:pt idx="303">
                  <c:v>25.131416338934638</c:v>
                </c:pt>
                <c:pt idx="304">
                  <c:v>25.699846914350367</c:v>
                </c:pt>
                <c:pt idx="305">
                  <c:v>25.09529958615364</c:v>
                </c:pt>
                <c:pt idx="306">
                  <c:v>25.561664650225207</c:v>
                </c:pt>
                <c:pt idx="307">
                  <c:v>25.398244700393246</c:v>
                </c:pt>
                <c:pt idx="308">
                  <c:v>25.972117851901146</c:v>
                </c:pt>
                <c:pt idx="309">
                  <c:v>26.227254840709858</c:v>
                </c:pt>
                <c:pt idx="310">
                  <c:v>25.598279678177079</c:v>
                </c:pt>
                <c:pt idx="311">
                  <c:v>25.704379494826846</c:v>
                </c:pt>
                <c:pt idx="312">
                  <c:v>26.164942211143622</c:v>
                </c:pt>
                <c:pt idx="313">
                  <c:v>25.904331874476107</c:v>
                </c:pt>
                <c:pt idx="314">
                  <c:v>26.316362940806542</c:v>
                </c:pt>
                <c:pt idx="315">
                  <c:v>26.927493841216648</c:v>
                </c:pt>
                <c:pt idx="316">
                  <c:v>26.66457560102522</c:v>
                </c:pt>
                <c:pt idx="317">
                  <c:v>26.184289175510582</c:v>
                </c:pt>
                <c:pt idx="318">
                  <c:v>27.058751573904789</c:v>
                </c:pt>
                <c:pt idx="319">
                  <c:v>27.243190993041239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7A-D146-9372-905ECCFEE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'240816E005'!$A$2:$A$321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'240816E005'!$J$2:$J$321</c:f>
              <c:numCache>
                <c:formatCode>0.0</c:formatCode>
                <c:ptCount val="320"/>
                <c:pt idx="0">
                  <c:v>757.42204068776005</c:v>
                </c:pt>
                <c:pt idx="1">
                  <c:v>779.09988848839009</c:v>
                </c:pt>
                <c:pt idx="2">
                  <c:v>859.99255285369998</c:v>
                </c:pt>
                <c:pt idx="3">
                  <c:v>880.72040774323</c:v>
                </c:pt>
                <c:pt idx="4">
                  <c:v>820.78153849935006</c:v>
                </c:pt>
                <c:pt idx="5">
                  <c:v>764.46769984955995</c:v>
                </c:pt>
                <c:pt idx="6">
                  <c:v>795.73052246960003</c:v>
                </c:pt>
                <c:pt idx="7">
                  <c:v>802.88152293351004</c:v>
                </c:pt>
                <c:pt idx="8">
                  <c:v>741.05128755760006</c:v>
                </c:pt>
                <c:pt idx="9">
                  <c:v>691.95184058050995</c:v>
                </c:pt>
                <c:pt idx="10">
                  <c:v>740.06782253299002</c:v>
                </c:pt>
                <c:pt idx="11">
                  <c:v>757.54875437405008</c:v>
                </c:pt>
                <c:pt idx="12">
                  <c:v>677.62758769356003</c:v>
                </c:pt>
                <c:pt idx="13">
                  <c:v>617.01779933783996</c:v>
                </c:pt>
                <c:pt idx="14">
                  <c:v>640.97965482740005</c:v>
                </c:pt>
                <c:pt idx="15">
                  <c:v>573.63156898437001</c:v>
                </c:pt>
                <c:pt idx="16">
                  <c:v>577.28695960755999</c:v>
                </c:pt>
                <c:pt idx="17">
                  <c:v>672.50334071339</c:v>
                </c:pt>
                <c:pt idx="18">
                  <c:v>657.83186893177003</c:v>
                </c:pt>
                <c:pt idx="19">
                  <c:v>703.3890078515301</c:v>
                </c:pt>
                <c:pt idx="20">
                  <c:v>748.12633832976996</c:v>
                </c:pt>
                <c:pt idx="21">
                  <c:v>773.84582441113002</c:v>
                </c:pt>
                <c:pt idx="22">
                  <c:v>781.7708779443301</c:v>
                </c:pt>
                <c:pt idx="23">
                  <c:v>747.82940756603</c:v>
                </c:pt>
                <c:pt idx="24">
                  <c:v>711.42321887047001</c:v>
                </c:pt>
                <c:pt idx="25">
                  <c:v>702.63163686005998</c:v>
                </c:pt>
                <c:pt idx="26">
                  <c:v>752.84731892692992</c:v>
                </c:pt>
                <c:pt idx="27">
                  <c:v>732.21926867862999</c:v>
                </c:pt>
                <c:pt idx="28">
                  <c:v>712.88145495828996</c:v>
                </c:pt>
                <c:pt idx="29">
                  <c:v>749.71233759299992</c:v>
                </c:pt>
                <c:pt idx="30">
                  <c:v>737.78813476619996</c:v>
                </c:pt>
                <c:pt idx="31">
                  <c:v>719.53653092627997</c:v>
                </c:pt>
                <c:pt idx="32">
                  <c:v>691.94018015026995</c:v>
                </c:pt>
                <c:pt idx="33">
                  <c:v>712.21281076536002</c:v>
                </c:pt>
                <c:pt idx="34">
                  <c:v>759.4712379022701</c:v>
                </c:pt>
                <c:pt idx="35">
                  <c:v>818.95690501464003</c:v>
                </c:pt>
                <c:pt idx="36">
                  <c:v>802.98144233856999</c:v>
                </c:pt>
                <c:pt idx="37">
                  <c:v>777.36384418415992</c:v>
                </c:pt>
                <c:pt idx="38">
                  <c:v>754.98002092241995</c:v>
                </c:pt>
                <c:pt idx="39">
                  <c:v>779.5627698389801</c:v>
                </c:pt>
                <c:pt idx="40">
                  <c:v>783.40044462715002</c:v>
                </c:pt>
                <c:pt idx="41">
                  <c:v>765.89932948017008</c:v>
                </c:pt>
                <c:pt idx="42">
                  <c:v>789.01203499752</c:v>
                </c:pt>
                <c:pt idx="43">
                  <c:v>683.75835862359997</c:v>
                </c:pt>
                <c:pt idx="44">
                  <c:v>644.47017079636998</c:v>
                </c:pt>
                <c:pt idx="45">
                  <c:v>629.45083817681996</c:v>
                </c:pt>
                <c:pt idx="46">
                  <c:v>655.69683848271006</c:v>
                </c:pt>
                <c:pt idx="47">
                  <c:v>662.35290302844999</c:v>
                </c:pt>
                <c:pt idx="48">
                  <c:v>639.99310186600997</c:v>
                </c:pt>
                <c:pt idx="49">
                  <c:v>634.14524727235994</c:v>
                </c:pt>
                <c:pt idx="50">
                  <c:v>646.80414173681004</c:v>
                </c:pt>
                <c:pt idx="51">
                  <c:v>702.34449711453999</c:v>
                </c:pt>
                <c:pt idx="52">
                  <c:v>737.67594575302996</c:v>
                </c:pt>
                <c:pt idx="53">
                  <c:v>744.65381870093006</c:v>
                </c:pt>
                <c:pt idx="54">
                  <c:v>754.99785867238006</c:v>
                </c:pt>
                <c:pt idx="55">
                  <c:v>683.40328336903008</c:v>
                </c:pt>
                <c:pt idx="56">
                  <c:v>666.59243397573005</c:v>
                </c:pt>
                <c:pt idx="57">
                  <c:v>783.78229835832008</c:v>
                </c:pt>
                <c:pt idx="58">
                  <c:v>904.2080909949201</c:v>
                </c:pt>
                <c:pt idx="59">
                  <c:v>921.92625236971003</c:v>
                </c:pt>
                <c:pt idx="60">
                  <c:v>915.25515493440992</c:v>
                </c:pt>
                <c:pt idx="61">
                  <c:v>757.03133859837999</c:v>
                </c:pt>
                <c:pt idx="62">
                  <c:v>765.07101225699</c:v>
                </c:pt>
                <c:pt idx="63">
                  <c:v>784.58261305235999</c:v>
                </c:pt>
                <c:pt idx="64">
                  <c:v>857.69426293051004</c:v>
                </c:pt>
                <c:pt idx="65">
                  <c:v>885.50087725356002</c:v>
                </c:pt>
                <c:pt idx="66">
                  <c:v>882.44203449147994</c:v>
                </c:pt>
                <c:pt idx="67">
                  <c:v>888.19431742299992</c:v>
                </c:pt>
                <c:pt idx="68">
                  <c:v>856.46895330414009</c:v>
                </c:pt>
                <c:pt idx="69">
                  <c:v>836.56340164020003</c:v>
                </c:pt>
                <c:pt idx="70">
                  <c:v>818.71032961934998</c:v>
                </c:pt>
                <c:pt idx="71">
                  <c:v>788.19590741190996</c:v>
                </c:pt>
                <c:pt idx="72">
                  <c:v>824.68462831938996</c:v>
                </c:pt>
                <c:pt idx="73">
                  <c:v>861.84930362529008</c:v>
                </c:pt>
                <c:pt idx="74">
                  <c:v>894.38070181859007</c:v>
                </c:pt>
                <c:pt idx="75">
                  <c:v>880.50086324176004</c:v>
                </c:pt>
                <c:pt idx="76">
                  <c:v>852.3624334266699</c:v>
                </c:pt>
                <c:pt idx="77">
                  <c:v>851.1427811026399</c:v>
                </c:pt>
                <c:pt idx="78">
                  <c:v>837.23567872763999</c:v>
                </c:pt>
                <c:pt idx="79">
                  <c:v>828.94332782356992</c:v>
                </c:pt>
                <c:pt idx="80">
                  <c:v>805.91304907451001</c:v>
                </c:pt>
                <c:pt idx="81">
                  <c:v>763.65047977642996</c:v>
                </c:pt>
                <c:pt idx="82">
                  <c:v>766.41733554536995</c:v>
                </c:pt>
                <c:pt idx="83">
                  <c:v>779.82714413846998</c:v>
                </c:pt>
                <c:pt idx="84">
                  <c:v>804.51977535645995</c:v>
                </c:pt>
                <c:pt idx="85">
                  <c:v>862.86823992433006</c:v>
                </c:pt>
                <c:pt idx="86">
                  <c:v>881.41893610786997</c:v>
                </c:pt>
                <c:pt idx="87">
                  <c:v>913.17057658369993</c:v>
                </c:pt>
                <c:pt idx="88">
                  <c:v>912.77882509224014</c:v>
                </c:pt>
                <c:pt idx="89">
                  <c:v>926.11641500443989</c:v>
                </c:pt>
                <c:pt idx="90">
                  <c:v>886.94138294589993</c:v>
                </c:pt>
                <c:pt idx="91">
                  <c:v>888.7450061254001</c:v>
                </c:pt>
                <c:pt idx="92">
                  <c:v>935.92215650303001</c:v>
                </c:pt>
                <c:pt idx="93">
                  <c:v>946.40856868504</c:v>
                </c:pt>
                <c:pt idx="94">
                  <c:v>967.89663697031995</c:v>
                </c:pt>
                <c:pt idx="95">
                  <c:v>959.57542811217991</c:v>
                </c:pt>
                <c:pt idx="96">
                  <c:v>900.60835838660989</c:v>
                </c:pt>
                <c:pt idx="97">
                  <c:v>861.76847212368989</c:v>
                </c:pt>
                <c:pt idx="98">
                  <c:v>823.46737061147996</c:v>
                </c:pt>
                <c:pt idx="99">
                  <c:v>810.55069396015006</c:v>
                </c:pt>
                <c:pt idx="100">
                  <c:v>797.81796615863004</c:v>
                </c:pt>
                <c:pt idx="101">
                  <c:v>798.65651456173998</c:v>
                </c:pt>
                <c:pt idx="102">
                  <c:v>762.63432811365999</c:v>
                </c:pt>
                <c:pt idx="103">
                  <c:v>755.03005897611001</c:v>
                </c:pt>
                <c:pt idx="104">
                  <c:v>786.80600401230004</c:v>
                </c:pt>
                <c:pt idx="105">
                  <c:v>788.99561544992002</c:v>
                </c:pt>
                <c:pt idx="106">
                  <c:v>811.37174205348992</c:v>
                </c:pt>
                <c:pt idx="107">
                  <c:v>804.35607636274995</c:v>
                </c:pt>
                <c:pt idx="108">
                  <c:v>813.57609342373996</c:v>
                </c:pt>
                <c:pt idx="109">
                  <c:v>814.88455827308997</c:v>
                </c:pt>
                <c:pt idx="110">
                  <c:v>806.40014613460005</c:v>
                </c:pt>
                <c:pt idx="111">
                  <c:v>803.77033109164995</c:v>
                </c:pt>
                <c:pt idx="112">
                  <c:v>810.48000608297002</c:v>
                </c:pt>
                <c:pt idx="113">
                  <c:v>790.63694307305002</c:v>
                </c:pt>
                <c:pt idx="114">
                  <c:v>809.14747436687003</c:v>
                </c:pt>
                <c:pt idx="115">
                  <c:v>826.90604657005008</c:v>
                </c:pt>
                <c:pt idx="116">
                  <c:v>836.47201722864997</c:v>
                </c:pt>
                <c:pt idx="117">
                  <c:v>828.35564725380004</c:v>
                </c:pt>
                <c:pt idx="118">
                  <c:v>820.80379581826003</c:v>
                </c:pt>
                <c:pt idx="119">
                  <c:v>827.40759459571996</c:v>
                </c:pt>
                <c:pt idx="120">
                  <c:v>814.30909352505</c:v>
                </c:pt>
                <c:pt idx="121">
                  <c:v>762.30394588234003</c:v>
                </c:pt>
                <c:pt idx="122">
                  <c:v>743.42083938195003</c:v>
                </c:pt>
                <c:pt idx="123">
                  <c:v>778.64422557369994</c:v>
                </c:pt>
                <c:pt idx="124">
                  <c:v>812.40754549873009</c:v>
                </c:pt>
                <c:pt idx="125">
                  <c:v>774.73652824295004</c:v>
                </c:pt>
                <c:pt idx="126">
                  <c:v>778.33618996198993</c:v>
                </c:pt>
                <c:pt idx="127">
                  <c:v>709.00618758274004</c:v>
                </c:pt>
                <c:pt idx="128">
                  <c:v>727.82552293852996</c:v>
                </c:pt>
                <c:pt idx="129">
                  <c:v>754.82393237024996</c:v>
                </c:pt>
                <c:pt idx="130">
                  <c:v>732.88407878687008</c:v>
                </c:pt>
                <c:pt idx="131">
                  <c:v>730.68260217587999</c:v>
                </c:pt>
                <c:pt idx="132">
                  <c:v>744.29896975607005</c:v>
                </c:pt>
                <c:pt idx="133">
                  <c:v>745.88750169795003</c:v>
                </c:pt>
                <c:pt idx="134">
                  <c:v>751.20501087961998</c:v>
                </c:pt>
                <c:pt idx="135">
                  <c:v>704.01128915656</c:v>
                </c:pt>
                <c:pt idx="136">
                  <c:v>718.6624796563699</c:v>
                </c:pt>
                <c:pt idx="137">
                  <c:v>733.63584101162996</c:v>
                </c:pt>
                <c:pt idx="138">
                  <c:v>751.86273626973991</c:v>
                </c:pt>
                <c:pt idx="139">
                  <c:v>738.39564347428995</c:v>
                </c:pt>
                <c:pt idx="140">
                  <c:v>745.36917729571996</c:v>
                </c:pt>
                <c:pt idx="141">
                  <c:v>784.48276495530001</c:v>
                </c:pt>
                <c:pt idx="142">
                  <c:v>768.27397961094994</c:v>
                </c:pt>
                <c:pt idx="143">
                  <c:v>778.21896960730999</c:v>
                </c:pt>
                <c:pt idx="144">
                  <c:v>801.45343996897998</c:v>
                </c:pt>
                <c:pt idx="145">
                  <c:v>808.58808671146005</c:v>
                </c:pt>
                <c:pt idx="146">
                  <c:v>799.07258054592012</c:v>
                </c:pt>
                <c:pt idx="147">
                  <c:v>793.52675338663005</c:v>
                </c:pt>
                <c:pt idx="148">
                  <c:v>790.90632466388001</c:v>
                </c:pt>
                <c:pt idx="149">
                  <c:v>794.77646368505998</c:v>
                </c:pt>
                <c:pt idx="150">
                  <c:v>790.00358158000995</c:v>
                </c:pt>
                <c:pt idx="151">
                  <c:v>795.47579690155999</c:v>
                </c:pt>
                <c:pt idx="152">
                  <c:v>797.41669117890001</c:v>
                </c:pt>
                <c:pt idx="153">
                  <c:v>799.81277074586001</c:v>
                </c:pt>
                <c:pt idx="154">
                  <c:v>797.67515018505003</c:v>
                </c:pt>
                <c:pt idx="155">
                  <c:v>842.82618056647004</c:v>
                </c:pt>
                <c:pt idx="156">
                  <c:v>839.45394144369004</c:v>
                </c:pt>
                <c:pt idx="157">
                  <c:v>825.22168975533998</c:v>
                </c:pt>
                <c:pt idx="158">
                  <c:v>813.85841821786994</c:v>
                </c:pt>
                <c:pt idx="159">
                  <c:v>827.05257134335</c:v>
                </c:pt>
                <c:pt idx="160">
                  <c:v>804.51343618403007</c:v>
                </c:pt>
                <c:pt idx="161">
                  <c:v>828.4191979837799</c:v>
                </c:pt>
                <c:pt idx="162">
                  <c:v>817.94761737351996</c:v>
                </c:pt>
                <c:pt idx="163">
                  <c:v>827.84444099478003</c:v>
                </c:pt>
                <c:pt idx="164">
                  <c:v>847.03307075656994</c:v>
                </c:pt>
                <c:pt idx="165">
                  <c:v>841.00987484441998</c:v>
                </c:pt>
                <c:pt idx="166">
                  <c:v>812.43318001324997</c:v>
                </c:pt>
                <c:pt idx="167">
                  <c:v>803.28492986630999</c:v>
                </c:pt>
                <c:pt idx="168">
                  <c:v>760.80425483525005</c:v>
                </c:pt>
                <c:pt idx="169">
                  <c:v>767.41904837329002</c:v>
                </c:pt>
                <c:pt idx="170">
                  <c:v>769.49942837009996</c:v>
                </c:pt>
                <c:pt idx="171">
                  <c:v>777.16827900818998</c:v>
                </c:pt>
                <c:pt idx="172">
                  <c:v>713.48803435464993</c:v>
                </c:pt>
                <c:pt idx="173">
                  <c:v>714.88172388550004</c:v>
                </c:pt>
                <c:pt idx="174">
                  <c:v>786.30506760563992</c:v>
                </c:pt>
                <c:pt idx="175">
                  <c:v>762.15013377507989</c:v>
                </c:pt>
                <c:pt idx="176">
                  <c:v>781.57412693683</c:v>
                </c:pt>
                <c:pt idx="177">
                  <c:v>794.69798377612994</c:v>
                </c:pt>
                <c:pt idx="178">
                  <c:v>800.61046672295993</c:v>
                </c:pt>
                <c:pt idx="179">
                  <c:v>844.96722357546003</c:v>
                </c:pt>
                <c:pt idx="180">
                  <c:v>832.83919335144992</c:v>
                </c:pt>
                <c:pt idx="181">
                  <c:v>837.82490760794997</c:v>
                </c:pt>
                <c:pt idx="182">
                  <c:v>918.53320746321992</c:v>
                </c:pt>
                <c:pt idx="183">
                  <c:v>907.37856369879012</c:v>
                </c:pt>
                <c:pt idx="184">
                  <c:v>909.06934304517995</c:v>
                </c:pt>
                <c:pt idx="185">
                  <c:v>857.68615474068008</c:v>
                </c:pt>
                <c:pt idx="186">
                  <c:v>856.11019279102004</c:v>
                </c:pt>
                <c:pt idx="187">
                  <c:v>840.81763944121997</c:v>
                </c:pt>
                <c:pt idx="188">
                  <c:v>846.26556541245998</c:v>
                </c:pt>
                <c:pt idx="189">
                  <c:v>805.96361734261006</c:v>
                </c:pt>
                <c:pt idx="190">
                  <c:v>813.82749139945997</c:v>
                </c:pt>
                <c:pt idx="191">
                  <c:v>817.84934733926991</c:v>
                </c:pt>
                <c:pt idx="192">
                  <c:v>811.20477096371997</c:v>
                </c:pt>
                <c:pt idx="193">
                  <c:v>802.44358873031001</c:v>
                </c:pt>
                <c:pt idx="194">
                  <c:v>808.13649202134002</c:v>
                </c:pt>
                <c:pt idx="195">
                  <c:v>811.28190777280997</c:v>
                </c:pt>
                <c:pt idx="196">
                  <c:v>807.81175310094</c:v>
                </c:pt>
                <c:pt idx="197">
                  <c:v>801.71871256888994</c:v>
                </c:pt>
                <c:pt idx="198">
                  <c:v>814.73329442795</c:v>
                </c:pt>
                <c:pt idx="199">
                  <c:v>816.45722552560005</c:v>
                </c:pt>
                <c:pt idx="200">
                  <c:v>813.77061295885994</c:v>
                </c:pt>
                <c:pt idx="201">
                  <c:v>810.15204957831997</c:v>
                </c:pt>
                <c:pt idx="202">
                  <c:v>807.71609794352992</c:v>
                </c:pt>
                <c:pt idx="203">
                  <c:v>807.59073531167996</c:v>
                </c:pt>
                <c:pt idx="204">
                  <c:v>815.46274580082002</c:v>
                </c:pt>
                <c:pt idx="205">
                  <c:v>811.84831037304002</c:v>
                </c:pt>
                <c:pt idx="206">
                  <c:v>825.37172252804999</c:v>
                </c:pt>
                <c:pt idx="207">
                  <c:v>811.02595798919003</c:v>
                </c:pt>
                <c:pt idx="208">
                  <c:v>815.62209815511994</c:v>
                </c:pt>
                <c:pt idx="209">
                  <c:v>789.93017766049002</c:v>
                </c:pt>
                <c:pt idx="210">
                  <c:v>847.12327113287006</c:v>
                </c:pt>
                <c:pt idx="211">
                  <c:v>857.2939818497</c:v>
                </c:pt>
                <c:pt idx="212">
                  <c:v>814.95252701660002</c:v>
                </c:pt>
                <c:pt idx="213">
                  <c:v>826.84239676285995</c:v>
                </c:pt>
                <c:pt idx="214">
                  <c:v>920.49176904794012</c:v>
                </c:pt>
                <c:pt idx="215">
                  <c:v>923.54273688600983</c:v>
                </c:pt>
                <c:pt idx="216">
                  <c:v>881.99072091360006</c:v>
                </c:pt>
                <c:pt idx="217">
                  <c:v>807.40831687940999</c:v>
                </c:pt>
                <c:pt idx="218">
                  <c:v>778.0776051416301</c:v>
                </c:pt>
                <c:pt idx="219">
                  <c:v>798.24417665520002</c:v>
                </c:pt>
                <c:pt idx="220">
                  <c:v>750.20733479965998</c:v>
                </c:pt>
                <c:pt idx="221">
                  <c:v>779.92682058865</c:v>
                </c:pt>
                <c:pt idx="222">
                  <c:v>721.6945913582</c:v>
                </c:pt>
                <c:pt idx="223">
                  <c:v>709.02449999897999</c:v>
                </c:pt>
                <c:pt idx="224">
                  <c:v>732.70106186944008</c:v>
                </c:pt>
                <c:pt idx="225">
                  <c:v>807.61208380568996</c:v>
                </c:pt>
                <c:pt idx="226">
                  <c:v>713.41256245539012</c:v>
                </c:pt>
                <c:pt idx="227">
                  <c:v>702.63383297645009</c:v>
                </c:pt>
                <c:pt idx="228">
                  <c:v>702.58458244111</c:v>
                </c:pt>
                <c:pt idx="229">
                  <c:v>732.77986856960001</c:v>
                </c:pt>
                <c:pt idx="230">
                  <c:v>738.49793727421002</c:v>
                </c:pt>
                <c:pt idx="231">
                  <c:v>709.99553215984997</c:v>
                </c:pt>
                <c:pt idx="232">
                  <c:v>694.77867402521997</c:v>
                </c:pt>
                <c:pt idx="233">
                  <c:v>698.00735855612004</c:v>
                </c:pt>
                <c:pt idx="234">
                  <c:v>775.33865142311004</c:v>
                </c:pt>
                <c:pt idx="235">
                  <c:v>881.43597511807002</c:v>
                </c:pt>
                <c:pt idx="236">
                  <c:v>847.15020072720995</c:v>
                </c:pt>
                <c:pt idx="237">
                  <c:v>746.19546290346</c:v>
                </c:pt>
                <c:pt idx="238">
                  <c:v>765.98959034544998</c:v>
                </c:pt>
                <c:pt idx="239">
                  <c:v>772.67308658823003</c:v>
                </c:pt>
                <c:pt idx="240">
                  <c:v>764.99940197157002</c:v>
                </c:pt>
                <c:pt idx="241">
                  <c:v>741.24512921577002</c:v>
                </c:pt>
                <c:pt idx="242">
                  <c:v>784.40600790375993</c:v>
                </c:pt>
                <c:pt idx="243">
                  <c:v>755.74287324999</c:v>
                </c:pt>
                <c:pt idx="244">
                  <c:v>688.83059105247003</c:v>
                </c:pt>
                <c:pt idx="245">
                  <c:v>662.32950503864004</c:v>
                </c:pt>
                <c:pt idx="246">
                  <c:v>689.60795617406006</c:v>
                </c:pt>
                <c:pt idx="247">
                  <c:v>752.33088298990003</c:v>
                </c:pt>
                <c:pt idx="248">
                  <c:v>672.96018110214004</c:v>
                </c:pt>
                <c:pt idx="249">
                  <c:v>653.61897276477998</c:v>
                </c:pt>
                <c:pt idx="250">
                  <c:v>630.19575112027997</c:v>
                </c:pt>
                <c:pt idx="251">
                  <c:v>683.68093204529998</c:v>
                </c:pt>
                <c:pt idx="252">
                  <c:v>717.97926045113002</c:v>
                </c:pt>
                <c:pt idx="253">
                  <c:v>732.67731754104</c:v>
                </c:pt>
                <c:pt idx="254">
                  <c:v>750.56940608574996</c:v>
                </c:pt>
                <c:pt idx="255">
                  <c:v>776.09447188696004</c:v>
                </c:pt>
                <c:pt idx="256">
                  <c:v>754.29784985155993</c:v>
                </c:pt>
                <c:pt idx="257">
                  <c:v>628.35760171306003</c:v>
                </c:pt>
                <c:pt idx="258">
                  <c:v>681.68950749465</c:v>
                </c:pt>
                <c:pt idx="259">
                  <c:v>743.73613710224004</c:v>
                </c:pt>
                <c:pt idx="260">
                  <c:v>677.64515317548</c:v>
                </c:pt>
                <c:pt idx="261">
                  <c:v>690.52661269375994</c:v>
                </c:pt>
                <c:pt idx="262">
                  <c:v>684.27764143090997</c:v>
                </c:pt>
                <c:pt idx="263">
                  <c:v>712.62033565873003</c:v>
                </c:pt>
                <c:pt idx="264">
                  <c:v>686.96030925515993</c:v>
                </c:pt>
                <c:pt idx="265">
                  <c:v>701.50478117349007</c:v>
                </c:pt>
                <c:pt idx="266">
                  <c:v>678.68686458097</c:v>
                </c:pt>
                <c:pt idx="267">
                  <c:v>687.93535266459003</c:v>
                </c:pt>
                <c:pt idx="268">
                  <c:v>776.92148465382002</c:v>
                </c:pt>
                <c:pt idx="269">
                  <c:v>762.62027123483006</c:v>
                </c:pt>
                <c:pt idx="270">
                  <c:v>768.50812667298999</c:v>
                </c:pt>
                <c:pt idx="271">
                  <c:v>763.50154992062994</c:v>
                </c:pt>
                <c:pt idx="272">
                  <c:v>710.43953101447994</c:v>
                </c:pt>
                <c:pt idx="273">
                  <c:v>723.35701371717994</c:v>
                </c:pt>
                <c:pt idx="274">
                  <c:v>729.23674094844</c:v>
                </c:pt>
                <c:pt idx="275">
                  <c:v>739.82741860602994</c:v>
                </c:pt>
                <c:pt idx="276">
                  <c:v>730.39092730913001</c:v>
                </c:pt>
                <c:pt idx="277">
                  <c:v>706.64335289171004</c:v>
                </c:pt>
                <c:pt idx="278">
                  <c:v>711.76597220834003</c:v>
                </c:pt>
                <c:pt idx="279">
                  <c:v>750.89690985773996</c:v>
                </c:pt>
                <c:pt idx="280">
                  <c:v>756.93481940138008</c:v>
                </c:pt>
                <c:pt idx="281">
                  <c:v>771.94002694210008</c:v>
                </c:pt>
                <c:pt idx="282">
                  <c:v>809.95975287881004</c:v>
                </c:pt>
                <c:pt idx="283">
                  <c:v>809.83692962619989</c:v>
                </c:pt>
                <c:pt idx="284">
                  <c:v>806.51752183985002</c:v>
                </c:pt>
                <c:pt idx="285">
                  <c:v>810.71646137283005</c:v>
                </c:pt>
                <c:pt idx="286">
                  <c:v>802.89864587545003</c:v>
                </c:pt>
                <c:pt idx="287">
                  <c:v>811.28861755498997</c:v>
                </c:pt>
                <c:pt idx="288">
                  <c:v>811.53910728313008</c:v>
                </c:pt>
                <c:pt idx="289">
                  <c:v>813.20121920912004</c:v>
                </c:pt>
                <c:pt idx="290">
                  <c:v>808.80018630934001</c:v>
                </c:pt>
                <c:pt idx="291">
                  <c:v>815.68609797226998</c:v>
                </c:pt>
                <c:pt idx="292">
                  <c:v>817.64525851445001</c:v>
                </c:pt>
                <c:pt idx="293">
                  <c:v>812.43026850373008</c:v>
                </c:pt>
                <c:pt idx="294">
                  <c:v>810.99913250354996</c:v>
                </c:pt>
                <c:pt idx="295">
                  <c:v>807.16661158345994</c:v>
                </c:pt>
                <c:pt idx="296">
                  <c:v>825.13155088629003</c:v>
                </c:pt>
                <c:pt idx="297">
                  <c:v>817.09789013991997</c:v>
                </c:pt>
                <c:pt idx="298">
                  <c:v>870.33261955743001</c:v>
                </c:pt>
                <c:pt idx="299">
                  <c:v>885.74679338494991</c:v>
                </c:pt>
                <c:pt idx="300">
                  <c:v>905.68815777210989</c:v>
                </c:pt>
                <c:pt idx="301">
                  <c:v>894.70991052712998</c:v>
                </c:pt>
                <c:pt idx="302">
                  <c:v>898.40310057280999</c:v>
                </c:pt>
                <c:pt idx="303">
                  <c:v>881.48148710979001</c:v>
                </c:pt>
                <c:pt idx="304">
                  <c:v>788.68131874308006</c:v>
                </c:pt>
                <c:pt idx="305">
                  <c:v>754.85188107669001</c:v>
                </c:pt>
                <c:pt idx="306">
                  <c:v>834.14730351620005</c:v>
                </c:pt>
                <c:pt idx="307">
                  <c:v>859.98494224138005</c:v>
                </c:pt>
                <c:pt idx="308">
                  <c:v>845.29122413327991</c:v>
                </c:pt>
                <c:pt idx="309">
                  <c:v>833.56497174275</c:v>
                </c:pt>
                <c:pt idx="310">
                  <c:v>807.64525339043007</c:v>
                </c:pt>
                <c:pt idx="311">
                  <c:v>820.12062812276997</c:v>
                </c:pt>
                <c:pt idx="312">
                  <c:v>871.28354106565996</c:v>
                </c:pt>
                <c:pt idx="313">
                  <c:v>825.85258326446001</c:v>
                </c:pt>
                <c:pt idx="314">
                  <c:v>763.38059256709994</c:v>
                </c:pt>
                <c:pt idx="315">
                  <c:v>761.67282234354002</c:v>
                </c:pt>
                <c:pt idx="316">
                  <c:v>787.56883175268001</c:v>
                </c:pt>
                <c:pt idx="317">
                  <c:v>816.72580437639999</c:v>
                </c:pt>
                <c:pt idx="318">
                  <c:v>839.76017130620994</c:v>
                </c:pt>
                <c:pt idx="319">
                  <c:v>789.53104925054004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75-DE49-81E3-F71201B1B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0D-CE43-9168-2B005B2CFA98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'240816E005'!$A$2:$A$321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'240816E005'!$P$2:$P$321</c:f>
              <c:numCache>
                <c:formatCode>General</c:formatCode>
                <c:ptCount val="320"/>
                <c:pt idx="0">
                  <c:v>36.552154278264339</c:v>
                </c:pt>
                <c:pt idx="1">
                  <c:v>40.081845420231296</c:v>
                </c:pt>
                <c:pt idx="2">
                  <c:v>45.379429494659078</c:v>
                </c:pt>
                <c:pt idx="3">
                  <c:v>43.476845685065577</c:v>
                </c:pt>
                <c:pt idx="4">
                  <c:v>36.849720445732025</c:v>
                </c:pt>
                <c:pt idx="5">
                  <c:v>33.393954456672446</c:v>
                </c:pt>
                <c:pt idx="6">
                  <c:v>27.911984377416989</c:v>
                </c:pt>
                <c:pt idx="7">
                  <c:v>24.629453551665197</c:v>
                </c:pt>
                <c:pt idx="8">
                  <c:v>25.363094358541044</c:v>
                </c:pt>
                <c:pt idx="9">
                  <c:v>22.278888546900678</c:v>
                </c:pt>
                <c:pt idx="10">
                  <c:v>17.454629461061547</c:v>
                </c:pt>
                <c:pt idx="11">
                  <c:v>15.007194670705836</c:v>
                </c:pt>
                <c:pt idx="12">
                  <c:v>15.324673417082794</c:v>
                </c:pt>
                <c:pt idx="13">
                  <c:v>13.179684899963981</c:v>
                </c:pt>
                <c:pt idx="14">
                  <c:v>12.506102744419167</c:v>
                </c:pt>
                <c:pt idx="15">
                  <c:v>11.883953780540212</c:v>
                </c:pt>
                <c:pt idx="16">
                  <c:v>10.45079219976046</c:v>
                </c:pt>
                <c:pt idx="17">
                  <c:v>7.2165285625459052</c:v>
                </c:pt>
                <c:pt idx="18">
                  <c:v>6.4637570965377549</c:v>
                </c:pt>
                <c:pt idx="19">
                  <c:v>4.4106633011151839</c:v>
                </c:pt>
                <c:pt idx="20">
                  <c:v>2.5496843237851579</c:v>
                </c:pt>
                <c:pt idx="21">
                  <c:v>0.89251430668897125</c:v>
                </c:pt>
                <c:pt idx="22">
                  <c:v>0.64451560227574378</c:v>
                </c:pt>
                <c:pt idx="23">
                  <c:v>1.9936060604298593</c:v>
                </c:pt>
                <c:pt idx="24">
                  <c:v>1.5552854561132508</c:v>
                </c:pt>
                <c:pt idx="25">
                  <c:v>0.58129661682604061</c:v>
                </c:pt>
                <c:pt idx="26">
                  <c:v>-2.4942788705505725</c:v>
                </c:pt>
                <c:pt idx="27">
                  <c:v>-0.52675553293421884</c:v>
                </c:pt>
                <c:pt idx="28">
                  <c:v>-1.1297069833633746</c:v>
                </c:pt>
                <c:pt idx="29">
                  <c:v>-3.0885320723181366</c:v>
                </c:pt>
                <c:pt idx="30">
                  <c:v>-1.0000613126795268</c:v>
                </c:pt>
                <c:pt idx="31">
                  <c:v>-1.3220379755693454</c:v>
                </c:pt>
                <c:pt idx="32">
                  <c:v>-1.6630472080604832</c:v>
                </c:pt>
                <c:pt idx="33">
                  <c:v>-3.6037129850933032</c:v>
                </c:pt>
                <c:pt idx="34">
                  <c:v>-2.9097682032904757</c:v>
                </c:pt>
                <c:pt idx="35">
                  <c:v>-5.5789797643176282</c:v>
                </c:pt>
                <c:pt idx="36">
                  <c:v>-4.2064404390748713</c:v>
                </c:pt>
                <c:pt idx="37">
                  <c:v>-5.492948572372736</c:v>
                </c:pt>
                <c:pt idx="38">
                  <c:v>-4.5362715162811824</c:v>
                </c:pt>
                <c:pt idx="39">
                  <c:v>-4.6538686916941119</c:v>
                </c:pt>
                <c:pt idx="40">
                  <c:v>-4.5985780327693169</c:v>
                </c:pt>
                <c:pt idx="41">
                  <c:v>-4.8723734719873928</c:v>
                </c:pt>
                <c:pt idx="42">
                  <c:v>-4.798889145907868</c:v>
                </c:pt>
                <c:pt idx="43">
                  <c:v>-1.0039059476766554</c:v>
                </c:pt>
                <c:pt idx="44">
                  <c:v>0.47316437503525505</c:v>
                </c:pt>
                <c:pt idx="45">
                  <c:v>1.0579319822155007</c:v>
                </c:pt>
                <c:pt idx="46">
                  <c:v>0.37919006090054214</c:v>
                </c:pt>
                <c:pt idx="47">
                  <c:v>-0.52259890545662735</c:v>
                </c:pt>
                <c:pt idx="48">
                  <c:v>-5.3374068343453041E-2</c:v>
                </c:pt>
                <c:pt idx="49">
                  <c:v>0.28398285818201874</c:v>
                </c:pt>
                <c:pt idx="50">
                  <c:v>-0.18735570930871132</c:v>
                </c:pt>
                <c:pt idx="51">
                  <c:v>-1.1109999511758883</c:v>
                </c:pt>
                <c:pt idx="52">
                  <c:v>-1.7568778460688661</c:v>
                </c:pt>
                <c:pt idx="53">
                  <c:v>-3.2087379893877812</c:v>
                </c:pt>
                <c:pt idx="54">
                  <c:v>-2.5361213873014572</c:v>
                </c:pt>
                <c:pt idx="55">
                  <c:v>-1.1847766534592308</c:v>
                </c:pt>
                <c:pt idx="56">
                  <c:v>-0.99400864332978722</c:v>
                </c:pt>
                <c:pt idx="57">
                  <c:v>-2.6585768501301144</c:v>
                </c:pt>
                <c:pt idx="58">
                  <c:v>-1.3642698193252021</c:v>
                </c:pt>
                <c:pt idx="59">
                  <c:v>-1.6663512334498545</c:v>
                </c:pt>
                <c:pt idx="60">
                  <c:v>-2.0555202694617605</c:v>
                </c:pt>
                <c:pt idx="61">
                  <c:v>-0.39713632872600835</c:v>
                </c:pt>
                <c:pt idx="62">
                  <c:v>-0.40299017868596482</c:v>
                </c:pt>
                <c:pt idx="63">
                  <c:v>-1.2785754977976664</c:v>
                </c:pt>
                <c:pt idx="64">
                  <c:v>-0.11943608431173498</c:v>
                </c:pt>
                <c:pt idx="65">
                  <c:v>0.37491190579580846</c:v>
                </c:pt>
                <c:pt idx="66">
                  <c:v>0.16750507753133809</c:v>
                </c:pt>
                <c:pt idx="67">
                  <c:v>-0.63066026178480183</c:v>
                </c:pt>
                <c:pt idx="68">
                  <c:v>-2.0064368049611123</c:v>
                </c:pt>
                <c:pt idx="69">
                  <c:v>-1.7533435303867966</c:v>
                </c:pt>
                <c:pt idx="70">
                  <c:v>-2.0694710081544954</c:v>
                </c:pt>
                <c:pt idx="71">
                  <c:v>2.2683648255716879</c:v>
                </c:pt>
                <c:pt idx="72">
                  <c:v>1.8045049125939394</c:v>
                </c:pt>
                <c:pt idx="73">
                  <c:v>0.14054869351870827</c:v>
                </c:pt>
                <c:pt idx="74">
                  <c:v>-5.3795204060763831E-4</c:v>
                </c:pt>
                <c:pt idx="75">
                  <c:v>-0.44667728379204447</c:v>
                </c:pt>
                <c:pt idx="76">
                  <c:v>1.526976540685786</c:v>
                </c:pt>
                <c:pt idx="77">
                  <c:v>1.9769481984435935</c:v>
                </c:pt>
                <c:pt idx="78">
                  <c:v>1.518325208599131</c:v>
                </c:pt>
                <c:pt idx="79">
                  <c:v>1.3826998373628321</c:v>
                </c:pt>
                <c:pt idx="80">
                  <c:v>5.8094994179726474E-2</c:v>
                </c:pt>
                <c:pt idx="81">
                  <c:v>0.35853302606333898</c:v>
                </c:pt>
                <c:pt idx="82">
                  <c:v>1.0127452967288233</c:v>
                </c:pt>
                <c:pt idx="83">
                  <c:v>3.7858918331732592</c:v>
                </c:pt>
                <c:pt idx="84">
                  <c:v>4.3754976833867083</c:v>
                </c:pt>
                <c:pt idx="85">
                  <c:v>27.570729999758409</c:v>
                </c:pt>
                <c:pt idx="86">
                  <c:v>43.300332130519109</c:v>
                </c:pt>
                <c:pt idx="87">
                  <c:v>58.760247080903483</c:v>
                </c:pt>
                <c:pt idx="88">
                  <c:v>72.048738723094957</c:v>
                </c:pt>
                <c:pt idx="89">
                  <c:v>87.494369024371537</c:v>
                </c:pt>
                <c:pt idx="90">
                  <c:v>95.307153506962266</c:v>
                </c:pt>
                <c:pt idx="91">
                  <c:v>101.96323775543181</c:v>
                </c:pt>
                <c:pt idx="92">
                  <c:v>110.71585523629726</c:v>
                </c:pt>
                <c:pt idx="93">
                  <c:v>111.89340252522047</c:v>
                </c:pt>
                <c:pt idx="94">
                  <c:v>113.78903564266705</c:v>
                </c:pt>
                <c:pt idx="95">
                  <c:v>113.18540801319348</c:v>
                </c:pt>
                <c:pt idx="96">
                  <c:v>117.50265773460313</c:v>
                </c:pt>
                <c:pt idx="97">
                  <c:v>117.13961866037043</c:v>
                </c:pt>
                <c:pt idx="98">
                  <c:v>110.18898472291517</c:v>
                </c:pt>
                <c:pt idx="99">
                  <c:v>109.2937392413442</c:v>
                </c:pt>
                <c:pt idx="100">
                  <c:v>107.28545505256966</c:v>
                </c:pt>
                <c:pt idx="101">
                  <c:v>105.9166212995013</c:v>
                </c:pt>
                <c:pt idx="102">
                  <c:v>105.42851930903996</c:v>
                </c:pt>
                <c:pt idx="103">
                  <c:v>99.750598852796216</c:v>
                </c:pt>
                <c:pt idx="104">
                  <c:v>96.279411377273689</c:v>
                </c:pt>
                <c:pt idx="105">
                  <c:v>93.144992862299489</c:v>
                </c:pt>
                <c:pt idx="106">
                  <c:v>87.387814370166893</c:v>
                </c:pt>
                <c:pt idx="107">
                  <c:v>84.016841307917971</c:v>
                </c:pt>
                <c:pt idx="108">
                  <c:v>79.066519774516848</c:v>
                </c:pt>
                <c:pt idx="109">
                  <c:v>77.316794688038556</c:v>
                </c:pt>
                <c:pt idx="110">
                  <c:v>73.776063263906195</c:v>
                </c:pt>
                <c:pt idx="111">
                  <c:v>69.046769333781782</c:v>
                </c:pt>
                <c:pt idx="112">
                  <c:v>67.090578249029051</c:v>
                </c:pt>
                <c:pt idx="113">
                  <c:v>63.726215109504857</c:v>
                </c:pt>
                <c:pt idx="114">
                  <c:v>62.677539953247219</c:v>
                </c:pt>
                <c:pt idx="115">
                  <c:v>59.908814115823773</c:v>
                </c:pt>
                <c:pt idx="116">
                  <c:v>62.671675330538768</c:v>
                </c:pt>
                <c:pt idx="117">
                  <c:v>59.999676707548957</c:v>
                </c:pt>
                <c:pt idx="118">
                  <c:v>55.839379489219041</c:v>
                </c:pt>
                <c:pt idx="119">
                  <c:v>52.626238939702844</c:v>
                </c:pt>
                <c:pt idx="120">
                  <c:v>50.958875586374099</c:v>
                </c:pt>
                <c:pt idx="121">
                  <c:v>47.81554411838632</c:v>
                </c:pt>
                <c:pt idx="122">
                  <c:v>45.289999688503727</c:v>
                </c:pt>
                <c:pt idx="123">
                  <c:v>42.093304375780491</c:v>
                </c:pt>
                <c:pt idx="124">
                  <c:v>38.297255674836762</c:v>
                </c:pt>
                <c:pt idx="125">
                  <c:v>36.943932524200427</c:v>
                </c:pt>
                <c:pt idx="126">
                  <c:v>33.965185374104344</c:v>
                </c:pt>
                <c:pt idx="127">
                  <c:v>33.338577960215744</c:v>
                </c:pt>
                <c:pt idx="128">
                  <c:v>30.590398279372167</c:v>
                </c:pt>
                <c:pt idx="129">
                  <c:v>28.341555133921894</c:v>
                </c:pt>
                <c:pt idx="130">
                  <c:v>28.538943835916044</c:v>
                </c:pt>
                <c:pt idx="131">
                  <c:v>27.757555022714115</c:v>
                </c:pt>
                <c:pt idx="132">
                  <c:v>25.550525641925503</c:v>
                </c:pt>
                <c:pt idx="133">
                  <c:v>26.424225888615922</c:v>
                </c:pt>
                <c:pt idx="134">
                  <c:v>27.048519442542041</c:v>
                </c:pt>
                <c:pt idx="135">
                  <c:v>28.534983700303428</c:v>
                </c:pt>
                <c:pt idx="136">
                  <c:v>26.739423263166408</c:v>
                </c:pt>
                <c:pt idx="137">
                  <c:v>25.967502047354913</c:v>
                </c:pt>
                <c:pt idx="138">
                  <c:v>25.154699920177464</c:v>
                </c:pt>
                <c:pt idx="139">
                  <c:v>24.981561923346181</c:v>
                </c:pt>
                <c:pt idx="140">
                  <c:v>24.276820572110637</c:v>
                </c:pt>
                <c:pt idx="141">
                  <c:v>25.483949125321427</c:v>
                </c:pt>
                <c:pt idx="142">
                  <c:v>24.771899437471294</c:v>
                </c:pt>
                <c:pt idx="143">
                  <c:v>24.881114654836413</c:v>
                </c:pt>
                <c:pt idx="144">
                  <c:v>24.524108599774898</c:v>
                </c:pt>
                <c:pt idx="145">
                  <c:v>24.448285147255351</c:v>
                </c:pt>
                <c:pt idx="146">
                  <c:v>22.801241785324972</c:v>
                </c:pt>
                <c:pt idx="147">
                  <c:v>22.289347361003973</c:v>
                </c:pt>
                <c:pt idx="148">
                  <c:v>22.669780399266255</c:v>
                </c:pt>
                <c:pt idx="149">
                  <c:v>21.702636790568107</c:v>
                </c:pt>
                <c:pt idx="150">
                  <c:v>19.850629401323506</c:v>
                </c:pt>
                <c:pt idx="151">
                  <c:v>17.893231104153696</c:v>
                </c:pt>
                <c:pt idx="152">
                  <c:v>16.26236559678955</c:v>
                </c:pt>
                <c:pt idx="153">
                  <c:v>16.434321706305557</c:v>
                </c:pt>
                <c:pt idx="154">
                  <c:v>15.678945930766513</c:v>
                </c:pt>
                <c:pt idx="155">
                  <c:v>14.47467052822827</c:v>
                </c:pt>
                <c:pt idx="156">
                  <c:v>12.946578107135895</c:v>
                </c:pt>
                <c:pt idx="157">
                  <c:v>10.547858108649724</c:v>
                </c:pt>
                <c:pt idx="158">
                  <c:v>10.412375687765961</c:v>
                </c:pt>
                <c:pt idx="159">
                  <c:v>9.1037546964999798</c:v>
                </c:pt>
                <c:pt idx="160">
                  <c:v>7.5324883755752996</c:v>
                </c:pt>
                <c:pt idx="161">
                  <c:v>7.495952638284038</c:v>
                </c:pt>
                <c:pt idx="162">
                  <c:v>6.3262314724216093</c:v>
                </c:pt>
                <c:pt idx="163">
                  <c:v>3.0266434362114096</c:v>
                </c:pt>
                <c:pt idx="164">
                  <c:v>1.6567632754793442</c:v>
                </c:pt>
                <c:pt idx="165">
                  <c:v>1.0098679295393074</c:v>
                </c:pt>
                <c:pt idx="166">
                  <c:v>-0.52672392628204368</c:v>
                </c:pt>
                <c:pt idx="167">
                  <c:v>-5.012398321349873E-2</c:v>
                </c:pt>
                <c:pt idx="168">
                  <c:v>-0.97386578839668281</c:v>
                </c:pt>
                <c:pt idx="169">
                  <c:v>-1.9497319620251121</c:v>
                </c:pt>
                <c:pt idx="170">
                  <c:v>-4.1398446557778046</c:v>
                </c:pt>
                <c:pt idx="171">
                  <c:v>-4.374869027554797</c:v>
                </c:pt>
                <c:pt idx="172">
                  <c:v>-4.9368451748119382</c:v>
                </c:pt>
                <c:pt idx="173">
                  <c:v>-7.374626567573574</c:v>
                </c:pt>
                <c:pt idx="174">
                  <c:v>-9.2511220742199924</c:v>
                </c:pt>
                <c:pt idx="175">
                  <c:v>-10.571082981765372</c:v>
                </c:pt>
                <c:pt idx="176">
                  <c:v>-12.103904865617217</c:v>
                </c:pt>
                <c:pt idx="177">
                  <c:v>-12.623737616133459</c:v>
                </c:pt>
                <c:pt idx="178">
                  <c:v>-14.970851682901905</c:v>
                </c:pt>
                <c:pt idx="179">
                  <c:v>-16.029371835231473</c:v>
                </c:pt>
                <c:pt idx="180">
                  <c:v>-17.241549063832952</c:v>
                </c:pt>
                <c:pt idx="181">
                  <c:v>-19.037355051045431</c:v>
                </c:pt>
                <c:pt idx="182">
                  <c:v>-19.780848757701243</c:v>
                </c:pt>
                <c:pt idx="183">
                  <c:v>-20.943726543957482</c:v>
                </c:pt>
                <c:pt idx="184">
                  <c:v>-21.652644898996865</c:v>
                </c:pt>
                <c:pt idx="185">
                  <c:v>-21.945009647952642</c:v>
                </c:pt>
                <c:pt idx="186">
                  <c:v>-22.036980561163997</c:v>
                </c:pt>
                <c:pt idx="187">
                  <c:v>-22.520657540671689</c:v>
                </c:pt>
                <c:pt idx="188">
                  <c:v>-22.865425939235994</c:v>
                </c:pt>
                <c:pt idx="189">
                  <c:v>-22.444425234890105</c:v>
                </c:pt>
                <c:pt idx="190">
                  <c:v>-23.048492823743398</c:v>
                </c:pt>
                <c:pt idx="191">
                  <c:v>-23.312858261379489</c:v>
                </c:pt>
                <c:pt idx="192">
                  <c:v>-23.528633583866736</c:v>
                </c:pt>
                <c:pt idx="193">
                  <c:v>-23.378426397077806</c:v>
                </c:pt>
                <c:pt idx="194">
                  <c:v>-23.798970799561484</c:v>
                </c:pt>
                <c:pt idx="195">
                  <c:v>-24.376861152685787</c:v>
                </c:pt>
                <c:pt idx="196">
                  <c:v>-23.742015590546785</c:v>
                </c:pt>
                <c:pt idx="197">
                  <c:v>-24.073336343758093</c:v>
                </c:pt>
                <c:pt idx="198">
                  <c:v>-23.650455372370526</c:v>
                </c:pt>
                <c:pt idx="199">
                  <c:v>-24.009029148249706</c:v>
                </c:pt>
                <c:pt idx="200">
                  <c:v>-24.322471083358039</c:v>
                </c:pt>
                <c:pt idx="201">
                  <c:v>-24.482482597805486</c:v>
                </c:pt>
                <c:pt idx="202">
                  <c:v>-23.950508897312336</c:v>
                </c:pt>
                <c:pt idx="203">
                  <c:v>-24.125499199520313</c:v>
                </c:pt>
                <c:pt idx="204">
                  <c:v>-23.842689531003415</c:v>
                </c:pt>
                <c:pt idx="205">
                  <c:v>-23.160278166036395</c:v>
                </c:pt>
                <c:pt idx="206">
                  <c:v>-23.353417534571712</c:v>
                </c:pt>
                <c:pt idx="207">
                  <c:v>-22.526820318413048</c:v>
                </c:pt>
                <c:pt idx="208">
                  <c:v>-22.560339489819011</c:v>
                </c:pt>
                <c:pt idx="209">
                  <c:v>-21.62554743474438</c:v>
                </c:pt>
                <c:pt idx="210">
                  <c:v>-23.154228332018214</c:v>
                </c:pt>
                <c:pt idx="211">
                  <c:v>-22.36841271009845</c:v>
                </c:pt>
                <c:pt idx="212">
                  <c:v>-21.908092575079024</c:v>
                </c:pt>
                <c:pt idx="213">
                  <c:v>-21.545461321104721</c:v>
                </c:pt>
                <c:pt idx="214">
                  <c:v>-21.395477602871818</c:v>
                </c:pt>
                <c:pt idx="215">
                  <c:v>-21.175826244808352</c:v>
                </c:pt>
                <c:pt idx="216">
                  <c:v>-20.795088657491146</c:v>
                </c:pt>
                <c:pt idx="217">
                  <c:v>-18.500081982690826</c:v>
                </c:pt>
                <c:pt idx="218">
                  <c:v>-18.463548629730813</c:v>
                </c:pt>
                <c:pt idx="219">
                  <c:v>-18.723121876210776</c:v>
                </c:pt>
                <c:pt idx="220">
                  <c:v>-18.841689435672706</c:v>
                </c:pt>
                <c:pt idx="221">
                  <c:v>-17.226263533904422</c:v>
                </c:pt>
                <c:pt idx="222">
                  <c:v>-16.438694799481894</c:v>
                </c:pt>
                <c:pt idx="223">
                  <c:v>-15.453494038285639</c:v>
                </c:pt>
                <c:pt idx="224">
                  <c:v>-15.480006002650237</c:v>
                </c:pt>
                <c:pt idx="225">
                  <c:v>-15.465398554706288</c:v>
                </c:pt>
                <c:pt idx="226">
                  <c:v>-14.333068854251636</c:v>
                </c:pt>
                <c:pt idx="227">
                  <c:v>-13.330496910744035</c:v>
                </c:pt>
                <c:pt idx="228">
                  <c:v>-11.702796540415635</c:v>
                </c:pt>
                <c:pt idx="229">
                  <c:v>-13.423573860129981</c:v>
                </c:pt>
                <c:pt idx="230">
                  <c:v>-13.156706735677226</c:v>
                </c:pt>
                <c:pt idx="231">
                  <c:v>-11.466142561382656</c:v>
                </c:pt>
                <c:pt idx="232">
                  <c:v>-11.556627752071741</c:v>
                </c:pt>
                <c:pt idx="233">
                  <c:v>-9.0766855242391919</c:v>
                </c:pt>
                <c:pt idx="234">
                  <c:v>-10.7650077290872</c:v>
                </c:pt>
                <c:pt idx="235">
                  <c:v>-9.5089241483833344</c:v>
                </c:pt>
                <c:pt idx="236">
                  <c:v>-8.6959435280325579</c:v>
                </c:pt>
                <c:pt idx="237">
                  <c:v>-8.6609186112436003</c:v>
                </c:pt>
                <c:pt idx="238">
                  <c:v>-9.1985610106039761</c:v>
                </c:pt>
                <c:pt idx="239">
                  <c:v>-8.5874569304201334</c:v>
                </c:pt>
                <c:pt idx="240">
                  <c:v>-7.9870654720634331</c:v>
                </c:pt>
                <c:pt idx="241">
                  <c:v>-6.4802747039627882</c:v>
                </c:pt>
                <c:pt idx="242">
                  <c:v>-6.577037414599701</c:v>
                </c:pt>
                <c:pt idx="243">
                  <c:v>-4.5297006825350836</c:v>
                </c:pt>
                <c:pt idx="244">
                  <c:v>-5.1055857441516705</c:v>
                </c:pt>
                <c:pt idx="245">
                  <c:v>-4.3702243571133197</c:v>
                </c:pt>
                <c:pt idx="246">
                  <c:v>-4.8130319808489697</c:v>
                </c:pt>
                <c:pt idx="247">
                  <c:v>-3.9851314529479582</c:v>
                </c:pt>
                <c:pt idx="248">
                  <c:v>-3.4437033916852724</c:v>
                </c:pt>
                <c:pt idx="249">
                  <c:v>-3.1188170233209576</c:v>
                </c:pt>
                <c:pt idx="250">
                  <c:v>-1.7233862437954279</c:v>
                </c:pt>
                <c:pt idx="251">
                  <c:v>-1.8736771991815813</c:v>
                </c:pt>
                <c:pt idx="252">
                  <c:v>-2.3007582572692158</c:v>
                </c:pt>
                <c:pt idx="253">
                  <c:v>-2.7518007130462334</c:v>
                </c:pt>
                <c:pt idx="254">
                  <c:v>-1.8391185540691781</c:v>
                </c:pt>
                <c:pt idx="255">
                  <c:v>-2.4668821264516425</c:v>
                </c:pt>
                <c:pt idx="256">
                  <c:v>-1.8925316419632323</c:v>
                </c:pt>
                <c:pt idx="257">
                  <c:v>1.3252428422882161</c:v>
                </c:pt>
                <c:pt idx="258">
                  <c:v>-0.21584474279844429</c:v>
                </c:pt>
                <c:pt idx="259">
                  <c:v>0.7776182363725952</c:v>
                </c:pt>
                <c:pt idx="260">
                  <c:v>0.39978293394910375</c:v>
                </c:pt>
                <c:pt idx="261">
                  <c:v>1.8775447331242294</c:v>
                </c:pt>
                <c:pt idx="262">
                  <c:v>2.1609892967623168</c:v>
                </c:pt>
                <c:pt idx="263">
                  <c:v>1.8320640796968739</c:v>
                </c:pt>
                <c:pt idx="264">
                  <c:v>2.2543847982302534</c:v>
                </c:pt>
                <c:pt idx="265">
                  <c:v>2.2750862803813479</c:v>
                </c:pt>
                <c:pt idx="266">
                  <c:v>2.3640227074315381</c:v>
                </c:pt>
                <c:pt idx="267">
                  <c:v>2.913655811941215</c:v>
                </c:pt>
                <c:pt idx="268">
                  <c:v>3.3873071057841111</c:v>
                </c:pt>
                <c:pt idx="269">
                  <c:v>4.247441442890822</c:v>
                </c:pt>
                <c:pt idx="270">
                  <c:v>5.2511654076254057</c:v>
                </c:pt>
                <c:pt idx="271">
                  <c:v>3.8802165495126744</c:v>
                </c:pt>
                <c:pt idx="272">
                  <c:v>3.817582986890955</c:v>
                </c:pt>
                <c:pt idx="273">
                  <c:v>4.5111316284117526</c:v>
                </c:pt>
                <c:pt idx="274">
                  <c:v>4.162367595725339</c:v>
                </c:pt>
                <c:pt idx="275">
                  <c:v>5.1966039307392968</c:v>
                </c:pt>
                <c:pt idx="276">
                  <c:v>4.1583756163413863</c:v>
                </c:pt>
                <c:pt idx="277">
                  <c:v>4.5163716064748911</c:v>
                </c:pt>
                <c:pt idx="278">
                  <c:v>4.5816225808145585</c:v>
                </c:pt>
                <c:pt idx="279">
                  <c:v>4.5745848302775132</c:v>
                </c:pt>
                <c:pt idx="280">
                  <c:v>5.1186368275647212</c:v>
                </c:pt>
                <c:pt idx="281">
                  <c:v>5.1679978160379108</c:v>
                </c:pt>
                <c:pt idx="282">
                  <c:v>4.5834139650215864</c:v>
                </c:pt>
                <c:pt idx="283">
                  <c:v>5.1342472751133492</c:v>
                </c:pt>
                <c:pt idx="284">
                  <c:v>5.2497587254724367</c:v>
                </c:pt>
                <c:pt idx="285">
                  <c:v>6.1613538816236133</c:v>
                </c:pt>
                <c:pt idx="286">
                  <c:v>5.2043573152242288</c:v>
                </c:pt>
                <c:pt idx="287">
                  <c:v>5.9665898728187274</c:v>
                </c:pt>
                <c:pt idx="288">
                  <c:v>7.1677759400739598</c:v>
                </c:pt>
                <c:pt idx="289">
                  <c:v>8.0582142473637202</c:v>
                </c:pt>
                <c:pt idx="290">
                  <c:v>7.8745426155193341</c:v>
                </c:pt>
                <c:pt idx="291">
                  <c:v>8.1706705552803065</c:v>
                </c:pt>
                <c:pt idx="292">
                  <c:v>7.0139423388184934</c:v>
                </c:pt>
                <c:pt idx="293">
                  <c:v>7.392820119438599</c:v>
                </c:pt>
                <c:pt idx="294">
                  <c:v>8.1725536705900392</c:v>
                </c:pt>
                <c:pt idx="295">
                  <c:v>7.6490265061097293</c:v>
                </c:pt>
                <c:pt idx="296">
                  <c:v>8.6792573160452324</c:v>
                </c:pt>
                <c:pt idx="297">
                  <c:v>9.4444812636349251</c:v>
                </c:pt>
                <c:pt idx="298">
                  <c:v>10.841991952749137</c:v>
                </c:pt>
                <c:pt idx="299">
                  <c:v>10.234177589020684</c:v>
                </c:pt>
                <c:pt idx="300">
                  <c:v>10.969086665072528</c:v>
                </c:pt>
                <c:pt idx="301">
                  <c:v>11.134951286402428</c:v>
                </c:pt>
                <c:pt idx="302">
                  <c:v>9.4232920083652392</c:v>
                </c:pt>
                <c:pt idx="303">
                  <c:v>10.541780491916617</c:v>
                </c:pt>
                <c:pt idx="304">
                  <c:v>9.14547865197523</c:v>
                </c:pt>
                <c:pt idx="305">
                  <c:v>8.1024272041477836</c:v>
                </c:pt>
                <c:pt idx="306">
                  <c:v>7.980762508123683</c:v>
                </c:pt>
                <c:pt idx="307">
                  <c:v>10.567042034680663</c:v>
                </c:pt>
                <c:pt idx="308">
                  <c:v>9.9367763379022271</c:v>
                </c:pt>
                <c:pt idx="309">
                  <c:v>8.7599271697403509</c:v>
                </c:pt>
                <c:pt idx="310">
                  <c:v>8.6542671117548711</c:v>
                </c:pt>
                <c:pt idx="311">
                  <c:v>8.5009778113507792</c:v>
                </c:pt>
                <c:pt idx="312">
                  <c:v>9.3484550808896056</c:v>
                </c:pt>
                <c:pt idx="313">
                  <c:v>7.6271149834648568</c:v>
                </c:pt>
                <c:pt idx="314">
                  <c:v>9.3513250223924143</c:v>
                </c:pt>
                <c:pt idx="315">
                  <c:v>9.596280297259602</c:v>
                </c:pt>
                <c:pt idx="316">
                  <c:v>9.1651329242026414</c:v>
                </c:pt>
                <c:pt idx="317">
                  <c:v>10.368951352980549</c:v>
                </c:pt>
                <c:pt idx="318">
                  <c:v>11.402013322540554</c:v>
                </c:pt>
                <c:pt idx="319">
                  <c:v>11.379128518897375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0D-CE43-9168-2B005B2CF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'240816E006'!$A$2:$A$321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'240816E006'!$J$2:$J$321</c:f>
              <c:numCache>
                <c:formatCode>0.0</c:formatCode>
                <c:ptCount val="320"/>
                <c:pt idx="0">
                  <c:v>292.48205245697</c:v>
                </c:pt>
                <c:pt idx="1">
                  <c:v>292.29667005836995</c:v>
                </c:pt>
                <c:pt idx="2">
                  <c:v>298.60159028577999</c:v>
                </c:pt>
                <c:pt idx="3">
                  <c:v>299.28845717570999</c:v>
                </c:pt>
                <c:pt idx="4">
                  <c:v>294.48560095057996</c:v>
                </c:pt>
                <c:pt idx="5">
                  <c:v>296.78598212500998</c:v>
                </c:pt>
                <c:pt idx="6">
                  <c:v>281.27137103747998</c:v>
                </c:pt>
                <c:pt idx="7">
                  <c:v>268.55654027488004</c:v>
                </c:pt>
                <c:pt idx="8">
                  <c:v>265.37136991440002</c:v>
                </c:pt>
                <c:pt idx="9">
                  <c:v>274.36579607496003</c:v>
                </c:pt>
                <c:pt idx="10">
                  <c:v>274.08427166754001</c:v>
                </c:pt>
                <c:pt idx="11">
                  <c:v>258.07545709418002</c:v>
                </c:pt>
                <c:pt idx="12">
                  <c:v>256.74047647791997</c:v>
                </c:pt>
                <c:pt idx="13">
                  <c:v>257.76355453605998</c:v>
                </c:pt>
                <c:pt idx="14">
                  <c:v>248.39415938938001</c:v>
                </c:pt>
                <c:pt idx="15">
                  <c:v>247.20284116061001</c:v>
                </c:pt>
                <c:pt idx="16">
                  <c:v>245.71493956832998</c:v>
                </c:pt>
                <c:pt idx="17">
                  <c:v>244.10408332998003</c:v>
                </c:pt>
                <c:pt idx="18">
                  <c:v>244.80284786778998</c:v>
                </c:pt>
                <c:pt idx="19">
                  <c:v>242.75958791098</c:v>
                </c:pt>
                <c:pt idx="20">
                  <c:v>236.73094676178002</c:v>
                </c:pt>
                <c:pt idx="21">
                  <c:v>239.78874368968002</c:v>
                </c:pt>
                <c:pt idx="22">
                  <c:v>238.07024629922</c:v>
                </c:pt>
                <c:pt idx="23">
                  <c:v>238.83028819571001</c:v>
                </c:pt>
                <c:pt idx="24">
                  <c:v>239.45932938643</c:v>
                </c:pt>
                <c:pt idx="25">
                  <c:v>237.08277883418</c:v>
                </c:pt>
                <c:pt idx="26">
                  <c:v>239.77553865311</c:v>
                </c:pt>
                <c:pt idx="27">
                  <c:v>237.21937622778998</c:v>
                </c:pt>
                <c:pt idx="28">
                  <c:v>237.05359873770999</c:v>
                </c:pt>
                <c:pt idx="29">
                  <c:v>237.76983362777997</c:v>
                </c:pt>
                <c:pt idx="30">
                  <c:v>235.26967494258002</c:v>
                </c:pt>
                <c:pt idx="31">
                  <c:v>237.76292879844002</c:v>
                </c:pt>
                <c:pt idx="32">
                  <c:v>237.41206591954997</c:v>
                </c:pt>
                <c:pt idx="33">
                  <c:v>234.81158761626</c:v>
                </c:pt>
                <c:pt idx="34">
                  <c:v>234.57481040939004</c:v>
                </c:pt>
                <c:pt idx="35">
                  <c:v>235.87739342692998</c:v>
                </c:pt>
                <c:pt idx="36">
                  <c:v>236.36746189081998</c:v>
                </c:pt>
                <c:pt idx="37">
                  <c:v>235.38973311216</c:v>
                </c:pt>
                <c:pt idx="38">
                  <c:v>236.63515753888998</c:v>
                </c:pt>
                <c:pt idx="39">
                  <c:v>237.81260131354</c:v>
                </c:pt>
                <c:pt idx="40">
                  <c:v>235.94985772275999</c:v>
                </c:pt>
                <c:pt idx="41">
                  <c:v>240.82838680927</c:v>
                </c:pt>
                <c:pt idx="42">
                  <c:v>238.82226678550001</c:v>
                </c:pt>
                <c:pt idx="43">
                  <c:v>240.32409387998001</c:v>
                </c:pt>
                <c:pt idx="44">
                  <c:v>239.45049514754996</c:v>
                </c:pt>
                <c:pt idx="45">
                  <c:v>232.67570310952996</c:v>
                </c:pt>
                <c:pt idx="46">
                  <c:v>229.33504654386999</c:v>
                </c:pt>
                <c:pt idx="47">
                  <c:v>234.54146365616</c:v>
                </c:pt>
                <c:pt idx="48">
                  <c:v>236.29266686471999</c:v>
                </c:pt>
                <c:pt idx="49">
                  <c:v>236.19216181421999</c:v>
                </c:pt>
                <c:pt idx="50">
                  <c:v>234.31299762328999</c:v>
                </c:pt>
                <c:pt idx="51">
                  <c:v>233.27798078826999</c:v>
                </c:pt>
                <c:pt idx="52">
                  <c:v>238.03271935037003</c:v>
                </c:pt>
                <c:pt idx="53">
                  <c:v>235.50864527630003</c:v>
                </c:pt>
                <c:pt idx="54">
                  <c:v>236.47300455535998</c:v>
                </c:pt>
                <c:pt idx="55">
                  <c:v>237.53360566449001</c:v>
                </c:pt>
                <c:pt idx="56">
                  <c:v>233.26480986333999</c:v>
                </c:pt>
                <c:pt idx="57">
                  <c:v>233.27816399287002</c:v>
                </c:pt>
                <c:pt idx="58">
                  <c:v>234.36889483066</c:v>
                </c:pt>
                <c:pt idx="59">
                  <c:v>237.23708655179001</c:v>
                </c:pt>
                <c:pt idx="60">
                  <c:v>232.55982372747002</c:v>
                </c:pt>
                <c:pt idx="61">
                  <c:v>236.31195286195998</c:v>
                </c:pt>
                <c:pt idx="62">
                  <c:v>232.47346009110998</c:v>
                </c:pt>
                <c:pt idx="63">
                  <c:v>231.46765201029999</c:v>
                </c:pt>
                <c:pt idx="64">
                  <c:v>235.59894533570997</c:v>
                </c:pt>
                <c:pt idx="65">
                  <c:v>233.60320473813999</c:v>
                </c:pt>
                <c:pt idx="66">
                  <c:v>237.18299460468</c:v>
                </c:pt>
                <c:pt idx="67">
                  <c:v>233.82842816006001</c:v>
                </c:pt>
                <c:pt idx="68">
                  <c:v>234.94185735820997</c:v>
                </c:pt>
                <c:pt idx="69">
                  <c:v>238.54038734079001</c:v>
                </c:pt>
                <c:pt idx="70">
                  <c:v>240.79088733908</c:v>
                </c:pt>
                <c:pt idx="71">
                  <c:v>235.36631326670999</c:v>
                </c:pt>
                <c:pt idx="72">
                  <c:v>236.31635794946999</c:v>
                </c:pt>
                <c:pt idx="73">
                  <c:v>233.18623955899997</c:v>
                </c:pt>
                <c:pt idx="74">
                  <c:v>237.44445897501004</c:v>
                </c:pt>
                <c:pt idx="75">
                  <c:v>236.58739746304997</c:v>
                </c:pt>
                <c:pt idx="76">
                  <c:v>236.51556699836999</c:v>
                </c:pt>
                <c:pt idx="77">
                  <c:v>228.36455224304001</c:v>
                </c:pt>
                <c:pt idx="78">
                  <c:v>237.62533448669998</c:v>
                </c:pt>
                <c:pt idx="79">
                  <c:v>238.27023982236003</c:v>
                </c:pt>
                <c:pt idx="80">
                  <c:v>224.10910089884999</c:v>
                </c:pt>
                <c:pt idx="81">
                  <c:v>234.28555406011</c:v>
                </c:pt>
                <c:pt idx="82">
                  <c:v>236.96165694631</c:v>
                </c:pt>
                <c:pt idx="83">
                  <c:v>236.78636431611</c:v>
                </c:pt>
                <c:pt idx="84">
                  <c:v>237.71068196545997</c:v>
                </c:pt>
                <c:pt idx="85">
                  <c:v>240.21998457724999</c:v>
                </c:pt>
                <c:pt idx="86">
                  <c:v>241.91411316896998</c:v>
                </c:pt>
                <c:pt idx="87">
                  <c:v>253.18237322178999</c:v>
                </c:pt>
                <c:pt idx="88">
                  <c:v>259.50149642071005</c:v>
                </c:pt>
                <c:pt idx="89">
                  <c:v>264.48625609495997</c:v>
                </c:pt>
                <c:pt idx="90">
                  <c:v>265.68651734738</c:v>
                </c:pt>
                <c:pt idx="91">
                  <c:v>267.94953456130003</c:v>
                </c:pt>
                <c:pt idx="92">
                  <c:v>268.18344226579001</c:v>
                </c:pt>
                <c:pt idx="93">
                  <c:v>266.27826797385001</c:v>
                </c:pt>
                <c:pt idx="94">
                  <c:v>263.68569023569</c:v>
                </c:pt>
                <c:pt idx="95">
                  <c:v>256.36740443651996</c:v>
                </c:pt>
                <c:pt idx="96">
                  <c:v>253.43786559500001</c:v>
                </c:pt>
                <c:pt idx="97">
                  <c:v>251.30422420227998</c:v>
                </c:pt>
                <c:pt idx="98">
                  <c:v>245.68830750010002</c:v>
                </c:pt>
                <c:pt idx="99">
                  <c:v>244.24584762562003</c:v>
                </c:pt>
                <c:pt idx="100">
                  <c:v>243.75587173362999</c:v>
                </c:pt>
                <c:pt idx="101">
                  <c:v>245.49638921025996</c:v>
                </c:pt>
                <c:pt idx="102">
                  <c:v>240.40339406568998</c:v>
                </c:pt>
                <c:pt idx="103">
                  <c:v>236.96380415000999</c:v>
                </c:pt>
                <c:pt idx="104">
                  <c:v>236.10776124720999</c:v>
                </c:pt>
                <c:pt idx="105">
                  <c:v>235.84792014812001</c:v>
                </c:pt>
                <c:pt idx="106">
                  <c:v>230.93278261517003</c:v>
                </c:pt>
                <c:pt idx="107">
                  <c:v>232.3326942116</c:v>
                </c:pt>
                <c:pt idx="108">
                  <c:v>231.61997965814999</c:v>
                </c:pt>
                <c:pt idx="109">
                  <c:v>232.44278507332001</c:v>
                </c:pt>
                <c:pt idx="110">
                  <c:v>215.08986674064002</c:v>
                </c:pt>
                <c:pt idx="111">
                  <c:v>237.55706901340997</c:v>
                </c:pt>
                <c:pt idx="112">
                  <c:v>241.59963416864002</c:v>
                </c:pt>
                <c:pt idx="113">
                  <c:v>237.65746024723998</c:v>
                </c:pt>
                <c:pt idx="114">
                  <c:v>237.21740028017001</c:v>
                </c:pt>
                <c:pt idx="115">
                  <c:v>238.36351839563997</c:v>
                </c:pt>
                <c:pt idx="116">
                  <c:v>236.82672958292997</c:v>
                </c:pt>
                <c:pt idx="117">
                  <c:v>230.59386566393999</c:v>
                </c:pt>
                <c:pt idx="118">
                  <c:v>230.79302308320001</c:v>
                </c:pt>
                <c:pt idx="119">
                  <c:v>233.78345107723999</c:v>
                </c:pt>
                <c:pt idx="120">
                  <c:v>235.76678879644999</c:v>
                </c:pt>
                <c:pt idx="121">
                  <c:v>234.67541055682</c:v>
                </c:pt>
                <c:pt idx="122">
                  <c:v>230.42556275614999</c:v>
                </c:pt>
                <c:pt idx="123">
                  <c:v>224.45614752903001</c:v>
                </c:pt>
                <c:pt idx="124">
                  <c:v>224.77564990343998</c:v>
                </c:pt>
                <c:pt idx="125">
                  <c:v>224.05952260781999</c:v>
                </c:pt>
                <c:pt idx="126">
                  <c:v>236.78195773970003</c:v>
                </c:pt>
                <c:pt idx="127">
                  <c:v>231.33047578399999</c:v>
                </c:pt>
                <c:pt idx="128">
                  <c:v>232.95561923731003</c:v>
                </c:pt>
                <c:pt idx="129">
                  <c:v>234.22923805458998</c:v>
                </c:pt>
                <c:pt idx="130">
                  <c:v>232.61731872717002</c:v>
                </c:pt>
                <c:pt idx="131">
                  <c:v>213.94220465525001</c:v>
                </c:pt>
                <c:pt idx="132">
                  <c:v>218.14047723613001</c:v>
                </c:pt>
                <c:pt idx="133">
                  <c:v>222.70469551315</c:v>
                </c:pt>
                <c:pt idx="134">
                  <c:v>214.53889999139</c:v>
                </c:pt>
                <c:pt idx="135">
                  <c:v>216.81849631352</c:v>
                </c:pt>
                <c:pt idx="136">
                  <c:v>232.91180715471</c:v>
                </c:pt>
                <c:pt idx="137">
                  <c:v>225.71420685219999</c:v>
                </c:pt>
                <c:pt idx="138">
                  <c:v>225.68692401639004</c:v>
                </c:pt>
                <c:pt idx="139">
                  <c:v>235.08859064930999</c:v>
                </c:pt>
                <c:pt idx="140">
                  <c:v>242.06794590273003</c:v>
                </c:pt>
                <c:pt idx="141">
                  <c:v>243.80905149600997</c:v>
                </c:pt>
                <c:pt idx="142">
                  <c:v>246.51174553973999</c:v>
                </c:pt>
                <c:pt idx="143">
                  <c:v>248.33393558736998</c:v>
                </c:pt>
                <c:pt idx="144">
                  <c:v>246.22546641833998</c:v>
                </c:pt>
                <c:pt idx="145">
                  <c:v>244.52293232911998</c:v>
                </c:pt>
                <c:pt idx="146">
                  <c:v>245.80983953486998</c:v>
                </c:pt>
                <c:pt idx="147">
                  <c:v>236.04412731185997</c:v>
                </c:pt>
                <c:pt idx="148">
                  <c:v>231.30522054208998</c:v>
                </c:pt>
                <c:pt idx="149">
                  <c:v>239.37291243549001</c:v>
                </c:pt>
                <c:pt idx="150">
                  <c:v>244.78482786139003</c:v>
                </c:pt>
                <c:pt idx="151">
                  <c:v>246.59525167341002</c:v>
                </c:pt>
                <c:pt idx="152">
                  <c:v>244.65674633596998</c:v>
                </c:pt>
                <c:pt idx="153">
                  <c:v>245.30150237393997</c:v>
                </c:pt>
                <c:pt idx="154">
                  <c:v>241.53014518084998</c:v>
                </c:pt>
                <c:pt idx="155">
                  <c:v>242.43941629574999</c:v>
                </c:pt>
                <c:pt idx="156">
                  <c:v>241.36049834360003</c:v>
                </c:pt>
                <c:pt idx="157">
                  <c:v>242.36911028459997</c:v>
                </c:pt>
                <c:pt idx="158">
                  <c:v>239.48336008056</c:v>
                </c:pt>
                <c:pt idx="159">
                  <c:v>234.12113345290999</c:v>
                </c:pt>
                <c:pt idx="160">
                  <c:v>238.97019964269001</c:v>
                </c:pt>
                <c:pt idx="161">
                  <c:v>242.68475112025999</c:v>
                </c:pt>
                <c:pt idx="162">
                  <c:v>239.84104365843999</c:v>
                </c:pt>
                <c:pt idx="163">
                  <c:v>240.37336576466998</c:v>
                </c:pt>
                <c:pt idx="164">
                  <c:v>243.88714101802</c:v>
                </c:pt>
                <c:pt idx="165">
                  <c:v>241.21907803526</c:v>
                </c:pt>
                <c:pt idx="166">
                  <c:v>241.80685284213999</c:v>
                </c:pt>
                <c:pt idx="167">
                  <c:v>244.87062599237001</c:v>
                </c:pt>
                <c:pt idx="168">
                  <c:v>248.21695597619998</c:v>
                </c:pt>
                <c:pt idx="169">
                  <c:v>246.77190357552999</c:v>
                </c:pt>
                <c:pt idx="170">
                  <c:v>246.55037822370002</c:v>
                </c:pt>
                <c:pt idx="171">
                  <c:v>242.56507343317003</c:v>
                </c:pt>
                <c:pt idx="172">
                  <c:v>241.49940648667001</c:v>
                </c:pt>
                <c:pt idx="173">
                  <c:v>242.76680530798001</c:v>
                </c:pt>
                <c:pt idx="174">
                  <c:v>244.88033273916002</c:v>
                </c:pt>
                <c:pt idx="175">
                  <c:v>244.75469399881001</c:v>
                </c:pt>
                <c:pt idx="176">
                  <c:v>237.58132303426999</c:v>
                </c:pt>
                <c:pt idx="177">
                  <c:v>234.39889582095998</c:v>
                </c:pt>
                <c:pt idx="178">
                  <c:v>236.80005446623002</c:v>
                </c:pt>
                <c:pt idx="179">
                  <c:v>234.04112200436001</c:v>
                </c:pt>
                <c:pt idx="180">
                  <c:v>234.27074668250998</c:v>
                </c:pt>
                <c:pt idx="181">
                  <c:v>235.70298573975001</c:v>
                </c:pt>
                <c:pt idx="182">
                  <c:v>237.84135967519001</c:v>
                </c:pt>
                <c:pt idx="183">
                  <c:v>237.52004357298</c:v>
                </c:pt>
                <c:pt idx="184">
                  <c:v>237.27113289759998</c:v>
                </c:pt>
                <c:pt idx="185">
                  <c:v>238.75703604673998</c:v>
                </c:pt>
                <c:pt idx="186">
                  <c:v>238.97599913632001</c:v>
                </c:pt>
                <c:pt idx="187">
                  <c:v>238.20148579989004</c:v>
                </c:pt>
                <c:pt idx="188">
                  <c:v>237.09197114769</c:v>
                </c:pt>
                <c:pt idx="189">
                  <c:v>238.95934788835001</c:v>
                </c:pt>
                <c:pt idx="190">
                  <c:v>221.2773039617</c:v>
                </c:pt>
                <c:pt idx="191">
                  <c:v>227.01738618603997</c:v>
                </c:pt>
                <c:pt idx="192">
                  <c:v>230.45697565068002</c:v>
                </c:pt>
                <c:pt idx="193">
                  <c:v>229.43687872247997</c:v>
                </c:pt>
                <c:pt idx="194">
                  <c:v>228.33920179692998</c:v>
                </c:pt>
                <c:pt idx="195">
                  <c:v>225.37556543329998</c:v>
                </c:pt>
                <c:pt idx="196">
                  <c:v>217.67783618728004</c:v>
                </c:pt>
                <c:pt idx="197">
                  <c:v>224.99842452207002</c:v>
                </c:pt>
                <c:pt idx="198">
                  <c:v>226.30661741323999</c:v>
                </c:pt>
                <c:pt idx="199">
                  <c:v>229.40023499111999</c:v>
                </c:pt>
                <c:pt idx="200">
                  <c:v>225.10209710409998</c:v>
                </c:pt>
                <c:pt idx="201">
                  <c:v>225.47888710729001</c:v>
                </c:pt>
                <c:pt idx="202">
                  <c:v>221.25302519462997</c:v>
                </c:pt>
                <c:pt idx="203">
                  <c:v>223.59202045175999</c:v>
                </c:pt>
                <c:pt idx="204">
                  <c:v>222.80693334786</c:v>
                </c:pt>
                <c:pt idx="205">
                  <c:v>220.95624394087</c:v>
                </c:pt>
                <c:pt idx="206">
                  <c:v>222.27780434145998</c:v>
                </c:pt>
                <c:pt idx="207">
                  <c:v>213.04656817671002</c:v>
                </c:pt>
                <c:pt idx="208">
                  <c:v>215.01680381157001</c:v>
                </c:pt>
                <c:pt idx="209">
                  <c:v>219.98329251775002</c:v>
                </c:pt>
                <c:pt idx="210">
                  <c:v>219.28822634222999</c:v>
                </c:pt>
                <c:pt idx="211">
                  <c:v>216.64111543009997</c:v>
                </c:pt>
                <c:pt idx="212">
                  <c:v>218.45098398356001</c:v>
                </c:pt>
                <c:pt idx="213">
                  <c:v>219.03813148271999</c:v>
                </c:pt>
                <c:pt idx="214">
                  <c:v>219.78171913900997</c:v>
                </c:pt>
                <c:pt idx="215">
                  <c:v>208.69423132149998</c:v>
                </c:pt>
                <c:pt idx="216">
                  <c:v>212.57631927060999</c:v>
                </c:pt>
                <c:pt idx="217">
                  <c:v>214.37146662506004</c:v>
                </c:pt>
                <c:pt idx="218">
                  <c:v>215.51044585095002</c:v>
                </c:pt>
                <c:pt idx="219">
                  <c:v>216.99963186827</c:v>
                </c:pt>
                <c:pt idx="220">
                  <c:v>217.8124852736</c:v>
                </c:pt>
                <c:pt idx="221">
                  <c:v>216.89960676838001</c:v>
                </c:pt>
                <c:pt idx="222">
                  <c:v>218.99414200207002</c:v>
                </c:pt>
                <c:pt idx="223">
                  <c:v>219.49708049827998</c:v>
                </c:pt>
                <c:pt idx="224">
                  <c:v>199.39220817985003</c:v>
                </c:pt>
                <c:pt idx="225">
                  <c:v>210.66651923307001</c:v>
                </c:pt>
                <c:pt idx="226">
                  <c:v>218.02011564040001</c:v>
                </c:pt>
                <c:pt idx="227">
                  <c:v>213.90224474428999</c:v>
                </c:pt>
                <c:pt idx="228">
                  <c:v>217.8727702365</c:v>
                </c:pt>
                <c:pt idx="229">
                  <c:v>217.83037403358998</c:v>
                </c:pt>
                <c:pt idx="230">
                  <c:v>216.92675942320002</c:v>
                </c:pt>
                <c:pt idx="231">
                  <c:v>205.84387008658004</c:v>
                </c:pt>
                <c:pt idx="232">
                  <c:v>202.55229618775999</c:v>
                </c:pt>
                <c:pt idx="233">
                  <c:v>214.40469945795999</c:v>
                </c:pt>
                <c:pt idx="234">
                  <c:v>217.48009836492002</c:v>
                </c:pt>
                <c:pt idx="235">
                  <c:v>214.52121481123004</c:v>
                </c:pt>
                <c:pt idx="236">
                  <c:v>215.20464072593998</c:v>
                </c:pt>
                <c:pt idx="237">
                  <c:v>217.82654104292001</c:v>
                </c:pt>
                <c:pt idx="238">
                  <c:v>219.04217362260002</c:v>
                </c:pt>
                <c:pt idx="239">
                  <c:v>220.88405493012999</c:v>
                </c:pt>
                <c:pt idx="240">
                  <c:v>217.91922509605999</c:v>
                </c:pt>
                <c:pt idx="241">
                  <c:v>223.87081659973001</c:v>
                </c:pt>
                <c:pt idx="242">
                  <c:v>214.11913106973</c:v>
                </c:pt>
                <c:pt idx="243">
                  <c:v>209.78267818748998</c:v>
                </c:pt>
                <c:pt idx="244">
                  <c:v>217.94562086729997</c:v>
                </c:pt>
                <c:pt idx="245">
                  <c:v>211.59949292118</c:v>
                </c:pt>
                <c:pt idx="246">
                  <c:v>219.50613362540997</c:v>
                </c:pt>
                <c:pt idx="247">
                  <c:v>222.02956878017</c:v>
                </c:pt>
                <c:pt idx="248">
                  <c:v>224.72559934684</c:v>
                </c:pt>
                <c:pt idx="249">
                  <c:v>221.48121040725999</c:v>
                </c:pt>
                <c:pt idx="250">
                  <c:v>217.26256807864996</c:v>
                </c:pt>
                <c:pt idx="251">
                  <c:v>217.34721885521998</c:v>
                </c:pt>
                <c:pt idx="252">
                  <c:v>213.83406734006002</c:v>
                </c:pt>
                <c:pt idx="253">
                  <c:v>216.37722558922999</c:v>
                </c:pt>
                <c:pt idx="254">
                  <c:v>220.76053656134002</c:v>
                </c:pt>
                <c:pt idx="255">
                  <c:v>223.40879874226002</c:v>
                </c:pt>
                <c:pt idx="256">
                  <c:v>215.08257900801001</c:v>
                </c:pt>
                <c:pt idx="257">
                  <c:v>215.08161329225999</c:v>
                </c:pt>
                <c:pt idx="258">
                  <c:v>216.15285208946997</c:v>
                </c:pt>
                <c:pt idx="259">
                  <c:v>219.03024115994003</c:v>
                </c:pt>
                <c:pt idx="260">
                  <c:v>218.90760108856003</c:v>
                </c:pt>
                <c:pt idx="261">
                  <c:v>221.16097545469998</c:v>
                </c:pt>
                <c:pt idx="262">
                  <c:v>226.64066513642001</c:v>
                </c:pt>
                <c:pt idx="263">
                  <c:v>211.89473256049999</c:v>
                </c:pt>
                <c:pt idx="264">
                  <c:v>217.00773506881004</c:v>
                </c:pt>
                <c:pt idx="265">
                  <c:v>209.37251737279001</c:v>
                </c:pt>
                <c:pt idx="266">
                  <c:v>208.81317818399</c:v>
                </c:pt>
                <c:pt idx="267">
                  <c:v>208.93453521994999</c:v>
                </c:pt>
                <c:pt idx="268">
                  <c:v>209.54280351146002</c:v>
                </c:pt>
                <c:pt idx="269">
                  <c:v>208.65375883924</c:v>
                </c:pt>
                <c:pt idx="270">
                  <c:v>212.20730641994999</c:v>
                </c:pt>
                <c:pt idx="271">
                  <c:v>199.19813331702997</c:v>
                </c:pt>
                <c:pt idx="272">
                  <c:v>216.46996434936997</c:v>
                </c:pt>
                <c:pt idx="273">
                  <c:v>217.13096652802997</c:v>
                </c:pt>
                <c:pt idx="274">
                  <c:v>216.78168944345998</c:v>
                </c:pt>
                <c:pt idx="275">
                  <c:v>210.99458753645004</c:v>
                </c:pt>
                <c:pt idx="276">
                  <c:v>212.53605399834998</c:v>
                </c:pt>
                <c:pt idx="277">
                  <c:v>211.85650566843003</c:v>
                </c:pt>
                <c:pt idx="278">
                  <c:v>209.93040550432002</c:v>
                </c:pt>
                <c:pt idx="279">
                  <c:v>199.24382960035001</c:v>
                </c:pt>
                <c:pt idx="280">
                  <c:v>202.61833496616001</c:v>
                </c:pt>
                <c:pt idx="281">
                  <c:v>215.05599616741</c:v>
                </c:pt>
                <c:pt idx="282">
                  <c:v>214.20122558922998</c:v>
                </c:pt>
                <c:pt idx="283">
                  <c:v>209.69445791246</c:v>
                </c:pt>
                <c:pt idx="284">
                  <c:v>218.04141909289001</c:v>
                </c:pt>
                <c:pt idx="285">
                  <c:v>218.51704297881</c:v>
                </c:pt>
                <c:pt idx="286">
                  <c:v>219.22608449222</c:v>
                </c:pt>
                <c:pt idx="287">
                  <c:v>220.94409155010001</c:v>
                </c:pt>
                <c:pt idx="288">
                  <c:v>216.05926735626997</c:v>
                </c:pt>
                <c:pt idx="289">
                  <c:v>216.65116765517001</c:v>
                </c:pt>
                <c:pt idx="290">
                  <c:v>215.23864294244999</c:v>
                </c:pt>
                <c:pt idx="291">
                  <c:v>213.91590993435003</c:v>
                </c:pt>
                <c:pt idx="292">
                  <c:v>214.67524544037002</c:v>
                </c:pt>
                <c:pt idx="293">
                  <c:v>206.20868817145998</c:v>
                </c:pt>
                <c:pt idx="294">
                  <c:v>204.65849780886998</c:v>
                </c:pt>
                <c:pt idx="295">
                  <c:v>212.31133752468003</c:v>
                </c:pt>
                <c:pt idx="296">
                  <c:v>217.88628414081001</c:v>
                </c:pt>
                <c:pt idx="297">
                  <c:v>217.84344945321999</c:v>
                </c:pt>
                <c:pt idx="298">
                  <c:v>218.16419249425999</c:v>
                </c:pt>
                <c:pt idx="299">
                  <c:v>219.26126638116</c:v>
                </c:pt>
                <c:pt idx="300">
                  <c:v>216.31468500263998</c:v>
                </c:pt>
                <c:pt idx="301">
                  <c:v>208.49236136464998</c:v>
                </c:pt>
                <c:pt idx="302">
                  <c:v>217.04058708336001</c:v>
                </c:pt>
                <c:pt idx="303">
                  <c:v>207.27707242744</c:v>
                </c:pt>
                <c:pt idx="304">
                  <c:v>216.09483134659999</c:v>
                </c:pt>
                <c:pt idx="305">
                  <c:v>213.59028963422</c:v>
                </c:pt>
                <c:pt idx="306">
                  <c:v>214.02652470410001</c:v>
                </c:pt>
                <c:pt idx="307">
                  <c:v>216.92095948357002</c:v>
                </c:pt>
                <c:pt idx="308">
                  <c:v>211.63244235860998</c:v>
                </c:pt>
                <c:pt idx="309">
                  <c:v>205.08421554216002</c:v>
                </c:pt>
                <c:pt idx="310">
                  <c:v>212.94816972573</c:v>
                </c:pt>
                <c:pt idx="311">
                  <c:v>216.15229644013999</c:v>
                </c:pt>
                <c:pt idx="312">
                  <c:v>206.24031413376997</c:v>
                </c:pt>
                <c:pt idx="313">
                  <c:v>205.32897855537001</c:v>
                </c:pt>
                <c:pt idx="314">
                  <c:v>212.14057633188003</c:v>
                </c:pt>
                <c:pt idx="315">
                  <c:v>205.30320146841999</c:v>
                </c:pt>
                <c:pt idx="316">
                  <c:v>206.63723254045999</c:v>
                </c:pt>
                <c:pt idx="317">
                  <c:v>206.12863918995001</c:v>
                </c:pt>
                <c:pt idx="318">
                  <c:v>204.02594312958999</c:v>
                </c:pt>
                <c:pt idx="319">
                  <c:v>205.55928637606999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5A-BA4F-9773-BDE63D9BC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39-FE49-BB75-3EEA3DE4AF7B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'240816E006'!$A$2:$A$321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'240816E006'!$P$2:$P$321</c:f>
              <c:numCache>
                <c:formatCode>General</c:formatCode>
                <c:ptCount val="320"/>
                <c:pt idx="0">
                  <c:v>-17.116431752705044</c:v>
                </c:pt>
                <c:pt idx="1">
                  <c:v>-7.2507506762776535</c:v>
                </c:pt>
                <c:pt idx="2">
                  <c:v>2.7498794841885235</c:v>
                </c:pt>
                <c:pt idx="3">
                  <c:v>-0.88338948040700593</c:v>
                </c:pt>
                <c:pt idx="4">
                  <c:v>-6.6926731270933848</c:v>
                </c:pt>
                <c:pt idx="5">
                  <c:v>-10.097573097462151</c:v>
                </c:pt>
                <c:pt idx="6">
                  <c:v>-12.513155796618888</c:v>
                </c:pt>
                <c:pt idx="7">
                  <c:v>-13.232768896498953</c:v>
                </c:pt>
                <c:pt idx="8">
                  <c:v>-15.855297548761319</c:v>
                </c:pt>
                <c:pt idx="9">
                  <c:v>-8.439210368396914</c:v>
                </c:pt>
                <c:pt idx="10">
                  <c:v>-7.6083629540558873</c:v>
                </c:pt>
                <c:pt idx="11">
                  <c:v>-6.680037374215857</c:v>
                </c:pt>
                <c:pt idx="12">
                  <c:v>-8.58456918163834</c:v>
                </c:pt>
                <c:pt idx="13">
                  <c:v>-8.5222041180290518</c:v>
                </c:pt>
                <c:pt idx="14">
                  <c:v>-7.5257986964958601</c:v>
                </c:pt>
                <c:pt idx="15">
                  <c:v>-7.6047711048317703</c:v>
                </c:pt>
                <c:pt idx="16">
                  <c:v>-7.4500013741274422</c:v>
                </c:pt>
                <c:pt idx="17">
                  <c:v>-7.5143115223119503</c:v>
                </c:pt>
                <c:pt idx="18">
                  <c:v>-7.395874088589137</c:v>
                </c:pt>
                <c:pt idx="19">
                  <c:v>-7.0848237965745202</c:v>
                </c:pt>
                <c:pt idx="20">
                  <c:v>-9.5777946991419913</c:v>
                </c:pt>
                <c:pt idx="21">
                  <c:v>-9.1879215638039025</c:v>
                </c:pt>
                <c:pt idx="22">
                  <c:v>-8.9280700846907166</c:v>
                </c:pt>
                <c:pt idx="23">
                  <c:v>-9.5301424461973561</c:v>
                </c:pt>
                <c:pt idx="24">
                  <c:v>-9.7328141330092848</c:v>
                </c:pt>
                <c:pt idx="25">
                  <c:v>-9.0757251723228531</c:v>
                </c:pt>
                <c:pt idx="26">
                  <c:v>-9.3604442459780515</c:v>
                </c:pt>
                <c:pt idx="27">
                  <c:v>-8.6881785327029686</c:v>
                </c:pt>
                <c:pt idx="28">
                  <c:v>-8.7886544668124742</c:v>
                </c:pt>
                <c:pt idx="29">
                  <c:v>-8.4895342610509097</c:v>
                </c:pt>
                <c:pt idx="30">
                  <c:v>-8.6835342138812006</c:v>
                </c:pt>
                <c:pt idx="31">
                  <c:v>-8.0776358814206883</c:v>
                </c:pt>
                <c:pt idx="32">
                  <c:v>-9.0554267675518165</c:v>
                </c:pt>
                <c:pt idx="33">
                  <c:v>-6.5300053675292444</c:v>
                </c:pt>
                <c:pt idx="34">
                  <c:v>-5.7093291730116826</c:v>
                </c:pt>
                <c:pt idx="35">
                  <c:v>-6.0764806408976497</c:v>
                </c:pt>
                <c:pt idx="36">
                  <c:v>-5.703526345673624</c:v>
                </c:pt>
                <c:pt idx="37">
                  <c:v>-5.066527678636362</c:v>
                </c:pt>
                <c:pt idx="38">
                  <c:v>-4.0870681249809975</c:v>
                </c:pt>
                <c:pt idx="39">
                  <c:v>-4.0480699471780959</c:v>
                </c:pt>
                <c:pt idx="40">
                  <c:v>-3.6212400490977541</c:v>
                </c:pt>
                <c:pt idx="41">
                  <c:v>-3.9676593079534426</c:v>
                </c:pt>
                <c:pt idx="42">
                  <c:v>-2.8739727867626588</c:v>
                </c:pt>
                <c:pt idx="43">
                  <c:v>-2.4130335845945079</c:v>
                </c:pt>
                <c:pt idx="44">
                  <c:v>-3.8860948897546961</c:v>
                </c:pt>
                <c:pt idx="45">
                  <c:v>-2.4685285854500956</c:v>
                </c:pt>
                <c:pt idx="46">
                  <c:v>-2.1688438958440899</c:v>
                </c:pt>
                <c:pt idx="47">
                  <c:v>-1.5187605250177261</c:v>
                </c:pt>
                <c:pt idx="48">
                  <c:v>-1.9426226534650388</c:v>
                </c:pt>
                <c:pt idx="49">
                  <c:v>-1.2781874721990274</c:v>
                </c:pt>
                <c:pt idx="50">
                  <c:v>-1.6132506991620266</c:v>
                </c:pt>
                <c:pt idx="51">
                  <c:v>4.9560956391380522E-2</c:v>
                </c:pt>
                <c:pt idx="52">
                  <c:v>-0.95027549344177054</c:v>
                </c:pt>
                <c:pt idx="53">
                  <c:v>-2.5326825931018704E-2</c:v>
                </c:pt>
                <c:pt idx="54">
                  <c:v>-0.21150917461407853</c:v>
                </c:pt>
                <c:pt idx="55">
                  <c:v>0.39661420981476747</c:v>
                </c:pt>
                <c:pt idx="56">
                  <c:v>-3.7496625271426262E-2</c:v>
                </c:pt>
                <c:pt idx="57">
                  <c:v>0.37981294924849757</c:v>
                </c:pt>
                <c:pt idx="58">
                  <c:v>-0.24082005812347773</c:v>
                </c:pt>
                <c:pt idx="59">
                  <c:v>0.29728495889411127</c:v>
                </c:pt>
                <c:pt idx="60">
                  <c:v>0.72314083364741499</c:v>
                </c:pt>
                <c:pt idx="61">
                  <c:v>1.5221113575997329</c:v>
                </c:pt>
                <c:pt idx="62">
                  <c:v>0.87839655827880081</c:v>
                </c:pt>
                <c:pt idx="63">
                  <c:v>0.16536683667971755</c:v>
                </c:pt>
                <c:pt idx="64">
                  <c:v>1.5022378694410377</c:v>
                </c:pt>
                <c:pt idx="65">
                  <c:v>-0.18154205515458066</c:v>
                </c:pt>
                <c:pt idx="66">
                  <c:v>1.4740428232467613</c:v>
                </c:pt>
                <c:pt idx="67">
                  <c:v>-1.1485254687150808</c:v>
                </c:pt>
                <c:pt idx="68">
                  <c:v>-1.0194535656880819</c:v>
                </c:pt>
                <c:pt idx="69">
                  <c:v>1.3750459232396582E-2</c:v>
                </c:pt>
                <c:pt idx="70">
                  <c:v>-8.3011167210727099E-2</c:v>
                </c:pt>
                <c:pt idx="71">
                  <c:v>0.50594248537229558</c:v>
                </c:pt>
                <c:pt idx="72">
                  <c:v>0.2093800548430137</c:v>
                </c:pt>
                <c:pt idx="73">
                  <c:v>0.23937347867865277</c:v>
                </c:pt>
                <c:pt idx="74">
                  <c:v>-4.2690987581621632E-2</c:v>
                </c:pt>
                <c:pt idx="75">
                  <c:v>-0.22186239104685515</c:v>
                </c:pt>
                <c:pt idx="76">
                  <c:v>-0.41607153013415177</c:v>
                </c:pt>
                <c:pt idx="77">
                  <c:v>-1.2915821788463657</c:v>
                </c:pt>
                <c:pt idx="78">
                  <c:v>-2.0046096584599655</c:v>
                </c:pt>
                <c:pt idx="79">
                  <c:v>-0.82439375418243921</c:v>
                </c:pt>
                <c:pt idx="80">
                  <c:v>-1.4875880475620982</c:v>
                </c:pt>
                <c:pt idx="81">
                  <c:v>0.97161125499384926</c:v>
                </c:pt>
                <c:pt idx="82">
                  <c:v>1.1518643513131315</c:v>
                </c:pt>
                <c:pt idx="83">
                  <c:v>1.0939532320661205</c:v>
                </c:pt>
                <c:pt idx="84">
                  <c:v>1.131517272528578</c:v>
                </c:pt>
                <c:pt idx="85">
                  <c:v>1.6434259022265691</c:v>
                </c:pt>
                <c:pt idx="86">
                  <c:v>5.7449320747287578</c:v>
                </c:pt>
                <c:pt idx="87">
                  <c:v>86.093446621957824</c:v>
                </c:pt>
                <c:pt idx="88">
                  <c:v>143.6751177709076</c:v>
                </c:pt>
                <c:pt idx="89">
                  <c:v>171.55376750722803</c:v>
                </c:pt>
                <c:pt idx="90">
                  <c:v>175.03894678225222</c:v>
                </c:pt>
                <c:pt idx="91">
                  <c:v>166.49333198361205</c:v>
                </c:pt>
                <c:pt idx="92">
                  <c:v>157.59759692668993</c:v>
                </c:pt>
                <c:pt idx="93">
                  <c:v>146.70326906206037</c:v>
                </c:pt>
                <c:pt idx="94">
                  <c:v>129.01684830307997</c:v>
                </c:pt>
                <c:pt idx="95">
                  <c:v>117.4026071301942</c:v>
                </c:pt>
                <c:pt idx="96">
                  <c:v>100.92539499867759</c:v>
                </c:pt>
                <c:pt idx="97">
                  <c:v>93.150802298258199</c:v>
                </c:pt>
                <c:pt idx="98">
                  <c:v>81.039555493957479</c:v>
                </c:pt>
                <c:pt idx="99">
                  <c:v>73.105343960304197</c:v>
                </c:pt>
                <c:pt idx="100">
                  <c:v>69.735614143441339</c:v>
                </c:pt>
                <c:pt idx="101">
                  <c:v>68.439728548003885</c:v>
                </c:pt>
                <c:pt idx="102">
                  <c:v>64.934072920591447</c:v>
                </c:pt>
                <c:pt idx="103">
                  <c:v>58.073264957418402</c:v>
                </c:pt>
                <c:pt idx="104">
                  <c:v>53.016596144779058</c:v>
                </c:pt>
                <c:pt idx="105">
                  <c:v>49.42757083917617</c:v>
                </c:pt>
                <c:pt idx="106">
                  <c:v>45.587634788316983</c:v>
                </c:pt>
                <c:pt idx="107">
                  <c:v>42.385219175877815</c:v>
                </c:pt>
                <c:pt idx="108">
                  <c:v>37.350415610281814</c:v>
                </c:pt>
                <c:pt idx="109">
                  <c:v>37.171226940799187</c:v>
                </c:pt>
                <c:pt idx="110">
                  <c:v>29.354547140095544</c:v>
                </c:pt>
                <c:pt idx="111">
                  <c:v>34.566069177721985</c:v>
                </c:pt>
                <c:pt idx="112">
                  <c:v>36.722869470094508</c:v>
                </c:pt>
                <c:pt idx="113">
                  <c:v>33.270418969169718</c:v>
                </c:pt>
                <c:pt idx="114">
                  <c:v>31.254853066312332</c:v>
                </c:pt>
                <c:pt idx="115">
                  <c:v>31.673170863542911</c:v>
                </c:pt>
                <c:pt idx="116">
                  <c:v>29.474025047992665</c:v>
                </c:pt>
                <c:pt idx="117">
                  <c:v>25.891528376050655</c:v>
                </c:pt>
                <c:pt idx="118">
                  <c:v>25.709491441581978</c:v>
                </c:pt>
                <c:pt idx="119">
                  <c:v>20.688126237024349</c:v>
                </c:pt>
                <c:pt idx="120">
                  <c:v>20.286696492600264</c:v>
                </c:pt>
                <c:pt idx="121">
                  <c:v>14.983297066901462</c:v>
                </c:pt>
                <c:pt idx="122">
                  <c:v>15.21793990407232</c:v>
                </c:pt>
                <c:pt idx="123">
                  <c:v>14.393480887994968</c:v>
                </c:pt>
                <c:pt idx="124">
                  <c:v>13.85419882696095</c:v>
                </c:pt>
                <c:pt idx="125">
                  <c:v>15.386216591431099</c:v>
                </c:pt>
                <c:pt idx="126">
                  <c:v>15.240373185692141</c:v>
                </c:pt>
                <c:pt idx="127">
                  <c:v>9.0370190139198172</c:v>
                </c:pt>
                <c:pt idx="128">
                  <c:v>4.9331797396932515</c:v>
                </c:pt>
                <c:pt idx="129">
                  <c:v>2.1592153328099006</c:v>
                </c:pt>
                <c:pt idx="130">
                  <c:v>5.5705399142169466E-2</c:v>
                </c:pt>
                <c:pt idx="131">
                  <c:v>1.7780847860483613</c:v>
                </c:pt>
                <c:pt idx="132">
                  <c:v>0.7270088900974927</c:v>
                </c:pt>
                <c:pt idx="133">
                  <c:v>-1.2426887511854037</c:v>
                </c:pt>
                <c:pt idx="134">
                  <c:v>-2.2334384163374672</c:v>
                </c:pt>
                <c:pt idx="135">
                  <c:v>-1.6091094019481316</c:v>
                </c:pt>
                <c:pt idx="136">
                  <c:v>-1.9328235072724413</c:v>
                </c:pt>
                <c:pt idx="137">
                  <c:v>0.13653898673962858</c:v>
                </c:pt>
                <c:pt idx="138">
                  <c:v>0.78469346690419939</c:v>
                </c:pt>
                <c:pt idx="139">
                  <c:v>-0.68540660741700576</c:v>
                </c:pt>
                <c:pt idx="140">
                  <c:v>0.61803661202261784</c:v>
                </c:pt>
                <c:pt idx="141">
                  <c:v>0.59305809143916066</c:v>
                </c:pt>
                <c:pt idx="142">
                  <c:v>0.34249173880837541</c:v>
                </c:pt>
                <c:pt idx="143">
                  <c:v>3.3535088545773397</c:v>
                </c:pt>
                <c:pt idx="144">
                  <c:v>1.7940290590894006</c:v>
                </c:pt>
                <c:pt idx="145">
                  <c:v>3.2288226157777293</c:v>
                </c:pt>
                <c:pt idx="146">
                  <c:v>3.2004244976366816</c:v>
                </c:pt>
                <c:pt idx="147">
                  <c:v>2.6454698638752356</c:v>
                </c:pt>
                <c:pt idx="148">
                  <c:v>2.7201177625783521</c:v>
                </c:pt>
                <c:pt idx="149">
                  <c:v>2.1589117525910635</c:v>
                </c:pt>
                <c:pt idx="150">
                  <c:v>2.2482223594948132</c:v>
                </c:pt>
                <c:pt idx="151">
                  <c:v>-0.23964924815207156</c:v>
                </c:pt>
                <c:pt idx="152">
                  <c:v>-0.95644459699739615</c:v>
                </c:pt>
                <c:pt idx="153">
                  <c:v>-2.1025494048985616</c:v>
                </c:pt>
                <c:pt idx="154">
                  <c:v>-1.5566124293702914</c:v>
                </c:pt>
                <c:pt idx="155">
                  <c:v>0.16421371911736601</c:v>
                </c:pt>
                <c:pt idx="156">
                  <c:v>-1.7195083593283744</c:v>
                </c:pt>
                <c:pt idx="157">
                  <c:v>-3.4279300698231001</c:v>
                </c:pt>
                <c:pt idx="158">
                  <c:v>-2.6827594884340553</c:v>
                </c:pt>
                <c:pt idx="159">
                  <c:v>-4.0159608726216351</c:v>
                </c:pt>
                <c:pt idx="160">
                  <c:v>-3.873656226804211</c:v>
                </c:pt>
                <c:pt idx="161">
                  <c:v>-2.3495406428127761</c:v>
                </c:pt>
                <c:pt idx="162">
                  <c:v>-1.8163424641670458</c:v>
                </c:pt>
                <c:pt idx="163">
                  <c:v>-6.4038124099857372</c:v>
                </c:pt>
                <c:pt idx="164">
                  <c:v>-13.609314402823646</c:v>
                </c:pt>
                <c:pt idx="165">
                  <c:v>-14.294258607613001</c:v>
                </c:pt>
                <c:pt idx="166">
                  <c:v>-18.995869776348517</c:v>
                </c:pt>
                <c:pt idx="167">
                  <c:v>-19.080463946337272</c:v>
                </c:pt>
                <c:pt idx="168">
                  <c:v>-21.809619990880996</c:v>
                </c:pt>
                <c:pt idx="169">
                  <c:v>-21.550439450034318</c:v>
                </c:pt>
                <c:pt idx="170">
                  <c:v>-23.067634745582204</c:v>
                </c:pt>
                <c:pt idx="171">
                  <c:v>-22.437110689570421</c:v>
                </c:pt>
                <c:pt idx="172">
                  <c:v>-23.616972691661168</c:v>
                </c:pt>
                <c:pt idx="173">
                  <c:v>-25.639840511304087</c:v>
                </c:pt>
                <c:pt idx="174">
                  <c:v>-26.280595592070615</c:v>
                </c:pt>
                <c:pt idx="175">
                  <c:v>-25.513348260269009</c:v>
                </c:pt>
                <c:pt idx="176">
                  <c:v>-25.784241050704271</c:v>
                </c:pt>
                <c:pt idx="177">
                  <c:v>-25.240929104020822</c:v>
                </c:pt>
                <c:pt idx="178">
                  <c:v>-24.424305318781723</c:v>
                </c:pt>
                <c:pt idx="179">
                  <c:v>-23.643482391417596</c:v>
                </c:pt>
                <c:pt idx="180">
                  <c:v>-23.381212822185489</c:v>
                </c:pt>
                <c:pt idx="181">
                  <c:v>-23.947773809439905</c:v>
                </c:pt>
                <c:pt idx="182">
                  <c:v>-23.656919920286761</c:v>
                </c:pt>
                <c:pt idx="183">
                  <c:v>-23.045331179206336</c:v>
                </c:pt>
                <c:pt idx="184">
                  <c:v>-22.938414668973014</c:v>
                </c:pt>
                <c:pt idx="185">
                  <c:v>-22.30758748464433</c:v>
                </c:pt>
                <c:pt idx="186">
                  <c:v>-19.965166480476153</c:v>
                </c:pt>
                <c:pt idx="187">
                  <c:v>-19.795198275408421</c:v>
                </c:pt>
                <c:pt idx="188">
                  <c:v>-18.649190533775144</c:v>
                </c:pt>
                <c:pt idx="189">
                  <c:v>-19.34307052538211</c:v>
                </c:pt>
                <c:pt idx="190">
                  <c:v>-17.790472415571905</c:v>
                </c:pt>
                <c:pt idx="191">
                  <c:v>-18.47279879151321</c:v>
                </c:pt>
                <c:pt idx="192">
                  <c:v>-19.229686881874862</c:v>
                </c:pt>
                <c:pt idx="193">
                  <c:v>-19.015108899054738</c:v>
                </c:pt>
                <c:pt idx="194">
                  <c:v>-19.718274565861861</c:v>
                </c:pt>
                <c:pt idx="195">
                  <c:v>-21.047113865734158</c:v>
                </c:pt>
                <c:pt idx="196">
                  <c:v>-20.649058959143822</c:v>
                </c:pt>
                <c:pt idx="197">
                  <c:v>-20.751044957785766</c:v>
                </c:pt>
                <c:pt idx="198">
                  <c:v>-21.885627782373302</c:v>
                </c:pt>
                <c:pt idx="199">
                  <c:v>-21.036249740856348</c:v>
                </c:pt>
                <c:pt idx="200">
                  <c:v>-20.499697231997914</c:v>
                </c:pt>
                <c:pt idx="201">
                  <c:v>-19.967995929607905</c:v>
                </c:pt>
                <c:pt idx="202">
                  <c:v>-20.962440884670634</c:v>
                </c:pt>
                <c:pt idx="203">
                  <c:v>-21.274325059433945</c:v>
                </c:pt>
                <c:pt idx="204">
                  <c:v>-20.330682524397261</c:v>
                </c:pt>
                <c:pt idx="205">
                  <c:v>-21.730794209532121</c:v>
                </c:pt>
                <c:pt idx="206">
                  <c:v>-21.20451435823697</c:v>
                </c:pt>
                <c:pt idx="207">
                  <c:v>-21.104456807879675</c:v>
                </c:pt>
                <c:pt idx="208">
                  <c:v>-20.167442452475843</c:v>
                </c:pt>
                <c:pt idx="209">
                  <c:v>-19.952565128601009</c:v>
                </c:pt>
                <c:pt idx="210">
                  <c:v>-20.466314862298198</c:v>
                </c:pt>
                <c:pt idx="211">
                  <c:v>-19.809961015012181</c:v>
                </c:pt>
                <c:pt idx="212">
                  <c:v>-19.564340367308393</c:v>
                </c:pt>
                <c:pt idx="213">
                  <c:v>-18.817884442335043</c:v>
                </c:pt>
                <c:pt idx="214">
                  <c:v>-18.797785060511032</c:v>
                </c:pt>
                <c:pt idx="215">
                  <c:v>-18.678436280997424</c:v>
                </c:pt>
                <c:pt idx="216">
                  <c:v>-18.466893957120824</c:v>
                </c:pt>
                <c:pt idx="217">
                  <c:v>-17.570533593616265</c:v>
                </c:pt>
                <c:pt idx="218">
                  <c:v>-17.012021727399425</c:v>
                </c:pt>
                <c:pt idx="219">
                  <c:v>-16.33166499918693</c:v>
                </c:pt>
                <c:pt idx="220">
                  <c:v>-15.815265300761771</c:v>
                </c:pt>
                <c:pt idx="221">
                  <c:v>-15.609030919137668</c:v>
                </c:pt>
                <c:pt idx="222">
                  <c:v>-13.248582131011725</c:v>
                </c:pt>
                <c:pt idx="223">
                  <c:v>-14.593235147429869</c:v>
                </c:pt>
                <c:pt idx="224">
                  <c:v>-14.947617991097564</c:v>
                </c:pt>
                <c:pt idx="225">
                  <c:v>-13.724679433587644</c:v>
                </c:pt>
                <c:pt idx="226">
                  <c:v>-13.653207875759371</c:v>
                </c:pt>
                <c:pt idx="227">
                  <c:v>-12.67230993154533</c:v>
                </c:pt>
                <c:pt idx="228">
                  <c:v>-10.733090200543193</c:v>
                </c:pt>
                <c:pt idx="229">
                  <c:v>-11.726710017196526</c:v>
                </c:pt>
                <c:pt idx="230">
                  <c:v>-11.379618158619822</c:v>
                </c:pt>
                <c:pt idx="231">
                  <c:v>-11.217409062971431</c:v>
                </c:pt>
                <c:pt idx="232">
                  <c:v>-11.527156185062486</c:v>
                </c:pt>
                <c:pt idx="233">
                  <c:v>-8.2989864617651463</c:v>
                </c:pt>
                <c:pt idx="234">
                  <c:v>-8.4157499940874878</c:v>
                </c:pt>
                <c:pt idx="235">
                  <c:v>-8.6673528199633516</c:v>
                </c:pt>
                <c:pt idx="236">
                  <c:v>-8.0010083150237818</c:v>
                </c:pt>
                <c:pt idx="237">
                  <c:v>-7.0336990783582571</c:v>
                </c:pt>
                <c:pt idx="238">
                  <c:v>-5.7796228905156131</c:v>
                </c:pt>
                <c:pt idx="239">
                  <c:v>-5.1724637035543477</c:v>
                </c:pt>
                <c:pt idx="240">
                  <c:v>-4.5587131755412278</c:v>
                </c:pt>
                <c:pt idx="241">
                  <c:v>-6.5837526168886216</c:v>
                </c:pt>
                <c:pt idx="242">
                  <c:v>-6.3845956920226863</c:v>
                </c:pt>
                <c:pt idx="243">
                  <c:v>-6.6713013002177428</c:v>
                </c:pt>
                <c:pt idx="244">
                  <c:v>-6.4507792138997431</c:v>
                </c:pt>
                <c:pt idx="245">
                  <c:v>-4.8951509353573632</c:v>
                </c:pt>
                <c:pt idx="246">
                  <c:v>-4.1655405657615594</c:v>
                </c:pt>
                <c:pt idx="247">
                  <c:v>-5.0291421928291529</c:v>
                </c:pt>
                <c:pt idx="248">
                  <c:v>-3.5436137526349838</c:v>
                </c:pt>
                <c:pt idx="249">
                  <c:v>-4.3402561773364896</c:v>
                </c:pt>
                <c:pt idx="250">
                  <c:v>-5.8686847753202365</c:v>
                </c:pt>
                <c:pt idx="251">
                  <c:v>-3.7108823859273437</c:v>
                </c:pt>
                <c:pt idx="252">
                  <c:v>-3.9806735398006445</c:v>
                </c:pt>
                <c:pt idx="253">
                  <c:v>-4.9997444269071352</c:v>
                </c:pt>
                <c:pt idx="254">
                  <c:v>-2.0984840696620077</c:v>
                </c:pt>
                <c:pt idx="255">
                  <c:v>-1.1650454687590128</c:v>
                </c:pt>
                <c:pt idx="256">
                  <c:v>-2.7533303478428519</c:v>
                </c:pt>
                <c:pt idx="257">
                  <c:v>-2.3241139901625738</c:v>
                </c:pt>
                <c:pt idx="258">
                  <c:v>-2.1590359422497216</c:v>
                </c:pt>
                <c:pt idx="259">
                  <c:v>-3.506528314804886</c:v>
                </c:pt>
                <c:pt idx="260">
                  <c:v>-2.7628799626049605</c:v>
                </c:pt>
                <c:pt idx="261">
                  <c:v>-2.4907825562780688</c:v>
                </c:pt>
                <c:pt idx="262">
                  <c:v>-1.0032498973427773</c:v>
                </c:pt>
                <c:pt idx="263">
                  <c:v>-3.2406540703255935</c:v>
                </c:pt>
                <c:pt idx="264">
                  <c:v>-3.0382401642687515</c:v>
                </c:pt>
                <c:pt idx="265">
                  <c:v>-4.6159756938112784</c:v>
                </c:pt>
                <c:pt idx="266">
                  <c:v>-2.9362076432667115</c:v>
                </c:pt>
                <c:pt idx="267">
                  <c:v>-5.933149443964175</c:v>
                </c:pt>
                <c:pt idx="268">
                  <c:v>-3.9281848723510469</c:v>
                </c:pt>
                <c:pt idx="269">
                  <c:v>-2.7913579792814369</c:v>
                </c:pt>
                <c:pt idx="270">
                  <c:v>-2.5344194957910187</c:v>
                </c:pt>
                <c:pt idx="271">
                  <c:v>-4.7484233801962876</c:v>
                </c:pt>
                <c:pt idx="272">
                  <c:v>-0.45594145798496194</c:v>
                </c:pt>
                <c:pt idx="273">
                  <c:v>-0.38256059911319273</c:v>
                </c:pt>
                <c:pt idx="274">
                  <c:v>-0.14857676364596983</c:v>
                </c:pt>
                <c:pt idx="275">
                  <c:v>-1.137171504684507</c:v>
                </c:pt>
                <c:pt idx="276">
                  <c:v>-1.9060603671581804</c:v>
                </c:pt>
                <c:pt idx="277">
                  <c:v>8.9663188771526375E-2</c:v>
                </c:pt>
                <c:pt idx="278">
                  <c:v>-1.7826422212088193</c:v>
                </c:pt>
                <c:pt idx="279">
                  <c:v>-2.4893578224862334</c:v>
                </c:pt>
                <c:pt idx="280">
                  <c:v>-1.9150824562780704</c:v>
                </c:pt>
                <c:pt idx="281">
                  <c:v>-9.7461741884954559E-2</c:v>
                </c:pt>
                <c:pt idx="282">
                  <c:v>-2.4636463361966303</c:v>
                </c:pt>
                <c:pt idx="283">
                  <c:v>-1.5094509791224529</c:v>
                </c:pt>
                <c:pt idx="284">
                  <c:v>-0.69918152022529823</c:v>
                </c:pt>
                <c:pt idx="285">
                  <c:v>0.53267092958759577</c:v>
                </c:pt>
                <c:pt idx="286">
                  <c:v>0.33134390117754681</c:v>
                </c:pt>
                <c:pt idx="287">
                  <c:v>0.67438933375516885</c:v>
                </c:pt>
                <c:pt idx="288">
                  <c:v>1.1141955838773463</c:v>
                </c:pt>
                <c:pt idx="289">
                  <c:v>0.97893886348311954</c:v>
                </c:pt>
                <c:pt idx="290">
                  <c:v>1.5720897078983511</c:v>
                </c:pt>
                <c:pt idx="291">
                  <c:v>0.13597316249082941</c:v>
                </c:pt>
                <c:pt idx="292">
                  <c:v>-5.3338302934408395E-2</c:v>
                </c:pt>
                <c:pt idx="293">
                  <c:v>6.0582137083373067E-2</c:v>
                </c:pt>
                <c:pt idx="294">
                  <c:v>0.46008534875118184</c:v>
                </c:pt>
                <c:pt idx="295">
                  <c:v>2.1345940336704303</c:v>
                </c:pt>
                <c:pt idx="296">
                  <c:v>0.37013043290923064</c:v>
                </c:pt>
                <c:pt idx="297">
                  <c:v>1.1932552098650699</c:v>
                </c:pt>
                <c:pt idx="298">
                  <c:v>1.5009718867835045</c:v>
                </c:pt>
                <c:pt idx="299">
                  <c:v>0.49026154715855802</c:v>
                </c:pt>
                <c:pt idx="300">
                  <c:v>-1.9145817093456392</c:v>
                </c:pt>
                <c:pt idx="301">
                  <c:v>-2.9158365368241377</c:v>
                </c:pt>
                <c:pt idx="302">
                  <c:v>-0.32144373228328432</c:v>
                </c:pt>
                <c:pt idx="303">
                  <c:v>-0.39279929823989973</c:v>
                </c:pt>
                <c:pt idx="304">
                  <c:v>3.6237227569671555</c:v>
                </c:pt>
                <c:pt idx="305">
                  <c:v>0.37824771043272926</c:v>
                </c:pt>
                <c:pt idx="306">
                  <c:v>1.0064362879510054</c:v>
                </c:pt>
                <c:pt idx="307">
                  <c:v>1.148286358296426</c:v>
                </c:pt>
                <c:pt idx="308">
                  <c:v>-0.14374378180145839</c:v>
                </c:pt>
                <c:pt idx="309">
                  <c:v>-0.92370482229496809</c:v>
                </c:pt>
                <c:pt idx="310">
                  <c:v>-1.8866421603891288</c:v>
                </c:pt>
                <c:pt idx="311">
                  <c:v>-0.15390516878915733</c:v>
                </c:pt>
                <c:pt idx="312">
                  <c:v>-1.3322712785113588</c:v>
                </c:pt>
                <c:pt idx="313">
                  <c:v>-0.38793677709135976</c:v>
                </c:pt>
                <c:pt idx="314">
                  <c:v>-2.4470053168424264</c:v>
                </c:pt>
                <c:pt idx="315">
                  <c:v>-0.48367752442615958</c:v>
                </c:pt>
                <c:pt idx="316">
                  <c:v>0.79299403716751371</c:v>
                </c:pt>
                <c:pt idx="317">
                  <c:v>3.2249495227140956</c:v>
                </c:pt>
                <c:pt idx="318">
                  <c:v>1.756969199562227</c:v>
                </c:pt>
                <c:pt idx="319">
                  <c:v>1.4793847265991678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39-FE49-BB75-3EEA3DE4A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E757681-EAF2-41C2-BBE0-91F376B16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40A90A-8F50-41E9-8976-09F3B9053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B145243-A18A-AF4E-9987-990127070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3C495C-6502-D740-9D0B-9FC5D7E89C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84C3B49-6214-CE49-8D2A-2612E1A53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1748BB-20A2-B54C-8D40-FE8FFA555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9F89D85A-0622-274D-869A-837BC21D1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B0C3E0-5CC9-7A4F-935B-F3D89E199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7ABF8AFD-9C6F-564F-A7FD-2BD28D8D0A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3DEC2F-2D42-4745-B20B-3F28C25620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eannawalsh/Documents/UCLA%20::%202019-2027/Hallem%20Lab/Data/Calcium%20Imaging%20Data/Analysis%20Worksheets/2024-0705_Walsh_CI_Data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. A Template"/>
      <sheetName val="Cond. B Template"/>
    </sheetNames>
    <sheetDataSet>
      <sheetData sheetId="0"/>
      <sheetData sheetId="1">
        <row r="64">
          <cell r="X64">
            <v>-13</v>
          </cell>
        </row>
        <row r="65">
          <cell r="X65">
            <v>-13</v>
          </cell>
        </row>
        <row r="66">
          <cell r="X66">
            <v>-13</v>
          </cell>
        </row>
        <row r="67">
          <cell r="X67">
            <v>-13</v>
          </cell>
        </row>
        <row r="68">
          <cell r="X68">
            <v>-13</v>
          </cell>
        </row>
        <row r="69">
          <cell r="X69">
            <v>-13</v>
          </cell>
        </row>
        <row r="70">
          <cell r="X70">
            <v>-13</v>
          </cell>
        </row>
        <row r="71">
          <cell r="X71">
            <v>-13</v>
          </cell>
        </row>
        <row r="72">
          <cell r="X72">
            <v>-13</v>
          </cell>
        </row>
        <row r="73">
          <cell r="X73">
            <v>-13</v>
          </cell>
        </row>
        <row r="74">
          <cell r="X74">
            <v>-13</v>
          </cell>
        </row>
        <row r="75">
          <cell r="X75">
            <v>-13</v>
          </cell>
        </row>
        <row r="76">
          <cell r="X76">
            <v>-13</v>
          </cell>
        </row>
        <row r="77">
          <cell r="X77">
            <v>-13</v>
          </cell>
        </row>
        <row r="78">
          <cell r="X78">
            <v>-13</v>
          </cell>
        </row>
        <row r="79">
          <cell r="X79">
            <v>-13</v>
          </cell>
        </row>
        <row r="80">
          <cell r="X80">
            <v>-13</v>
          </cell>
        </row>
        <row r="81">
          <cell r="X81">
            <v>-13</v>
          </cell>
        </row>
        <row r="82">
          <cell r="A82">
            <v>40.5</v>
          </cell>
          <cell r="X82">
            <v>-13</v>
          </cell>
        </row>
        <row r="83">
          <cell r="A83">
            <v>41</v>
          </cell>
          <cell r="X83">
            <v>-13</v>
          </cell>
        </row>
        <row r="84">
          <cell r="A84">
            <v>41.5</v>
          </cell>
          <cell r="X84">
            <v>-13</v>
          </cell>
        </row>
        <row r="85">
          <cell r="A85">
            <v>42</v>
          </cell>
          <cell r="X85">
            <v>-13</v>
          </cell>
        </row>
        <row r="86">
          <cell r="A86">
            <v>42.5</v>
          </cell>
          <cell r="X86">
            <v>-13</v>
          </cell>
        </row>
        <row r="87">
          <cell r="A87">
            <v>43</v>
          </cell>
          <cell r="X87">
            <v>-13</v>
          </cell>
        </row>
        <row r="88">
          <cell r="A88">
            <v>43.5</v>
          </cell>
          <cell r="X88">
            <v>-13</v>
          </cell>
        </row>
        <row r="89">
          <cell r="A89">
            <v>44</v>
          </cell>
          <cell r="X89">
            <v>-13</v>
          </cell>
        </row>
        <row r="90">
          <cell r="A90">
            <v>44.5</v>
          </cell>
          <cell r="X90">
            <v>-13</v>
          </cell>
        </row>
        <row r="91">
          <cell r="A91">
            <v>45</v>
          </cell>
          <cell r="X91">
            <v>-13</v>
          </cell>
        </row>
        <row r="92">
          <cell r="A92">
            <v>45.5</v>
          </cell>
          <cell r="X92">
            <v>-13</v>
          </cell>
        </row>
        <row r="93">
          <cell r="A93">
            <v>46</v>
          </cell>
          <cell r="X93">
            <v>-13</v>
          </cell>
        </row>
        <row r="94">
          <cell r="A94">
            <v>46.5</v>
          </cell>
          <cell r="X94">
            <v>-13</v>
          </cell>
        </row>
        <row r="95">
          <cell r="A95">
            <v>47</v>
          </cell>
          <cell r="X95">
            <v>-13</v>
          </cell>
        </row>
        <row r="96">
          <cell r="A96">
            <v>47.5</v>
          </cell>
          <cell r="X96">
            <v>-13</v>
          </cell>
        </row>
        <row r="97">
          <cell r="A97">
            <v>48</v>
          </cell>
          <cell r="X97">
            <v>-13</v>
          </cell>
        </row>
        <row r="98">
          <cell r="A98">
            <v>48.5</v>
          </cell>
          <cell r="X98">
            <v>-13</v>
          </cell>
        </row>
        <row r="99">
          <cell r="A99">
            <v>49</v>
          </cell>
          <cell r="X99">
            <v>-13</v>
          </cell>
        </row>
        <row r="100">
          <cell r="A100">
            <v>49.5</v>
          </cell>
          <cell r="X100">
            <v>-13</v>
          </cell>
        </row>
        <row r="101">
          <cell r="A101">
            <v>50</v>
          </cell>
          <cell r="X101">
            <v>-13</v>
          </cell>
        </row>
        <row r="102">
          <cell r="A102">
            <v>50.5</v>
          </cell>
          <cell r="X102">
            <v>-13</v>
          </cell>
        </row>
        <row r="103">
          <cell r="A103">
            <v>51</v>
          </cell>
          <cell r="X103">
            <v>-13</v>
          </cell>
        </row>
        <row r="104">
          <cell r="A104">
            <v>51.5</v>
          </cell>
          <cell r="X104">
            <v>-13</v>
          </cell>
        </row>
        <row r="105">
          <cell r="A105">
            <v>52</v>
          </cell>
          <cell r="X105">
            <v>-13</v>
          </cell>
        </row>
        <row r="106">
          <cell r="A106">
            <v>52.5</v>
          </cell>
          <cell r="X106">
            <v>-13</v>
          </cell>
        </row>
        <row r="107">
          <cell r="A107">
            <v>53</v>
          </cell>
          <cell r="X107">
            <v>-13</v>
          </cell>
        </row>
        <row r="108">
          <cell r="A108">
            <v>53.5</v>
          </cell>
          <cell r="X108">
            <v>-13</v>
          </cell>
        </row>
        <row r="109">
          <cell r="A109">
            <v>54</v>
          </cell>
          <cell r="X109">
            <v>-13</v>
          </cell>
        </row>
        <row r="110">
          <cell r="A110">
            <v>54.5</v>
          </cell>
          <cell r="X110">
            <v>-13</v>
          </cell>
        </row>
        <row r="111">
          <cell r="A111">
            <v>55</v>
          </cell>
          <cell r="X111">
            <v>-13</v>
          </cell>
        </row>
        <row r="112">
          <cell r="A112">
            <v>55.5</v>
          </cell>
          <cell r="X112">
            <v>-13</v>
          </cell>
        </row>
        <row r="113">
          <cell r="A113">
            <v>56</v>
          </cell>
          <cell r="X113">
            <v>-13</v>
          </cell>
        </row>
        <row r="114">
          <cell r="A114">
            <v>56.5</v>
          </cell>
          <cell r="X114">
            <v>-13</v>
          </cell>
        </row>
        <row r="115">
          <cell r="A115">
            <v>57</v>
          </cell>
          <cell r="X115">
            <v>-13</v>
          </cell>
        </row>
        <row r="116">
          <cell r="A116">
            <v>57.5</v>
          </cell>
          <cell r="X116">
            <v>-13</v>
          </cell>
        </row>
        <row r="117">
          <cell r="A117">
            <v>58</v>
          </cell>
          <cell r="X117">
            <v>-13</v>
          </cell>
        </row>
        <row r="118">
          <cell r="A118">
            <v>58.5</v>
          </cell>
          <cell r="X118">
            <v>-13</v>
          </cell>
        </row>
        <row r="119">
          <cell r="A119">
            <v>59</v>
          </cell>
          <cell r="X119">
            <v>-13</v>
          </cell>
        </row>
        <row r="120">
          <cell r="A120">
            <v>59.5</v>
          </cell>
          <cell r="X120">
            <v>-13</v>
          </cell>
        </row>
        <row r="121">
          <cell r="A121">
            <v>60</v>
          </cell>
          <cell r="X121">
            <v>-13</v>
          </cell>
        </row>
        <row r="122">
          <cell r="A122">
            <v>60.5</v>
          </cell>
          <cell r="X122">
            <v>-13</v>
          </cell>
        </row>
        <row r="123">
          <cell r="A123">
            <v>61</v>
          </cell>
          <cell r="X123">
            <v>-13</v>
          </cell>
        </row>
        <row r="124">
          <cell r="A124">
            <v>61.5</v>
          </cell>
          <cell r="X124">
            <v>-13</v>
          </cell>
        </row>
        <row r="125">
          <cell r="A125">
            <v>62</v>
          </cell>
          <cell r="X125">
            <v>-13</v>
          </cell>
        </row>
        <row r="126">
          <cell r="A126">
            <v>62.5</v>
          </cell>
          <cell r="X126">
            <v>-13</v>
          </cell>
        </row>
        <row r="127">
          <cell r="A127">
            <v>63</v>
          </cell>
          <cell r="X127">
            <v>-13</v>
          </cell>
        </row>
        <row r="128">
          <cell r="A128">
            <v>63.5</v>
          </cell>
          <cell r="X128">
            <v>-13</v>
          </cell>
        </row>
        <row r="129">
          <cell r="A129">
            <v>64</v>
          </cell>
          <cell r="X129">
            <v>-13</v>
          </cell>
        </row>
        <row r="130">
          <cell r="A130">
            <v>64.5</v>
          </cell>
          <cell r="X130">
            <v>-13</v>
          </cell>
        </row>
        <row r="131">
          <cell r="A131">
            <v>65</v>
          </cell>
          <cell r="X131">
            <v>-13</v>
          </cell>
        </row>
        <row r="132">
          <cell r="A132">
            <v>65.5</v>
          </cell>
          <cell r="X132">
            <v>-13</v>
          </cell>
        </row>
        <row r="133">
          <cell r="A133">
            <v>66</v>
          </cell>
          <cell r="X133">
            <v>-13</v>
          </cell>
        </row>
        <row r="134">
          <cell r="A134">
            <v>66.5</v>
          </cell>
          <cell r="X134">
            <v>-13</v>
          </cell>
        </row>
        <row r="135">
          <cell r="A135">
            <v>67</v>
          </cell>
          <cell r="X135">
            <v>-13</v>
          </cell>
        </row>
        <row r="136">
          <cell r="A136">
            <v>67.5</v>
          </cell>
          <cell r="X136">
            <v>-13</v>
          </cell>
        </row>
        <row r="137">
          <cell r="A137">
            <v>68</v>
          </cell>
          <cell r="X137">
            <v>-13</v>
          </cell>
        </row>
        <row r="138">
          <cell r="A138">
            <v>68.5</v>
          </cell>
          <cell r="X138">
            <v>-13</v>
          </cell>
        </row>
        <row r="139">
          <cell r="A139">
            <v>69</v>
          </cell>
          <cell r="X139">
            <v>-13</v>
          </cell>
        </row>
        <row r="140">
          <cell r="A140">
            <v>69.5</v>
          </cell>
          <cell r="X140">
            <v>-13</v>
          </cell>
        </row>
        <row r="141">
          <cell r="A141">
            <v>70</v>
          </cell>
          <cell r="X141">
            <v>-13</v>
          </cell>
        </row>
        <row r="142">
          <cell r="A142">
            <v>70.5</v>
          </cell>
          <cell r="X142">
            <v>-13</v>
          </cell>
        </row>
        <row r="143">
          <cell r="A143">
            <v>71</v>
          </cell>
          <cell r="X143">
            <v>-13</v>
          </cell>
        </row>
        <row r="144">
          <cell r="A144">
            <v>71.5</v>
          </cell>
        </row>
        <row r="145">
          <cell r="A145">
            <v>72</v>
          </cell>
        </row>
        <row r="146">
          <cell r="A146">
            <v>72.5</v>
          </cell>
        </row>
        <row r="147">
          <cell r="A147">
            <v>73</v>
          </cell>
        </row>
        <row r="148">
          <cell r="A148">
            <v>73.5</v>
          </cell>
        </row>
        <row r="149">
          <cell r="A149">
            <v>74</v>
          </cell>
        </row>
        <row r="150">
          <cell r="A150">
            <v>74.5</v>
          </cell>
        </row>
        <row r="151">
          <cell r="A151">
            <v>75</v>
          </cell>
        </row>
        <row r="152">
          <cell r="A152">
            <v>75.5</v>
          </cell>
        </row>
        <row r="153">
          <cell r="A153">
            <v>76</v>
          </cell>
        </row>
        <row r="154">
          <cell r="A154">
            <v>76.5</v>
          </cell>
        </row>
        <row r="155">
          <cell r="A155">
            <v>77</v>
          </cell>
        </row>
        <row r="156">
          <cell r="A156">
            <v>77.5</v>
          </cell>
        </row>
        <row r="157">
          <cell r="A157">
            <v>78</v>
          </cell>
        </row>
        <row r="158">
          <cell r="A158">
            <v>78.5</v>
          </cell>
        </row>
        <row r="159">
          <cell r="A159">
            <v>79</v>
          </cell>
        </row>
        <row r="160">
          <cell r="A160">
            <v>79.5</v>
          </cell>
        </row>
        <row r="161">
          <cell r="A161">
            <v>80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29B9-751D-423C-B44D-F20CD410FAF0}">
  <dimension ref="A1:Y798"/>
  <sheetViews>
    <sheetView topLeftCell="B1" zoomScale="44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630.89125102208004</v>
      </c>
      <c r="E2">
        <v>496.24202780049001</v>
      </c>
      <c r="F2">
        <v>143.93202293202</v>
      </c>
      <c r="G2">
        <v>119.77231777231999</v>
      </c>
      <c r="H2" s="4"/>
      <c r="I2" s="5">
        <f>E2-G2</f>
        <v>376.46971002817003</v>
      </c>
      <c r="J2" s="5">
        <f>D2-F2</f>
        <v>486.95922809006004</v>
      </c>
      <c r="K2" s="9">
        <f>I2*1</f>
        <v>376.46971002817003</v>
      </c>
      <c r="L2" s="6">
        <f t="shared" ref="L2:L65" si="0">K2/J2</f>
        <v>0.77310314357271881</v>
      </c>
      <c r="M2" s="6">
        <f>L2+ABS($N$2)*A2</f>
        <v>0.77310314357271881</v>
      </c>
      <c r="N2" s="4">
        <f>LINEST(V64:V103,U64:U103)</f>
        <v>-8.6458596977818814E-5</v>
      </c>
      <c r="O2" s="7">
        <f>AVERAGE(M62:M81)</f>
        <v>0.24414772992473893</v>
      </c>
      <c r="P2" s="4">
        <f>(M2-$O$2)/$O$2*100</f>
        <v>216.6538324198369</v>
      </c>
    </row>
    <row r="3" spans="1:16" x14ac:dyDescent="0.2">
      <c r="A3" s="8">
        <v>0.5</v>
      </c>
      <c r="B3" s="8">
        <v>1</v>
      </c>
      <c r="D3">
        <v>638.18397383483</v>
      </c>
      <c r="E3">
        <v>512.46197874079996</v>
      </c>
      <c r="F3">
        <v>143.01638001638</v>
      </c>
      <c r="G3">
        <v>119.50532350532001</v>
      </c>
      <c r="I3" s="9">
        <f t="shared" ref="I3:I66" si="1">E3-G3</f>
        <v>392.95665523547996</v>
      </c>
      <c r="J3" s="9">
        <f t="shared" ref="J3:J66" si="2">D3-F3</f>
        <v>495.16759381844997</v>
      </c>
      <c r="K3" s="9">
        <f t="shared" ref="K3:K66" si="3">I3*1</f>
        <v>392.95665523547996</v>
      </c>
      <c r="L3" s="10">
        <f t="shared" si="0"/>
        <v>0.79358314263908591</v>
      </c>
      <c r="M3" s="10">
        <f t="shared" ref="M3:M66" si="4">L3+ABS($N$2)*A3</f>
        <v>0.79362637193757479</v>
      </c>
      <c r="P3" s="8">
        <f t="shared" ref="P3:P66" si="5">(M3-$O$2)/$O$2*100</f>
        <v>225.05990212656019</v>
      </c>
    </row>
    <row r="4" spans="1:16" ht="16" x14ac:dyDescent="0.2">
      <c r="A4" s="8">
        <v>1</v>
      </c>
      <c r="B4" s="8">
        <v>2</v>
      </c>
      <c r="D4">
        <v>650.28536385936002</v>
      </c>
      <c r="E4">
        <v>539.34014717906996</v>
      </c>
      <c r="F4">
        <v>143.66584766585001</v>
      </c>
      <c r="G4">
        <v>119.10073710074001</v>
      </c>
      <c r="I4" s="9">
        <f t="shared" si="1"/>
        <v>420.23941007832997</v>
      </c>
      <c r="J4" s="9">
        <f t="shared" si="2"/>
        <v>506.61951619350998</v>
      </c>
      <c r="K4" s="9">
        <f t="shared" si="3"/>
        <v>420.23941007832997</v>
      </c>
      <c r="L4" s="10">
        <f t="shared" si="0"/>
        <v>0.82949708143066092</v>
      </c>
      <c r="M4" s="10">
        <f t="shared" si="4"/>
        <v>0.82958354002763879</v>
      </c>
      <c r="N4" s="1" t="s">
        <v>7</v>
      </c>
      <c r="P4" s="8">
        <f t="shared" si="5"/>
        <v>239.78752957619815</v>
      </c>
    </row>
    <row r="5" spans="1:16" x14ac:dyDescent="0.2">
      <c r="A5" s="8">
        <v>1.5</v>
      </c>
      <c r="B5" s="8">
        <v>3</v>
      </c>
      <c r="D5">
        <v>661.28699918233997</v>
      </c>
      <c r="E5">
        <v>555.85527391660003</v>
      </c>
      <c r="F5">
        <v>143.51433251432999</v>
      </c>
      <c r="G5">
        <v>119.48157248157</v>
      </c>
      <c r="I5" s="9">
        <f t="shared" si="1"/>
        <v>436.37370143503006</v>
      </c>
      <c r="J5" s="9">
        <f t="shared" si="2"/>
        <v>517.77266666800995</v>
      </c>
      <c r="K5" s="9">
        <f t="shared" si="3"/>
        <v>436.37370143503006</v>
      </c>
      <c r="L5" s="10">
        <f t="shared" si="0"/>
        <v>0.84279014619137471</v>
      </c>
      <c r="M5" s="10">
        <f t="shared" si="4"/>
        <v>0.84291983408684146</v>
      </c>
      <c r="N5" s="8">
        <f>RSQ(V64:V83,U64:U83)</f>
        <v>0.69932167117001187</v>
      </c>
      <c r="P5" s="8">
        <f t="shared" si="5"/>
        <v>245.24991665770565</v>
      </c>
    </row>
    <row r="6" spans="1:16" x14ac:dyDescent="0.2">
      <c r="A6" s="8">
        <v>2</v>
      </c>
      <c r="B6" s="8">
        <v>4</v>
      </c>
      <c r="D6">
        <v>661.26001635322996</v>
      </c>
      <c r="E6">
        <v>544.65085854456004</v>
      </c>
      <c r="F6">
        <v>143.96478296478</v>
      </c>
      <c r="G6">
        <v>119.36936936937001</v>
      </c>
      <c r="I6" s="9">
        <f t="shared" si="1"/>
        <v>425.28148917519002</v>
      </c>
      <c r="J6" s="9">
        <f t="shared" si="2"/>
        <v>517.29523338845001</v>
      </c>
      <c r="K6" s="9">
        <f t="shared" si="3"/>
        <v>425.28148917519002</v>
      </c>
      <c r="L6" s="10">
        <f t="shared" si="0"/>
        <v>0.82212528112710337</v>
      </c>
      <c r="M6" s="10">
        <f t="shared" si="4"/>
        <v>0.82229819832105899</v>
      </c>
      <c r="P6" s="8">
        <f t="shared" si="5"/>
        <v>236.80354045255348</v>
      </c>
    </row>
    <row r="7" spans="1:16" x14ac:dyDescent="0.2">
      <c r="A7" s="8">
        <v>2.5</v>
      </c>
      <c r="B7" s="8">
        <v>5</v>
      </c>
      <c r="D7">
        <v>649.54538021258998</v>
      </c>
      <c r="E7">
        <v>483.19705641863999</v>
      </c>
      <c r="F7">
        <v>143.32514332514</v>
      </c>
      <c r="G7">
        <v>119.33824733825</v>
      </c>
      <c r="I7" s="9">
        <f t="shared" si="1"/>
        <v>363.85880908038996</v>
      </c>
      <c r="J7" s="9">
        <f t="shared" si="2"/>
        <v>506.22023688744997</v>
      </c>
      <c r="K7" s="9">
        <f t="shared" si="3"/>
        <v>363.85880908038996</v>
      </c>
      <c r="L7" s="10">
        <f t="shared" si="0"/>
        <v>0.71877570781763944</v>
      </c>
      <c r="M7" s="10">
        <f t="shared" si="4"/>
        <v>0.71899185431008394</v>
      </c>
      <c r="P7" s="8">
        <f t="shared" si="5"/>
        <v>194.49049333029663</v>
      </c>
    </row>
    <row r="8" spans="1:16" x14ac:dyDescent="0.2">
      <c r="A8" s="8">
        <v>3</v>
      </c>
      <c r="B8" s="8">
        <v>6</v>
      </c>
      <c r="D8">
        <v>767.45134914146001</v>
      </c>
      <c r="E8">
        <v>511.85772690106</v>
      </c>
      <c r="F8">
        <v>143.35872235872</v>
      </c>
      <c r="G8">
        <v>119.71498771499</v>
      </c>
      <c r="I8" s="9">
        <f t="shared" si="1"/>
        <v>392.14273918607</v>
      </c>
      <c r="J8" s="9">
        <f t="shared" si="2"/>
        <v>624.09262678274001</v>
      </c>
      <c r="K8" s="9">
        <f t="shared" si="3"/>
        <v>392.14273918607</v>
      </c>
      <c r="L8" s="10">
        <f t="shared" si="0"/>
        <v>0.62834060579693929</v>
      </c>
      <c r="M8" s="10">
        <f t="shared" si="4"/>
        <v>0.62859998158787278</v>
      </c>
      <c r="P8" s="8">
        <f t="shared" si="5"/>
        <v>157.46705971079282</v>
      </c>
    </row>
    <row r="9" spans="1:16" x14ac:dyDescent="0.2">
      <c r="A9" s="8">
        <v>3.5</v>
      </c>
      <c r="B9" s="8">
        <v>7</v>
      </c>
      <c r="D9">
        <v>834.84873262469</v>
      </c>
      <c r="E9">
        <v>514.96811120196003</v>
      </c>
      <c r="F9">
        <v>143.96314496315</v>
      </c>
      <c r="G9">
        <v>119.19082719083001</v>
      </c>
      <c r="I9" s="9">
        <f t="shared" si="1"/>
        <v>395.77728401113001</v>
      </c>
      <c r="J9" s="9">
        <f t="shared" si="2"/>
        <v>690.88558766154006</v>
      </c>
      <c r="K9" s="9">
        <f t="shared" si="3"/>
        <v>395.77728401113001</v>
      </c>
      <c r="L9" s="10">
        <f t="shared" si="0"/>
        <v>0.5728550299489219</v>
      </c>
      <c r="M9" s="10">
        <f t="shared" si="4"/>
        <v>0.57315763503834427</v>
      </c>
      <c r="P9" s="8">
        <f t="shared" si="5"/>
        <v>134.75853542239614</v>
      </c>
    </row>
    <row r="10" spans="1:16" x14ac:dyDescent="0.2">
      <c r="A10" s="8">
        <v>4</v>
      </c>
      <c r="B10" s="8">
        <v>8</v>
      </c>
      <c r="D10">
        <v>1201.7175510203999</v>
      </c>
      <c r="E10">
        <v>670.55591836735005</v>
      </c>
      <c r="F10">
        <v>143.97952497953</v>
      </c>
      <c r="G10">
        <v>119.33251433251</v>
      </c>
      <c r="I10" s="9">
        <f t="shared" si="1"/>
        <v>551.22340403484009</v>
      </c>
      <c r="J10" s="9">
        <f t="shared" si="2"/>
        <v>1057.73802604087</v>
      </c>
      <c r="K10" s="9">
        <f t="shared" si="3"/>
        <v>551.22340403484009</v>
      </c>
      <c r="L10" s="10">
        <f t="shared" si="0"/>
        <v>0.52113414707995132</v>
      </c>
      <c r="M10" s="10">
        <f t="shared" si="4"/>
        <v>0.52147998146786256</v>
      </c>
      <c r="P10" s="8">
        <f t="shared" si="5"/>
        <v>113.59198450405997</v>
      </c>
    </row>
    <row r="11" spans="1:16" x14ac:dyDescent="0.2">
      <c r="A11" s="8">
        <v>4.5</v>
      </c>
      <c r="B11" s="8">
        <v>9</v>
      </c>
      <c r="D11">
        <v>1181.3736799349999</v>
      </c>
      <c r="E11">
        <v>642.83671811534998</v>
      </c>
      <c r="F11">
        <v>143.49877149877</v>
      </c>
      <c r="G11">
        <v>119.21457821458</v>
      </c>
      <c r="I11" s="9">
        <f t="shared" si="1"/>
        <v>523.62213990076998</v>
      </c>
      <c r="J11" s="9">
        <f t="shared" si="2"/>
        <v>1037.8749084362298</v>
      </c>
      <c r="K11" s="9">
        <f t="shared" si="3"/>
        <v>523.62213990076998</v>
      </c>
      <c r="L11" s="10">
        <f t="shared" si="0"/>
        <v>0.50451372862430355</v>
      </c>
      <c r="M11" s="10">
        <f t="shared" si="4"/>
        <v>0.50490279231070379</v>
      </c>
      <c r="P11" s="8">
        <f t="shared" si="5"/>
        <v>106.80216542105279</v>
      </c>
    </row>
    <row r="12" spans="1:16" x14ac:dyDescent="0.2">
      <c r="A12" s="8">
        <v>5</v>
      </c>
      <c r="B12" s="8">
        <v>10</v>
      </c>
      <c r="D12">
        <v>1168.2688870837001</v>
      </c>
      <c r="E12">
        <v>609.24126726239001</v>
      </c>
      <c r="F12">
        <v>144.47665847665999</v>
      </c>
      <c r="G12">
        <v>119.48157248157</v>
      </c>
      <c r="I12" s="9">
        <f t="shared" si="1"/>
        <v>489.75969478082004</v>
      </c>
      <c r="J12" s="9">
        <f t="shared" si="2"/>
        <v>1023.7922286070401</v>
      </c>
      <c r="K12" s="9">
        <f t="shared" si="3"/>
        <v>489.75969478082004</v>
      </c>
      <c r="L12" s="10">
        <f t="shared" si="0"/>
        <v>0.47837801567138427</v>
      </c>
      <c r="M12" s="10">
        <f t="shared" si="4"/>
        <v>0.47881030865627339</v>
      </c>
      <c r="P12" s="8">
        <f t="shared" si="5"/>
        <v>96.114995131788291</v>
      </c>
    </row>
    <row r="13" spans="1:16" x14ac:dyDescent="0.2">
      <c r="A13" s="8">
        <v>5.5</v>
      </c>
      <c r="B13" s="8">
        <v>11</v>
      </c>
      <c r="D13">
        <v>1155.6263200650001</v>
      </c>
      <c r="E13">
        <v>586.74898456538995</v>
      </c>
      <c r="F13">
        <v>143.53480753481</v>
      </c>
      <c r="G13">
        <v>119.66666666667</v>
      </c>
      <c r="I13" s="9">
        <f t="shared" si="1"/>
        <v>467.08231789871996</v>
      </c>
      <c r="J13" s="9">
        <f t="shared" si="2"/>
        <v>1012.0915125301901</v>
      </c>
      <c r="K13" s="9">
        <f t="shared" si="3"/>
        <v>467.08231789871996</v>
      </c>
      <c r="L13" s="10">
        <f t="shared" si="0"/>
        <v>0.4615020599580289</v>
      </c>
      <c r="M13" s="10">
        <f t="shared" si="4"/>
        <v>0.46197758224140689</v>
      </c>
      <c r="P13" s="8">
        <f t="shared" si="5"/>
        <v>89.220511033961387</v>
      </c>
    </row>
    <row r="14" spans="1:16" x14ac:dyDescent="0.2">
      <c r="A14" s="8">
        <v>6</v>
      </c>
      <c r="B14" s="8">
        <v>12</v>
      </c>
      <c r="D14">
        <v>1148.8037612429</v>
      </c>
      <c r="E14">
        <v>582.67048242028</v>
      </c>
      <c r="F14">
        <v>144.09664209664001</v>
      </c>
      <c r="G14">
        <v>119.74774774775</v>
      </c>
      <c r="I14" s="9">
        <f t="shared" si="1"/>
        <v>462.92273467253</v>
      </c>
      <c r="J14" s="9">
        <f t="shared" si="2"/>
        <v>1004.70711914626</v>
      </c>
      <c r="K14" s="9">
        <f t="shared" si="3"/>
        <v>462.92273467253</v>
      </c>
      <c r="L14" s="10">
        <f t="shared" si="0"/>
        <v>0.46075391111580266</v>
      </c>
      <c r="M14" s="10">
        <f t="shared" si="4"/>
        <v>0.46127266269766959</v>
      </c>
      <c r="P14" s="8">
        <f t="shared" si="5"/>
        <v>88.931784391303438</v>
      </c>
    </row>
    <row r="15" spans="1:16" x14ac:dyDescent="0.2">
      <c r="A15" s="8">
        <v>6.5</v>
      </c>
      <c r="B15" s="8">
        <v>13</v>
      </c>
      <c r="D15">
        <v>1158.1954210957001</v>
      </c>
      <c r="E15">
        <v>572.53638593621997</v>
      </c>
      <c r="F15">
        <v>144.51351351350999</v>
      </c>
      <c r="G15">
        <v>119.26945126945</v>
      </c>
      <c r="I15" s="9">
        <f t="shared" si="1"/>
        <v>453.26693466677</v>
      </c>
      <c r="J15" s="9">
        <f t="shared" si="2"/>
        <v>1013.6819075821901</v>
      </c>
      <c r="K15" s="9">
        <f t="shared" si="3"/>
        <v>453.26693466677</v>
      </c>
      <c r="L15" s="10">
        <f t="shared" si="0"/>
        <v>0.44714908224799188</v>
      </c>
      <c r="M15" s="10">
        <f t="shared" si="4"/>
        <v>0.44771106312834769</v>
      </c>
      <c r="P15" s="8">
        <f t="shared" si="5"/>
        <v>83.37711485843397</v>
      </c>
    </row>
    <row r="16" spans="1:16" x14ac:dyDescent="0.2">
      <c r="A16" s="8">
        <v>7</v>
      </c>
      <c r="B16" s="8">
        <v>14</v>
      </c>
      <c r="D16">
        <v>1237.7138184792</v>
      </c>
      <c r="E16">
        <v>592.83565004087995</v>
      </c>
      <c r="F16">
        <v>144.61752661752999</v>
      </c>
      <c r="G16">
        <v>119.73873873874</v>
      </c>
      <c r="I16" s="9">
        <f t="shared" si="1"/>
        <v>473.09691130213997</v>
      </c>
      <c r="J16" s="9">
        <f t="shared" si="2"/>
        <v>1093.0962918616699</v>
      </c>
      <c r="K16" s="9">
        <f t="shared" si="3"/>
        <v>473.09691130213997</v>
      </c>
      <c r="L16" s="10">
        <f t="shared" si="0"/>
        <v>0.43280442429861415</v>
      </c>
      <c r="M16" s="10">
        <f t="shared" si="4"/>
        <v>0.43340963447745889</v>
      </c>
      <c r="P16" s="8">
        <f t="shared" si="5"/>
        <v>77.51942015232413</v>
      </c>
    </row>
    <row r="17" spans="1:16" x14ac:dyDescent="0.2">
      <c r="A17" s="8">
        <v>7.5</v>
      </c>
      <c r="B17" s="8">
        <v>15</v>
      </c>
      <c r="D17">
        <v>1228.2066720911</v>
      </c>
      <c r="E17">
        <v>575.56631407649002</v>
      </c>
      <c r="F17">
        <v>143.80753480754001</v>
      </c>
      <c r="G17">
        <v>119.57657657658</v>
      </c>
      <c r="I17" s="9">
        <f t="shared" si="1"/>
        <v>455.98973749991001</v>
      </c>
      <c r="J17" s="9">
        <f t="shared" si="2"/>
        <v>1084.3991372835601</v>
      </c>
      <c r="K17" s="9">
        <f t="shared" si="3"/>
        <v>455.98973749991001</v>
      </c>
      <c r="L17" s="10">
        <f t="shared" si="0"/>
        <v>0.42049990803402215</v>
      </c>
      <c r="M17" s="10">
        <f t="shared" si="4"/>
        <v>0.42114834751135577</v>
      </c>
      <c r="P17" s="8">
        <f t="shared" si="5"/>
        <v>72.497343162346468</v>
      </c>
    </row>
    <row r="18" spans="1:16" x14ac:dyDescent="0.2">
      <c r="A18" s="8">
        <v>8</v>
      </c>
      <c r="B18" s="8">
        <v>16</v>
      </c>
      <c r="D18">
        <v>1227.3970707893</v>
      </c>
      <c r="E18">
        <v>566.0065093572</v>
      </c>
      <c r="F18">
        <v>144.17444717444999</v>
      </c>
      <c r="G18">
        <v>119.57493857494001</v>
      </c>
      <c r="I18" s="9">
        <f t="shared" si="1"/>
        <v>446.43157078226</v>
      </c>
      <c r="J18" s="9">
        <f t="shared" si="2"/>
        <v>1083.2226236148499</v>
      </c>
      <c r="K18" s="9">
        <f t="shared" si="3"/>
        <v>446.43157078226</v>
      </c>
      <c r="L18" s="10">
        <f t="shared" si="0"/>
        <v>0.41213279805074765</v>
      </c>
      <c r="M18" s="10">
        <f t="shared" si="4"/>
        <v>0.4128244668265702</v>
      </c>
      <c r="P18" s="8">
        <f t="shared" si="5"/>
        <v>69.087980852341985</v>
      </c>
    </row>
    <row r="19" spans="1:16" x14ac:dyDescent="0.2">
      <c r="A19" s="8">
        <v>8.5</v>
      </c>
      <c r="B19" s="8">
        <v>17</v>
      </c>
      <c r="D19">
        <v>1205.7933279089</v>
      </c>
      <c r="E19">
        <v>543.93978844589003</v>
      </c>
      <c r="F19">
        <v>144.01310401309999</v>
      </c>
      <c r="G19">
        <v>119.53235053234999</v>
      </c>
      <c r="I19" s="9">
        <f t="shared" si="1"/>
        <v>424.40743791354004</v>
      </c>
      <c r="J19" s="9">
        <f t="shared" si="2"/>
        <v>1061.7802238958</v>
      </c>
      <c r="K19" s="9">
        <f t="shared" si="3"/>
        <v>424.40743791354004</v>
      </c>
      <c r="L19" s="10">
        <f t="shared" si="0"/>
        <v>0.39971307466656125</v>
      </c>
      <c r="M19" s="10">
        <f t="shared" si="4"/>
        <v>0.40044797274087274</v>
      </c>
      <c r="P19" s="8">
        <f t="shared" si="5"/>
        <v>64.018716399417258</v>
      </c>
    </row>
    <row r="20" spans="1:16" x14ac:dyDescent="0.2">
      <c r="A20" s="8">
        <v>9</v>
      </c>
      <c r="B20" s="8">
        <v>18</v>
      </c>
      <c r="D20">
        <v>1183.5101708705999</v>
      </c>
      <c r="E20">
        <v>524.67941415785003</v>
      </c>
      <c r="F20">
        <v>144.06552006551999</v>
      </c>
      <c r="G20">
        <v>119.42014742015</v>
      </c>
      <c r="I20" s="9">
        <f t="shared" si="1"/>
        <v>405.25926673770005</v>
      </c>
      <c r="J20" s="9">
        <f t="shared" si="2"/>
        <v>1039.4446508050801</v>
      </c>
      <c r="K20" s="9">
        <f t="shared" si="3"/>
        <v>405.25926673770005</v>
      </c>
      <c r="L20" s="10">
        <f t="shared" si="0"/>
        <v>0.38988056403370297</v>
      </c>
      <c r="M20" s="10">
        <f t="shared" si="4"/>
        <v>0.39065869140650333</v>
      </c>
      <c r="P20" s="8">
        <f t="shared" si="5"/>
        <v>60.00914345053625</v>
      </c>
    </row>
    <row r="21" spans="1:16" x14ac:dyDescent="0.2">
      <c r="A21" s="8">
        <v>9.5</v>
      </c>
      <c r="B21" s="8">
        <v>19</v>
      </c>
      <c r="D21">
        <v>1220.0057003257</v>
      </c>
      <c r="E21">
        <v>517.41042345277003</v>
      </c>
      <c r="F21">
        <v>143.93939393938999</v>
      </c>
      <c r="G21">
        <v>119.63636363636</v>
      </c>
      <c r="I21" s="9">
        <f t="shared" si="1"/>
        <v>397.77405981641004</v>
      </c>
      <c r="J21" s="9">
        <f t="shared" si="2"/>
        <v>1076.0663063863101</v>
      </c>
      <c r="K21" s="9">
        <f t="shared" si="3"/>
        <v>397.77405981641004</v>
      </c>
      <c r="L21" s="10">
        <f t="shared" si="0"/>
        <v>0.36965571494588578</v>
      </c>
      <c r="M21" s="10">
        <f t="shared" si="4"/>
        <v>0.37047707161717508</v>
      </c>
      <c r="P21" s="8">
        <f t="shared" si="5"/>
        <v>51.742992544464151</v>
      </c>
    </row>
    <row r="22" spans="1:16" x14ac:dyDescent="0.2">
      <c r="A22" s="8">
        <v>10</v>
      </c>
      <c r="B22" s="8">
        <v>20</v>
      </c>
      <c r="D22">
        <v>1214.3713355048999</v>
      </c>
      <c r="E22">
        <v>504.07166123779001</v>
      </c>
      <c r="F22">
        <v>144.67813267813</v>
      </c>
      <c r="G22">
        <v>119.62817362817</v>
      </c>
      <c r="I22" s="9">
        <f t="shared" si="1"/>
        <v>384.44348760961998</v>
      </c>
      <c r="J22" s="9">
        <f t="shared" si="2"/>
        <v>1069.6932028267699</v>
      </c>
      <c r="K22" s="9">
        <f t="shared" si="3"/>
        <v>384.44348760961998</v>
      </c>
      <c r="L22" s="10">
        <f t="shared" si="0"/>
        <v>0.35939602737840165</v>
      </c>
      <c r="M22" s="10">
        <f t="shared" si="4"/>
        <v>0.36026061334817983</v>
      </c>
      <c r="P22" s="8">
        <f t="shared" si="5"/>
        <v>47.55845301499788</v>
      </c>
    </row>
    <row r="23" spans="1:16" x14ac:dyDescent="0.2">
      <c r="A23" s="8">
        <v>10.5</v>
      </c>
      <c r="B23" s="8">
        <v>21</v>
      </c>
      <c r="D23">
        <v>1197.5276872964</v>
      </c>
      <c r="E23">
        <v>493.45846905538002</v>
      </c>
      <c r="F23">
        <v>144.44062244061999</v>
      </c>
      <c r="G23">
        <v>119.59377559377999</v>
      </c>
      <c r="I23" s="9">
        <f t="shared" si="1"/>
        <v>373.86469346160004</v>
      </c>
      <c r="J23" s="9">
        <f t="shared" si="2"/>
        <v>1053.08706485578</v>
      </c>
      <c r="K23" s="9">
        <f t="shared" si="3"/>
        <v>373.86469346160004</v>
      </c>
      <c r="L23" s="10">
        <f t="shared" si="0"/>
        <v>0.35501783844700507</v>
      </c>
      <c r="M23" s="10">
        <f t="shared" si="4"/>
        <v>0.35592565371527218</v>
      </c>
      <c r="P23" s="8">
        <f t="shared" si="5"/>
        <v>45.782905220945516</v>
      </c>
    </row>
    <row r="24" spans="1:16" x14ac:dyDescent="0.2">
      <c r="A24" s="8">
        <v>11</v>
      </c>
      <c r="B24" s="8">
        <v>22</v>
      </c>
      <c r="D24">
        <v>1195.3333333333001</v>
      </c>
      <c r="E24">
        <v>482.53902439024</v>
      </c>
      <c r="F24">
        <v>144.20720720720999</v>
      </c>
      <c r="G24">
        <v>119.85585585586</v>
      </c>
      <c r="I24" s="9">
        <f t="shared" si="1"/>
        <v>362.68316853438</v>
      </c>
      <c r="J24" s="9">
        <f t="shared" si="2"/>
        <v>1051.1261261260902</v>
      </c>
      <c r="K24" s="9">
        <f t="shared" si="3"/>
        <v>362.68316853438</v>
      </c>
      <c r="L24" s="10">
        <f t="shared" si="0"/>
        <v>0.34504248302821988</v>
      </c>
      <c r="M24" s="10">
        <f t="shared" si="4"/>
        <v>0.34599352759497587</v>
      </c>
      <c r="P24" s="8">
        <f t="shared" si="5"/>
        <v>41.714824750421378</v>
      </c>
    </row>
    <row r="25" spans="1:16" x14ac:dyDescent="0.2">
      <c r="A25" s="8">
        <v>11.5</v>
      </c>
      <c r="B25" s="8">
        <v>23</v>
      </c>
      <c r="D25">
        <v>1204.1390243901999</v>
      </c>
      <c r="E25">
        <v>475.82764227642002</v>
      </c>
      <c r="F25">
        <v>144.62817362817</v>
      </c>
      <c r="G25">
        <v>119.66830466831</v>
      </c>
      <c r="I25" s="9">
        <f t="shared" si="1"/>
        <v>356.15933760811004</v>
      </c>
      <c r="J25" s="9">
        <f t="shared" si="2"/>
        <v>1059.5108507620298</v>
      </c>
      <c r="K25" s="9">
        <f t="shared" si="3"/>
        <v>356.15933760811004</v>
      </c>
      <c r="L25" s="10">
        <f t="shared" si="0"/>
        <v>0.3361544974758402</v>
      </c>
      <c r="M25" s="10">
        <f t="shared" si="4"/>
        <v>0.33714877134108512</v>
      </c>
      <c r="P25" s="8">
        <f t="shared" si="5"/>
        <v>38.092118016012158</v>
      </c>
    </row>
    <row r="26" spans="1:16" x14ac:dyDescent="0.2">
      <c r="A26" s="8">
        <v>12</v>
      </c>
      <c r="B26" s="8">
        <v>24</v>
      </c>
      <c r="D26">
        <v>1193.2813008129999</v>
      </c>
      <c r="E26">
        <v>464.30243902439003</v>
      </c>
      <c r="F26">
        <v>144.01801801802</v>
      </c>
      <c r="G26">
        <v>119.58149058149</v>
      </c>
      <c r="I26" s="9">
        <f t="shared" si="1"/>
        <v>344.72094844290001</v>
      </c>
      <c r="J26" s="9">
        <f t="shared" si="2"/>
        <v>1049.2632827949799</v>
      </c>
      <c r="K26" s="9">
        <f t="shared" si="3"/>
        <v>344.72094844290001</v>
      </c>
      <c r="L26" s="10">
        <f t="shared" si="0"/>
        <v>0.32853617780720201</v>
      </c>
      <c r="M26" s="10">
        <f t="shared" si="4"/>
        <v>0.32957368097093581</v>
      </c>
      <c r="P26" s="8">
        <f t="shared" si="5"/>
        <v>34.989451293497723</v>
      </c>
    </row>
    <row r="27" spans="1:16" x14ac:dyDescent="0.2">
      <c r="A27" s="8">
        <v>12.5</v>
      </c>
      <c r="B27" s="8">
        <v>25</v>
      </c>
      <c r="D27">
        <v>1196.5658536584999</v>
      </c>
      <c r="E27">
        <v>457.38373983740001</v>
      </c>
      <c r="F27">
        <v>145.29156429156001</v>
      </c>
      <c r="G27">
        <v>119.80425880426</v>
      </c>
      <c r="I27" s="9">
        <f t="shared" si="1"/>
        <v>337.57948103314004</v>
      </c>
      <c r="J27" s="9">
        <f t="shared" si="2"/>
        <v>1051.2742893669399</v>
      </c>
      <c r="K27" s="9">
        <f t="shared" si="3"/>
        <v>337.57948103314004</v>
      </c>
      <c r="L27" s="10">
        <f t="shared" si="0"/>
        <v>0.32111456015577516</v>
      </c>
      <c r="M27" s="10">
        <f t="shared" si="4"/>
        <v>0.3221952926179979</v>
      </c>
      <c r="P27" s="8">
        <f t="shared" si="5"/>
        <v>31.967351372596394</v>
      </c>
    </row>
    <row r="28" spans="1:16" x14ac:dyDescent="0.2">
      <c r="A28" s="8">
        <v>13</v>
      </c>
      <c r="B28" s="8">
        <v>26</v>
      </c>
      <c r="D28">
        <v>1193.5024390244</v>
      </c>
      <c r="E28">
        <v>453.20731707316997</v>
      </c>
      <c r="F28">
        <v>144.86322686323001</v>
      </c>
      <c r="G28">
        <v>119.40868140868</v>
      </c>
      <c r="I28" s="9">
        <f t="shared" si="1"/>
        <v>333.79863566449001</v>
      </c>
      <c r="J28" s="9">
        <f t="shared" si="2"/>
        <v>1048.63921216117</v>
      </c>
      <c r="K28" s="9">
        <f t="shared" si="3"/>
        <v>333.79863566449001</v>
      </c>
      <c r="L28" s="10">
        <f t="shared" si="0"/>
        <v>0.31831599638216374</v>
      </c>
      <c r="M28" s="10">
        <f t="shared" si="4"/>
        <v>0.3194399581428754</v>
      </c>
      <c r="P28" s="8">
        <f t="shared" si="5"/>
        <v>30.838799214453509</v>
      </c>
    </row>
    <row r="29" spans="1:16" x14ac:dyDescent="0.2">
      <c r="A29" s="8">
        <v>13.5</v>
      </c>
      <c r="B29" s="8">
        <v>27</v>
      </c>
      <c r="D29">
        <v>1201.4658536585</v>
      </c>
      <c r="E29">
        <v>447.32032520324998</v>
      </c>
      <c r="F29">
        <v>144.96232596233</v>
      </c>
      <c r="G29">
        <v>119.69369369368999</v>
      </c>
      <c r="I29" s="9">
        <f t="shared" si="1"/>
        <v>327.62663150955996</v>
      </c>
      <c r="J29" s="9">
        <f t="shared" si="2"/>
        <v>1056.5035276961701</v>
      </c>
      <c r="K29" s="9">
        <f t="shared" si="3"/>
        <v>327.62663150955996</v>
      </c>
      <c r="L29" s="10">
        <f t="shared" si="0"/>
        <v>0.3101046261757292</v>
      </c>
      <c r="M29" s="10">
        <f t="shared" si="4"/>
        <v>0.31127181723492975</v>
      </c>
      <c r="P29" s="8">
        <f t="shared" si="5"/>
        <v>27.493226060665201</v>
      </c>
    </row>
    <row r="30" spans="1:16" x14ac:dyDescent="0.2">
      <c r="A30" s="8">
        <v>14</v>
      </c>
      <c r="B30" s="8">
        <v>28</v>
      </c>
      <c r="D30">
        <v>1209.6341463414999</v>
      </c>
      <c r="E30">
        <v>440.25447154471999</v>
      </c>
      <c r="F30">
        <v>144.72727272726999</v>
      </c>
      <c r="G30">
        <v>119.42833742834</v>
      </c>
      <c r="I30" s="9">
        <f t="shared" si="1"/>
        <v>320.82613411637999</v>
      </c>
      <c r="J30" s="9">
        <f t="shared" si="2"/>
        <v>1064.9068736142299</v>
      </c>
      <c r="K30" s="9">
        <f t="shared" si="3"/>
        <v>320.82613411637999</v>
      </c>
      <c r="L30" s="10">
        <f t="shared" si="0"/>
        <v>0.30127154032494446</v>
      </c>
      <c r="M30" s="10">
        <f t="shared" si="4"/>
        <v>0.30248196068263394</v>
      </c>
      <c r="P30" s="8">
        <f t="shared" si="5"/>
        <v>23.89300558963917</v>
      </c>
    </row>
    <row r="31" spans="1:16" x14ac:dyDescent="0.2">
      <c r="A31" s="8">
        <v>14.5</v>
      </c>
      <c r="B31" s="8">
        <v>29</v>
      </c>
      <c r="D31">
        <v>1203.8544715446999</v>
      </c>
      <c r="E31">
        <v>435.68780487804997</v>
      </c>
      <c r="F31">
        <v>144.57493857494001</v>
      </c>
      <c r="G31">
        <v>119.72235872236</v>
      </c>
      <c r="I31" s="9">
        <f t="shared" si="1"/>
        <v>315.96544615568996</v>
      </c>
      <c r="J31" s="9">
        <f t="shared" si="2"/>
        <v>1059.2795329697599</v>
      </c>
      <c r="K31" s="9">
        <f t="shared" si="3"/>
        <v>315.96544615568996</v>
      </c>
      <c r="L31" s="10">
        <f t="shared" si="0"/>
        <v>0.29828334856037486</v>
      </c>
      <c r="M31" s="10">
        <f t="shared" si="4"/>
        <v>0.29953699821655322</v>
      </c>
      <c r="P31" s="8">
        <f t="shared" si="5"/>
        <v>22.686784066715919</v>
      </c>
    </row>
    <row r="32" spans="1:16" x14ac:dyDescent="0.2">
      <c r="A32" s="8">
        <v>15</v>
      </c>
      <c r="B32" s="8">
        <v>30</v>
      </c>
      <c r="D32">
        <v>1201.7837398373999</v>
      </c>
      <c r="E32">
        <v>425.70325203252003</v>
      </c>
      <c r="F32">
        <v>144.72153972154001</v>
      </c>
      <c r="G32">
        <v>119.7067977068</v>
      </c>
      <c r="I32" s="9">
        <f t="shared" si="1"/>
        <v>305.99645432572004</v>
      </c>
      <c r="J32" s="9">
        <f t="shared" si="2"/>
        <v>1057.0622001158599</v>
      </c>
      <c r="K32" s="9">
        <f t="shared" si="3"/>
        <v>305.99645432572004</v>
      </c>
      <c r="L32" s="10">
        <f t="shared" si="0"/>
        <v>0.28947819181518469</v>
      </c>
      <c r="M32" s="10">
        <f t="shared" si="4"/>
        <v>0.29077507076985198</v>
      </c>
      <c r="P32" s="8">
        <f t="shared" si="5"/>
        <v>19.098003024433776</v>
      </c>
    </row>
    <row r="33" spans="1:16" x14ac:dyDescent="0.2">
      <c r="A33" s="8">
        <v>15.5</v>
      </c>
      <c r="B33" s="8">
        <v>31</v>
      </c>
      <c r="D33">
        <v>1203.1081300813</v>
      </c>
      <c r="E33">
        <v>419.72601626016001</v>
      </c>
      <c r="F33">
        <v>144.02702702702999</v>
      </c>
      <c r="G33">
        <v>120.05814905814999</v>
      </c>
      <c r="I33" s="9">
        <f t="shared" si="1"/>
        <v>299.66786720201003</v>
      </c>
      <c r="J33" s="9">
        <f t="shared" si="2"/>
        <v>1059.08110305427</v>
      </c>
      <c r="K33" s="9">
        <f t="shared" si="3"/>
        <v>299.66786720201003</v>
      </c>
      <c r="L33" s="10">
        <f t="shared" si="0"/>
        <v>0.28295082061024585</v>
      </c>
      <c r="M33" s="10">
        <f t="shared" si="4"/>
        <v>0.28429092886340201</v>
      </c>
      <c r="P33" s="8">
        <f t="shared" si="5"/>
        <v>16.442175788829836</v>
      </c>
    </row>
    <row r="34" spans="1:16" x14ac:dyDescent="0.2">
      <c r="A34" s="8">
        <v>16</v>
      </c>
      <c r="B34" s="8">
        <v>32</v>
      </c>
      <c r="D34">
        <v>1199.9365853659001</v>
      </c>
      <c r="E34">
        <v>415.62357723576997</v>
      </c>
      <c r="F34">
        <v>145.19656019656</v>
      </c>
      <c r="G34">
        <v>119.69533169533</v>
      </c>
      <c r="I34" s="9">
        <f t="shared" si="1"/>
        <v>295.92824554044</v>
      </c>
      <c r="J34" s="9">
        <f t="shared" si="2"/>
        <v>1054.74002516934</v>
      </c>
      <c r="K34" s="9">
        <f t="shared" si="3"/>
        <v>295.92824554044</v>
      </c>
      <c r="L34" s="10">
        <f t="shared" si="0"/>
        <v>0.2805698451549028</v>
      </c>
      <c r="M34" s="10">
        <f t="shared" si="4"/>
        <v>0.2819531827065479</v>
      </c>
      <c r="P34" s="8">
        <f t="shared" si="5"/>
        <v>15.484662828305998</v>
      </c>
    </row>
    <row r="35" spans="1:16" x14ac:dyDescent="0.2">
      <c r="A35" s="8">
        <v>16.5</v>
      </c>
      <c r="B35" s="8">
        <v>33</v>
      </c>
      <c r="D35">
        <v>1147.7699186991999</v>
      </c>
      <c r="E35">
        <v>405.20650406504001</v>
      </c>
      <c r="F35">
        <v>144.81736281735999</v>
      </c>
      <c r="G35">
        <v>120.18918918919</v>
      </c>
      <c r="I35" s="9">
        <f t="shared" si="1"/>
        <v>285.01731487584999</v>
      </c>
      <c r="J35" s="9">
        <f t="shared" si="2"/>
        <v>1002.95255588184</v>
      </c>
      <c r="K35" s="9">
        <f t="shared" si="3"/>
        <v>285.01731487584999</v>
      </c>
      <c r="L35" s="10">
        <f t="shared" si="0"/>
        <v>0.28417826267489815</v>
      </c>
      <c r="M35" s="10">
        <f t="shared" si="4"/>
        <v>0.28560482952503219</v>
      </c>
      <c r="P35" s="8">
        <f t="shared" si="5"/>
        <v>16.980333838480842</v>
      </c>
    </row>
    <row r="36" spans="1:16" x14ac:dyDescent="0.2">
      <c r="A36" s="8">
        <v>17</v>
      </c>
      <c r="B36" s="8">
        <v>34</v>
      </c>
      <c r="D36">
        <v>1196.3664495114001</v>
      </c>
      <c r="E36">
        <v>408.15228013029002</v>
      </c>
      <c r="F36">
        <v>144.76986076986</v>
      </c>
      <c r="G36">
        <v>119.51351351351001</v>
      </c>
      <c r="I36" s="9">
        <f t="shared" si="1"/>
        <v>288.63876661678</v>
      </c>
      <c r="J36" s="9">
        <f t="shared" si="2"/>
        <v>1051.59658874154</v>
      </c>
      <c r="K36" s="9">
        <f t="shared" si="3"/>
        <v>288.63876661678</v>
      </c>
      <c r="L36" s="10">
        <f t="shared" si="0"/>
        <v>0.27447670495222692</v>
      </c>
      <c r="M36" s="10">
        <f t="shared" si="4"/>
        <v>0.27594650110084984</v>
      </c>
      <c r="P36" s="8">
        <f t="shared" si="5"/>
        <v>13.02439764068796</v>
      </c>
    </row>
    <row r="37" spans="1:16" x14ac:dyDescent="0.2">
      <c r="A37" s="8">
        <v>17.5</v>
      </c>
      <c r="B37" s="8">
        <v>35</v>
      </c>
      <c r="D37">
        <v>1191.7548859935</v>
      </c>
      <c r="E37">
        <v>403.79315960911998</v>
      </c>
      <c r="F37">
        <v>143.98607698608001</v>
      </c>
      <c r="G37">
        <v>119.53562653563</v>
      </c>
      <c r="I37" s="9">
        <f t="shared" si="1"/>
        <v>284.25753307348998</v>
      </c>
      <c r="J37" s="9">
        <f t="shared" si="2"/>
        <v>1047.76880900742</v>
      </c>
      <c r="K37" s="9">
        <f t="shared" si="3"/>
        <v>284.25753307348998</v>
      </c>
      <c r="L37" s="10">
        <f t="shared" si="0"/>
        <v>0.2712979529737814</v>
      </c>
      <c r="M37" s="10">
        <f t="shared" si="4"/>
        <v>0.27281097842089325</v>
      </c>
      <c r="P37" s="8">
        <f t="shared" si="5"/>
        <v>11.740124925589134</v>
      </c>
    </row>
    <row r="38" spans="1:16" x14ac:dyDescent="0.2">
      <c r="A38" s="8">
        <v>18</v>
      </c>
      <c r="B38" s="8">
        <v>36</v>
      </c>
      <c r="D38">
        <v>1195.7043973940999</v>
      </c>
      <c r="E38">
        <v>399.79478827361999</v>
      </c>
      <c r="F38">
        <v>144.42424242423999</v>
      </c>
      <c r="G38">
        <v>119.66748566749</v>
      </c>
      <c r="I38" s="9">
        <f t="shared" si="1"/>
        <v>280.12730260613</v>
      </c>
      <c r="J38" s="9">
        <f t="shared" si="2"/>
        <v>1051.28015496986</v>
      </c>
      <c r="K38" s="9">
        <f t="shared" si="3"/>
        <v>280.12730260613</v>
      </c>
      <c r="L38" s="10">
        <f t="shared" si="0"/>
        <v>0.26646303678600419</v>
      </c>
      <c r="M38" s="10">
        <f t="shared" si="4"/>
        <v>0.26801929153160492</v>
      </c>
      <c r="P38" s="8">
        <f t="shared" si="5"/>
        <v>9.7775070913928399</v>
      </c>
    </row>
    <row r="39" spans="1:16" x14ac:dyDescent="0.2">
      <c r="A39" s="8">
        <v>18.5</v>
      </c>
      <c r="B39" s="8">
        <v>37</v>
      </c>
      <c r="D39">
        <v>1213.6869918699001</v>
      </c>
      <c r="E39">
        <v>401.42926829267998</v>
      </c>
      <c r="F39">
        <v>144.50696150696001</v>
      </c>
      <c r="G39">
        <v>119.76822276822</v>
      </c>
      <c r="I39" s="9">
        <f t="shared" si="1"/>
        <v>281.66104552445995</v>
      </c>
      <c r="J39" s="9">
        <f t="shared" si="2"/>
        <v>1069.1800303629402</v>
      </c>
      <c r="K39" s="9">
        <f t="shared" si="3"/>
        <v>281.66104552445995</v>
      </c>
      <c r="L39" s="10">
        <f t="shared" si="0"/>
        <v>0.26343650042626426</v>
      </c>
      <c r="M39" s="10">
        <f t="shared" si="4"/>
        <v>0.26503598447035392</v>
      </c>
      <c r="P39" s="8">
        <f t="shared" si="5"/>
        <v>8.5555800793454075</v>
      </c>
    </row>
    <row r="40" spans="1:16" x14ac:dyDescent="0.2">
      <c r="A40" s="8">
        <v>19</v>
      </c>
      <c r="B40" s="8">
        <v>38</v>
      </c>
      <c r="D40">
        <v>1213.0317073171</v>
      </c>
      <c r="E40">
        <v>398.48455284553</v>
      </c>
      <c r="F40">
        <v>144.64455364455</v>
      </c>
      <c r="G40">
        <v>119.84602784603</v>
      </c>
      <c r="I40" s="9">
        <f t="shared" si="1"/>
        <v>278.63852499950002</v>
      </c>
      <c r="J40" s="9">
        <f t="shared" si="2"/>
        <v>1068.3871536725501</v>
      </c>
      <c r="K40" s="9">
        <f t="shared" si="3"/>
        <v>278.63852499950002</v>
      </c>
      <c r="L40" s="10">
        <f t="shared" si="0"/>
        <v>0.26080295335046672</v>
      </c>
      <c r="M40" s="10">
        <f t="shared" si="4"/>
        <v>0.26244566669304525</v>
      </c>
      <c r="P40" s="8">
        <f t="shared" si="5"/>
        <v>7.4946167936711312</v>
      </c>
    </row>
    <row r="41" spans="1:16" x14ac:dyDescent="0.2">
      <c r="A41" s="8">
        <v>19.5</v>
      </c>
      <c r="B41" s="8">
        <v>39</v>
      </c>
      <c r="D41">
        <v>1217.5715447155001</v>
      </c>
      <c r="E41">
        <v>396.78292682927002</v>
      </c>
      <c r="F41">
        <v>144.82145782146</v>
      </c>
      <c r="G41">
        <v>119.81572481572999</v>
      </c>
      <c r="I41" s="9">
        <f t="shared" si="1"/>
        <v>276.96720201354003</v>
      </c>
      <c r="J41" s="9">
        <f t="shared" si="2"/>
        <v>1072.7500868940401</v>
      </c>
      <c r="K41" s="9">
        <f t="shared" si="3"/>
        <v>276.96720201354003</v>
      </c>
      <c r="L41" s="10">
        <f t="shared" si="0"/>
        <v>0.25818427366941543</v>
      </c>
      <c r="M41" s="10">
        <f t="shared" si="4"/>
        <v>0.2598702163104829</v>
      </c>
      <c r="P41" s="8">
        <f t="shared" si="5"/>
        <v>6.4397430156694844</v>
      </c>
    </row>
    <row r="42" spans="1:16" x14ac:dyDescent="0.2">
      <c r="A42" s="8">
        <v>20</v>
      </c>
      <c r="B42" s="8">
        <v>40</v>
      </c>
      <c r="D42">
        <v>1188</v>
      </c>
      <c r="E42">
        <v>393.08706265256001</v>
      </c>
      <c r="F42">
        <v>144.56674856674999</v>
      </c>
      <c r="G42">
        <v>119.84193284193</v>
      </c>
      <c r="I42" s="9">
        <f t="shared" si="1"/>
        <v>273.24512981063003</v>
      </c>
      <c r="J42" s="9">
        <f t="shared" si="2"/>
        <v>1043.43325143325</v>
      </c>
      <c r="K42" s="9">
        <f t="shared" si="3"/>
        <v>273.24512981063003</v>
      </c>
      <c r="L42" s="10">
        <f t="shared" si="0"/>
        <v>0.26187121163265892</v>
      </c>
      <c r="M42" s="10">
        <f t="shared" si="4"/>
        <v>0.26360038357221527</v>
      </c>
      <c r="P42" s="8">
        <f t="shared" si="5"/>
        <v>7.9675750634555635</v>
      </c>
    </row>
    <row r="43" spans="1:16" x14ac:dyDescent="0.2">
      <c r="A43" s="8">
        <v>20.5</v>
      </c>
      <c r="B43" s="8">
        <v>41</v>
      </c>
      <c r="D43">
        <v>1189.7282343369</v>
      </c>
      <c r="E43">
        <v>390.77054515867002</v>
      </c>
      <c r="F43">
        <v>145.29320229320001</v>
      </c>
      <c r="G43">
        <v>119.73955773956</v>
      </c>
      <c r="I43" s="9">
        <f t="shared" si="1"/>
        <v>271.03098741911003</v>
      </c>
      <c r="J43" s="9">
        <f t="shared" si="2"/>
        <v>1044.4350320436999</v>
      </c>
      <c r="K43" s="9">
        <f t="shared" si="3"/>
        <v>271.03098741911003</v>
      </c>
      <c r="L43" s="10">
        <f t="shared" si="0"/>
        <v>0.25950009249380473</v>
      </c>
      <c r="M43" s="10">
        <f t="shared" si="4"/>
        <v>0.26127249373185002</v>
      </c>
      <c r="P43" s="8">
        <f t="shared" si="5"/>
        <v>7.0140991326808457</v>
      </c>
    </row>
    <row r="44" spans="1:16" x14ac:dyDescent="0.2">
      <c r="A44" s="8">
        <v>21</v>
      </c>
      <c r="B44" s="8">
        <v>42</v>
      </c>
      <c r="D44">
        <v>1188.2506102522</v>
      </c>
      <c r="E44">
        <v>388.78681855167002</v>
      </c>
      <c r="F44">
        <v>144.6076986077</v>
      </c>
      <c r="G44">
        <v>119.57411957412</v>
      </c>
      <c r="I44" s="9">
        <f t="shared" si="1"/>
        <v>269.21269897755002</v>
      </c>
      <c r="J44" s="9">
        <f t="shared" si="2"/>
        <v>1043.6429116444999</v>
      </c>
      <c r="K44" s="9">
        <f t="shared" si="3"/>
        <v>269.21269897755002</v>
      </c>
      <c r="L44" s="10">
        <f t="shared" si="0"/>
        <v>0.25795480041477348</v>
      </c>
      <c r="M44" s="10">
        <f t="shared" si="4"/>
        <v>0.2597704309513077</v>
      </c>
      <c r="P44" s="8">
        <f t="shared" si="5"/>
        <v>6.3988721219667379</v>
      </c>
    </row>
    <row r="45" spans="1:16" x14ac:dyDescent="0.2">
      <c r="A45" s="8">
        <v>21.5</v>
      </c>
      <c r="B45" s="8">
        <v>43</v>
      </c>
      <c r="D45">
        <v>1157.9552481692001</v>
      </c>
      <c r="E45">
        <v>386.08136696500998</v>
      </c>
      <c r="F45">
        <v>144.73791973792001</v>
      </c>
      <c r="G45">
        <v>119.97870597871</v>
      </c>
      <c r="I45" s="9">
        <f t="shared" si="1"/>
        <v>266.10266098629995</v>
      </c>
      <c r="J45" s="9">
        <f t="shared" si="2"/>
        <v>1013.2173284312801</v>
      </c>
      <c r="K45" s="9">
        <f t="shared" si="3"/>
        <v>266.10266098629995</v>
      </c>
      <c r="L45" s="10">
        <f t="shared" si="0"/>
        <v>0.26263137583552287</v>
      </c>
      <c r="M45" s="10">
        <f t="shared" si="4"/>
        <v>0.26449023567054597</v>
      </c>
      <c r="P45" s="8">
        <f t="shared" si="5"/>
        <v>8.3320478761272234</v>
      </c>
    </row>
    <row r="46" spans="1:16" x14ac:dyDescent="0.2">
      <c r="A46" s="8">
        <v>22</v>
      </c>
      <c r="B46" s="8">
        <v>44</v>
      </c>
      <c r="D46">
        <v>1192.3586601306999</v>
      </c>
      <c r="E46">
        <v>386.70996732025998</v>
      </c>
      <c r="F46">
        <v>144.52497952498001</v>
      </c>
      <c r="G46">
        <v>119.61506961507</v>
      </c>
      <c r="I46" s="9">
        <f t="shared" si="1"/>
        <v>267.09489770518996</v>
      </c>
      <c r="J46" s="9">
        <f t="shared" si="2"/>
        <v>1047.83368060572</v>
      </c>
      <c r="K46" s="9">
        <f t="shared" si="3"/>
        <v>267.09489770518996</v>
      </c>
      <c r="L46" s="10">
        <f t="shared" si="0"/>
        <v>0.25490199699516314</v>
      </c>
      <c r="M46" s="10">
        <f t="shared" si="4"/>
        <v>0.25680408612867517</v>
      </c>
      <c r="P46" s="8">
        <f t="shared" si="5"/>
        <v>5.1838926406719779</v>
      </c>
    </row>
    <row r="47" spans="1:16" x14ac:dyDescent="0.2">
      <c r="A47" s="8">
        <v>22.5</v>
      </c>
      <c r="B47" s="8">
        <v>45</v>
      </c>
      <c r="D47">
        <v>1211.8609975469999</v>
      </c>
      <c r="E47">
        <v>385.79885527392003</v>
      </c>
      <c r="F47">
        <v>144.71253071253</v>
      </c>
      <c r="G47">
        <v>119.89434889435</v>
      </c>
      <c r="I47" s="9">
        <f t="shared" si="1"/>
        <v>265.90450637957002</v>
      </c>
      <c r="J47" s="9">
        <f t="shared" si="2"/>
        <v>1067.1484668344699</v>
      </c>
      <c r="K47" s="9">
        <f t="shared" si="3"/>
        <v>265.90450637957002</v>
      </c>
      <c r="L47" s="10">
        <f t="shared" si="0"/>
        <v>0.24917292639545688</v>
      </c>
      <c r="M47" s="10">
        <f t="shared" si="4"/>
        <v>0.25111824482745781</v>
      </c>
      <c r="P47" s="8">
        <f t="shared" si="5"/>
        <v>2.8550398174366052</v>
      </c>
    </row>
    <row r="48" spans="1:16" x14ac:dyDescent="0.2">
      <c r="A48" s="8">
        <v>23</v>
      </c>
      <c r="B48" s="8">
        <v>46</v>
      </c>
      <c r="D48">
        <v>1184.1602616517</v>
      </c>
      <c r="E48">
        <v>377.77841373670998</v>
      </c>
      <c r="F48">
        <v>145.32350532351001</v>
      </c>
      <c r="G48">
        <v>119.83128583129</v>
      </c>
      <c r="I48" s="9">
        <f t="shared" si="1"/>
        <v>257.94712790541996</v>
      </c>
      <c r="J48" s="9">
        <f t="shared" si="2"/>
        <v>1038.8367563281899</v>
      </c>
      <c r="K48" s="9">
        <f t="shared" si="3"/>
        <v>257.94712790541996</v>
      </c>
      <c r="L48" s="10">
        <f t="shared" si="0"/>
        <v>0.24830381321618269</v>
      </c>
      <c r="M48" s="10">
        <f t="shared" si="4"/>
        <v>0.25029236094667251</v>
      </c>
      <c r="P48" s="8">
        <f t="shared" si="5"/>
        <v>2.5167676241870951</v>
      </c>
    </row>
    <row r="49" spans="1:25" x14ac:dyDescent="0.2">
      <c r="A49" s="8">
        <v>23.5</v>
      </c>
      <c r="B49" s="8">
        <v>47</v>
      </c>
      <c r="D49">
        <v>1223.8026101142</v>
      </c>
      <c r="E49">
        <v>380.93393148450002</v>
      </c>
      <c r="F49">
        <v>145.01392301391999</v>
      </c>
      <c r="G49">
        <v>120.0990990991</v>
      </c>
      <c r="I49" s="9">
        <f t="shared" si="1"/>
        <v>260.83483238540003</v>
      </c>
      <c r="J49" s="9">
        <f t="shared" si="2"/>
        <v>1078.78868710028</v>
      </c>
      <c r="K49" s="9">
        <f t="shared" si="3"/>
        <v>260.83483238540003</v>
      </c>
      <c r="L49" s="10">
        <f t="shared" si="0"/>
        <v>0.24178491627170154</v>
      </c>
      <c r="M49" s="10">
        <f t="shared" si="4"/>
        <v>0.24381669330068029</v>
      </c>
      <c r="P49" s="8">
        <f t="shared" si="5"/>
        <v>-0.13558865534432385</v>
      </c>
    </row>
    <row r="50" spans="1:25" x14ac:dyDescent="0.2">
      <c r="A50" s="8">
        <v>24</v>
      </c>
      <c r="B50" s="8">
        <v>48</v>
      </c>
      <c r="D50">
        <v>1203.3556280586999</v>
      </c>
      <c r="E50">
        <v>372.74469820554998</v>
      </c>
      <c r="F50">
        <v>144.72317772317999</v>
      </c>
      <c r="G50">
        <v>119.75511875511999</v>
      </c>
      <c r="I50" s="9">
        <f t="shared" si="1"/>
        <v>252.98957945042997</v>
      </c>
      <c r="J50" s="9">
        <f t="shared" si="2"/>
        <v>1058.6324503355199</v>
      </c>
      <c r="K50" s="9">
        <f t="shared" si="3"/>
        <v>252.98957945042997</v>
      </c>
      <c r="L50" s="10">
        <f t="shared" si="0"/>
        <v>0.2389777295890072</v>
      </c>
      <c r="M50" s="10">
        <f t="shared" si="4"/>
        <v>0.24105273591647486</v>
      </c>
      <c r="P50" s="8">
        <f t="shared" si="5"/>
        <v>-1.267672654264751</v>
      </c>
    </row>
    <row r="51" spans="1:25" x14ac:dyDescent="0.2">
      <c r="A51" s="8">
        <v>24.5</v>
      </c>
      <c r="B51" s="8">
        <v>49</v>
      </c>
      <c r="D51">
        <v>1208.663132137</v>
      </c>
      <c r="E51">
        <v>373.28874388255002</v>
      </c>
      <c r="F51">
        <v>144.86158886159001</v>
      </c>
      <c r="G51">
        <v>119.93775593776</v>
      </c>
      <c r="I51" s="9">
        <f t="shared" si="1"/>
        <v>253.35098794479001</v>
      </c>
      <c r="J51" s="9">
        <f t="shared" si="2"/>
        <v>1063.80154327541</v>
      </c>
      <c r="K51" s="9">
        <f t="shared" si="3"/>
        <v>253.35098794479001</v>
      </c>
      <c r="L51" s="10">
        <f t="shared" si="0"/>
        <v>0.23815625155490058</v>
      </c>
      <c r="M51" s="10">
        <f t="shared" si="4"/>
        <v>0.24027448718085714</v>
      </c>
      <c r="P51" s="8">
        <f t="shared" si="5"/>
        <v>-1.5864340598521049</v>
      </c>
    </row>
    <row r="52" spans="1:25" x14ac:dyDescent="0.2">
      <c r="A52" s="8">
        <v>25</v>
      </c>
      <c r="B52" s="8">
        <v>50</v>
      </c>
      <c r="D52">
        <v>1218.5929853181001</v>
      </c>
      <c r="E52">
        <v>379.42169657423</v>
      </c>
      <c r="F52">
        <v>144.63390663390999</v>
      </c>
      <c r="G52">
        <v>119.82882882883</v>
      </c>
      <c r="I52" s="9">
        <f t="shared" si="1"/>
        <v>259.59286774539999</v>
      </c>
      <c r="J52" s="9">
        <f t="shared" si="2"/>
        <v>1073.95907868419</v>
      </c>
      <c r="K52" s="9">
        <f t="shared" si="3"/>
        <v>259.59286774539999</v>
      </c>
      <c r="L52" s="10">
        <f t="shared" si="0"/>
        <v>0.24171579057132422</v>
      </c>
      <c r="M52" s="10">
        <f t="shared" si="4"/>
        <v>0.24387725549576969</v>
      </c>
      <c r="P52" s="8">
        <f t="shared" si="5"/>
        <v>-0.11078310212125188</v>
      </c>
    </row>
    <row r="53" spans="1:25" x14ac:dyDescent="0.2">
      <c r="A53" s="8">
        <v>25.5</v>
      </c>
      <c r="B53" s="8">
        <v>51</v>
      </c>
      <c r="D53">
        <v>1226.7027687295999</v>
      </c>
      <c r="E53">
        <v>380.57247557003001</v>
      </c>
      <c r="F53">
        <v>144.65847665848</v>
      </c>
      <c r="G53">
        <v>119.39393939394</v>
      </c>
      <c r="I53" s="9">
        <f t="shared" si="1"/>
        <v>261.17853617609001</v>
      </c>
      <c r="J53" s="9">
        <f t="shared" si="2"/>
        <v>1082.04429207112</v>
      </c>
      <c r="K53" s="9">
        <f t="shared" si="3"/>
        <v>261.17853617609001</v>
      </c>
      <c r="L53" s="10">
        <f t="shared" si="0"/>
        <v>0.24137508796074625</v>
      </c>
      <c r="M53" s="10">
        <f t="shared" si="4"/>
        <v>0.24357978218368062</v>
      </c>
      <c r="P53" s="8">
        <f t="shared" si="5"/>
        <v>-0.23262462494875008</v>
      </c>
      <c r="S53" s="11"/>
      <c r="U53" s="12"/>
    </row>
    <row r="54" spans="1:25" x14ac:dyDescent="0.2">
      <c r="A54" s="8">
        <v>26</v>
      </c>
      <c r="B54" s="8">
        <v>52</v>
      </c>
      <c r="D54">
        <v>1226.490228013</v>
      </c>
      <c r="E54">
        <v>379.91042345276998</v>
      </c>
      <c r="F54">
        <v>144.59131859132</v>
      </c>
      <c r="G54">
        <v>119.81818181817999</v>
      </c>
      <c r="I54" s="9">
        <f t="shared" si="1"/>
        <v>260.09224163458998</v>
      </c>
      <c r="J54" s="9">
        <f t="shared" si="2"/>
        <v>1081.8989094216799</v>
      </c>
      <c r="K54" s="9">
        <f t="shared" si="3"/>
        <v>260.09224163458998</v>
      </c>
      <c r="L54" s="10">
        <f t="shared" si="0"/>
        <v>0.24040346040612992</v>
      </c>
      <c r="M54" s="10">
        <f t="shared" si="4"/>
        <v>0.2426513839275532</v>
      </c>
      <c r="P54" s="8">
        <f t="shared" si="5"/>
        <v>-0.6128854843938123</v>
      </c>
      <c r="S54" s="11"/>
    </row>
    <row r="55" spans="1:25" x14ac:dyDescent="0.2">
      <c r="A55" s="8">
        <v>26.5</v>
      </c>
      <c r="B55" s="8">
        <v>53</v>
      </c>
      <c r="D55">
        <v>1218.7312703583</v>
      </c>
      <c r="E55">
        <v>375.4332247557</v>
      </c>
      <c r="F55">
        <v>144.85913185913</v>
      </c>
      <c r="G55">
        <v>119.65028665029</v>
      </c>
      <c r="I55" s="9">
        <f t="shared" si="1"/>
        <v>255.78293810540998</v>
      </c>
      <c r="J55" s="9">
        <f t="shared" si="2"/>
        <v>1073.87213849917</v>
      </c>
      <c r="K55" s="9">
        <f t="shared" si="3"/>
        <v>255.78293810540998</v>
      </c>
      <c r="L55" s="10">
        <f t="shared" si="0"/>
        <v>0.23818751687038733</v>
      </c>
      <c r="M55" s="10">
        <f t="shared" si="4"/>
        <v>0.24047866969029955</v>
      </c>
      <c r="P55" s="8">
        <f t="shared" si="5"/>
        <v>-1.5028033377866803</v>
      </c>
      <c r="S55" s="11"/>
    </row>
    <row r="56" spans="1:25" x14ac:dyDescent="0.2">
      <c r="A56" s="8">
        <v>27</v>
      </c>
      <c r="B56" s="8">
        <v>54</v>
      </c>
      <c r="D56">
        <v>1217.4739413681</v>
      </c>
      <c r="E56">
        <v>375.78990228012998</v>
      </c>
      <c r="F56">
        <v>145.59459459460001</v>
      </c>
      <c r="G56">
        <v>119.78869778870001</v>
      </c>
      <c r="I56" s="9">
        <f t="shared" si="1"/>
        <v>256.00120449142997</v>
      </c>
      <c r="J56" s="9">
        <f t="shared" si="2"/>
        <v>1071.8793467734999</v>
      </c>
      <c r="K56" s="9">
        <f t="shared" si="3"/>
        <v>256.00120449142997</v>
      </c>
      <c r="L56" s="10">
        <f t="shared" si="0"/>
        <v>0.2388339744226137</v>
      </c>
      <c r="M56" s="10">
        <f t="shared" si="4"/>
        <v>0.24116835654101482</v>
      </c>
      <c r="P56" s="8">
        <f t="shared" si="5"/>
        <v>-1.2203158246208303</v>
      </c>
      <c r="S56" s="11"/>
    </row>
    <row r="57" spans="1:25" x14ac:dyDescent="0.2">
      <c r="A57" s="8">
        <v>27.5</v>
      </c>
      <c r="B57" s="8">
        <v>55</v>
      </c>
      <c r="D57">
        <v>1207.4820846906</v>
      </c>
      <c r="E57">
        <v>374.27280130293002</v>
      </c>
      <c r="F57">
        <v>145.05241605242</v>
      </c>
      <c r="G57">
        <v>119.72072072072</v>
      </c>
      <c r="I57" s="9">
        <f t="shared" si="1"/>
        <v>254.55208058221001</v>
      </c>
      <c r="J57" s="9">
        <f t="shared" si="2"/>
        <v>1062.4296686381799</v>
      </c>
      <c r="K57" s="9">
        <f t="shared" si="3"/>
        <v>254.55208058221001</v>
      </c>
      <c r="L57" s="10">
        <f t="shared" si="0"/>
        <v>0.23959428854099521</v>
      </c>
      <c r="M57" s="10">
        <f t="shared" si="4"/>
        <v>0.24197189995788523</v>
      </c>
      <c r="P57" s="8">
        <f t="shared" si="5"/>
        <v>-0.89119401909836338</v>
      </c>
      <c r="S57" s="11"/>
    </row>
    <row r="58" spans="1:25" x14ac:dyDescent="0.2">
      <c r="A58" s="8">
        <v>28</v>
      </c>
      <c r="B58" s="8">
        <v>56</v>
      </c>
      <c r="D58">
        <v>1209.4193811074999</v>
      </c>
      <c r="E58">
        <v>378.20684039088002</v>
      </c>
      <c r="F58">
        <v>144.97297297297001</v>
      </c>
      <c r="G58">
        <v>119.95904995905001</v>
      </c>
      <c r="I58" s="9">
        <f t="shared" si="1"/>
        <v>258.24779043183003</v>
      </c>
      <c r="J58" s="9">
        <f t="shared" si="2"/>
        <v>1064.44640813453</v>
      </c>
      <c r="K58" s="9">
        <f t="shared" si="3"/>
        <v>258.24779043183003</v>
      </c>
      <c r="L58" s="10">
        <f t="shared" si="0"/>
        <v>0.24261229918039368</v>
      </c>
      <c r="M58" s="10">
        <f t="shared" si="4"/>
        <v>0.24503313989577261</v>
      </c>
      <c r="P58" s="8">
        <f t="shared" si="5"/>
        <v>0.36265337027979355</v>
      </c>
      <c r="S58" s="11"/>
    </row>
    <row r="59" spans="1:25" x14ac:dyDescent="0.2">
      <c r="A59" s="8">
        <v>28.5</v>
      </c>
      <c r="B59" s="8">
        <v>57</v>
      </c>
      <c r="D59">
        <v>1201.0073289902</v>
      </c>
      <c r="E59">
        <v>374.05293159608999</v>
      </c>
      <c r="F59">
        <v>145.19492219492</v>
      </c>
      <c r="G59">
        <v>119.58476658476999</v>
      </c>
      <c r="I59" s="9">
        <f t="shared" si="1"/>
        <v>254.46816501132</v>
      </c>
      <c r="J59" s="9">
        <f t="shared" si="2"/>
        <v>1055.8124067952799</v>
      </c>
      <c r="K59" s="9">
        <f t="shared" si="3"/>
        <v>254.46816501132</v>
      </c>
      <c r="L59" s="10">
        <f t="shared" si="0"/>
        <v>0.24101645649695505</v>
      </c>
      <c r="M59" s="10">
        <f t="shared" si="4"/>
        <v>0.24348052651082289</v>
      </c>
      <c r="P59" s="8">
        <f t="shared" si="5"/>
        <v>-0.27327856544958162</v>
      </c>
      <c r="R59" s="1"/>
      <c r="S59" s="11"/>
    </row>
    <row r="60" spans="1:25" x14ac:dyDescent="0.2">
      <c r="A60" s="8">
        <v>29</v>
      </c>
      <c r="B60" s="8">
        <v>58</v>
      </c>
      <c r="D60">
        <v>1212.6079869601001</v>
      </c>
      <c r="E60">
        <v>374.64466177668999</v>
      </c>
      <c r="F60">
        <v>145.24078624078999</v>
      </c>
      <c r="G60">
        <v>120.42751842752</v>
      </c>
      <c r="I60" s="9">
        <f t="shared" si="1"/>
        <v>254.21714334916999</v>
      </c>
      <c r="J60" s="9">
        <f t="shared" si="2"/>
        <v>1067.3672007193102</v>
      </c>
      <c r="K60" s="9">
        <f t="shared" si="3"/>
        <v>254.21714334916999</v>
      </c>
      <c r="L60" s="10">
        <f t="shared" si="0"/>
        <v>0.23817215216829815</v>
      </c>
      <c r="M60" s="10">
        <f t="shared" si="4"/>
        <v>0.24067945148065489</v>
      </c>
      <c r="P60" s="8">
        <f t="shared" si="5"/>
        <v>-1.4205655097236298</v>
      </c>
      <c r="S60" s="11"/>
    </row>
    <row r="61" spans="1:25" x14ac:dyDescent="0.2">
      <c r="A61" s="8">
        <v>29.5</v>
      </c>
      <c r="B61" s="8">
        <v>59</v>
      </c>
      <c r="C61" s="2"/>
      <c r="D61">
        <v>1182.3422982884999</v>
      </c>
      <c r="E61">
        <v>363.49388753056002</v>
      </c>
      <c r="F61">
        <v>145.66994266994001</v>
      </c>
      <c r="G61">
        <v>119.91646191645999</v>
      </c>
      <c r="I61" s="9">
        <f t="shared" si="1"/>
        <v>243.57742561410004</v>
      </c>
      <c r="J61" s="9">
        <f t="shared" si="2"/>
        <v>1036.67235561856</v>
      </c>
      <c r="K61" s="9">
        <f t="shared" si="3"/>
        <v>243.57742561410004</v>
      </c>
      <c r="L61" s="10">
        <f t="shared" si="0"/>
        <v>0.23496085749172183</v>
      </c>
      <c r="M61" s="10">
        <f t="shared" si="4"/>
        <v>0.23751138610256747</v>
      </c>
      <c r="P61" s="8">
        <f t="shared" si="5"/>
        <v>-2.7181673260763803</v>
      </c>
      <c r="S61" s="11"/>
    </row>
    <row r="62" spans="1:25" x14ac:dyDescent="0.2">
      <c r="A62" s="8">
        <v>30</v>
      </c>
      <c r="B62" s="8">
        <v>60</v>
      </c>
      <c r="D62">
        <v>1179.5525672372</v>
      </c>
      <c r="E62">
        <v>360.58109209454</v>
      </c>
      <c r="F62">
        <v>144.89352989353</v>
      </c>
      <c r="G62">
        <v>120.27354627355</v>
      </c>
      <c r="I62" s="9">
        <f t="shared" si="1"/>
        <v>240.30754582099001</v>
      </c>
      <c r="J62" s="9">
        <f t="shared" si="2"/>
        <v>1034.65903734367</v>
      </c>
      <c r="K62" s="9">
        <f t="shared" si="3"/>
        <v>240.30754582099001</v>
      </c>
      <c r="L62" s="10">
        <f t="shared" si="0"/>
        <v>0.23225771693633795</v>
      </c>
      <c r="M62" s="10">
        <f t="shared" si="4"/>
        <v>0.23485147484567251</v>
      </c>
      <c r="P62" s="8">
        <f t="shared" si="5"/>
        <v>-3.8076352714531034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1161.5142624287</v>
      </c>
      <c r="E63">
        <v>354.87449062755002</v>
      </c>
      <c r="F63">
        <v>144.56183456183999</v>
      </c>
      <c r="G63">
        <v>120.22358722359</v>
      </c>
      <c r="I63" s="9">
        <f t="shared" si="1"/>
        <v>234.65090340396</v>
      </c>
      <c r="J63" s="9">
        <f t="shared" si="2"/>
        <v>1016.95242786686</v>
      </c>
      <c r="K63" s="9">
        <f t="shared" si="3"/>
        <v>234.65090340396</v>
      </c>
      <c r="L63" s="10">
        <f t="shared" si="0"/>
        <v>0.23073931186354435</v>
      </c>
      <c r="M63" s="10">
        <f t="shared" si="4"/>
        <v>0.23337629907136781</v>
      </c>
      <c r="P63" s="8">
        <f t="shared" si="5"/>
        <v>-4.4118496848983719</v>
      </c>
    </row>
    <row r="64" spans="1:25" x14ac:dyDescent="0.2">
      <c r="A64" s="8">
        <v>31</v>
      </c>
      <c r="B64" s="8">
        <v>62</v>
      </c>
      <c r="D64">
        <v>1195.7514262428999</v>
      </c>
      <c r="E64">
        <v>360.97473512632001</v>
      </c>
      <c r="F64">
        <v>144.61752661752999</v>
      </c>
      <c r="G64">
        <v>119.68877968878</v>
      </c>
      <c r="I64" s="9">
        <f t="shared" si="1"/>
        <v>241.28595543754</v>
      </c>
      <c r="J64" s="9">
        <f t="shared" si="2"/>
        <v>1051.1338996253698</v>
      </c>
      <c r="K64" s="9">
        <f t="shared" si="3"/>
        <v>241.28595543754</v>
      </c>
      <c r="L64" s="10">
        <f t="shared" si="0"/>
        <v>0.22954825786090211</v>
      </c>
      <c r="M64" s="10">
        <f t="shared" si="4"/>
        <v>0.2322284743672145</v>
      </c>
      <c r="P64" s="8">
        <f t="shared" si="5"/>
        <v>-4.8819850019488884</v>
      </c>
      <c r="U64" s="8">
        <v>30.5</v>
      </c>
      <c r="V64" s="10">
        <f>L62</f>
        <v>0.23225771693633795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1148.2143439283</v>
      </c>
      <c r="E65">
        <v>350.70578647106998</v>
      </c>
      <c r="F65">
        <v>144.79688779688999</v>
      </c>
      <c r="G65">
        <v>119.54217854218</v>
      </c>
      <c r="I65" s="9">
        <f t="shared" si="1"/>
        <v>231.16360792888997</v>
      </c>
      <c r="J65" s="9">
        <f t="shared" si="2"/>
        <v>1003.4174561314099</v>
      </c>
      <c r="K65" s="9">
        <f t="shared" si="3"/>
        <v>231.16360792888997</v>
      </c>
      <c r="L65" s="10">
        <f t="shared" si="0"/>
        <v>0.2303763070059808</v>
      </c>
      <c r="M65" s="10">
        <f t="shared" si="4"/>
        <v>0.2330997528107821</v>
      </c>
      <c r="P65" s="8">
        <f t="shared" si="5"/>
        <v>-4.5251197368750811</v>
      </c>
      <c r="U65" s="8">
        <v>31</v>
      </c>
      <c r="V65" s="10">
        <f t="shared" ref="V65:V83" si="6">L63</f>
        <v>0.23073931186354435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1227.8932355338</v>
      </c>
      <c r="E66">
        <v>369.22738386307998</v>
      </c>
      <c r="F66">
        <v>144.80098280097999</v>
      </c>
      <c r="G66">
        <v>120.14987714988</v>
      </c>
      <c r="I66" s="9">
        <f t="shared" si="1"/>
        <v>249.07750671319997</v>
      </c>
      <c r="J66" s="9">
        <f t="shared" si="2"/>
        <v>1083.09225273282</v>
      </c>
      <c r="K66" s="9">
        <f t="shared" si="3"/>
        <v>249.07750671319997</v>
      </c>
      <c r="L66" s="10">
        <f t="shared" ref="L66:L129" si="7">K66/J66</f>
        <v>0.2299688748439816</v>
      </c>
      <c r="M66" s="10">
        <f t="shared" si="4"/>
        <v>0.2327355499472718</v>
      </c>
      <c r="P66" s="8">
        <f t="shared" si="5"/>
        <v>-4.6742928885658914</v>
      </c>
      <c r="U66" s="8">
        <v>31.5</v>
      </c>
      <c r="V66" s="10">
        <f t="shared" si="6"/>
        <v>0.22954825786090211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1233.3832923832999</v>
      </c>
      <c r="E67">
        <v>387.64946764947001</v>
      </c>
      <c r="F67">
        <v>145.25389025389001</v>
      </c>
      <c r="G67">
        <v>120.18918918919</v>
      </c>
      <c r="I67" s="9">
        <f t="shared" ref="I67:I130" si="8">E67-G67</f>
        <v>267.46027846027999</v>
      </c>
      <c r="J67" s="9">
        <f t="shared" ref="J67:J130" si="9">D67-F67</f>
        <v>1088.12940212941</v>
      </c>
      <c r="K67" s="9">
        <f t="shared" ref="K67:K130" si="10">I67*1</f>
        <v>267.46027846027999</v>
      </c>
      <c r="L67" s="10">
        <f t="shared" si="7"/>
        <v>0.24579822761601222</v>
      </c>
      <c r="M67" s="10">
        <f t="shared" ref="M67:M130" si="11">L67+ABS($N$2)*A67</f>
        <v>0.24860813201779133</v>
      </c>
      <c r="P67" s="8">
        <f t="shared" ref="P67:P130" si="12">(M67-$O$2)/$O$2*100</f>
        <v>1.8269275304863029</v>
      </c>
      <c r="U67" s="8">
        <v>32</v>
      </c>
      <c r="V67" s="10">
        <f t="shared" si="6"/>
        <v>0.2303763070059808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1228.1146601147</v>
      </c>
      <c r="E68">
        <v>382.55200655201003</v>
      </c>
      <c r="F68">
        <v>145.11629811629999</v>
      </c>
      <c r="G68">
        <v>119.88943488944</v>
      </c>
      <c r="I68" s="9">
        <f t="shared" si="8"/>
        <v>262.66257166257003</v>
      </c>
      <c r="J68" s="9">
        <f t="shared" si="9"/>
        <v>1082.9983619984</v>
      </c>
      <c r="K68" s="9">
        <f t="shared" si="10"/>
        <v>262.66257166257003</v>
      </c>
      <c r="L68" s="10">
        <f t="shared" si="7"/>
        <v>0.24253275062936622</v>
      </c>
      <c r="M68" s="10">
        <f t="shared" si="11"/>
        <v>0.24538588432963424</v>
      </c>
      <c r="P68" s="8">
        <f t="shared" si="12"/>
        <v>0.50713328576799666</v>
      </c>
      <c r="U68" s="8">
        <v>32.5</v>
      </c>
      <c r="V68" s="10">
        <f t="shared" si="6"/>
        <v>0.2299688748439816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1180.4078624079</v>
      </c>
      <c r="E69">
        <v>368.90417690418002</v>
      </c>
      <c r="F69">
        <v>145.26371826371999</v>
      </c>
      <c r="G69">
        <v>119.99344799345</v>
      </c>
      <c r="I69" s="9">
        <f t="shared" si="8"/>
        <v>248.91072891073003</v>
      </c>
      <c r="J69" s="9">
        <f t="shared" si="9"/>
        <v>1035.14414414418</v>
      </c>
      <c r="K69" s="9">
        <f t="shared" si="10"/>
        <v>248.91072891073003</v>
      </c>
      <c r="L69" s="10">
        <f t="shared" si="7"/>
        <v>0.24045996909591802</v>
      </c>
      <c r="M69" s="10">
        <f t="shared" si="11"/>
        <v>0.24335633209467494</v>
      </c>
      <c r="P69" s="8">
        <f t="shared" si="12"/>
        <v>-0.32414711793877649</v>
      </c>
      <c r="U69" s="8">
        <v>33</v>
      </c>
      <c r="V69" s="10">
        <f t="shared" si="6"/>
        <v>0.24579822761601222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1223.1700903861999</v>
      </c>
      <c r="E70">
        <v>370.98685291701003</v>
      </c>
      <c r="F70">
        <v>145.19082719082999</v>
      </c>
      <c r="G70">
        <v>120.05651105651</v>
      </c>
      <c r="I70" s="9">
        <f t="shared" si="8"/>
        <v>250.93034186050002</v>
      </c>
      <c r="J70" s="9">
        <f t="shared" si="9"/>
        <v>1077.9792631953699</v>
      </c>
      <c r="K70" s="9">
        <f t="shared" si="10"/>
        <v>250.93034186050002</v>
      </c>
      <c r="L70" s="10">
        <f t="shared" si="7"/>
        <v>0.23277844985318807</v>
      </c>
      <c r="M70" s="10">
        <f t="shared" si="11"/>
        <v>0.2357180421504339</v>
      </c>
      <c r="P70" s="8">
        <f t="shared" si="12"/>
        <v>-3.4526996326787747</v>
      </c>
      <c r="U70" s="8">
        <v>33.5</v>
      </c>
      <c r="V70" s="10">
        <f t="shared" si="6"/>
        <v>0.24253275062936622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1203.4059161874</v>
      </c>
      <c r="E71">
        <v>365.81676253081002</v>
      </c>
      <c r="F71">
        <v>144.9656019656</v>
      </c>
      <c r="G71">
        <v>120.13185913186</v>
      </c>
      <c r="I71" s="9">
        <f t="shared" si="8"/>
        <v>245.68490339895004</v>
      </c>
      <c r="J71" s="9">
        <f t="shared" si="9"/>
        <v>1058.4403142218</v>
      </c>
      <c r="K71" s="9">
        <f t="shared" si="10"/>
        <v>245.68490339895004</v>
      </c>
      <c r="L71" s="10">
        <f t="shared" si="7"/>
        <v>0.23211975214642655</v>
      </c>
      <c r="M71" s="10">
        <f t="shared" si="11"/>
        <v>0.23510257374216129</v>
      </c>
      <c r="P71" s="8">
        <f t="shared" si="12"/>
        <v>-3.7047881564845633</v>
      </c>
      <c r="U71" s="8">
        <v>34</v>
      </c>
      <c r="V71" s="10">
        <f t="shared" si="6"/>
        <v>0.24045996909591802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1201.5550122249001</v>
      </c>
      <c r="E72">
        <v>369.92094539527</v>
      </c>
      <c r="F72">
        <v>144.35626535627</v>
      </c>
      <c r="G72">
        <v>119.63308763309</v>
      </c>
      <c r="I72" s="9">
        <f t="shared" si="8"/>
        <v>250.28785776218001</v>
      </c>
      <c r="J72" s="9">
        <f t="shared" si="9"/>
        <v>1057.1987468686302</v>
      </c>
      <c r="K72" s="9">
        <f t="shared" si="10"/>
        <v>250.28785776218001</v>
      </c>
      <c r="L72" s="10">
        <f t="shared" si="7"/>
        <v>0.23674626791180003</v>
      </c>
      <c r="M72" s="10">
        <f t="shared" si="11"/>
        <v>0.2397723188060237</v>
      </c>
      <c r="P72" s="8">
        <f t="shared" si="12"/>
        <v>-1.7921162404680124</v>
      </c>
      <c r="U72" s="8">
        <v>34.5</v>
      </c>
      <c r="V72" s="10">
        <f t="shared" si="6"/>
        <v>0.23277844985318807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1186.0423797881001</v>
      </c>
      <c r="E73">
        <v>367.40994295028997</v>
      </c>
      <c r="F73">
        <v>145.23505323505</v>
      </c>
      <c r="G73">
        <v>119.79852579852999</v>
      </c>
      <c r="I73" s="9">
        <f t="shared" si="8"/>
        <v>247.61141715175998</v>
      </c>
      <c r="J73" s="9">
        <f t="shared" si="9"/>
        <v>1040.8073265530502</v>
      </c>
      <c r="K73" s="9">
        <f t="shared" si="10"/>
        <v>247.61141715175998</v>
      </c>
      <c r="L73" s="10">
        <f t="shared" si="7"/>
        <v>0.23790322265678168</v>
      </c>
      <c r="M73" s="10">
        <f t="shared" si="11"/>
        <v>0.24097250284949426</v>
      </c>
      <c r="P73" s="8">
        <f t="shared" si="12"/>
        <v>-1.3005351621428023</v>
      </c>
      <c r="U73" s="8">
        <v>35</v>
      </c>
      <c r="V73" s="10">
        <f t="shared" si="6"/>
        <v>0.23211975214642655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1192.7703583062</v>
      </c>
      <c r="E74">
        <v>369.08224755700002</v>
      </c>
      <c r="F74">
        <v>144.71007371006999</v>
      </c>
      <c r="G74">
        <v>119.79606879607</v>
      </c>
      <c r="I74" s="9">
        <f t="shared" si="8"/>
        <v>249.28617876093</v>
      </c>
      <c r="J74" s="9">
        <f t="shared" si="9"/>
        <v>1048.06028459613</v>
      </c>
      <c r="K74" s="9">
        <f t="shared" si="10"/>
        <v>249.28617876093</v>
      </c>
      <c r="L74" s="10">
        <f t="shared" si="7"/>
        <v>0.23785480895022409</v>
      </c>
      <c r="M74" s="10">
        <f t="shared" si="11"/>
        <v>0.24096731844142558</v>
      </c>
      <c r="P74" s="8">
        <f t="shared" si="12"/>
        <v>-1.3026586338909441</v>
      </c>
      <c r="U74" s="8">
        <v>35.5</v>
      </c>
      <c r="V74" s="10">
        <f t="shared" si="6"/>
        <v>0.23674626791180003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1189.1226492231999</v>
      </c>
      <c r="E75">
        <v>367.59198691742</v>
      </c>
      <c r="F75">
        <v>145.31203931204001</v>
      </c>
      <c r="G75">
        <v>119.85749385749</v>
      </c>
      <c r="I75" s="9">
        <f t="shared" si="8"/>
        <v>247.73449305993</v>
      </c>
      <c r="J75" s="9">
        <f t="shared" si="9"/>
        <v>1043.8106099111599</v>
      </c>
      <c r="K75" s="9">
        <f t="shared" si="10"/>
        <v>247.73449305993</v>
      </c>
      <c r="L75" s="10">
        <f t="shared" si="7"/>
        <v>0.23733663052248052</v>
      </c>
      <c r="M75" s="10">
        <f t="shared" si="11"/>
        <v>0.24049236931217091</v>
      </c>
      <c r="P75" s="8">
        <f t="shared" si="12"/>
        <v>-1.4971921359640834</v>
      </c>
      <c r="U75" s="8">
        <v>36</v>
      </c>
      <c r="V75" s="10">
        <f t="shared" si="6"/>
        <v>0.23790322265678168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1195.9607522486001</v>
      </c>
      <c r="E76">
        <v>381.91251022077</v>
      </c>
      <c r="F76">
        <v>145.52088452089001</v>
      </c>
      <c r="G76">
        <v>119.63472563473</v>
      </c>
      <c r="I76" s="9">
        <f t="shared" si="8"/>
        <v>262.27778458604001</v>
      </c>
      <c r="J76" s="9">
        <f t="shared" si="9"/>
        <v>1050.4398677277102</v>
      </c>
      <c r="K76" s="9">
        <f t="shared" si="10"/>
        <v>262.27778458604001</v>
      </c>
      <c r="L76" s="10">
        <f t="shared" si="7"/>
        <v>0.24968376833734796</v>
      </c>
      <c r="M76" s="10">
        <f t="shared" si="11"/>
        <v>0.25288273642552728</v>
      </c>
      <c r="P76" s="8">
        <f t="shared" si="12"/>
        <v>3.5777545437268659</v>
      </c>
      <c r="U76" s="8">
        <v>36.5</v>
      </c>
      <c r="V76" s="10">
        <f t="shared" si="6"/>
        <v>0.23785480895022409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1190.7882256746</v>
      </c>
      <c r="E77">
        <v>380.50858544562999</v>
      </c>
      <c r="F77">
        <v>145.23996723997001</v>
      </c>
      <c r="G77">
        <v>119.79033579034</v>
      </c>
      <c r="I77" s="9">
        <f t="shared" si="8"/>
        <v>260.71824965528998</v>
      </c>
      <c r="J77" s="9">
        <f t="shared" si="9"/>
        <v>1045.54825843463</v>
      </c>
      <c r="K77" s="9">
        <f t="shared" si="10"/>
        <v>260.71824965528998</v>
      </c>
      <c r="L77" s="10">
        <f t="shared" si="7"/>
        <v>0.24936032129748956</v>
      </c>
      <c r="M77" s="10">
        <f t="shared" si="11"/>
        <v>0.25260251868415778</v>
      </c>
      <c r="P77" s="8">
        <f t="shared" si="12"/>
        <v>3.4629806969842103</v>
      </c>
      <c r="U77" s="8">
        <v>37</v>
      </c>
      <c r="V77" s="10">
        <f t="shared" si="6"/>
        <v>0.23733663052248052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1201.6293877551</v>
      </c>
      <c r="E78">
        <v>385.88163265306002</v>
      </c>
      <c r="F78">
        <v>145.09909909909999</v>
      </c>
      <c r="G78">
        <v>119.86158886158999</v>
      </c>
      <c r="I78" s="9">
        <f t="shared" si="8"/>
        <v>266.02004379147002</v>
      </c>
      <c r="J78" s="9">
        <f t="shared" si="9"/>
        <v>1056.530288656</v>
      </c>
      <c r="K78" s="9">
        <f t="shared" si="10"/>
        <v>266.02004379147002</v>
      </c>
      <c r="L78" s="10">
        <f t="shared" si="7"/>
        <v>0.25178648132262355</v>
      </c>
      <c r="M78" s="10">
        <f t="shared" si="11"/>
        <v>0.25507190800778068</v>
      </c>
      <c r="P78" s="8">
        <f t="shared" si="12"/>
        <v>4.4744131294643772</v>
      </c>
      <c r="U78" s="8">
        <v>37.5</v>
      </c>
      <c r="V78" s="10">
        <f t="shared" si="6"/>
        <v>0.24968376833734796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1209.7240816327001</v>
      </c>
      <c r="E79">
        <v>391.37469387754999</v>
      </c>
      <c r="F79">
        <v>145.66912366912001</v>
      </c>
      <c r="G79">
        <v>119.84766584767</v>
      </c>
      <c r="I79" s="9">
        <f t="shared" si="8"/>
        <v>271.52702802988</v>
      </c>
      <c r="J79" s="9">
        <f t="shared" si="9"/>
        <v>1064.0549579635801</v>
      </c>
      <c r="K79" s="9">
        <f t="shared" si="10"/>
        <v>271.52702802988</v>
      </c>
      <c r="L79" s="10">
        <f t="shared" si="7"/>
        <v>0.2551813945301627</v>
      </c>
      <c r="M79" s="10">
        <f t="shared" si="11"/>
        <v>0.25851005051380871</v>
      </c>
      <c r="P79" s="8">
        <f t="shared" si="12"/>
        <v>5.8826353181727766</v>
      </c>
      <c r="U79" s="8">
        <v>38</v>
      </c>
      <c r="V79" s="10">
        <f t="shared" si="6"/>
        <v>0.24936032129748956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1211.867755102</v>
      </c>
      <c r="E80">
        <v>396.45469387755003</v>
      </c>
      <c r="F80">
        <v>144.79443079443001</v>
      </c>
      <c r="G80">
        <v>120.16707616708</v>
      </c>
      <c r="I80" s="9">
        <f t="shared" si="8"/>
        <v>276.28761771047004</v>
      </c>
      <c r="J80" s="9">
        <f t="shared" si="9"/>
        <v>1067.0733243075701</v>
      </c>
      <c r="K80" s="9">
        <f t="shared" si="10"/>
        <v>276.28761771047004</v>
      </c>
      <c r="L80" s="10">
        <f t="shared" si="7"/>
        <v>0.25892093018982987</v>
      </c>
      <c r="M80" s="10">
        <f t="shared" si="11"/>
        <v>0.26229281547196481</v>
      </c>
      <c r="P80" s="8">
        <f t="shared" si="12"/>
        <v>7.4320107554632155</v>
      </c>
      <c r="U80" s="8">
        <v>38.5</v>
      </c>
      <c r="V80" s="10">
        <f t="shared" si="6"/>
        <v>0.25178648132262355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1196.2326530611999</v>
      </c>
      <c r="E81">
        <v>394.65551020407997</v>
      </c>
      <c r="F81">
        <v>144.6248976249</v>
      </c>
      <c r="G81">
        <v>119.64701064701001</v>
      </c>
      <c r="I81" s="9">
        <f t="shared" si="8"/>
        <v>275.00849955706997</v>
      </c>
      <c r="J81" s="9">
        <f t="shared" si="9"/>
        <v>1051.6077554362998</v>
      </c>
      <c r="K81" s="9">
        <f t="shared" si="10"/>
        <v>275.00849955706997</v>
      </c>
      <c r="L81" s="10">
        <f t="shared" si="7"/>
        <v>0.26151243002479774</v>
      </c>
      <c r="M81" s="10">
        <f t="shared" si="11"/>
        <v>0.26492754460542156</v>
      </c>
      <c r="P81" s="8">
        <f t="shared" si="12"/>
        <v>8.5111644032439795</v>
      </c>
      <c r="U81" s="8">
        <v>39</v>
      </c>
      <c r="V81" s="10">
        <f t="shared" si="6"/>
        <v>0.2551813945301627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1212.4763843648</v>
      </c>
      <c r="E82">
        <v>433.31270358306</v>
      </c>
      <c r="F82">
        <v>145.58558558559</v>
      </c>
      <c r="G82">
        <v>119.58149058149</v>
      </c>
      <c r="H82" s="13"/>
      <c r="I82" s="14">
        <f t="shared" si="8"/>
        <v>313.73121300156998</v>
      </c>
      <c r="J82" s="14">
        <f t="shared" si="9"/>
        <v>1066.8907987792099</v>
      </c>
      <c r="K82" s="9">
        <f t="shared" si="10"/>
        <v>313.73121300156998</v>
      </c>
      <c r="L82" s="15">
        <f t="shared" si="7"/>
        <v>0.29406122291105802</v>
      </c>
      <c r="M82" s="15">
        <f t="shared" si="11"/>
        <v>0.29751956679017078</v>
      </c>
      <c r="N82" s="13"/>
      <c r="O82" s="13"/>
      <c r="P82" s="13">
        <f t="shared" si="12"/>
        <v>21.86046820172535</v>
      </c>
      <c r="U82" s="8">
        <v>39.5</v>
      </c>
      <c r="V82" s="10">
        <f t="shared" si="6"/>
        <v>0.25892093018982987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1258.4832653061001</v>
      </c>
      <c r="E83">
        <v>625.93142857143005</v>
      </c>
      <c r="F83">
        <v>145.2325962326</v>
      </c>
      <c r="G83">
        <v>120.19410319409999</v>
      </c>
      <c r="I83" s="9">
        <f t="shared" si="8"/>
        <v>505.73732537733008</v>
      </c>
      <c r="J83" s="9">
        <f t="shared" si="9"/>
        <v>1113.2506690735001</v>
      </c>
      <c r="K83" s="9">
        <f t="shared" si="10"/>
        <v>505.73732537733008</v>
      </c>
      <c r="L83" s="10">
        <f t="shared" si="7"/>
        <v>0.4542888133166168</v>
      </c>
      <c r="M83" s="10">
        <f t="shared" si="11"/>
        <v>0.45779038649421844</v>
      </c>
      <c r="P83" s="8">
        <f t="shared" si="12"/>
        <v>87.505485566192675</v>
      </c>
      <c r="U83" s="8">
        <v>40</v>
      </c>
      <c r="V83" s="10">
        <f t="shared" si="6"/>
        <v>0.26151243002479774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1284.5853061225</v>
      </c>
      <c r="E84">
        <v>752.33714285713995</v>
      </c>
      <c r="F84">
        <v>145.47338247338001</v>
      </c>
      <c r="G84">
        <v>120.41359541360001</v>
      </c>
      <c r="I84" s="9">
        <f t="shared" si="8"/>
        <v>631.92354744353997</v>
      </c>
      <c r="J84" s="9">
        <f t="shared" si="9"/>
        <v>1139.1119236491199</v>
      </c>
      <c r="K84" s="9">
        <f t="shared" si="10"/>
        <v>631.92354744353997</v>
      </c>
      <c r="L84" s="10">
        <f t="shared" si="7"/>
        <v>0.55475106029896237</v>
      </c>
      <c r="M84" s="10">
        <f t="shared" si="11"/>
        <v>0.55829586277505294</v>
      </c>
      <c r="P84" s="8">
        <f t="shared" si="12"/>
        <v>128.6713306517957</v>
      </c>
      <c r="U84" s="8">
        <v>150.5</v>
      </c>
      <c r="V84" s="10">
        <f>L302</f>
        <v>0.22815217366911428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1300.7567346938999</v>
      </c>
      <c r="E85">
        <v>852.11591836734999</v>
      </c>
      <c r="F85">
        <v>145.43161343161</v>
      </c>
      <c r="G85">
        <v>120.01228501228999</v>
      </c>
      <c r="I85" s="9">
        <f t="shared" si="8"/>
        <v>732.10363335505997</v>
      </c>
      <c r="J85" s="9">
        <f t="shared" si="9"/>
        <v>1155.3251212622899</v>
      </c>
      <c r="K85" s="9">
        <f t="shared" si="10"/>
        <v>732.10363335505997</v>
      </c>
      <c r="L85" s="10">
        <f t="shared" si="7"/>
        <v>0.63367758553988263</v>
      </c>
      <c r="M85" s="10">
        <f t="shared" si="11"/>
        <v>0.63726561731446207</v>
      </c>
      <c r="P85" s="8">
        <f t="shared" si="12"/>
        <v>161.01640081228928</v>
      </c>
      <c r="U85" s="8">
        <v>151</v>
      </c>
      <c r="V85" s="10">
        <f t="shared" ref="V85:V103" si="13">L303</f>
        <v>0.22915147098937527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1322.8922448979999</v>
      </c>
      <c r="E86">
        <v>914.05632653061002</v>
      </c>
      <c r="F86">
        <v>145.44307944307999</v>
      </c>
      <c r="G86">
        <v>120.04013104013001</v>
      </c>
      <c r="I86" s="9">
        <f t="shared" si="8"/>
        <v>794.01619549047996</v>
      </c>
      <c r="J86" s="9">
        <f t="shared" si="9"/>
        <v>1177.4491654549199</v>
      </c>
      <c r="K86" s="9">
        <f t="shared" si="10"/>
        <v>794.01619549047996</v>
      </c>
      <c r="L86" s="10">
        <f t="shared" si="7"/>
        <v>0.67435284578396504</v>
      </c>
      <c r="M86" s="10">
        <f t="shared" si="11"/>
        <v>0.67798410685703348</v>
      </c>
      <c r="P86" s="8">
        <f t="shared" si="12"/>
        <v>177.69420877516623</v>
      </c>
      <c r="U86" s="8">
        <v>151.5</v>
      </c>
      <c r="V86" s="10">
        <f t="shared" si="13"/>
        <v>0.22696976882352579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1348.6016326531001</v>
      </c>
      <c r="E87">
        <v>971.50857142857001</v>
      </c>
      <c r="F87">
        <v>145.34561834562001</v>
      </c>
      <c r="G87">
        <v>120.18345618346</v>
      </c>
      <c r="I87" s="9">
        <f t="shared" si="8"/>
        <v>851.32511524511006</v>
      </c>
      <c r="J87" s="9">
        <f t="shared" si="9"/>
        <v>1203.25601430748</v>
      </c>
      <c r="K87" s="9">
        <f t="shared" si="10"/>
        <v>851.32511524511006</v>
      </c>
      <c r="L87" s="10">
        <f t="shared" si="7"/>
        <v>0.70751785581980264</v>
      </c>
      <c r="M87" s="10">
        <f t="shared" si="11"/>
        <v>0.71119234619135996</v>
      </c>
      <c r="P87" s="8">
        <f t="shared" si="12"/>
        <v>191.29590777296696</v>
      </c>
      <c r="U87" s="8">
        <v>152</v>
      </c>
      <c r="V87" s="10">
        <f t="shared" si="13"/>
        <v>0.22694030428572062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1342.8816326531</v>
      </c>
      <c r="E88">
        <v>984.94448979592005</v>
      </c>
      <c r="F88">
        <v>145.94103194102999</v>
      </c>
      <c r="G88">
        <v>120.37755937756</v>
      </c>
      <c r="I88" s="9">
        <f t="shared" si="8"/>
        <v>864.56693041836002</v>
      </c>
      <c r="J88" s="9">
        <f t="shared" si="9"/>
        <v>1196.9406007120701</v>
      </c>
      <c r="K88" s="9">
        <f t="shared" si="10"/>
        <v>864.56693041836002</v>
      </c>
      <c r="L88" s="10">
        <f t="shared" si="7"/>
        <v>0.72231398108145195</v>
      </c>
      <c r="M88" s="10">
        <f t="shared" si="11"/>
        <v>0.72603170075149814</v>
      </c>
      <c r="P88" s="8">
        <f t="shared" si="12"/>
        <v>197.37393051956903</v>
      </c>
      <c r="U88" s="8">
        <v>152.5</v>
      </c>
      <c r="V88" s="10">
        <f t="shared" si="13"/>
        <v>0.2287059007280523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1348.8146938775999</v>
      </c>
      <c r="E89">
        <v>990.70204081633005</v>
      </c>
      <c r="F89">
        <v>145.47911547912</v>
      </c>
      <c r="G89">
        <v>120.25634725635</v>
      </c>
      <c r="I89" s="9">
        <f t="shared" si="8"/>
        <v>870.4456935599801</v>
      </c>
      <c r="J89" s="9">
        <f t="shared" si="9"/>
        <v>1203.3355783984798</v>
      </c>
      <c r="K89" s="9">
        <f t="shared" si="10"/>
        <v>870.4456935599801</v>
      </c>
      <c r="L89" s="10">
        <f t="shared" si="7"/>
        <v>0.72336072263271478</v>
      </c>
      <c r="M89" s="10">
        <f t="shared" si="11"/>
        <v>0.72712167160124985</v>
      </c>
      <c r="P89" s="8">
        <f t="shared" si="12"/>
        <v>197.82036958745945</v>
      </c>
      <c r="U89" s="8">
        <v>153</v>
      </c>
      <c r="V89" s="10">
        <f t="shared" si="13"/>
        <v>0.22931279824315823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1354.7118367347</v>
      </c>
      <c r="E90">
        <v>975.32</v>
      </c>
      <c r="F90">
        <v>145.51269451269999</v>
      </c>
      <c r="G90">
        <v>120.73546273546</v>
      </c>
      <c r="I90" s="9">
        <f t="shared" si="8"/>
        <v>854.58453726454002</v>
      </c>
      <c r="J90" s="9">
        <f t="shared" si="9"/>
        <v>1209.1991422220001</v>
      </c>
      <c r="K90" s="9">
        <f t="shared" si="10"/>
        <v>854.58453726454002</v>
      </c>
      <c r="L90" s="10">
        <f t="shared" si="7"/>
        <v>0.70673597708163494</v>
      </c>
      <c r="M90" s="10">
        <f t="shared" si="11"/>
        <v>0.710540155348659</v>
      </c>
      <c r="P90" s="8">
        <f t="shared" si="12"/>
        <v>191.02877817774115</v>
      </c>
      <c r="U90" s="8">
        <v>153.5</v>
      </c>
      <c r="V90" s="10">
        <f t="shared" si="13"/>
        <v>0.22880185262671768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1345.8228571428999</v>
      </c>
      <c r="E91">
        <v>948.71836734694</v>
      </c>
      <c r="F91">
        <v>145.58476658476999</v>
      </c>
      <c r="G91">
        <v>120.06797706798</v>
      </c>
      <c r="I91" s="9">
        <f t="shared" si="8"/>
        <v>828.65039027896</v>
      </c>
      <c r="J91" s="9">
        <f t="shared" si="9"/>
        <v>1200.2380905581299</v>
      </c>
      <c r="K91" s="9">
        <f t="shared" si="10"/>
        <v>828.65039027896</v>
      </c>
      <c r="L91" s="10">
        <f t="shared" si="7"/>
        <v>0.69040500947076622</v>
      </c>
      <c r="M91" s="10">
        <f t="shared" si="11"/>
        <v>0.69425241703627916</v>
      </c>
      <c r="P91" s="8">
        <f t="shared" si="12"/>
        <v>184.35751471057694</v>
      </c>
      <c r="U91" s="8">
        <v>154</v>
      </c>
      <c r="V91" s="10">
        <f t="shared" si="13"/>
        <v>0.22808443635350359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1334.0669387754999</v>
      </c>
      <c r="E92">
        <v>920.96816326530995</v>
      </c>
      <c r="F92">
        <v>145.50696150696001</v>
      </c>
      <c r="G92">
        <v>120.54873054873001</v>
      </c>
      <c r="I92" s="9">
        <f t="shared" si="8"/>
        <v>800.41943271657999</v>
      </c>
      <c r="J92" s="9">
        <f t="shared" si="9"/>
        <v>1188.55997726854</v>
      </c>
      <c r="K92" s="9">
        <f t="shared" si="10"/>
        <v>800.41943271657999</v>
      </c>
      <c r="L92" s="10">
        <f t="shared" si="7"/>
        <v>0.67343629940833472</v>
      </c>
      <c r="M92" s="10">
        <f t="shared" si="11"/>
        <v>0.67732693627233653</v>
      </c>
      <c r="P92" s="8">
        <f t="shared" si="12"/>
        <v>177.42503953697607</v>
      </c>
      <c r="U92" s="8">
        <v>154.5</v>
      </c>
      <c r="V92" s="10">
        <f t="shared" si="13"/>
        <v>0.22774009661155031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1304.8620408162999</v>
      </c>
      <c r="E93">
        <v>874.93469387754999</v>
      </c>
      <c r="F93">
        <v>145.43816543816999</v>
      </c>
      <c r="G93">
        <v>120.10237510237999</v>
      </c>
      <c r="I93" s="9">
        <f t="shared" si="8"/>
        <v>754.83231877517005</v>
      </c>
      <c r="J93" s="9">
        <f t="shared" si="9"/>
        <v>1159.4238753781299</v>
      </c>
      <c r="K93" s="9">
        <f t="shared" si="10"/>
        <v>754.83231877517005</v>
      </c>
      <c r="L93" s="10">
        <f t="shared" si="7"/>
        <v>0.6510408615908414</v>
      </c>
      <c r="M93" s="10">
        <f t="shared" si="11"/>
        <v>0.65497472775333221</v>
      </c>
      <c r="P93" s="8">
        <f t="shared" si="12"/>
        <v>168.2698413600794</v>
      </c>
      <c r="U93" s="8">
        <v>155</v>
      </c>
      <c r="V93" s="10">
        <f t="shared" si="13"/>
        <v>0.22841075368105496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1283.5073891626</v>
      </c>
      <c r="E94">
        <v>833.11986863711002</v>
      </c>
      <c r="F94">
        <v>145.33988533989</v>
      </c>
      <c r="G94">
        <v>120.25470925470999</v>
      </c>
      <c r="I94" s="9">
        <f t="shared" si="8"/>
        <v>712.86515938240007</v>
      </c>
      <c r="J94" s="9">
        <f t="shared" si="9"/>
        <v>1138.1675038227099</v>
      </c>
      <c r="K94" s="9">
        <f t="shared" si="10"/>
        <v>712.86515938240007</v>
      </c>
      <c r="L94" s="10">
        <f t="shared" si="7"/>
        <v>0.62632710650069801</v>
      </c>
      <c r="M94" s="10">
        <f t="shared" si="11"/>
        <v>0.63030420196167769</v>
      </c>
      <c r="P94" s="8">
        <f t="shared" si="12"/>
        <v>158.16508806204158</v>
      </c>
      <c r="U94" s="8">
        <v>155.5</v>
      </c>
      <c r="V94" s="10">
        <f t="shared" si="13"/>
        <v>0.23117950546858237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1271.0796387521</v>
      </c>
      <c r="E95">
        <v>807.93842364531997</v>
      </c>
      <c r="F95">
        <v>145.77313677314001</v>
      </c>
      <c r="G95">
        <v>120.5389025389</v>
      </c>
      <c r="I95" s="9">
        <f t="shared" si="8"/>
        <v>687.39952110642002</v>
      </c>
      <c r="J95" s="9">
        <f t="shared" si="9"/>
        <v>1125.3065019789599</v>
      </c>
      <c r="K95" s="9">
        <f t="shared" si="10"/>
        <v>687.39952110642002</v>
      </c>
      <c r="L95" s="10">
        <f t="shared" si="7"/>
        <v>0.61085537131222623</v>
      </c>
      <c r="M95" s="10">
        <f t="shared" si="11"/>
        <v>0.61487569607169479</v>
      </c>
      <c r="P95" s="8">
        <f t="shared" si="12"/>
        <v>151.8457559532651</v>
      </c>
      <c r="U95" s="8">
        <v>156</v>
      </c>
      <c r="V95" s="10">
        <f t="shared" si="13"/>
        <v>0.23174366437735738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1263.2725779967</v>
      </c>
      <c r="E96">
        <v>784.20525451560002</v>
      </c>
      <c r="F96">
        <v>145.85995085995</v>
      </c>
      <c r="G96">
        <v>119.81736281736001</v>
      </c>
      <c r="I96" s="9">
        <f t="shared" si="8"/>
        <v>664.38789169823997</v>
      </c>
      <c r="J96" s="9">
        <f t="shared" si="9"/>
        <v>1117.41262713675</v>
      </c>
      <c r="K96" s="9">
        <f t="shared" si="10"/>
        <v>664.38789169823997</v>
      </c>
      <c r="L96" s="10">
        <f t="shared" si="7"/>
        <v>0.59457703946004503</v>
      </c>
      <c r="M96" s="10">
        <f t="shared" si="11"/>
        <v>0.59864059351800247</v>
      </c>
      <c r="P96" s="8">
        <f t="shared" si="12"/>
        <v>145.19605146545479</v>
      </c>
      <c r="U96" s="8">
        <v>156.5</v>
      </c>
      <c r="V96" s="10">
        <f t="shared" si="13"/>
        <v>0.2331330701623916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1253.1247947454999</v>
      </c>
      <c r="E97">
        <v>761.03858784892998</v>
      </c>
      <c r="F97">
        <v>145.49058149058001</v>
      </c>
      <c r="G97">
        <v>120.35626535627</v>
      </c>
      <c r="I97" s="9">
        <f t="shared" si="8"/>
        <v>640.68232249265998</v>
      </c>
      <c r="J97" s="9">
        <f t="shared" si="9"/>
        <v>1107.6342132549198</v>
      </c>
      <c r="K97" s="9">
        <f t="shared" si="10"/>
        <v>640.68232249265998</v>
      </c>
      <c r="L97" s="10">
        <f t="shared" si="7"/>
        <v>0.57842409960408858</v>
      </c>
      <c r="M97" s="10">
        <f t="shared" si="11"/>
        <v>0.58253088296053501</v>
      </c>
      <c r="P97" s="8">
        <f t="shared" si="12"/>
        <v>138.59770604465837</v>
      </c>
      <c r="U97" s="8">
        <v>157</v>
      </c>
      <c r="V97" s="10">
        <f t="shared" si="13"/>
        <v>0.23227806312173624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1242.5238095238001</v>
      </c>
      <c r="E98">
        <v>737.10837438424005</v>
      </c>
      <c r="F98">
        <v>145.42751842752</v>
      </c>
      <c r="G98">
        <v>120.59213759214001</v>
      </c>
      <c r="I98" s="9">
        <f t="shared" si="8"/>
        <v>616.51623679210002</v>
      </c>
      <c r="J98" s="9">
        <f t="shared" si="9"/>
        <v>1097.0962910962801</v>
      </c>
      <c r="K98" s="9">
        <f t="shared" si="10"/>
        <v>616.51623679210002</v>
      </c>
      <c r="L98" s="10">
        <f t="shared" si="7"/>
        <v>0.56195271262474367</v>
      </c>
      <c r="M98" s="10">
        <f t="shared" si="11"/>
        <v>0.56610272527967898</v>
      </c>
      <c r="P98" s="8">
        <f t="shared" si="12"/>
        <v>131.86892847792851</v>
      </c>
      <c r="U98" s="8">
        <v>157.5</v>
      </c>
      <c r="V98" s="10">
        <f t="shared" si="13"/>
        <v>0.22915814166786319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1239.0804597701001</v>
      </c>
      <c r="E99">
        <v>719.20525451560002</v>
      </c>
      <c r="F99">
        <v>145.46601146601</v>
      </c>
      <c r="G99">
        <v>120.28828828829</v>
      </c>
      <c r="I99" s="9">
        <f t="shared" si="8"/>
        <v>598.91696622731001</v>
      </c>
      <c r="J99" s="9">
        <f t="shared" si="9"/>
        <v>1093.61444830409</v>
      </c>
      <c r="K99" s="9">
        <f t="shared" si="10"/>
        <v>598.91696622731001</v>
      </c>
      <c r="L99" s="10">
        <f t="shared" si="7"/>
        <v>0.54764909804920148</v>
      </c>
      <c r="M99" s="10">
        <f t="shared" si="11"/>
        <v>0.55184234000262566</v>
      </c>
      <c r="P99" s="8">
        <f t="shared" si="12"/>
        <v>126.02804464851538</v>
      </c>
      <c r="U99" s="8">
        <v>158</v>
      </c>
      <c r="V99" s="10">
        <f t="shared" si="13"/>
        <v>0.23026428321545642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1205.7052545156</v>
      </c>
      <c r="E100">
        <v>687.22249589491003</v>
      </c>
      <c r="F100">
        <v>145.42096642096999</v>
      </c>
      <c r="G100">
        <v>120.11711711712</v>
      </c>
      <c r="I100" s="9">
        <f t="shared" si="8"/>
        <v>567.10537877779007</v>
      </c>
      <c r="J100" s="9">
        <f t="shared" si="9"/>
        <v>1060.28428809463</v>
      </c>
      <c r="K100" s="9">
        <f t="shared" si="10"/>
        <v>567.10537877779007</v>
      </c>
      <c r="L100" s="10">
        <f t="shared" si="7"/>
        <v>0.53486162640106583</v>
      </c>
      <c r="M100" s="10">
        <f t="shared" si="11"/>
        <v>0.539098097652979</v>
      </c>
      <c r="P100" s="8">
        <f t="shared" si="12"/>
        <v>120.80815489014032</v>
      </c>
      <c r="U100" s="8">
        <v>158.5</v>
      </c>
      <c r="V100" s="10">
        <f t="shared" si="13"/>
        <v>0.23070686739672921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1189.5405405404999</v>
      </c>
      <c r="E101">
        <v>666.13267813267998</v>
      </c>
      <c r="F101">
        <v>146.10974610975001</v>
      </c>
      <c r="G101">
        <v>120.38493038493</v>
      </c>
      <c r="I101" s="9">
        <f t="shared" si="8"/>
        <v>545.74774774774994</v>
      </c>
      <c r="J101" s="9">
        <f t="shared" si="9"/>
        <v>1043.43079443075</v>
      </c>
      <c r="K101" s="9">
        <f t="shared" si="10"/>
        <v>545.74774774774994</v>
      </c>
      <c r="L101" s="10">
        <f t="shared" si="7"/>
        <v>0.5230320502908733</v>
      </c>
      <c r="M101" s="10">
        <f t="shared" si="11"/>
        <v>0.52731175084127535</v>
      </c>
      <c r="P101" s="8">
        <f t="shared" si="12"/>
        <v>115.98060772624208</v>
      </c>
      <c r="U101" s="8">
        <v>159</v>
      </c>
      <c r="V101" s="10">
        <f t="shared" si="13"/>
        <v>0.2325066601857195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1192.9836199836</v>
      </c>
      <c r="E102">
        <v>656.87469287469003</v>
      </c>
      <c r="F102">
        <v>145.25962325962001</v>
      </c>
      <c r="G102">
        <v>120.31859131858999</v>
      </c>
      <c r="I102" s="9">
        <f t="shared" si="8"/>
        <v>536.55610155609997</v>
      </c>
      <c r="J102" s="9">
        <f t="shared" si="9"/>
        <v>1047.72399672398</v>
      </c>
      <c r="K102" s="9">
        <f t="shared" si="10"/>
        <v>536.55610155609997</v>
      </c>
      <c r="L102" s="10">
        <f t="shared" si="7"/>
        <v>0.51211588474999314</v>
      </c>
      <c r="M102" s="10">
        <f t="shared" si="11"/>
        <v>0.51643881459888408</v>
      </c>
      <c r="P102" s="8">
        <f t="shared" si="12"/>
        <v>111.52718264391879</v>
      </c>
      <c r="U102" s="8">
        <v>159.5</v>
      </c>
      <c r="V102" s="10">
        <f t="shared" si="13"/>
        <v>0.23615937031254006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1204.0368550369001</v>
      </c>
      <c r="E103">
        <v>643.87551187551003</v>
      </c>
      <c r="F103">
        <v>146.22194922195001</v>
      </c>
      <c r="G103">
        <v>120.89434889435</v>
      </c>
      <c r="I103" s="9">
        <f t="shared" si="8"/>
        <v>522.98116298115997</v>
      </c>
      <c r="J103" s="9">
        <f t="shared" si="9"/>
        <v>1057.8149058149502</v>
      </c>
      <c r="K103" s="9">
        <f t="shared" si="10"/>
        <v>522.98116298115997</v>
      </c>
      <c r="L103" s="10">
        <f t="shared" si="7"/>
        <v>0.49439761162965512</v>
      </c>
      <c r="M103" s="10">
        <f t="shared" si="11"/>
        <v>0.49876377077703499</v>
      </c>
      <c r="P103" s="8">
        <f t="shared" si="12"/>
        <v>104.28769537639531</v>
      </c>
      <c r="U103" s="8">
        <v>160</v>
      </c>
      <c r="V103" s="10">
        <f t="shared" si="13"/>
        <v>0.23553614589501595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1215.1199021207001</v>
      </c>
      <c r="E104">
        <v>638.20717781403005</v>
      </c>
      <c r="F104">
        <v>146.13677313676999</v>
      </c>
      <c r="G104">
        <v>120.02620802621</v>
      </c>
      <c r="I104" s="9">
        <f t="shared" si="8"/>
        <v>518.18096978782</v>
      </c>
      <c r="J104" s="9">
        <f t="shared" si="9"/>
        <v>1068.9831289839301</v>
      </c>
      <c r="K104" s="9">
        <f t="shared" si="10"/>
        <v>518.18096978782</v>
      </c>
      <c r="L104" s="10">
        <f t="shared" si="7"/>
        <v>0.48474195311234863</v>
      </c>
      <c r="M104" s="10">
        <f t="shared" si="11"/>
        <v>0.48915134155821738</v>
      </c>
      <c r="P104" s="8">
        <f t="shared" si="12"/>
        <v>100.35055894601328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1205.5293637847001</v>
      </c>
      <c r="E105">
        <v>621.29445350733999</v>
      </c>
      <c r="F105">
        <v>146.07452907453001</v>
      </c>
      <c r="G105">
        <v>120.6723996724</v>
      </c>
      <c r="I105" s="9">
        <f t="shared" si="8"/>
        <v>500.62205383494</v>
      </c>
      <c r="J105" s="9">
        <f t="shared" si="9"/>
        <v>1059.45483471017</v>
      </c>
      <c r="K105" s="9">
        <f t="shared" si="10"/>
        <v>500.62205383494</v>
      </c>
      <c r="L105" s="10">
        <f t="shared" si="7"/>
        <v>0.4725279808382703</v>
      </c>
      <c r="M105" s="10">
        <f t="shared" si="11"/>
        <v>0.47698059858262798</v>
      </c>
      <c r="P105" s="8">
        <f t="shared" si="12"/>
        <v>95.365567695289315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1192.8752039152</v>
      </c>
      <c r="E106">
        <v>603.94535073409997</v>
      </c>
      <c r="F106">
        <v>145.67158067157999</v>
      </c>
      <c r="G106">
        <v>120.10810810811</v>
      </c>
      <c r="I106" s="9">
        <f t="shared" si="8"/>
        <v>483.83724262598997</v>
      </c>
      <c r="J106" s="9">
        <f t="shared" si="9"/>
        <v>1047.2036232436201</v>
      </c>
      <c r="K106" s="9">
        <f t="shared" si="10"/>
        <v>483.83724262598997</v>
      </c>
      <c r="L106" s="10">
        <f t="shared" si="7"/>
        <v>0.46202785388322776</v>
      </c>
      <c r="M106" s="10">
        <f t="shared" si="11"/>
        <v>0.46652370092607431</v>
      </c>
      <c r="P106" s="8">
        <f t="shared" si="12"/>
        <v>91.08254705865383</v>
      </c>
      <c r="X106" s="8">
        <v>-13</v>
      </c>
    </row>
    <row r="107" spans="1:25" x14ac:dyDescent="0.2">
      <c r="A107" s="8">
        <v>52.5</v>
      </c>
      <c r="B107" s="8">
        <v>105</v>
      </c>
      <c r="D107">
        <v>1166.0938009787999</v>
      </c>
      <c r="E107">
        <v>582.57748776509004</v>
      </c>
      <c r="F107">
        <v>145.67403767403999</v>
      </c>
      <c r="G107">
        <v>120.50368550368999</v>
      </c>
      <c r="I107" s="9">
        <f t="shared" si="8"/>
        <v>462.07380226140003</v>
      </c>
      <c r="J107" s="9">
        <f t="shared" si="9"/>
        <v>1020.41976330476</v>
      </c>
      <c r="K107" s="9">
        <f t="shared" si="10"/>
        <v>462.07380226140003</v>
      </c>
      <c r="L107" s="10">
        <f t="shared" si="7"/>
        <v>0.45282717845929887</v>
      </c>
      <c r="M107" s="10">
        <f t="shared" si="11"/>
        <v>0.45736625480063436</v>
      </c>
      <c r="P107" s="8">
        <f t="shared" si="12"/>
        <v>87.331766280039645</v>
      </c>
      <c r="X107" s="8">
        <v>-13</v>
      </c>
    </row>
    <row r="108" spans="1:25" x14ac:dyDescent="0.2">
      <c r="A108" s="8">
        <v>53</v>
      </c>
      <c r="B108" s="8">
        <v>106</v>
      </c>
      <c r="D108">
        <v>1174.8036006546999</v>
      </c>
      <c r="E108">
        <v>576.12765957447004</v>
      </c>
      <c r="F108">
        <v>145.75593775594001</v>
      </c>
      <c r="G108">
        <v>120.44799344799</v>
      </c>
      <c r="I108" s="9">
        <f t="shared" si="8"/>
        <v>455.67966612648002</v>
      </c>
      <c r="J108" s="9">
        <f t="shared" si="9"/>
        <v>1029.0476628987599</v>
      </c>
      <c r="K108" s="9">
        <f t="shared" si="10"/>
        <v>455.67966612648002</v>
      </c>
      <c r="L108" s="10">
        <f t="shared" si="7"/>
        <v>0.44281687093371386</v>
      </c>
      <c r="M108" s="10">
        <f t="shared" si="11"/>
        <v>0.44739917657353828</v>
      </c>
      <c r="P108" s="8">
        <f t="shared" si="12"/>
        <v>83.249369843190308</v>
      </c>
      <c r="X108" s="8">
        <v>-13</v>
      </c>
    </row>
    <row r="109" spans="1:25" x14ac:dyDescent="0.2">
      <c r="A109" s="8">
        <v>53.5</v>
      </c>
      <c r="B109" s="8">
        <v>107</v>
      </c>
      <c r="D109">
        <v>1182.8788870704</v>
      </c>
      <c r="E109">
        <v>573.42716857611003</v>
      </c>
      <c r="F109">
        <v>146.34889434889001</v>
      </c>
      <c r="G109">
        <v>120.43734643735</v>
      </c>
      <c r="I109" s="9">
        <f t="shared" si="8"/>
        <v>452.98982213876002</v>
      </c>
      <c r="J109" s="9">
        <f t="shared" si="9"/>
        <v>1036.5299927215099</v>
      </c>
      <c r="K109" s="9">
        <f t="shared" si="10"/>
        <v>452.98982213876002</v>
      </c>
      <c r="L109" s="10">
        <f t="shared" si="7"/>
        <v>0.43702529142392821</v>
      </c>
      <c r="M109" s="10">
        <f t="shared" si="11"/>
        <v>0.44165082636224151</v>
      </c>
      <c r="P109" s="8">
        <f t="shared" si="12"/>
        <v>80.894914115476297</v>
      </c>
      <c r="X109" s="8">
        <v>-13</v>
      </c>
    </row>
    <row r="110" spans="1:25" x14ac:dyDescent="0.2">
      <c r="A110" s="8">
        <v>54</v>
      </c>
      <c r="B110" s="8">
        <v>108</v>
      </c>
      <c r="D110">
        <v>1179.2258592471001</v>
      </c>
      <c r="E110">
        <v>562.18494271685995</v>
      </c>
      <c r="F110">
        <v>145.31531531531999</v>
      </c>
      <c r="G110">
        <v>120.33415233415001</v>
      </c>
      <c r="I110" s="9">
        <f t="shared" si="8"/>
        <v>441.85079038270993</v>
      </c>
      <c r="J110" s="9">
        <f t="shared" si="9"/>
        <v>1033.91054393178</v>
      </c>
      <c r="K110" s="9">
        <f t="shared" si="10"/>
        <v>441.85079038270993</v>
      </c>
      <c r="L110" s="10">
        <f t="shared" si="7"/>
        <v>0.42735882033123396</v>
      </c>
      <c r="M110" s="10">
        <f t="shared" si="11"/>
        <v>0.43202758456803619</v>
      </c>
      <c r="P110" s="8">
        <f t="shared" si="12"/>
        <v>76.95334898309855</v>
      </c>
      <c r="X110" s="8">
        <v>-13</v>
      </c>
    </row>
    <row r="111" spans="1:25" x14ac:dyDescent="0.2">
      <c r="A111" s="8">
        <v>54.5</v>
      </c>
      <c r="B111" s="8">
        <v>109</v>
      </c>
      <c r="D111">
        <v>1185.0204582650999</v>
      </c>
      <c r="E111">
        <v>554.81014729951005</v>
      </c>
      <c r="F111">
        <v>145.98034398034</v>
      </c>
      <c r="G111">
        <v>119.86076986077001</v>
      </c>
      <c r="I111" s="9">
        <f t="shared" si="8"/>
        <v>434.94937743874004</v>
      </c>
      <c r="J111" s="9">
        <f t="shared" si="9"/>
        <v>1039.04011428476</v>
      </c>
      <c r="K111" s="9">
        <f t="shared" si="10"/>
        <v>434.94937743874004</v>
      </c>
      <c r="L111" s="10">
        <f t="shared" si="7"/>
        <v>0.41860691561282448</v>
      </c>
      <c r="M111" s="10">
        <f t="shared" si="11"/>
        <v>0.4233189091481156</v>
      </c>
      <c r="P111" s="8">
        <f t="shared" si="12"/>
        <v>73.386379336235493</v>
      </c>
      <c r="X111" s="8">
        <v>-13</v>
      </c>
    </row>
    <row r="112" spans="1:25" x14ac:dyDescent="0.2">
      <c r="A112" s="8">
        <v>55</v>
      </c>
      <c r="B112" s="8">
        <v>110</v>
      </c>
      <c r="D112">
        <v>1174.6202945990001</v>
      </c>
      <c r="E112">
        <v>543.27250409165003</v>
      </c>
      <c r="F112">
        <v>146.08190008189999</v>
      </c>
      <c r="G112">
        <v>120.32841932842</v>
      </c>
      <c r="I112" s="9">
        <f t="shared" si="8"/>
        <v>422.94408476323002</v>
      </c>
      <c r="J112" s="9">
        <f t="shared" si="9"/>
        <v>1028.5383945171002</v>
      </c>
      <c r="K112" s="9">
        <f t="shared" si="10"/>
        <v>422.94408476323002</v>
      </c>
      <c r="L112" s="10">
        <f t="shared" si="7"/>
        <v>0.41120884452913659</v>
      </c>
      <c r="M112" s="10">
        <f t="shared" si="11"/>
        <v>0.41596406736291663</v>
      </c>
      <c r="P112" s="8">
        <f t="shared" si="12"/>
        <v>70.373923808811114</v>
      </c>
      <c r="X112" s="8">
        <v>-13</v>
      </c>
    </row>
    <row r="113" spans="1:24" x14ac:dyDescent="0.2">
      <c r="A113" s="8">
        <v>55.5</v>
      </c>
      <c r="B113" s="8">
        <v>111</v>
      </c>
      <c r="D113">
        <v>1174.5393442622999</v>
      </c>
      <c r="E113">
        <v>532.99754098360995</v>
      </c>
      <c r="F113">
        <v>145.63718263717999</v>
      </c>
      <c r="G113">
        <v>119.86322686323</v>
      </c>
      <c r="I113" s="9">
        <f t="shared" si="8"/>
        <v>413.13431412037994</v>
      </c>
      <c r="J113" s="9">
        <f t="shared" si="9"/>
        <v>1028.9021616251198</v>
      </c>
      <c r="K113" s="9">
        <f t="shared" si="10"/>
        <v>413.13431412037994</v>
      </c>
      <c r="L113" s="10">
        <f t="shared" si="7"/>
        <v>0.40152925081608032</v>
      </c>
      <c r="M113" s="10">
        <f t="shared" si="11"/>
        <v>0.40632770294834925</v>
      </c>
      <c r="P113" s="8">
        <f t="shared" si="12"/>
        <v>66.426983807551267</v>
      </c>
      <c r="X113" s="8">
        <v>-13</v>
      </c>
    </row>
    <row r="114" spans="1:24" x14ac:dyDescent="0.2">
      <c r="A114" s="8">
        <v>56</v>
      </c>
      <c r="B114" s="8">
        <v>112</v>
      </c>
      <c r="D114">
        <v>1166.8319672130999</v>
      </c>
      <c r="E114">
        <v>522.19590163934004</v>
      </c>
      <c r="F114">
        <v>146.51433251432999</v>
      </c>
      <c r="G114">
        <v>120.21703521704001</v>
      </c>
      <c r="I114" s="9">
        <f t="shared" si="8"/>
        <v>401.97886642230003</v>
      </c>
      <c r="J114" s="9">
        <f t="shared" si="9"/>
        <v>1020.3176346987699</v>
      </c>
      <c r="K114" s="9">
        <f t="shared" si="10"/>
        <v>401.97886642230003</v>
      </c>
      <c r="L114" s="10">
        <f t="shared" si="7"/>
        <v>0.39397424169874012</v>
      </c>
      <c r="M114" s="10">
        <f t="shared" si="11"/>
        <v>0.39881592312949798</v>
      </c>
      <c r="P114" s="8">
        <f t="shared" si="12"/>
        <v>63.350248332203265</v>
      </c>
      <c r="X114" s="8">
        <v>-13</v>
      </c>
    </row>
    <row r="115" spans="1:24" x14ac:dyDescent="0.2">
      <c r="A115" s="8">
        <v>56.5</v>
      </c>
      <c r="B115" s="8">
        <v>113</v>
      </c>
      <c r="D115">
        <v>1162.1532786885</v>
      </c>
      <c r="E115">
        <v>514.21721311475005</v>
      </c>
      <c r="F115">
        <v>145.79606879606999</v>
      </c>
      <c r="G115">
        <v>120.3316953317</v>
      </c>
      <c r="I115" s="9">
        <f t="shared" si="8"/>
        <v>393.88551778305003</v>
      </c>
      <c r="J115" s="9">
        <f t="shared" si="9"/>
        <v>1016.35720989243</v>
      </c>
      <c r="K115" s="9">
        <f t="shared" si="10"/>
        <v>393.88551778305003</v>
      </c>
      <c r="L115" s="10">
        <f t="shared" si="7"/>
        <v>0.38754634094123108</v>
      </c>
      <c r="M115" s="10">
        <f t="shared" si="11"/>
        <v>0.39243125167047782</v>
      </c>
      <c r="P115" s="8">
        <f t="shared" si="12"/>
        <v>60.735163006204814</v>
      </c>
      <c r="X115" s="8">
        <v>-13</v>
      </c>
    </row>
    <row r="116" spans="1:24" x14ac:dyDescent="0.2">
      <c r="A116" s="8">
        <v>57</v>
      </c>
      <c r="B116" s="8">
        <v>114</v>
      </c>
      <c r="D116">
        <v>1151.4557377049</v>
      </c>
      <c r="E116">
        <v>505.17213114753997</v>
      </c>
      <c r="F116">
        <v>145.88042588043001</v>
      </c>
      <c r="G116">
        <v>120.03194103193999</v>
      </c>
      <c r="I116" s="9">
        <f t="shared" si="8"/>
        <v>385.14019011559998</v>
      </c>
      <c r="J116" s="9">
        <f t="shared" si="9"/>
        <v>1005.57531182447</v>
      </c>
      <c r="K116" s="9">
        <f t="shared" si="10"/>
        <v>385.14019011559998</v>
      </c>
      <c r="L116" s="10">
        <f t="shared" si="7"/>
        <v>0.3830048188204016</v>
      </c>
      <c r="M116" s="10">
        <f t="shared" si="11"/>
        <v>0.38793295884813728</v>
      </c>
      <c r="P116" s="8">
        <f t="shared" si="12"/>
        <v>58.892715884649697</v>
      </c>
      <c r="X116" s="8">
        <v>-13</v>
      </c>
    </row>
    <row r="117" spans="1:24" x14ac:dyDescent="0.2">
      <c r="A117" s="8">
        <v>57.5</v>
      </c>
      <c r="B117" s="8">
        <v>115</v>
      </c>
      <c r="D117">
        <v>1133.1508196720999</v>
      </c>
      <c r="E117">
        <v>493.64426229508001</v>
      </c>
      <c r="F117">
        <v>146.10401310400999</v>
      </c>
      <c r="G117">
        <v>120.12121212120999</v>
      </c>
      <c r="I117" s="9">
        <f t="shared" si="8"/>
        <v>373.52305017387005</v>
      </c>
      <c r="J117" s="9">
        <f t="shared" si="9"/>
        <v>987.04680656809001</v>
      </c>
      <c r="K117" s="9">
        <f t="shared" si="10"/>
        <v>373.52305017387005</v>
      </c>
      <c r="L117" s="10">
        <f t="shared" si="7"/>
        <v>0.37842486059256919</v>
      </c>
      <c r="M117" s="10">
        <f t="shared" si="11"/>
        <v>0.3833962299187938</v>
      </c>
      <c r="P117" s="8">
        <f t="shared" si="12"/>
        <v>57.034525791814517</v>
      </c>
      <c r="X117" s="8">
        <v>-13</v>
      </c>
    </row>
    <row r="118" spans="1:24" x14ac:dyDescent="0.2">
      <c r="A118" s="8">
        <v>58</v>
      </c>
      <c r="B118" s="8">
        <v>116</v>
      </c>
      <c r="D118">
        <v>1147.9795249795</v>
      </c>
      <c r="E118">
        <v>495.67403767403999</v>
      </c>
      <c r="F118">
        <v>145.98853398853001</v>
      </c>
      <c r="G118">
        <v>119.91646191645999</v>
      </c>
      <c r="I118" s="9">
        <f t="shared" si="8"/>
        <v>375.75757575758001</v>
      </c>
      <c r="J118" s="9">
        <f t="shared" si="9"/>
        <v>1001.99099099097</v>
      </c>
      <c r="K118" s="9">
        <f t="shared" si="10"/>
        <v>375.75757575758001</v>
      </c>
      <c r="L118" s="10">
        <f t="shared" si="7"/>
        <v>0.37501093236971667</v>
      </c>
      <c r="M118" s="10">
        <f t="shared" si="11"/>
        <v>0.38002553099443015</v>
      </c>
      <c r="P118" s="8">
        <f t="shared" si="12"/>
        <v>55.653927690245965</v>
      </c>
      <c r="X118" s="8">
        <v>-13</v>
      </c>
    </row>
    <row r="119" spans="1:24" x14ac:dyDescent="0.2">
      <c r="A119" s="8">
        <v>58.5</v>
      </c>
      <c r="B119" s="8">
        <v>117</v>
      </c>
      <c r="D119">
        <v>1153.7846027846001</v>
      </c>
      <c r="E119">
        <v>490.60851760852</v>
      </c>
      <c r="F119">
        <v>146.32678132678001</v>
      </c>
      <c r="G119">
        <v>120.18837018837</v>
      </c>
      <c r="I119" s="9">
        <f t="shared" si="8"/>
        <v>370.42014742014999</v>
      </c>
      <c r="J119" s="9">
        <f t="shared" si="9"/>
        <v>1007.45782145782</v>
      </c>
      <c r="K119" s="9">
        <f t="shared" si="10"/>
        <v>370.42014742014999</v>
      </c>
      <c r="L119" s="10">
        <f t="shared" si="7"/>
        <v>0.36767807001998509</v>
      </c>
      <c r="M119" s="10">
        <f t="shared" si="11"/>
        <v>0.37273589794318751</v>
      </c>
      <c r="P119" s="8">
        <f t="shared" si="12"/>
        <v>52.668180882979009</v>
      </c>
      <c r="X119" s="8">
        <v>-13</v>
      </c>
    </row>
    <row r="120" spans="1:24" x14ac:dyDescent="0.2">
      <c r="A120" s="8">
        <v>59</v>
      </c>
      <c r="B120" s="8">
        <v>118</v>
      </c>
      <c r="D120">
        <v>1157.6650286649999</v>
      </c>
      <c r="E120">
        <v>486.90581490582002</v>
      </c>
      <c r="F120">
        <v>145.94922194922</v>
      </c>
      <c r="G120">
        <v>119.83701883702</v>
      </c>
      <c r="I120" s="9">
        <f t="shared" si="8"/>
        <v>367.0687960688</v>
      </c>
      <c r="J120" s="9">
        <f t="shared" si="9"/>
        <v>1011.7158067157799</v>
      </c>
      <c r="K120" s="9">
        <f t="shared" si="10"/>
        <v>367.0687960688</v>
      </c>
      <c r="L120" s="10">
        <f t="shared" si="7"/>
        <v>0.36281808945970162</v>
      </c>
      <c r="M120" s="10">
        <f t="shared" si="11"/>
        <v>0.36791914668139292</v>
      </c>
      <c r="P120" s="8">
        <f t="shared" si="12"/>
        <v>50.695296980564933</v>
      </c>
      <c r="X120" s="8">
        <v>-13</v>
      </c>
    </row>
    <row r="121" spans="1:24" x14ac:dyDescent="0.2">
      <c r="A121" s="8">
        <v>59.5</v>
      </c>
      <c r="B121" s="8">
        <v>119</v>
      </c>
      <c r="D121">
        <v>1159.6240786241001</v>
      </c>
      <c r="E121">
        <v>480.33824733825003</v>
      </c>
      <c r="F121">
        <v>146.21130221129999</v>
      </c>
      <c r="G121">
        <v>120.26617526618</v>
      </c>
      <c r="I121" s="9">
        <f t="shared" si="8"/>
        <v>360.07207207207</v>
      </c>
      <c r="J121" s="9">
        <f t="shared" si="9"/>
        <v>1013.4127764128001</v>
      </c>
      <c r="K121" s="9">
        <f t="shared" si="10"/>
        <v>360.07207207207</v>
      </c>
      <c r="L121" s="10">
        <f t="shared" si="7"/>
        <v>0.35530642641651428</v>
      </c>
      <c r="M121" s="10">
        <f t="shared" si="11"/>
        <v>0.36045071293669451</v>
      </c>
      <c r="P121" s="8">
        <f t="shared" si="12"/>
        <v>47.636315540516058</v>
      </c>
      <c r="X121" s="8">
        <v>-13</v>
      </c>
    </row>
    <row r="122" spans="1:24" x14ac:dyDescent="0.2">
      <c r="A122" s="8">
        <v>60</v>
      </c>
      <c r="B122" s="8">
        <v>120</v>
      </c>
      <c r="D122">
        <v>1165.4823914824001</v>
      </c>
      <c r="E122">
        <v>479.74938574939</v>
      </c>
      <c r="F122">
        <v>145.83292383291999</v>
      </c>
      <c r="G122">
        <v>120.74283374283</v>
      </c>
      <c r="I122" s="9">
        <f t="shared" si="8"/>
        <v>359.00655200656001</v>
      </c>
      <c r="J122" s="9">
        <f t="shared" si="9"/>
        <v>1019.6494676494801</v>
      </c>
      <c r="K122" s="9">
        <f t="shared" si="10"/>
        <v>359.00655200656001</v>
      </c>
      <c r="L122" s="10">
        <f t="shared" si="7"/>
        <v>0.35208820618928027</v>
      </c>
      <c r="M122" s="10">
        <f t="shared" si="11"/>
        <v>0.35727572200794938</v>
      </c>
      <c r="P122" s="8">
        <f t="shared" si="12"/>
        <v>46.335877101164662</v>
      </c>
      <c r="X122" s="8">
        <v>-13</v>
      </c>
    </row>
    <row r="123" spans="1:24" x14ac:dyDescent="0.2">
      <c r="A123" s="8">
        <v>60.5</v>
      </c>
      <c r="B123" s="8">
        <v>121</v>
      </c>
      <c r="D123">
        <v>1167.2065573770999</v>
      </c>
      <c r="E123">
        <v>474.38032786884997</v>
      </c>
      <c r="F123">
        <v>146.30958230958001</v>
      </c>
      <c r="G123">
        <v>120.66912366912</v>
      </c>
      <c r="I123" s="9">
        <f t="shared" si="8"/>
        <v>353.71120419972999</v>
      </c>
      <c r="J123" s="9">
        <f t="shared" si="9"/>
        <v>1020.8969750675199</v>
      </c>
      <c r="K123" s="9">
        <f t="shared" si="10"/>
        <v>353.71120419972999</v>
      </c>
      <c r="L123" s="10">
        <f t="shared" si="7"/>
        <v>0.34647100818017051</v>
      </c>
      <c r="M123" s="10">
        <f t="shared" si="11"/>
        <v>0.35170175329732856</v>
      </c>
      <c r="P123" s="8">
        <f t="shared" si="12"/>
        <v>44.052845957545564</v>
      </c>
      <c r="X123" s="8">
        <v>-13</v>
      </c>
    </row>
    <row r="124" spans="1:24" x14ac:dyDescent="0.2">
      <c r="A124" s="8">
        <v>61</v>
      </c>
      <c r="B124" s="8">
        <v>122</v>
      </c>
      <c r="D124">
        <v>1169.9278688525001</v>
      </c>
      <c r="E124">
        <v>469.51885245902002</v>
      </c>
      <c r="F124">
        <v>145.94348894349</v>
      </c>
      <c r="G124">
        <v>120.17444717444999</v>
      </c>
      <c r="I124" s="9">
        <f t="shared" si="8"/>
        <v>349.34440528457003</v>
      </c>
      <c r="J124" s="9">
        <f t="shared" si="9"/>
        <v>1023.98437990901</v>
      </c>
      <c r="K124" s="9">
        <f t="shared" si="10"/>
        <v>349.34440528457003</v>
      </c>
      <c r="L124" s="10">
        <f t="shared" si="7"/>
        <v>0.34116184986690162</v>
      </c>
      <c r="M124" s="10">
        <f t="shared" si="11"/>
        <v>0.34643582428254854</v>
      </c>
      <c r="P124" s="8">
        <f t="shared" si="12"/>
        <v>41.895984201590153</v>
      </c>
      <c r="X124" s="8">
        <v>-13</v>
      </c>
    </row>
    <row r="125" spans="1:24" x14ac:dyDescent="0.2">
      <c r="A125" s="8">
        <v>61.5</v>
      </c>
      <c r="B125" s="8">
        <v>123</v>
      </c>
      <c r="D125">
        <v>1175.6344262294999</v>
      </c>
      <c r="E125">
        <v>466.60737704918</v>
      </c>
      <c r="F125">
        <v>145.60278460279</v>
      </c>
      <c r="G125">
        <v>120.01638001638</v>
      </c>
      <c r="I125" s="9">
        <f t="shared" si="8"/>
        <v>346.59099703280003</v>
      </c>
      <c r="J125" s="9">
        <f t="shared" si="9"/>
        <v>1030.0316416267099</v>
      </c>
      <c r="K125" s="9">
        <f t="shared" si="10"/>
        <v>346.59099703280003</v>
      </c>
      <c r="L125" s="10">
        <f t="shared" si="7"/>
        <v>0.33648577677228952</v>
      </c>
      <c r="M125" s="10">
        <f t="shared" si="11"/>
        <v>0.34180298048642538</v>
      </c>
      <c r="P125" s="8">
        <f t="shared" si="12"/>
        <v>39.998426604986129</v>
      </c>
      <c r="X125" s="8">
        <v>-13</v>
      </c>
    </row>
    <row r="126" spans="1:24" x14ac:dyDescent="0.2">
      <c r="A126" s="8">
        <v>62</v>
      </c>
      <c r="B126" s="8">
        <v>124</v>
      </c>
      <c r="D126">
        <v>1169.9745901639001</v>
      </c>
      <c r="E126">
        <v>461.98852459016001</v>
      </c>
      <c r="F126">
        <v>145.69615069615</v>
      </c>
      <c r="G126">
        <v>120.2932022932</v>
      </c>
      <c r="I126" s="9">
        <f t="shared" si="8"/>
        <v>341.69532229696</v>
      </c>
      <c r="J126" s="9">
        <f t="shared" si="9"/>
        <v>1024.2784394677501</v>
      </c>
      <c r="K126" s="9">
        <f t="shared" si="10"/>
        <v>341.69532229696</v>
      </c>
      <c r="L126" s="10">
        <f t="shared" si="7"/>
        <v>0.33359612887538326</v>
      </c>
      <c r="M126" s="10">
        <f t="shared" si="11"/>
        <v>0.33895656188800805</v>
      </c>
      <c r="P126" s="8">
        <f t="shared" si="12"/>
        <v>38.832567475640637</v>
      </c>
      <c r="X126" s="8">
        <v>-13</v>
      </c>
    </row>
    <row r="127" spans="1:24" x14ac:dyDescent="0.2">
      <c r="A127" s="8">
        <v>62.5</v>
      </c>
      <c r="B127" s="8">
        <v>125</v>
      </c>
      <c r="D127">
        <v>1169.9729508196999</v>
      </c>
      <c r="E127">
        <v>457.23606557377002</v>
      </c>
      <c r="F127">
        <v>145.89926289926001</v>
      </c>
      <c r="G127">
        <v>120.8018018018</v>
      </c>
      <c r="I127" s="9">
        <f t="shared" si="8"/>
        <v>336.43426377197</v>
      </c>
      <c r="J127" s="9">
        <f t="shared" si="9"/>
        <v>1024.0736879204399</v>
      </c>
      <c r="K127" s="9">
        <f t="shared" si="10"/>
        <v>336.43426377197</v>
      </c>
      <c r="L127" s="10">
        <f t="shared" si="7"/>
        <v>0.32852544474134321</v>
      </c>
      <c r="M127" s="10">
        <f t="shared" si="11"/>
        <v>0.33392910705245687</v>
      </c>
      <c r="P127" s="8">
        <f t="shared" si="12"/>
        <v>36.77338190094742</v>
      </c>
      <c r="X127" s="8">
        <v>-13</v>
      </c>
    </row>
    <row r="128" spans="1:24" x14ac:dyDescent="0.2">
      <c r="A128" s="8">
        <v>63</v>
      </c>
      <c r="B128" s="8">
        <v>126</v>
      </c>
      <c r="D128">
        <v>1170.2778688525</v>
      </c>
      <c r="E128">
        <v>452.21639344262002</v>
      </c>
      <c r="F128">
        <v>145.56511056510999</v>
      </c>
      <c r="G128">
        <v>120.22113022113</v>
      </c>
      <c r="I128" s="9">
        <f t="shared" si="8"/>
        <v>331.99526322149001</v>
      </c>
      <c r="J128" s="9">
        <f t="shared" si="9"/>
        <v>1024.71275828739</v>
      </c>
      <c r="K128" s="9">
        <f t="shared" si="10"/>
        <v>331.99526322149001</v>
      </c>
      <c r="L128" s="10">
        <f t="shared" si="7"/>
        <v>0.32398861099022142</v>
      </c>
      <c r="M128" s="10">
        <f t="shared" si="11"/>
        <v>0.32943550259982401</v>
      </c>
      <c r="P128" s="8">
        <f t="shared" si="12"/>
        <v>34.93285507974042</v>
      </c>
      <c r="X128" s="8">
        <v>-13</v>
      </c>
    </row>
    <row r="129" spans="1:24" x14ac:dyDescent="0.2">
      <c r="A129" s="8">
        <v>63.5</v>
      </c>
      <c r="B129" s="8">
        <v>127</v>
      </c>
      <c r="D129">
        <v>1171.3655737705001</v>
      </c>
      <c r="E129">
        <v>448.59016393443</v>
      </c>
      <c r="F129">
        <v>146.11629811629999</v>
      </c>
      <c r="G129">
        <v>120.37837837838001</v>
      </c>
      <c r="I129" s="9">
        <f t="shared" si="8"/>
        <v>328.21178555605002</v>
      </c>
      <c r="J129" s="9">
        <f t="shared" si="9"/>
        <v>1025.2492756542001</v>
      </c>
      <c r="K129" s="9">
        <f t="shared" si="10"/>
        <v>328.21178555605002</v>
      </c>
      <c r="L129" s="10">
        <f t="shared" si="7"/>
        <v>0.32012876609605184</v>
      </c>
      <c r="M129" s="10">
        <f t="shared" si="11"/>
        <v>0.32561888700414332</v>
      </c>
      <c r="P129" s="8">
        <f t="shared" si="12"/>
        <v>33.369614824810668</v>
      </c>
      <c r="X129" s="8">
        <v>-13</v>
      </c>
    </row>
    <row r="130" spans="1:24" x14ac:dyDescent="0.2">
      <c r="A130" s="8">
        <v>64</v>
      </c>
      <c r="B130" s="8">
        <v>128</v>
      </c>
      <c r="D130">
        <v>1163.4918032787</v>
      </c>
      <c r="E130">
        <v>443.61147540984001</v>
      </c>
      <c r="F130">
        <v>145.95823095822999</v>
      </c>
      <c r="G130">
        <v>120.32923832924</v>
      </c>
      <c r="I130" s="9">
        <f t="shared" si="8"/>
        <v>323.2822370806</v>
      </c>
      <c r="J130" s="9">
        <f t="shared" si="9"/>
        <v>1017.5335723204701</v>
      </c>
      <c r="K130" s="9">
        <f t="shared" si="10"/>
        <v>323.2822370806</v>
      </c>
      <c r="L130" s="10">
        <f t="shared" ref="L130:L193" si="14">K130/J130</f>
        <v>0.31771161745883203</v>
      </c>
      <c r="M130" s="10">
        <f t="shared" si="11"/>
        <v>0.32324496766541244</v>
      </c>
      <c r="P130" s="8">
        <f t="shared" si="12"/>
        <v>32.397285760164984</v>
      </c>
      <c r="X130" s="8">
        <v>-13</v>
      </c>
    </row>
    <row r="131" spans="1:24" x14ac:dyDescent="0.2">
      <c r="A131" s="8">
        <v>64.5</v>
      </c>
      <c r="B131" s="8">
        <v>129</v>
      </c>
      <c r="D131">
        <v>1162.0967213115</v>
      </c>
      <c r="E131">
        <v>436.41065573770999</v>
      </c>
      <c r="F131">
        <v>145.38493038492999</v>
      </c>
      <c r="G131">
        <v>120.2497952498</v>
      </c>
      <c r="I131" s="9">
        <f t="shared" ref="I131:I194" si="15">E131-G131</f>
        <v>316.16086048790999</v>
      </c>
      <c r="J131" s="9">
        <f t="shared" ref="J131:J194" si="16">D131-F131</f>
        <v>1016.7117909265701</v>
      </c>
      <c r="K131" s="9">
        <f t="shared" ref="K131:K194" si="17">I131*1</f>
        <v>316.16086048790999</v>
      </c>
      <c r="L131" s="10">
        <f t="shared" si="14"/>
        <v>0.3109640935704896</v>
      </c>
      <c r="M131" s="10">
        <f t="shared" ref="M131:M181" si="18">L131+ABS($N$2)*A131</f>
        <v>0.31654067307555889</v>
      </c>
      <c r="P131" s="8">
        <f t="shared" ref="P131:P194" si="19">(M131-$O$2)/$O$2*100</f>
        <v>29.651286609601417</v>
      </c>
      <c r="X131" s="8">
        <v>-13</v>
      </c>
    </row>
    <row r="132" spans="1:24" x14ac:dyDescent="0.2">
      <c r="A132" s="8">
        <v>65</v>
      </c>
      <c r="B132" s="8">
        <v>130</v>
      </c>
      <c r="D132">
        <v>1174.7760586319</v>
      </c>
      <c r="E132">
        <v>440.35912052116998</v>
      </c>
      <c r="F132">
        <v>145.85421785422</v>
      </c>
      <c r="G132">
        <v>120.11547911548</v>
      </c>
      <c r="I132" s="9">
        <f t="shared" si="15"/>
        <v>320.24364140568997</v>
      </c>
      <c r="J132" s="9">
        <f t="shared" si="16"/>
        <v>1028.92184077768</v>
      </c>
      <c r="K132" s="9">
        <f t="shared" si="17"/>
        <v>320.24364140568997</v>
      </c>
      <c r="L132" s="10">
        <f t="shared" si="14"/>
        <v>0.31124195124835075</v>
      </c>
      <c r="M132" s="10">
        <f t="shared" si="18"/>
        <v>0.31686176005190897</v>
      </c>
      <c r="P132" s="8">
        <f t="shared" si="19"/>
        <v>29.782800007841519</v>
      </c>
      <c r="X132" s="8">
        <v>-13</v>
      </c>
    </row>
    <row r="133" spans="1:24" x14ac:dyDescent="0.2">
      <c r="A133" s="8">
        <v>65.5</v>
      </c>
      <c r="B133" s="8">
        <v>131</v>
      </c>
      <c r="D133">
        <v>1175.9666123779</v>
      </c>
      <c r="E133">
        <v>440.03908794787998</v>
      </c>
      <c r="F133">
        <v>145.57166257166</v>
      </c>
      <c r="G133">
        <v>120.12858312858</v>
      </c>
      <c r="I133" s="9">
        <f t="shared" si="15"/>
        <v>319.91050481929994</v>
      </c>
      <c r="J133" s="9">
        <f t="shared" si="16"/>
        <v>1030.39494980624</v>
      </c>
      <c r="K133" s="9">
        <f t="shared" si="17"/>
        <v>319.91050481929994</v>
      </c>
      <c r="L133" s="10">
        <f t="shared" si="14"/>
        <v>0.31047367310899315</v>
      </c>
      <c r="M133" s="10">
        <f t="shared" si="18"/>
        <v>0.31613671121104031</v>
      </c>
      <c r="P133" s="8">
        <f t="shared" si="19"/>
        <v>29.485828645014529</v>
      </c>
      <c r="X133" s="8">
        <v>-13</v>
      </c>
    </row>
    <row r="134" spans="1:24" x14ac:dyDescent="0.2">
      <c r="A134" s="8">
        <v>66</v>
      </c>
      <c r="B134" s="8">
        <v>132</v>
      </c>
      <c r="D134">
        <v>1176.8827361563999</v>
      </c>
      <c r="E134">
        <v>437.21335504886002</v>
      </c>
      <c r="F134">
        <v>146.14086814087</v>
      </c>
      <c r="G134">
        <v>119.96723996724</v>
      </c>
      <c r="I134" s="9">
        <f t="shared" si="15"/>
        <v>317.24611508162002</v>
      </c>
      <c r="J134" s="9">
        <f t="shared" si="16"/>
        <v>1030.7418680155299</v>
      </c>
      <c r="K134" s="9">
        <f t="shared" si="17"/>
        <v>317.24611508162002</v>
      </c>
      <c r="L134" s="10">
        <f t="shared" si="14"/>
        <v>0.30778425222253625</v>
      </c>
      <c r="M134" s="10">
        <f t="shared" si="18"/>
        <v>0.31349051962307228</v>
      </c>
      <c r="P134" s="8">
        <f t="shared" si="19"/>
        <v>28.401980112495405</v>
      </c>
      <c r="X134" s="8">
        <v>-13</v>
      </c>
    </row>
    <row r="135" spans="1:24" x14ac:dyDescent="0.2">
      <c r="A135" s="8">
        <v>66.5</v>
      </c>
      <c r="B135" s="8">
        <v>133</v>
      </c>
      <c r="D135">
        <v>1169.5618892508</v>
      </c>
      <c r="E135">
        <v>430.26872964169002</v>
      </c>
      <c r="F135">
        <v>146.12366912367</v>
      </c>
      <c r="G135">
        <v>120.09991809992</v>
      </c>
      <c r="I135" s="9">
        <f t="shared" si="15"/>
        <v>310.16881154177003</v>
      </c>
      <c r="J135" s="9">
        <f t="shared" si="16"/>
        <v>1023.4382201271301</v>
      </c>
      <c r="K135" s="9">
        <f t="shared" si="17"/>
        <v>310.16881154177003</v>
      </c>
      <c r="L135" s="10">
        <f t="shared" si="14"/>
        <v>0.3030654957396855</v>
      </c>
      <c r="M135" s="10">
        <f t="shared" si="18"/>
        <v>0.30881499243871047</v>
      </c>
      <c r="P135" s="8">
        <f t="shared" si="19"/>
        <v>26.48693990884367</v>
      </c>
      <c r="X135" s="8">
        <v>-13</v>
      </c>
    </row>
    <row r="136" spans="1:24" x14ac:dyDescent="0.2">
      <c r="A136" s="8">
        <v>67</v>
      </c>
      <c r="B136" s="8">
        <v>134</v>
      </c>
      <c r="D136">
        <v>1164.3346905538001</v>
      </c>
      <c r="E136">
        <v>432.77280130293002</v>
      </c>
      <c r="F136">
        <v>145.78869778870001</v>
      </c>
      <c r="G136">
        <v>120.0515970516</v>
      </c>
      <c r="I136" s="9">
        <f t="shared" si="15"/>
        <v>312.72120425133005</v>
      </c>
      <c r="J136" s="9">
        <f t="shared" si="16"/>
        <v>1018.5459927651001</v>
      </c>
      <c r="K136" s="9">
        <f t="shared" si="17"/>
        <v>312.72120425133005</v>
      </c>
      <c r="L136" s="10">
        <f t="shared" si="14"/>
        <v>0.30702708220604691</v>
      </c>
      <c r="M136" s="10">
        <f t="shared" si="18"/>
        <v>0.31281980820356076</v>
      </c>
      <c r="P136" s="8">
        <f t="shared" si="19"/>
        <v>28.127264709768429</v>
      </c>
      <c r="X136" s="8">
        <v>-13</v>
      </c>
    </row>
    <row r="137" spans="1:24" x14ac:dyDescent="0.2">
      <c r="A137" s="8">
        <v>67.5</v>
      </c>
      <c r="B137" s="8">
        <v>135</v>
      </c>
      <c r="D137">
        <v>1163.8550488599001</v>
      </c>
      <c r="E137">
        <v>428.58387622150002</v>
      </c>
      <c r="F137">
        <v>146.07125307125</v>
      </c>
      <c r="G137">
        <v>120.0990990991</v>
      </c>
      <c r="I137" s="9">
        <f t="shared" si="15"/>
        <v>308.48477712240003</v>
      </c>
      <c r="J137" s="9">
        <f t="shared" si="16"/>
        <v>1017.7837957886501</v>
      </c>
      <c r="K137" s="9">
        <f t="shared" si="17"/>
        <v>308.48477712240003</v>
      </c>
      <c r="L137" s="10">
        <f t="shared" si="14"/>
        <v>0.30309460457008403</v>
      </c>
      <c r="M137" s="10">
        <f t="shared" si="18"/>
        <v>0.30893055986608681</v>
      </c>
      <c r="P137" s="8">
        <f t="shared" si="19"/>
        <v>26.534274949563468</v>
      </c>
      <c r="X137" s="8">
        <v>-13</v>
      </c>
    </row>
    <row r="138" spans="1:24" x14ac:dyDescent="0.2">
      <c r="A138" s="8">
        <v>68</v>
      </c>
      <c r="B138" s="8">
        <v>136</v>
      </c>
      <c r="D138">
        <v>1160.5285016287</v>
      </c>
      <c r="E138">
        <v>425.64413680782002</v>
      </c>
      <c r="F138">
        <v>145.55528255528</v>
      </c>
      <c r="G138">
        <v>119.81818181817999</v>
      </c>
      <c r="I138" s="9">
        <f t="shared" si="15"/>
        <v>305.82595498964002</v>
      </c>
      <c r="J138" s="9">
        <f t="shared" si="16"/>
        <v>1014.9732190734201</v>
      </c>
      <c r="K138" s="9">
        <f t="shared" si="17"/>
        <v>305.82595498964002</v>
      </c>
      <c r="L138" s="10">
        <f t="shared" si="14"/>
        <v>0.30131430981876728</v>
      </c>
      <c r="M138" s="10">
        <f t="shared" si="18"/>
        <v>0.30719349441325894</v>
      </c>
      <c r="P138" s="8">
        <f t="shared" si="19"/>
        <v>25.822793645451675</v>
      </c>
      <c r="X138" s="8">
        <v>-13</v>
      </c>
    </row>
    <row r="139" spans="1:24" x14ac:dyDescent="0.2">
      <c r="A139" s="8">
        <v>68.5</v>
      </c>
      <c r="B139" s="8">
        <v>137</v>
      </c>
      <c r="D139">
        <v>1166.2605863192</v>
      </c>
      <c r="E139">
        <v>426.26872964169002</v>
      </c>
      <c r="F139">
        <v>146.52334152334001</v>
      </c>
      <c r="G139">
        <v>120.14987714988</v>
      </c>
      <c r="I139" s="9">
        <f t="shared" si="15"/>
        <v>306.11885249181</v>
      </c>
      <c r="J139" s="9">
        <f t="shared" si="16"/>
        <v>1019.73724479586</v>
      </c>
      <c r="K139" s="9">
        <f t="shared" si="17"/>
        <v>306.11885249181</v>
      </c>
      <c r="L139" s="10">
        <f t="shared" si="14"/>
        <v>0.30019385293031203</v>
      </c>
      <c r="M139" s="10">
        <f t="shared" si="18"/>
        <v>0.30611626682329263</v>
      </c>
      <c r="P139" s="8">
        <f t="shared" si="19"/>
        <v>25.381574064872993</v>
      </c>
      <c r="X139" s="8">
        <v>-13</v>
      </c>
    </row>
    <row r="140" spans="1:24" x14ac:dyDescent="0.2">
      <c r="A140" s="8">
        <v>69</v>
      </c>
      <c r="B140" s="8">
        <v>138</v>
      </c>
      <c r="D140">
        <v>1161.9991856678</v>
      </c>
      <c r="E140">
        <v>422.33469055375002</v>
      </c>
      <c r="F140">
        <v>145.7674037674</v>
      </c>
      <c r="G140">
        <v>120.19000819001</v>
      </c>
      <c r="I140" s="9">
        <f t="shared" si="15"/>
        <v>302.14468236374</v>
      </c>
      <c r="J140" s="9">
        <f t="shared" si="16"/>
        <v>1016.2317819004001</v>
      </c>
      <c r="K140" s="9">
        <f t="shared" si="17"/>
        <v>302.14468236374</v>
      </c>
      <c r="L140" s="10">
        <f t="shared" si="14"/>
        <v>0.29731867054848016</v>
      </c>
      <c r="M140" s="10">
        <f t="shared" si="18"/>
        <v>0.30328431373994963</v>
      </c>
      <c r="P140" s="8">
        <f t="shared" si="19"/>
        <v>24.22163983807679</v>
      </c>
      <c r="X140" s="8">
        <v>-13</v>
      </c>
    </row>
    <row r="141" spans="1:24" x14ac:dyDescent="0.2">
      <c r="A141" s="8">
        <v>69.5</v>
      </c>
      <c r="B141" s="8">
        <v>139</v>
      </c>
      <c r="D141">
        <v>1154.7605863192</v>
      </c>
      <c r="E141">
        <v>415.50407166124</v>
      </c>
      <c r="F141">
        <v>145.47665847665999</v>
      </c>
      <c r="G141">
        <v>120.23505323505</v>
      </c>
      <c r="I141" s="9">
        <f t="shared" si="15"/>
        <v>295.26901842618997</v>
      </c>
      <c r="J141" s="9">
        <f t="shared" si="16"/>
        <v>1009.28392784254</v>
      </c>
      <c r="K141" s="9">
        <f t="shared" si="17"/>
        <v>295.26901842618997</v>
      </c>
      <c r="L141" s="10">
        <f t="shared" si="14"/>
        <v>0.29255297769118477</v>
      </c>
      <c r="M141" s="10">
        <f t="shared" si="18"/>
        <v>0.29856185018114317</v>
      </c>
      <c r="P141" s="8">
        <f t="shared" si="19"/>
        <v>22.287375054921853</v>
      </c>
      <c r="X141" s="8">
        <v>-13</v>
      </c>
    </row>
    <row r="142" spans="1:24" x14ac:dyDescent="0.2">
      <c r="A142" s="8">
        <v>70</v>
      </c>
      <c r="B142" s="8">
        <v>140</v>
      </c>
      <c r="D142">
        <v>1163.3501628665001</v>
      </c>
      <c r="E142">
        <v>416.01872964169002</v>
      </c>
      <c r="F142">
        <v>145.70597870597999</v>
      </c>
      <c r="G142">
        <v>120.42506142505999</v>
      </c>
      <c r="I142" s="9">
        <f t="shared" si="15"/>
        <v>295.59366821663002</v>
      </c>
      <c r="J142" s="9">
        <f t="shared" si="16"/>
        <v>1017.6441841605201</v>
      </c>
      <c r="K142" s="9">
        <f t="shared" si="17"/>
        <v>295.59366821663002</v>
      </c>
      <c r="L142" s="10">
        <f t="shared" si="14"/>
        <v>0.29046858697519362</v>
      </c>
      <c r="M142" s="10">
        <f t="shared" si="18"/>
        <v>0.29652068876364096</v>
      </c>
      <c r="P142" s="8">
        <f t="shared" si="19"/>
        <v>21.451339668423923</v>
      </c>
      <c r="X142" s="8">
        <v>-13</v>
      </c>
    </row>
    <row r="143" spans="1:24" x14ac:dyDescent="0.2">
      <c r="A143" s="8">
        <v>70.5</v>
      </c>
      <c r="B143" s="8">
        <v>141</v>
      </c>
      <c r="D143">
        <v>1155.8363192182001</v>
      </c>
      <c r="E143">
        <v>413.83957654723002</v>
      </c>
      <c r="F143">
        <v>146.11220311220001</v>
      </c>
      <c r="G143">
        <v>119.92710892711</v>
      </c>
      <c r="I143" s="9">
        <f t="shared" si="15"/>
        <v>293.91246762012003</v>
      </c>
      <c r="J143" s="9">
        <f t="shared" si="16"/>
        <v>1009.7241161060001</v>
      </c>
      <c r="K143" s="9">
        <f t="shared" si="17"/>
        <v>293.91246762012003</v>
      </c>
      <c r="L143" s="10">
        <f t="shared" si="14"/>
        <v>0.29108195291362665</v>
      </c>
      <c r="M143" s="10">
        <f t="shared" si="18"/>
        <v>0.29717728400056287</v>
      </c>
      <c r="P143" s="8">
        <f t="shared" si="19"/>
        <v>21.720273251023407</v>
      </c>
      <c r="X143" s="8">
        <v>-13</v>
      </c>
    </row>
    <row r="144" spans="1:24" x14ac:dyDescent="0.2">
      <c r="A144" s="8">
        <v>71</v>
      </c>
      <c r="B144" s="8">
        <v>142</v>
      </c>
      <c r="D144">
        <v>1155.8900651465999</v>
      </c>
      <c r="E144">
        <v>413.11074918566999</v>
      </c>
      <c r="F144">
        <v>146.14332514333</v>
      </c>
      <c r="G144">
        <v>120.16707616708</v>
      </c>
      <c r="I144" s="9">
        <f t="shared" si="15"/>
        <v>292.94367301859</v>
      </c>
      <c r="J144" s="9">
        <f t="shared" si="16"/>
        <v>1009.7467400032699</v>
      </c>
      <c r="K144" s="9">
        <f t="shared" si="17"/>
        <v>292.94367301859</v>
      </c>
      <c r="L144" s="10">
        <f t="shared" si="14"/>
        <v>0.29011598791360432</v>
      </c>
      <c r="M144" s="10">
        <f t="shared" si="18"/>
        <v>0.29625454829902947</v>
      </c>
      <c r="P144" s="8">
        <f t="shared" si="19"/>
        <v>21.342331706443886</v>
      </c>
    </row>
    <row r="145" spans="1:16" x14ac:dyDescent="0.2">
      <c r="A145" s="8">
        <v>71.5</v>
      </c>
      <c r="B145" s="8">
        <v>143</v>
      </c>
      <c r="D145">
        <v>1152.5342019544</v>
      </c>
      <c r="E145">
        <v>412.82573289902001</v>
      </c>
      <c r="F145">
        <v>145.90827190827</v>
      </c>
      <c r="G145">
        <v>120.56265356265</v>
      </c>
      <c r="I145" s="9">
        <f t="shared" si="15"/>
        <v>292.26307933637003</v>
      </c>
      <c r="J145" s="9">
        <f t="shared" si="16"/>
        <v>1006.6259300461301</v>
      </c>
      <c r="K145" s="9">
        <f t="shared" si="17"/>
        <v>292.26307933637003</v>
      </c>
      <c r="L145" s="10">
        <f t="shared" si="14"/>
        <v>0.29033931136959351</v>
      </c>
      <c r="M145" s="10">
        <f t="shared" si="18"/>
        <v>0.29652110105350754</v>
      </c>
      <c r="P145" s="8">
        <f t="shared" si="19"/>
        <v>21.451508537438887</v>
      </c>
    </row>
    <row r="146" spans="1:16" x14ac:dyDescent="0.2">
      <c r="A146" s="8">
        <v>72</v>
      </c>
      <c r="B146" s="8">
        <v>144</v>
      </c>
      <c r="D146">
        <v>1181.9168026100999</v>
      </c>
      <c r="E146">
        <v>420.30750407829998</v>
      </c>
      <c r="F146">
        <v>145.62325962326</v>
      </c>
      <c r="G146">
        <v>120.58312858313001</v>
      </c>
      <c r="I146" s="9">
        <f t="shared" si="15"/>
        <v>299.72437549516997</v>
      </c>
      <c r="J146" s="9">
        <f t="shared" si="16"/>
        <v>1036.2935429868398</v>
      </c>
      <c r="K146" s="9">
        <f t="shared" si="17"/>
        <v>299.72437549516997</v>
      </c>
      <c r="L146" s="10">
        <f t="shared" si="14"/>
        <v>0.28922729232809302</v>
      </c>
      <c r="M146" s="10">
        <f t="shared" si="18"/>
        <v>0.29545231131049599</v>
      </c>
      <c r="P146" s="8">
        <f t="shared" si="19"/>
        <v>21.013744998395939</v>
      </c>
    </row>
    <row r="147" spans="1:16" x14ac:dyDescent="0.2">
      <c r="A147" s="8">
        <v>72.5</v>
      </c>
      <c r="B147" s="8">
        <v>145</v>
      </c>
      <c r="D147">
        <v>1143.7536704731001</v>
      </c>
      <c r="E147">
        <v>407.52854812397999</v>
      </c>
      <c r="F147">
        <v>145.90663390662999</v>
      </c>
      <c r="G147">
        <v>120.00245700246001</v>
      </c>
      <c r="I147" s="9">
        <f t="shared" si="15"/>
        <v>287.52609112151998</v>
      </c>
      <c r="J147" s="9">
        <f t="shared" si="16"/>
        <v>997.84703656647014</v>
      </c>
      <c r="K147" s="9">
        <f t="shared" si="17"/>
        <v>287.52609112151998</v>
      </c>
      <c r="L147" s="10">
        <f t="shared" si="14"/>
        <v>0.28814645991321419</v>
      </c>
      <c r="M147" s="10">
        <f t="shared" si="18"/>
        <v>0.29441470819410603</v>
      </c>
      <c r="P147" s="8">
        <f t="shared" si="19"/>
        <v>20.588755129880756</v>
      </c>
    </row>
    <row r="148" spans="1:16" x14ac:dyDescent="0.2">
      <c r="A148" s="8">
        <v>73</v>
      </c>
      <c r="B148" s="8">
        <v>146</v>
      </c>
      <c r="D148">
        <v>1087.7137030995</v>
      </c>
      <c r="E148">
        <v>392.20554649266001</v>
      </c>
      <c r="F148">
        <v>145.66420966421001</v>
      </c>
      <c r="G148">
        <v>119.70843570844001</v>
      </c>
      <c r="I148" s="9">
        <f t="shared" si="15"/>
        <v>272.49711078422001</v>
      </c>
      <c r="J148" s="9">
        <f t="shared" si="16"/>
        <v>942.04949343528995</v>
      </c>
      <c r="K148" s="9">
        <f t="shared" si="17"/>
        <v>272.49711078422001</v>
      </c>
      <c r="L148" s="10">
        <f t="shared" si="14"/>
        <v>0.2892598665814558</v>
      </c>
      <c r="M148" s="10">
        <f t="shared" si="18"/>
        <v>0.29557134416083658</v>
      </c>
      <c r="P148" s="8">
        <f t="shared" si="19"/>
        <v>21.06249943505496</v>
      </c>
    </row>
    <row r="149" spans="1:16" x14ac:dyDescent="0.2">
      <c r="A149" s="8">
        <v>73.5</v>
      </c>
      <c r="B149" s="8">
        <v>147</v>
      </c>
      <c r="D149">
        <v>1142.3409461664</v>
      </c>
      <c r="E149">
        <v>403.93556280587001</v>
      </c>
      <c r="F149">
        <v>146.16625716626001</v>
      </c>
      <c r="G149">
        <v>120.17117117117</v>
      </c>
      <c r="I149" s="9">
        <f t="shared" si="15"/>
        <v>283.76439163470002</v>
      </c>
      <c r="J149" s="9">
        <f t="shared" si="16"/>
        <v>996.17468900014001</v>
      </c>
      <c r="K149" s="9">
        <f t="shared" si="17"/>
        <v>283.76439163470002</v>
      </c>
      <c r="L149" s="10">
        <f t="shared" si="14"/>
        <v>0.28485404695386729</v>
      </c>
      <c r="M149" s="10">
        <f t="shared" si="18"/>
        <v>0.291208753831737</v>
      </c>
      <c r="P149" s="8">
        <f t="shared" si="19"/>
        <v>19.275634437193055</v>
      </c>
    </row>
    <row r="150" spans="1:16" x14ac:dyDescent="0.2">
      <c r="A150" s="8">
        <v>74</v>
      </c>
      <c r="B150" s="8">
        <v>148</v>
      </c>
      <c r="D150">
        <v>1150.3939641109</v>
      </c>
      <c r="E150">
        <v>404.32952691679998</v>
      </c>
      <c r="F150">
        <v>146.01146601146999</v>
      </c>
      <c r="G150">
        <v>119.9180999181</v>
      </c>
      <c r="I150" s="9">
        <f t="shared" si="15"/>
        <v>284.41142699869999</v>
      </c>
      <c r="J150" s="9">
        <f t="shared" si="16"/>
        <v>1004.38249809943</v>
      </c>
      <c r="K150" s="9">
        <f t="shared" si="17"/>
        <v>284.41142699869999</v>
      </c>
      <c r="L150" s="10">
        <f t="shared" si="14"/>
        <v>0.28317043311376416</v>
      </c>
      <c r="M150" s="10">
        <f t="shared" si="18"/>
        <v>0.28956836929012275</v>
      </c>
      <c r="P150" s="8">
        <f t="shared" si="19"/>
        <v>18.60375248190315</v>
      </c>
    </row>
    <row r="151" spans="1:16" x14ac:dyDescent="0.2">
      <c r="A151" s="8">
        <v>74.5</v>
      </c>
      <c r="B151" s="8">
        <v>149</v>
      </c>
      <c r="D151">
        <v>1145.0089722675</v>
      </c>
      <c r="E151">
        <v>400.62479608483</v>
      </c>
      <c r="F151">
        <v>145.68468468469001</v>
      </c>
      <c r="G151">
        <v>120.05241605242</v>
      </c>
      <c r="I151" s="9">
        <f t="shared" si="15"/>
        <v>280.57238003241002</v>
      </c>
      <c r="J151" s="9">
        <f t="shared" si="16"/>
        <v>999.32428758281003</v>
      </c>
      <c r="K151" s="9">
        <f t="shared" si="17"/>
        <v>280.57238003241002</v>
      </c>
      <c r="L151" s="10">
        <f t="shared" si="14"/>
        <v>0.28076209446591693</v>
      </c>
      <c r="M151" s="10">
        <f t="shared" si="18"/>
        <v>0.28720325994076445</v>
      </c>
      <c r="P151" s="8">
        <f t="shared" si="19"/>
        <v>17.635031883891706</v>
      </c>
    </row>
    <row r="152" spans="1:16" x14ac:dyDescent="0.2">
      <c r="A152" s="8">
        <v>75</v>
      </c>
      <c r="B152" s="8">
        <v>150</v>
      </c>
      <c r="D152">
        <v>1113.8115823817</v>
      </c>
      <c r="E152">
        <v>389.20636215334002</v>
      </c>
      <c r="F152">
        <v>145.68796068795999</v>
      </c>
      <c r="G152">
        <v>120.14823914823999</v>
      </c>
      <c r="I152" s="9">
        <f t="shared" si="15"/>
        <v>269.05812300510001</v>
      </c>
      <c r="J152" s="9">
        <f t="shared" si="16"/>
        <v>968.12362169374001</v>
      </c>
      <c r="K152" s="9">
        <f t="shared" si="17"/>
        <v>269.05812300510001</v>
      </c>
      <c r="L152" s="10">
        <f t="shared" si="14"/>
        <v>0.27791711407101161</v>
      </c>
      <c r="M152" s="10">
        <f t="shared" si="18"/>
        <v>0.28440150884434801</v>
      </c>
      <c r="P152" s="8">
        <f t="shared" si="19"/>
        <v>16.487468030940825</v>
      </c>
    </row>
    <row r="153" spans="1:16" x14ac:dyDescent="0.2">
      <c r="A153" s="8">
        <v>75.5</v>
      </c>
      <c r="B153" s="8">
        <v>151</v>
      </c>
      <c r="D153">
        <v>1138.9827727646</v>
      </c>
      <c r="E153">
        <v>394.67022149303</v>
      </c>
      <c r="F153">
        <v>146.03194103193999</v>
      </c>
      <c r="G153">
        <v>120.29975429975001</v>
      </c>
      <c r="I153" s="9">
        <f t="shared" si="15"/>
        <v>274.37046719327998</v>
      </c>
      <c r="J153" s="9">
        <f t="shared" si="16"/>
        <v>992.95083173265994</v>
      </c>
      <c r="K153" s="9">
        <f t="shared" si="17"/>
        <v>274.37046719327998</v>
      </c>
      <c r="L153" s="10">
        <f t="shared" si="14"/>
        <v>0.27631828125317581</v>
      </c>
      <c r="M153" s="10">
        <f t="shared" si="18"/>
        <v>0.28284590532500115</v>
      </c>
      <c r="P153" s="8">
        <f t="shared" si="19"/>
        <v>15.850311371804002</v>
      </c>
    </row>
    <row r="154" spans="1:16" x14ac:dyDescent="0.2">
      <c r="A154" s="8">
        <v>76</v>
      </c>
      <c r="B154" s="8">
        <v>152</v>
      </c>
      <c r="D154">
        <v>1130.1074651353999</v>
      </c>
      <c r="E154">
        <v>392.50205086135998</v>
      </c>
      <c r="F154">
        <v>146.08271908271999</v>
      </c>
      <c r="G154">
        <v>120.06633906634001</v>
      </c>
      <c r="I154" s="9">
        <f t="shared" si="15"/>
        <v>272.43571179501998</v>
      </c>
      <c r="J154" s="9">
        <f t="shared" si="16"/>
        <v>984.02474605267992</v>
      </c>
      <c r="K154" s="9">
        <f t="shared" si="17"/>
        <v>272.43571179501998</v>
      </c>
      <c r="L154" s="10">
        <f t="shared" si="14"/>
        <v>0.27685859820890629</v>
      </c>
      <c r="M154" s="10">
        <f t="shared" si="18"/>
        <v>0.2834294515792205</v>
      </c>
      <c r="P154" s="8">
        <f t="shared" si="19"/>
        <v>16.089324961813311</v>
      </c>
    </row>
    <row r="155" spans="1:16" x14ac:dyDescent="0.2">
      <c r="A155" s="8">
        <v>76.5</v>
      </c>
      <c r="B155" s="8">
        <v>153</v>
      </c>
      <c r="D155">
        <v>1118.0171009772</v>
      </c>
      <c r="E155">
        <v>387.65716612377997</v>
      </c>
      <c r="F155">
        <v>145.98607698608001</v>
      </c>
      <c r="G155">
        <v>120.24897624898</v>
      </c>
      <c r="I155" s="9">
        <f t="shared" si="15"/>
        <v>267.40818987479997</v>
      </c>
      <c r="J155" s="9">
        <f t="shared" si="16"/>
        <v>972.03102399112004</v>
      </c>
      <c r="K155" s="9">
        <f t="shared" si="17"/>
        <v>267.40818987479997</v>
      </c>
      <c r="L155" s="10">
        <f t="shared" si="14"/>
        <v>0.27510252581942579</v>
      </c>
      <c r="M155" s="10">
        <f t="shared" si="18"/>
        <v>0.28171660848822894</v>
      </c>
      <c r="P155" s="8">
        <f t="shared" si="19"/>
        <v>15.387764848385444</v>
      </c>
    </row>
    <row r="156" spans="1:16" x14ac:dyDescent="0.2">
      <c r="A156" s="8">
        <v>77</v>
      </c>
      <c r="B156" s="8">
        <v>154</v>
      </c>
      <c r="D156">
        <v>1120.513029316</v>
      </c>
      <c r="E156">
        <v>388.44055374593</v>
      </c>
      <c r="F156">
        <v>145.48976248976001</v>
      </c>
      <c r="G156">
        <v>119.97788697788999</v>
      </c>
      <c r="I156" s="9">
        <f t="shared" si="15"/>
        <v>268.46266676803998</v>
      </c>
      <c r="J156" s="9">
        <f t="shared" si="16"/>
        <v>975.02326682624005</v>
      </c>
      <c r="K156" s="9">
        <f t="shared" si="17"/>
        <v>268.46266676803998</v>
      </c>
      <c r="L156" s="10">
        <f t="shared" si="14"/>
        <v>0.27533975434442942</v>
      </c>
      <c r="M156" s="10">
        <f t="shared" si="18"/>
        <v>0.28199706631172144</v>
      </c>
      <c r="P156" s="8">
        <f t="shared" si="19"/>
        <v>15.502637029903971</v>
      </c>
    </row>
    <row r="157" spans="1:16" x14ac:dyDescent="0.2">
      <c r="A157" s="8">
        <v>77.5</v>
      </c>
      <c r="B157" s="8">
        <v>155</v>
      </c>
      <c r="D157">
        <v>1114.3289902280001</v>
      </c>
      <c r="E157">
        <v>385.89983713355002</v>
      </c>
      <c r="F157">
        <v>146.085995086</v>
      </c>
      <c r="G157">
        <v>120.24733824734</v>
      </c>
      <c r="I157" s="9">
        <f t="shared" si="15"/>
        <v>265.65249888621003</v>
      </c>
      <c r="J157" s="9">
        <f t="shared" si="16"/>
        <v>968.24299514200004</v>
      </c>
      <c r="K157" s="9">
        <f t="shared" si="17"/>
        <v>265.65249888621003</v>
      </c>
      <c r="L157" s="10">
        <f t="shared" si="14"/>
        <v>0.27436552623574634</v>
      </c>
      <c r="M157" s="10">
        <f t="shared" si="18"/>
        <v>0.28106606750152729</v>
      </c>
      <c r="P157" s="8">
        <f t="shared" si="19"/>
        <v>15.121311014511102</v>
      </c>
    </row>
    <row r="158" spans="1:16" x14ac:dyDescent="0.2">
      <c r="A158" s="8">
        <v>78</v>
      </c>
      <c r="B158" s="8">
        <v>156</v>
      </c>
      <c r="D158">
        <v>1112.7442996743</v>
      </c>
      <c r="E158">
        <v>385.13436482085001</v>
      </c>
      <c r="F158">
        <v>146.04750204749999</v>
      </c>
      <c r="G158">
        <v>120.35954135954</v>
      </c>
      <c r="I158" s="9">
        <f t="shared" si="15"/>
        <v>264.77482346131001</v>
      </c>
      <c r="J158" s="9">
        <f t="shared" si="16"/>
        <v>966.69679762680005</v>
      </c>
      <c r="K158" s="9">
        <f t="shared" si="17"/>
        <v>264.77482346131001</v>
      </c>
      <c r="L158" s="10">
        <f t="shared" si="14"/>
        <v>0.27389645244643518</v>
      </c>
      <c r="M158" s="10">
        <f t="shared" si="18"/>
        <v>0.28064022301070507</v>
      </c>
      <c r="P158" s="8">
        <f t="shared" si="19"/>
        <v>14.946890187025424</v>
      </c>
    </row>
    <row r="159" spans="1:16" x14ac:dyDescent="0.2">
      <c r="A159" s="8">
        <v>78.5</v>
      </c>
      <c r="B159" s="8">
        <v>157</v>
      </c>
      <c r="D159">
        <v>1110.8070032573</v>
      </c>
      <c r="E159">
        <v>383.95358306189001</v>
      </c>
      <c r="F159">
        <v>145.85831285831</v>
      </c>
      <c r="G159">
        <v>120.37837837838001</v>
      </c>
      <c r="I159" s="9">
        <f t="shared" si="15"/>
        <v>263.57520468351004</v>
      </c>
      <c r="J159" s="9">
        <f t="shared" si="16"/>
        <v>964.94869039899004</v>
      </c>
      <c r="K159" s="9">
        <f t="shared" si="17"/>
        <v>263.57520468351004</v>
      </c>
      <c r="L159" s="10">
        <f t="shared" si="14"/>
        <v>0.27314945064542873</v>
      </c>
      <c r="M159" s="10">
        <f t="shared" si="18"/>
        <v>0.2799364505081875</v>
      </c>
      <c r="P159" s="8">
        <f t="shared" si="19"/>
        <v>14.658633358778642</v>
      </c>
    </row>
    <row r="160" spans="1:16" x14ac:dyDescent="0.2">
      <c r="A160" s="8">
        <v>79</v>
      </c>
      <c r="B160" s="8">
        <v>158</v>
      </c>
      <c r="D160">
        <v>1110.7053061224999</v>
      </c>
      <c r="E160">
        <v>382.92897959184</v>
      </c>
      <c r="F160">
        <v>145.56511056510999</v>
      </c>
      <c r="G160">
        <v>119.89025389024999</v>
      </c>
      <c r="I160" s="9">
        <f t="shared" si="15"/>
        <v>263.03872570159001</v>
      </c>
      <c r="J160" s="9">
        <f t="shared" si="16"/>
        <v>965.14019555738992</v>
      </c>
      <c r="K160" s="9">
        <f t="shared" si="17"/>
        <v>263.03872570159001</v>
      </c>
      <c r="L160" s="10">
        <f t="shared" si="14"/>
        <v>0.27253939573999331</v>
      </c>
      <c r="M160" s="10">
        <f t="shared" si="18"/>
        <v>0.27936962490124101</v>
      </c>
      <c r="P160" s="8">
        <f t="shared" si="19"/>
        <v>14.42646834658655</v>
      </c>
    </row>
    <row r="161" spans="1:16" x14ac:dyDescent="0.2">
      <c r="A161" s="8">
        <v>79.5</v>
      </c>
      <c r="B161" s="8">
        <v>159</v>
      </c>
      <c r="D161">
        <v>1109.5616326531001</v>
      </c>
      <c r="E161">
        <v>383.26612244898001</v>
      </c>
      <c r="F161">
        <v>145.82882882883001</v>
      </c>
      <c r="G161">
        <v>120.21621621622</v>
      </c>
      <c r="I161" s="9">
        <f t="shared" si="15"/>
        <v>263.04990623276001</v>
      </c>
      <c r="J161" s="9">
        <f t="shared" si="16"/>
        <v>963.73280382427015</v>
      </c>
      <c r="K161" s="9">
        <f t="shared" si="17"/>
        <v>263.04990623276001</v>
      </c>
      <c r="L161" s="10">
        <f t="shared" si="14"/>
        <v>0.27294900120544752</v>
      </c>
      <c r="M161" s="10">
        <f t="shared" si="18"/>
        <v>0.2798224596651841</v>
      </c>
      <c r="P161" s="8">
        <f t="shared" si="19"/>
        <v>14.611944068225524</v>
      </c>
    </row>
    <row r="162" spans="1:16" x14ac:dyDescent="0.2">
      <c r="A162" s="8">
        <v>80</v>
      </c>
      <c r="B162" s="4">
        <v>160</v>
      </c>
      <c r="C162" s="4" t="s">
        <v>6</v>
      </c>
      <c r="D162">
        <v>1111.5812244898</v>
      </c>
      <c r="E162">
        <v>383.69551020407999</v>
      </c>
      <c r="F162">
        <v>145.56265356265001</v>
      </c>
      <c r="G162">
        <v>119.83701883702</v>
      </c>
      <c r="H162" s="4"/>
      <c r="I162" s="5">
        <f t="shared" si="15"/>
        <v>263.85849136705997</v>
      </c>
      <c r="J162" s="5">
        <f t="shared" si="16"/>
        <v>966.01857092714999</v>
      </c>
      <c r="K162" s="9">
        <f t="shared" si="17"/>
        <v>263.85849136705997</v>
      </c>
      <c r="L162" s="6">
        <f t="shared" si="14"/>
        <v>0.27314018519728667</v>
      </c>
      <c r="M162" s="6">
        <f t="shared" si="18"/>
        <v>0.28005687295551218</v>
      </c>
      <c r="N162" s="4"/>
      <c r="O162" s="4"/>
      <c r="P162" s="4">
        <f t="shared" si="19"/>
        <v>14.707956957798713</v>
      </c>
    </row>
    <row r="163" spans="1:16" x14ac:dyDescent="0.2">
      <c r="A163" s="8">
        <v>80.5</v>
      </c>
      <c r="B163" s="8">
        <v>161</v>
      </c>
      <c r="D163">
        <v>1109.8040816327</v>
      </c>
      <c r="E163">
        <v>376.92244897959</v>
      </c>
      <c r="F163">
        <v>145.80671580672001</v>
      </c>
      <c r="G163">
        <v>120.38984438983999</v>
      </c>
      <c r="I163" s="9">
        <f t="shared" si="15"/>
        <v>256.53260458975001</v>
      </c>
      <c r="J163" s="9">
        <f t="shared" si="16"/>
        <v>963.99736582597995</v>
      </c>
      <c r="K163" s="9">
        <f t="shared" si="17"/>
        <v>256.53260458975001</v>
      </c>
      <c r="L163" s="10">
        <f t="shared" si="14"/>
        <v>0.26611338752979441</v>
      </c>
      <c r="M163" s="10">
        <f t="shared" si="18"/>
        <v>0.2730733045865088</v>
      </c>
      <c r="P163" s="8">
        <f t="shared" si="19"/>
        <v>11.847570596165886</v>
      </c>
    </row>
    <row r="164" spans="1:16" x14ac:dyDescent="0.2">
      <c r="A164" s="8">
        <v>81</v>
      </c>
      <c r="B164" s="8">
        <v>162</v>
      </c>
      <c r="D164">
        <v>1108.5772690106</v>
      </c>
      <c r="E164">
        <v>367.62387571545003</v>
      </c>
      <c r="F164">
        <v>145.63308763309001</v>
      </c>
      <c r="G164">
        <v>120.06552006552</v>
      </c>
      <c r="I164" s="9">
        <f t="shared" si="15"/>
        <v>247.55835564993004</v>
      </c>
      <c r="J164" s="9">
        <f t="shared" si="16"/>
        <v>962.94418137751006</v>
      </c>
      <c r="K164" s="9">
        <f t="shared" si="17"/>
        <v>247.55835564993004</v>
      </c>
      <c r="L164" s="10">
        <f t="shared" si="14"/>
        <v>0.25708484503825868</v>
      </c>
      <c r="M164" s="10">
        <f t="shared" si="18"/>
        <v>0.26408799139346201</v>
      </c>
      <c r="P164" s="8">
        <f t="shared" si="19"/>
        <v>8.1672934148803549</v>
      </c>
    </row>
    <row r="165" spans="1:16" x14ac:dyDescent="0.2">
      <c r="A165" s="8">
        <v>81.5</v>
      </c>
      <c r="B165" s="8">
        <v>163</v>
      </c>
      <c r="D165">
        <v>1116.3327882256999</v>
      </c>
      <c r="E165">
        <v>365.17497955846</v>
      </c>
      <c r="F165">
        <v>145.93939393938999</v>
      </c>
      <c r="G165">
        <v>120.06388206388</v>
      </c>
      <c r="I165" s="9">
        <f t="shared" si="15"/>
        <v>245.11109749458001</v>
      </c>
      <c r="J165" s="9">
        <f t="shared" si="16"/>
        <v>970.3933942863099</v>
      </c>
      <c r="K165" s="9">
        <f t="shared" si="17"/>
        <v>245.11109749458001</v>
      </c>
      <c r="L165" s="10">
        <f t="shared" si="14"/>
        <v>0.25258941264212809</v>
      </c>
      <c r="M165" s="10">
        <f t="shared" si="18"/>
        <v>0.25963578829582035</v>
      </c>
      <c r="P165" s="8">
        <f t="shared" si="19"/>
        <v>6.3437240951844069</v>
      </c>
    </row>
    <row r="166" spans="1:16" x14ac:dyDescent="0.2">
      <c r="A166" s="8">
        <v>82</v>
      </c>
      <c r="B166" s="8">
        <v>164</v>
      </c>
      <c r="D166">
        <v>1115.3736713001001</v>
      </c>
      <c r="E166">
        <v>361.05478331971</v>
      </c>
      <c r="F166">
        <v>145.74283374282999</v>
      </c>
      <c r="G166">
        <v>120.26044226044</v>
      </c>
      <c r="I166" s="9">
        <f t="shared" si="15"/>
        <v>240.79434105926998</v>
      </c>
      <c r="J166" s="9">
        <f t="shared" si="16"/>
        <v>969.63083755727007</v>
      </c>
      <c r="K166" s="9">
        <f t="shared" si="17"/>
        <v>240.79434105926998</v>
      </c>
      <c r="L166" s="10">
        <f t="shared" si="14"/>
        <v>0.24833610043373622</v>
      </c>
      <c r="M166" s="10">
        <f t="shared" si="18"/>
        <v>0.25542570538591736</v>
      </c>
      <c r="P166" s="8">
        <f t="shared" si="19"/>
        <v>4.6193243183768189</v>
      </c>
    </row>
    <row r="167" spans="1:16" x14ac:dyDescent="0.2">
      <c r="A167" s="8">
        <v>82.5</v>
      </c>
      <c r="B167" s="8">
        <v>165</v>
      </c>
      <c r="D167">
        <v>1117.1978740801001</v>
      </c>
      <c r="E167">
        <v>359.10220768601999</v>
      </c>
      <c r="F167">
        <v>145.84357084357001</v>
      </c>
      <c r="G167">
        <v>120.11875511876001</v>
      </c>
      <c r="I167" s="9">
        <f t="shared" si="15"/>
        <v>238.98345256725997</v>
      </c>
      <c r="J167" s="9">
        <f t="shared" si="16"/>
        <v>971.35430323653009</v>
      </c>
      <c r="K167" s="9">
        <f t="shared" si="17"/>
        <v>238.98345256725997</v>
      </c>
      <c r="L167" s="10">
        <f t="shared" si="14"/>
        <v>0.2460311873545756</v>
      </c>
      <c r="M167" s="10">
        <f t="shared" si="18"/>
        <v>0.25316402160524565</v>
      </c>
      <c r="P167" s="8">
        <f t="shared" si="19"/>
        <v>3.6929656004936362</v>
      </c>
    </row>
    <row r="168" spans="1:16" x14ac:dyDescent="0.2">
      <c r="A168" s="8">
        <v>83</v>
      </c>
      <c r="B168" s="8">
        <v>166</v>
      </c>
      <c r="D168">
        <v>1118.7735077678001</v>
      </c>
      <c r="E168">
        <v>355.72526573997999</v>
      </c>
      <c r="F168">
        <v>145.32350532351001</v>
      </c>
      <c r="G168">
        <v>120.07207207207</v>
      </c>
      <c r="I168" s="9">
        <f t="shared" si="15"/>
        <v>235.65319366790999</v>
      </c>
      <c r="J168" s="9">
        <f t="shared" si="16"/>
        <v>973.45000244429002</v>
      </c>
      <c r="K168" s="9">
        <f t="shared" si="17"/>
        <v>235.65319366790999</v>
      </c>
      <c r="L168" s="10">
        <f t="shared" si="14"/>
        <v>0.24208042845158478</v>
      </c>
      <c r="M168" s="10">
        <f t="shared" si="18"/>
        <v>0.24925649200074373</v>
      </c>
      <c r="P168" s="8">
        <f t="shared" si="19"/>
        <v>2.0924880512219515</v>
      </c>
    </row>
    <row r="169" spans="1:16" x14ac:dyDescent="0.2">
      <c r="A169" s="8">
        <v>83.5</v>
      </c>
      <c r="B169" s="8">
        <v>167</v>
      </c>
      <c r="D169">
        <v>1123.5118560916001</v>
      </c>
      <c r="E169">
        <v>353.51185609158</v>
      </c>
      <c r="F169">
        <v>146.34316134316001</v>
      </c>
      <c r="G169">
        <v>120.00163800164</v>
      </c>
      <c r="I169" s="9">
        <f t="shared" si="15"/>
        <v>233.51021808994</v>
      </c>
      <c r="J169" s="9">
        <f t="shared" si="16"/>
        <v>977.16869474844009</v>
      </c>
      <c r="K169" s="9">
        <f t="shared" si="17"/>
        <v>233.51021808994</v>
      </c>
      <c r="L169" s="10">
        <f t="shared" si="14"/>
        <v>0.23896612667278938</v>
      </c>
      <c r="M169" s="10">
        <f t="shared" si="18"/>
        <v>0.24618541952043727</v>
      </c>
      <c r="P169" s="8">
        <f t="shared" si="19"/>
        <v>0.83461336967026978</v>
      </c>
    </row>
    <row r="170" spans="1:16" x14ac:dyDescent="0.2">
      <c r="A170" s="8">
        <v>84</v>
      </c>
      <c r="B170" s="8">
        <v>168</v>
      </c>
      <c r="D170">
        <v>1122.3744889616</v>
      </c>
      <c r="E170">
        <v>350.70727718723998</v>
      </c>
      <c r="F170">
        <v>145.82473382473</v>
      </c>
      <c r="G170">
        <v>120.02538902539</v>
      </c>
      <c r="I170" s="9">
        <f t="shared" si="15"/>
        <v>230.68188816185</v>
      </c>
      <c r="J170" s="9">
        <f t="shared" si="16"/>
        <v>976.54975513687009</v>
      </c>
      <c r="K170" s="9">
        <f t="shared" si="17"/>
        <v>230.68188816185</v>
      </c>
      <c r="L170" s="10">
        <f t="shared" si="14"/>
        <v>0.23622133634094084</v>
      </c>
      <c r="M170" s="10">
        <f t="shared" si="18"/>
        <v>0.24348385848707763</v>
      </c>
      <c r="P170" s="8">
        <f t="shared" si="19"/>
        <v>-0.27191382769192723</v>
      </c>
    </row>
    <row r="171" spans="1:16" x14ac:dyDescent="0.2">
      <c r="A171" s="8">
        <v>84.5</v>
      </c>
      <c r="B171" s="8">
        <v>169</v>
      </c>
      <c r="D171">
        <v>1117.6434995912</v>
      </c>
      <c r="E171">
        <v>347.62551103842998</v>
      </c>
      <c r="F171">
        <v>145.59623259623001</v>
      </c>
      <c r="G171">
        <v>119.98361998362</v>
      </c>
      <c r="I171" s="9">
        <f t="shared" si="15"/>
        <v>227.64189105480997</v>
      </c>
      <c r="J171" s="9">
        <f t="shared" si="16"/>
        <v>972.04726699496996</v>
      </c>
      <c r="K171" s="9">
        <f t="shared" si="17"/>
        <v>227.64189105480997</v>
      </c>
      <c r="L171" s="10">
        <f t="shared" si="14"/>
        <v>0.23418808815599287</v>
      </c>
      <c r="M171" s="10">
        <f t="shared" si="18"/>
        <v>0.24149383960061857</v>
      </c>
      <c r="P171" s="8">
        <f t="shared" si="19"/>
        <v>-1.087001843080192</v>
      </c>
    </row>
    <row r="172" spans="1:16" x14ac:dyDescent="0.2">
      <c r="A172" s="8">
        <v>85</v>
      </c>
      <c r="B172" s="8">
        <v>170</v>
      </c>
      <c r="D172">
        <v>1120.2984464432</v>
      </c>
      <c r="E172">
        <v>344.84873262469</v>
      </c>
      <c r="F172">
        <v>145.11302211302001</v>
      </c>
      <c r="G172">
        <v>120.09336609336999</v>
      </c>
      <c r="I172" s="9">
        <f t="shared" si="15"/>
        <v>224.75536653132002</v>
      </c>
      <c r="J172" s="9">
        <f t="shared" si="16"/>
        <v>975.18542433018001</v>
      </c>
      <c r="K172" s="9">
        <f t="shared" si="17"/>
        <v>224.75536653132002</v>
      </c>
      <c r="L172" s="10">
        <f t="shared" si="14"/>
        <v>0.23047449328490163</v>
      </c>
      <c r="M172" s="10">
        <f t="shared" si="18"/>
        <v>0.23782347402801624</v>
      </c>
      <c r="P172" s="8">
        <f t="shared" si="19"/>
        <v>-2.5903398318191262</v>
      </c>
    </row>
    <row r="173" spans="1:16" x14ac:dyDescent="0.2">
      <c r="A173" s="8">
        <v>85.5</v>
      </c>
      <c r="B173" s="8">
        <v>171</v>
      </c>
      <c r="D173">
        <v>1118.7972199508999</v>
      </c>
      <c r="E173">
        <v>342.62632869992001</v>
      </c>
      <c r="F173">
        <v>145.83865683866</v>
      </c>
      <c r="G173">
        <v>119.92219492220001</v>
      </c>
      <c r="I173" s="9">
        <f t="shared" si="15"/>
        <v>222.70413377772002</v>
      </c>
      <c r="J173" s="9">
        <f t="shared" si="16"/>
        <v>972.95856311223997</v>
      </c>
      <c r="K173" s="9">
        <f t="shared" si="17"/>
        <v>222.70413377772002</v>
      </c>
      <c r="L173" s="10">
        <f t="shared" si="14"/>
        <v>0.2288937496632413</v>
      </c>
      <c r="M173" s="10">
        <f t="shared" si="18"/>
        <v>0.23628595970484481</v>
      </c>
      <c r="P173" s="8">
        <f t="shared" si="19"/>
        <v>-3.2200873718209841</v>
      </c>
    </row>
    <row r="174" spans="1:16" x14ac:dyDescent="0.2">
      <c r="A174" s="8">
        <v>86</v>
      </c>
      <c r="B174" s="8">
        <v>172</v>
      </c>
      <c r="D174">
        <v>1116.4309076043</v>
      </c>
      <c r="E174">
        <v>340.17416189698002</v>
      </c>
      <c r="F174">
        <v>145.57739557740001</v>
      </c>
      <c r="G174">
        <v>120.06142506143</v>
      </c>
      <c r="I174" s="9">
        <f t="shared" si="15"/>
        <v>220.11273683555004</v>
      </c>
      <c r="J174" s="9">
        <f t="shared" si="16"/>
        <v>970.85351202690003</v>
      </c>
      <c r="K174" s="9">
        <f t="shared" si="17"/>
        <v>220.11273683555004</v>
      </c>
      <c r="L174" s="10">
        <f t="shared" si="14"/>
        <v>0.22672085346429816</v>
      </c>
      <c r="M174" s="10">
        <f t="shared" si="18"/>
        <v>0.23415629280439057</v>
      </c>
      <c r="P174" s="8">
        <f t="shared" si="19"/>
        <v>-4.092373549173824</v>
      </c>
    </row>
    <row r="175" spans="1:16" x14ac:dyDescent="0.2">
      <c r="A175" s="8">
        <v>86.5</v>
      </c>
      <c r="B175" s="8">
        <v>173</v>
      </c>
      <c r="D175">
        <v>1112.3671300082001</v>
      </c>
      <c r="E175">
        <v>335.27228127554997</v>
      </c>
      <c r="F175">
        <v>146.05814905815001</v>
      </c>
      <c r="G175">
        <v>119.99262899263</v>
      </c>
      <c r="I175" s="9">
        <f t="shared" si="15"/>
        <v>215.27965228291998</v>
      </c>
      <c r="J175" s="9">
        <f t="shared" si="16"/>
        <v>966.30898095005011</v>
      </c>
      <c r="K175" s="9">
        <f t="shared" si="17"/>
        <v>215.27965228291998</v>
      </c>
      <c r="L175" s="10">
        <f t="shared" si="14"/>
        <v>0.22278552360267062</v>
      </c>
      <c r="M175" s="10">
        <f t="shared" si="18"/>
        <v>0.23026419224125194</v>
      </c>
      <c r="P175" s="8">
        <f t="shared" si="19"/>
        <v>-5.6865315470132511</v>
      </c>
    </row>
    <row r="176" spans="1:16" x14ac:dyDescent="0.2">
      <c r="A176" s="8">
        <v>87</v>
      </c>
      <c r="B176" s="8">
        <v>174</v>
      </c>
      <c r="D176">
        <v>1113.8274734260001</v>
      </c>
      <c r="E176">
        <v>331.19950940311003</v>
      </c>
      <c r="F176">
        <v>146.00982800982999</v>
      </c>
      <c r="G176">
        <v>120.07862407862</v>
      </c>
      <c r="I176" s="9">
        <f t="shared" si="15"/>
        <v>211.12088532449002</v>
      </c>
      <c r="J176" s="9">
        <f t="shared" si="16"/>
        <v>967.81764541617008</v>
      </c>
      <c r="K176" s="9">
        <f t="shared" si="17"/>
        <v>211.12088532449002</v>
      </c>
      <c r="L176" s="10">
        <f t="shared" si="14"/>
        <v>0.21814118219936585</v>
      </c>
      <c r="M176" s="10">
        <f t="shared" si="18"/>
        <v>0.22566308013643607</v>
      </c>
      <c r="P176" s="8">
        <f t="shared" si="19"/>
        <v>-7.5710922210912814</v>
      </c>
    </row>
    <row r="177" spans="1:16" x14ac:dyDescent="0.2">
      <c r="A177" s="8">
        <v>87.5</v>
      </c>
      <c r="B177" s="8">
        <v>175</v>
      </c>
      <c r="D177">
        <v>1112.6467702371001</v>
      </c>
      <c r="E177">
        <v>329.44399018806001</v>
      </c>
      <c r="F177">
        <v>146.04750204749999</v>
      </c>
      <c r="G177">
        <v>120.20475020475</v>
      </c>
      <c r="I177" s="9">
        <f t="shared" si="15"/>
        <v>209.23923998331003</v>
      </c>
      <c r="J177" s="9">
        <f t="shared" si="16"/>
        <v>966.59926818960014</v>
      </c>
      <c r="K177" s="9">
        <f t="shared" si="17"/>
        <v>209.23923998331003</v>
      </c>
      <c r="L177" s="10">
        <f t="shared" si="14"/>
        <v>0.21646947899640598</v>
      </c>
      <c r="M177" s="10">
        <f t="shared" si="18"/>
        <v>0.22403460623196514</v>
      </c>
      <c r="P177" s="8">
        <f t="shared" si="19"/>
        <v>-8.2380957213789667</v>
      </c>
    </row>
    <row r="178" spans="1:16" x14ac:dyDescent="0.2">
      <c r="A178" s="8">
        <v>88</v>
      </c>
      <c r="B178" s="8">
        <v>176</v>
      </c>
      <c r="D178">
        <v>1107.7939493050001</v>
      </c>
      <c r="E178">
        <v>325.04333605887001</v>
      </c>
      <c r="F178">
        <v>146.0343980344</v>
      </c>
      <c r="G178">
        <v>119.84766584767</v>
      </c>
      <c r="I178" s="9">
        <f t="shared" si="15"/>
        <v>205.19567021120002</v>
      </c>
      <c r="J178" s="9">
        <f t="shared" si="16"/>
        <v>961.75955127060001</v>
      </c>
      <c r="K178" s="9">
        <f t="shared" si="17"/>
        <v>205.19567021120002</v>
      </c>
      <c r="L178" s="10">
        <f t="shared" si="14"/>
        <v>0.21335443972468157</v>
      </c>
      <c r="M178" s="10">
        <f t="shared" si="18"/>
        <v>0.22096279625872964</v>
      </c>
      <c r="P178" s="8">
        <f t="shared" si="19"/>
        <v>-9.4962724712436568</v>
      </c>
    </row>
    <row r="179" spans="1:16" x14ac:dyDescent="0.2">
      <c r="A179" s="8">
        <v>88.5</v>
      </c>
      <c r="B179" s="8">
        <v>177</v>
      </c>
      <c r="D179">
        <v>1108.3973834832</v>
      </c>
      <c r="E179">
        <v>322.61651676205997</v>
      </c>
      <c r="F179">
        <v>146.22440622440999</v>
      </c>
      <c r="G179">
        <v>120.12285012285</v>
      </c>
      <c r="I179" s="9">
        <f t="shared" si="15"/>
        <v>202.49366663920998</v>
      </c>
      <c r="J179" s="9">
        <f t="shared" si="16"/>
        <v>962.17297725878996</v>
      </c>
      <c r="K179" s="9">
        <f t="shared" si="17"/>
        <v>202.49366663920998</v>
      </c>
      <c r="L179" s="10">
        <f t="shared" si="14"/>
        <v>0.21045453512538884</v>
      </c>
      <c r="M179" s="10">
        <f t="shared" si="18"/>
        <v>0.21810612095792581</v>
      </c>
      <c r="P179" s="8">
        <f t="shared" si="19"/>
        <v>-10.666332623629438</v>
      </c>
    </row>
    <row r="180" spans="1:16" x14ac:dyDescent="0.2">
      <c r="A180" s="8">
        <v>89</v>
      </c>
      <c r="B180" s="8">
        <v>178</v>
      </c>
      <c r="D180">
        <v>1107.3761242846001</v>
      </c>
      <c r="E180">
        <v>318.88879803761</v>
      </c>
      <c r="F180">
        <v>146.17444717444999</v>
      </c>
      <c r="G180">
        <v>120.09090909091</v>
      </c>
      <c r="I180" s="9">
        <f t="shared" si="15"/>
        <v>198.7978889467</v>
      </c>
      <c r="J180" s="9">
        <f t="shared" si="16"/>
        <v>961.20167711015006</v>
      </c>
      <c r="K180" s="9">
        <f t="shared" si="17"/>
        <v>198.7978889467</v>
      </c>
      <c r="L180" s="10">
        <f t="shared" si="14"/>
        <v>0.20682224519664308</v>
      </c>
      <c r="M180" s="10">
        <f t="shared" si="18"/>
        <v>0.21451706032766896</v>
      </c>
      <c r="P180" s="8">
        <f t="shared" si="19"/>
        <v>-12.13636907711734</v>
      </c>
    </row>
    <row r="181" spans="1:16" x14ac:dyDescent="0.2">
      <c r="A181" s="8">
        <v>89.5</v>
      </c>
      <c r="B181" s="8">
        <v>179</v>
      </c>
      <c r="D181">
        <v>1107.3982011446999</v>
      </c>
      <c r="E181">
        <v>317.43581357317998</v>
      </c>
      <c r="F181">
        <v>146.05077805078</v>
      </c>
      <c r="G181">
        <v>120.29074529075</v>
      </c>
      <c r="I181" s="9">
        <f t="shared" si="15"/>
        <v>197.14506828242997</v>
      </c>
      <c r="J181" s="9">
        <f t="shared" si="16"/>
        <v>961.34742309391993</v>
      </c>
      <c r="K181" s="9">
        <f t="shared" si="17"/>
        <v>197.14506828242997</v>
      </c>
      <c r="L181" s="10">
        <f t="shared" si="14"/>
        <v>0.20507161463849854</v>
      </c>
      <c r="M181" s="10">
        <f t="shared" si="18"/>
        <v>0.21280965906801333</v>
      </c>
      <c r="P181" s="8">
        <f t="shared" si="19"/>
        <v>-12.835700281295217</v>
      </c>
    </row>
    <row r="182" spans="1:16" x14ac:dyDescent="0.2">
      <c r="A182" s="8">
        <v>90</v>
      </c>
      <c r="B182" s="8">
        <v>180</v>
      </c>
      <c r="D182">
        <v>1108.3344235487</v>
      </c>
      <c r="E182">
        <v>314.46524938674997</v>
      </c>
      <c r="F182">
        <v>145.75675675676001</v>
      </c>
      <c r="G182">
        <v>120.0647010647</v>
      </c>
      <c r="I182" s="9">
        <f t="shared" si="15"/>
        <v>194.40054832204999</v>
      </c>
      <c r="J182" s="9">
        <f t="shared" si="16"/>
        <v>962.57766679193992</v>
      </c>
      <c r="K182" s="9">
        <f t="shared" si="17"/>
        <v>194.40054832204999</v>
      </c>
      <c r="L182" s="10">
        <f t="shared" si="14"/>
        <v>0.20195829908452409</v>
      </c>
      <c r="M182" s="10">
        <f>L182+ABS($N$2)*A182</f>
        <v>0.20973957281252778</v>
      </c>
      <c r="P182" s="8">
        <f t="shared" si="19"/>
        <v>-14.093171016915793</v>
      </c>
    </row>
    <row r="183" spans="1:16" x14ac:dyDescent="0.2">
      <c r="A183" s="8">
        <v>90.5</v>
      </c>
      <c r="B183" s="8">
        <v>181</v>
      </c>
      <c r="D183">
        <v>1109.2698282911001</v>
      </c>
      <c r="E183">
        <v>311.12591986916999</v>
      </c>
      <c r="F183">
        <v>146.05651105651</v>
      </c>
      <c r="G183">
        <v>120.1506961507</v>
      </c>
      <c r="I183" s="9">
        <f t="shared" si="15"/>
        <v>190.97522371846998</v>
      </c>
      <c r="J183" s="9">
        <f t="shared" si="16"/>
        <v>963.21331723459014</v>
      </c>
      <c r="K183" s="9">
        <f t="shared" si="17"/>
        <v>190.97522371846998</v>
      </c>
      <c r="L183" s="10">
        <f t="shared" si="14"/>
        <v>0.19826887803707355</v>
      </c>
      <c r="M183" s="10">
        <f t="shared" ref="M183:M241" si="20">L183+ABS($N$2)*A183</f>
        <v>0.20609338106356614</v>
      </c>
      <c r="P183" s="8">
        <f t="shared" si="19"/>
        <v>-15.586607695637161</v>
      </c>
    </row>
    <row r="184" spans="1:16" x14ac:dyDescent="0.2">
      <c r="A184" s="8">
        <v>91</v>
      </c>
      <c r="B184" s="8">
        <v>182</v>
      </c>
      <c r="D184">
        <v>1103.0531479967001</v>
      </c>
      <c r="E184">
        <v>308.47097301717002</v>
      </c>
      <c r="F184">
        <v>146.03849303849</v>
      </c>
      <c r="G184">
        <v>120.05077805078</v>
      </c>
      <c r="I184" s="9">
        <f t="shared" si="15"/>
        <v>188.42019496639003</v>
      </c>
      <c r="J184" s="9">
        <f t="shared" si="16"/>
        <v>957.01465495821003</v>
      </c>
      <c r="K184" s="9">
        <f t="shared" si="17"/>
        <v>188.42019496639003</v>
      </c>
      <c r="L184" s="10">
        <f t="shared" si="14"/>
        <v>0.19688329117030895</v>
      </c>
      <c r="M184" s="10">
        <f t="shared" si="20"/>
        <v>0.20475102349529045</v>
      </c>
      <c r="P184" s="8">
        <f t="shared" si="19"/>
        <v>-16.136421355051272</v>
      </c>
    </row>
    <row r="185" spans="1:16" x14ac:dyDescent="0.2">
      <c r="A185" s="8">
        <v>91.5</v>
      </c>
      <c r="B185" s="8">
        <v>183</v>
      </c>
      <c r="D185">
        <v>1089.033524121</v>
      </c>
      <c r="E185">
        <v>304.75388389207001</v>
      </c>
      <c r="F185">
        <v>146.03603603604</v>
      </c>
      <c r="G185">
        <v>120.40868140868</v>
      </c>
      <c r="I185" s="9">
        <f t="shared" si="15"/>
        <v>184.34520248339001</v>
      </c>
      <c r="J185" s="9">
        <f t="shared" si="16"/>
        <v>942.99748808495997</v>
      </c>
      <c r="K185" s="9">
        <f t="shared" si="17"/>
        <v>184.34520248339001</v>
      </c>
      <c r="L185" s="10">
        <f t="shared" si="14"/>
        <v>0.19548854033297416</v>
      </c>
      <c r="M185" s="10">
        <f t="shared" si="20"/>
        <v>0.20339950195644457</v>
      </c>
      <c r="P185" s="8">
        <f t="shared" si="19"/>
        <v>-16.689988467578797</v>
      </c>
    </row>
    <row r="186" spans="1:16" x14ac:dyDescent="0.2">
      <c r="A186" s="8">
        <v>92</v>
      </c>
      <c r="B186" s="8">
        <v>184</v>
      </c>
      <c r="D186">
        <v>1073.2845461979</v>
      </c>
      <c r="E186">
        <v>300.75224856909</v>
      </c>
      <c r="F186">
        <v>145.67076167075999</v>
      </c>
      <c r="G186">
        <v>120.08681408680999</v>
      </c>
      <c r="I186" s="9">
        <f t="shared" si="15"/>
        <v>180.66543448228001</v>
      </c>
      <c r="J186" s="9">
        <f t="shared" si="16"/>
        <v>927.61378452714007</v>
      </c>
      <c r="K186" s="9">
        <f t="shared" si="17"/>
        <v>180.66543448228001</v>
      </c>
      <c r="L186" s="10">
        <f t="shared" si="14"/>
        <v>0.19476363708240485</v>
      </c>
      <c r="M186" s="10">
        <f t="shared" si="20"/>
        <v>0.20271782800436419</v>
      </c>
      <c r="P186" s="8">
        <f t="shared" si="19"/>
        <v>-16.969193992975455</v>
      </c>
    </row>
    <row r="187" spans="1:16" x14ac:dyDescent="0.2">
      <c r="A187" s="8">
        <v>92.5</v>
      </c>
      <c r="B187" s="8">
        <v>185</v>
      </c>
      <c r="D187">
        <v>1108.7303921569001</v>
      </c>
      <c r="E187">
        <v>300.75081699345998</v>
      </c>
      <c r="F187">
        <v>145.95659295658999</v>
      </c>
      <c r="G187">
        <v>120.13104013104</v>
      </c>
      <c r="I187" s="9">
        <f t="shared" si="15"/>
        <v>180.61977686242</v>
      </c>
      <c r="J187" s="9">
        <f t="shared" si="16"/>
        <v>962.77379920031012</v>
      </c>
      <c r="K187" s="9">
        <f t="shared" si="17"/>
        <v>180.61977686242</v>
      </c>
      <c r="L187" s="10">
        <f t="shared" si="14"/>
        <v>0.18760354406449847</v>
      </c>
      <c r="M187" s="10">
        <f t="shared" si="20"/>
        <v>0.19560096428494672</v>
      </c>
      <c r="P187" s="8">
        <f t="shared" si="19"/>
        <v>-19.884176541292135</v>
      </c>
    </row>
    <row r="188" spans="1:16" x14ac:dyDescent="0.2">
      <c r="A188" s="8">
        <v>93</v>
      </c>
      <c r="B188" s="8">
        <v>186</v>
      </c>
      <c r="D188">
        <v>1103.7214052288</v>
      </c>
      <c r="E188">
        <v>296.76307189543002</v>
      </c>
      <c r="F188">
        <v>146.06388206387999</v>
      </c>
      <c r="G188">
        <v>119.96887796887999</v>
      </c>
      <c r="I188" s="9">
        <f t="shared" si="15"/>
        <v>176.79419392655001</v>
      </c>
      <c r="J188" s="9">
        <f t="shared" si="16"/>
        <v>957.65752316492001</v>
      </c>
      <c r="K188" s="9">
        <f t="shared" si="17"/>
        <v>176.79419392655001</v>
      </c>
      <c r="L188" s="10">
        <f t="shared" si="14"/>
        <v>0.18461108449529084</v>
      </c>
      <c r="M188" s="10">
        <f t="shared" si="20"/>
        <v>0.192651734014228</v>
      </c>
      <c r="P188" s="8">
        <f t="shared" si="19"/>
        <v>-21.092146106123987</v>
      </c>
    </row>
    <row r="189" spans="1:16" x14ac:dyDescent="0.2">
      <c r="A189" s="8">
        <v>93.5</v>
      </c>
      <c r="B189" s="8">
        <v>187</v>
      </c>
      <c r="D189">
        <v>1108.9109477124</v>
      </c>
      <c r="E189">
        <v>296.64379084966998</v>
      </c>
      <c r="F189">
        <v>145.95413595414001</v>
      </c>
      <c r="G189">
        <v>120.24242424242</v>
      </c>
      <c r="I189" s="9">
        <f t="shared" si="15"/>
        <v>176.40136660725</v>
      </c>
      <c r="J189" s="9">
        <f t="shared" si="16"/>
        <v>962.95681175825996</v>
      </c>
      <c r="K189" s="9">
        <f t="shared" si="17"/>
        <v>176.40136660725</v>
      </c>
      <c r="L189" s="10">
        <f t="shared" si="14"/>
        <v>0.18318720471498537</v>
      </c>
      <c r="M189" s="10">
        <f t="shared" si="20"/>
        <v>0.19127108353241143</v>
      </c>
      <c r="P189" s="8">
        <f t="shared" si="19"/>
        <v>-21.657644086482915</v>
      </c>
    </row>
    <row r="190" spans="1:16" x14ac:dyDescent="0.2">
      <c r="A190" s="8">
        <v>94</v>
      </c>
      <c r="B190" s="8">
        <v>188</v>
      </c>
      <c r="D190">
        <v>1110.6209150326999</v>
      </c>
      <c r="E190">
        <v>294.60539215685998</v>
      </c>
      <c r="F190">
        <v>146.11875511875999</v>
      </c>
      <c r="G190">
        <v>120.01638001638</v>
      </c>
      <c r="I190" s="9">
        <f t="shared" si="15"/>
        <v>174.58901214047998</v>
      </c>
      <c r="J190" s="9">
        <f t="shared" si="16"/>
        <v>964.50215991393998</v>
      </c>
      <c r="K190" s="9">
        <f t="shared" si="17"/>
        <v>174.58901214047998</v>
      </c>
      <c r="L190" s="10">
        <f t="shared" si="14"/>
        <v>0.18101464091698674</v>
      </c>
      <c r="M190" s="10">
        <f t="shared" si="20"/>
        <v>0.18914174903290171</v>
      </c>
      <c r="P190" s="8">
        <f t="shared" si="19"/>
        <v>-22.529794116371011</v>
      </c>
    </row>
    <row r="191" spans="1:16" x14ac:dyDescent="0.2">
      <c r="A191" s="8">
        <v>94.5</v>
      </c>
      <c r="B191" s="8">
        <v>189</v>
      </c>
      <c r="D191">
        <v>1109.1176470588</v>
      </c>
      <c r="E191">
        <v>290.54738562092001</v>
      </c>
      <c r="F191">
        <v>145.89107289107</v>
      </c>
      <c r="G191">
        <v>120.51760851761</v>
      </c>
      <c r="I191" s="9">
        <f t="shared" si="15"/>
        <v>170.02977710331001</v>
      </c>
      <c r="J191" s="9">
        <f t="shared" si="16"/>
        <v>963.22657416772995</v>
      </c>
      <c r="K191" s="9">
        <f t="shared" si="17"/>
        <v>170.02977710331001</v>
      </c>
      <c r="L191" s="10">
        <f t="shared" si="14"/>
        <v>0.1765210612572885</v>
      </c>
      <c r="M191" s="10">
        <f t="shared" si="20"/>
        <v>0.18469139867169238</v>
      </c>
      <c r="P191" s="8">
        <f t="shared" si="19"/>
        <v>-24.352604577308416</v>
      </c>
    </row>
    <row r="192" spans="1:16" x14ac:dyDescent="0.2">
      <c r="A192" s="8">
        <v>95</v>
      </c>
      <c r="B192" s="8">
        <v>190</v>
      </c>
      <c r="D192">
        <v>1116.512254902</v>
      </c>
      <c r="E192">
        <v>291.00081699345998</v>
      </c>
      <c r="F192">
        <v>146.75593775594001</v>
      </c>
      <c r="G192">
        <v>120.12121212120999</v>
      </c>
      <c r="I192" s="9">
        <f t="shared" si="15"/>
        <v>170.87960487224998</v>
      </c>
      <c r="J192" s="9">
        <f t="shared" si="16"/>
        <v>969.75631714605993</v>
      </c>
      <c r="K192" s="9">
        <f t="shared" si="17"/>
        <v>170.87960487224998</v>
      </c>
      <c r="L192" s="10">
        <f t="shared" si="14"/>
        <v>0.17620880818300763</v>
      </c>
      <c r="M192" s="10">
        <f t="shared" si="20"/>
        <v>0.18442237489590041</v>
      </c>
      <c r="P192" s="8">
        <f t="shared" si="19"/>
        <v>-24.462793509179662</v>
      </c>
    </row>
    <row r="193" spans="1:16" x14ac:dyDescent="0.2">
      <c r="A193" s="8">
        <v>95.5</v>
      </c>
      <c r="B193" s="8">
        <v>191</v>
      </c>
      <c r="D193">
        <v>1106.8439542484</v>
      </c>
      <c r="E193">
        <v>288.20098039215998</v>
      </c>
      <c r="F193">
        <v>146.61097461098001</v>
      </c>
      <c r="G193">
        <v>120.11302211301999</v>
      </c>
      <c r="I193" s="9">
        <f t="shared" si="15"/>
        <v>168.08795827913997</v>
      </c>
      <c r="J193" s="9">
        <f t="shared" si="16"/>
        <v>960.23297963741993</v>
      </c>
      <c r="K193" s="9">
        <f t="shared" si="17"/>
        <v>168.08795827913997</v>
      </c>
      <c r="L193" s="10">
        <f t="shared" si="14"/>
        <v>0.17504914103513639</v>
      </c>
      <c r="M193" s="10">
        <f t="shared" si="20"/>
        <v>0.18330593704651807</v>
      </c>
      <c r="P193" s="8">
        <f t="shared" si="19"/>
        <v>-24.920073144639098</v>
      </c>
    </row>
    <row r="194" spans="1:16" x14ac:dyDescent="0.2">
      <c r="A194" s="8">
        <v>96</v>
      </c>
      <c r="B194" s="8">
        <v>192</v>
      </c>
      <c r="D194">
        <v>1097.7516339869001</v>
      </c>
      <c r="E194">
        <v>285.60947712417999</v>
      </c>
      <c r="F194">
        <v>146.03521703522</v>
      </c>
      <c r="G194">
        <v>120.14823914823999</v>
      </c>
      <c r="I194" s="9">
        <f t="shared" si="15"/>
        <v>165.46123797593998</v>
      </c>
      <c r="J194" s="9">
        <f t="shared" si="16"/>
        <v>951.71641695168</v>
      </c>
      <c r="K194" s="9">
        <f t="shared" si="17"/>
        <v>165.46123797593998</v>
      </c>
      <c r="L194" s="10">
        <f t="shared" ref="L194:L257" si="21">K194/J194</f>
        <v>0.17385560974760478</v>
      </c>
      <c r="M194" s="10">
        <f t="shared" si="20"/>
        <v>0.1821556350574754</v>
      </c>
      <c r="P194" s="8">
        <f t="shared" si="19"/>
        <v>-25.39122312805171</v>
      </c>
    </row>
    <row r="195" spans="1:16" x14ac:dyDescent="0.2">
      <c r="A195" s="8">
        <v>96.5</v>
      </c>
      <c r="B195" s="8">
        <v>193</v>
      </c>
      <c r="D195">
        <v>1111.4726530611999</v>
      </c>
      <c r="E195">
        <v>285.55510204081997</v>
      </c>
      <c r="F195">
        <v>145.84930384929999</v>
      </c>
      <c r="G195">
        <v>120.19737919738</v>
      </c>
      <c r="I195" s="9">
        <f t="shared" ref="I195:I241" si="22">E195-G195</f>
        <v>165.35772284343997</v>
      </c>
      <c r="J195" s="9">
        <f t="shared" ref="J195:J241" si="23">D195-F195</f>
        <v>965.62334921189995</v>
      </c>
      <c r="K195" s="9">
        <f t="shared" ref="K195:K258" si="24">I195*1</f>
        <v>165.35772284343997</v>
      </c>
      <c r="L195" s="10">
        <f t="shared" si="21"/>
        <v>0.17124453647314741</v>
      </c>
      <c r="M195" s="10">
        <f t="shared" si="20"/>
        <v>0.17958779108150694</v>
      </c>
      <c r="P195" s="8">
        <f t="shared" ref="P195:P241" si="25">(M195-$O$2)/$O$2*100</f>
        <v>-26.442981412578881</v>
      </c>
    </row>
    <row r="196" spans="1:16" x14ac:dyDescent="0.2">
      <c r="A196" s="8">
        <v>97</v>
      </c>
      <c r="B196" s="8">
        <v>194</v>
      </c>
      <c r="D196">
        <v>1108.8832653060999</v>
      </c>
      <c r="E196">
        <v>283.65224489795997</v>
      </c>
      <c r="F196">
        <v>145.9828009828</v>
      </c>
      <c r="G196">
        <v>120.49385749386001</v>
      </c>
      <c r="I196" s="9">
        <f t="shared" si="22"/>
        <v>163.15838740409998</v>
      </c>
      <c r="J196" s="9">
        <f t="shared" si="23"/>
        <v>962.90046432329996</v>
      </c>
      <c r="K196" s="9">
        <f t="shared" si="24"/>
        <v>163.15838740409998</v>
      </c>
      <c r="L196" s="10">
        <f t="shared" si="21"/>
        <v>0.16944470737041675</v>
      </c>
      <c r="M196" s="10">
        <f t="shared" si="20"/>
        <v>0.17783119127726518</v>
      </c>
      <c r="P196" s="8">
        <f t="shared" si="25"/>
        <v>-27.162463754185428</v>
      </c>
    </row>
    <row r="197" spans="1:16" x14ac:dyDescent="0.2">
      <c r="A197" s="8">
        <v>97.5</v>
      </c>
      <c r="B197" s="8">
        <v>195</v>
      </c>
      <c r="D197">
        <v>1098.4987755101999</v>
      </c>
      <c r="E197">
        <v>280.06530612245001</v>
      </c>
      <c r="F197">
        <v>146.15888615889</v>
      </c>
      <c r="G197">
        <v>120.35544635545</v>
      </c>
      <c r="I197" s="9">
        <f t="shared" si="22"/>
        <v>159.70985976700001</v>
      </c>
      <c r="J197" s="9">
        <f t="shared" si="23"/>
        <v>952.33988935130992</v>
      </c>
      <c r="K197" s="9">
        <f t="shared" si="24"/>
        <v>159.70985976700001</v>
      </c>
      <c r="L197" s="10">
        <f t="shared" si="21"/>
        <v>0.16770258345031311</v>
      </c>
      <c r="M197" s="10">
        <f t="shared" si="20"/>
        <v>0.17613229665565044</v>
      </c>
      <c r="P197" s="8">
        <f t="shared" si="25"/>
        <v>-27.858310740818666</v>
      </c>
    </row>
    <row r="198" spans="1:16" x14ac:dyDescent="0.2">
      <c r="A198" s="8">
        <v>98</v>
      </c>
      <c r="B198" s="8">
        <v>196</v>
      </c>
      <c r="D198">
        <v>1087.8008163264999</v>
      </c>
      <c r="E198">
        <v>276.92</v>
      </c>
      <c r="F198">
        <v>145.54299754300001</v>
      </c>
      <c r="G198">
        <v>120.13267813268</v>
      </c>
      <c r="I198" s="9">
        <f t="shared" si="22"/>
        <v>156.78732186732003</v>
      </c>
      <c r="J198" s="9">
        <f t="shared" si="23"/>
        <v>942.25781878349994</v>
      </c>
      <c r="K198" s="9">
        <f t="shared" si="24"/>
        <v>156.78732186732003</v>
      </c>
      <c r="L198" s="10">
        <f t="shared" si="21"/>
        <v>0.16639535246281106</v>
      </c>
      <c r="M198" s="10">
        <f t="shared" si="20"/>
        <v>0.17486829496663731</v>
      </c>
      <c r="P198" s="8">
        <f t="shared" si="25"/>
        <v>-28.37603076606845</v>
      </c>
    </row>
    <row r="199" spans="1:16" x14ac:dyDescent="0.2">
      <c r="A199" s="8">
        <v>98.5</v>
      </c>
      <c r="B199" s="8">
        <v>197</v>
      </c>
      <c r="D199">
        <v>1062.0310457516</v>
      </c>
      <c r="E199">
        <v>274.18545751634002</v>
      </c>
      <c r="F199">
        <v>145.88370188370001</v>
      </c>
      <c r="G199">
        <v>120.1162981163</v>
      </c>
      <c r="I199" s="9">
        <f t="shared" si="22"/>
        <v>154.06915940004001</v>
      </c>
      <c r="J199" s="9">
        <f t="shared" si="23"/>
        <v>916.14734386789996</v>
      </c>
      <c r="K199" s="9">
        <f t="shared" si="24"/>
        <v>154.06915940004001</v>
      </c>
      <c r="L199" s="10">
        <f t="shared" si="21"/>
        <v>0.16817072104315936</v>
      </c>
      <c r="M199" s="10">
        <f t="shared" si="20"/>
        <v>0.17668689284547451</v>
      </c>
      <c r="P199" s="8">
        <f t="shared" si="25"/>
        <v>-27.631154752108454</v>
      </c>
    </row>
    <row r="200" spans="1:16" x14ac:dyDescent="0.2">
      <c r="A200" s="8">
        <v>99</v>
      </c>
      <c r="B200" s="8">
        <v>198</v>
      </c>
      <c r="D200">
        <v>1072.5</v>
      </c>
      <c r="E200">
        <v>276.30473856208999</v>
      </c>
      <c r="F200">
        <v>146.12039312038999</v>
      </c>
      <c r="G200">
        <v>120.00737100737</v>
      </c>
      <c r="I200" s="9">
        <f t="shared" si="22"/>
        <v>156.29736755471998</v>
      </c>
      <c r="J200" s="9">
        <f t="shared" si="23"/>
        <v>926.37960687961004</v>
      </c>
      <c r="K200" s="9">
        <f t="shared" si="24"/>
        <v>156.29736755471998</v>
      </c>
      <c r="L200" s="10">
        <f t="shared" si="21"/>
        <v>0.16871848904488243</v>
      </c>
      <c r="M200" s="10">
        <f t="shared" si="20"/>
        <v>0.17727789014568648</v>
      </c>
      <c r="P200" s="8">
        <f t="shared" si="25"/>
        <v>-27.389089302475089</v>
      </c>
    </row>
    <row r="201" spans="1:16" x14ac:dyDescent="0.2">
      <c r="A201" s="8">
        <v>99.5</v>
      </c>
      <c r="B201" s="8">
        <v>199</v>
      </c>
      <c r="D201">
        <v>1070.2205882353001</v>
      </c>
      <c r="E201">
        <v>274.32843137255003</v>
      </c>
      <c r="F201">
        <v>145.58230958230999</v>
      </c>
      <c r="G201">
        <v>119.82473382473</v>
      </c>
      <c r="I201" s="9">
        <f t="shared" si="22"/>
        <v>154.50369754782002</v>
      </c>
      <c r="J201" s="9">
        <f t="shared" si="23"/>
        <v>924.63827865299004</v>
      </c>
      <c r="K201" s="9">
        <f t="shared" si="24"/>
        <v>154.50369754782002</v>
      </c>
      <c r="L201" s="10">
        <f t="shared" si="21"/>
        <v>0.16709636742802872</v>
      </c>
      <c r="M201" s="10">
        <f t="shared" si="20"/>
        <v>0.17569899782732168</v>
      </c>
      <c r="P201" s="8">
        <f t="shared" si="25"/>
        <v>-28.035784776093266</v>
      </c>
    </row>
    <row r="202" spans="1:16" x14ac:dyDescent="0.2">
      <c r="A202" s="8">
        <v>100</v>
      </c>
      <c r="B202" s="8">
        <v>200</v>
      </c>
      <c r="D202">
        <v>1071.0441176470999</v>
      </c>
      <c r="E202">
        <v>274.17810457515998</v>
      </c>
      <c r="F202">
        <v>146.47010647011001</v>
      </c>
      <c r="G202">
        <v>119.99180999181</v>
      </c>
      <c r="I202" s="9">
        <f t="shared" si="22"/>
        <v>154.18629458334999</v>
      </c>
      <c r="J202" s="9">
        <f t="shared" si="23"/>
        <v>924.57401117698987</v>
      </c>
      <c r="K202" s="9">
        <f t="shared" si="24"/>
        <v>154.18629458334999</v>
      </c>
      <c r="L202" s="10">
        <f t="shared" si="21"/>
        <v>0.16676468591959409</v>
      </c>
      <c r="M202" s="10">
        <f t="shared" si="20"/>
        <v>0.17541054561737598</v>
      </c>
      <c r="P202" s="8">
        <f t="shared" si="25"/>
        <v>-28.153931363012013</v>
      </c>
    </row>
    <row r="203" spans="1:16" x14ac:dyDescent="0.2">
      <c r="A203" s="8">
        <v>100.5</v>
      </c>
      <c r="B203" s="8">
        <v>201</v>
      </c>
      <c r="D203">
        <v>1081.5571895425001</v>
      </c>
      <c r="E203">
        <v>275.09477124183002</v>
      </c>
      <c r="F203">
        <v>146.16871416871001</v>
      </c>
      <c r="G203">
        <v>119.98853398852999</v>
      </c>
      <c r="I203" s="9">
        <f t="shared" si="22"/>
        <v>155.10623725330004</v>
      </c>
      <c r="J203" s="9">
        <f t="shared" si="23"/>
        <v>935.38847537379002</v>
      </c>
      <c r="K203" s="9">
        <f t="shared" si="24"/>
        <v>155.10623725330004</v>
      </c>
      <c r="L203" s="10">
        <f t="shared" si="21"/>
        <v>0.16582012857419279</v>
      </c>
      <c r="M203" s="10">
        <f t="shared" si="20"/>
        <v>0.17450921757046359</v>
      </c>
      <c r="P203" s="8">
        <f t="shared" si="25"/>
        <v>-28.523104587432428</v>
      </c>
    </row>
    <row r="204" spans="1:16" x14ac:dyDescent="0.2">
      <c r="A204" s="8">
        <v>101</v>
      </c>
      <c r="B204" s="8">
        <v>202</v>
      </c>
      <c r="D204">
        <v>1074.0245098038999</v>
      </c>
      <c r="E204">
        <v>272.87581699345998</v>
      </c>
      <c r="F204">
        <v>146.53972153972001</v>
      </c>
      <c r="G204">
        <v>120.13677313677</v>
      </c>
      <c r="I204" s="9">
        <f t="shared" si="22"/>
        <v>152.73904385668999</v>
      </c>
      <c r="J204" s="9">
        <f t="shared" si="23"/>
        <v>927.48478826418</v>
      </c>
      <c r="K204" s="9">
        <f t="shared" si="24"/>
        <v>152.73904385668999</v>
      </c>
      <c r="L204" s="10">
        <f t="shared" si="21"/>
        <v>0.16468091529840226</v>
      </c>
      <c r="M204" s="10">
        <f t="shared" si="20"/>
        <v>0.17341323359316196</v>
      </c>
      <c r="P204" s="8">
        <f t="shared" si="25"/>
        <v>-28.972006560692414</v>
      </c>
    </row>
    <row r="205" spans="1:16" x14ac:dyDescent="0.2">
      <c r="A205" s="8">
        <v>101.5</v>
      </c>
      <c r="B205" s="8">
        <v>203</v>
      </c>
      <c r="D205">
        <v>1064.3382352941001</v>
      </c>
      <c r="E205">
        <v>271.96323529412001</v>
      </c>
      <c r="F205">
        <v>145.98689598690001</v>
      </c>
      <c r="G205">
        <v>119.83046683047</v>
      </c>
      <c r="I205" s="9">
        <f t="shared" si="22"/>
        <v>152.13276846365</v>
      </c>
      <c r="J205" s="9">
        <f t="shared" si="23"/>
        <v>918.35133930720008</v>
      </c>
      <c r="K205" s="9">
        <f t="shared" si="24"/>
        <v>152.13276846365</v>
      </c>
      <c r="L205" s="10">
        <f t="shared" si="21"/>
        <v>0.16565856873298432</v>
      </c>
      <c r="M205" s="10">
        <f t="shared" si="20"/>
        <v>0.17443411632623293</v>
      </c>
      <c r="P205" s="8">
        <f t="shared" si="25"/>
        <v>-28.55386516188209</v>
      </c>
    </row>
    <row r="206" spans="1:16" x14ac:dyDescent="0.2">
      <c r="A206" s="8">
        <v>102</v>
      </c>
      <c r="B206" s="8">
        <v>204</v>
      </c>
      <c r="D206">
        <v>1053.6013071894999</v>
      </c>
      <c r="E206">
        <v>268.42483660131001</v>
      </c>
      <c r="F206">
        <v>146.24488124487999</v>
      </c>
      <c r="G206">
        <v>120.07862407862</v>
      </c>
      <c r="I206" s="9">
        <f t="shared" si="22"/>
        <v>148.34621252269</v>
      </c>
      <c r="J206" s="9">
        <f t="shared" si="23"/>
        <v>907.35642594462001</v>
      </c>
      <c r="K206" s="9">
        <f t="shared" si="24"/>
        <v>148.34621252269</v>
      </c>
      <c r="L206" s="10">
        <f t="shared" si="21"/>
        <v>0.16349276676830879</v>
      </c>
      <c r="M206" s="10">
        <f t="shared" si="20"/>
        <v>0.17231154366004631</v>
      </c>
      <c r="P206" s="8">
        <f t="shared" si="25"/>
        <v>-29.42324562544033</v>
      </c>
    </row>
    <row r="207" spans="1:16" x14ac:dyDescent="0.2">
      <c r="A207" s="8">
        <v>102.5</v>
      </c>
      <c r="B207" s="8">
        <v>205</v>
      </c>
      <c r="D207">
        <v>1048.1421568628</v>
      </c>
      <c r="E207">
        <v>269.18954248365998</v>
      </c>
      <c r="F207">
        <v>146.24733824734</v>
      </c>
      <c r="G207">
        <v>120.35298935298999</v>
      </c>
      <c r="I207" s="9">
        <f t="shared" si="22"/>
        <v>148.83655313066998</v>
      </c>
      <c r="J207" s="9">
        <f t="shared" si="23"/>
        <v>901.89481861546005</v>
      </c>
      <c r="K207" s="9">
        <f t="shared" si="24"/>
        <v>148.83655313066998</v>
      </c>
      <c r="L207" s="10">
        <f t="shared" si="21"/>
        <v>0.1650265086999344</v>
      </c>
      <c r="M207" s="10">
        <f t="shared" si="20"/>
        <v>0.17388851489016083</v>
      </c>
      <c r="P207" s="8">
        <f t="shared" si="25"/>
        <v>-28.777337006670606</v>
      </c>
    </row>
    <row r="208" spans="1:16" x14ac:dyDescent="0.2">
      <c r="A208" s="8">
        <v>103</v>
      </c>
      <c r="B208" s="8">
        <v>206</v>
      </c>
      <c r="D208">
        <v>1062.4281045752</v>
      </c>
      <c r="E208">
        <v>270.8227124183</v>
      </c>
      <c r="F208">
        <v>146.10810810811</v>
      </c>
      <c r="G208">
        <v>119.97870597871</v>
      </c>
      <c r="I208" s="9">
        <f t="shared" si="22"/>
        <v>150.84400643959</v>
      </c>
      <c r="J208" s="9">
        <f t="shared" si="23"/>
        <v>916.31999646709005</v>
      </c>
      <c r="K208" s="9">
        <f t="shared" si="24"/>
        <v>150.84400643959</v>
      </c>
      <c r="L208" s="10">
        <f t="shared" si="21"/>
        <v>0.16461935461539132</v>
      </c>
      <c r="M208" s="10">
        <f t="shared" si="20"/>
        <v>0.17352459010410665</v>
      </c>
      <c r="P208" s="8">
        <f t="shared" si="25"/>
        <v>-28.92639626115</v>
      </c>
    </row>
    <row r="209" spans="1:16" x14ac:dyDescent="0.2">
      <c r="A209" s="8">
        <v>103.5</v>
      </c>
      <c r="B209" s="8">
        <v>207</v>
      </c>
      <c r="D209">
        <v>1071.4044117646999</v>
      </c>
      <c r="E209">
        <v>272.15441176471001</v>
      </c>
      <c r="F209">
        <v>146.42833742834</v>
      </c>
      <c r="G209">
        <v>119.90827190827</v>
      </c>
      <c r="I209" s="9">
        <f t="shared" si="22"/>
        <v>152.24613985644001</v>
      </c>
      <c r="J209" s="9">
        <f t="shared" si="23"/>
        <v>924.97607433635994</v>
      </c>
      <c r="K209" s="9">
        <f t="shared" si="24"/>
        <v>152.24613985644001</v>
      </c>
      <c r="L209" s="10">
        <f t="shared" si="21"/>
        <v>0.1645946788036346</v>
      </c>
      <c r="M209" s="10">
        <f t="shared" si="20"/>
        <v>0.17354314359083883</v>
      </c>
      <c r="P209" s="8">
        <f t="shared" si="25"/>
        <v>-28.918796974137212</v>
      </c>
    </row>
    <row r="210" spans="1:16" x14ac:dyDescent="0.2">
      <c r="A210" s="8">
        <v>104</v>
      </c>
      <c r="B210" s="8">
        <v>208</v>
      </c>
      <c r="D210">
        <v>1066.5424836601001</v>
      </c>
      <c r="E210">
        <v>269.87908496732001</v>
      </c>
      <c r="F210">
        <v>145.97133497134001</v>
      </c>
      <c r="G210">
        <v>119.88206388206</v>
      </c>
      <c r="I210" s="9">
        <f t="shared" si="22"/>
        <v>149.99702108526003</v>
      </c>
      <c r="J210" s="9">
        <f t="shared" si="23"/>
        <v>920.5711486887601</v>
      </c>
      <c r="K210" s="9">
        <f t="shared" si="24"/>
        <v>149.99702108526003</v>
      </c>
      <c r="L210" s="10">
        <f t="shared" si="21"/>
        <v>0.16293908547852304</v>
      </c>
      <c r="M210" s="10">
        <f t="shared" si="20"/>
        <v>0.17193077956421621</v>
      </c>
      <c r="P210" s="8">
        <f t="shared" si="25"/>
        <v>-29.579202060483766</v>
      </c>
    </row>
    <row r="211" spans="1:16" x14ac:dyDescent="0.2">
      <c r="A211" s="8">
        <v>104.5</v>
      </c>
      <c r="B211" s="8">
        <v>209</v>
      </c>
      <c r="D211">
        <v>1062.9820261438001</v>
      </c>
      <c r="E211">
        <v>272.02777777777999</v>
      </c>
      <c r="F211">
        <v>145.84766584766999</v>
      </c>
      <c r="G211">
        <v>120.29647829648</v>
      </c>
      <c r="I211" s="9">
        <f t="shared" si="22"/>
        <v>151.73129948129997</v>
      </c>
      <c r="J211" s="9">
        <f t="shared" si="23"/>
        <v>917.13436029613013</v>
      </c>
      <c r="K211" s="9">
        <f t="shared" si="24"/>
        <v>151.73129948129997</v>
      </c>
      <c r="L211" s="10">
        <f t="shared" si="21"/>
        <v>0.16544064430462294</v>
      </c>
      <c r="M211" s="10">
        <f t="shared" si="20"/>
        <v>0.17447556768880501</v>
      </c>
      <c r="P211" s="8">
        <f t="shared" si="25"/>
        <v>-28.536887177861981</v>
      </c>
    </row>
    <row r="212" spans="1:16" x14ac:dyDescent="0.2">
      <c r="A212" s="8">
        <v>105</v>
      </c>
      <c r="B212" s="8">
        <v>210</v>
      </c>
      <c r="D212">
        <v>1062.1013071894999</v>
      </c>
      <c r="E212">
        <v>270.57026143791001</v>
      </c>
      <c r="F212">
        <v>146.18263718264001</v>
      </c>
      <c r="G212">
        <v>120.17526617527</v>
      </c>
      <c r="I212" s="9">
        <f t="shared" si="22"/>
        <v>150.39499526264001</v>
      </c>
      <c r="J212" s="9">
        <f t="shared" si="23"/>
        <v>915.91867000685988</v>
      </c>
      <c r="K212" s="9">
        <f t="shared" si="24"/>
        <v>150.39499526264001</v>
      </c>
      <c r="L212" s="10">
        <f t="shared" si="21"/>
        <v>0.16420125518515044</v>
      </c>
      <c r="M212" s="10">
        <f t="shared" si="20"/>
        <v>0.17327940786782142</v>
      </c>
      <c r="P212" s="8">
        <f t="shared" si="25"/>
        <v>-29.026819982624207</v>
      </c>
    </row>
    <row r="213" spans="1:16" x14ac:dyDescent="0.2">
      <c r="A213" s="8">
        <v>105.5</v>
      </c>
      <c r="B213" s="8">
        <v>211</v>
      </c>
      <c r="D213">
        <v>1065.9673202613999</v>
      </c>
      <c r="E213">
        <v>271.14052287582001</v>
      </c>
      <c r="F213">
        <v>146.81736281735999</v>
      </c>
      <c r="G213">
        <v>120.2497952498</v>
      </c>
      <c r="I213" s="9">
        <f t="shared" si="22"/>
        <v>150.89072762602001</v>
      </c>
      <c r="J213" s="9">
        <f t="shared" si="23"/>
        <v>919.14995744403996</v>
      </c>
      <c r="K213" s="9">
        <f t="shared" si="24"/>
        <v>150.89072762602001</v>
      </c>
      <c r="L213" s="10">
        <f t="shared" si="21"/>
        <v>0.16416334070842473</v>
      </c>
      <c r="M213" s="10">
        <f t="shared" si="20"/>
        <v>0.17328472268958461</v>
      </c>
      <c r="P213" s="8">
        <f t="shared" si="25"/>
        <v>-29.024643094981293</v>
      </c>
    </row>
    <row r="214" spans="1:16" x14ac:dyDescent="0.2">
      <c r="A214" s="8">
        <v>106</v>
      </c>
      <c r="B214" s="8">
        <v>212</v>
      </c>
      <c r="D214">
        <v>1061.7263071894999</v>
      </c>
      <c r="E214">
        <v>270.43218954247999</v>
      </c>
      <c r="F214">
        <v>145.78132678132999</v>
      </c>
      <c r="G214">
        <v>120.04668304668</v>
      </c>
      <c r="I214" s="9">
        <f t="shared" si="22"/>
        <v>150.38550649579997</v>
      </c>
      <c r="J214" s="9">
        <f t="shared" si="23"/>
        <v>915.94498040816995</v>
      </c>
      <c r="K214" s="9">
        <f t="shared" si="24"/>
        <v>150.38550649579997</v>
      </c>
      <c r="L214" s="10">
        <f t="shared" si="21"/>
        <v>0.16418617898728383</v>
      </c>
      <c r="M214" s="10">
        <f t="shared" si="20"/>
        <v>0.17335079026693262</v>
      </c>
      <c r="P214" s="8">
        <f t="shared" si="25"/>
        <v>-28.997582602807821</v>
      </c>
    </row>
    <row r="215" spans="1:16" x14ac:dyDescent="0.2">
      <c r="A215" s="8">
        <v>106.5</v>
      </c>
      <c r="B215" s="8">
        <v>213</v>
      </c>
      <c r="D215">
        <v>1094.9163248564</v>
      </c>
      <c r="E215">
        <v>274.44872846596002</v>
      </c>
      <c r="F215">
        <v>146.70024570025001</v>
      </c>
      <c r="G215">
        <v>119.68058968059</v>
      </c>
      <c r="I215" s="9">
        <f t="shared" si="22"/>
        <v>154.76813878537001</v>
      </c>
      <c r="J215" s="9">
        <f t="shared" si="23"/>
        <v>948.21607915615004</v>
      </c>
      <c r="K215" s="9">
        <f t="shared" si="24"/>
        <v>154.76813878537001</v>
      </c>
      <c r="L215" s="10">
        <f t="shared" si="21"/>
        <v>0.1632203272940736</v>
      </c>
      <c r="M215" s="10">
        <f t="shared" si="20"/>
        <v>0.1724281678722113</v>
      </c>
      <c r="P215" s="8">
        <f t="shared" si="25"/>
        <v>-29.375477738267701</v>
      </c>
    </row>
    <row r="216" spans="1:16" x14ac:dyDescent="0.2">
      <c r="A216" s="8">
        <v>107</v>
      </c>
      <c r="B216" s="8">
        <v>214</v>
      </c>
      <c r="D216">
        <v>1071.8187038556</v>
      </c>
      <c r="E216">
        <v>272.57506152584</v>
      </c>
      <c r="F216">
        <v>146.00819000819001</v>
      </c>
      <c r="G216">
        <v>120.02620802621</v>
      </c>
      <c r="I216" s="9">
        <f t="shared" si="22"/>
        <v>152.54885349963001</v>
      </c>
      <c r="J216" s="9">
        <f t="shared" si="23"/>
        <v>925.81051384740999</v>
      </c>
      <c r="K216" s="9">
        <f t="shared" si="24"/>
        <v>152.54885349963001</v>
      </c>
      <c r="L216" s="10">
        <f t="shared" si="21"/>
        <v>0.16477329995495468</v>
      </c>
      <c r="M216" s="10">
        <f t="shared" si="20"/>
        <v>0.17402436983158129</v>
      </c>
      <c r="P216" s="8">
        <f t="shared" si="25"/>
        <v>-28.721692442020203</v>
      </c>
    </row>
    <row r="217" spans="1:16" x14ac:dyDescent="0.2">
      <c r="A217" s="8">
        <v>107.5</v>
      </c>
      <c r="B217" s="8">
        <v>215</v>
      </c>
      <c r="D217">
        <v>1059.0139573071001</v>
      </c>
      <c r="E217">
        <v>272.73563218391001</v>
      </c>
      <c r="F217">
        <v>146.29074529075001</v>
      </c>
      <c r="G217">
        <v>119.82882882883</v>
      </c>
      <c r="I217" s="9">
        <f t="shared" si="22"/>
        <v>152.90680335508</v>
      </c>
      <c r="J217" s="9">
        <f t="shared" si="23"/>
        <v>912.72321201635009</v>
      </c>
      <c r="K217" s="9">
        <f t="shared" si="24"/>
        <v>152.90680335508</v>
      </c>
      <c r="L217" s="10">
        <f t="shared" si="21"/>
        <v>0.16752811952408295</v>
      </c>
      <c r="M217" s="10">
        <f t="shared" si="20"/>
        <v>0.17682241869919846</v>
      </c>
      <c r="P217" s="8">
        <f t="shared" si="25"/>
        <v>-27.575644977855905</v>
      </c>
    </row>
    <row r="218" spans="1:16" x14ac:dyDescent="0.2">
      <c r="A218" s="8">
        <v>108</v>
      </c>
      <c r="B218" s="8">
        <v>216</v>
      </c>
      <c r="D218">
        <v>1073.8834154351</v>
      </c>
      <c r="E218">
        <v>273.00328407224998</v>
      </c>
      <c r="F218">
        <v>146.15561015560999</v>
      </c>
      <c r="G218">
        <v>120.30466830467</v>
      </c>
      <c r="I218" s="9">
        <f t="shared" si="22"/>
        <v>152.69861576757998</v>
      </c>
      <c r="J218" s="9">
        <f t="shared" si="23"/>
        <v>927.72780527948998</v>
      </c>
      <c r="K218" s="9">
        <f t="shared" si="24"/>
        <v>152.69861576757998</v>
      </c>
      <c r="L218" s="10">
        <f t="shared" si="21"/>
        <v>0.16459419982737022</v>
      </c>
      <c r="M218" s="10">
        <f t="shared" si="20"/>
        <v>0.17393172830097464</v>
      </c>
      <c r="P218" s="8">
        <f t="shared" si="25"/>
        <v>-28.75963730869384</v>
      </c>
    </row>
    <row r="219" spans="1:16" x14ac:dyDescent="0.2">
      <c r="A219" s="8">
        <v>108.5</v>
      </c>
      <c r="B219" s="8">
        <v>217</v>
      </c>
      <c r="D219">
        <v>1087.0832653061</v>
      </c>
      <c r="E219">
        <v>275.55428571429002</v>
      </c>
      <c r="F219">
        <v>146.01556101556</v>
      </c>
      <c r="G219">
        <v>120.11384111384</v>
      </c>
      <c r="I219" s="9">
        <f t="shared" si="22"/>
        <v>155.44044460045001</v>
      </c>
      <c r="J219" s="9">
        <f t="shared" si="23"/>
        <v>941.06770429053995</v>
      </c>
      <c r="K219" s="9">
        <f t="shared" si="24"/>
        <v>155.44044460045001</v>
      </c>
      <c r="L219" s="10">
        <f t="shared" si="21"/>
        <v>0.16517456065250349</v>
      </c>
      <c r="M219" s="10">
        <f t="shared" si="20"/>
        <v>0.17455531842459684</v>
      </c>
      <c r="P219" s="8">
        <f t="shared" si="25"/>
        <v>-28.504222227089588</v>
      </c>
    </row>
    <row r="220" spans="1:16" x14ac:dyDescent="0.2">
      <c r="A220" s="8">
        <v>109</v>
      </c>
      <c r="B220" s="8">
        <v>218</v>
      </c>
      <c r="D220">
        <v>1083.6571428571001</v>
      </c>
      <c r="E220">
        <v>276.35836734693999</v>
      </c>
      <c r="F220">
        <v>145.91072891073</v>
      </c>
      <c r="G220">
        <v>119.82145782146</v>
      </c>
      <c r="I220" s="9">
        <f t="shared" si="22"/>
        <v>156.53690952547998</v>
      </c>
      <c r="J220" s="9">
        <f t="shared" si="23"/>
        <v>937.74641394637013</v>
      </c>
      <c r="K220" s="9">
        <f t="shared" si="24"/>
        <v>156.53690952547998</v>
      </c>
      <c r="L220" s="10">
        <f t="shared" si="21"/>
        <v>0.16692882766324538</v>
      </c>
      <c r="M220" s="10">
        <f t="shared" si="20"/>
        <v>0.17635281473382763</v>
      </c>
      <c r="P220" s="8">
        <f t="shared" si="25"/>
        <v>-27.767989164515182</v>
      </c>
    </row>
    <row r="221" spans="1:16" x14ac:dyDescent="0.2">
      <c r="A221" s="8">
        <v>109.5</v>
      </c>
      <c r="B221" s="8">
        <v>219</v>
      </c>
      <c r="D221">
        <v>1100.0204750205</v>
      </c>
      <c r="E221">
        <v>277.39885339885001</v>
      </c>
      <c r="F221">
        <v>146.02620802621001</v>
      </c>
      <c r="G221">
        <v>120.14905814906</v>
      </c>
      <c r="I221" s="9">
        <f t="shared" si="22"/>
        <v>157.24979524979</v>
      </c>
      <c r="J221" s="9">
        <f t="shared" si="23"/>
        <v>953.99426699429</v>
      </c>
      <c r="K221" s="9">
        <f t="shared" si="24"/>
        <v>157.24979524979</v>
      </c>
      <c r="L221" s="10">
        <f t="shared" si="21"/>
        <v>0.16483306104682408</v>
      </c>
      <c r="M221" s="10">
        <f t="shared" si="20"/>
        <v>0.17430027741589524</v>
      </c>
      <c r="P221" s="8">
        <f t="shared" si="25"/>
        <v>-28.608683984231554</v>
      </c>
    </row>
    <row r="222" spans="1:16" x14ac:dyDescent="0.2">
      <c r="A222" s="8">
        <v>110</v>
      </c>
      <c r="B222" s="8">
        <v>220</v>
      </c>
      <c r="D222">
        <v>1097.5995085995</v>
      </c>
      <c r="E222">
        <v>280.02293202292998</v>
      </c>
      <c r="F222">
        <v>146.09254709255001</v>
      </c>
      <c r="G222">
        <v>119.87796887797001</v>
      </c>
      <c r="I222" s="9">
        <f t="shared" si="22"/>
        <v>160.14496314495997</v>
      </c>
      <c r="J222" s="9">
        <f t="shared" si="23"/>
        <v>951.50696150695001</v>
      </c>
      <c r="K222" s="9">
        <f t="shared" si="24"/>
        <v>160.14496314495997</v>
      </c>
      <c r="L222" s="10">
        <f t="shared" si="21"/>
        <v>0.168306664715653</v>
      </c>
      <c r="M222" s="10">
        <f t="shared" si="20"/>
        <v>0.17781711038321307</v>
      </c>
      <c r="P222" s="8">
        <f t="shared" si="25"/>
        <v>-27.168231120548597</v>
      </c>
    </row>
    <row r="223" spans="1:16" x14ac:dyDescent="0.2">
      <c r="A223" s="8">
        <v>110.5</v>
      </c>
      <c r="B223" s="8">
        <v>221</v>
      </c>
      <c r="D223">
        <v>1086.2686322686</v>
      </c>
      <c r="E223">
        <v>278.50941850942002</v>
      </c>
      <c r="F223">
        <v>145.89926289926001</v>
      </c>
      <c r="G223">
        <v>120.13841113841001</v>
      </c>
      <c r="I223" s="9">
        <f t="shared" si="22"/>
        <v>158.37100737101002</v>
      </c>
      <c r="J223" s="9">
        <f t="shared" si="23"/>
        <v>940.36936936933989</v>
      </c>
      <c r="K223" s="9">
        <f t="shared" si="24"/>
        <v>158.37100737101002</v>
      </c>
      <c r="L223" s="10">
        <f t="shared" si="21"/>
        <v>0.16841361759499013</v>
      </c>
      <c r="M223" s="10">
        <f t="shared" si="20"/>
        <v>0.1779672925610391</v>
      </c>
      <c r="P223" s="8">
        <f t="shared" si="25"/>
        <v>-27.106718290643389</v>
      </c>
    </row>
    <row r="224" spans="1:16" x14ac:dyDescent="0.2">
      <c r="A224" s="8">
        <v>111</v>
      </c>
      <c r="B224" s="8">
        <v>222</v>
      </c>
      <c r="D224">
        <v>1093.1474201474</v>
      </c>
      <c r="E224">
        <v>278.62817362816998</v>
      </c>
      <c r="F224">
        <v>146.02375102375001</v>
      </c>
      <c r="G224">
        <v>120.04832104832001</v>
      </c>
      <c r="I224" s="9">
        <f t="shared" si="22"/>
        <v>158.57985257984996</v>
      </c>
      <c r="J224" s="9">
        <f t="shared" si="23"/>
        <v>947.12366912364996</v>
      </c>
      <c r="K224" s="9">
        <f t="shared" si="24"/>
        <v>158.57985257984996</v>
      </c>
      <c r="L224" s="10">
        <f t="shared" si="21"/>
        <v>0.16743310060721001</v>
      </c>
      <c r="M224" s="10">
        <f t="shared" si="20"/>
        <v>0.17703000487174789</v>
      </c>
      <c r="P224" s="8">
        <f t="shared" si="25"/>
        <v>-27.490620155952616</v>
      </c>
    </row>
    <row r="225" spans="1:16" x14ac:dyDescent="0.2">
      <c r="A225" s="8">
        <v>111.5</v>
      </c>
      <c r="B225" s="8">
        <v>223</v>
      </c>
      <c r="D225">
        <v>1087.0794430794001</v>
      </c>
      <c r="E225">
        <v>279.22850122850002</v>
      </c>
      <c r="F225">
        <v>146.00655200655001</v>
      </c>
      <c r="G225">
        <v>120.34316134316001</v>
      </c>
      <c r="I225" s="9">
        <f t="shared" si="22"/>
        <v>158.88533988534002</v>
      </c>
      <c r="J225" s="9">
        <f t="shared" si="23"/>
        <v>941.0728910728501</v>
      </c>
      <c r="K225" s="9">
        <f t="shared" si="24"/>
        <v>158.88533988534002</v>
      </c>
      <c r="L225" s="10">
        <f t="shared" si="21"/>
        <v>0.16883425438406388</v>
      </c>
      <c r="M225" s="10">
        <f t="shared" si="20"/>
        <v>0.17847438794709067</v>
      </c>
      <c r="P225" s="8">
        <f t="shared" si="25"/>
        <v>-26.899018064961222</v>
      </c>
    </row>
    <row r="226" spans="1:16" x14ac:dyDescent="0.2">
      <c r="A226" s="8">
        <v>112</v>
      </c>
      <c r="B226" s="8">
        <v>224</v>
      </c>
      <c r="D226">
        <v>1093.1490581491</v>
      </c>
      <c r="E226">
        <v>279.86568386568001</v>
      </c>
      <c r="F226">
        <v>145.61998361997999</v>
      </c>
      <c r="G226">
        <v>119.98198198198</v>
      </c>
      <c r="I226" s="9">
        <f t="shared" si="22"/>
        <v>159.88370188370001</v>
      </c>
      <c r="J226" s="9">
        <f t="shared" si="23"/>
        <v>947.52907452912007</v>
      </c>
      <c r="K226" s="9">
        <f t="shared" si="24"/>
        <v>159.88370188370001</v>
      </c>
      <c r="L226" s="10">
        <f t="shared" si="21"/>
        <v>0.16873751548273611</v>
      </c>
      <c r="M226" s="10">
        <f t="shared" si="20"/>
        <v>0.1784208783442518</v>
      </c>
      <c r="P226" s="8">
        <f t="shared" si="25"/>
        <v>-26.920934960463534</v>
      </c>
    </row>
    <row r="227" spans="1:16" x14ac:dyDescent="0.2">
      <c r="A227" s="8">
        <v>112.5</v>
      </c>
      <c r="B227" s="8">
        <v>225</v>
      </c>
      <c r="D227">
        <v>1083.9082719083001</v>
      </c>
      <c r="E227">
        <v>280.19328419328002</v>
      </c>
      <c r="F227">
        <v>145.6764946765</v>
      </c>
      <c r="G227">
        <v>120.04995904995999</v>
      </c>
      <c r="I227" s="9">
        <f t="shared" si="22"/>
        <v>160.14332514332003</v>
      </c>
      <c r="J227" s="9">
        <f t="shared" si="23"/>
        <v>938.23177723180015</v>
      </c>
      <c r="K227" s="9">
        <f t="shared" si="24"/>
        <v>160.14332514332003</v>
      </c>
      <c r="L227" s="10">
        <f t="shared" si="21"/>
        <v>0.17068631550277891</v>
      </c>
      <c r="M227" s="10">
        <f t="shared" si="20"/>
        <v>0.18041290766278353</v>
      </c>
      <c r="P227" s="8">
        <f t="shared" si="25"/>
        <v>-26.105023496062124</v>
      </c>
    </row>
    <row r="228" spans="1:16" x14ac:dyDescent="0.2">
      <c r="A228" s="8">
        <v>113</v>
      </c>
      <c r="B228" s="8">
        <v>226</v>
      </c>
      <c r="D228">
        <v>1047.3202293202</v>
      </c>
      <c r="E228">
        <v>275.48730548730998</v>
      </c>
      <c r="F228">
        <v>145.86895986895999</v>
      </c>
      <c r="G228">
        <v>119.60278460279</v>
      </c>
      <c r="I228" s="9">
        <f t="shared" si="22"/>
        <v>155.88452088451999</v>
      </c>
      <c r="J228" s="9">
        <f t="shared" si="23"/>
        <v>901.45126945124002</v>
      </c>
      <c r="K228" s="9">
        <f t="shared" si="24"/>
        <v>155.88452088451999</v>
      </c>
      <c r="L228" s="10">
        <f t="shared" si="21"/>
        <v>0.17292617600884289</v>
      </c>
      <c r="M228" s="10">
        <f t="shared" si="20"/>
        <v>0.18269599746733642</v>
      </c>
      <c r="P228" s="8">
        <f t="shared" si="25"/>
        <v>-25.169897125951422</v>
      </c>
    </row>
    <row r="229" spans="1:16" x14ac:dyDescent="0.2">
      <c r="A229" s="8">
        <v>113.5</v>
      </c>
      <c r="B229" s="8">
        <v>227</v>
      </c>
      <c r="D229">
        <v>1086.9041769042001</v>
      </c>
      <c r="E229">
        <v>284.20802620802999</v>
      </c>
      <c r="F229">
        <v>145.56183456183999</v>
      </c>
      <c r="G229">
        <v>120.08108108108</v>
      </c>
      <c r="I229" s="9">
        <f t="shared" si="22"/>
        <v>164.12694512694998</v>
      </c>
      <c r="J229" s="9">
        <f t="shared" si="23"/>
        <v>941.3423423423601</v>
      </c>
      <c r="K229" s="9">
        <f t="shared" si="24"/>
        <v>164.12694512694998</v>
      </c>
      <c r="L229" s="10">
        <f t="shared" si="21"/>
        <v>0.17435415124167236</v>
      </c>
      <c r="M229" s="10">
        <f t="shared" si="20"/>
        <v>0.1841672019986548</v>
      </c>
      <c r="P229" s="8">
        <f t="shared" si="25"/>
        <v>-24.567309286297174</v>
      </c>
    </row>
    <row r="230" spans="1:16" x14ac:dyDescent="0.2">
      <c r="A230" s="8">
        <v>114</v>
      </c>
      <c r="B230" s="8">
        <v>228</v>
      </c>
      <c r="D230">
        <v>1096.2145782145999</v>
      </c>
      <c r="E230">
        <v>285.85176085175999</v>
      </c>
      <c r="F230">
        <v>146.55773955774001</v>
      </c>
      <c r="G230">
        <v>119.63718263718</v>
      </c>
      <c r="I230" s="9">
        <f t="shared" si="22"/>
        <v>166.21457821458</v>
      </c>
      <c r="J230" s="9">
        <f t="shared" si="23"/>
        <v>949.65683865685992</v>
      </c>
      <c r="K230" s="9">
        <f t="shared" si="24"/>
        <v>166.21457821458</v>
      </c>
      <c r="L230" s="10">
        <f t="shared" si="21"/>
        <v>0.17502593721081855</v>
      </c>
      <c r="M230" s="10">
        <f t="shared" si="20"/>
        <v>0.18488221726628989</v>
      </c>
      <c r="P230" s="8">
        <f t="shared" si="25"/>
        <v>-24.274447555469077</v>
      </c>
    </row>
    <row r="231" spans="1:16" x14ac:dyDescent="0.2">
      <c r="A231" s="8">
        <v>114.5</v>
      </c>
      <c r="B231" s="8">
        <v>229</v>
      </c>
      <c r="D231">
        <v>1080.9393939393999</v>
      </c>
      <c r="E231">
        <v>283.63063063062998</v>
      </c>
      <c r="F231">
        <v>145.89025389024999</v>
      </c>
      <c r="G231">
        <v>119.96232596233</v>
      </c>
      <c r="I231" s="9">
        <f t="shared" si="22"/>
        <v>163.66830466829998</v>
      </c>
      <c r="J231" s="9">
        <f t="shared" si="23"/>
        <v>935.04914004914986</v>
      </c>
      <c r="K231" s="9">
        <f t="shared" si="24"/>
        <v>163.66830466829998</v>
      </c>
      <c r="L231" s="10">
        <f t="shared" si="21"/>
        <v>0.17503711586719062</v>
      </c>
      <c r="M231" s="10">
        <f t="shared" si="20"/>
        <v>0.18493662522115087</v>
      </c>
      <c r="P231" s="8">
        <f t="shared" si="25"/>
        <v>-24.252162705686636</v>
      </c>
    </row>
    <row r="232" spans="1:16" x14ac:dyDescent="0.2">
      <c r="A232" s="8">
        <v>115</v>
      </c>
      <c r="B232" s="8">
        <v>230</v>
      </c>
      <c r="D232">
        <v>1078.8553921569001</v>
      </c>
      <c r="E232">
        <v>284.21078431373002</v>
      </c>
      <c r="F232">
        <v>145.42506142505999</v>
      </c>
      <c r="G232">
        <v>120.0647010647</v>
      </c>
      <c r="I232" s="9">
        <f t="shared" si="22"/>
        <v>164.14608324903003</v>
      </c>
      <c r="J232" s="9">
        <f t="shared" si="23"/>
        <v>933.43033073184006</v>
      </c>
      <c r="K232" s="9">
        <f t="shared" si="24"/>
        <v>164.14608324903003</v>
      </c>
      <c r="L232" s="10">
        <f t="shared" si="21"/>
        <v>0.17585252786925629</v>
      </c>
      <c r="M232" s="10">
        <f t="shared" si="20"/>
        <v>0.18579526652170544</v>
      </c>
      <c r="P232" s="8">
        <f t="shared" si="25"/>
        <v>-23.900473463759518</v>
      </c>
    </row>
    <row r="233" spans="1:16" x14ac:dyDescent="0.2">
      <c r="A233" s="8">
        <v>115.5</v>
      </c>
      <c r="B233" s="8">
        <v>231</v>
      </c>
      <c r="D233">
        <v>1033.1919934641001</v>
      </c>
      <c r="E233">
        <v>277.51552287582001</v>
      </c>
      <c r="F233">
        <v>146.03357903358</v>
      </c>
      <c r="G233">
        <v>120.30303030303</v>
      </c>
      <c r="I233" s="9">
        <f t="shared" si="22"/>
        <v>157.21249257279001</v>
      </c>
      <c r="J233" s="9">
        <f t="shared" si="23"/>
        <v>887.15841443052</v>
      </c>
      <c r="K233" s="9">
        <f t="shared" si="24"/>
        <v>157.21249257279001</v>
      </c>
      <c r="L233" s="10">
        <f t="shared" si="21"/>
        <v>0.17720904183015276</v>
      </c>
      <c r="M233" s="10">
        <f t="shared" si="20"/>
        <v>0.18719500978109083</v>
      </c>
      <c r="P233" s="8">
        <f t="shared" si="25"/>
        <v>-23.327155309289328</v>
      </c>
    </row>
    <row r="234" spans="1:16" x14ac:dyDescent="0.2">
      <c r="A234" s="8">
        <v>116</v>
      </c>
      <c r="B234" s="8">
        <v>232</v>
      </c>
      <c r="D234">
        <v>1060.3088235293999</v>
      </c>
      <c r="E234">
        <v>283.8545751634</v>
      </c>
      <c r="F234">
        <v>146.06797706798</v>
      </c>
      <c r="G234">
        <v>120.06306306306</v>
      </c>
      <c r="I234" s="9">
        <f t="shared" si="22"/>
        <v>163.79151210034001</v>
      </c>
      <c r="J234" s="9">
        <f t="shared" si="23"/>
        <v>914.24084646141989</v>
      </c>
      <c r="K234" s="9">
        <f t="shared" si="24"/>
        <v>163.79151210034001</v>
      </c>
      <c r="L234" s="10">
        <f t="shared" si="21"/>
        <v>0.17915575828218244</v>
      </c>
      <c r="M234" s="10">
        <f t="shared" si="20"/>
        <v>0.18918495553160941</v>
      </c>
      <c r="P234" s="8">
        <f t="shared" si="25"/>
        <v>-22.512097249510518</v>
      </c>
    </row>
    <row r="235" spans="1:16" x14ac:dyDescent="0.2">
      <c r="A235" s="8">
        <v>116.5</v>
      </c>
      <c r="B235" s="8">
        <v>233</v>
      </c>
      <c r="D235">
        <v>1036.591503268</v>
      </c>
      <c r="E235">
        <v>280.24673202614002</v>
      </c>
      <c r="F235">
        <v>146.28419328419</v>
      </c>
      <c r="G235">
        <v>120.44799344799</v>
      </c>
      <c r="I235" s="9">
        <f t="shared" si="22"/>
        <v>159.79873857815002</v>
      </c>
      <c r="J235" s="9">
        <f t="shared" si="23"/>
        <v>890.30730998381</v>
      </c>
      <c r="K235" s="9">
        <f t="shared" si="24"/>
        <v>159.79873857815002</v>
      </c>
      <c r="L235" s="10">
        <f t="shared" si="21"/>
        <v>0.17948716896534964</v>
      </c>
      <c r="M235" s="10">
        <f t="shared" si="20"/>
        <v>0.18955959551326554</v>
      </c>
      <c r="P235" s="8">
        <f t="shared" si="25"/>
        <v>-22.358649178634899</v>
      </c>
    </row>
    <row r="236" spans="1:16" x14ac:dyDescent="0.2">
      <c r="A236" s="8">
        <v>117</v>
      </c>
      <c r="B236" s="8">
        <v>234</v>
      </c>
      <c r="D236">
        <v>1053.8145424837001</v>
      </c>
      <c r="E236">
        <v>285.88970588234997</v>
      </c>
      <c r="F236">
        <v>145.43652743653001</v>
      </c>
      <c r="G236">
        <v>119.82719082718999</v>
      </c>
      <c r="I236" s="9">
        <f t="shared" si="22"/>
        <v>166.06251505515996</v>
      </c>
      <c r="J236" s="9">
        <f t="shared" si="23"/>
        <v>908.37801504717004</v>
      </c>
      <c r="K236" s="9">
        <f t="shared" si="24"/>
        <v>166.06251505515996</v>
      </c>
      <c r="L236" s="10">
        <f t="shared" si="21"/>
        <v>0.18281212480306089</v>
      </c>
      <c r="M236" s="10">
        <f t="shared" si="20"/>
        <v>0.1929277806494657</v>
      </c>
      <c r="P236" s="8">
        <f t="shared" si="25"/>
        <v>-20.979080694734421</v>
      </c>
    </row>
    <row r="237" spans="1:16" x14ac:dyDescent="0.2">
      <c r="A237" s="8">
        <v>117.5</v>
      </c>
      <c r="B237" s="8">
        <v>235</v>
      </c>
      <c r="D237">
        <v>1101.1173092699</v>
      </c>
      <c r="E237">
        <v>292.3798195242</v>
      </c>
      <c r="F237">
        <v>145.97461097460999</v>
      </c>
      <c r="G237">
        <v>119.96887796887999</v>
      </c>
      <c r="I237" s="9">
        <f t="shared" si="22"/>
        <v>172.41094155531999</v>
      </c>
      <c r="J237" s="9">
        <f t="shared" si="23"/>
        <v>955.14269829529007</v>
      </c>
      <c r="K237" s="9">
        <f t="shared" si="24"/>
        <v>172.41094155531999</v>
      </c>
      <c r="L237" s="10">
        <f t="shared" si="21"/>
        <v>0.18050804540832888</v>
      </c>
      <c r="M237" s="10">
        <f t="shared" si="20"/>
        <v>0.19066693055322259</v>
      </c>
      <c r="P237" s="8">
        <f t="shared" si="25"/>
        <v>-21.905097945412948</v>
      </c>
    </row>
    <row r="238" spans="1:16" x14ac:dyDescent="0.2">
      <c r="A238" s="8">
        <v>118</v>
      </c>
      <c r="B238" s="8">
        <v>236</v>
      </c>
      <c r="D238">
        <v>1111.8841761827</v>
      </c>
      <c r="E238">
        <v>295.95187601958003</v>
      </c>
      <c r="F238">
        <v>145.61425061425001</v>
      </c>
      <c r="G238">
        <v>119.92219492220001</v>
      </c>
      <c r="I238" s="9">
        <f t="shared" si="22"/>
        <v>176.02968109738003</v>
      </c>
      <c r="J238" s="9">
        <f t="shared" si="23"/>
        <v>966.26992556844993</v>
      </c>
      <c r="K238" s="9">
        <f t="shared" si="24"/>
        <v>176.02968109738003</v>
      </c>
      <c r="L238" s="10">
        <f t="shared" si="21"/>
        <v>0.18217443846637676</v>
      </c>
      <c r="M238" s="10">
        <f t="shared" si="20"/>
        <v>0.19237655290975939</v>
      </c>
      <c r="P238" s="8">
        <f t="shared" si="25"/>
        <v>-21.204857006427442</v>
      </c>
    </row>
    <row r="239" spans="1:16" x14ac:dyDescent="0.2">
      <c r="A239" s="8">
        <v>118.5</v>
      </c>
      <c r="B239" s="8">
        <v>237</v>
      </c>
      <c r="D239">
        <v>1107.5595432299999</v>
      </c>
      <c r="E239">
        <v>297.38580750407999</v>
      </c>
      <c r="F239">
        <v>145.66502866503001</v>
      </c>
      <c r="G239">
        <v>119.72645372645</v>
      </c>
      <c r="I239" s="9">
        <f t="shared" si="22"/>
        <v>177.65935377762997</v>
      </c>
      <c r="J239" s="9">
        <f t="shared" si="23"/>
        <v>961.89451456496988</v>
      </c>
      <c r="K239" s="9">
        <f t="shared" si="24"/>
        <v>177.65935377762997</v>
      </c>
      <c r="L239" s="10">
        <f t="shared" si="21"/>
        <v>0.18469733540166708</v>
      </c>
      <c r="M239" s="10">
        <f t="shared" si="20"/>
        <v>0.19494267914353861</v>
      </c>
      <c r="P239" s="8">
        <f t="shared" si="25"/>
        <v>-20.153802288625947</v>
      </c>
    </row>
    <row r="240" spans="1:16" x14ac:dyDescent="0.2">
      <c r="A240" s="8">
        <v>119</v>
      </c>
      <c r="B240" s="8">
        <v>238</v>
      </c>
      <c r="D240">
        <v>1113.9290375204</v>
      </c>
      <c r="E240">
        <v>297.45840130506002</v>
      </c>
      <c r="F240">
        <v>145.9484029484</v>
      </c>
      <c r="G240">
        <v>119.93857493858</v>
      </c>
      <c r="I240" s="9">
        <f t="shared" si="22"/>
        <v>177.51982636648</v>
      </c>
      <c r="J240" s="9">
        <f t="shared" si="23"/>
        <v>967.98063457199999</v>
      </c>
      <c r="K240" s="9">
        <f t="shared" si="24"/>
        <v>177.51982636648</v>
      </c>
      <c r="L240" s="10">
        <f t="shared" si="21"/>
        <v>0.18339191924533876</v>
      </c>
      <c r="M240" s="10">
        <f t="shared" si="20"/>
        <v>0.1936804922856992</v>
      </c>
      <c r="P240" s="8">
        <f t="shared" si="25"/>
        <v>-20.670778980659286</v>
      </c>
    </row>
    <row r="241" spans="1:16" x14ac:dyDescent="0.2">
      <c r="A241" s="8">
        <v>119.5</v>
      </c>
      <c r="B241" s="8">
        <v>239</v>
      </c>
      <c r="D241">
        <v>1144.2985318107999</v>
      </c>
      <c r="E241">
        <v>305.14518760196</v>
      </c>
      <c r="F241">
        <v>145.72235872236001</v>
      </c>
      <c r="G241">
        <v>120.08845208845</v>
      </c>
      <c r="I241" s="9">
        <f t="shared" si="22"/>
        <v>185.05673551351001</v>
      </c>
      <c r="J241" s="9">
        <f t="shared" si="23"/>
        <v>998.57617308843987</v>
      </c>
      <c r="K241" s="9">
        <f t="shared" si="24"/>
        <v>185.05673551351001</v>
      </c>
      <c r="L241" s="10">
        <f t="shared" si="21"/>
        <v>0.18532059997101522</v>
      </c>
      <c r="M241" s="10">
        <f t="shared" si="20"/>
        <v>0.19565240230986455</v>
      </c>
      <c r="P241" s="8">
        <f t="shared" si="25"/>
        <v>-19.863108139413612</v>
      </c>
    </row>
    <row r="242" spans="1:16" x14ac:dyDescent="0.2">
      <c r="A242" s="8">
        <v>120</v>
      </c>
      <c r="B242" s="8">
        <v>240</v>
      </c>
      <c r="D242">
        <v>1143.7729861676</v>
      </c>
      <c r="E242">
        <v>304.59560618389003</v>
      </c>
      <c r="F242">
        <v>145.89434889435</v>
      </c>
      <c r="G242">
        <v>120.07616707616999</v>
      </c>
      <c r="I242" s="9">
        <f>E242-G242</f>
        <v>184.51943910772002</v>
      </c>
      <c r="J242" s="9">
        <f>D242-F242</f>
        <v>997.87863727324998</v>
      </c>
      <c r="K242" s="9">
        <f t="shared" si="24"/>
        <v>184.51943910772002</v>
      </c>
      <c r="L242" s="10">
        <f t="shared" si="21"/>
        <v>0.18491170390412207</v>
      </c>
      <c r="M242" s="10">
        <f>L242+ABS($N$2)*A242</f>
        <v>0.19528673554146031</v>
      </c>
      <c r="O242" s="11"/>
      <c r="P242" s="8">
        <f>(M242-$O$2)/$O$2*100</f>
        <v>-20.012880889099616</v>
      </c>
    </row>
    <row r="243" spans="1:16" x14ac:dyDescent="0.2">
      <c r="A243" s="8">
        <v>120.5</v>
      </c>
      <c r="B243" s="8">
        <v>241</v>
      </c>
      <c r="D243">
        <v>1129.4141578519</v>
      </c>
      <c r="E243">
        <v>304.08706265256001</v>
      </c>
      <c r="F243">
        <v>145.66830466830999</v>
      </c>
      <c r="G243">
        <v>120.18918918919</v>
      </c>
      <c r="I243" s="9">
        <f t="shared" ref="I243:I274" si="26">E243-G243</f>
        <v>183.89787346336999</v>
      </c>
      <c r="J243" s="9">
        <f t="shared" ref="J243:J274" si="27">D243-F243</f>
        <v>983.74585318359004</v>
      </c>
      <c r="K243" s="9">
        <f t="shared" si="24"/>
        <v>183.89787346336999</v>
      </c>
      <c r="L243" s="10">
        <f t="shared" si="21"/>
        <v>0.18693636457855578</v>
      </c>
      <c r="M243" s="10">
        <f t="shared" ref="M243:M274" si="28">L243+ABS($N$2)*A243</f>
        <v>0.19735462551438296</v>
      </c>
      <c r="P243" s="8">
        <f t="shared" ref="P243:P274" si="29">(M243-$O$2)/$O$2*100</f>
        <v>-19.165897804898876</v>
      </c>
    </row>
    <row r="244" spans="1:16" x14ac:dyDescent="0.2">
      <c r="A244" s="8">
        <v>121</v>
      </c>
      <c r="B244" s="8">
        <v>242</v>
      </c>
      <c r="D244">
        <v>1133.6295993459</v>
      </c>
      <c r="E244">
        <v>304.91578086672001</v>
      </c>
      <c r="F244">
        <v>145.83701883702</v>
      </c>
      <c r="G244">
        <v>120.07862407862</v>
      </c>
      <c r="I244" s="9">
        <f t="shared" si="26"/>
        <v>184.8371567881</v>
      </c>
      <c r="J244" s="9">
        <f t="shared" si="27"/>
        <v>987.79258050888006</v>
      </c>
      <c r="K244" s="9">
        <f t="shared" si="24"/>
        <v>184.8371567881</v>
      </c>
      <c r="L244" s="10">
        <f t="shared" si="21"/>
        <v>0.18712142653762154</v>
      </c>
      <c r="M244" s="10">
        <f t="shared" si="28"/>
        <v>0.19758291677193762</v>
      </c>
      <c r="N244" s="1"/>
      <c r="P244" s="8">
        <f t="shared" si="29"/>
        <v>-19.072392426976648</v>
      </c>
    </row>
    <row r="245" spans="1:16" x14ac:dyDescent="0.2">
      <c r="A245" s="8">
        <v>121.5</v>
      </c>
      <c r="B245" s="8">
        <v>243</v>
      </c>
      <c r="D245">
        <v>1081.2232215863</v>
      </c>
      <c r="E245">
        <v>293.99836467701999</v>
      </c>
      <c r="F245">
        <v>146.37919737920001</v>
      </c>
      <c r="G245">
        <v>120.00245700246001</v>
      </c>
      <c r="I245" s="9">
        <f t="shared" si="26"/>
        <v>173.99590767455999</v>
      </c>
      <c r="J245" s="9">
        <f t="shared" si="27"/>
        <v>934.84402420710001</v>
      </c>
      <c r="K245" s="9">
        <f t="shared" si="24"/>
        <v>173.99590767455999</v>
      </c>
      <c r="L245" s="10">
        <f t="shared" si="21"/>
        <v>0.18612292871223823</v>
      </c>
      <c r="M245" s="10">
        <f t="shared" si="28"/>
        <v>0.19662764824504322</v>
      </c>
      <c r="P245" s="8">
        <f t="shared" si="29"/>
        <v>-19.463659029041256</v>
      </c>
    </row>
    <row r="246" spans="1:16" x14ac:dyDescent="0.2">
      <c r="A246" s="8">
        <v>122</v>
      </c>
      <c r="B246" s="8">
        <v>244</v>
      </c>
      <c r="D246">
        <v>1133.3131643500001</v>
      </c>
      <c r="E246">
        <v>304.94603434177998</v>
      </c>
      <c r="F246">
        <v>145.52006552007001</v>
      </c>
      <c r="G246">
        <v>120.01883701884</v>
      </c>
      <c r="I246" s="9">
        <f t="shared" si="26"/>
        <v>184.92719732293997</v>
      </c>
      <c r="J246" s="9">
        <f t="shared" si="27"/>
        <v>987.79309882993005</v>
      </c>
      <c r="K246" s="9">
        <f t="shared" si="24"/>
        <v>184.92719732293997</v>
      </c>
      <c r="L246" s="10">
        <f t="shared" si="21"/>
        <v>0.18721248158343248</v>
      </c>
      <c r="M246" s="10">
        <f t="shared" si="28"/>
        <v>0.19776043041472638</v>
      </c>
      <c r="P246" s="8">
        <f t="shared" si="29"/>
        <v>-18.999684954806632</v>
      </c>
    </row>
    <row r="247" spans="1:16" x14ac:dyDescent="0.2">
      <c r="A247" s="8">
        <v>122.5</v>
      </c>
      <c r="B247" s="8">
        <v>245</v>
      </c>
      <c r="D247">
        <v>1124.8932355338</v>
      </c>
      <c r="E247">
        <v>304.95925020375</v>
      </c>
      <c r="F247">
        <v>145.87796887797001</v>
      </c>
      <c r="G247">
        <v>120.06961506962</v>
      </c>
      <c r="I247" s="9">
        <f t="shared" si="26"/>
        <v>184.88963513413</v>
      </c>
      <c r="J247" s="9">
        <f t="shared" si="27"/>
        <v>979.01526665582992</v>
      </c>
      <c r="K247" s="9">
        <f t="shared" si="24"/>
        <v>184.88963513413</v>
      </c>
      <c r="L247" s="10">
        <f t="shared" si="21"/>
        <v>0.18885265779938795</v>
      </c>
      <c r="M247" s="10">
        <f t="shared" si="28"/>
        <v>0.19944383592917075</v>
      </c>
      <c r="P247" s="8">
        <f t="shared" si="29"/>
        <v>-18.310182121844267</v>
      </c>
    </row>
    <row r="248" spans="1:16" x14ac:dyDescent="0.2">
      <c r="A248" s="8">
        <v>123</v>
      </c>
      <c r="B248" s="8">
        <v>246</v>
      </c>
      <c r="D248">
        <v>1104.8340147178999</v>
      </c>
      <c r="E248">
        <v>302.66148814390999</v>
      </c>
      <c r="F248">
        <v>145.84766584766999</v>
      </c>
      <c r="G248">
        <v>119.48484848485</v>
      </c>
      <c r="I248" s="9">
        <f t="shared" si="26"/>
        <v>183.17663965905999</v>
      </c>
      <c r="J248" s="9">
        <f t="shared" si="27"/>
        <v>958.9863488702299</v>
      </c>
      <c r="K248" s="9">
        <f t="shared" si="24"/>
        <v>183.17663965905999</v>
      </c>
      <c r="L248" s="10">
        <f t="shared" si="21"/>
        <v>0.19101068526664447</v>
      </c>
      <c r="M248" s="10">
        <f t="shared" si="28"/>
        <v>0.20164509269491618</v>
      </c>
      <c r="P248" s="8">
        <f t="shared" si="29"/>
        <v>-17.408573589000657</v>
      </c>
    </row>
    <row r="249" spans="1:16" x14ac:dyDescent="0.2">
      <c r="A249" s="8">
        <v>123.5</v>
      </c>
      <c r="B249" s="8">
        <v>247</v>
      </c>
      <c r="D249">
        <v>1070.0474243663</v>
      </c>
      <c r="E249">
        <v>295.95748160262002</v>
      </c>
      <c r="F249">
        <v>145.54463554463999</v>
      </c>
      <c r="G249">
        <v>119.80098280097999</v>
      </c>
      <c r="I249" s="9">
        <f t="shared" si="26"/>
        <v>176.15649880164003</v>
      </c>
      <c r="J249" s="9">
        <f t="shared" si="27"/>
        <v>924.50278882166003</v>
      </c>
      <c r="K249" s="9">
        <f t="shared" si="24"/>
        <v>176.15649880164003</v>
      </c>
      <c r="L249" s="10">
        <f t="shared" si="21"/>
        <v>0.19054187930158992</v>
      </c>
      <c r="M249" s="10">
        <f t="shared" si="28"/>
        <v>0.20121951602835053</v>
      </c>
      <c r="P249" s="8">
        <f t="shared" si="29"/>
        <v>-17.582884718863234</v>
      </c>
    </row>
    <row r="250" spans="1:16" x14ac:dyDescent="0.2">
      <c r="A250" s="8">
        <v>124</v>
      </c>
      <c r="B250" s="8">
        <v>248</v>
      </c>
      <c r="D250">
        <v>1105.2384428224</v>
      </c>
      <c r="E250">
        <v>304.64639091646001</v>
      </c>
      <c r="F250">
        <v>146.18837018836999</v>
      </c>
      <c r="G250">
        <v>119.71908271908001</v>
      </c>
      <c r="I250" s="9">
        <f t="shared" si="26"/>
        <v>184.92730819738</v>
      </c>
      <c r="J250" s="9">
        <f t="shared" si="27"/>
        <v>959.05007263403002</v>
      </c>
      <c r="K250" s="9">
        <f t="shared" si="24"/>
        <v>184.92730819738</v>
      </c>
      <c r="L250" s="10">
        <f t="shared" si="21"/>
        <v>0.19282341295223235</v>
      </c>
      <c r="M250" s="10">
        <f t="shared" si="28"/>
        <v>0.20354427897748187</v>
      </c>
      <c r="P250" s="8">
        <f t="shared" si="29"/>
        <v>-16.630689525466199</v>
      </c>
    </row>
    <row r="251" spans="1:16" x14ac:dyDescent="0.2">
      <c r="A251" s="8">
        <v>124.5</v>
      </c>
      <c r="B251" s="8">
        <v>249</v>
      </c>
      <c r="D251">
        <v>1106.7234387671999</v>
      </c>
      <c r="E251">
        <v>305.49310624493</v>
      </c>
      <c r="F251">
        <v>145.69942669943001</v>
      </c>
      <c r="G251">
        <v>119.70434070434</v>
      </c>
      <c r="I251" s="9">
        <f t="shared" si="26"/>
        <v>185.78876554059002</v>
      </c>
      <c r="J251" s="9">
        <f t="shared" si="27"/>
        <v>961.02401206776995</v>
      </c>
      <c r="K251" s="9">
        <f t="shared" si="24"/>
        <v>185.78876554059002</v>
      </c>
      <c r="L251" s="10">
        <f t="shared" si="21"/>
        <v>0.19332374967493371</v>
      </c>
      <c r="M251" s="10">
        <f t="shared" si="28"/>
        <v>0.20408784499867216</v>
      </c>
      <c r="P251" s="8">
        <f t="shared" si="29"/>
        <v>-16.408051362351657</v>
      </c>
    </row>
    <row r="252" spans="1:16" x14ac:dyDescent="0.2">
      <c r="A252" s="8">
        <v>125</v>
      </c>
      <c r="B252" s="8">
        <v>250</v>
      </c>
      <c r="D252">
        <v>1108.2084347120999</v>
      </c>
      <c r="E252">
        <v>304.66585563666001</v>
      </c>
      <c r="F252">
        <v>146.01064701064999</v>
      </c>
      <c r="G252">
        <v>120.03767403767</v>
      </c>
      <c r="I252" s="9">
        <f t="shared" si="26"/>
        <v>184.62818159899001</v>
      </c>
      <c r="J252" s="9">
        <f t="shared" si="27"/>
        <v>962.1977877014499</v>
      </c>
      <c r="K252" s="9">
        <f t="shared" si="24"/>
        <v>184.62818159899001</v>
      </c>
      <c r="L252" s="10">
        <f t="shared" si="21"/>
        <v>0.19188173570845532</v>
      </c>
      <c r="M252" s="10">
        <f t="shared" si="28"/>
        <v>0.20268906033068268</v>
      </c>
      <c r="P252" s="8">
        <f t="shared" si="29"/>
        <v>-16.980976889212247</v>
      </c>
    </row>
    <row r="253" spans="1:16" x14ac:dyDescent="0.2">
      <c r="A253" s="8">
        <v>125.5</v>
      </c>
      <c r="B253" s="8">
        <v>251</v>
      </c>
      <c r="D253">
        <v>1102.4736415247</v>
      </c>
      <c r="E253">
        <v>304.77453365775</v>
      </c>
      <c r="F253">
        <v>145.80671580672001</v>
      </c>
      <c r="G253">
        <v>119.38329238329</v>
      </c>
      <c r="I253" s="9">
        <f t="shared" si="26"/>
        <v>185.39124127446001</v>
      </c>
      <c r="J253" s="9">
        <f t="shared" si="27"/>
        <v>956.66692571798001</v>
      </c>
      <c r="K253" s="9">
        <f t="shared" si="24"/>
        <v>185.39124127446001</v>
      </c>
      <c r="L253" s="10">
        <f t="shared" si="21"/>
        <v>0.1937887014702882</v>
      </c>
      <c r="M253" s="10">
        <f t="shared" si="28"/>
        <v>0.20463925539100447</v>
      </c>
      <c r="P253" s="8">
        <f t="shared" si="29"/>
        <v>-16.182200238320199</v>
      </c>
    </row>
    <row r="254" spans="1:16" x14ac:dyDescent="0.2">
      <c r="A254" s="8">
        <v>126</v>
      </c>
      <c r="B254" s="8">
        <v>252</v>
      </c>
      <c r="D254">
        <v>1123.9489051094999</v>
      </c>
      <c r="E254">
        <v>309.42903487428998</v>
      </c>
      <c r="F254">
        <v>145.45782145781999</v>
      </c>
      <c r="G254">
        <v>119.71662571663001</v>
      </c>
      <c r="I254" s="9">
        <f t="shared" si="26"/>
        <v>189.71240915765998</v>
      </c>
      <c r="J254" s="9">
        <f t="shared" si="27"/>
        <v>978.4910836516799</v>
      </c>
      <c r="K254" s="9">
        <f t="shared" si="24"/>
        <v>189.71240915765998</v>
      </c>
      <c r="L254" s="10">
        <f t="shared" si="21"/>
        <v>0.19388261408541685</v>
      </c>
      <c r="M254" s="10">
        <f t="shared" si="28"/>
        <v>0.20477639730462202</v>
      </c>
      <c r="P254" s="8">
        <f t="shared" si="29"/>
        <v>-16.126028545198242</v>
      </c>
    </row>
    <row r="255" spans="1:16" x14ac:dyDescent="0.2">
      <c r="A255" s="8">
        <v>126.5</v>
      </c>
      <c r="B255" s="8">
        <v>253</v>
      </c>
      <c r="D255">
        <v>1104.8905109489001</v>
      </c>
      <c r="E255">
        <v>305.42579075425999</v>
      </c>
      <c r="F255">
        <v>145.05896805897001</v>
      </c>
      <c r="G255">
        <v>119.70106470107</v>
      </c>
      <c r="I255" s="9">
        <f t="shared" si="26"/>
        <v>185.72472605319001</v>
      </c>
      <c r="J255" s="9">
        <f t="shared" si="27"/>
        <v>959.83154288993012</v>
      </c>
      <c r="K255" s="9">
        <f t="shared" si="24"/>
        <v>185.72472605319001</v>
      </c>
      <c r="L255" s="10">
        <f t="shared" si="21"/>
        <v>0.19349721045215559</v>
      </c>
      <c r="M255" s="10">
        <f t="shared" si="28"/>
        <v>0.20443422296984967</v>
      </c>
      <c r="P255" s="8">
        <f t="shared" si="29"/>
        <v>-16.266179074092296</v>
      </c>
    </row>
    <row r="256" spans="1:16" x14ac:dyDescent="0.2">
      <c r="A256" s="8">
        <v>127</v>
      </c>
      <c r="B256" s="8">
        <v>254</v>
      </c>
      <c r="D256">
        <v>1101.7575020275999</v>
      </c>
      <c r="E256">
        <v>306.26439578264001</v>
      </c>
      <c r="F256">
        <v>145.42833742834</v>
      </c>
      <c r="G256">
        <v>119.98525798526001</v>
      </c>
      <c r="I256" s="9">
        <f t="shared" si="26"/>
        <v>186.27913779738</v>
      </c>
      <c r="J256" s="9">
        <f t="shared" si="27"/>
        <v>956.32916459925991</v>
      </c>
      <c r="K256" s="9">
        <f t="shared" si="24"/>
        <v>186.27913779738</v>
      </c>
      <c r="L256" s="10">
        <f t="shared" si="21"/>
        <v>0.19478558711052005</v>
      </c>
      <c r="M256" s="10">
        <f t="shared" si="28"/>
        <v>0.20576582892670303</v>
      </c>
      <c r="P256" s="8">
        <f t="shared" si="29"/>
        <v>-15.72076914656037</v>
      </c>
    </row>
    <row r="257" spans="1:16" x14ac:dyDescent="0.2">
      <c r="A257" s="8">
        <v>127.5</v>
      </c>
      <c r="B257" s="8">
        <v>255</v>
      </c>
      <c r="D257">
        <v>1098.0851581509</v>
      </c>
      <c r="E257">
        <v>306.24736415247003</v>
      </c>
      <c r="F257">
        <v>145.87960687961001</v>
      </c>
      <c r="G257">
        <v>119.52252252252001</v>
      </c>
      <c r="I257" s="9">
        <f t="shared" si="26"/>
        <v>186.72484162995002</v>
      </c>
      <c r="J257" s="9">
        <f t="shared" si="27"/>
        <v>952.20555127129001</v>
      </c>
      <c r="K257" s="9">
        <f t="shared" si="24"/>
        <v>186.72484162995002</v>
      </c>
      <c r="L257" s="10">
        <f t="shared" si="21"/>
        <v>0.1960971991610988</v>
      </c>
      <c r="M257" s="10">
        <f t="shared" si="28"/>
        <v>0.20712067027577069</v>
      </c>
      <c r="P257" s="8">
        <f t="shared" si="29"/>
        <v>-15.165842279337275</v>
      </c>
    </row>
    <row r="258" spans="1:16" x14ac:dyDescent="0.2">
      <c r="A258" s="8">
        <v>128</v>
      </c>
      <c r="B258" s="8">
        <v>256</v>
      </c>
      <c r="D258">
        <v>1104.7972424980001</v>
      </c>
      <c r="E258">
        <v>307.76155717761998</v>
      </c>
      <c r="F258">
        <v>145.34725634725999</v>
      </c>
      <c r="G258">
        <v>119.73464373464</v>
      </c>
      <c r="I258" s="9">
        <f t="shared" si="26"/>
        <v>188.02691344297997</v>
      </c>
      <c r="J258" s="9">
        <f t="shared" si="27"/>
        <v>959.44998615074007</v>
      </c>
      <c r="K258" s="9">
        <f t="shared" si="24"/>
        <v>188.02691344297997</v>
      </c>
      <c r="L258" s="10">
        <f t="shared" ref="L258:L321" si="30">K258/J258</f>
        <v>0.19597364756586583</v>
      </c>
      <c r="M258" s="10">
        <f t="shared" si="28"/>
        <v>0.20704034797902662</v>
      </c>
      <c r="P258" s="8">
        <f t="shared" si="29"/>
        <v>-15.198741334662847</v>
      </c>
    </row>
    <row r="259" spans="1:16" x14ac:dyDescent="0.2">
      <c r="A259" s="8">
        <v>128.5</v>
      </c>
      <c r="B259" s="8">
        <v>257</v>
      </c>
      <c r="D259">
        <v>1097.5555555556</v>
      </c>
      <c r="E259">
        <v>306.44282238442997</v>
      </c>
      <c r="F259">
        <v>145.59295659296001</v>
      </c>
      <c r="G259">
        <v>119.76085176085</v>
      </c>
      <c r="I259" s="9">
        <f t="shared" si="26"/>
        <v>186.68197062357996</v>
      </c>
      <c r="J259" s="9">
        <f t="shared" si="27"/>
        <v>951.96259896263996</v>
      </c>
      <c r="K259" s="9">
        <f t="shared" ref="K259:K321" si="31">I259*1</f>
        <v>186.68197062357996</v>
      </c>
      <c r="L259" s="10">
        <f t="shared" si="30"/>
        <v>0.19610221118666696</v>
      </c>
      <c r="M259" s="10">
        <f t="shared" si="28"/>
        <v>0.20721214089831669</v>
      </c>
      <c r="P259" s="8">
        <f t="shared" si="29"/>
        <v>-15.128377002648365</v>
      </c>
    </row>
    <row r="260" spans="1:16" x14ac:dyDescent="0.2">
      <c r="A260" s="8">
        <v>129</v>
      </c>
      <c r="B260" s="8">
        <v>258</v>
      </c>
      <c r="D260">
        <v>1113.597729116</v>
      </c>
      <c r="E260">
        <v>311.02108678021</v>
      </c>
      <c r="F260">
        <v>145.43161343161</v>
      </c>
      <c r="G260">
        <v>119.67076167076</v>
      </c>
      <c r="I260" s="9">
        <f t="shared" si="26"/>
        <v>191.35032510945001</v>
      </c>
      <c r="J260" s="9">
        <f t="shared" si="27"/>
        <v>968.16611568438998</v>
      </c>
      <c r="K260" s="9">
        <f t="shared" si="31"/>
        <v>191.35032510945001</v>
      </c>
      <c r="L260" s="10">
        <f t="shared" si="30"/>
        <v>0.1976420389120784</v>
      </c>
      <c r="M260" s="10">
        <f t="shared" si="28"/>
        <v>0.20879519792221704</v>
      </c>
      <c r="P260" s="8">
        <f t="shared" si="29"/>
        <v>-14.479975715285034</v>
      </c>
    </row>
    <row r="261" spans="1:16" x14ac:dyDescent="0.2">
      <c r="A261" s="8">
        <v>129.5</v>
      </c>
      <c r="B261" s="8">
        <v>259</v>
      </c>
      <c r="D261">
        <v>1113.301703163</v>
      </c>
      <c r="E261">
        <v>314.31630170315998</v>
      </c>
      <c r="F261">
        <v>145.66912366912001</v>
      </c>
      <c r="G261">
        <v>120.2497952498</v>
      </c>
      <c r="I261" s="9">
        <f t="shared" si="26"/>
        <v>194.06650645335998</v>
      </c>
      <c r="J261" s="9">
        <f t="shared" si="27"/>
        <v>967.63257949387992</v>
      </c>
      <c r="K261" s="9">
        <f t="shared" si="31"/>
        <v>194.06650645335998</v>
      </c>
      <c r="L261" s="10">
        <f t="shared" si="30"/>
        <v>0.20055805330042364</v>
      </c>
      <c r="M261" s="10">
        <f t="shared" si="28"/>
        <v>0.21175444160905119</v>
      </c>
      <c r="P261" s="8">
        <f t="shared" si="29"/>
        <v>-13.267904774569608</v>
      </c>
    </row>
    <row r="262" spans="1:16" x14ac:dyDescent="0.2">
      <c r="A262" s="8">
        <v>130</v>
      </c>
      <c r="B262" s="8">
        <v>260</v>
      </c>
      <c r="D262">
        <v>1081.9197080291999</v>
      </c>
      <c r="E262">
        <v>308.77777777777999</v>
      </c>
      <c r="F262">
        <v>145.67977067977</v>
      </c>
      <c r="G262">
        <v>119.89025389024999</v>
      </c>
      <c r="I262" s="9">
        <f t="shared" si="26"/>
        <v>188.88752388752999</v>
      </c>
      <c r="J262" s="9">
        <f t="shared" si="27"/>
        <v>936.23993734942997</v>
      </c>
      <c r="K262" s="9">
        <f t="shared" si="31"/>
        <v>188.88752388752999</v>
      </c>
      <c r="L262" s="10">
        <f t="shared" si="30"/>
        <v>0.20175119256532215</v>
      </c>
      <c r="M262" s="10">
        <f t="shared" si="28"/>
        <v>0.21299081017243859</v>
      </c>
      <c r="P262" s="8">
        <f t="shared" si="29"/>
        <v>-12.76150294819648</v>
      </c>
    </row>
    <row r="263" spans="1:16" x14ac:dyDescent="0.2">
      <c r="A263" s="8">
        <v>130.5</v>
      </c>
      <c r="B263" s="8">
        <v>261</v>
      </c>
      <c r="D263">
        <v>1099.3309002433</v>
      </c>
      <c r="E263">
        <v>312.43633414435999</v>
      </c>
      <c r="F263">
        <v>145.72235872236001</v>
      </c>
      <c r="G263">
        <v>119.78542178542</v>
      </c>
      <c r="I263" s="9">
        <f t="shared" si="26"/>
        <v>192.65091235893999</v>
      </c>
      <c r="J263" s="9">
        <f t="shared" si="27"/>
        <v>953.60854152093998</v>
      </c>
      <c r="K263" s="9">
        <f t="shared" si="31"/>
        <v>192.65091235893999</v>
      </c>
      <c r="L263" s="10">
        <f t="shared" si="30"/>
        <v>0.2020230566010609</v>
      </c>
      <c r="M263" s="10">
        <f t="shared" si="28"/>
        <v>0.21330590350666626</v>
      </c>
      <c r="P263" s="8">
        <f t="shared" si="29"/>
        <v>-12.632444474327077</v>
      </c>
    </row>
    <row r="264" spans="1:16" x14ac:dyDescent="0.2">
      <c r="A264" s="8">
        <v>131</v>
      </c>
      <c r="B264" s="8">
        <v>262</v>
      </c>
      <c r="D264">
        <v>1105.9870235199</v>
      </c>
      <c r="E264">
        <v>311.81184103812001</v>
      </c>
      <c r="F264">
        <v>145.21949221949001</v>
      </c>
      <c r="G264">
        <v>119.76248976249001</v>
      </c>
      <c r="I264" s="9">
        <f t="shared" si="26"/>
        <v>192.04935127562999</v>
      </c>
      <c r="J264" s="9">
        <f t="shared" si="27"/>
        <v>960.76753130041004</v>
      </c>
      <c r="K264" s="9">
        <f t="shared" si="31"/>
        <v>192.04935127562999</v>
      </c>
      <c r="L264" s="10">
        <f t="shared" si="30"/>
        <v>0.19989159189808273</v>
      </c>
      <c r="M264" s="10">
        <f t="shared" si="28"/>
        <v>0.21121766810217699</v>
      </c>
      <c r="P264" s="8">
        <f t="shared" si="29"/>
        <v>-13.487760804785273</v>
      </c>
    </row>
    <row r="265" spans="1:16" x14ac:dyDescent="0.2">
      <c r="A265" s="8">
        <v>131.5</v>
      </c>
      <c r="B265" s="8">
        <v>263</v>
      </c>
      <c r="D265">
        <v>1124.4071370641</v>
      </c>
      <c r="E265">
        <v>316.95782643958</v>
      </c>
      <c r="F265">
        <v>144.95659295658999</v>
      </c>
      <c r="G265">
        <v>119.63800163800001</v>
      </c>
      <c r="I265" s="9">
        <f t="shared" si="26"/>
        <v>197.31982480158001</v>
      </c>
      <c r="J265" s="9">
        <f t="shared" si="27"/>
        <v>979.45054410751004</v>
      </c>
      <c r="K265" s="9">
        <f t="shared" si="31"/>
        <v>197.31982480158001</v>
      </c>
      <c r="L265" s="10">
        <f t="shared" si="30"/>
        <v>0.20145971227304874</v>
      </c>
      <c r="M265" s="10">
        <f t="shared" si="28"/>
        <v>0.2128290177756319</v>
      </c>
      <c r="P265" s="8">
        <f t="shared" si="29"/>
        <v>-12.827771185405389</v>
      </c>
    </row>
    <row r="266" spans="1:16" x14ac:dyDescent="0.2">
      <c r="A266" s="8">
        <v>132</v>
      </c>
      <c r="B266" s="8">
        <v>264</v>
      </c>
      <c r="D266">
        <v>1137.6397058824</v>
      </c>
      <c r="E266">
        <v>320.83660130718999</v>
      </c>
      <c r="F266">
        <v>144.91400491401001</v>
      </c>
      <c r="G266">
        <v>120.01638001638</v>
      </c>
      <c r="I266" s="9">
        <f t="shared" si="26"/>
        <v>200.82022129081</v>
      </c>
      <c r="J266" s="9">
        <f t="shared" si="27"/>
        <v>992.72570096839002</v>
      </c>
      <c r="K266" s="9">
        <f t="shared" si="31"/>
        <v>200.82022129081</v>
      </c>
      <c r="L266" s="10">
        <f t="shared" si="30"/>
        <v>0.20229175198638727</v>
      </c>
      <c r="M266" s="10">
        <f t="shared" si="28"/>
        <v>0.21370428678745934</v>
      </c>
      <c r="P266" s="8">
        <f t="shared" si="29"/>
        <v>-12.469271431138884</v>
      </c>
    </row>
    <row r="267" spans="1:16" x14ac:dyDescent="0.2">
      <c r="A267" s="8">
        <v>132.5</v>
      </c>
      <c r="B267" s="8">
        <v>265</v>
      </c>
      <c r="D267">
        <v>1122.545751634</v>
      </c>
      <c r="E267">
        <v>317.6364379085</v>
      </c>
      <c r="F267">
        <v>145.41441441441</v>
      </c>
      <c r="G267">
        <v>119.68222768223001</v>
      </c>
      <c r="I267" s="9">
        <f t="shared" si="26"/>
        <v>197.95421022626999</v>
      </c>
      <c r="J267" s="9">
        <f t="shared" si="27"/>
        <v>977.13133721959002</v>
      </c>
      <c r="K267" s="9">
        <f t="shared" si="31"/>
        <v>197.95421022626999</v>
      </c>
      <c r="L267" s="10">
        <f t="shared" si="30"/>
        <v>0.20258710644727168</v>
      </c>
      <c r="M267" s="10">
        <f t="shared" si="28"/>
        <v>0.21404287054683269</v>
      </c>
      <c r="P267" s="8">
        <f t="shared" si="29"/>
        <v>-12.330591559129541</v>
      </c>
    </row>
    <row r="268" spans="1:16" x14ac:dyDescent="0.2">
      <c r="A268" s="8">
        <v>133</v>
      </c>
      <c r="B268" s="8">
        <v>266</v>
      </c>
      <c r="D268">
        <v>1136.1365853658999</v>
      </c>
      <c r="E268">
        <v>322.25447154471999</v>
      </c>
      <c r="F268">
        <v>145.6420966421</v>
      </c>
      <c r="G268">
        <v>119.78787878788</v>
      </c>
      <c r="I268" s="9">
        <f t="shared" si="26"/>
        <v>202.46659275683999</v>
      </c>
      <c r="J268" s="9">
        <f t="shared" si="27"/>
        <v>990.49448872379992</v>
      </c>
      <c r="K268" s="9">
        <f t="shared" si="31"/>
        <v>202.46659275683999</v>
      </c>
      <c r="L268" s="10">
        <f t="shared" si="30"/>
        <v>0.20440961061550939</v>
      </c>
      <c r="M268" s="10">
        <f t="shared" si="28"/>
        <v>0.2159086040135593</v>
      </c>
      <c r="P268" s="8">
        <f t="shared" si="29"/>
        <v>-11.566409370213943</v>
      </c>
    </row>
    <row r="269" spans="1:16" x14ac:dyDescent="0.2">
      <c r="A269" s="8">
        <v>133.5</v>
      </c>
      <c r="B269" s="8">
        <v>267</v>
      </c>
      <c r="D269">
        <v>1128.6024390243999</v>
      </c>
      <c r="E269">
        <v>321.40487804878001</v>
      </c>
      <c r="F269">
        <v>145.83783783784</v>
      </c>
      <c r="G269">
        <v>119.75102375102</v>
      </c>
      <c r="I269" s="9">
        <f t="shared" si="26"/>
        <v>201.65385429776001</v>
      </c>
      <c r="J269" s="9">
        <f t="shared" si="27"/>
        <v>982.76460118655996</v>
      </c>
      <c r="K269" s="9">
        <f t="shared" si="31"/>
        <v>201.65385429776001</v>
      </c>
      <c r="L269" s="10">
        <f t="shared" si="30"/>
        <v>0.20519039254597621</v>
      </c>
      <c r="M269" s="10">
        <f t="shared" si="28"/>
        <v>0.21673261524251503</v>
      </c>
      <c r="P269" s="8">
        <f t="shared" si="29"/>
        <v>-11.228904192832307</v>
      </c>
    </row>
    <row r="270" spans="1:16" x14ac:dyDescent="0.2">
      <c r="A270" s="8">
        <v>134</v>
      </c>
      <c r="B270" s="8">
        <v>268</v>
      </c>
      <c r="D270">
        <v>1139.7520325203</v>
      </c>
      <c r="E270">
        <v>324.28048780488001</v>
      </c>
      <c r="F270">
        <v>145.54217854218001</v>
      </c>
      <c r="G270">
        <v>119.68222768223001</v>
      </c>
      <c r="I270" s="9">
        <f t="shared" si="26"/>
        <v>204.59826012265</v>
      </c>
      <c r="J270" s="9">
        <f t="shared" si="27"/>
        <v>994.20985397812001</v>
      </c>
      <c r="K270" s="9">
        <f t="shared" si="31"/>
        <v>204.59826012265</v>
      </c>
      <c r="L270" s="10">
        <f t="shared" si="30"/>
        <v>0.20578981319084039</v>
      </c>
      <c r="M270" s="10">
        <f t="shared" si="28"/>
        <v>0.21737526518586811</v>
      </c>
      <c r="P270" s="8">
        <f t="shared" si="29"/>
        <v>-10.965682436254358</v>
      </c>
    </row>
    <row r="271" spans="1:16" x14ac:dyDescent="0.2">
      <c r="A271" s="8">
        <v>134.5</v>
      </c>
      <c r="B271" s="8">
        <v>269</v>
      </c>
      <c r="D271">
        <v>1138.0430894309</v>
      </c>
      <c r="E271">
        <v>324.27560975609998</v>
      </c>
      <c r="F271">
        <v>145.5217035217</v>
      </c>
      <c r="G271">
        <v>119.66912366912</v>
      </c>
      <c r="I271" s="9">
        <f t="shared" si="26"/>
        <v>204.60648608698</v>
      </c>
      <c r="J271" s="9">
        <f t="shared" si="27"/>
        <v>992.52138590919992</v>
      </c>
      <c r="K271" s="9">
        <f t="shared" si="31"/>
        <v>204.60648608698</v>
      </c>
      <c r="L271" s="10">
        <f t="shared" si="30"/>
        <v>0.20614818883680786</v>
      </c>
      <c r="M271" s="10">
        <f t="shared" si="28"/>
        <v>0.21777687013032448</v>
      </c>
      <c r="P271" s="8">
        <f t="shared" si="29"/>
        <v>-10.801189838031073</v>
      </c>
    </row>
    <row r="272" spans="1:16" x14ac:dyDescent="0.2">
      <c r="A272" s="8">
        <v>135</v>
      </c>
      <c r="B272" s="8">
        <v>270</v>
      </c>
      <c r="D272">
        <v>1147.8990228012999</v>
      </c>
      <c r="E272">
        <v>328.71742671010003</v>
      </c>
      <c r="F272">
        <v>145.24651924651999</v>
      </c>
      <c r="G272">
        <v>119.43570843571</v>
      </c>
      <c r="I272" s="9">
        <f t="shared" si="26"/>
        <v>209.28171827439002</v>
      </c>
      <c r="J272" s="9">
        <f t="shared" si="27"/>
        <v>1002.65250355478</v>
      </c>
      <c r="K272" s="9">
        <f t="shared" si="31"/>
        <v>209.28171827439002</v>
      </c>
      <c r="L272" s="10">
        <f t="shared" si="30"/>
        <v>0.20872806633645025</v>
      </c>
      <c r="M272" s="10">
        <f t="shared" si="28"/>
        <v>0.22039997692845578</v>
      </c>
      <c r="P272" s="8">
        <f t="shared" si="29"/>
        <v>-9.7267965602644111</v>
      </c>
    </row>
    <row r="273" spans="1:16" x14ac:dyDescent="0.2">
      <c r="A273" s="8">
        <v>135.5</v>
      </c>
      <c r="B273" s="8">
        <v>271</v>
      </c>
      <c r="D273">
        <v>1126.5404081633001</v>
      </c>
      <c r="E273">
        <v>326.33061224490001</v>
      </c>
      <c r="F273">
        <v>145.86568386568001</v>
      </c>
      <c r="G273">
        <v>119.52907452908001</v>
      </c>
      <c r="I273" s="9">
        <f t="shared" si="26"/>
        <v>206.80153771582002</v>
      </c>
      <c r="J273" s="9">
        <f t="shared" si="27"/>
        <v>980.67472429762006</v>
      </c>
      <c r="K273" s="9">
        <f t="shared" si="31"/>
        <v>206.80153771582002</v>
      </c>
      <c r="L273" s="10">
        <f t="shared" si="30"/>
        <v>0.21087678981829133</v>
      </c>
      <c r="M273" s="10">
        <f t="shared" si="28"/>
        <v>0.22259192970878577</v>
      </c>
      <c r="P273" s="8">
        <f t="shared" si="29"/>
        <v>-8.8289988289458829</v>
      </c>
    </row>
    <row r="274" spans="1:16" x14ac:dyDescent="0.2">
      <c r="A274" s="8">
        <v>136</v>
      </c>
      <c r="B274" s="8">
        <v>272</v>
      </c>
      <c r="D274">
        <v>1126.7420408163</v>
      </c>
      <c r="E274">
        <v>326.48897959184001</v>
      </c>
      <c r="F274">
        <v>145.87878787879001</v>
      </c>
      <c r="G274">
        <v>119.90909090909</v>
      </c>
      <c r="I274" s="9">
        <f t="shared" si="26"/>
        <v>206.57988868275001</v>
      </c>
      <c r="J274" s="9">
        <f t="shared" si="27"/>
        <v>980.86325293750997</v>
      </c>
      <c r="K274" s="9">
        <f t="shared" si="31"/>
        <v>206.57988868275001</v>
      </c>
      <c r="L274" s="10">
        <f t="shared" si="30"/>
        <v>0.21061028442454155</v>
      </c>
      <c r="M274" s="10">
        <f t="shared" si="28"/>
        <v>0.2223686536135249</v>
      </c>
      <c r="P274" s="8">
        <f t="shared" si="29"/>
        <v>-8.9204500561719993</v>
      </c>
    </row>
    <row r="275" spans="1:16" x14ac:dyDescent="0.2">
      <c r="A275" s="8">
        <v>136.5</v>
      </c>
      <c r="B275" s="8">
        <v>273</v>
      </c>
      <c r="D275">
        <v>1101.0840816327</v>
      </c>
      <c r="E275">
        <v>324.98122448980001</v>
      </c>
      <c r="F275">
        <v>145.49303849303999</v>
      </c>
      <c r="G275">
        <v>119.77067977068</v>
      </c>
      <c r="I275" s="9">
        <f>E275-G275</f>
        <v>205.21054471912001</v>
      </c>
      <c r="J275" s="9">
        <f>D275-F275</f>
        <v>955.59104313965997</v>
      </c>
      <c r="K275" s="9">
        <f t="shared" si="31"/>
        <v>205.21054471912001</v>
      </c>
      <c r="L275" s="10">
        <f t="shared" si="30"/>
        <v>0.21474724589808489</v>
      </c>
      <c r="M275" s="10">
        <f>L275+ABS($N$2)*A275</f>
        <v>0.22654884438555717</v>
      </c>
      <c r="O275" s="11"/>
      <c r="P275" s="8">
        <f>(M275-$O$2)/$O$2*100</f>
        <v>-7.208293742729782</v>
      </c>
    </row>
    <row r="276" spans="1:16" x14ac:dyDescent="0.2">
      <c r="A276" s="8">
        <v>137</v>
      </c>
      <c r="B276" s="8">
        <v>274</v>
      </c>
      <c r="D276">
        <v>1123.4710204082</v>
      </c>
      <c r="E276">
        <v>329.83591836735002</v>
      </c>
      <c r="F276">
        <v>144.95659295658999</v>
      </c>
      <c r="G276">
        <v>119.56511056511</v>
      </c>
      <c r="I276" s="9">
        <f t="shared" ref="I276:I291" si="32">E276-G276</f>
        <v>210.27080780224003</v>
      </c>
      <c r="J276" s="9">
        <f t="shared" ref="J276:J291" si="33">D276-F276</f>
        <v>978.51442745161012</v>
      </c>
      <c r="K276" s="9">
        <f t="shared" si="31"/>
        <v>210.27080780224003</v>
      </c>
      <c r="L276" s="10">
        <f t="shared" si="30"/>
        <v>0.21488779511392378</v>
      </c>
      <c r="M276" s="10">
        <f t="shared" ref="M276:M291" si="34">L276+ABS($N$2)*A276</f>
        <v>0.22673262289988497</v>
      </c>
      <c r="P276" s="8">
        <f t="shared" ref="P276:P291" si="35">(M276-$O$2)/$O$2*100</f>
        <v>-7.1330202538530063</v>
      </c>
    </row>
    <row r="277" spans="1:16" x14ac:dyDescent="0.2">
      <c r="A277" s="8">
        <v>137.5</v>
      </c>
      <c r="B277" s="8">
        <v>275</v>
      </c>
      <c r="D277">
        <v>1123.3632653060999</v>
      </c>
      <c r="E277">
        <v>329.71346938775997</v>
      </c>
      <c r="F277">
        <v>145.45045045045001</v>
      </c>
      <c r="G277">
        <v>119.76494676495</v>
      </c>
      <c r="I277" s="9">
        <f t="shared" si="32"/>
        <v>209.94852262280997</v>
      </c>
      <c r="J277" s="9">
        <f t="shared" si="33"/>
        <v>977.91281485564991</v>
      </c>
      <c r="K277" s="9">
        <f t="shared" si="31"/>
        <v>209.94852262280997</v>
      </c>
      <c r="L277" s="10">
        <f t="shared" si="30"/>
        <v>0.21469042989665757</v>
      </c>
      <c r="M277" s="10">
        <f t="shared" si="34"/>
        <v>0.22657848698110766</v>
      </c>
      <c r="N277" s="1"/>
      <c r="P277" s="8">
        <f t="shared" si="35"/>
        <v>-7.1961524889242954</v>
      </c>
    </row>
    <row r="278" spans="1:16" x14ac:dyDescent="0.2">
      <c r="A278" s="8">
        <v>138</v>
      </c>
      <c r="B278" s="8">
        <v>276</v>
      </c>
      <c r="D278">
        <v>1079.3591836735</v>
      </c>
      <c r="E278">
        <v>324.27510204082</v>
      </c>
      <c r="F278">
        <v>145.80343980344</v>
      </c>
      <c r="G278">
        <v>119.29238329237999</v>
      </c>
      <c r="I278" s="9">
        <f t="shared" si="32"/>
        <v>204.98271874843999</v>
      </c>
      <c r="J278" s="9">
        <f t="shared" si="33"/>
        <v>933.55574387005993</v>
      </c>
      <c r="K278" s="9">
        <f t="shared" si="31"/>
        <v>204.98271874843999</v>
      </c>
      <c r="L278" s="10">
        <f t="shared" si="30"/>
        <v>0.21957201816217542</v>
      </c>
      <c r="M278" s="10">
        <f t="shared" si="34"/>
        <v>0.23150330454511442</v>
      </c>
      <c r="P278" s="8">
        <f t="shared" si="35"/>
        <v>-5.1790059172462053</v>
      </c>
    </row>
    <row r="279" spans="1:16" x14ac:dyDescent="0.2">
      <c r="A279" s="8">
        <v>138.5</v>
      </c>
      <c r="B279" s="8">
        <v>277</v>
      </c>
      <c r="D279">
        <v>1142.3902040815999</v>
      </c>
      <c r="E279">
        <v>333.62285714286003</v>
      </c>
      <c r="F279">
        <v>145.58394758394999</v>
      </c>
      <c r="G279">
        <v>119.82227682228</v>
      </c>
      <c r="I279" s="9">
        <f t="shared" si="32"/>
        <v>213.80058032058002</v>
      </c>
      <c r="J279" s="9">
        <f t="shared" si="33"/>
        <v>996.80625649764988</v>
      </c>
      <c r="K279" s="9">
        <f t="shared" si="31"/>
        <v>213.80058032058002</v>
      </c>
      <c r="L279" s="10">
        <f t="shared" si="30"/>
        <v>0.2144855922872953</v>
      </c>
      <c r="M279" s="10">
        <f t="shared" si="34"/>
        <v>0.22646010796872321</v>
      </c>
      <c r="P279" s="8">
        <f t="shared" si="35"/>
        <v>-7.2446391213500601</v>
      </c>
    </row>
    <row r="280" spans="1:16" x14ac:dyDescent="0.2">
      <c r="A280" s="8">
        <v>139</v>
      </c>
      <c r="B280" s="8">
        <v>278</v>
      </c>
      <c r="D280">
        <v>1132.9648979592</v>
      </c>
      <c r="E280">
        <v>333.48897959184001</v>
      </c>
      <c r="F280">
        <v>145.20065520066001</v>
      </c>
      <c r="G280">
        <v>119.94922194922</v>
      </c>
      <c r="I280" s="9">
        <f t="shared" si="32"/>
        <v>213.53975764262</v>
      </c>
      <c r="J280" s="9">
        <f t="shared" si="33"/>
        <v>987.76424275854004</v>
      </c>
      <c r="K280" s="9">
        <f t="shared" si="31"/>
        <v>213.53975764262</v>
      </c>
      <c r="L280" s="10">
        <f t="shared" si="30"/>
        <v>0.21618494413835551</v>
      </c>
      <c r="M280" s="10">
        <f t="shared" si="34"/>
        <v>0.22820268911827232</v>
      </c>
      <c r="P280" s="8">
        <f t="shared" si="35"/>
        <v>-6.5308986536069096</v>
      </c>
    </row>
    <row r="281" spans="1:16" x14ac:dyDescent="0.2">
      <c r="A281" s="8">
        <v>139.5</v>
      </c>
      <c r="B281" s="8">
        <v>279</v>
      </c>
      <c r="D281">
        <v>1131.9053061225</v>
      </c>
      <c r="E281">
        <v>332.30367346938999</v>
      </c>
      <c r="F281">
        <v>145.40376740376999</v>
      </c>
      <c r="G281">
        <v>119.50532350532001</v>
      </c>
      <c r="I281" s="9">
        <f t="shared" si="32"/>
        <v>212.79834996406998</v>
      </c>
      <c r="J281" s="9">
        <f t="shared" si="33"/>
        <v>986.50153871872999</v>
      </c>
      <c r="K281" s="9">
        <f t="shared" si="31"/>
        <v>212.79834996406998</v>
      </c>
      <c r="L281" s="10">
        <f t="shared" si="30"/>
        <v>0.21571010445706235</v>
      </c>
      <c r="M281" s="10">
        <f t="shared" si="34"/>
        <v>0.22777107873546806</v>
      </c>
      <c r="P281" s="8">
        <f t="shared" si="35"/>
        <v>-6.7076811217205021</v>
      </c>
    </row>
    <row r="282" spans="1:16" x14ac:dyDescent="0.2">
      <c r="A282" s="8">
        <v>140</v>
      </c>
      <c r="B282" s="8">
        <v>280</v>
      </c>
      <c r="D282">
        <v>1130.7991836735</v>
      </c>
      <c r="E282">
        <v>331.10857142856997</v>
      </c>
      <c r="F282">
        <v>145.19164619164999</v>
      </c>
      <c r="G282">
        <v>119.37837837838001</v>
      </c>
      <c r="I282" s="9">
        <f t="shared" si="32"/>
        <v>211.73019305018997</v>
      </c>
      <c r="J282" s="9">
        <f t="shared" si="33"/>
        <v>985.60753748185004</v>
      </c>
      <c r="K282" s="9">
        <f t="shared" si="31"/>
        <v>211.73019305018997</v>
      </c>
      <c r="L282" s="10">
        <f t="shared" si="30"/>
        <v>0.2148220107885376</v>
      </c>
      <c r="M282" s="10">
        <f t="shared" si="34"/>
        <v>0.22692621436543223</v>
      </c>
      <c r="P282" s="8">
        <f t="shared" si="35"/>
        <v>-7.0537274971245552</v>
      </c>
    </row>
    <row r="283" spans="1:16" x14ac:dyDescent="0.2">
      <c r="A283" s="8">
        <v>140.5</v>
      </c>
      <c r="B283" s="8">
        <v>281</v>
      </c>
      <c r="D283">
        <v>1138.947755102</v>
      </c>
      <c r="E283">
        <v>334.18857142857001</v>
      </c>
      <c r="F283">
        <v>145.58804258804</v>
      </c>
      <c r="G283">
        <v>119.84766584767</v>
      </c>
      <c r="I283" s="9">
        <f t="shared" si="32"/>
        <v>214.34090558090003</v>
      </c>
      <c r="J283" s="9">
        <f t="shared" si="33"/>
        <v>993.35971251395995</v>
      </c>
      <c r="K283" s="9">
        <f t="shared" si="31"/>
        <v>214.34090558090003</v>
      </c>
      <c r="L283" s="10">
        <f t="shared" si="30"/>
        <v>0.2157737050141218</v>
      </c>
      <c r="M283" s="10">
        <f t="shared" si="34"/>
        <v>0.22792113788950535</v>
      </c>
      <c r="P283" s="8">
        <f t="shared" si="35"/>
        <v>-6.6462186808927504</v>
      </c>
    </row>
    <row r="284" spans="1:16" x14ac:dyDescent="0.2">
      <c r="A284" s="8">
        <v>141</v>
      </c>
      <c r="B284" s="8">
        <v>282</v>
      </c>
      <c r="D284">
        <v>1126.7036734694</v>
      </c>
      <c r="E284">
        <v>333.71020408163002</v>
      </c>
      <c r="F284">
        <v>145.20884520884999</v>
      </c>
      <c r="G284">
        <v>119.63144963145</v>
      </c>
      <c r="I284" s="9">
        <f t="shared" si="32"/>
        <v>214.07875445018004</v>
      </c>
      <c r="J284" s="9">
        <f t="shared" si="33"/>
        <v>981.49482826054998</v>
      </c>
      <c r="K284" s="9">
        <f t="shared" si="31"/>
        <v>214.07875445018004</v>
      </c>
      <c r="L284" s="10">
        <f t="shared" si="30"/>
        <v>0.21811501017237167</v>
      </c>
      <c r="M284" s="10">
        <f t="shared" si="34"/>
        <v>0.23030567234624413</v>
      </c>
      <c r="P284" s="8">
        <f t="shared" si="35"/>
        <v>-5.6695417904404666</v>
      </c>
    </row>
    <row r="285" spans="1:16" x14ac:dyDescent="0.2">
      <c r="A285" s="8">
        <v>141.5</v>
      </c>
      <c r="B285" s="8">
        <v>283</v>
      </c>
      <c r="D285">
        <v>1139.0955102041</v>
      </c>
      <c r="E285">
        <v>334.67510204081998</v>
      </c>
      <c r="F285">
        <v>145.45618345618001</v>
      </c>
      <c r="G285">
        <v>119.71089271088999</v>
      </c>
      <c r="I285" s="9">
        <f t="shared" si="32"/>
        <v>214.96420932992999</v>
      </c>
      <c r="J285" s="9">
        <f t="shared" si="33"/>
        <v>993.63932674791999</v>
      </c>
      <c r="K285" s="9">
        <f t="shared" si="31"/>
        <v>214.96420932992999</v>
      </c>
      <c r="L285" s="10">
        <f t="shared" si="30"/>
        <v>0.21634027915691087</v>
      </c>
      <c r="M285" s="10">
        <f t="shared" si="34"/>
        <v>0.22857417062927224</v>
      </c>
      <c r="P285" s="8">
        <f t="shared" si="35"/>
        <v>-6.3787442546639301</v>
      </c>
    </row>
    <row r="286" spans="1:16" x14ac:dyDescent="0.2">
      <c r="A286" s="8">
        <v>142</v>
      </c>
      <c r="B286" s="8">
        <v>284</v>
      </c>
      <c r="D286">
        <v>1132.5567346938999</v>
      </c>
      <c r="E286">
        <v>338.07265306123003</v>
      </c>
      <c r="F286">
        <v>145.46601146601</v>
      </c>
      <c r="G286">
        <v>119.10810810811</v>
      </c>
      <c r="I286" s="9">
        <f t="shared" si="32"/>
        <v>218.96454495312003</v>
      </c>
      <c r="J286" s="9">
        <f t="shared" si="33"/>
        <v>987.09072322788984</v>
      </c>
      <c r="K286" s="9">
        <f t="shared" si="31"/>
        <v>218.96454495312003</v>
      </c>
      <c r="L286" s="10">
        <f t="shared" si="30"/>
        <v>0.2218281864073072</v>
      </c>
      <c r="M286" s="10">
        <f t="shared" si="34"/>
        <v>0.23410530717815747</v>
      </c>
      <c r="P286" s="8">
        <f t="shared" si="35"/>
        <v>-4.1132566539435524</v>
      </c>
    </row>
    <row r="287" spans="1:16" x14ac:dyDescent="0.2">
      <c r="A287" s="8">
        <v>142.5</v>
      </c>
      <c r="B287" s="8">
        <v>285</v>
      </c>
      <c r="D287">
        <v>1123.7991836735</v>
      </c>
      <c r="E287">
        <v>336.84326530611997</v>
      </c>
      <c r="F287">
        <v>145.38984438983999</v>
      </c>
      <c r="G287">
        <v>119.80835380835001</v>
      </c>
      <c r="I287" s="9">
        <f t="shared" si="32"/>
        <v>217.03491149776997</v>
      </c>
      <c r="J287" s="9">
        <f t="shared" si="33"/>
        <v>978.40933928366007</v>
      </c>
      <c r="K287" s="9">
        <f t="shared" si="31"/>
        <v>217.03491149776997</v>
      </c>
      <c r="L287" s="10">
        <f t="shared" si="30"/>
        <v>0.22182424347734817</v>
      </c>
      <c r="M287" s="10">
        <f t="shared" si="34"/>
        <v>0.23414459354668735</v>
      </c>
      <c r="P287" s="8">
        <f t="shared" si="35"/>
        <v>-4.0971654256769687</v>
      </c>
    </row>
    <row r="288" spans="1:16" x14ac:dyDescent="0.2">
      <c r="A288" s="8">
        <v>143</v>
      </c>
      <c r="B288" s="8">
        <v>286</v>
      </c>
      <c r="D288">
        <v>1133.3975510204</v>
      </c>
      <c r="E288">
        <v>335.68408163265002</v>
      </c>
      <c r="F288">
        <v>145.29156429156001</v>
      </c>
      <c r="G288">
        <v>119.52334152333999</v>
      </c>
      <c r="I288" s="9">
        <f t="shared" si="32"/>
        <v>216.16074010931004</v>
      </c>
      <c r="J288" s="9">
        <f t="shared" si="33"/>
        <v>988.10598672883998</v>
      </c>
      <c r="K288" s="9">
        <f t="shared" si="31"/>
        <v>216.16074010931004</v>
      </c>
      <c r="L288" s="10">
        <f t="shared" si="30"/>
        <v>0.21876270664538514</v>
      </c>
      <c r="M288" s="10">
        <f t="shared" si="34"/>
        <v>0.23112628601321322</v>
      </c>
      <c r="P288" s="8">
        <f t="shared" si="35"/>
        <v>-5.3334282139505067</v>
      </c>
    </row>
    <row r="289" spans="1:16" x14ac:dyDescent="0.2">
      <c r="A289" s="8">
        <v>143.5</v>
      </c>
      <c r="B289" s="8">
        <v>287</v>
      </c>
      <c r="D289">
        <v>1112.6432653060999</v>
      </c>
      <c r="E289">
        <v>333.18530612245002</v>
      </c>
      <c r="F289">
        <v>145.58230958230999</v>
      </c>
      <c r="G289">
        <v>119.18509418508999</v>
      </c>
      <c r="I289" s="9">
        <f t="shared" si="32"/>
        <v>214.00021193736001</v>
      </c>
      <c r="J289" s="9">
        <f t="shared" si="33"/>
        <v>967.0609557237899</v>
      </c>
      <c r="K289" s="9">
        <f t="shared" si="31"/>
        <v>214.00021193736001</v>
      </c>
      <c r="L289" s="10">
        <f t="shared" si="30"/>
        <v>0.22128926896567039</v>
      </c>
      <c r="M289" s="10">
        <f t="shared" si="34"/>
        <v>0.23369607763198738</v>
      </c>
      <c r="P289" s="8">
        <f t="shared" si="35"/>
        <v>-4.2808721981455164</v>
      </c>
    </row>
    <row r="290" spans="1:16" x14ac:dyDescent="0.2">
      <c r="A290" s="8">
        <v>144</v>
      </c>
      <c r="B290" s="8">
        <v>288</v>
      </c>
      <c r="D290">
        <v>1130.0295324035999</v>
      </c>
      <c r="E290">
        <v>338.94913863823001</v>
      </c>
      <c r="F290">
        <v>145.59787059787001</v>
      </c>
      <c r="G290">
        <v>119.79361179361</v>
      </c>
      <c r="I290" s="9">
        <f t="shared" si="32"/>
        <v>219.15552684462</v>
      </c>
      <c r="J290" s="9">
        <f t="shared" si="33"/>
        <v>984.43166180572985</v>
      </c>
      <c r="K290" s="9">
        <f t="shared" si="31"/>
        <v>219.15552684462</v>
      </c>
      <c r="L290" s="10">
        <f t="shared" si="30"/>
        <v>0.22262137164770376</v>
      </c>
      <c r="M290" s="10">
        <f t="shared" si="34"/>
        <v>0.23507140961250966</v>
      </c>
      <c r="P290" s="8">
        <f t="shared" si="35"/>
        <v>-3.7175526125215823</v>
      </c>
    </row>
    <row r="291" spans="1:16" x14ac:dyDescent="0.2">
      <c r="A291" s="8">
        <v>144.5</v>
      </c>
      <c r="B291" s="8">
        <v>289</v>
      </c>
      <c r="D291">
        <v>1128.5824446267</v>
      </c>
      <c r="E291">
        <v>335.49712879408997</v>
      </c>
      <c r="F291">
        <v>145.30303030303</v>
      </c>
      <c r="G291">
        <v>119.66257166257</v>
      </c>
      <c r="I291" s="9">
        <f t="shared" si="32"/>
        <v>215.83455713151997</v>
      </c>
      <c r="J291" s="9">
        <f t="shared" si="33"/>
        <v>983.27941432366993</v>
      </c>
      <c r="K291" s="9">
        <f t="shared" si="31"/>
        <v>215.83455713151997</v>
      </c>
      <c r="L291" s="10">
        <f t="shared" si="30"/>
        <v>0.21950480604740177</v>
      </c>
      <c r="M291" s="10">
        <f t="shared" si="34"/>
        <v>0.23199807331069661</v>
      </c>
      <c r="P291" s="8">
        <f t="shared" si="35"/>
        <v>-4.9763545283782014</v>
      </c>
    </row>
    <row r="292" spans="1:16" x14ac:dyDescent="0.2">
      <c r="A292" s="8">
        <v>145</v>
      </c>
      <c r="B292" s="8">
        <v>290</v>
      </c>
      <c r="D292">
        <v>1118.7765957447</v>
      </c>
      <c r="E292">
        <v>335.56464811784002</v>
      </c>
      <c r="F292">
        <v>145.31040131040001</v>
      </c>
      <c r="G292">
        <v>119.42424242424001</v>
      </c>
      <c r="I292" s="9">
        <f>E292-G292</f>
        <v>216.14040569360003</v>
      </c>
      <c r="J292" s="9">
        <f>D292-F292</f>
        <v>973.46619443429995</v>
      </c>
      <c r="K292" s="9">
        <f t="shared" si="31"/>
        <v>216.14040569360003</v>
      </c>
      <c r="L292" s="10">
        <f t="shared" si="30"/>
        <v>0.22203175305867032</v>
      </c>
      <c r="M292" s="10">
        <f>L292+ABS($N$2)*A292</f>
        <v>0.23456824962045406</v>
      </c>
      <c r="O292" s="11"/>
      <c r="P292" s="8">
        <f>(M292-$O$2)/$O$2*100</f>
        <v>-3.9236409477318714</v>
      </c>
    </row>
    <row r="293" spans="1:16" x14ac:dyDescent="0.2">
      <c r="A293" s="8">
        <v>145.5</v>
      </c>
      <c r="B293" s="8">
        <v>291</v>
      </c>
      <c r="D293">
        <v>1120.4133986928</v>
      </c>
      <c r="E293">
        <v>337.9591503268</v>
      </c>
      <c r="F293">
        <v>145.15069615070001</v>
      </c>
      <c r="G293">
        <v>119.35217035217001</v>
      </c>
      <c r="I293" s="9">
        <f t="shared" ref="I293:I301" si="36">E293-G293</f>
        <v>218.60697997463001</v>
      </c>
      <c r="J293" s="9">
        <f t="shared" ref="J293:J301" si="37">D293-F293</f>
        <v>975.26270254209999</v>
      </c>
      <c r="K293" s="9">
        <f t="shared" si="31"/>
        <v>218.60697997463001</v>
      </c>
      <c r="L293" s="10">
        <f t="shared" si="30"/>
        <v>0.22415189200285573</v>
      </c>
      <c r="M293" s="10">
        <f t="shared" ref="M293:M301" si="38">L293+ABS($N$2)*A293</f>
        <v>0.23673161786312838</v>
      </c>
      <c r="P293" s="8">
        <f t="shared" ref="P293:P301" si="39">(M293-$O$2)/$O$2*100</f>
        <v>-3.0375511023168826</v>
      </c>
    </row>
    <row r="294" spans="1:16" x14ac:dyDescent="0.2">
      <c r="A294" s="8">
        <v>146</v>
      </c>
      <c r="B294" s="8">
        <v>292</v>
      </c>
      <c r="D294">
        <v>1117.4223856209001</v>
      </c>
      <c r="E294">
        <v>339.25653594771001</v>
      </c>
      <c r="F294">
        <v>144.80671580672001</v>
      </c>
      <c r="G294">
        <v>119.51105651106</v>
      </c>
      <c r="I294" s="9">
        <f t="shared" si="36"/>
        <v>219.74547943664999</v>
      </c>
      <c r="J294" s="9">
        <f t="shared" si="37"/>
        <v>972.61566981418002</v>
      </c>
      <c r="K294" s="9">
        <f t="shared" si="31"/>
        <v>219.74547943664999</v>
      </c>
      <c r="L294" s="10">
        <f t="shared" si="30"/>
        <v>0.22593248932400273</v>
      </c>
      <c r="M294" s="10">
        <f t="shared" si="38"/>
        <v>0.23855544448276428</v>
      </c>
      <c r="N294" s="1"/>
      <c r="P294" s="8">
        <f t="shared" si="39"/>
        <v>-2.2905334584509691</v>
      </c>
    </row>
    <row r="295" spans="1:16" x14ac:dyDescent="0.2">
      <c r="A295" s="8">
        <v>146.5</v>
      </c>
      <c r="B295" s="8">
        <v>293</v>
      </c>
      <c r="D295">
        <v>1107.9983660130999</v>
      </c>
      <c r="E295">
        <v>335.79411764705998</v>
      </c>
      <c r="F295">
        <v>145.51760851761</v>
      </c>
      <c r="G295">
        <v>119.44307944307999</v>
      </c>
      <c r="I295" s="9">
        <f t="shared" si="36"/>
        <v>216.35103820397998</v>
      </c>
      <c r="J295" s="9">
        <f t="shared" si="37"/>
        <v>962.48075749548991</v>
      </c>
      <c r="K295" s="9">
        <f t="shared" si="31"/>
        <v>216.35103820397998</v>
      </c>
      <c r="L295" s="10">
        <f t="shared" si="30"/>
        <v>0.22478479337805751</v>
      </c>
      <c r="M295" s="10">
        <f t="shared" si="38"/>
        <v>0.23745097783530797</v>
      </c>
      <c r="P295" s="8">
        <f t="shared" si="39"/>
        <v>-2.7429098322951049</v>
      </c>
    </row>
    <row r="296" spans="1:16" x14ac:dyDescent="0.2">
      <c r="A296" s="8">
        <v>147</v>
      </c>
      <c r="B296" s="8">
        <v>294</v>
      </c>
      <c r="D296">
        <v>1099.3880718953999</v>
      </c>
      <c r="E296">
        <v>334.57516339868999</v>
      </c>
      <c r="F296">
        <v>145.5904995905</v>
      </c>
      <c r="G296">
        <v>119.02866502867001</v>
      </c>
      <c r="I296" s="9">
        <f t="shared" si="36"/>
        <v>215.54649837002</v>
      </c>
      <c r="J296" s="9">
        <f t="shared" si="37"/>
        <v>953.79757230489986</v>
      </c>
      <c r="K296" s="9">
        <f t="shared" si="31"/>
        <v>215.54649837002</v>
      </c>
      <c r="L296" s="10">
        <f t="shared" si="30"/>
        <v>0.22598767770937081</v>
      </c>
      <c r="M296" s="10">
        <f t="shared" si="38"/>
        <v>0.23869709146511017</v>
      </c>
      <c r="P296" s="8">
        <f t="shared" si="39"/>
        <v>-2.2325165428771241</v>
      </c>
    </row>
    <row r="297" spans="1:16" x14ac:dyDescent="0.2">
      <c r="A297" s="8">
        <v>147.5</v>
      </c>
      <c r="B297" s="8">
        <v>295</v>
      </c>
      <c r="D297">
        <v>1120.5360655738</v>
      </c>
      <c r="E297">
        <v>339.91393442623001</v>
      </c>
      <c r="F297">
        <v>144.66748566749001</v>
      </c>
      <c r="G297">
        <v>118.85667485668</v>
      </c>
      <c r="I297" s="9">
        <f t="shared" si="36"/>
        <v>221.05725956955001</v>
      </c>
      <c r="J297" s="9">
        <f t="shared" si="37"/>
        <v>975.86857990630995</v>
      </c>
      <c r="K297" s="9">
        <f t="shared" si="31"/>
        <v>221.05725956955001</v>
      </c>
      <c r="L297" s="10">
        <f t="shared" si="30"/>
        <v>0.22652359561650506</v>
      </c>
      <c r="M297" s="10">
        <f t="shared" si="38"/>
        <v>0.23927623867073333</v>
      </c>
      <c r="P297" s="8">
        <f t="shared" si="39"/>
        <v>-1.9953047507373047</v>
      </c>
    </row>
    <row r="298" spans="1:16" x14ac:dyDescent="0.2">
      <c r="A298" s="8">
        <v>148</v>
      </c>
      <c r="B298" s="8">
        <v>296</v>
      </c>
      <c r="D298">
        <v>1119.8049180328001</v>
      </c>
      <c r="E298">
        <v>340.73934426229999</v>
      </c>
      <c r="F298">
        <v>145.08845208845</v>
      </c>
      <c r="G298">
        <v>119.56592956593001</v>
      </c>
      <c r="I298" s="9">
        <f t="shared" si="36"/>
        <v>221.17341469637</v>
      </c>
      <c r="J298" s="9">
        <f t="shared" si="37"/>
        <v>974.71646594435003</v>
      </c>
      <c r="K298" s="9">
        <f t="shared" si="31"/>
        <v>221.17341469637</v>
      </c>
      <c r="L298" s="10">
        <f t="shared" si="30"/>
        <v>0.22691051441517104</v>
      </c>
      <c r="M298" s="10">
        <f t="shared" si="38"/>
        <v>0.23970638676788822</v>
      </c>
      <c r="P298" s="8">
        <f t="shared" si="39"/>
        <v>-1.819121217395633</v>
      </c>
    </row>
    <row r="299" spans="1:16" x14ac:dyDescent="0.2">
      <c r="A299" s="8">
        <v>148.5</v>
      </c>
      <c r="B299" s="8">
        <v>297</v>
      </c>
      <c r="D299">
        <v>1141.9437652812001</v>
      </c>
      <c r="E299">
        <v>344.29502852486002</v>
      </c>
      <c r="F299">
        <v>145.17936117936</v>
      </c>
      <c r="G299">
        <v>119.39312039312</v>
      </c>
      <c r="I299" s="9">
        <f t="shared" si="36"/>
        <v>224.90190813174002</v>
      </c>
      <c r="J299" s="9">
        <f t="shared" si="37"/>
        <v>996.76440410184</v>
      </c>
      <c r="K299" s="9">
        <f t="shared" si="31"/>
        <v>224.90190813174002</v>
      </c>
      <c r="L299" s="10">
        <f t="shared" si="30"/>
        <v>0.22563196198242413</v>
      </c>
      <c r="M299" s="10">
        <f t="shared" si="38"/>
        <v>0.23847106363363024</v>
      </c>
      <c r="P299" s="8">
        <f t="shared" si="39"/>
        <v>-2.3250948484585874</v>
      </c>
    </row>
    <row r="300" spans="1:16" x14ac:dyDescent="0.2">
      <c r="A300" s="8">
        <v>149</v>
      </c>
      <c r="B300" s="8">
        <v>298</v>
      </c>
      <c r="D300">
        <v>1140.5941320293</v>
      </c>
      <c r="E300">
        <v>342.21434392828002</v>
      </c>
      <c r="F300">
        <v>145.35872235872</v>
      </c>
      <c r="G300">
        <v>119.56347256347</v>
      </c>
      <c r="I300" s="9">
        <f t="shared" si="36"/>
        <v>222.65087136481003</v>
      </c>
      <c r="J300" s="9">
        <f t="shared" si="37"/>
        <v>995.23540967058</v>
      </c>
      <c r="K300" s="9">
        <f t="shared" si="31"/>
        <v>222.65087136481003</v>
      </c>
      <c r="L300" s="10">
        <f t="shared" si="30"/>
        <v>0.22371679022002122</v>
      </c>
      <c r="M300" s="10">
        <f t="shared" si="38"/>
        <v>0.23659912116971624</v>
      </c>
      <c r="P300" s="8">
        <f t="shared" si="39"/>
        <v>-3.0918201686125171</v>
      </c>
    </row>
    <row r="301" spans="1:16" x14ac:dyDescent="0.2">
      <c r="A301" s="8">
        <v>149.5</v>
      </c>
      <c r="B301" s="8">
        <v>299</v>
      </c>
      <c r="D301">
        <v>1100.7726161369001</v>
      </c>
      <c r="E301">
        <v>339.69274653627002</v>
      </c>
      <c r="F301">
        <v>145.25061425061</v>
      </c>
      <c r="G301">
        <v>119.36445536446</v>
      </c>
      <c r="I301" s="9">
        <f t="shared" si="36"/>
        <v>220.32829117181001</v>
      </c>
      <c r="J301" s="9">
        <f t="shared" si="37"/>
        <v>955.52200188629013</v>
      </c>
      <c r="K301" s="9">
        <f t="shared" si="31"/>
        <v>220.32829117181001</v>
      </c>
      <c r="L301" s="10">
        <f t="shared" si="30"/>
        <v>0.23058421547265398</v>
      </c>
      <c r="M301" s="10">
        <f t="shared" si="38"/>
        <v>0.2435097757208379</v>
      </c>
      <c r="P301" s="8">
        <f t="shared" si="39"/>
        <v>-0.26129843767037569</v>
      </c>
    </row>
    <row r="302" spans="1:16" x14ac:dyDescent="0.2">
      <c r="A302" s="8">
        <v>150</v>
      </c>
      <c r="B302" s="8">
        <v>300</v>
      </c>
      <c r="D302">
        <v>1136.5314285714001</v>
      </c>
      <c r="E302">
        <v>345.55183673469003</v>
      </c>
      <c r="F302">
        <v>144.76986076986</v>
      </c>
      <c r="G302">
        <v>119.27927927928</v>
      </c>
      <c r="I302" s="9">
        <f>E302-G302</f>
        <v>226.27255745541004</v>
      </c>
      <c r="J302" s="9">
        <f>D302-F302</f>
        <v>991.76156780154008</v>
      </c>
      <c r="K302" s="9">
        <f t="shared" si="31"/>
        <v>226.27255745541004</v>
      </c>
      <c r="L302" s="10">
        <f t="shared" si="30"/>
        <v>0.22815217366911428</v>
      </c>
      <c r="M302" s="10">
        <f>L302+ABS($N$2)*A302</f>
        <v>0.2411209632157871</v>
      </c>
      <c r="O302" s="11"/>
      <c r="P302" s="8">
        <f>(M302-$O$2)/$O$2*100</f>
        <v>-1.2397275657180429</v>
      </c>
    </row>
    <row r="303" spans="1:16" x14ac:dyDescent="0.2">
      <c r="A303" s="8">
        <v>150.5</v>
      </c>
      <c r="B303" s="8">
        <v>301</v>
      </c>
      <c r="D303">
        <v>1124.7975510204001</v>
      </c>
      <c r="E303">
        <v>343.81224489796</v>
      </c>
      <c r="F303">
        <v>145.82800982801001</v>
      </c>
      <c r="G303">
        <v>119.47993447992999</v>
      </c>
      <c r="I303" s="9">
        <f t="shared" ref="I303:I309" si="40">E303-G303</f>
        <v>224.33231041803</v>
      </c>
      <c r="J303" s="9">
        <f t="shared" ref="J303:J309" si="41">D303-F303</f>
        <v>978.96954119239012</v>
      </c>
      <c r="K303" s="9">
        <f t="shared" si="31"/>
        <v>224.33231041803</v>
      </c>
      <c r="L303" s="10">
        <f t="shared" si="30"/>
        <v>0.22915147098937527</v>
      </c>
      <c r="M303" s="10">
        <f t="shared" ref="M303:M309" si="42">L303+ABS($N$2)*A303</f>
        <v>0.242163489834537</v>
      </c>
      <c r="P303" s="8">
        <f t="shared" ref="P303:P309" si="43">(M303-$O$2)/$O$2*100</f>
        <v>-0.8127210893230874</v>
      </c>
    </row>
    <row r="304" spans="1:16" x14ac:dyDescent="0.2">
      <c r="A304" s="8">
        <v>151</v>
      </c>
      <c r="B304" s="8">
        <v>302</v>
      </c>
      <c r="D304">
        <v>1111.1493877551</v>
      </c>
      <c r="E304">
        <v>338.64408163265</v>
      </c>
      <c r="F304">
        <v>145.11056511057001</v>
      </c>
      <c r="G304">
        <v>119.38247338247</v>
      </c>
      <c r="I304" s="9">
        <f t="shared" si="40"/>
        <v>219.26160825018002</v>
      </c>
      <c r="J304" s="9">
        <f t="shared" si="41"/>
        <v>966.03882264453</v>
      </c>
      <c r="K304" s="9">
        <f t="shared" si="31"/>
        <v>219.26160825018002</v>
      </c>
      <c r="L304" s="10">
        <f t="shared" si="30"/>
        <v>0.22696976882352579</v>
      </c>
      <c r="M304" s="10">
        <f t="shared" si="42"/>
        <v>0.24002501696717643</v>
      </c>
      <c r="N304" s="1"/>
      <c r="P304" s="8">
        <f t="shared" si="43"/>
        <v>-1.6886140857559362</v>
      </c>
    </row>
    <row r="305" spans="1:16" x14ac:dyDescent="0.2">
      <c r="A305" s="8">
        <v>151.5</v>
      </c>
      <c r="B305" s="8">
        <v>303</v>
      </c>
      <c r="D305">
        <v>1116.2389162561999</v>
      </c>
      <c r="E305">
        <v>340.24220032840998</v>
      </c>
      <c r="F305">
        <v>145.01392301391999</v>
      </c>
      <c r="G305">
        <v>119.83210483211001</v>
      </c>
      <c r="I305" s="9">
        <f t="shared" si="40"/>
        <v>220.41009549629996</v>
      </c>
      <c r="J305" s="9">
        <f t="shared" si="41"/>
        <v>971.22499324227988</v>
      </c>
      <c r="K305" s="9">
        <f t="shared" si="31"/>
        <v>220.41009549629996</v>
      </c>
      <c r="L305" s="10">
        <f t="shared" si="30"/>
        <v>0.22694030428572062</v>
      </c>
      <c r="M305" s="10">
        <f t="shared" si="42"/>
        <v>0.24003878172786017</v>
      </c>
      <c r="P305" s="8">
        <f t="shared" si="43"/>
        <v>-1.6829762038522291</v>
      </c>
    </row>
    <row r="306" spans="1:16" x14ac:dyDescent="0.2">
      <c r="A306" s="8">
        <v>152</v>
      </c>
      <c r="B306" s="8">
        <v>304</v>
      </c>
      <c r="D306">
        <v>1117.9835796387999</v>
      </c>
      <c r="E306">
        <v>341.92446633826</v>
      </c>
      <c r="F306">
        <v>144.46928746929001</v>
      </c>
      <c r="G306">
        <v>119.276003276</v>
      </c>
      <c r="I306" s="9">
        <f t="shared" si="40"/>
        <v>222.64846306226002</v>
      </c>
      <c r="J306" s="9">
        <f t="shared" si="41"/>
        <v>973.51429216950987</v>
      </c>
      <c r="K306" s="9">
        <f t="shared" si="31"/>
        <v>222.64846306226002</v>
      </c>
      <c r="L306" s="10">
        <f t="shared" si="30"/>
        <v>0.2287059007280523</v>
      </c>
      <c r="M306" s="10">
        <f t="shared" si="42"/>
        <v>0.24184760746868075</v>
      </c>
      <c r="P306" s="8">
        <f t="shared" si="43"/>
        <v>-0.94210274114251058</v>
      </c>
    </row>
    <row r="307" spans="1:16" x14ac:dyDescent="0.2">
      <c r="A307" s="8">
        <v>152.5</v>
      </c>
      <c r="B307" s="8">
        <v>305</v>
      </c>
      <c r="D307">
        <v>1113.3004926107999</v>
      </c>
      <c r="E307">
        <v>341.41543513956998</v>
      </c>
      <c r="F307">
        <v>145.24324324323999</v>
      </c>
      <c r="G307">
        <v>119.42751842752</v>
      </c>
      <c r="I307" s="9">
        <f t="shared" si="40"/>
        <v>221.98791671204998</v>
      </c>
      <c r="J307" s="9">
        <f t="shared" si="41"/>
        <v>968.05724936755996</v>
      </c>
      <c r="K307" s="9">
        <f t="shared" si="31"/>
        <v>221.98791671204998</v>
      </c>
      <c r="L307" s="10">
        <f t="shared" si="30"/>
        <v>0.22931279824315823</v>
      </c>
      <c r="M307" s="10">
        <f t="shared" si="42"/>
        <v>0.24249773428227558</v>
      </c>
      <c r="P307" s="8">
        <f t="shared" si="43"/>
        <v>-0.67581854763588256</v>
      </c>
    </row>
    <row r="308" spans="1:16" x14ac:dyDescent="0.2">
      <c r="A308" s="8">
        <v>153</v>
      </c>
      <c r="B308" s="8">
        <v>306</v>
      </c>
      <c r="D308">
        <v>1127.0425531915</v>
      </c>
      <c r="E308">
        <v>343.83060556465</v>
      </c>
      <c r="F308">
        <v>145.31203931204001</v>
      </c>
      <c r="G308">
        <v>119.20884520884999</v>
      </c>
      <c r="I308" s="9">
        <f t="shared" si="40"/>
        <v>224.62176035580001</v>
      </c>
      <c r="J308" s="9">
        <f t="shared" si="41"/>
        <v>981.73051387945998</v>
      </c>
      <c r="K308" s="9">
        <f t="shared" si="31"/>
        <v>224.62176035580001</v>
      </c>
      <c r="L308" s="10">
        <f t="shared" si="30"/>
        <v>0.22880185262671768</v>
      </c>
      <c r="M308" s="10">
        <f t="shared" si="42"/>
        <v>0.24203001796432397</v>
      </c>
      <c r="P308" s="8">
        <f t="shared" si="43"/>
        <v>-0.86738957641251491</v>
      </c>
    </row>
    <row r="309" spans="1:16" x14ac:dyDescent="0.2">
      <c r="A309" s="8">
        <v>153.5</v>
      </c>
      <c r="B309" s="8">
        <v>307</v>
      </c>
      <c r="D309">
        <v>1146.0130932897</v>
      </c>
      <c r="E309">
        <v>347.33960720131</v>
      </c>
      <c r="F309">
        <v>144.70761670761999</v>
      </c>
      <c r="G309">
        <v>118.95741195741</v>
      </c>
      <c r="I309" s="9">
        <f t="shared" si="40"/>
        <v>228.38219524390001</v>
      </c>
      <c r="J309" s="9">
        <f t="shared" si="41"/>
        <v>1001.30547658208</v>
      </c>
      <c r="K309" s="9">
        <f t="shared" si="31"/>
        <v>228.38219524390001</v>
      </c>
      <c r="L309" s="10">
        <f t="shared" si="30"/>
        <v>0.22808443635350359</v>
      </c>
      <c r="M309" s="10">
        <f t="shared" si="42"/>
        <v>0.24135583098959879</v>
      </c>
      <c r="P309" s="8">
        <f t="shared" si="43"/>
        <v>-1.1435285251272984</v>
      </c>
    </row>
    <row r="310" spans="1:16" x14ac:dyDescent="0.2">
      <c r="A310" s="8">
        <v>154</v>
      </c>
      <c r="B310" s="8">
        <v>308</v>
      </c>
      <c r="D310">
        <v>1137.5236156352</v>
      </c>
      <c r="E310">
        <v>345.41856677523998</v>
      </c>
      <c r="F310">
        <v>144.58149058148999</v>
      </c>
      <c r="G310">
        <v>119.28583128583</v>
      </c>
      <c r="I310" s="9">
        <f>E310-G310</f>
        <v>226.13273548940998</v>
      </c>
      <c r="J310" s="9">
        <f>D310-F310</f>
        <v>992.94212505371001</v>
      </c>
      <c r="K310" s="9">
        <f t="shared" si="31"/>
        <v>226.13273548940998</v>
      </c>
      <c r="L310" s="10">
        <f t="shared" si="30"/>
        <v>0.22774009661155031</v>
      </c>
      <c r="M310" s="10">
        <f>L310+ABS($N$2)*A310</f>
        <v>0.24105472054613442</v>
      </c>
      <c r="O310" s="11"/>
      <c r="P310" s="8">
        <f>(M310-$O$2)/$O$2*100</f>
        <v>-1.2668597736124636</v>
      </c>
    </row>
    <row r="311" spans="1:16" x14ac:dyDescent="0.2">
      <c r="A311" s="8">
        <v>154.5</v>
      </c>
      <c r="B311" s="8">
        <v>309</v>
      </c>
      <c r="D311">
        <v>1156.5749185668001</v>
      </c>
      <c r="E311">
        <v>350.51547231270001</v>
      </c>
      <c r="F311">
        <v>144.82882882883001</v>
      </c>
      <c r="G311">
        <v>119.42178542179001</v>
      </c>
      <c r="I311" s="9">
        <f t="shared" ref="I311:I319" si="44">E311-G311</f>
        <v>231.09368689091002</v>
      </c>
      <c r="J311" s="9">
        <f t="shared" ref="J311:J319" si="45">D311-F311</f>
        <v>1011.7460897379701</v>
      </c>
      <c r="K311" s="9">
        <f t="shared" si="31"/>
        <v>231.09368689091002</v>
      </c>
      <c r="L311" s="10">
        <f t="shared" si="30"/>
        <v>0.22841075368105496</v>
      </c>
      <c r="M311" s="10">
        <f t="shared" ref="M311:M319" si="46">L311+ABS($N$2)*A311</f>
        <v>0.24176860691412796</v>
      </c>
      <c r="P311" s="8">
        <f t="shared" ref="P311:P319" si="47">(M311-$O$2)/$O$2*100</f>
        <v>-0.97446042662135601</v>
      </c>
    </row>
    <row r="312" spans="1:16" x14ac:dyDescent="0.2">
      <c r="A312" s="8">
        <v>155</v>
      </c>
      <c r="B312" s="8">
        <v>310</v>
      </c>
      <c r="D312">
        <v>1127.6644951139999</v>
      </c>
      <c r="E312">
        <v>346.05700325733</v>
      </c>
      <c r="F312">
        <v>145.09664209664001</v>
      </c>
      <c r="G312">
        <v>118.90745290744999</v>
      </c>
      <c r="I312" s="9">
        <f t="shared" si="44"/>
        <v>227.14955034988</v>
      </c>
      <c r="J312" s="9">
        <f t="shared" si="45"/>
        <v>982.56785301735988</v>
      </c>
      <c r="K312" s="9">
        <f t="shared" si="31"/>
        <v>227.14955034988</v>
      </c>
      <c r="L312" s="10">
        <f t="shared" si="30"/>
        <v>0.23117950546858237</v>
      </c>
      <c r="M312" s="10">
        <f t="shared" si="46"/>
        <v>0.24458058800014429</v>
      </c>
      <c r="N312" s="1"/>
      <c r="P312" s="8">
        <f t="shared" si="47"/>
        <v>0.1772935081308312</v>
      </c>
    </row>
    <row r="313" spans="1:16" x14ac:dyDescent="0.2">
      <c r="A313" s="8">
        <v>155.5</v>
      </c>
      <c r="B313" s="8">
        <v>311</v>
      </c>
      <c r="D313">
        <v>1136.6833060557001</v>
      </c>
      <c r="E313">
        <v>348.94517184942998</v>
      </c>
      <c r="F313">
        <v>145.11547911548001</v>
      </c>
      <c r="G313">
        <v>119.15561015561001</v>
      </c>
      <c r="I313" s="9">
        <f t="shared" si="44"/>
        <v>229.78956169381996</v>
      </c>
      <c r="J313" s="9">
        <f t="shared" si="45"/>
        <v>991.56782694022013</v>
      </c>
      <c r="K313" s="9">
        <f t="shared" si="31"/>
        <v>229.78956169381996</v>
      </c>
      <c r="L313" s="10">
        <f t="shared" si="30"/>
        <v>0.23174366437735738</v>
      </c>
      <c r="M313" s="10">
        <f t="shared" si="46"/>
        <v>0.2451879762074082</v>
      </c>
      <c r="P313" s="8">
        <f t="shared" si="47"/>
        <v>0.4260724779173406</v>
      </c>
    </row>
    <row r="314" spans="1:16" x14ac:dyDescent="0.2">
      <c r="A314" s="8">
        <v>156</v>
      </c>
      <c r="B314" s="8">
        <v>312</v>
      </c>
      <c r="D314">
        <v>1100.2345276873</v>
      </c>
      <c r="E314">
        <v>341.90635179153003</v>
      </c>
      <c r="F314">
        <v>145.05651105651</v>
      </c>
      <c r="G314">
        <v>119.22276822277</v>
      </c>
      <c r="I314" s="9">
        <f t="shared" si="44"/>
        <v>222.68358356876001</v>
      </c>
      <c r="J314" s="9">
        <f t="shared" si="45"/>
        <v>955.17801663079001</v>
      </c>
      <c r="K314" s="9">
        <f t="shared" si="31"/>
        <v>222.68358356876001</v>
      </c>
      <c r="L314" s="10">
        <f t="shared" si="30"/>
        <v>0.2331330701623916</v>
      </c>
      <c r="M314" s="10">
        <f t="shared" si="46"/>
        <v>0.24662061129093132</v>
      </c>
      <c r="P314" s="8">
        <f t="shared" si="47"/>
        <v>1.0128627314923973</v>
      </c>
    </row>
    <row r="315" spans="1:16" x14ac:dyDescent="0.2">
      <c r="A315" s="8">
        <v>156.5</v>
      </c>
      <c r="B315" s="8">
        <v>313</v>
      </c>
      <c r="D315">
        <v>1084.4448979592</v>
      </c>
      <c r="E315">
        <v>337.61306122449002</v>
      </c>
      <c r="F315">
        <v>144.91482391482</v>
      </c>
      <c r="G315">
        <v>119.38083538084</v>
      </c>
      <c r="I315" s="9">
        <f t="shared" si="44"/>
        <v>218.23222584365004</v>
      </c>
      <c r="J315" s="9">
        <f t="shared" si="45"/>
        <v>939.53007404438006</v>
      </c>
      <c r="K315" s="9">
        <f t="shared" si="31"/>
        <v>218.23222584365004</v>
      </c>
      <c r="L315" s="10">
        <f t="shared" si="30"/>
        <v>0.23227806312173624</v>
      </c>
      <c r="M315" s="10">
        <f t="shared" si="46"/>
        <v>0.24580883354876487</v>
      </c>
      <c r="P315" s="8">
        <f t="shared" si="47"/>
        <v>0.68036824447968103</v>
      </c>
    </row>
    <row r="316" spans="1:16" x14ac:dyDescent="0.2">
      <c r="A316" s="8">
        <v>157</v>
      </c>
      <c r="B316" s="8">
        <v>314</v>
      </c>
      <c r="D316">
        <v>1073.0701468189</v>
      </c>
      <c r="E316">
        <v>331.87357259380002</v>
      </c>
      <c r="F316">
        <v>144.79033579034001</v>
      </c>
      <c r="G316">
        <v>119.1506961507</v>
      </c>
      <c r="I316" s="9">
        <f t="shared" si="44"/>
        <v>212.72287644310001</v>
      </c>
      <c r="J316" s="9">
        <f t="shared" si="45"/>
        <v>928.27981102855995</v>
      </c>
      <c r="K316" s="9">
        <f t="shared" si="31"/>
        <v>212.72287644310001</v>
      </c>
      <c r="L316" s="10">
        <f t="shared" si="30"/>
        <v>0.22915814166786319</v>
      </c>
      <c r="M316" s="10">
        <f t="shared" si="46"/>
        <v>0.24273214139338076</v>
      </c>
      <c r="P316" s="8">
        <f t="shared" si="47"/>
        <v>-0.57980818899874464</v>
      </c>
    </row>
    <row r="317" spans="1:16" x14ac:dyDescent="0.2">
      <c r="A317" s="8">
        <v>157.5</v>
      </c>
      <c r="B317" s="8">
        <v>315</v>
      </c>
      <c r="D317">
        <v>1097.7436527437001</v>
      </c>
      <c r="E317">
        <v>338.59623259622998</v>
      </c>
      <c r="F317">
        <v>144.90909090909</v>
      </c>
      <c r="G317">
        <v>119.19246519247</v>
      </c>
      <c r="I317" s="9">
        <f t="shared" si="44"/>
        <v>219.40376740375999</v>
      </c>
      <c r="J317" s="9">
        <f t="shared" si="45"/>
        <v>952.8345618346101</v>
      </c>
      <c r="K317" s="9">
        <f t="shared" si="31"/>
        <v>219.40376740375999</v>
      </c>
      <c r="L317" s="10">
        <f t="shared" si="30"/>
        <v>0.23026428321545642</v>
      </c>
      <c r="M317" s="10">
        <f t="shared" si="46"/>
        <v>0.24388151223946289</v>
      </c>
      <c r="P317" s="8">
        <f t="shared" si="47"/>
        <v>-0.10903959064379086</v>
      </c>
    </row>
    <row r="318" spans="1:16" x14ac:dyDescent="0.2">
      <c r="A318" s="8">
        <v>158</v>
      </c>
      <c r="B318" s="8">
        <v>316</v>
      </c>
      <c r="D318">
        <v>1101.4256535948</v>
      </c>
      <c r="E318">
        <v>339.71568627451001</v>
      </c>
      <c r="F318">
        <v>144.67567567568</v>
      </c>
      <c r="G318">
        <v>118.9868959869</v>
      </c>
      <c r="I318" s="9">
        <f t="shared" si="44"/>
        <v>220.72879028761002</v>
      </c>
      <c r="J318" s="9">
        <f t="shared" si="45"/>
        <v>956.74997791912006</v>
      </c>
      <c r="K318" s="9">
        <f t="shared" si="31"/>
        <v>220.72879028761002</v>
      </c>
      <c r="L318" s="10">
        <f t="shared" si="30"/>
        <v>0.23070686739672921</v>
      </c>
      <c r="M318" s="10">
        <f t="shared" si="46"/>
        <v>0.24436732571922459</v>
      </c>
      <c r="P318" s="8">
        <f t="shared" si="47"/>
        <v>8.9943819896811453E-2</v>
      </c>
    </row>
    <row r="319" spans="1:16" x14ac:dyDescent="0.2">
      <c r="A319" s="8">
        <v>158.5</v>
      </c>
      <c r="B319" s="8">
        <v>317</v>
      </c>
      <c r="D319">
        <v>1116.1745901638999</v>
      </c>
      <c r="E319">
        <v>345.22213114753998</v>
      </c>
      <c r="F319">
        <v>144.52497952498001</v>
      </c>
      <c r="G319">
        <v>119.30712530712999</v>
      </c>
      <c r="I319" s="9">
        <f t="shared" si="44"/>
        <v>225.91500584041</v>
      </c>
      <c r="J319" s="9">
        <f t="shared" si="45"/>
        <v>971.64961063891985</v>
      </c>
      <c r="K319" s="9">
        <f t="shared" si="31"/>
        <v>225.91500584041</v>
      </c>
      <c r="L319" s="10">
        <f t="shared" si="30"/>
        <v>0.2325066601857195</v>
      </c>
      <c r="M319" s="10">
        <f t="shared" si="46"/>
        <v>0.24621034780670378</v>
      </c>
      <c r="P319" s="8">
        <f t="shared" si="47"/>
        <v>0.84482369858637407</v>
      </c>
    </row>
    <row r="320" spans="1:16" x14ac:dyDescent="0.2">
      <c r="A320" s="8">
        <v>159</v>
      </c>
      <c r="B320" s="8">
        <v>318</v>
      </c>
      <c r="D320">
        <v>1051.7303278689001</v>
      </c>
      <c r="E320">
        <v>333.50819672131001</v>
      </c>
      <c r="F320">
        <v>144.45454545454999</v>
      </c>
      <c r="G320">
        <v>119.24651924651999</v>
      </c>
      <c r="I320" s="9">
        <f>E320-G320</f>
        <v>214.26167747479002</v>
      </c>
      <c r="J320" s="9">
        <f>D320-F320</f>
        <v>907.27578241435003</v>
      </c>
      <c r="K320" s="9">
        <f t="shared" si="31"/>
        <v>214.26167747479002</v>
      </c>
      <c r="L320" s="10">
        <f t="shared" si="30"/>
        <v>0.23615937031254006</v>
      </c>
      <c r="M320" s="10">
        <f>L320+ABS($N$2)*A320</f>
        <v>0.24990628723201325</v>
      </c>
      <c r="O320" s="11"/>
      <c r="P320" s="8">
        <f>(M320-$O$2)/$O$2*100</f>
        <v>2.3586364325605031</v>
      </c>
    </row>
    <row r="321" spans="1:16" x14ac:dyDescent="0.2">
      <c r="A321" s="8">
        <v>159.5</v>
      </c>
      <c r="B321" s="8">
        <v>319</v>
      </c>
      <c r="D321">
        <v>1049.2173202613999</v>
      </c>
      <c r="E321">
        <v>331.91911764705998</v>
      </c>
      <c r="F321">
        <v>144.5733005733</v>
      </c>
      <c r="G321">
        <v>118.84275184275</v>
      </c>
      <c r="I321" s="9">
        <f t="shared" ref="I321:I322" si="48">E321-G321</f>
        <v>213.07636580430997</v>
      </c>
      <c r="J321" s="9">
        <f t="shared" ref="J321:J322" si="49">D321-F321</f>
        <v>904.64401968809989</v>
      </c>
      <c r="K321" s="9">
        <f t="shared" si="31"/>
        <v>213.07636580430997</v>
      </c>
      <c r="L321" s="10">
        <f t="shared" si="30"/>
        <v>0.23553614589501595</v>
      </c>
      <c r="M321" s="10">
        <f t="shared" ref="M321:M322" si="50">L321+ABS($N$2)*A321</f>
        <v>0.24932629211297805</v>
      </c>
      <c r="P321" s="8">
        <f t="shared" ref="P321:P322" si="51">(M321-$O$2)/$O$2*100</f>
        <v>2.1210773451940192</v>
      </c>
    </row>
    <row r="322" spans="1:16" x14ac:dyDescent="0.2">
      <c r="A322" s="8">
        <v>160</v>
      </c>
      <c r="B322" s="8">
        <v>320</v>
      </c>
      <c r="D322">
        <v>1123.1083061889001</v>
      </c>
      <c r="E322">
        <v>347.97638436481998</v>
      </c>
      <c r="F322">
        <v>144.77231777232001</v>
      </c>
      <c r="G322">
        <v>118.95331695332</v>
      </c>
      <c r="I322" s="9">
        <f t="shared" si="48"/>
        <v>229.02306741149999</v>
      </c>
      <c r="J322" s="9">
        <f t="shared" si="49"/>
        <v>978.33598841658011</v>
      </c>
      <c r="K322" s="9">
        <f t="shared" ref="K322" si="52">I322*1</f>
        <v>229.02306741149999</v>
      </c>
      <c r="L322" s="10">
        <f t="shared" ref="L322" si="53">K322/J322</f>
        <v>0.23409449322432663</v>
      </c>
      <c r="M322" s="10">
        <f t="shared" si="50"/>
        <v>0.24792786874077763</v>
      </c>
      <c r="P322" s="8">
        <f t="shared" si="51"/>
        <v>1.5482998007820774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FA94-F5CD-234C-A351-81E254FF4BD0}">
  <dimension ref="A1:Y798"/>
  <sheetViews>
    <sheetView topLeftCell="F290" zoomScale="75" zoomScaleNormal="70" workbookViewId="0">
      <selection activeCell="P322" sqref="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449.71932299013002</v>
      </c>
      <c r="E2">
        <v>217.58885754584</v>
      </c>
      <c r="F2">
        <v>146.22637517631</v>
      </c>
      <c r="G2">
        <v>121.03455571227001</v>
      </c>
      <c r="H2" s="4"/>
      <c r="I2" s="5">
        <f>E2-G2</f>
        <v>96.554301833569994</v>
      </c>
      <c r="J2" s="5">
        <f>D2-F2</f>
        <v>303.49294781382002</v>
      </c>
      <c r="K2" s="9">
        <f>I2*1</f>
        <v>96.554301833569994</v>
      </c>
      <c r="L2" s="6">
        <f t="shared" ref="L2:L65" si="0">K2/J2</f>
        <v>0.31814347756377503</v>
      </c>
      <c r="M2" s="6">
        <f>L2+ABS($N$2)*A2</f>
        <v>0.31814347756377503</v>
      </c>
      <c r="N2" s="4">
        <f>LINEST(V64:V103,U64:U103)</f>
        <v>1.5908935123528671E-4</v>
      </c>
      <c r="O2" s="7">
        <f>AVERAGE(M62:M81)</f>
        <v>0.32100772366415231</v>
      </c>
      <c r="P2" s="4">
        <f>(M2-$O$2)/$O$2*100</f>
        <v>-0.89226703572214827</v>
      </c>
    </row>
    <row r="3" spans="1:16" x14ac:dyDescent="0.2">
      <c r="A3" s="8">
        <v>0.5</v>
      </c>
      <c r="B3" s="8">
        <v>1</v>
      </c>
      <c r="D3">
        <v>448.69252468265</v>
      </c>
      <c r="E3">
        <v>215.33074753174</v>
      </c>
      <c r="F3">
        <v>145.74682651622001</v>
      </c>
      <c r="G3">
        <v>120.50916784203</v>
      </c>
      <c r="I3" s="9">
        <f t="shared" ref="I3:I66" si="1">E3-G3</f>
        <v>94.821579689710006</v>
      </c>
      <c r="J3" s="9">
        <f t="shared" ref="J3:J66" si="2">D3-F3</f>
        <v>302.94569816643002</v>
      </c>
      <c r="K3" s="9">
        <f t="shared" ref="K3:K66" si="3">I3*1</f>
        <v>94.821579689710006</v>
      </c>
      <c r="L3" s="10">
        <f t="shared" si="0"/>
        <v>0.31299860094932802</v>
      </c>
      <c r="M3" s="10">
        <f t="shared" ref="M3:M66" si="4">L3+ABS($N$2)*A3</f>
        <v>0.31307814562494568</v>
      </c>
      <c r="P3" s="8">
        <f t="shared" ref="P3:P66" si="5">(M3-$O$2)/$O$2*100</f>
        <v>-2.470214096001873</v>
      </c>
    </row>
    <row r="4" spans="1:16" ht="16" x14ac:dyDescent="0.2">
      <c r="A4" s="8">
        <v>1</v>
      </c>
      <c r="B4" s="8">
        <v>2</v>
      </c>
      <c r="D4">
        <v>451.32369534556</v>
      </c>
      <c r="E4">
        <v>213.02186177715001</v>
      </c>
      <c r="F4">
        <v>146.14104372355001</v>
      </c>
      <c r="G4">
        <v>120.82016925247</v>
      </c>
      <c r="I4" s="9">
        <f t="shared" si="1"/>
        <v>92.201692524680013</v>
      </c>
      <c r="J4" s="9">
        <f t="shared" si="2"/>
        <v>305.18265162200998</v>
      </c>
      <c r="K4" s="9">
        <f t="shared" si="3"/>
        <v>92.201692524680013</v>
      </c>
      <c r="L4" s="10">
        <f t="shared" si="0"/>
        <v>0.30211970449381326</v>
      </c>
      <c r="M4" s="10">
        <f t="shared" si="4"/>
        <v>0.30227879384504852</v>
      </c>
      <c r="N4" s="1" t="s">
        <v>7</v>
      </c>
      <c r="P4" s="8">
        <f t="shared" si="5"/>
        <v>-5.834417192621367</v>
      </c>
    </row>
    <row r="5" spans="1:16" x14ac:dyDescent="0.2">
      <c r="A5" s="8">
        <v>1.5</v>
      </c>
      <c r="B5" s="8">
        <v>3</v>
      </c>
      <c r="D5">
        <v>459.88615600843002</v>
      </c>
      <c r="E5">
        <v>212.05200281096</v>
      </c>
      <c r="F5">
        <v>145.54301833567999</v>
      </c>
      <c r="G5">
        <v>121.1706629055</v>
      </c>
      <c r="I5" s="9">
        <f t="shared" si="1"/>
        <v>90.88133990546001</v>
      </c>
      <c r="J5" s="9">
        <f t="shared" si="2"/>
        <v>314.34313767275</v>
      </c>
      <c r="K5" s="9">
        <f t="shared" si="3"/>
        <v>90.88133990546001</v>
      </c>
      <c r="L5" s="10">
        <f t="shared" si="0"/>
        <v>0.28911507525916763</v>
      </c>
      <c r="M5" s="10">
        <f t="shared" si="4"/>
        <v>0.28935370928602056</v>
      </c>
      <c r="N5" s="8">
        <f>RSQ(V64:V83,U64:U83)</f>
        <v>4.3879449803328197E-2</v>
      </c>
      <c r="P5" s="8">
        <f t="shared" si="5"/>
        <v>-9.8608264053014238</v>
      </c>
    </row>
    <row r="6" spans="1:16" x14ac:dyDescent="0.2">
      <c r="A6" s="8">
        <v>2</v>
      </c>
      <c r="B6" s="8">
        <v>4</v>
      </c>
      <c r="D6">
        <v>462.40056219255001</v>
      </c>
      <c r="E6">
        <v>212.39423752635</v>
      </c>
      <c r="F6">
        <v>145.87023977433</v>
      </c>
      <c r="G6">
        <v>120.32369534556</v>
      </c>
      <c r="I6" s="9">
        <f t="shared" si="1"/>
        <v>92.07054218079</v>
      </c>
      <c r="J6" s="9">
        <f t="shared" si="2"/>
        <v>316.53032241822001</v>
      </c>
      <c r="K6" s="9">
        <f t="shared" si="3"/>
        <v>92.07054218079</v>
      </c>
      <c r="L6" s="10">
        <f t="shared" si="0"/>
        <v>0.29087431964619342</v>
      </c>
      <c r="M6" s="10">
        <f t="shared" si="4"/>
        <v>0.29119249834866401</v>
      </c>
      <c r="P6" s="8">
        <f t="shared" si="5"/>
        <v>-9.2880087043269608</v>
      </c>
    </row>
    <row r="7" spans="1:16" x14ac:dyDescent="0.2">
      <c r="A7" s="8">
        <v>2.5</v>
      </c>
      <c r="B7" s="8">
        <v>5</v>
      </c>
      <c r="D7">
        <v>445.34996486297001</v>
      </c>
      <c r="E7">
        <v>210.13984539705001</v>
      </c>
      <c r="F7">
        <v>145.83638928068001</v>
      </c>
      <c r="G7">
        <v>120.47461212976</v>
      </c>
      <c r="I7" s="9">
        <f t="shared" si="1"/>
        <v>89.665233267290006</v>
      </c>
      <c r="J7" s="9">
        <f t="shared" si="2"/>
        <v>299.51357558229</v>
      </c>
      <c r="K7" s="9">
        <f t="shared" si="3"/>
        <v>89.665233267290006</v>
      </c>
      <c r="L7" s="10">
        <f t="shared" si="0"/>
        <v>0.29936951302781561</v>
      </c>
      <c r="M7" s="10">
        <f t="shared" si="4"/>
        <v>0.29976723640590386</v>
      </c>
      <c r="P7" s="8">
        <f t="shared" si="5"/>
        <v>-6.6168150148533096</v>
      </c>
    </row>
    <row r="8" spans="1:16" x14ac:dyDescent="0.2">
      <c r="A8" s="8">
        <v>3</v>
      </c>
      <c r="B8" s="8">
        <v>6</v>
      </c>
      <c r="D8">
        <v>428.11876317639002</v>
      </c>
      <c r="E8">
        <v>206.45045678144999</v>
      </c>
      <c r="F8">
        <v>145.97249647391001</v>
      </c>
      <c r="G8">
        <v>120.50916784203</v>
      </c>
      <c r="I8" s="9">
        <f t="shared" si="1"/>
        <v>85.941288939419991</v>
      </c>
      <c r="J8" s="9">
        <f t="shared" si="2"/>
        <v>282.14626670248003</v>
      </c>
      <c r="K8" s="9">
        <f t="shared" si="3"/>
        <v>85.941288939419991</v>
      </c>
      <c r="L8" s="10">
        <f t="shared" si="0"/>
        <v>0.30459835582387518</v>
      </c>
      <c r="M8" s="10">
        <f t="shared" si="4"/>
        <v>0.30507562387758103</v>
      </c>
      <c r="P8" s="8">
        <f t="shared" si="5"/>
        <v>-4.9631515418737759</v>
      </c>
    </row>
    <row r="9" spans="1:16" x14ac:dyDescent="0.2">
      <c r="A9" s="8">
        <v>3.5</v>
      </c>
      <c r="B9" s="8">
        <v>7</v>
      </c>
      <c r="D9">
        <v>438.83907238229</v>
      </c>
      <c r="E9">
        <v>208.11595221363001</v>
      </c>
      <c r="F9">
        <v>145.92736248237</v>
      </c>
      <c r="G9">
        <v>120.74894217207</v>
      </c>
      <c r="I9" s="9">
        <f t="shared" si="1"/>
        <v>87.367010041560007</v>
      </c>
      <c r="J9" s="9">
        <f t="shared" si="2"/>
        <v>292.91170989991997</v>
      </c>
      <c r="K9" s="9">
        <f t="shared" si="3"/>
        <v>87.367010041560007</v>
      </c>
      <c r="L9" s="10">
        <f t="shared" si="0"/>
        <v>0.29827080000117084</v>
      </c>
      <c r="M9" s="10">
        <f t="shared" si="4"/>
        <v>0.29882761273049435</v>
      </c>
      <c r="P9" s="8">
        <f t="shared" si="5"/>
        <v>-6.9095256277582413</v>
      </c>
    </row>
    <row r="10" spans="1:16" x14ac:dyDescent="0.2">
      <c r="A10" s="8">
        <v>4</v>
      </c>
      <c r="B10" s="8">
        <v>8</v>
      </c>
      <c r="D10">
        <v>448.14195361911999</v>
      </c>
      <c r="E10">
        <v>209.43780744905001</v>
      </c>
      <c r="F10">
        <v>145.44146685473001</v>
      </c>
      <c r="G10">
        <v>120.68617771509</v>
      </c>
      <c r="I10" s="9">
        <f t="shared" si="1"/>
        <v>88.751629733960016</v>
      </c>
      <c r="J10" s="9">
        <f t="shared" si="2"/>
        <v>302.70048676439001</v>
      </c>
      <c r="K10" s="9">
        <f t="shared" si="3"/>
        <v>88.751629733960016</v>
      </c>
      <c r="L10" s="10">
        <f t="shared" si="0"/>
        <v>0.2931994945982388</v>
      </c>
      <c r="M10" s="10">
        <f t="shared" si="4"/>
        <v>0.29383585200317996</v>
      </c>
      <c r="P10" s="8">
        <f t="shared" si="5"/>
        <v>-8.4645538589595919</v>
      </c>
    </row>
    <row r="11" spans="1:16" x14ac:dyDescent="0.2">
      <c r="A11" s="8">
        <v>4.5</v>
      </c>
      <c r="B11" s="8">
        <v>9</v>
      </c>
      <c r="D11">
        <v>457.29304286718002</v>
      </c>
      <c r="E11">
        <v>210.56781447646</v>
      </c>
      <c r="F11">
        <v>146.02256699577001</v>
      </c>
      <c r="G11">
        <v>120.88998589563001</v>
      </c>
      <c r="I11" s="9">
        <f t="shared" si="1"/>
        <v>89.677828580829996</v>
      </c>
      <c r="J11" s="9">
        <f t="shared" si="2"/>
        <v>311.27047587140999</v>
      </c>
      <c r="K11" s="9">
        <f t="shared" si="3"/>
        <v>89.677828580829996</v>
      </c>
      <c r="L11" s="10">
        <f t="shared" si="0"/>
        <v>0.28810258451198922</v>
      </c>
      <c r="M11" s="10">
        <f t="shared" si="4"/>
        <v>0.288818486592548</v>
      </c>
      <c r="P11" s="8">
        <f t="shared" si="5"/>
        <v>-10.027558435099101</v>
      </c>
    </row>
    <row r="12" spans="1:16" x14ac:dyDescent="0.2">
      <c r="A12" s="8">
        <v>5</v>
      </c>
      <c r="B12" s="8">
        <v>10</v>
      </c>
      <c r="D12">
        <v>461.13291139240999</v>
      </c>
      <c r="E12">
        <v>210.31786216596001</v>
      </c>
      <c r="F12">
        <v>145.24400564174999</v>
      </c>
      <c r="G12">
        <v>120.82016925247</v>
      </c>
      <c r="I12" s="9">
        <f t="shared" si="1"/>
        <v>89.497692913490013</v>
      </c>
      <c r="J12" s="9">
        <f t="shared" si="2"/>
        <v>315.88890575066</v>
      </c>
      <c r="K12" s="9">
        <f t="shared" si="3"/>
        <v>89.497692913490013</v>
      </c>
      <c r="L12" s="10">
        <f t="shared" si="0"/>
        <v>0.28332015238336056</v>
      </c>
      <c r="M12" s="10">
        <f t="shared" si="4"/>
        <v>0.28411559913953699</v>
      </c>
      <c r="P12" s="8">
        <f t="shared" si="5"/>
        <v>-11.492597157323523</v>
      </c>
    </row>
    <row r="13" spans="1:16" x14ac:dyDescent="0.2">
      <c r="A13" s="8">
        <v>5.5</v>
      </c>
      <c r="B13" s="8">
        <v>11</v>
      </c>
      <c r="D13">
        <v>455.78129395218002</v>
      </c>
      <c r="E13">
        <v>210.53586497890001</v>
      </c>
      <c r="F13">
        <v>145.95345557122999</v>
      </c>
      <c r="G13">
        <v>120.57404795487</v>
      </c>
      <c r="I13" s="9">
        <f t="shared" si="1"/>
        <v>89.961817024030012</v>
      </c>
      <c r="J13" s="9">
        <f t="shared" si="2"/>
        <v>309.82783838095003</v>
      </c>
      <c r="K13" s="9">
        <f t="shared" si="3"/>
        <v>89.961817024030012</v>
      </c>
      <c r="L13" s="10">
        <f t="shared" si="0"/>
        <v>0.29036066447139947</v>
      </c>
      <c r="M13" s="10">
        <f t="shared" si="4"/>
        <v>0.29123565590319356</v>
      </c>
      <c r="P13" s="8">
        <f t="shared" si="5"/>
        <v>-9.2745643067788492</v>
      </c>
    </row>
    <row r="14" spans="1:16" x14ac:dyDescent="0.2">
      <c r="A14" s="8">
        <v>6</v>
      </c>
      <c r="B14" s="8">
        <v>12</v>
      </c>
      <c r="D14">
        <v>457.22112676056003</v>
      </c>
      <c r="E14">
        <v>210.15</v>
      </c>
      <c r="F14">
        <v>145.23201692525001</v>
      </c>
      <c r="G14">
        <v>120.56064880113</v>
      </c>
      <c r="I14" s="9">
        <f t="shared" si="1"/>
        <v>89.589351198870006</v>
      </c>
      <c r="J14" s="9">
        <f t="shared" si="2"/>
        <v>311.98910983531005</v>
      </c>
      <c r="K14" s="9">
        <f t="shared" si="3"/>
        <v>89.589351198870006</v>
      </c>
      <c r="L14" s="10">
        <f t="shared" si="0"/>
        <v>0.28715537938539459</v>
      </c>
      <c r="M14" s="10">
        <f t="shared" si="4"/>
        <v>0.28810991549280629</v>
      </c>
      <c r="P14" s="8">
        <f t="shared" si="5"/>
        <v>-10.248291784332476</v>
      </c>
    </row>
    <row r="15" spans="1:16" x14ac:dyDescent="0.2">
      <c r="A15" s="8">
        <v>6.5</v>
      </c>
      <c r="B15" s="8">
        <v>13</v>
      </c>
      <c r="D15">
        <v>440.54507042253999</v>
      </c>
      <c r="E15">
        <v>207.59577464789001</v>
      </c>
      <c r="F15">
        <v>145.15937940762001</v>
      </c>
      <c r="G15">
        <v>120.65232722144</v>
      </c>
      <c r="I15" s="9">
        <f t="shared" si="1"/>
        <v>86.943447426450007</v>
      </c>
      <c r="J15" s="9">
        <f t="shared" si="2"/>
        <v>295.38569101491998</v>
      </c>
      <c r="K15" s="9">
        <f t="shared" si="3"/>
        <v>86.943447426450007</v>
      </c>
      <c r="L15" s="10">
        <f t="shared" si="0"/>
        <v>0.29433872415322404</v>
      </c>
      <c r="M15" s="10">
        <f t="shared" si="4"/>
        <v>0.2953728049362534</v>
      </c>
      <c r="P15" s="8">
        <f t="shared" si="5"/>
        <v>-7.9857638424672039</v>
      </c>
    </row>
    <row r="16" spans="1:16" x14ac:dyDescent="0.2">
      <c r="A16" s="8">
        <v>7</v>
      </c>
      <c r="B16" s="8">
        <v>14</v>
      </c>
      <c r="D16">
        <v>437.00492957747002</v>
      </c>
      <c r="E16">
        <v>208.71619718310001</v>
      </c>
      <c r="F16">
        <v>145.34626234133</v>
      </c>
      <c r="G16">
        <v>120.35684062059001</v>
      </c>
      <c r="I16" s="9">
        <f t="shared" si="1"/>
        <v>88.359356562510001</v>
      </c>
      <c r="J16" s="9">
        <f t="shared" si="2"/>
        <v>291.65866723613999</v>
      </c>
      <c r="K16" s="9">
        <f t="shared" si="3"/>
        <v>88.359356562510001</v>
      </c>
      <c r="L16" s="10">
        <f t="shared" si="0"/>
        <v>0.30295467437959006</v>
      </c>
      <c r="M16" s="10">
        <f t="shared" si="4"/>
        <v>0.30406829983823708</v>
      </c>
      <c r="P16" s="8">
        <f t="shared" si="5"/>
        <v>-5.2769521033823334</v>
      </c>
    </row>
    <row r="17" spans="1:16" x14ac:dyDescent="0.2">
      <c r="A17" s="8">
        <v>7.5</v>
      </c>
      <c r="B17" s="8">
        <v>15</v>
      </c>
      <c r="D17">
        <v>452.71549295774997</v>
      </c>
      <c r="E17">
        <v>209.99647887323999</v>
      </c>
      <c r="F17">
        <v>145.19181946403</v>
      </c>
      <c r="G17">
        <v>120.39985895628</v>
      </c>
      <c r="I17" s="9">
        <f t="shared" si="1"/>
        <v>89.596619916959995</v>
      </c>
      <c r="J17" s="9">
        <f t="shared" si="2"/>
        <v>307.52367349371997</v>
      </c>
      <c r="K17" s="9">
        <f t="shared" si="3"/>
        <v>89.596619916959995</v>
      </c>
      <c r="L17" s="10">
        <f t="shared" si="0"/>
        <v>0.29134869162776722</v>
      </c>
      <c r="M17" s="10">
        <f t="shared" si="4"/>
        <v>0.2925418617620319</v>
      </c>
      <c r="P17" s="8">
        <f t="shared" si="5"/>
        <v>-8.8676563844620251</v>
      </c>
    </row>
    <row r="18" spans="1:16" x14ac:dyDescent="0.2">
      <c r="A18" s="8">
        <v>8</v>
      </c>
      <c r="B18" s="8">
        <v>16</v>
      </c>
      <c r="D18">
        <v>449.58474576270999</v>
      </c>
      <c r="E18">
        <v>209.53177966102001</v>
      </c>
      <c r="F18">
        <v>145.65373765867</v>
      </c>
      <c r="G18">
        <v>120.7101551481</v>
      </c>
      <c r="I18" s="9">
        <f t="shared" si="1"/>
        <v>88.82162451292001</v>
      </c>
      <c r="J18" s="9">
        <f t="shared" si="2"/>
        <v>303.93100810403996</v>
      </c>
      <c r="K18" s="9">
        <f t="shared" si="3"/>
        <v>88.82162451292001</v>
      </c>
      <c r="L18" s="10">
        <f t="shared" si="0"/>
        <v>0.29224272004031615</v>
      </c>
      <c r="M18" s="10">
        <f t="shared" si="4"/>
        <v>0.29351543485019843</v>
      </c>
      <c r="P18" s="8">
        <f t="shared" si="5"/>
        <v>-8.5643698849804366</v>
      </c>
    </row>
    <row r="19" spans="1:16" x14ac:dyDescent="0.2">
      <c r="A19" s="8">
        <v>8.5</v>
      </c>
      <c r="B19" s="8">
        <v>17</v>
      </c>
      <c r="D19">
        <v>447.62853107345001</v>
      </c>
      <c r="E19">
        <v>210.68008474576001</v>
      </c>
      <c r="F19">
        <v>146.01410437236001</v>
      </c>
      <c r="G19">
        <v>120.46191819464001</v>
      </c>
      <c r="I19" s="9">
        <f t="shared" si="1"/>
        <v>90.218166551120007</v>
      </c>
      <c r="J19" s="9">
        <f t="shared" si="2"/>
        <v>301.61442670109</v>
      </c>
      <c r="K19" s="9">
        <f t="shared" si="3"/>
        <v>90.218166551120007</v>
      </c>
      <c r="L19" s="10">
        <f t="shared" si="0"/>
        <v>0.2991175440043829</v>
      </c>
      <c r="M19" s="10">
        <f t="shared" si="4"/>
        <v>0.30046980348988284</v>
      </c>
      <c r="P19" s="8">
        <f t="shared" si="5"/>
        <v>-6.3979520305115303</v>
      </c>
    </row>
    <row r="20" spans="1:16" x14ac:dyDescent="0.2">
      <c r="A20" s="8">
        <v>9</v>
      </c>
      <c r="B20" s="8">
        <v>18</v>
      </c>
      <c r="D20">
        <v>443.4343220339</v>
      </c>
      <c r="E20">
        <v>209.02330508475001</v>
      </c>
      <c r="F20">
        <v>145.3215796897</v>
      </c>
      <c r="G20">
        <v>120.52750352609</v>
      </c>
      <c r="I20" s="9">
        <f t="shared" si="1"/>
        <v>88.495801558660006</v>
      </c>
      <c r="J20" s="9">
        <f t="shared" si="2"/>
        <v>298.1127423442</v>
      </c>
      <c r="K20" s="9">
        <f t="shared" si="3"/>
        <v>88.495801558660006</v>
      </c>
      <c r="L20" s="10">
        <f t="shared" si="0"/>
        <v>0.29685346846557481</v>
      </c>
      <c r="M20" s="10">
        <f t="shared" si="4"/>
        <v>0.29828527262669241</v>
      </c>
      <c r="P20" s="8">
        <f t="shared" si="5"/>
        <v>-7.0784748659919465</v>
      </c>
    </row>
    <row r="21" spans="1:16" x14ac:dyDescent="0.2">
      <c r="A21" s="8">
        <v>9.5</v>
      </c>
      <c r="B21" s="8">
        <v>19</v>
      </c>
      <c r="D21">
        <v>445.55014124294001</v>
      </c>
      <c r="E21">
        <v>209.29661016949001</v>
      </c>
      <c r="F21">
        <v>145.43723554301999</v>
      </c>
      <c r="G21">
        <v>120.39421720733</v>
      </c>
      <c r="I21" s="9">
        <f t="shared" si="1"/>
        <v>88.902392962160008</v>
      </c>
      <c r="J21" s="9">
        <f t="shared" si="2"/>
        <v>300.11290569992002</v>
      </c>
      <c r="K21" s="9">
        <f t="shared" si="3"/>
        <v>88.902392962160008</v>
      </c>
      <c r="L21" s="10">
        <f t="shared" si="0"/>
        <v>0.29622982308882329</v>
      </c>
      <c r="M21" s="10">
        <f t="shared" si="4"/>
        <v>0.29774117192555849</v>
      </c>
      <c r="P21" s="8">
        <f t="shared" si="5"/>
        <v>-7.2479725637181147</v>
      </c>
    </row>
    <row r="22" spans="1:16" x14ac:dyDescent="0.2">
      <c r="A22" s="8">
        <v>10</v>
      </c>
      <c r="B22" s="8">
        <v>20</v>
      </c>
      <c r="D22">
        <v>446.52471751412003</v>
      </c>
      <c r="E22">
        <v>210.65536723164001</v>
      </c>
      <c r="F22">
        <v>145.49012693935001</v>
      </c>
      <c r="G22">
        <v>120.14880112835</v>
      </c>
      <c r="I22" s="9">
        <f t="shared" si="1"/>
        <v>90.506566103290012</v>
      </c>
      <c r="J22" s="9">
        <f t="shared" si="2"/>
        <v>301.03459057477005</v>
      </c>
      <c r="K22" s="9">
        <f t="shared" si="3"/>
        <v>90.506566103290012</v>
      </c>
      <c r="L22" s="10">
        <f t="shared" si="0"/>
        <v>0.30065171557356385</v>
      </c>
      <c r="M22" s="10">
        <f t="shared" si="4"/>
        <v>0.30224260908591671</v>
      </c>
      <c r="P22" s="8">
        <f t="shared" si="5"/>
        <v>-5.8456894320300563</v>
      </c>
    </row>
    <row r="23" spans="1:16" x14ac:dyDescent="0.2">
      <c r="A23" s="8">
        <v>10.5</v>
      </c>
      <c r="B23" s="8">
        <v>21</v>
      </c>
      <c r="D23">
        <v>442.96822033898002</v>
      </c>
      <c r="E23">
        <v>209.77048022599001</v>
      </c>
      <c r="F23">
        <v>145.66502115655999</v>
      </c>
      <c r="G23">
        <v>120.12411847673</v>
      </c>
      <c r="I23" s="9">
        <f t="shared" si="1"/>
        <v>89.646361749260009</v>
      </c>
      <c r="J23" s="9">
        <f t="shared" si="2"/>
        <v>297.30319918242003</v>
      </c>
      <c r="K23" s="9">
        <f t="shared" si="3"/>
        <v>89.646361749260009</v>
      </c>
      <c r="L23" s="10">
        <f t="shared" si="0"/>
        <v>0.30153177630037736</v>
      </c>
      <c r="M23" s="10">
        <f t="shared" si="4"/>
        <v>0.30320221448834789</v>
      </c>
      <c r="P23" s="8">
        <f t="shared" si="5"/>
        <v>-5.5467541318205384</v>
      </c>
    </row>
    <row r="24" spans="1:16" x14ac:dyDescent="0.2">
      <c r="A24" s="8">
        <v>11</v>
      </c>
      <c r="B24" s="8">
        <v>22</v>
      </c>
      <c r="D24">
        <v>449.59251412429001</v>
      </c>
      <c r="E24">
        <v>210.97881355932</v>
      </c>
      <c r="F24">
        <v>144.88575458392</v>
      </c>
      <c r="G24">
        <v>120.36177715092001</v>
      </c>
      <c r="I24" s="9">
        <f t="shared" si="1"/>
        <v>90.617036408399997</v>
      </c>
      <c r="J24" s="9">
        <f t="shared" si="2"/>
        <v>304.70675954037</v>
      </c>
      <c r="K24" s="9">
        <f t="shared" si="3"/>
        <v>90.617036408399997</v>
      </c>
      <c r="L24" s="10">
        <f t="shared" si="0"/>
        <v>0.2973909621994924</v>
      </c>
      <c r="M24" s="10">
        <f t="shared" si="4"/>
        <v>0.29914094506308053</v>
      </c>
      <c r="P24" s="8">
        <f t="shared" si="5"/>
        <v>-6.8119166577902792</v>
      </c>
    </row>
    <row r="25" spans="1:16" x14ac:dyDescent="0.2">
      <c r="A25" s="8">
        <v>11.5</v>
      </c>
      <c r="B25" s="8">
        <v>23</v>
      </c>
      <c r="D25">
        <v>456.68361581920999</v>
      </c>
      <c r="E25">
        <v>212.79872881355999</v>
      </c>
      <c r="F25">
        <v>144.97038081804999</v>
      </c>
      <c r="G25">
        <v>120.04442877292</v>
      </c>
      <c r="I25" s="9">
        <f t="shared" si="1"/>
        <v>92.75430004063999</v>
      </c>
      <c r="J25" s="9">
        <f t="shared" si="2"/>
        <v>311.71323500116</v>
      </c>
      <c r="K25" s="9">
        <f t="shared" si="3"/>
        <v>92.75430004063999</v>
      </c>
      <c r="L25" s="10">
        <f t="shared" si="0"/>
        <v>0.29756291881637564</v>
      </c>
      <c r="M25" s="10">
        <f t="shared" si="4"/>
        <v>0.29939244635558143</v>
      </c>
      <c r="P25" s="8">
        <f t="shared" si="5"/>
        <v>-6.7335692306224439</v>
      </c>
    </row>
    <row r="26" spans="1:16" x14ac:dyDescent="0.2">
      <c r="A26" s="8">
        <v>12</v>
      </c>
      <c r="B26" s="8">
        <v>24</v>
      </c>
      <c r="D26">
        <v>450.57627118644001</v>
      </c>
      <c r="E26">
        <v>211.08262711864</v>
      </c>
      <c r="F26">
        <v>145.12693935120001</v>
      </c>
      <c r="G26">
        <v>120.28349788433999</v>
      </c>
      <c r="I26" s="9">
        <f t="shared" si="1"/>
        <v>90.799129234300011</v>
      </c>
      <c r="J26" s="9">
        <f t="shared" si="2"/>
        <v>305.44933183524</v>
      </c>
      <c r="K26" s="9">
        <f t="shared" si="3"/>
        <v>90.799129234300011</v>
      </c>
      <c r="L26" s="10">
        <f t="shared" si="0"/>
        <v>0.29726412786287332</v>
      </c>
      <c r="M26" s="10">
        <f t="shared" si="4"/>
        <v>0.29917320007769677</v>
      </c>
      <c r="P26" s="8">
        <f t="shared" si="5"/>
        <v>-6.8018686084012927</v>
      </c>
    </row>
    <row r="27" spans="1:16" x14ac:dyDescent="0.2">
      <c r="A27" s="8">
        <v>12.5</v>
      </c>
      <c r="B27" s="8">
        <v>25</v>
      </c>
      <c r="D27">
        <v>403.63488700565</v>
      </c>
      <c r="E27">
        <v>203.86440677965999</v>
      </c>
      <c r="F27">
        <v>145.14456981664</v>
      </c>
      <c r="G27">
        <v>120.65232722144</v>
      </c>
      <c r="I27" s="9">
        <f t="shared" si="1"/>
        <v>83.212079558219983</v>
      </c>
      <c r="J27" s="9">
        <f t="shared" si="2"/>
        <v>258.49031718901</v>
      </c>
      <c r="K27" s="9">
        <f t="shared" si="3"/>
        <v>83.212079558219983</v>
      </c>
      <c r="L27" s="10">
        <f t="shared" si="0"/>
        <v>0.32191565418434881</v>
      </c>
      <c r="M27" s="10">
        <f t="shared" si="4"/>
        <v>0.32390427107478992</v>
      </c>
      <c r="P27" s="8">
        <f t="shared" si="5"/>
        <v>0.90232950708315651</v>
      </c>
    </row>
    <row r="28" spans="1:16" x14ac:dyDescent="0.2">
      <c r="A28" s="8">
        <v>13</v>
      </c>
      <c r="B28" s="8">
        <v>26</v>
      </c>
      <c r="D28">
        <v>450.69985875705999</v>
      </c>
      <c r="E28">
        <v>211.69774011299</v>
      </c>
      <c r="F28">
        <v>145.37517630465001</v>
      </c>
      <c r="G28">
        <v>120.01269393512</v>
      </c>
      <c r="I28" s="9">
        <f t="shared" si="1"/>
        <v>91.685046177870007</v>
      </c>
      <c r="J28" s="9">
        <f t="shared" si="2"/>
        <v>305.32468245241</v>
      </c>
      <c r="K28" s="9">
        <f t="shared" si="3"/>
        <v>91.685046177870007</v>
      </c>
      <c r="L28" s="10">
        <f t="shared" si="0"/>
        <v>0.30028704342355506</v>
      </c>
      <c r="M28" s="10">
        <f t="shared" si="4"/>
        <v>0.30235520498961377</v>
      </c>
      <c r="P28" s="8">
        <f t="shared" si="5"/>
        <v>-5.8106136704839395</v>
      </c>
    </row>
    <row r="29" spans="1:16" x14ac:dyDescent="0.2">
      <c r="A29" s="8">
        <v>13.5</v>
      </c>
      <c r="B29" s="8">
        <v>27</v>
      </c>
      <c r="D29">
        <v>456.79519774010998</v>
      </c>
      <c r="E29">
        <v>212.21680790961</v>
      </c>
      <c r="F29">
        <v>145.16008462623</v>
      </c>
      <c r="G29">
        <v>120.16995768688</v>
      </c>
      <c r="I29" s="9">
        <f t="shared" si="1"/>
        <v>92.046850222730001</v>
      </c>
      <c r="J29" s="9">
        <f t="shared" si="2"/>
        <v>311.63511311387998</v>
      </c>
      <c r="K29" s="9">
        <f t="shared" si="3"/>
        <v>92.046850222730001</v>
      </c>
      <c r="L29" s="10">
        <f t="shared" si="0"/>
        <v>0.29536739073781321</v>
      </c>
      <c r="M29" s="10">
        <f t="shared" si="4"/>
        <v>0.29751509697948958</v>
      </c>
      <c r="P29" s="8">
        <f t="shared" si="5"/>
        <v>-7.3183992012732402</v>
      </c>
    </row>
    <row r="30" spans="1:16" x14ac:dyDescent="0.2">
      <c r="A30" s="8">
        <v>14</v>
      </c>
      <c r="B30" s="8">
        <v>28</v>
      </c>
      <c r="D30">
        <v>458.37570621469001</v>
      </c>
      <c r="E30">
        <v>213.16807909605001</v>
      </c>
      <c r="F30">
        <v>145.42101551480999</v>
      </c>
      <c r="G30">
        <v>120.12905500705</v>
      </c>
      <c r="I30" s="9">
        <f t="shared" si="1"/>
        <v>93.039024089000009</v>
      </c>
      <c r="J30" s="9">
        <f t="shared" si="2"/>
        <v>312.95469069988002</v>
      </c>
      <c r="K30" s="9">
        <f t="shared" si="3"/>
        <v>93.039024089000009</v>
      </c>
      <c r="L30" s="10">
        <f t="shared" si="0"/>
        <v>0.2972923137241722</v>
      </c>
      <c r="M30" s="10">
        <f t="shared" si="4"/>
        <v>0.29951956464146623</v>
      </c>
      <c r="P30" s="8">
        <f t="shared" si="5"/>
        <v>-6.6939694713288658</v>
      </c>
    </row>
    <row r="31" spans="1:16" x14ac:dyDescent="0.2">
      <c r="A31" s="8">
        <v>14.5</v>
      </c>
      <c r="B31" s="8">
        <v>29</v>
      </c>
      <c r="D31">
        <v>458.37288135593002</v>
      </c>
      <c r="E31">
        <v>214.15536723164001</v>
      </c>
      <c r="F31">
        <v>145.45063469676001</v>
      </c>
      <c r="G31">
        <v>120.32510578279</v>
      </c>
      <c r="I31" s="9">
        <f t="shared" si="1"/>
        <v>93.83026144885001</v>
      </c>
      <c r="J31" s="9">
        <f t="shared" si="2"/>
        <v>312.92224665917001</v>
      </c>
      <c r="K31" s="9">
        <f t="shared" si="3"/>
        <v>93.83026144885001</v>
      </c>
      <c r="L31" s="10">
        <f t="shared" si="0"/>
        <v>0.29985168025157527</v>
      </c>
      <c r="M31" s="10">
        <f t="shared" si="4"/>
        <v>0.30215847584448691</v>
      </c>
      <c r="P31" s="8">
        <f t="shared" si="5"/>
        <v>-5.8718985339387162</v>
      </c>
    </row>
    <row r="32" spans="1:16" x14ac:dyDescent="0.2">
      <c r="A32" s="8">
        <v>15</v>
      </c>
      <c r="B32" s="8">
        <v>30</v>
      </c>
      <c r="D32">
        <v>452.32556497175</v>
      </c>
      <c r="E32">
        <v>213.63629943503</v>
      </c>
      <c r="F32">
        <v>145.06417489422</v>
      </c>
      <c r="G32">
        <v>120.44287729196</v>
      </c>
      <c r="I32" s="9">
        <f t="shared" si="1"/>
        <v>93.193422143069995</v>
      </c>
      <c r="J32" s="9">
        <f t="shared" si="2"/>
        <v>307.26139007753</v>
      </c>
      <c r="K32" s="9">
        <f t="shared" si="3"/>
        <v>93.193422143069995</v>
      </c>
      <c r="L32" s="10">
        <f t="shared" si="0"/>
        <v>0.30330339298261616</v>
      </c>
      <c r="M32" s="10">
        <f t="shared" si="4"/>
        <v>0.30568973325114546</v>
      </c>
      <c r="P32" s="8">
        <f t="shared" si="5"/>
        <v>-4.7718448136260374</v>
      </c>
    </row>
    <row r="33" spans="1:16" x14ac:dyDescent="0.2">
      <c r="A33" s="8">
        <v>15.5</v>
      </c>
      <c r="B33" s="8">
        <v>31</v>
      </c>
      <c r="D33">
        <v>457.07132768361998</v>
      </c>
      <c r="E33">
        <v>214.44350282485999</v>
      </c>
      <c r="F33">
        <v>145.33004231312</v>
      </c>
      <c r="G33">
        <v>120.19322990127</v>
      </c>
      <c r="I33" s="9">
        <f t="shared" si="1"/>
        <v>94.250272923589989</v>
      </c>
      <c r="J33" s="9">
        <f t="shared" si="2"/>
        <v>311.74128537050001</v>
      </c>
      <c r="K33" s="9">
        <f t="shared" si="3"/>
        <v>94.250272923589989</v>
      </c>
      <c r="L33" s="10">
        <f t="shared" si="0"/>
        <v>0.30233490829286502</v>
      </c>
      <c r="M33" s="10">
        <f t="shared" si="4"/>
        <v>0.30480079323701198</v>
      </c>
      <c r="P33" s="8">
        <f t="shared" si="5"/>
        <v>-5.0487665038541243</v>
      </c>
    </row>
    <row r="34" spans="1:16" x14ac:dyDescent="0.2">
      <c r="A34" s="8">
        <v>16</v>
      </c>
      <c r="B34" s="8">
        <v>32</v>
      </c>
      <c r="D34">
        <v>458.56214689266</v>
      </c>
      <c r="E34">
        <v>214.40324858757</v>
      </c>
      <c r="F34">
        <v>144.94076163611001</v>
      </c>
      <c r="G34">
        <v>120.10719322990001</v>
      </c>
      <c r="I34" s="9">
        <f t="shared" si="1"/>
        <v>94.296055357669999</v>
      </c>
      <c r="J34" s="9">
        <f t="shared" si="2"/>
        <v>313.62138525654996</v>
      </c>
      <c r="K34" s="9">
        <f t="shared" si="3"/>
        <v>94.296055357669999</v>
      </c>
      <c r="L34" s="10">
        <f t="shared" si="0"/>
        <v>0.30066844861530573</v>
      </c>
      <c r="M34" s="10">
        <f t="shared" si="4"/>
        <v>0.30321387823507029</v>
      </c>
      <c r="P34" s="8">
        <f t="shared" si="5"/>
        <v>-5.5431206532894715</v>
      </c>
    </row>
    <row r="35" spans="1:16" x14ac:dyDescent="0.2">
      <c r="A35" s="8">
        <v>16.5</v>
      </c>
      <c r="B35" s="8">
        <v>33</v>
      </c>
      <c r="D35">
        <v>459.18239436620001</v>
      </c>
      <c r="E35">
        <v>214.94788732393999</v>
      </c>
      <c r="F35">
        <v>145.50846262341</v>
      </c>
      <c r="G35">
        <v>120.15726375176</v>
      </c>
      <c r="I35" s="9">
        <f t="shared" si="1"/>
        <v>94.790623572179996</v>
      </c>
      <c r="J35" s="9">
        <f t="shared" si="2"/>
        <v>313.67393174279005</v>
      </c>
      <c r="K35" s="9">
        <f t="shared" si="3"/>
        <v>94.790623572179996</v>
      </c>
      <c r="L35" s="10">
        <f t="shared" si="0"/>
        <v>0.30219477610242568</v>
      </c>
      <c r="M35" s="10">
        <f t="shared" si="4"/>
        <v>0.3048197503978079</v>
      </c>
      <c r="P35" s="8">
        <f t="shared" si="5"/>
        <v>-5.0428609883794397</v>
      </c>
    </row>
    <row r="36" spans="1:16" x14ac:dyDescent="0.2">
      <c r="A36" s="8">
        <v>17</v>
      </c>
      <c r="B36" s="8">
        <v>34</v>
      </c>
      <c r="D36">
        <v>461.53661971831002</v>
      </c>
      <c r="E36">
        <v>214.70492957747001</v>
      </c>
      <c r="F36">
        <v>145.66149506347</v>
      </c>
      <c r="G36">
        <v>120.07827926656999</v>
      </c>
      <c r="I36" s="9">
        <f t="shared" si="1"/>
        <v>94.626650310900018</v>
      </c>
      <c r="J36" s="9">
        <f t="shared" si="2"/>
        <v>315.87512465484002</v>
      </c>
      <c r="K36" s="9">
        <f t="shared" si="3"/>
        <v>94.626650310900018</v>
      </c>
      <c r="L36" s="10">
        <f t="shared" si="0"/>
        <v>0.29956980757601448</v>
      </c>
      <c r="M36" s="10">
        <f t="shared" si="4"/>
        <v>0.30227432654701436</v>
      </c>
      <c r="P36" s="8">
        <f t="shared" si="5"/>
        <v>-5.8358088407671396</v>
      </c>
    </row>
    <row r="37" spans="1:16" x14ac:dyDescent="0.2">
      <c r="A37" s="8">
        <v>17.5</v>
      </c>
      <c r="B37" s="8">
        <v>35</v>
      </c>
      <c r="D37">
        <v>469.19084507041998</v>
      </c>
      <c r="E37">
        <v>214.91830985915999</v>
      </c>
      <c r="F37">
        <v>145.01692524683</v>
      </c>
      <c r="G37">
        <v>120.02891396333</v>
      </c>
      <c r="I37" s="9">
        <f t="shared" si="1"/>
        <v>94.889395895829992</v>
      </c>
      <c r="J37" s="9">
        <f t="shared" si="2"/>
        <v>324.17391982358998</v>
      </c>
      <c r="K37" s="9">
        <f t="shared" si="3"/>
        <v>94.889395895829992</v>
      </c>
      <c r="L37" s="10">
        <f t="shared" si="0"/>
        <v>0.29271138143212511</v>
      </c>
      <c r="M37" s="10">
        <f t="shared" si="4"/>
        <v>0.29549544507874265</v>
      </c>
      <c r="P37" s="8">
        <f t="shared" si="5"/>
        <v>-7.9475591098553622</v>
      </c>
    </row>
    <row r="38" spans="1:16" x14ac:dyDescent="0.2">
      <c r="A38" s="8">
        <v>18</v>
      </c>
      <c r="B38" s="8">
        <v>36</v>
      </c>
      <c r="D38">
        <v>470.08239436619999</v>
      </c>
      <c r="E38">
        <v>214.99647887323999</v>
      </c>
      <c r="F38">
        <v>144.83497884344001</v>
      </c>
      <c r="G38">
        <v>120.37306064880001</v>
      </c>
      <c r="I38" s="9">
        <f t="shared" si="1"/>
        <v>94.623418224439988</v>
      </c>
      <c r="J38" s="9">
        <f t="shared" si="2"/>
        <v>325.24741552275998</v>
      </c>
      <c r="K38" s="9">
        <f t="shared" si="3"/>
        <v>94.623418224439988</v>
      </c>
      <c r="L38" s="10">
        <f t="shared" si="0"/>
        <v>0.29092750229038633</v>
      </c>
      <c r="M38" s="10">
        <f t="shared" si="4"/>
        <v>0.29379111061262148</v>
      </c>
      <c r="P38" s="8">
        <f t="shared" si="5"/>
        <v>-8.4784916514985955</v>
      </c>
    </row>
    <row r="39" spans="1:16" x14ac:dyDescent="0.2">
      <c r="A39" s="8">
        <v>18.5</v>
      </c>
      <c r="B39" s="8">
        <v>37</v>
      </c>
      <c r="D39">
        <v>469.30774647887</v>
      </c>
      <c r="E39">
        <v>214.65281690141001</v>
      </c>
      <c r="F39">
        <v>144.85119887165001</v>
      </c>
      <c r="G39">
        <v>120.19957686882999</v>
      </c>
      <c r="I39" s="9">
        <f t="shared" si="1"/>
        <v>94.453240032580013</v>
      </c>
      <c r="J39" s="9">
        <f t="shared" si="2"/>
        <v>324.45654760721999</v>
      </c>
      <c r="K39" s="9">
        <f t="shared" si="3"/>
        <v>94.453240032580013</v>
      </c>
      <c r="L39" s="10">
        <f t="shared" si="0"/>
        <v>0.29111214037487398</v>
      </c>
      <c r="M39" s="10">
        <f t="shared" si="4"/>
        <v>0.29405529337272679</v>
      </c>
      <c r="P39" s="8">
        <f t="shared" si="5"/>
        <v>-8.3961937064243184</v>
      </c>
    </row>
    <row r="40" spans="1:16" x14ac:dyDescent="0.2">
      <c r="A40" s="8">
        <v>19</v>
      </c>
      <c r="B40" s="8">
        <v>38</v>
      </c>
      <c r="D40">
        <v>466.76901408450999</v>
      </c>
      <c r="E40">
        <v>213.88098591548999</v>
      </c>
      <c r="F40">
        <v>144.88575458392</v>
      </c>
      <c r="G40">
        <v>119.72073342736</v>
      </c>
      <c r="I40" s="9">
        <f t="shared" si="1"/>
        <v>94.160252488129984</v>
      </c>
      <c r="J40" s="9">
        <f t="shared" si="2"/>
        <v>321.88325950058999</v>
      </c>
      <c r="K40" s="9">
        <f t="shared" si="3"/>
        <v>94.160252488129984</v>
      </c>
      <c r="L40" s="10">
        <f t="shared" si="0"/>
        <v>0.2925292002890178</v>
      </c>
      <c r="M40" s="10">
        <f t="shared" si="4"/>
        <v>0.29555189796248826</v>
      </c>
      <c r="P40" s="8">
        <f t="shared" si="5"/>
        <v>-7.9299729648551001</v>
      </c>
    </row>
    <row r="41" spans="1:16" x14ac:dyDescent="0.2">
      <c r="A41" s="8">
        <v>19.5</v>
      </c>
      <c r="B41" s="8">
        <v>39</v>
      </c>
      <c r="D41">
        <v>469.69327731092</v>
      </c>
      <c r="E41">
        <v>214.64845938375001</v>
      </c>
      <c r="F41">
        <v>145.54019746121</v>
      </c>
      <c r="G41">
        <v>119.99224259521</v>
      </c>
      <c r="I41" s="9">
        <f t="shared" si="1"/>
        <v>94.656216788540007</v>
      </c>
      <c r="J41" s="9">
        <f t="shared" si="2"/>
        <v>324.15307984971002</v>
      </c>
      <c r="K41" s="9">
        <f t="shared" si="3"/>
        <v>94.656216788540007</v>
      </c>
      <c r="L41" s="10">
        <f t="shared" si="0"/>
        <v>0.29201085126948756</v>
      </c>
      <c r="M41" s="10">
        <f t="shared" si="4"/>
        <v>0.29511309361857563</v>
      </c>
      <c r="P41" s="8">
        <f t="shared" si="5"/>
        <v>-8.066668848338491</v>
      </c>
    </row>
    <row r="42" spans="1:16" x14ac:dyDescent="0.2">
      <c r="A42" s="8">
        <v>20</v>
      </c>
      <c r="B42" s="8">
        <v>40</v>
      </c>
      <c r="D42">
        <v>460.51901408450999</v>
      </c>
      <c r="E42">
        <v>212.54154929577999</v>
      </c>
      <c r="F42">
        <v>145.12482369534999</v>
      </c>
      <c r="G42">
        <v>120.19675599436</v>
      </c>
      <c r="I42" s="9">
        <f t="shared" si="1"/>
        <v>92.344793301419983</v>
      </c>
      <c r="J42" s="9">
        <f t="shared" si="2"/>
        <v>315.39419038916003</v>
      </c>
      <c r="K42" s="9">
        <f t="shared" si="3"/>
        <v>92.344793301419983</v>
      </c>
      <c r="L42" s="10">
        <f t="shared" si="0"/>
        <v>0.29279167503839298</v>
      </c>
      <c r="M42" s="10">
        <f t="shared" si="4"/>
        <v>0.29597346206309871</v>
      </c>
      <c r="P42" s="8">
        <f t="shared" si="5"/>
        <v>-7.7986477444527704</v>
      </c>
    </row>
    <row r="43" spans="1:16" x14ac:dyDescent="0.2">
      <c r="A43" s="8">
        <v>20.5</v>
      </c>
      <c r="B43" s="8">
        <v>41</v>
      </c>
      <c r="D43">
        <v>446.82816901408</v>
      </c>
      <c r="E43">
        <v>210.8161971831</v>
      </c>
      <c r="F43">
        <v>145.27926657264001</v>
      </c>
      <c r="G43">
        <v>119.76868829337</v>
      </c>
      <c r="I43" s="9">
        <f t="shared" si="1"/>
        <v>91.047508889729997</v>
      </c>
      <c r="J43" s="9">
        <f t="shared" si="2"/>
        <v>301.54890244143996</v>
      </c>
      <c r="K43" s="9">
        <f t="shared" si="3"/>
        <v>91.047508889729997</v>
      </c>
      <c r="L43" s="10">
        <f t="shared" si="0"/>
        <v>0.30193281471953359</v>
      </c>
      <c r="M43" s="10">
        <f t="shared" si="4"/>
        <v>0.30519414641985698</v>
      </c>
      <c r="P43" s="8">
        <f t="shared" si="5"/>
        <v>-4.9262295198977695</v>
      </c>
    </row>
    <row r="44" spans="1:16" x14ac:dyDescent="0.2">
      <c r="A44" s="8">
        <v>21</v>
      </c>
      <c r="B44" s="8">
        <v>42</v>
      </c>
      <c r="D44">
        <v>433.34082923401002</v>
      </c>
      <c r="E44">
        <v>208.23049894588999</v>
      </c>
      <c r="F44">
        <v>144.92242595204999</v>
      </c>
      <c r="G44">
        <v>119.86741889986</v>
      </c>
      <c r="I44" s="9">
        <f t="shared" si="1"/>
        <v>88.363080046029992</v>
      </c>
      <c r="J44" s="9">
        <f t="shared" si="2"/>
        <v>288.41840328196002</v>
      </c>
      <c r="K44" s="9">
        <f t="shared" si="3"/>
        <v>88.363080046029992</v>
      </c>
      <c r="L44" s="10">
        <f t="shared" si="0"/>
        <v>0.30637115745920546</v>
      </c>
      <c r="M44" s="10">
        <f t="shared" si="4"/>
        <v>0.30971203383514645</v>
      </c>
      <c r="P44" s="8">
        <f t="shared" si="5"/>
        <v>-3.5188218215035048</v>
      </c>
    </row>
    <row r="45" spans="1:16" x14ac:dyDescent="0.2">
      <c r="A45" s="8">
        <v>21.5</v>
      </c>
      <c r="B45" s="8">
        <v>43</v>
      </c>
      <c r="D45">
        <v>426.01546029514998</v>
      </c>
      <c r="E45">
        <v>206.74701335207001</v>
      </c>
      <c r="F45">
        <v>145.5077574048</v>
      </c>
      <c r="G45">
        <v>119.94569816643001</v>
      </c>
      <c r="I45" s="9">
        <f t="shared" si="1"/>
        <v>86.801315185640007</v>
      </c>
      <c r="J45" s="9">
        <f t="shared" si="2"/>
        <v>280.50770289034995</v>
      </c>
      <c r="K45" s="9">
        <f t="shared" si="3"/>
        <v>86.801315185640007</v>
      </c>
      <c r="L45" s="10">
        <f t="shared" si="0"/>
        <v>0.30944360632966472</v>
      </c>
      <c r="M45" s="10">
        <f t="shared" si="4"/>
        <v>0.31286402738122338</v>
      </c>
      <c r="P45" s="8">
        <f t="shared" si="5"/>
        <v>-2.5369159937874608</v>
      </c>
    </row>
    <row r="46" spans="1:16" x14ac:dyDescent="0.2">
      <c r="A46" s="8">
        <v>22</v>
      </c>
      <c r="B46" s="8">
        <v>44</v>
      </c>
      <c r="D46">
        <v>420.85453267743998</v>
      </c>
      <c r="E46">
        <v>206.35488404778999</v>
      </c>
      <c r="F46">
        <v>145.26939351198999</v>
      </c>
      <c r="G46">
        <v>119.96121297601999</v>
      </c>
      <c r="I46" s="9">
        <f t="shared" si="1"/>
        <v>86.393671071770001</v>
      </c>
      <c r="J46" s="9">
        <f t="shared" si="2"/>
        <v>275.58513916544996</v>
      </c>
      <c r="K46" s="9">
        <f t="shared" si="3"/>
        <v>86.393671071770001</v>
      </c>
      <c r="L46" s="10">
        <f t="shared" si="0"/>
        <v>0.31349176277572355</v>
      </c>
      <c r="M46" s="10">
        <f t="shared" si="4"/>
        <v>0.31699172850289986</v>
      </c>
      <c r="P46" s="8">
        <f t="shared" si="5"/>
        <v>-1.2510587332328806</v>
      </c>
    </row>
    <row r="47" spans="1:16" x14ac:dyDescent="0.2">
      <c r="A47" s="8">
        <v>22.5</v>
      </c>
      <c r="B47" s="8">
        <v>45</v>
      </c>
      <c r="D47">
        <v>416.92296918768</v>
      </c>
      <c r="E47">
        <v>205.49859943978001</v>
      </c>
      <c r="F47">
        <v>145.39280677010001</v>
      </c>
      <c r="G47">
        <v>120.07122708040001</v>
      </c>
      <c r="I47" s="9">
        <f t="shared" si="1"/>
        <v>85.427372359380001</v>
      </c>
      <c r="J47" s="9">
        <f t="shared" si="2"/>
        <v>271.53016241757996</v>
      </c>
      <c r="K47" s="9">
        <f t="shared" si="3"/>
        <v>85.427372359380001</v>
      </c>
      <c r="L47" s="10">
        <f t="shared" si="0"/>
        <v>0.31461466968816237</v>
      </c>
      <c r="M47" s="10">
        <f t="shared" si="4"/>
        <v>0.31819418009095635</v>
      </c>
      <c r="P47" s="8">
        <f t="shared" si="5"/>
        <v>-0.87647223595765444</v>
      </c>
    </row>
    <row r="48" spans="1:16" x14ac:dyDescent="0.2">
      <c r="A48" s="8">
        <v>23</v>
      </c>
      <c r="B48" s="8">
        <v>46</v>
      </c>
      <c r="D48">
        <v>414.47058823528999</v>
      </c>
      <c r="E48">
        <v>205.14915966386999</v>
      </c>
      <c r="F48">
        <v>144.99647390691001</v>
      </c>
      <c r="G48">
        <v>119.9682651622</v>
      </c>
      <c r="I48" s="9">
        <f t="shared" si="1"/>
        <v>85.180894501669997</v>
      </c>
      <c r="J48" s="9">
        <f t="shared" si="2"/>
        <v>269.47411432837998</v>
      </c>
      <c r="K48" s="9">
        <f t="shared" si="3"/>
        <v>85.180894501669997</v>
      </c>
      <c r="L48" s="10">
        <f t="shared" si="0"/>
        <v>0.31610047114903561</v>
      </c>
      <c r="M48" s="10">
        <f t="shared" si="4"/>
        <v>0.31975952622744719</v>
      </c>
      <c r="P48" s="8">
        <f t="shared" si="5"/>
        <v>-0.3888371975781566</v>
      </c>
    </row>
    <row r="49" spans="1:25" x14ac:dyDescent="0.2">
      <c r="A49" s="8">
        <v>23.5</v>
      </c>
      <c r="B49" s="8">
        <v>47</v>
      </c>
      <c r="D49">
        <v>409.61064425770002</v>
      </c>
      <c r="E49">
        <v>204.41526610643999</v>
      </c>
      <c r="F49">
        <v>144.89985895628001</v>
      </c>
      <c r="G49">
        <v>120.16078984485</v>
      </c>
      <c r="I49" s="9">
        <f t="shared" si="1"/>
        <v>84.254476261589986</v>
      </c>
      <c r="J49" s="9">
        <f t="shared" si="2"/>
        <v>264.71078530142</v>
      </c>
      <c r="K49" s="9">
        <f t="shared" si="3"/>
        <v>84.254476261589986</v>
      </c>
      <c r="L49" s="10">
        <f t="shared" si="0"/>
        <v>0.31828879267481064</v>
      </c>
      <c r="M49" s="10">
        <f t="shared" si="4"/>
        <v>0.32202739242883988</v>
      </c>
      <c r="P49" s="8">
        <f t="shared" si="5"/>
        <v>0.31764617780797449</v>
      </c>
    </row>
    <row r="50" spans="1:25" x14ac:dyDescent="0.2">
      <c r="A50" s="8">
        <v>24</v>
      </c>
      <c r="B50" s="8">
        <v>48</v>
      </c>
      <c r="D50">
        <v>409.25140056022002</v>
      </c>
      <c r="E50">
        <v>203.7149859944</v>
      </c>
      <c r="F50">
        <v>144.96050775741</v>
      </c>
      <c r="G50">
        <v>120.14315937940999</v>
      </c>
      <c r="I50" s="9">
        <f t="shared" si="1"/>
        <v>83.571826614990002</v>
      </c>
      <c r="J50" s="9">
        <f t="shared" si="2"/>
        <v>264.29089280281005</v>
      </c>
      <c r="K50" s="9">
        <f t="shared" si="3"/>
        <v>83.571826614990002</v>
      </c>
      <c r="L50" s="10">
        <f t="shared" si="0"/>
        <v>0.31621152635533201</v>
      </c>
      <c r="M50" s="10">
        <f t="shared" si="4"/>
        <v>0.3200296707849789</v>
      </c>
      <c r="P50" s="8">
        <f t="shared" si="5"/>
        <v>-0.30468203942552963</v>
      </c>
    </row>
    <row r="51" spans="1:25" x14ac:dyDescent="0.2">
      <c r="A51" s="8">
        <v>24.5</v>
      </c>
      <c r="B51" s="8">
        <v>49</v>
      </c>
      <c r="D51">
        <v>410.83823529412001</v>
      </c>
      <c r="E51">
        <v>204.13235294117999</v>
      </c>
      <c r="F51">
        <v>144.75458392101999</v>
      </c>
      <c r="G51">
        <v>120.16925246827</v>
      </c>
      <c r="I51" s="9">
        <f t="shared" si="1"/>
        <v>83.963100472909986</v>
      </c>
      <c r="J51" s="9">
        <f t="shared" si="2"/>
        <v>266.0836513731</v>
      </c>
      <c r="K51" s="9">
        <f t="shared" si="3"/>
        <v>83.963100472909986</v>
      </c>
      <c r="L51" s="10">
        <f t="shared" si="0"/>
        <v>0.3155515193798123</v>
      </c>
      <c r="M51" s="10">
        <f t="shared" si="4"/>
        <v>0.3194492084850768</v>
      </c>
      <c r="P51" s="8">
        <f t="shared" si="5"/>
        <v>-0.48550706546428118</v>
      </c>
    </row>
    <row r="52" spans="1:25" x14ac:dyDescent="0.2">
      <c r="A52" s="8">
        <v>25</v>
      </c>
      <c r="B52" s="8">
        <v>50</v>
      </c>
      <c r="D52">
        <v>409.78291316526997</v>
      </c>
      <c r="E52">
        <v>204.49369747898999</v>
      </c>
      <c r="F52">
        <v>145.26163610718999</v>
      </c>
      <c r="G52">
        <v>119.80677009873</v>
      </c>
      <c r="I52" s="9">
        <f t="shared" si="1"/>
        <v>84.686927380259988</v>
      </c>
      <c r="J52" s="9">
        <f t="shared" si="2"/>
        <v>264.52127705807999</v>
      </c>
      <c r="K52" s="9">
        <f t="shared" si="3"/>
        <v>84.686927380259988</v>
      </c>
      <c r="L52" s="10">
        <f t="shared" si="0"/>
        <v>0.32015166538631817</v>
      </c>
      <c r="M52" s="10">
        <f t="shared" si="4"/>
        <v>0.32412889916720034</v>
      </c>
      <c r="P52" s="8">
        <f t="shared" si="5"/>
        <v>0.97230542225628469</v>
      </c>
    </row>
    <row r="53" spans="1:25" x14ac:dyDescent="0.2">
      <c r="A53" s="8">
        <v>25.5</v>
      </c>
      <c r="B53" s="8">
        <v>51</v>
      </c>
      <c r="D53">
        <v>421.67997198879999</v>
      </c>
      <c r="E53">
        <v>207.16316526611001</v>
      </c>
      <c r="F53">
        <v>144.94569816642999</v>
      </c>
      <c r="G53">
        <v>119.68617771509</v>
      </c>
      <c r="I53" s="9">
        <f t="shared" si="1"/>
        <v>87.476987551020017</v>
      </c>
      <c r="J53" s="9">
        <f t="shared" si="2"/>
        <v>276.73427382237003</v>
      </c>
      <c r="K53" s="9">
        <f t="shared" si="3"/>
        <v>87.476987551020017</v>
      </c>
      <c r="L53" s="10">
        <f t="shared" si="0"/>
        <v>0.31610463836933217</v>
      </c>
      <c r="M53" s="10">
        <f t="shared" si="4"/>
        <v>0.32016141682583199</v>
      </c>
      <c r="P53" s="8">
        <f t="shared" si="5"/>
        <v>-0.26364064660504927</v>
      </c>
      <c r="S53" s="11"/>
      <c r="U53" s="12"/>
    </row>
    <row r="54" spans="1:25" x14ac:dyDescent="0.2">
      <c r="A54" s="8">
        <v>26</v>
      </c>
      <c r="B54" s="8">
        <v>52</v>
      </c>
      <c r="D54">
        <v>420.79551820728</v>
      </c>
      <c r="E54">
        <v>206.38305322129</v>
      </c>
      <c r="F54">
        <v>145.07052186178001</v>
      </c>
      <c r="G54">
        <v>119.56064880113</v>
      </c>
      <c r="I54" s="9">
        <f t="shared" si="1"/>
        <v>86.822404420159998</v>
      </c>
      <c r="J54" s="9">
        <f t="shared" si="2"/>
        <v>275.72499634550002</v>
      </c>
      <c r="K54" s="9">
        <f t="shared" si="3"/>
        <v>86.822404420159998</v>
      </c>
      <c r="L54" s="10">
        <f t="shared" si="0"/>
        <v>0.31488768001057943</v>
      </c>
      <c r="M54" s="10">
        <f t="shared" si="4"/>
        <v>0.31902400314269691</v>
      </c>
      <c r="P54" s="8">
        <f t="shared" si="5"/>
        <v>-0.6179666018038954</v>
      </c>
      <c r="S54" s="11"/>
    </row>
    <row r="55" spans="1:25" x14ac:dyDescent="0.2">
      <c r="A55" s="8">
        <v>26.5</v>
      </c>
      <c r="B55" s="8">
        <v>53</v>
      </c>
      <c r="D55">
        <v>411.35644257703001</v>
      </c>
      <c r="E55">
        <v>205.23389355742</v>
      </c>
      <c r="F55">
        <v>144.67418899859001</v>
      </c>
      <c r="G55">
        <v>119.58321579690001</v>
      </c>
      <c r="I55" s="9">
        <f t="shared" si="1"/>
        <v>85.650677760519997</v>
      </c>
      <c r="J55" s="9">
        <f t="shared" si="2"/>
        <v>266.68225357844</v>
      </c>
      <c r="K55" s="9">
        <f t="shared" si="3"/>
        <v>85.650677760519997</v>
      </c>
      <c r="L55" s="10">
        <f t="shared" si="0"/>
        <v>0.32117126884608138</v>
      </c>
      <c r="M55" s="10">
        <f t="shared" si="4"/>
        <v>0.32538713665381647</v>
      </c>
      <c r="P55" s="8">
        <f t="shared" si="5"/>
        <v>1.3642702859841547</v>
      </c>
      <c r="S55" s="11"/>
    </row>
    <row r="56" spans="1:25" x14ac:dyDescent="0.2">
      <c r="A56" s="8">
        <v>27</v>
      </c>
      <c r="B56" s="8">
        <v>54</v>
      </c>
      <c r="D56">
        <v>410.42296918768</v>
      </c>
      <c r="E56">
        <v>204.90826330531999</v>
      </c>
      <c r="F56">
        <v>144.88787023977</v>
      </c>
      <c r="G56">
        <v>119.87306064880001</v>
      </c>
      <c r="I56" s="9">
        <f t="shared" si="1"/>
        <v>85.035202656519985</v>
      </c>
      <c r="J56" s="9">
        <f t="shared" si="2"/>
        <v>265.53509894791</v>
      </c>
      <c r="K56" s="9">
        <f t="shared" si="3"/>
        <v>85.035202656519985</v>
      </c>
      <c r="L56" s="10">
        <f t="shared" si="0"/>
        <v>0.32024091351178147</v>
      </c>
      <c r="M56" s="10">
        <f t="shared" si="4"/>
        <v>0.32453632599513421</v>
      </c>
      <c r="P56" s="8">
        <f t="shared" si="5"/>
        <v>1.0992266138348832</v>
      </c>
      <c r="S56" s="11"/>
    </row>
    <row r="57" spans="1:25" x14ac:dyDescent="0.2">
      <c r="A57" s="8">
        <v>27.5</v>
      </c>
      <c r="B57" s="8">
        <v>55</v>
      </c>
      <c r="D57">
        <v>410.69397759103998</v>
      </c>
      <c r="E57">
        <v>205.35574229692</v>
      </c>
      <c r="F57">
        <v>145.09873060648999</v>
      </c>
      <c r="G57">
        <v>119.92524682652</v>
      </c>
      <c r="I57" s="9">
        <f t="shared" si="1"/>
        <v>85.430495470400004</v>
      </c>
      <c r="J57" s="9">
        <f t="shared" si="2"/>
        <v>265.59524698454999</v>
      </c>
      <c r="K57" s="9">
        <f t="shared" si="3"/>
        <v>85.430495470400004</v>
      </c>
      <c r="L57" s="10">
        <f t="shared" si="0"/>
        <v>0.32165671803369889</v>
      </c>
      <c r="M57" s="10">
        <f t="shared" si="4"/>
        <v>0.32603167519266929</v>
      </c>
      <c r="P57" s="8">
        <f t="shared" si="5"/>
        <v>1.5650562768929461</v>
      </c>
      <c r="S57" s="11"/>
    </row>
    <row r="58" spans="1:25" x14ac:dyDescent="0.2">
      <c r="A58" s="8">
        <v>28</v>
      </c>
      <c r="B58" s="8">
        <v>56</v>
      </c>
      <c r="D58">
        <v>410.02521008402999</v>
      </c>
      <c r="E58">
        <v>205.02801120448001</v>
      </c>
      <c r="F58">
        <v>144.95063469676001</v>
      </c>
      <c r="G58">
        <v>119.31452750353</v>
      </c>
      <c r="I58" s="9">
        <f t="shared" si="1"/>
        <v>85.713483700950007</v>
      </c>
      <c r="J58" s="9">
        <f t="shared" si="2"/>
        <v>265.07457538726999</v>
      </c>
      <c r="K58" s="9">
        <f t="shared" si="3"/>
        <v>85.713483700950007</v>
      </c>
      <c r="L58" s="10">
        <f t="shared" si="0"/>
        <v>0.32335611054256669</v>
      </c>
      <c r="M58" s="10">
        <f t="shared" si="4"/>
        <v>0.3278106123771547</v>
      </c>
      <c r="P58" s="8">
        <f t="shared" si="5"/>
        <v>2.1192289815804459</v>
      </c>
      <c r="S58" s="11"/>
    </row>
    <row r="59" spans="1:25" x14ac:dyDescent="0.2">
      <c r="A59" s="8">
        <v>28.5</v>
      </c>
      <c r="B59" s="8">
        <v>57</v>
      </c>
      <c r="D59">
        <v>410.13935574229998</v>
      </c>
      <c r="E59">
        <v>204.6918767507</v>
      </c>
      <c r="F59">
        <v>144.93794076163999</v>
      </c>
      <c r="G59">
        <v>119.55500705219001</v>
      </c>
      <c r="I59" s="9">
        <f t="shared" si="1"/>
        <v>85.136869698509997</v>
      </c>
      <c r="J59" s="9">
        <f t="shared" si="2"/>
        <v>265.20141498065999</v>
      </c>
      <c r="K59" s="9">
        <f t="shared" si="3"/>
        <v>85.136869698509997</v>
      </c>
      <c r="L59" s="10">
        <f t="shared" si="0"/>
        <v>0.32102720758378556</v>
      </c>
      <c r="M59" s="10">
        <f t="shared" si="4"/>
        <v>0.32556125409399123</v>
      </c>
      <c r="P59" s="8">
        <f t="shared" si="5"/>
        <v>1.4185111740809548</v>
      </c>
      <c r="R59" s="1"/>
      <c r="S59" s="11"/>
    </row>
    <row r="60" spans="1:25" x14ac:dyDescent="0.2">
      <c r="A60" s="8">
        <v>29</v>
      </c>
      <c r="B60" s="8">
        <v>58</v>
      </c>
      <c r="D60">
        <v>409.57282913165</v>
      </c>
      <c r="E60">
        <v>204.23249299720001</v>
      </c>
      <c r="F60">
        <v>145.10860366713999</v>
      </c>
      <c r="G60">
        <v>120.0119887165</v>
      </c>
      <c r="I60" s="9">
        <f t="shared" si="1"/>
        <v>84.220504280700013</v>
      </c>
      <c r="J60" s="9">
        <f t="shared" si="2"/>
        <v>264.46422546451004</v>
      </c>
      <c r="K60" s="9">
        <f t="shared" si="3"/>
        <v>84.220504280700013</v>
      </c>
      <c r="L60" s="10">
        <f t="shared" si="0"/>
        <v>0.31845707725789191</v>
      </c>
      <c r="M60" s="10">
        <f t="shared" si="4"/>
        <v>0.32307066844371524</v>
      </c>
      <c r="P60" s="8">
        <f t="shared" si="5"/>
        <v>0.64264646221448507</v>
      </c>
      <c r="S60" s="11"/>
    </row>
    <row r="61" spans="1:25" x14ac:dyDescent="0.2">
      <c r="A61" s="8">
        <v>29.5</v>
      </c>
      <c r="B61" s="8">
        <v>59</v>
      </c>
      <c r="C61" s="2"/>
      <c r="D61">
        <v>406.06442577030998</v>
      </c>
      <c r="E61">
        <v>203.10574229692</v>
      </c>
      <c r="F61">
        <v>144.83779971791</v>
      </c>
      <c r="G61">
        <v>119.90056417488999</v>
      </c>
      <c r="I61" s="9">
        <f t="shared" si="1"/>
        <v>83.205178122030006</v>
      </c>
      <c r="J61" s="9">
        <f t="shared" si="2"/>
        <v>261.22662605239998</v>
      </c>
      <c r="K61" s="9">
        <f t="shared" si="3"/>
        <v>83.205178122030006</v>
      </c>
      <c r="L61" s="10">
        <f t="shared" si="0"/>
        <v>0.31851721771018743</v>
      </c>
      <c r="M61" s="10">
        <f t="shared" si="4"/>
        <v>0.32321035357162836</v>
      </c>
      <c r="P61" s="8">
        <f t="shared" si="5"/>
        <v>0.68616103137147766</v>
      </c>
      <c r="S61" s="11"/>
    </row>
    <row r="62" spans="1:25" x14ac:dyDescent="0.2">
      <c r="A62" s="8">
        <v>30</v>
      </c>
      <c r="B62" s="8">
        <v>60</v>
      </c>
      <c r="D62">
        <v>404.51330532213001</v>
      </c>
      <c r="E62">
        <v>202.35504201680999</v>
      </c>
      <c r="F62">
        <v>144.64739069110999</v>
      </c>
      <c r="G62">
        <v>119.5077574048</v>
      </c>
      <c r="I62" s="9">
        <f t="shared" si="1"/>
        <v>82.847284612009986</v>
      </c>
      <c r="J62" s="9">
        <f t="shared" si="2"/>
        <v>259.86591463102002</v>
      </c>
      <c r="K62" s="9">
        <f t="shared" si="3"/>
        <v>82.847284612009986</v>
      </c>
      <c r="L62" s="10">
        <f t="shared" si="0"/>
        <v>0.31880781567541738</v>
      </c>
      <c r="M62" s="10">
        <f t="shared" si="4"/>
        <v>0.32358049621247598</v>
      </c>
      <c r="P62" s="8">
        <f t="shared" si="5"/>
        <v>0.80146749086180102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420.67837078652002</v>
      </c>
      <c r="E63">
        <v>207.25351123595999</v>
      </c>
      <c r="F63">
        <v>144.45204513399</v>
      </c>
      <c r="G63">
        <v>119.65021156559</v>
      </c>
      <c r="I63" s="9">
        <f t="shared" si="1"/>
        <v>87.603299670369992</v>
      </c>
      <c r="J63" s="9">
        <f t="shared" si="2"/>
        <v>276.22632565253002</v>
      </c>
      <c r="K63" s="9">
        <f t="shared" si="3"/>
        <v>87.603299670369992</v>
      </c>
      <c r="L63" s="10">
        <f t="shared" si="0"/>
        <v>0.31714319575958061</v>
      </c>
      <c r="M63" s="10">
        <f t="shared" si="4"/>
        <v>0.32199542097225686</v>
      </c>
      <c r="P63" s="8">
        <f t="shared" si="5"/>
        <v>0.30768646212946243</v>
      </c>
    </row>
    <row r="64" spans="1:25" x14ac:dyDescent="0.2">
      <c r="A64" s="8">
        <v>31</v>
      </c>
      <c r="B64" s="8">
        <v>62</v>
      </c>
      <c r="D64">
        <v>421.40730337078998</v>
      </c>
      <c r="E64">
        <v>207.39957865169001</v>
      </c>
      <c r="F64">
        <v>144.80606488011</v>
      </c>
      <c r="G64">
        <v>119.73342736248</v>
      </c>
      <c r="I64" s="9">
        <f t="shared" si="1"/>
        <v>87.666151289210006</v>
      </c>
      <c r="J64" s="9">
        <f t="shared" si="2"/>
        <v>276.60123849067998</v>
      </c>
      <c r="K64" s="9">
        <f t="shared" si="3"/>
        <v>87.666151289210006</v>
      </c>
      <c r="L64" s="10">
        <f t="shared" si="0"/>
        <v>0.31694055951294631</v>
      </c>
      <c r="M64" s="10">
        <f t="shared" si="4"/>
        <v>0.32187232940124022</v>
      </c>
      <c r="P64" s="8">
        <f t="shared" si="5"/>
        <v>0.26934110096132291</v>
      </c>
      <c r="U64" s="8">
        <v>30.5</v>
      </c>
      <c r="V64" s="10">
        <f>L62</f>
        <v>0.31880781567541738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421.91221910112</v>
      </c>
      <c r="E65">
        <v>207.65168539326001</v>
      </c>
      <c r="F65">
        <v>144.41678420310001</v>
      </c>
      <c r="G65">
        <v>119.66713681241001</v>
      </c>
      <c r="I65" s="9">
        <f t="shared" si="1"/>
        <v>87.984548580850003</v>
      </c>
      <c r="J65" s="9">
        <f t="shared" si="2"/>
        <v>277.49543489801999</v>
      </c>
      <c r="K65" s="9">
        <f t="shared" si="3"/>
        <v>87.984548580850003</v>
      </c>
      <c r="L65" s="10">
        <f t="shared" si="0"/>
        <v>0.31706665233316167</v>
      </c>
      <c r="M65" s="10">
        <f t="shared" si="4"/>
        <v>0.32207796689707319</v>
      </c>
      <c r="P65" s="8">
        <f t="shared" si="5"/>
        <v>0.3334010847790676</v>
      </c>
      <c r="U65" s="8">
        <v>31</v>
      </c>
      <c r="V65" s="10">
        <f t="shared" ref="V65:V83" si="6">L63</f>
        <v>0.31714319575958061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424.29353932584002</v>
      </c>
      <c r="E66">
        <v>206.8125</v>
      </c>
      <c r="F66">
        <v>144.24964739069</v>
      </c>
      <c r="G66">
        <v>119.49647390691</v>
      </c>
      <c r="I66" s="9">
        <f t="shared" si="1"/>
        <v>87.316026093090002</v>
      </c>
      <c r="J66" s="9">
        <f t="shared" si="2"/>
        <v>280.04389193514999</v>
      </c>
      <c r="K66" s="9">
        <f t="shared" si="3"/>
        <v>87.316026093090002</v>
      </c>
      <c r="L66" s="10">
        <f t="shared" ref="L66:L129" si="7">K66/J66</f>
        <v>0.31179407445640644</v>
      </c>
      <c r="M66" s="10">
        <f t="shared" si="4"/>
        <v>0.31688493369593562</v>
      </c>
      <c r="P66" s="8">
        <f t="shared" si="5"/>
        <v>-1.2843273430174762</v>
      </c>
      <c r="U66" s="8">
        <v>31.5</v>
      </c>
      <c r="V66" s="10">
        <f t="shared" si="6"/>
        <v>0.31694055951294631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429.35794655414998</v>
      </c>
      <c r="E67">
        <v>208.58720112518</v>
      </c>
      <c r="F67">
        <v>144.11354019746</v>
      </c>
      <c r="G67">
        <v>119.62129760226</v>
      </c>
      <c r="I67" s="9">
        <f t="shared" ref="I67:I130" si="8">E67-G67</f>
        <v>88.965903522920001</v>
      </c>
      <c r="J67" s="9">
        <f t="shared" ref="J67:J130" si="9">D67-F67</f>
        <v>285.24440635668998</v>
      </c>
      <c r="K67" s="9">
        <f t="shared" ref="K67:K130" si="10">I67*1</f>
        <v>88.965903522920001</v>
      </c>
      <c r="L67" s="10">
        <f t="shared" si="7"/>
        <v>0.31189359559840302</v>
      </c>
      <c r="M67" s="10">
        <f t="shared" ref="M67:M130" si="11">L67+ABS($N$2)*A67</f>
        <v>0.31706399951354985</v>
      </c>
      <c r="P67" s="8">
        <f t="shared" ref="P67:P130" si="12">(M67-$O$2)/$O$2*100</f>
        <v>-1.2285449414072342</v>
      </c>
      <c r="U67" s="8">
        <v>32</v>
      </c>
      <c r="V67" s="10">
        <f t="shared" si="6"/>
        <v>0.31706665233316167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426.69549929676998</v>
      </c>
      <c r="E68">
        <v>208.16315049226</v>
      </c>
      <c r="F68">
        <v>144.79830747532</v>
      </c>
      <c r="G68">
        <v>119.38152327221</v>
      </c>
      <c r="I68" s="9">
        <f t="shared" si="8"/>
        <v>88.781627220049998</v>
      </c>
      <c r="J68" s="9">
        <f t="shared" si="9"/>
        <v>281.89719182144995</v>
      </c>
      <c r="K68" s="9">
        <f t="shared" si="10"/>
        <v>88.781627220049998</v>
      </c>
      <c r="L68" s="10">
        <f t="shared" si="7"/>
        <v>0.31494328356517698</v>
      </c>
      <c r="M68" s="10">
        <f t="shared" si="11"/>
        <v>0.32019323215594142</v>
      </c>
      <c r="P68" s="8">
        <f t="shared" si="12"/>
        <v>-0.2537295672869963</v>
      </c>
      <c r="U68" s="8">
        <v>32.5</v>
      </c>
      <c r="V68" s="10">
        <f t="shared" si="6"/>
        <v>0.31179407445640644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427.22714486639001</v>
      </c>
      <c r="E69">
        <v>209.04289732770999</v>
      </c>
      <c r="F69">
        <v>144.51128349787999</v>
      </c>
      <c r="G69">
        <v>119.42736248237</v>
      </c>
      <c r="I69" s="9">
        <f t="shared" si="8"/>
        <v>89.615534845339994</v>
      </c>
      <c r="J69" s="9">
        <f t="shared" si="9"/>
        <v>282.71586136850999</v>
      </c>
      <c r="K69" s="9">
        <f t="shared" si="10"/>
        <v>89.615534845339994</v>
      </c>
      <c r="L69" s="10">
        <f t="shared" si="7"/>
        <v>0.31698092357304763</v>
      </c>
      <c r="M69" s="10">
        <f t="shared" si="11"/>
        <v>0.32231041683942974</v>
      </c>
      <c r="P69" s="8">
        <f t="shared" si="12"/>
        <v>0.40581365470207215</v>
      </c>
      <c r="U69" s="8">
        <v>33</v>
      </c>
      <c r="V69" s="10">
        <f t="shared" si="6"/>
        <v>0.31189359559840302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430.65400843881997</v>
      </c>
      <c r="E70">
        <v>209.21589310830001</v>
      </c>
      <c r="F70">
        <v>144.04583921016001</v>
      </c>
      <c r="G70">
        <v>119.73624823695</v>
      </c>
      <c r="I70" s="9">
        <f t="shared" si="8"/>
        <v>89.479644871350004</v>
      </c>
      <c r="J70" s="9">
        <f t="shared" si="9"/>
        <v>286.60816922865996</v>
      </c>
      <c r="K70" s="9">
        <f t="shared" si="10"/>
        <v>89.479644871350004</v>
      </c>
      <c r="L70" s="10">
        <f t="shared" si="7"/>
        <v>0.31220200426304634</v>
      </c>
      <c r="M70" s="10">
        <f t="shared" si="11"/>
        <v>0.3176110422050461</v>
      </c>
      <c r="P70" s="8">
        <f t="shared" si="12"/>
        <v>-1.0581307578318326</v>
      </c>
      <c r="U70" s="8">
        <v>33.5</v>
      </c>
      <c r="V70" s="10">
        <f t="shared" si="6"/>
        <v>0.31494328356517698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433.23471539002003</v>
      </c>
      <c r="E71">
        <v>210.34785664090001</v>
      </c>
      <c r="F71">
        <v>144.47884344146999</v>
      </c>
      <c r="G71">
        <v>119.37658674188999</v>
      </c>
      <c r="I71" s="9">
        <f t="shared" si="8"/>
        <v>90.971269899010011</v>
      </c>
      <c r="J71" s="9">
        <f t="shared" si="9"/>
        <v>288.75587194855007</v>
      </c>
      <c r="K71" s="9">
        <f t="shared" si="10"/>
        <v>90.971269899010011</v>
      </c>
      <c r="L71" s="10">
        <f t="shared" si="7"/>
        <v>0.31504561027669453</v>
      </c>
      <c r="M71" s="10">
        <f t="shared" si="11"/>
        <v>0.3205341928943119</v>
      </c>
      <c r="P71" s="8">
        <f t="shared" si="12"/>
        <v>-0.14751382441371882</v>
      </c>
      <c r="U71" s="8">
        <v>34</v>
      </c>
      <c r="V71" s="10">
        <f t="shared" si="6"/>
        <v>0.31698092357304763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432.33872101194999</v>
      </c>
      <c r="E72">
        <v>210.25720309206</v>
      </c>
      <c r="F72">
        <v>144.49576868829001</v>
      </c>
      <c r="G72">
        <v>119.17489421721</v>
      </c>
      <c r="I72" s="9">
        <f t="shared" si="8"/>
        <v>91.08230887485</v>
      </c>
      <c r="J72" s="9">
        <f t="shared" si="9"/>
        <v>287.84295232365997</v>
      </c>
      <c r="K72" s="9">
        <f t="shared" si="10"/>
        <v>91.08230887485</v>
      </c>
      <c r="L72" s="10">
        <f t="shared" si="7"/>
        <v>0.31643056791758478</v>
      </c>
      <c r="M72" s="10">
        <f t="shared" si="11"/>
        <v>0.32199869521081981</v>
      </c>
      <c r="P72" s="8">
        <f t="shared" si="12"/>
        <v>0.30870644960065807</v>
      </c>
      <c r="U72" s="8">
        <v>34.5</v>
      </c>
      <c r="V72" s="10">
        <f t="shared" si="6"/>
        <v>0.31220200426304634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426.17427969079</v>
      </c>
      <c r="E73">
        <v>209.39423752635</v>
      </c>
      <c r="F73">
        <v>143.97108603666999</v>
      </c>
      <c r="G73">
        <v>119.47884344147</v>
      </c>
      <c r="I73" s="9">
        <f t="shared" si="8"/>
        <v>89.915394084879992</v>
      </c>
      <c r="J73" s="9">
        <f t="shared" si="9"/>
        <v>282.20319365412001</v>
      </c>
      <c r="K73" s="9">
        <f t="shared" si="10"/>
        <v>89.915394084879992</v>
      </c>
      <c r="L73" s="10">
        <f t="shared" si="7"/>
        <v>0.3186193356659317</v>
      </c>
      <c r="M73" s="10">
        <f t="shared" si="11"/>
        <v>0.32426700763478439</v>
      </c>
      <c r="P73" s="8">
        <f t="shared" si="12"/>
        <v>1.0153288317891176</v>
      </c>
      <c r="U73" s="8">
        <v>35</v>
      </c>
      <c r="V73" s="10">
        <f t="shared" si="6"/>
        <v>0.31504561027669453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430.50770308122998</v>
      </c>
      <c r="E74">
        <v>210.11834733894</v>
      </c>
      <c r="F74">
        <v>144.82440056418</v>
      </c>
      <c r="G74">
        <v>119.16995768688</v>
      </c>
      <c r="I74" s="9">
        <f t="shared" si="8"/>
        <v>90.948389652060001</v>
      </c>
      <c r="J74" s="9">
        <f t="shared" si="9"/>
        <v>285.68330251704998</v>
      </c>
      <c r="K74" s="9">
        <f t="shared" si="10"/>
        <v>90.948389652060001</v>
      </c>
      <c r="L74" s="10">
        <f t="shared" si="7"/>
        <v>0.31835388645660195</v>
      </c>
      <c r="M74" s="10">
        <f t="shared" si="11"/>
        <v>0.3240811031010723</v>
      </c>
      <c r="P74" s="8">
        <f t="shared" si="12"/>
        <v>0.95741604028675864</v>
      </c>
      <c r="U74" s="8">
        <v>35.5</v>
      </c>
      <c r="V74" s="10">
        <f t="shared" si="6"/>
        <v>0.31643056791758478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429.51960784314002</v>
      </c>
      <c r="E75">
        <v>210.05042016806999</v>
      </c>
      <c r="F75">
        <v>144.31382228491</v>
      </c>
      <c r="G75">
        <v>119.46897038082</v>
      </c>
      <c r="I75" s="9">
        <f t="shared" si="8"/>
        <v>90.581449787249994</v>
      </c>
      <c r="J75" s="9">
        <f t="shared" si="9"/>
        <v>285.20578555822999</v>
      </c>
      <c r="K75" s="9">
        <f t="shared" si="10"/>
        <v>90.581449787249994</v>
      </c>
      <c r="L75" s="10">
        <f t="shared" si="7"/>
        <v>0.3176003236047823</v>
      </c>
      <c r="M75" s="10">
        <f t="shared" si="11"/>
        <v>0.32340708492487025</v>
      </c>
      <c r="P75" s="8">
        <f t="shared" si="12"/>
        <v>0.74744658269600328</v>
      </c>
      <c r="U75" s="8">
        <v>36</v>
      </c>
      <c r="V75" s="10">
        <f t="shared" si="6"/>
        <v>0.3186193356659317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431.62114845937998</v>
      </c>
      <c r="E76">
        <v>209.78641456583</v>
      </c>
      <c r="F76">
        <v>143.95698166432001</v>
      </c>
      <c r="G76">
        <v>119.16643159378999</v>
      </c>
      <c r="I76" s="9">
        <f t="shared" si="8"/>
        <v>90.619982972040006</v>
      </c>
      <c r="J76" s="9">
        <f t="shared" si="9"/>
        <v>287.66416679505994</v>
      </c>
      <c r="K76" s="9">
        <f t="shared" si="10"/>
        <v>90.619982972040006</v>
      </c>
      <c r="L76" s="10">
        <f t="shared" si="7"/>
        <v>0.31502005961208313</v>
      </c>
      <c r="M76" s="10">
        <f t="shared" si="11"/>
        <v>0.32090636560778873</v>
      </c>
      <c r="P76" s="8">
        <f t="shared" si="12"/>
        <v>-3.1574958760064005E-2</v>
      </c>
      <c r="U76" s="8">
        <v>36.5</v>
      </c>
      <c r="V76" s="10">
        <f t="shared" si="6"/>
        <v>0.31835388645660195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430.02380952380997</v>
      </c>
      <c r="E77">
        <v>208.65756302521001</v>
      </c>
      <c r="F77">
        <v>143.79055007052</v>
      </c>
      <c r="G77">
        <v>118.98166431593999</v>
      </c>
      <c r="I77" s="9">
        <f t="shared" si="8"/>
        <v>89.675898709270015</v>
      </c>
      <c r="J77" s="9">
        <f t="shared" si="9"/>
        <v>286.23325945328997</v>
      </c>
      <c r="K77" s="9">
        <f t="shared" si="10"/>
        <v>89.675898709270015</v>
      </c>
      <c r="L77" s="10">
        <f t="shared" si="7"/>
        <v>0.31329657105729919</v>
      </c>
      <c r="M77" s="10">
        <f t="shared" si="11"/>
        <v>0.31926242172862246</v>
      </c>
      <c r="P77" s="8">
        <f t="shared" si="12"/>
        <v>-0.54369468609915406</v>
      </c>
      <c r="U77" s="8">
        <v>37</v>
      </c>
      <c r="V77" s="10">
        <f t="shared" si="6"/>
        <v>0.3176003236047823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430.92577030811998</v>
      </c>
      <c r="E78">
        <v>209.15826330531999</v>
      </c>
      <c r="F78">
        <v>143.72990126939001</v>
      </c>
      <c r="G78">
        <v>119.37094499295</v>
      </c>
      <c r="I78" s="9">
        <f t="shared" si="8"/>
        <v>89.78731831236999</v>
      </c>
      <c r="J78" s="9">
        <f t="shared" si="9"/>
        <v>287.19586903872994</v>
      </c>
      <c r="K78" s="9">
        <f t="shared" si="10"/>
        <v>89.78731831236999</v>
      </c>
      <c r="L78" s="10">
        <f t="shared" si="7"/>
        <v>0.31263443521279088</v>
      </c>
      <c r="M78" s="10">
        <f t="shared" si="11"/>
        <v>0.31867983055973176</v>
      </c>
      <c r="P78" s="8">
        <f t="shared" si="12"/>
        <v>-0.72518289524275215</v>
      </c>
      <c r="U78" s="8">
        <v>37.5</v>
      </c>
      <c r="V78" s="10">
        <f t="shared" si="6"/>
        <v>0.31502005961208313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431.51120448179</v>
      </c>
      <c r="E79">
        <v>209.34733893557001</v>
      </c>
      <c r="F79">
        <v>144.04936530323999</v>
      </c>
      <c r="G79">
        <v>119.04866008463</v>
      </c>
      <c r="I79" s="9">
        <f t="shared" si="8"/>
        <v>90.298678850940007</v>
      </c>
      <c r="J79" s="9">
        <f t="shared" si="9"/>
        <v>287.46183917855001</v>
      </c>
      <c r="K79" s="9">
        <f t="shared" si="10"/>
        <v>90.298678850940007</v>
      </c>
      <c r="L79" s="10">
        <f t="shared" si="7"/>
        <v>0.31412405594070231</v>
      </c>
      <c r="M79" s="10">
        <f t="shared" si="11"/>
        <v>0.32024899596326084</v>
      </c>
      <c r="P79" s="8">
        <f t="shared" si="12"/>
        <v>-0.23635808267506789</v>
      </c>
      <c r="U79" s="8">
        <v>38</v>
      </c>
      <c r="V79" s="10">
        <f t="shared" si="6"/>
        <v>0.31329657105729919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431.98179271709</v>
      </c>
      <c r="E80">
        <v>210.27100840336001</v>
      </c>
      <c r="F80">
        <v>143.92806770099</v>
      </c>
      <c r="G80">
        <v>119.11988716502</v>
      </c>
      <c r="I80" s="9">
        <f t="shared" si="8"/>
        <v>91.151121238340011</v>
      </c>
      <c r="J80" s="9">
        <f t="shared" si="9"/>
        <v>288.05372501609997</v>
      </c>
      <c r="K80" s="9">
        <f t="shared" si="10"/>
        <v>91.151121238340011</v>
      </c>
      <c r="L80" s="10">
        <f t="shared" si="7"/>
        <v>0.31643791877103955</v>
      </c>
      <c r="M80" s="10">
        <f t="shared" si="11"/>
        <v>0.32264240346921574</v>
      </c>
      <c r="P80" s="8">
        <f t="shared" si="12"/>
        <v>0.50923379238490929</v>
      </c>
      <c r="U80" s="8">
        <v>38.5</v>
      </c>
      <c r="V80" s="10">
        <f t="shared" si="6"/>
        <v>0.31263443521279088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430.41386554621999</v>
      </c>
      <c r="E81">
        <v>209.02941176471001</v>
      </c>
      <c r="F81">
        <v>144.17771509168</v>
      </c>
      <c r="G81">
        <v>119.07898448519001</v>
      </c>
      <c r="I81" s="9">
        <f t="shared" si="8"/>
        <v>89.95042727952</v>
      </c>
      <c r="J81" s="9">
        <f t="shared" si="9"/>
        <v>286.23615045454</v>
      </c>
      <c r="K81" s="9">
        <f t="shared" si="10"/>
        <v>89.95042727952</v>
      </c>
      <c r="L81" s="10">
        <f t="shared" si="7"/>
        <v>0.31425250492182649</v>
      </c>
      <c r="M81" s="10">
        <f t="shared" si="11"/>
        <v>0.32053653429562029</v>
      </c>
      <c r="P81" s="8">
        <f t="shared" si="12"/>
        <v>-0.1467844334564963</v>
      </c>
      <c r="U81" s="8">
        <v>39</v>
      </c>
      <c r="V81" s="10">
        <f t="shared" si="6"/>
        <v>0.31412405594070231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424.57352941176998</v>
      </c>
      <c r="E82">
        <v>207.00210084034001</v>
      </c>
      <c r="F82">
        <v>143.976022567</v>
      </c>
      <c r="G82">
        <v>118.94992947814001</v>
      </c>
      <c r="H82" s="13"/>
      <c r="I82" s="14">
        <f t="shared" si="8"/>
        <v>88.052171362199999</v>
      </c>
      <c r="J82" s="14">
        <f t="shared" si="9"/>
        <v>280.59750684477001</v>
      </c>
      <c r="K82" s="9">
        <f t="shared" si="10"/>
        <v>88.052171362199999</v>
      </c>
      <c r="L82" s="15">
        <f t="shared" si="7"/>
        <v>0.31380240099892098</v>
      </c>
      <c r="M82" s="15">
        <f t="shared" si="11"/>
        <v>0.32016597504833244</v>
      </c>
      <c r="N82" s="13"/>
      <c r="O82" s="13"/>
      <c r="P82" s="13">
        <f t="shared" si="12"/>
        <v>-0.26222067376189762</v>
      </c>
      <c r="U82" s="8">
        <v>39.5</v>
      </c>
      <c r="V82" s="10">
        <f t="shared" si="6"/>
        <v>0.31643791877103955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435.80672268908</v>
      </c>
      <c r="E83">
        <v>210.16666666667001</v>
      </c>
      <c r="F83">
        <v>143.89915373765999</v>
      </c>
      <c r="G83">
        <v>119.16995768688</v>
      </c>
      <c r="I83" s="9">
        <f t="shared" si="8"/>
        <v>90.996708979790014</v>
      </c>
      <c r="J83" s="9">
        <f t="shared" si="9"/>
        <v>291.90756895141999</v>
      </c>
      <c r="K83" s="9">
        <f t="shared" si="10"/>
        <v>90.996708979790014</v>
      </c>
      <c r="L83" s="10">
        <f t="shared" si="7"/>
        <v>0.3117312418676404</v>
      </c>
      <c r="M83" s="10">
        <f t="shared" si="11"/>
        <v>0.31817436059266951</v>
      </c>
      <c r="P83" s="8">
        <f t="shared" si="12"/>
        <v>-0.88264638593155631</v>
      </c>
      <c r="U83" s="8">
        <v>40</v>
      </c>
      <c r="V83" s="10">
        <f t="shared" si="6"/>
        <v>0.31425250492182649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457.47494707127998</v>
      </c>
      <c r="E84">
        <v>215.66055045872</v>
      </c>
      <c r="F84">
        <v>143.58180535966</v>
      </c>
      <c r="G84">
        <v>119.23624823695</v>
      </c>
      <c r="I84" s="9">
        <f t="shared" si="8"/>
        <v>96.424302221769992</v>
      </c>
      <c r="J84" s="9">
        <f t="shared" si="9"/>
        <v>313.89314171161999</v>
      </c>
      <c r="K84" s="9">
        <f t="shared" si="10"/>
        <v>96.424302221769992</v>
      </c>
      <c r="L84" s="10">
        <f t="shared" si="7"/>
        <v>0.30718830521743912</v>
      </c>
      <c r="M84" s="10">
        <f t="shared" si="11"/>
        <v>0.31371096861808589</v>
      </c>
      <c r="P84" s="8">
        <f t="shared" si="12"/>
        <v>-2.2730777199929606</v>
      </c>
      <c r="U84" s="8">
        <v>150.5</v>
      </c>
      <c r="V84" s="10">
        <f>L302</f>
        <v>0.33136856731046271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459.48906139731997</v>
      </c>
      <c r="E85">
        <v>228.31051517290001</v>
      </c>
      <c r="F85">
        <v>143.99365303243999</v>
      </c>
      <c r="G85">
        <v>118.98519040903</v>
      </c>
      <c r="I85" s="9">
        <f t="shared" si="8"/>
        <v>109.32532476387001</v>
      </c>
      <c r="J85" s="9">
        <f t="shared" si="9"/>
        <v>315.49540836487995</v>
      </c>
      <c r="K85" s="9">
        <f t="shared" si="10"/>
        <v>109.32532476387001</v>
      </c>
      <c r="L85" s="10">
        <f t="shared" si="7"/>
        <v>0.34651954312258004</v>
      </c>
      <c r="M85" s="10">
        <f t="shared" si="11"/>
        <v>0.35312175119884442</v>
      </c>
      <c r="P85" s="8">
        <f t="shared" si="12"/>
        <v>10.004129236557171</v>
      </c>
      <c r="U85" s="8">
        <v>151</v>
      </c>
      <c r="V85" s="10">
        <f t="shared" ref="V85:V103" si="13">L303</f>
        <v>0.33188810948595215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465.17124735728999</v>
      </c>
      <c r="E86">
        <v>300.87808315715</v>
      </c>
      <c r="F86">
        <v>143.64598025388</v>
      </c>
      <c r="G86">
        <v>119.33779971791</v>
      </c>
      <c r="I86" s="9">
        <f t="shared" si="8"/>
        <v>181.54028343924</v>
      </c>
      <c r="J86" s="9">
        <f t="shared" si="9"/>
        <v>321.52526710340999</v>
      </c>
      <c r="K86" s="9">
        <f t="shared" si="10"/>
        <v>181.54028343924</v>
      </c>
      <c r="L86" s="10">
        <f t="shared" si="7"/>
        <v>0.56462213708651532</v>
      </c>
      <c r="M86" s="10">
        <f t="shared" si="11"/>
        <v>0.57130388983839731</v>
      </c>
      <c r="P86" s="8">
        <f t="shared" si="12"/>
        <v>77.972007438709539</v>
      </c>
      <c r="U86" s="8">
        <v>151.5</v>
      </c>
      <c r="V86" s="10">
        <f t="shared" si="13"/>
        <v>0.33645214702938842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469.92600422832999</v>
      </c>
      <c r="E87">
        <v>370.64622973924997</v>
      </c>
      <c r="F87">
        <v>143.3808180536</v>
      </c>
      <c r="G87">
        <v>119.34344146686</v>
      </c>
      <c r="I87" s="9">
        <f t="shared" si="8"/>
        <v>251.30278827238999</v>
      </c>
      <c r="J87" s="9">
        <f t="shared" si="9"/>
        <v>326.54518617473002</v>
      </c>
      <c r="K87" s="9">
        <f t="shared" si="10"/>
        <v>251.30278827238999</v>
      </c>
      <c r="L87" s="10">
        <f t="shared" si="7"/>
        <v>0.76958044066195841</v>
      </c>
      <c r="M87" s="10">
        <f t="shared" si="11"/>
        <v>0.77634173808945806</v>
      </c>
      <c r="P87" s="8">
        <f t="shared" si="12"/>
        <v>141.84518965085385</v>
      </c>
      <c r="U87" s="8">
        <v>152</v>
      </c>
      <c r="V87" s="10">
        <f t="shared" si="13"/>
        <v>0.33529965383371318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480.47145877378</v>
      </c>
      <c r="E88">
        <v>426.72093023256002</v>
      </c>
      <c r="F88">
        <v>143.49083215797</v>
      </c>
      <c r="G88">
        <v>119.20169252468</v>
      </c>
      <c r="I88" s="9">
        <f t="shared" si="8"/>
        <v>307.51923770788005</v>
      </c>
      <c r="J88" s="9">
        <f t="shared" si="9"/>
        <v>336.98062661581002</v>
      </c>
      <c r="K88" s="9">
        <f t="shared" si="10"/>
        <v>307.51923770788005</v>
      </c>
      <c r="L88" s="10">
        <f t="shared" si="7"/>
        <v>0.91257245496929185</v>
      </c>
      <c r="M88" s="10">
        <f t="shared" si="11"/>
        <v>0.91941329707240915</v>
      </c>
      <c r="P88" s="8">
        <f t="shared" si="12"/>
        <v>186.41469637482192</v>
      </c>
      <c r="U88" s="8">
        <v>152.5</v>
      </c>
      <c r="V88" s="10">
        <f t="shared" si="13"/>
        <v>0.33656237049471638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481.13037350246998</v>
      </c>
      <c r="E89">
        <v>444.62015503876</v>
      </c>
      <c r="F89">
        <v>143.82228490832</v>
      </c>
      <c r="G89">
        <v>119.20874471086</v>
      </c>
      <c r="I89" s="9">
        <f t="shared" si="8"/>
        <v>325.4114103279</v>
      </c>
      <c r="J89" s="9">
        <f t="shared" si="9"/>
        <v>337.30808859414998</v>
      </c>
      <c r="K89" s="9">
        <f t="shared" si="10"/>
        <v>325.4114103279</v>
      </c>
      <c r="L89" s="10">
        <f t="shared" si="7"/>
        <v>0.96473052776222012</v>
      </c>
      <c r="M89" s="10">
        <f t="shared" si="11"/>
        <v>0.97165091454095509</v>
      </c>
      <c r="P89" s="8">
        <f t="shared" si="12"/>
        <v>202.68770590626809</v>
      </c>
      <c r="U89" s="8">
        <v>153</v>
      </c>
      <c r="V89" s="10">
        <f t="shared" si="13"/>
        <v>0.33916962417491597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487.32348804500998</v>
      </c>
      <c r="E90">
        <v>453.52180028128998</v>
      </c>
      <c r="F90">
        <v>143.44217207334</v>
      </c>
      <c r="G90">
        <v>119.03878702398001</v>
      </c>
      <c r="I90" s="9">
        <f t="shared" si="8"/>
        <v>334.48301325730995</v>
      </c>
      <c r="J90" s="9">
        <f t="shared" si="9"/>
        <v>343.88131597167001</v>
      </c>
      <c r="K90" s="9">
        <f t="shared" si="10"/>
        <v>334.48301325730995</v>
      </c>
      <c r="L90" s="10">
        <f t="shared" si="7"/>
        <v>0.9726699233780578</v>
      </c>
      <c r="M90" s="10">
        <f t="shared" si="11"/>
        <v>0.97966985483241042</v>
      </c>
      <c r="P90" s="8">
        <f t="shared" si="12"/>
        <v>205.18575804031735</v>
      </c>
      <c r="U90" s="8">
        <v>153.5</v>
      </c>
      <c r="V90" s="10">
        <f t="shared" si="13"/>
        <v>0.33612065818897546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500.12658227847999</v>
      </c>
      <c r="E91">
        <v>456.73277074543</v>
      </c>
      <c r="F91">
        <v>143.90126939351001</v>
      </c>
      <c r="G91">
        <v>118.89844851904</v>
      </c>
      <c r="I91" s="9">
        <f t="shared" si="8"/>
        <v>337.83432222638999</v>
      </c>
      <c r="J91" s="9">
        <f t="shared" si="9"/>
        <v>356.22531288496998</v>
      </c>
      <c r="K91" s="9">
        <f t="shared" si="10"/>
        <v>337.83432222638999</v>
      </c>
      <c r="L91" s="10">
        <f t="shared" si="7"/>
        <v>0.94837258893918441</v>
      </c>
      <c r="M91" s="10">
        <f t="shared" si="11"/>
        <v>0.9554520650691547</v>
      </c>
      <c r="P91" s="8">
        <f t="shared" si="12"/>
        <v>197.64145677341293</v>
      </c>
      <c r="U91" s="8">
        <v>154</v>
      </c>
      <c r="V91" s="10">
        <f t="shared" si="13"/>
        <v>0.34021686018707248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497.37552742615998</v>
      </c>
      <c r="E92">
        <v>446.18354430379998</v>
      </c>
      <c r="F92">
        <v>143.53244005642</v>
      </c>
      <c r="G92">
        <v>118.64527503526</v>
      </c>
      <c r="I92" s="9">
        <f t="shared" si="8"/>
        <v>327.53826926853998</v>
      </c>
      <c r="J92" s="9">
        <f t="shared" si="9"/>
        <v>353.84308736973998</v>
      </c>
      <c r="K92" s="9">
        <f t="shared" si="10"/>
        <v>327.53826926853998</v>
      </c>
      <c r="L92" s="10">
        <f t="shared" si="7"/>
        <v>0.92565965242748005</v>
      </c>
      <c r="M92" s="10">
        <f t="shared" si="11"/>
        <v>0.932818673233068</v>
      </c>
      <c r="P92" s="8">
        <f t="shared" si="12"/>
        <v>190.59072553936747</v>
      </c>
      <c r="U92" s="8">
        <v>154.5</v>
      </c>
      <c r="V92" s="10">
        <f t="shared" si="13"/>
        <v>0.34032736757000914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499.5</v>
      </c>
      <c r="E93">
        <v>435.80239099859</v>
      </c>
      <c r="F93">
        <v>143.37376586741999</v>
      </c>
      <c r="G93">
        <v>118.79125528914</v>
      </c>
      <c r="I93" s="9">
        <f t="shared" si="8"/>
        <v>317.01113570945</v>
      </c>
      <c r="J93" s="9">
        <f t="shared" si="9"/>
        <v>356.12623413258001</v>
      </c>
      <c r="K93" s="9">
        <f t="shared" si="10"/>
        <v>317.01113570945</v>
      </c>
      <c r="L93" s="10">
        <f t="shared" si="7"/>
        <v>0.89016507441974047</v>
      </c>
      <c r="M93" s="10">
        <f t="shared" si="11"/>
        <v>0.89740363990094596</v>
      </c>
      <c r="P93" s="8">
        <f t="shared" si="12"/>
        <v>179.55827032991763</v>
      </c>
      <c r="U93" s="8">
        <v>155</v>
      </c>
      <c r="V93" s="10">
        <f t="shared" si="13"/>
        <v>0.33737346820488862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500.16877637131</v>
      </c>
      <c r="E94">
        <v>425.30801687764</v>
      </c>
      <c r="F94">
        <v>142.98095909732001</v>
      </c>
      <c r="G94">
        <v>119.25599435825001</v>
      </c>
      <c r="I94" s="9">
        <f t="shared" si="8"/>
        <v>306.05202251938999</v>
      </c>
      <c r="J94" s="9">
        <f t="shared" si="9"/>
        <v>357.18781727398999</v>
      </c>
      <c r="K94" s="9">
        <f t="shared" si="10"/>
        <v>306.05202251938999</v>
      </c>
      <c r="L94" s="10">
        <f t="shared" si="7"/>
        <v>0.85683779714307839</v>
      </c>
      <c r="M94" s="10">
        <f t="shared" si="11"/>
        <v>0.86415590729990155</v>
      </c>
      <c r="P94" s="8">
        <f t="shared" si="12"/>
        <v>169.20097044269465</v>
      </c>
      <c r="U94" s="8">
        <v>155.5</v>
      </c>
      <c r="V94" s="10">
        <f t="shared" si="13"/>
        <v>0.3396668210870043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486.49296765119999</v>
      </c>
      <c r="E95">
        <v>404.62095639943999</v>
      </c>
      <c r="F95">
        <v>143.65373765867</v>
      </c>
      <c r="G95">
        <v>119.2736248237</v>
      </c>
      <c r="I95" s="9">
        <f t="shared" si="8"/>
        <v>285.34733157573999</v>
      </c>
      <c r="J95" s="9">
        <f t="shared" si="9"/>
        <v>342.83922999253002</v>
      </c>
      <c r="K95" s="9">
        <f t="shared" si="10"/>
        <v>285.34733157573999</v>
      </c>
      <c r="L95" s="10">
        <f t="shared" si="7"/>
        <v>0.83230653499588514</v>
      </c>
      <c r="M95" s="10">
        <f t="shared" si="11"/>
        <v>0.83970418982832595</v>
      </c>
      <c r="P95" s="8">
        <f t="shared" si="12"/>
        <v>161.58379625371541</v>
      </c>
      <c r="U95" s="8">
        <v>156</v>
      </c>
      <c r="V95" s="10">
        <f t="shared" si="13"/>
        <v>0.33527454023538378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483.94163150492</v>
      </c>
      <c r="E96">
        <v>387.56680731364003</v>
      </c>
      <c r="F96">
        <v>143.19534555711999</v>
      </c>
      <c r="G96">
        <v>118.73836389281</v>
      </c>
      <c r="I96" s="9">
        <f t="shared" si="8"/>
        <v>268.82844342083001</v>
      </c>
      <c r="J96" s="9">
        <f t="shared" si="9"/>
        <v>340.7462859478</v>
      </c>
      <c r="K96" s="9">
        <f t="shared" si="10"/>
        <v>268.82844342083001</v>
      </c>
      <c r="L96" s="10">
        <f t="shared" si="7"/>
        <v>0.78894020127929643</v>
      </c>
      <c r="M96" s="10">
        <f t="shared" si="11"/>
        <v>0.7964174007873549</v>
      </c>
      <c r="P96" s="8">
        <f t="shared" si="12"/>
        <v>148.09913970188148</v>
      </c>
      <c r="U96" s="8">
        <v>156.5</v>
      </c>
      <c r="V96" s="10">
        <f t="shared" si="13"/>
        <v>0.33454071631533266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496.80842105263002</v>
      </c>
      <c r="E97">
        <v>378.74877192983001</v>
      </c>
      <c r="F97">
        <v>143.4125528914</v>
      </c>
      <c r="G97">
        <v>118.82016925247</v>
      </c>
      <c r="I97" s="9">
        <f t="shared" si="8"/>
        <v>259.92860267736</v>
      </c>
      <c r="J97" s="9">
        <f t="shared" si="9"/>
        <v>353.39586816123006</v>
      </c>
      <c r="K97" s="9">
        <f t="shared" si="10"/>
        <v>259.92860267736</v>
      </c>
      <c r="L97" s="10">
        <f t="shared" si="7"/>
        <v>0.73551681300012428</v>
      </c>
      <c r="M97" s="10">
        <f t="shared" si="11"/>
        <v>0.74307355718380041</v>
      </c>
      <c r="P97" s="8">
        <f t="shared" si="12"/>
        <v>131.4815197285489</v>
      </c>
      <c r="U97" s="8">
        <v>157</v>
      </c>
      <c r="V97" s="10">
        <f t="shared" si="13"/>
        <v>0.33633470220333428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487.18736842105</v>
      </c>
      <c r="E98">
        <v>361.90245614035001</v>
      </c>
      <c r="F98">
        <v>142.75740479549</v>
      </c>
      <c r="G98">
        <v>118.95204513399</v>
      </c>
      <c r="I98" s="9">
        <f t="shared" si="8"/>
        <v>242.95041100636001</v>
      </c>
      <c r="J98" s="9">
        <f t="shared" si="9"/>
        <v>344.42996362555999</v>
      </c>
      <c r="K98" s="9">
        <f t="shared" si="10"/>
        <v>242.95041100636001</v>
      </c>
      <c r="L98" s="10">
        <f t="shared" si="7"/>
        <v>0.70536955742468033</v>
      </c>
      <c r="M98" s="10">
        <f t="shared" si="11"/>
        <v>0.71300584628397412</v>
      </c>
      <c r="P98" s="8">
        <f t="shared" si="12"/>
        <v>122.11485697146082</v>
      </c>
      <c r="U98" s="8">
        <v>157.5</v>
      </c>
      <c r="V98" s="10">
        <f t="shared" si="13"/>
        <v>0.32673302860138365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480.15929824560999</v>
      </c>
      <c r="E99">
        <v>350.24982456139998</v>
      </c>
      <c r="F99">
        <v>143.21791255289</v>
      </c>
      <c r="G99">
        <v>118.8533145275</v>
      </c>
      <c r="I99" s="9">
        <f t="shared" si="8"/>
        <v>231.39651003389997</v>
      </c>
      <c r="J99" s="9">
        <f t="shared" si="9"/>
        <v>336.94138569272002</v>
      </c>
      <c r="K99" s="9">
        <f t="shared" si="10"/>
        <v>231.39651003389997</v>
      </c>
      <c r="L99" s="10">
        <f t="shared" si="7"/>
        <v>0.68675597554800327</v>
      </c>
      <c r="M99" s="10">
        <f t="shared" si="11"/>
        <v>0.69447180908291473</v>
      </c>
      <c r="P99" s="8">
        <f t="shared" si="12"/>
        <v>116.34115252924305</v>
      </c>
      <c r="U99" s="8">
        <v>158</v>
      </c>
      <c r="V99" s="10">
        <f t="shared" si="13"/>
        <v>0.33018776031517877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480.20421052632003</v>
      </c>
      <c r="E100">
        <v>337.04771929825</v>
      </c>
      <c r="F100">
        <v>143.0874471086</v>
      </c>
      <c r="G100">
        <v>118.91043723554</v>
      </c>
      <c r="I100" s="9">
        <f t="shared" si="8"/>
        <v>218.13728206271</v>
      </c>
      <c r="J100" s="9">
        <f t="shared" si="9"/>
        <v>337.11676341771999</v>
      </c>
      <c r="K100" s="9">
        <f t="shared" si="10"/>
        <v>218.13728206271</v>
      </c>
      <c r="L100" s="10">
        <f t="shared" si="7"/>
        <v>0.64706744289786922</v>
      </c>
      <c r="M100" s="10">
        <f t="shared" si="11"/>
        <v>0.65486282110839822</v>
      </c>
      <c r="P100" s="8">
        <f t="shared" si="12"/>
        <v>104.00220082976412</v>
      </c>
      <c r="U100" s="8">
        <v>158.5</v>
      </c>
      <c r="V100" s="10">
        <f t="shared" si="13"/>
        <v>0.33257495310535351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473.84210526316002</v>
      </c>
      <c r="E101">
        <v>321.01543859649001</v>
      </c>
      <c r="F101">
        <v>143.24400564174999</v>
      </c>
      <c r="G101">
        <v>118.56911142454</v>
      </c>
      <c r="I101" s="9">
        <f t="shared" si="8"/>
        <v>202.44632717195003</v>
      </c>
      <c r="J101" s="9">
        <f t="shared" si="9"/>
        <v>330.59809962141003</v>
      </c>
      <c r="K101" s="9">
        <f t="shared" si="10"/>
        <v>202.44632717195003</v>
      </c>
      <c r="L101" s="10">
        <f t="shared" si="7"/>
        <v>0.61236385630705337</v>
      </c>
      <c r="M101" s="10">
        <f t="shared" si="11"/>
        <v>0.62023877919320003</v>
      </c>
      <c r="P101" s="8">
        <f t="shared" si="12"/>
        <v>93.21615446303467</v>
      </c>
      <c r="U101" s="8">
        <v>159</v>
      </c>
      <c r="V101" s="10">
        <f t="shared" si="13"/>
        <v>0.33104788510440752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467.49894588897001</v>
      </c>
      <c r="E102">
        <v>305.61630358398003</v>
      </c>
      <c r="F102">
        <v>143.11988716502</v>
      </c>
      <c r="G102">
        <v>118.38434414669</v>
      </c>
      <c r="I102" s="9">
        <f t="shared" si="8"/>
        <v>187.23195943729002</v>
      </c>
      <c r="J102" s="9">
        <f t="shared" si="9"/>
        <v>324.37905872395004</v>
      </c>
      <c r="K102" s="9">
        <f t="shared" si="10"/>
        <v>187.23195943729002</v>
      </c>
      <c r="L102" s="10">
        <f t="shared" si="7"/>
        <v>0.57720113059649258</v>
      </c>
      <c r="M102" s="10">
        <f t="shared" si="11"/>
        <v>0.58515559815825691</v>
      </c>
      <c r="P102" s="8">
        <f t="shared" si="12"/>
        <v>82.287077544110389</v>
      </c>
      <c r="U102" s="8">
        <v>159.5</v>
      </c>
      <c r="V102" s="10">
        <f t="shared" si="13"/>
        <v>0.33245159388976364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469.68605466013003</v>
      </c>
      <c r="E103">
        <v>293.22564821303001</v>
      </c>
      <c r="F103">
        <v>143.24753173484001</v>
      </c>
      <c r="G103">
        <v>118.81241184767001</v>
      </c>
      <c r="I103" s="9">
        <f t="shared" si="8"/>
        <v>174.41323636536001</v>
      </c>
      <c r="J103" s="9">
        <f t="shared" si="9"/>
        <v>326.43852292529004</v>
      </c>
      <c r="K103" s="9">
        <f t="shared" si="10"/>
        <v>174.41323636536001</v>
      </c>
      <c r="L103" s="10">
        <f t="shared" si="7"/>
        <v>0.5342912190706024</v>
      </c>
      <c r="M103" s="10">
        <f t="shared" si="11"/>
        <v>0.54232523130798438</v>
      </c>
      <c r="P103" s="8">
        <f t="shared" si="12"/>
        <v>68.944605169494594</v>
      </c>
      <c r="U103" s="8">
        <v>160</v>
      </c>
      <c r="V103" s="10">
        <f t="shared" si="13"/>
        <v>0.33057364049615956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459.65592151367002</v>
      </c>
      <c r="E104">
        <v>278.16117729502997</v>
      </c>
      <c r="F104">
        <v>142.98307475317</v>
      </c>
      <c r="G104">
        <v>118.5077574048</v>
      </c>
      <c r="I104" s="9">
        <f t="shared" si="8"/>
        <v>159.65341989022997</v>
      </c>
      <c r="J104" s="9">
        <f t="shared" si="9"/>
        <v>316.67284676050002</v>
      </c>
      <c r="K104" s="9">
        <f t="shared" si="10"/>
        <v>159.65341989022997</v>
      </c>
      <c r="L104" s="10">
        <f t="shared" si="7"/>
        <v>0.50415885518273063</v>
      </c>
      <c r="M104" s="10">
        <f t="shared" si="11"/>
        <v>0.51227241209573027</v>
      </c>
      <c r="P104" s="8">
        <f t="shared" si="12"/>
        <v>59.58258145579223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452.51904090267999</v>
      </c>
      <c r="E105">
        <v>264.01128349788002</v>
      </c>
      <c r="F105">
        <v>142.81805359661999</v>
      </c>
      <c r="G105">
        <v>118.82369534556</v>
      </c>
      <c r="I105" s="9">
        <f t="shared" si="8"/>
        <v>145.18758815232002</v>
      </c>
      <c r="J105" s="9">
        <f t="shared" si="9"/>
        <v>309.70098730606003</v>
      </c>
      <c r="K105" s="9">
        <f t="shared" si="10"/>
        <v>145.18758815232002</v>
      </c>
      <c r="L105" s="10">
        <f t="shared" si="7"/>
        <v>0.4687992421827164</v>
      </c>
      <c r="M105" s="10">
        <f t="shared" si="11"/>
        <v>0.47699234377133365</v>
      </c>
      <c r="P105" s="8">
        <f t="shared" si="12"/>
        <v>48.592170408453164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447.04866008463</v>
      </c>
      <c r="E106">
        <v>254.05712270804</v>
      </c>
      <c r="F106">
        <v>142.85190409027001</v>
      </c>
      <c r="G106">
        <v>119.11988716502</v>
      </c>
      <c r="I106" s="9">
        <f t="shared" si="8"/>
        <v>134.93723554301999</v>
      </c>
      <c r="J106" s="9">
        <f t="shared" si="9"/>
        <v>304.19675599435999</v>
      </c>
      <c r="K106" s="9">
        <f t="shared" si="10"/>
        <v>134.93723554301999</v>
      </c>
      <c r="L106" s="10">
        <f t="shared" si="7"/>
        <v>0.44358538637907702</v>
      </c>
      <c r="M106" s="10">
        <f t="shared" si="11"/>
        <v>0.45185803264331192</v>
      </c>
      <c r="P106" s="8">
        <f t="shared" si="12"/>
        <v>40.762355336988414</v>
      </c>
      <c r="X106" s="8">
        <v>-13</v>
      </c>
    </row>
    <row r="107" spans="1:25" x14ac:dyDescent="0.2">
      <c r="A107" s="8">
        <v>52.5</v>
      </c>
      <c r="B107" s="8">
        <v>105</v>
      </c>
      <c r="D107">
        <v>450.74047954866001</v>
      </c>
      <c r="E107">
        <v>248.25105782793</v>
      </c>
      <c r="F107">
        <v>143.2101551481</v>
      </c>
      <c r="G107">
        <v>118.48730606488</v>
      </c>
      <c r="I107" s="9">
        <f t="shared" si="8"/>
        <v>129.76375176304998</v>
      </c>
      <c r="J107" s="9">
        <f t="shared" si="9"/>
        <v>307.53032440056</v>
      </c>
      <c r="K107" s="9">
        <f t="shared" si="10"/>
        <v>129.76375176304998</v>
      </c>
      <c r="L107" s="10">
        <f t="shared" si="7"/>
        <v>0.42195432927138576</v>
      </c>
      <c r="M107" s="10">
        <f t="shared" si="11"/>
        <v>0.43030652021123833</v>
      </c>
      <c r="P107" s="8">
        <f t="shared" si="12"/>
        <v>34.048650075920797</v>
      </c>
      <c r="X107" s="8">
        <v>-13</v>
      </c>
    </row>
    <row r="108" spans="1:25" x14ac:dyDescent="0.2">
      <c r="A108" s="8">
        <v>53</v>
      </c>
      <c r="B108" s="8">
        <v>106</v>
      </c>
      <c r="D108">
        <v>448.79619181945998</v>
      </c>
      <c r="E108">
        <v>238.86459802538999</v>
      </c>
      <c r="F108">
        <v>142.84485190409001</v>
      </c>
      <c r="G108">
        <v>118.56276445698001</v>
      </c>
      <c r="I108" s="9">
        <f t="shared" si="8"/>
        <v>120.30183356840999</v>
      </c>
      <c r="J108" s="9">
        <f t="shared" si="9"/>
        <v>305.95133991537</v>
      </c>
      <c r="K108" s="9">
        <f t="shared" si="10"/>
        <v>120.30183356840999</v>
      </c>
      <c r="L108" s="10">
        <f t="shared" si="7"/>
        <v>0.39320577449239802</v>
      </c>
      <c r="M108" s="10">
        <f t="shared" si="11"/>
        <v>0.40163751010786819</v>
      </c>
      <c r="P108" s="8">
        <f t="shared" si="12"/>
        <v>25.117709170161</v>
      </c>
      <c r="X108" s="8">
        <v>-13</v>
      </c>
    </row>
    <row r="109" spans="1:25" x14ac:dyDescent="0.2">
      <c r="A109" s="8">
        <v>53.5</v>
      </c>
      <c r="B109" s="8">
        <v>107</v>
      </c>
      <c r="D109">
        <v>460.10225669957998</v>
      </c>
      <c r="E109">
        <v>235.05289139633001</v>
      </c>
      <c r="F109">
        <v>143.23977433004001</v>
      </c>
      <c r="G109">
        <v>118.69816643159</v>
      </c>
      <c r="I109" s="9">
        <f t="shared" si="8"/>
        <v>116.35472496474002</v>
      </c>
      <c r="J109" s="9">
        <f t="shared" si="9"/>
        <v>316.86248236953998</v>
      </c>
      <c r="K109" s="9">
        <f t="shared" si="10"/>
        <v>116.35472496474002</v>
      </c>
      <c r="L109" s="10">
        <f t="shared" si="7"/>
        <v>0.36720890430013625</v>
      </c>
      <c r="M109" s="10">
        <f t="shared" si="11"/>
        <v>0.37572018459122408</v>
      </c>
      <c r="P109" s="8">
        <f t="shared" si="12"/>
        <v>17.04397025172938</v>
      </c>
      <c r="X109" s="8">
        <v>-13</v>
      </c>
    </row>
    <row r="110" spans="1:25" x14ac:dyDescent="0.2">
      <c r="A110" s="8">
        <v>54</v>
      </c>
      <c r="B110" s="8">
        <v>108</v>
      </c>
      <c r="D110">
        <v>459.66502115655999</v>
      </c>
      <c r="E110">
        <v>226.66149506347</v>
      </c>
      <c r="F110">
        <v>143.07052186178001</v>
      </c>
      <c r="G110">
        <v>118.41960507757</v>
      </c>
      <c r="I110" s="9">
        <f t="shared" si="8"/>
        <v>108.2418899859</v>
      </c>
      <c r="J110" s="9">
        <f t="shared" si="9"/>
        <v>316.59449929478001</v>
      </c>
      <c r="K110" s="9">
        <f t="shared" si="10"/>
        <v>108.2418899859</v>
      </c>
      <c r="L110" s="10">
        <f t="shared" si="7"/>
        <v>0.34189441139062987</v>
      </c>
      <c r="M110" s="10">
        <f t="shared" si="11"/>
        <v>0.35048523635733536</v>
      </c>
      <c r="P110" s="8">
        <f t="shared" si="12"/>
        <v>9.1828048112709233</v>
      </c>
      <c r="X110" s="8">
        <v>-13</v>
      </c>
    </row>
    <row r="111" spans="1:25" x14ac:dyDescent="0.2">
      <c r="A111" s="8">
        <v>54.5</v>
      </c>
      <c r="B111" s="8">
        <v>109</v>
      </c>
      <c r="D111">
        <v>459.05359661494998</v>
      </c>
      <c r="E111">
        <v>220.56770098730999</v>
      </c>
      <c r="F111">
        <v>142.73272214387001</v>
      </c>
      <c r="G111">
        <v>118.52045133992</v>
      </c>
      <c r="I111" s="9">
        <f t="shared" si="8"/>
        <v>102.04724964738999</v>
      </c>
      <c r="J111" s="9">
        <f t="shared" si="9"/>
        <v>316.32087447107995</v>
      </c>
      <c r="K111" s="9">
        <f t="shared" si="10"/>
        <v>102.04724964738999</v>
      </c>
      <c r="L111" s="10">
        <f t="shared" si="7"/>
        <v>0.32260675119219739</v>
      </c>
      <c r="M111" s="10">
        <f t="shared" si="11"/>
        <v>0.33127712083452054</v>
      </c>
      <c r="P111" s="8">
        <f t="shared" si="12"/>
        <v>3.1991121749806797</v>
      </c>
      <c r="X111" s="8">
        <v>-13</v>
      </c>
    </row>
    <row r="112" spans="1:25" x14ac:dyDescent="0.2">
      <c r="A112" s="8">
        <v>55</v>
      </c>
      <c r="B112" s="8">
        <v>110</v>
      </c>
      <c r="D112">
        <v>456.14809590972999</v>
      </c>
      <c r="E112">
        <v>213.29407616360999</v>
      </c>
      <c r="F112">
        <v>142.89633286319</v>
      </c>
      <c r="G112">
        <v>118.81664315938001</v>
      </c>
      <c r="I112" s="9">
        <f t="shared" si="8"/>
        <v>94.477433004229979</v>
      </c>
      <c r="J112" s="9">
        <f t="shared" si="9"/>
        <v>313.25176304653996</v>
      </c>
      <c r="K112" s="9">
        <f t="shared" si="10"/>
        <v>94.477433004229979</v>
      </c>
      <c r="L112" s="10">
        <f t="shared" si="7"/>
        <v>0.30160223867660541</v>
      </c>
      <c r="M112" s="10">
        <f t="shared" si="11"/>
        <v>0.31035215299454616</v>
      </c>
      <c r="P112" s="8">
        <f t="shared" si="12"/>
        <v>-3.3194125511927934</v>
      </c>
      <c r="X112" s="8">
        <v>-13</v>
      </c>
    </row>
    <row r="113" spans="1:24" x14ac:dyDescent="0.2">
      <c r="A113" s="8">
        <v>55.5</v>
      </c>
      <c r="B113" s="8">
        <v>111</v>
      </c>
      <c r="D113">
        <v>451.32016925247001</v>
      </c>
      <c r="E113">
        <v>209.42242595204999</v>
      </c>
      <c r="F113">
        <v>142.71297602256999</v>
      </c>
      <c r="G113">
        <v>118.53102961918</v>
      </c>
      <c r="I113" s="9">
        <f t="shared" si="8"/>
        <v>90.891396332869988</v>
      </c>
      <c r="J113" s="9">
        <f t="shared" si="9"/>
        <v>308.60719322990002</v>
      </c>
      <c r="K113" s="9">
        <f t="shared" si="10"/>
        <v>90.891396332869988</v>
      </c>
      <c r="L113" s="10">
        <f t="shared" si="7"/>
        <v>0.29452131488445099</v>
      </c>
      <c r="M113" s="10">
        <f t="shared" si="11"/>
        <v>0.30335077387800941</v>
      </c>
      <c r="P113" s="8">
        <f t="shared" si="12"/>
        <v>-5.5004750616580571</v>
      </c>
      <c r="X113" s="8">
        <v>-13</v>
      </c>
    </row>
    <row r="114" spans="1:24" x14ac:dyDescent="0.2">
      <c r="A114" s="8">
        <v>56</v>
      </c>
      <c r="B114" s="8">
        <v>112</v>
      </c>
      <c r="D114">
        <v>448.91126760562997</v>
      </c>
      <c r="E114">
        <v>205.16267605633999</v>
      </c>
      <c r="F114">
        <v>142.87588152327001</v>
      </c>
      <c r="G114">
        <v>118.74541607898</v>
      </c>
      <c r="I114" s="9">
        <f t="shared" si="8"/>
        <v>86.41725997735999</v>
      </c>
      <c r="J114" s="9">
        <f t="shared" si="9"/>
        <v>306.03538608235999</v>
      </c>
      <c r="K114" s="9">
        <f t="shared" si="10"/>
        <v>86.41725997735999</v>
      </c>
      <c r="L114" s="10">
        <f t="shared" si="7"/>
        <v>0.28237669206692145</v>
      </c>
      <c r="M114" s="10">
        <f t="shared" si="11"/>
        <v>0.29128569573609753</v>
      </c>
      <c r="P114" s="8">
        <f t="shared" si="12"/>
        <v>-9.2589759488624779</v>
      </c>
      <c r="X114" s="8">
        <v>-13</v>
      </c>
    </row>
    <row r="115" spans="1:24" x14ac:dyDescent="0.2">
      <c r="A115" s="8">
        <v>56.5</v>
      </c>
      <c r="B115" s="8">
        <v>113</v>
      </c>
      <c r="D115">
        <v>457.12191684285</v>
      </c>
      <c r="E115">
        <v>203.58280479211001</v>
      </c>
      <c r="F115">
        <v>143.15937940762001</v>
      </c>
      <c r="G115">
        <v>118.42172073343001</v>
      </c>
      <c r="I115" s="9">
        <f t="shared" si="8"/>
        <v>85.161084058680004</v>
      </c>
      <c r="J115" s="9">
        <f t="shared" si="9"/>
        <v>313.96253743522999</v>
      </c>
      <c r="K115" s="9">
        <f t="shared" si="10"/>
        <v>85.161084058680004</v>
      </c>
      <c r="L115" s="10">
        <f t="shared" si="7"/>
        <v>0.27124600519018488</v>
      </c>
      <c r="M115" s="10">
        <f t="shared" si="11"/>
        <v>0.28023455353497856</v>
      </c>
      <c r="P115" s="8">
        <f t="shared" si="12"/>
        <v>-12.70161654173525</v>
      </c>
      <c r="X115" s="8">
        <v>-13</v>
      </c>
    </row>
    <row r="116" spans="1:24" x14ac:dyDescent="0.2">
      <c r="A116" s="8">
        <v>57</v>
      </c>
      <c r="B116" s="8">
        <v>114</v>
      </c>
      <c r="D116">
        <v>453.39534883721001</v>
      </c>
      <c r="E116">
        <v>200.51797040169001</v>
      </c>
      <c r="F116">
        <v>143.07193229901</v>
      </c>
      <c r="G116">
        <v>118.72355430183001</v>
      </c>
      <c r="I116" s="9">
        <f t="shared" si="8"/>
        <v>81.794416099860001</v>
      </c>
      <c r="J116" s="9">
        <f t="shared" si="9"/>
        <v>310.32341653820004</v>
      </c>
      <c r="K116" s="9">
        <f t="shared" si="10"/>
        <v>81.794416099860001</v>
      </c>
      <c r="L116" s="10">
        <f t="shared" si="7"/>
        <v>0.26357796975914422</v>
      </c>
      <c r="M116" s="10">
        <f t="shared" si="11"/>
        <v>0.27264606277955555</v>
      </c>
      <c r="P116" s="8">
        <f t="shared" si="12"/>
        <v>-15.065575473565286</v>
      </c>
      <c r="X116" s="8">
        <v>-13</v>
      </c>
    </row>
    <row r="117" spans="1:24" x14ac:dyDescent="0.2">
      <c r="A117" s="8">
        <v>57.5</v>
      </c>
      <c r="B117" s="8">
        <v>115</v>
      </c>
      <c r="D117">
        <v>450.30655391121002</v>
      </c>
      <c r="E117">
        <v>197.50387596899</v>
      </c>
      <c r="F117">
        <v>142.39774330041999</v>
      </c>
      <c r="G117">
        <v>118.41960507757</v>
      </c>
      <c r="I117" s="9">
        <f t="shared" si="8"/>
        <v>79.084270891420005</v>
      </c>
      <c r="J117" s="9">
        <f t="shared" si="9"/>
        <v>307.90881061079006</v>
      </c>
      <c r="K117" s="9">
        <f t="shared" si="10"/>
        <v>79.084270891420005</v>
      </c>
      <c r="L117" s="10">
        <f t="shared" si="7"/>
        <v>0.25684315669481089</v>
      </c>
      <c r="M117" s="10">
        <f t="shared" si="11"/>
        <v>0.26599079439083989</v>
      </c>
      <c r="P117" s="8">
        <f t="shared" si="12"/>
        <v>-17.138817921674914</v>
      </c>
      <c r="X117" s="8">
        <v>-13</v>
      </c>
    </row>
    <row r="118" spans="1:24" x14ac:dyDescent="0.2">
      <c r="A118" s="8">
        <v>58</v>
      </c>
      <c r="B118" s="8">
        <v>116</v>
      </c>
      <c r="D118">
        <v>449.47991543339998</v>
      </c>
      <c r="E118">
        <v>196.61310782241</v>
      </c>
      <c r="F118">
        <v>142.78279266573</v>
      </c>
      <c r="G118">
        <v>118.90479548659999</v>
      </c>
      <c r="I118" s="9">
        <f t="shared" si="8"/>
        <v>77.708312335810007</v>
      </c>
      <c r="J118" s="9">
        <f t="shared" si="9"/>
        <v>306.69712276766995</v>
      </c>
      <c r="K118" s="9">
        <f t="shared" si="10"/>
        <v>77.708312335810007</v>
      </c>
      <c r="L118" s="10">
        <f t="shared" si="7"/>
        <v>0.2533715074812613</v>
      </c>
      <c r="M118" s="10">
        <f t="shared" si="11"/>
        <v>0.26259868985290791</v>
      </c>
      <c r="P118" s="8">
        <f t="shared" si="12"/>
        <v>-18.195522881671732</v>
      </c>
      <c r="X118" s="8">
        <v>-13</v>
      </c>
    </row>
    <row r="119" spans="1:24" x14ac:dyDescent="0.2">
      <c r="A119" s="8">
        <v>58.5</v>
      </c>
      <c r="B119" s="8">
        <v>117</v>
      </c>
      <c r="D119">
        <v>448.69040902680001</v>
      </c>
      <c r="E119">
        <v>194.81664315937999</v>
      </c>
      <c r="F119">
        <v>142.70803949224</v>
      </c>
      <c r="G119">
        <v>118.09590973202</v>
      </c>
      <c r="I119" s="9">
        <f t="shared" si="8"/>
        <v>76.720733427359988</v>
      </c>
      <c r="J119" s="9">
        <f t="shared" si="9"/>
        <v>305.98236953456001</v>
      </c>
      <c r="K119" s="9">
        <f t="shared" si="10"/>
        <v>76.720733427359988</v>
      </c>
      <c r="L119" s="10">
        <f t="shared" si="7"/>
        <v>0.2507357974384683</v>
      </c>
      <c r="M119" s="10">
        <f t="shared" si="11"/>
        <v>0.26004252448573256</v>
      </c>
      <c r="P119" s="8">
        <f t="shared" si="12"/>
        <v>-18.991816920331591</v>
      </c>
      <c r="X119" s="8">
        <v>-13</v>
      </c>
    </row>
    <row r="120" spans="1:24" x14ac:dyDescent="0.2">
      <c r="A120" s="8">
        <v>59</v>
      </c>
      <c r="B120" s="8">
        <v>118</v>
      </c>
      <c r="D120">
        <v>447.47108603666999</v>
      </c>
      <c r="E120">
        <v>193.48236953456001</v>
      </c>
      <c r="F120">
        <v>142.43370944993001</v>
      </c>
      <c r="G120">
        <v>118.11001410436999</v>
      </c>
      <c r="I120" s="9">
        <f t="shared" si="8"/>
        <v>75.372355430190012</v>
      </c>
      <c r="J120" s="9">
        <f t="shared" si="9"/>
        <v>305.03737658673998</v>
      </c>
      <c r="K120" s="9">
        <f t="shared" si="10"/>
        <v>75.372355430190012</v>
      </c>
      <c r="L120" s="10">
        <f t="shared" si="7"/>
        <v>0.24709219661400164</v>
      </c>
      <c r="M120" s="10">
        <f t="shared" si="11"/>
        <v>0.25647846833688354</v>
      </c>
      <c r="P120" s="8">
        <f t="shared" si="12"/>
        <v>-20.102088071494869</v>
      </c>
      <c r="X120" s="8">
        <v>-13</v>
      </c>
    </row>
    <row r="121" spans="1:24" x14ac:dyDescent="0.2">
      <c r="A121" s="8">
        <v>59.5</v>
      </c>
      <c r="B121" s="8">
        <v>119</v>
      </c>
      <c r="D121">
        <v>449.64008468596001</v>
      </c>
      <c r="E121">
        <v>192.87014820042</v>
      </c>
      <c r="F121">
        <v>142.74471086036999</v>
      </c>
      <c r="G121">
        <v>118.71368124119</v>
      </c>
      <c r="I121" s="9">
        <f t="shared" si="8"/>
        <v>74.156466959230002</v>
      </c>
      <c r="J121" s="9">
        <f t="shared" si="9"/>
        <v>306.89537382559001</v>
      </c>
      <c r="K121" s="9">
        <f t="shared" si="10"/>
        <v>74.156466959230002</v>
      </c>
      <c r="L121" s="10">
        <f t="shared" si="7"/>
        <v>0.24163435908086855</v>
      </c>
      <c r="M121" s="10">
        <f t="shared" si="11"/>
        <v>0.25110017547936814</v>
      </c>
      <c r="P121" s="8">
        <f t="shared" si="12"/>
        <v>-21.777528399261666</v>
      </c>
      <c r="X121" s="8">
        <v>-13</v>
      </c>
    </row>
    <row r="122" spans="1:24" x14ac:dyDescent="0.2">
      <c r="A122" s="8">
        <v>60</v>
      </c>
      <c r="B122" s="8">
        <v>120</v>
      </c>
      <c r="D122">
        <v>448.89978828510999</v>
      </c>
      <c r="E122">
        <v>191.16513761467999</v>
      </c>
      <c r="F122">
        <v>142.61636107192999</v>
      </c>
      <c r="G122">
        <v>118.9125528914</v>
      </c>
      <c r="I122" s="9">
        <f t="shared" si="8"/>
        <v>72.252584723279995</v>
      </c>
      <c r="J122" s="9">
        <f t="shared" si="9"/>
        <v>306.28342721318</v>
      </c>
      <c r="K122" s="9">
        <f t="shared" si="10"/>
        <v>72.252584723279995</v>
      </c>
      <c r="L122" s="10">
        <f t="shared" si="7"/>
        <v>0.23590105863935826</v>
      </c>
      <c r="M122" s="10">
        <f t="shared" si="11"/>
        <v>0.24544641971347547</v>
      </c>
      <c r="P122" s="8">
        <f t="shared" si="12"/>
        <v>-23.538780652434173</v>
      </c>
      <c r="X122" s="8">
        <v>-13</v>
      </c>
    </row>
    <row r="123" spans="1:24" x14ac:dyDescent="0.2">
      <c r="A123" s="8">
        <v>60.5</v>
      </c>
      <c r="B123" s="8">
        <v>121</v>
      </c>
      <c r="D123">
        <v>456.18987341771998</v>
      </c>
      <c r="E123">
        <v>192.16947960619001</v>
      </c>
      <c r="F123">
        <v>142.71791255289</v>
      </c>
      <c r="G123">
        <v>118.61283497884</v>
      </c>
      <c r="I123" s="9">
        <f t="shared" si="8"/>
        <v>73.556644627350011</v>
      </c>
      <c r="J123" s="9">
        <f t="shared" si="9"/>
        <v>313.47196086482995</v>
      </c>
      <c r="K123" s="9">
        <f t="shared" si="10"/>
        <v>73.556644627350011</v>
      </c>
      <c r="L123" s="10">
        <f t="shared" si="7"/>
        <v>0.23465143237824659</v>
      </c>
      <c r="M123" s="10">
        <f t="shared" si="11"/>
        <v>0.24427633812798144</v>
      </c>
      <c r="P123" s="8">
        <f t="shared" si="12"/>
        <v>-23.903283279392209</v>
      </c>
      <c r="X123" s="8">
        <v>-13</v>
      </c>
    </row>
    <row r="124" spans="1:24" x14ac:dyDescent="0.2">
      <c r="A124" s="8">
        <v>61</v>
      </c>
      <c r="B124" s="8">
        <v>122</v>
      </c>
      <c r="D124">
        <v>448.33027522935998</v>
      </c>
      <c r="E124">
        <v>190.54128440367001</v>
      </c>
      <c r="F124">
        <v>142.66713681241001</v>
      </c>
      <c r="G124">
        <v>118.33145275035</v>
      </c>
      <c r="I124" s="9">
        <f t="shared" si="8"/>
        <v>72.209831653320009</v>
      </c>
      <c r="J124" s="9">
        <f t="shared" si="9"/>
        <v>305.66313841695001</v>
      </c>
      <c r="K124" s="9">
        <f t="shared" si="10"/>
        <v>72.209831653320009</v>
      </c>
      <c r="L124" s="10">
        <f t="shared" si="7"/>
        <v>0.23623990785182536</v>
      </c>
      <c r="M124" s="10">
        <f t="shared" si="11"/>
        <v>0.24594435827717784</v>
      </c>
      <c r="P124" s="8">
        <f t="shared" si="12"/>
        <v>-23.383663336869727</v>
      </c>
      <c r="X124" s="8">
        <v>-13</v>
      </c>
    </row>
    <row r="125" spans="1:24" x14ac:dyDescent="0.2">
      <c r="A125" s="8">
        <v>61.5</v>
      </c>
      <c r="B125" s="8">
        <v>123</v>
      </c>
      <c r="D125">
        <v>448.53705010585998</v>
      </c>
      <c r="E125">
        <v>189.28652081863001</v>
      </c>
      <c r="F125">
        <v>142.06558533145</v>
      </c>
      <c r="G125">
        <v>118.25176304654001</v>
      </c>
      <c r="I125" s="9">
        <f t="shared" si="8"/>
        <v>71.034757772090003</v>
      </c>
      <c r="J125" s="9">
        <f t="shared" si="9"/>
        <v>306.47146477440998</v>
      </c>
      <c r="K125" s="9">
        <f t="shared" si="10"/>
        <v>71.034757772090003</v>
      </c>
      <c r="L125" s="10">
        <f t="shared" si="7"/>
        <v>0.23178261579549617</v>
      </c>
      <c r="M125" s="10">
        <f t="shared" si="11"/>
        <v>0.24156661089646631</v>
      </c>
      <c r="P125" s="8">
        <f t="shared" si="12"/>
        <v>-24.747414754044865</v>
      </c>
      <c r="X125" s="8">
        <v>-13</v>
      </c>
    </row>
    <row r="126" spans="1:24" x14ac:dyDescent="0.2">
      <c r="A126" s="8">
        <v>62</v>
      </c>
      <c r="B126" s="8">
        <v>124</v>
      </c>
      <c r="D126">
        <v>455.07277816654999</v>
      </c>
      <c r="E126">
        <v>189.82435269419</v>
      </c>
      <c r="F126">
        <v>142.15162200282001</v>
      </c>
      <c r="G126">
        <v>118.658674189</v>
      </c>
      <c r="I126" s="9">
        <f t="shared" si="8"/>
        <v>71.165678505190002</v>
      </c>
      <c r="J126" s="9">
        <f t="shared" si="9"/>
        <v>312.92115616372996</v>
      </c>
      <c r="K126" s="9">
        <f t="shared" si="10"/>
        <v>71.165678505190002</v>
      </c>
      <c r="L126" s="10">
        <f t="shared" si="7"/>
        <v>0.22742367239610328</v>
      </c>
      <c r="M126" s="10">
        <f t="shared" si="11"/>
        <v>0.23728721217269105</v>
      </c>
      <c r="P126" s="8">
        <f t="shared" si="12"/>
        <v>-26.080528697512623</v>
      </c>
      <c r="X126" s="8">
        <v>-13</v>
      </c>
    </row>
    <row r="127" spans="1:24" x14ac:dyDescent="0.2">
      <c r="A127" s="8">
        <v>62.5</v>
      </c>
      <c r="B127" s="8">
        <v>125</v>
      </c>
      <c r="D127">
        <v>453.10566829951</v>
      </c>
      <c r="E127">
        <v>188.64520643807001</v>
      </c>
      <c r="F127">
        <v>142.65232722144</v>
      </c>
      <c r="G127">
        <v>118.30183356841</v>
      </c>
      <c r="I127" s="9">
        <f t="shared" si="8"/>
        <v>70.343372869660001</v>
      </c>
      <c r="J127" s="9">
        <f t="shared" si="9"/>
        <v>310.45334107807003</v>
      </c>
      <c r="K127" s="9">
        <f t="shared" si="10"/>
        <v>70.343372869660001</v>
      </c>
      <c r="L127" s="10">
        <f t="shared" si="7"/>
        <v>0.22658275354804663</v>
      </c>
      <c r="M127" s="10">
        <f t="shared" si="11"/>
        <v>0.23652583800025206</v>
      </c>
      <c r="P127" s="8">
        <f t="shared" si="12"/>
        <v>-26.31771120631592</v>
      </c>
      <c r="X127" s="8">
        <v>-13</v>
      </c>
    </row>
    <row r="128" spans="1:24" x14ac:dyDescent="0.2">
      <c r="A128" s="8">
        <v>63</v>
      </c>
      <c r="B128" s="8">
        <v>126</v>
      </c>
      <c r="D128">
        <v>462.23011963405997</v>
      </c>
      <c r="E128">
        <v>189.36171710062999</v>
      </c>
      <c r="F128">
        <v>142.44076163611001</v>
      </c>
      <c r="G128">
        <v>118.60014104372</v>
      </c>
      <c r="I128" s="9">
        <f t="shared" si="8"/>
        <v>70.761576056909988</v>
      </c>
      <c r="J128" s="9">
        <f t="shared" si="9"/>
        <v>319.78935799794999</v>
      </c>
      <c r="K128" s="9">
        <f t="shared" si="10"/>
        <v>70.761576056909988</v>
      </c>
      <c r="L128" s="10">
        <f t="shared" si="7"/>
        <v>0.22127558121356747</v>
      </c>
      <c r="M128" s="10">
        <f t="shared" si="11"/>
        <v>0.23129821034139053</v>
      </c>
      <c r="P128" s="8">
        <f t="shared" si="12"/>
        <v>-27.946216464441992</v>
      </c>
      <c r="X128" s="8">
        <v>-13</v>
      </c>
    </row>
    <row r="129" spans="1:24" x14ac:dyDescent="0.2">
      <c r="A129" s="8">
        <v>63.5</v>
      </c>
      <c r="B129" s="8">
        <v>127</v>
      </c>
      <c r="D129">
        <v>455.73103932584002</v>
      </c>
      <c r="E129">
        <v>189.79424157303001</v>
      </c>
      <c r="F129">
        <v>142.16290550071</v>
      </c>
      <c r="G129">
        <v>118.35472496474</v>
      </c>
      <c r="I129" s="9">
        <f t="shared" si="8"/>
        <v>71.439516608290006</v>
      </c>
      <c r="J129" s="9">
        <f t="shared" si="9"/>
        <v>313.56813382513002</v>
      </c>
      <c r="K129" s="9">
        <f t="shared" si="10"/>
        <v>71.439516608290006</v>
      </c>
      <c r="L129" s="10">
        <f t="shared" si="7"/>
        <v>0.22782773152622146</v>
      </c>
      <c r="M129" s="10">
        <f t="shared" si="11"/>
        <v>0.23792990532966216</v>
      </c>
      <c r="P129" s="8">
        <f t="shared" si="12"/>
        <v>-25.880317578093106</v>
      </c>
      <c r="X129" s="8">
        <v>-13</v>
      </c>
    </row>
    <row r="130" spans="1:24" x14ac:dyDescent="0.2">
      <c r="A130" s="8">
        <v>64</v>
      </c>
      <c r="B130" s="8">
        <v>128</v>
      </c>
      <c r="D130">
        <v>454.16151685392998</v>
      </c>
      <c r="E130">
        <v>190.06109550561999</v>
      </c>
      <c r="F130">
        <v>142.54090267983</v>
      </c>
      <c r="G130">
        <v>117.85825105783</v>
      </c>
      <c r="I130" s="9">
        <f t="shared" si="8"/>
        <v>72.202844447789985</v>
      </c>
      <c r="J130" s="9">
        <f t="shared" si="9"/>
        <v>311.62061417409996</v>
      </c>
      <c r="K130" s="9">
        <f t="shared" si="10"/>
        <v>72.202844447789985</v>
      </c>
      <c r="L130" s="10">
        <f t="shared" ref="L130:L193" si="14">K130/J130</f>
        <v>0.23170111720353273</v>
      </c>
      <c r="M130" s="10">
        <f t="shared" si="11"/>
        <v>0.24188283568259109</v>
      </c>
      <c r="P130" s="8">
        <f t="shared" si="12"/>
        <v>-24.648904729888681</v>
      </c>
      <c r="X130" s="8">
        <v>-13</v>
      </c>
    </row>
    <row r="131" spans="1:24" x14ac:dyDescent="0.2">
      <c r="A131" s="8">
        <v>64.5</v>
      </c>
      <c r="B131" s="8">
        <v>129</v>
      </c>
      <c r="D131">
        <v>453.55688202247001</v>
      </c>
      <c r="E131">
        <v>189.10884831460999</v>
      </c>
      <c r="F131">
        <v>142.7898448519</v>
      </c>
      <c r="G131">
        <v>118.38857545838999</v>
      </c>
      <c r="I131" s="9">
        <f t="shared" ref="I131:I194" si="15">E131-G131</f>
        <v>70.720272856219992</v>
      </c>
      <c r="J131" s="9">
        <f t="shared" ref="J131:J194" si="16">D131-F131</f>
        <v>310.76703717057001</v>
      </c>
      <c r="K131" s="9">
        <f t="shared" ref="K131:K194" si="17">I131*1</f>
        <v>70.720272856219992</v>
      </c>
      <c r="L131" s="10">
        <f t="shared" si="14"/>
        <v>0.22756684074380745</v>
      </c>
      <c r="M131" s="10">
        <f t="shared" ref="M131:M181" si="18">L131+ABS($N$2)*A131</f>
        <v>0.23782810389848344</v>
      </c>
      <c r="P131" s="8">
        <f t="shared" ref="P131:P194" si="19">(M131-$O$2)/$O$2*100</f>
        <v>-25.912030656525211</v>
      </c>
      <c r="X131" s="8">
        <v>-13</v>
      </c>
    </row>
    <row r="132" spans="1:24" x14ac:dyDescent="0.2">
      <c r="A132" s="8">
        <v>65</v>
      </c>
      <c r="B132" s="8">
        <v>130</v>
      </c>
      <c r="D132">
        <v>451.61603375527</v>
      </c>
      <c r="E132">
        <v>188.74683544304</v>
      </c>
      <c r="F132">
        <v>142.49647390691001</v>
      </c>
      <c r="G132">
        <v>118.35260930889</v>
      </c>
      <c r="I132" s="9">
        <f t="shared" si="15"/>
        <v>70.394226134150003</v>
      </c>
      <c r="J132" s="9">
        <f t="shared" si="16"/>
        <v>309.11955984835998</v>
      </c>
      <c r="K132" s="9">
        <f t="shared" si="17"/>
        <v>70.394226134150003</v>
      </c>
      <c r="L132" s="10">
        <f t="shared" si="14"/>
        <v>0.22772491707959927</v>
      </c>
      <c r="M132" s="10">
        <f t="shared" si="18"/>
        <v>0.23806572490989292</v>
      </c>
      <c r="P132" s="8">
        <f t="shared" si="19"/>
        <v>-25.838007200423547</v>
      </c>
      <c r="X132" s="8">
        <v>-13</v>
      </c>
    </row>
    <row r="133" spans="1:24" x14ac:dyDescent="0.2">
      <c r="A133" s="8">
        <v>65.5</v>
      </c>
      <c r="B133" s="8">
        <v>131</v>
      </c>
      <c r="D133">
        <v>450.86708860760001</v>
      </c>
      <c r="E133">
        <v>189.18635724332</v>
      </c>
      <c r="F133">
        <v>142.56981664316001</v>
      </c>
      <c r="G133">
        <v>118.57757404796</v>
      </c>
      <c r="I133" s="9">
        <f t="shared" si="15"/>
        <v>70.608783195360004</v>
      </c>
      <c r="J133" s="9">
        <f t="shared" si="16"/>
        <v>308.29727196444003</v>
      </c>
      <c r="K133" s="9">
        <f t="shared" si="17"/>
        <v>70.608783195360004</v>
      </c>
      <c r="L133" s="10">
        <f t="shared" si="14"/>
        <v>0.22902824519155732</v>
      </c>
      <c r="M133" s="10">
        <f t="shared" si="18"/>
        <v>0.2394485976974686</v>
      </c>
      <c r="P133" s="8">
        <f t="shared" si="19"/>
        <v>-25.407216074343825</v>
      </c>
      <c r="X133" s="8">
        <v>-13</v>
      </c>
    </row>
    <row r="134" spans="1:24" x14ac:dyDescent="0.2">
      <c r="A134" s="8">
        <v>66</v>
      </c>
      <c r="B134" s="8">
        <v>132</v>
      </c>
      <c r="D134">
        <v>449.21659634318002</v>
      </c>
      <c r="E134">
        <v>188.94514767933001</v>
      </c>
      <c r="F134">
        <v>142.45133991537</v>
      </c>
      <c r="G134">
        <v>118.1784203103</v>
      </c>
      <c r="I134" s="9">
        <f t="shared" si="15"/>
        <v>70.766727369030008</v>
      </c>
      <c r="J134" s="9">
        <f t="shared" si="16"/>
        <v>306.76525642781002</v>
      </c>
      <c r="K134" s="9">
        <f t="shared" si="17"/>
        <v>70.766727369030008</v>
      </c>
      <c r="L134" s="10">
        <f t="shared" si="14"/>
        <v>0.23068690435510023</v>
      </c>
      <c r="M134" s="10">
        <f t="shared" si="18"/>
        <v>0.24118680153662914</v>
      </c>
      <c r="P134" s="8">
        <f t="shared" si="19"/>
        <v>-24.865732580015479</v>
      </c>
      <c r="X134" s="8">
        <v>-13</v>
      </c>
    </row>
    <row r="135" spans="1:24" x14ac:dyDescent="0.2">
      <c r="A135" s="8">
        <v>66.5</v>
      </c>
      <c r="B135" s="8">
        <v>133</v>
      </c>
      <c r="D135">
        <v>452.54992967650998</v>
      </c>
      <c r="E135">
        <v>188.74120956399</v>
      </c>
      <c r="F135">
        <v>141.81593794075999</v>
      </c>
      <c r="G135">
        <v>117.95486600846</v>
      </c>
      <c r="I135" s="9">
        <f t="shared" si="15"/>
        <v>70.786343555529996</v>
      </c>
      <c r="J135" s="9">
        <f t="shared" si="16"/>
        <v>310.73399173575001</v>
      </c>
      <c r="K135" s="9">
        <f t="shared" si="17"/>
        <v>70.786343555529996</v>
      </c>
      <c r="L135" s="10">
        <f t="shared" si="14"/>
        <v>0.22780366949917444</v>
      </c>
      <c r="M135" s="10">
        <f t="shared" si="18"/>
        <v>0.23838311135632101</v>
      </c>
      <c r="P135" s="8">
        <f t="shared" si="19"/>
        <v>-25.739135297029677</v>
      </c>
      <c r="X135" s="8">
        <v>-13</v>
      </c>
    </row>
    <row r="136" spans="1:24" x14ac:dyDescent="0.2">
      <c r="A136" s="8">
        <v>67</v>
      </c>
      <c r="B136" s="8">
        <v>134</v>
      </c>
      <c r="D136">
        <v>452.76230661041001</v>
      </c>
      <c r="E136">
        <v>188.51054852320999</v>
      </c>
      <c r="F136">
        <v>142.24964739069</v>
      </c>
      <c r="G136">
        <v>118.51410437235999</v>
      </c>
      <c r="I136" s="9">
        <f t="shared" si="15"/>
        <v>69.996444150849996</v>
      </c>
      <c r="J136" s="9">
        <f t="shared" si="16"/>
        <v>310.51265921972004</v>
      </c>
      <c r="K136" s="9">
        <f t="shared" si="17"/>
        <v>69.996444150849996</v>
      </c>
      <c r="L136" s="10">
        <f t="shared" si="14"/>
        <v>0.22542219156778476</v>
      </c>
      <c r="M136" s="10">
        <f t="shared" si="18"/>
        <v>0.23608117810054896</v>
      </c>
      <c r="P136" s="8">
        <f t="shared" si="19"/>
        <v>-26.456231206591152</v>
      </c>
      <c r="X136" s="8">
        <v>-13</v>
      </c>
    </row>
    <row r="137" spans="1:24" x14ac:dyDescent="0.2">
      <c r="A137" s="8">
        <v>67.5</v>
      </c>
      <c r="B137" s="8">
        <v>135</v>
      </c>
      <c r="D137">
        <v>452.82911392404998</v>
      </c>
      <c r="E137">
        <v>187.85935302390999</v>
      </c>
      <c r="F137">
        <v>142.04866008463</v>
      </c>
      <c r="G137">
        <v>118.34696755994</v>
      </c>
      <c r="I137" s="9">
        <f t="shared" si="15"/>
        <v>69.512385463969991</v>
      </c>
      <c r="J137" s="9">
        <f t="shared" si="16"/>
        <v>310.78045383941998</v>
      </c>
      <c r="K137" s="9">
        <f t="shared" si="17"/>
        <v>69.512385463969991</v>
      </c>
      <c r="L137" s="10">
        <f t="shared" si="14"/>
        <v>0.22367039048049975</v>
      </c>
      <c r="M137" s="10">
        <f t="shared" si="18"/>
        <v>0.23440892168888161</v>
      </c>
      <c r="P137" s="8">
        <f t="shared" si="19"/>
        <v>-26.977170825295438</v>
      </c>
      <c r="X137" s="8">
        <v>-13</v>
      </c>
    </row>
    <row r="138" spans="1:24" x14ac:dyDescent="0.2">
      <c r="A138" s="8">
        <v>68</v>
      </c>
      <c r="B138" s="8">
        <v>136</v>
      </c>
      <c r="D138">
        <v>454.27988748242001</v>
      </c>
      <c r="E138">
        <v>188.12798874824</v>
      </c>
      <c r="F138">
        <v>142.26939351198999</v>
      </c>
      <c r="G138">
        <v>118.26939351199</v>
      </c>
      <c r="I138" s="9">
        <f t="shared" si="15"/>
        <v>69.858595236249997</v>
      </c>
      <c r="J138" s="9">
        <f t="shared" si="16"/>
        <v>312.01049397043005</v>
      </c>
      <c r="K138" s="9">
        <f t="shared" si="17"/>
        <v>69.858595236249997</v>
      </c>
      <c r="L138" s="10">
        <f t="shared" si="14"/>
        <v>0.22389822325293537</v>
      </c>
      <c r="M138" s="10">
        <f t="shared" si="18"/>
        <v>0.23471629913693487</v>
      </c>
      <c r="P138" s="8">
        <f t="shared" si="19"/>
        <v>-26.881416914908275</v>
      </c>
      <c r="X138" s="8">
        <v>-13</v>
      </c>
    </row>
    <row r="139" spans="1:24" x14ac:dyDescent="0.2">
      <c r="A139" s="8">
        <v>68.5</v>
      </c>
      <c r="B139" s="8">
        <v>137</v>
      </c>
      <c r="D139">
        <v>458.94796061885</v>
      </c>
      <c r="E139">
        <v>188.13924050633</v>
      </c>
      <c r="F139">
        <v>142.22284908322001</v>
      </c>
      <c r="G139">
        <v>118.03878702398001</v>
      </c>
      <c r="I139" s="9">
        <f t="shared" si="15"/>
        <v>70.100453482349991</v>
      </c>
      <c r="J139" s="9">
        <f t="shared" si="16"/>
        <v>316.72511153562999</v>
      </c>
      <c r="K139" s="9">
        <f t="shared" si="17"/>
        <v>70.100453482349991</v>
      </c>
      <c r="L139" s="10">
        <f t="shared" si="14"/>
        <v>0.22132900401382932</v>
      </c>
      <c r="M139" s="10">
        <f t="shared" si="18"/>
        <v>0.23222662457344645</v>
      </c>
      <c r="P139" s="8">
        <f t="shared" si="19"/>
        <v>-27.656997805944151</v>
      </c>
      <c r="X139" s="8">
        <v>-13</v>
      </c>
    </row>
    <row r="140" spans="1:24" x14ac:dyDescent="0.2">
      <c r="A140" s="8">
        <v>69</v>
      </c>
      <c r="B140" s="8">
        <v>138</v>
      </c>
      <c r="D140">
        <v>459.81434599156</v>
      </c>
      <c r="E140">
        <v>187.61392405063</v>
      </c>
      <c r="F140">
        <v>141.98166431594001</v>
      </c>
      <c r="G140">
        <v>118.24118476728</v>
      </c>
      <c r="I140" s="9">
        <f t="shared" si="15"/>
        <v>69.372739283350001</v>
      </c>
      <c r="J140" s="9">
        <f t="shared" si="16"/>
        <v>317.83268167561999</v>
      </c>
      <c r="K140" s="9">
        <f t="shared" si="17"/>
        <v>69.372739283350001</v>
      </c>
      <c r="L140" s="10">
        <f t="shared" si="14"/>
        <v>0.21826811175495103</v>
      </c>
      <c r="M140" s="10">
        <f t="shared" si="18"/>
        <v>0.22924527699018582</v>
      </c>
      <c r="P140" s="8">
        <f t="shared" si="19"/>
        <v>-28.585744176663813</v>
      </c>
      <c r="X140" s="8">
        <v>-13</v>
      </c>
    </row>
    <row r="141" spans="1:24" x14ac:dyDescent="0.2">
      <c r="A141" s="8">
        <v>69.5</v>
      </c>
      <c r="B141" s="8">
        <v>139</v>
      </c>
      <c r="D141">
        <v>461.60829817158998</v>
      </c>
      <c r="E141">
        <v>188.16244725737999</v>
      </c>
      <c r="F141">
        <v>142</v>
      </c>
      <c r="G141">
        <v>118.25669957687001</v>
      </c>
      <c r="I141" s="9">
        <f t="shared" si="15"/>
        <v>69.90574768050999</v>
      </c>
      <c r="J141" s="9">
        <f t="shared" si="16"/>
        <v>319.60829817158998</v>
      </c>
      <c r="K141" s="9">
        <f t="shared" si="17"/>
        <v>69.90574768050999</v>
      </c>
      <c r="L141" s="10">
        <f t="shared" si="14"/>
        <v>0.21872319361050907</v>
      </c>
      <c r="M141" s="10">
        <f t="shared" si="18"/>
        <v>0.22977990352136149</v>
      </c>
      <c r="P141" s="8">
        <f t="shared" si="19"/>
        <v>-28.419197862739292</v>
      </c>
      <c r="X141" s="8">
        <v>-13</v>
      </c>
    </row>
    <row r="142" spans="1:24" x14ac:dyDescent="0.2">
      <c r="A142" s="8">
        <v>70</v>
      </c>
      <c r="B142" s="8">
        <v>140</v>
      </c>
      <c r="D142">
        <v>467.32980972515998</v>
      </c>
      <c r="E142">
        <v>187.28470754052</v>
      </c>
      <c r="F142">
        <v>142.33497884344001</v>
      </c>
      <c r="G142">
        <v>118.24047954866001</v>
      </c>
      <c r="I142" s="9">
        <f t="shared" si="15"/>
        <v>69.044227991859998</v>
      </c>
      <c r="J142" s="9">
        <f t="shared" si="16"/>
        <v>324.99483088171996</v>
      </c>
      <c r="K142" s="9">
        <f t="shared" si="17"/>
        <v>69.044227991859998</v>
      </c>
      <c r="L142" s="10">
        <f t="shared" si="14"/>
        <v>0.21244715740413808</v>
      </c>
      <c r="M142" s="10">
        <f t="shared" si="18"/>
        <v>0.22358341199060816</v>
      </c>
      <c r="P142" s="8">
        <f t="shared" si="19"/>
        <v>-30.349522610076612</v>
      </c>
      <c r="X142" s="8">
        <v>-13</v>
      </c>
    </row>
    <row r="143" spans="1:24" x14ac:dyDescent="0.2">
      <c r="A143" s="8">
        <v>70.5</v>
      </c>
      <c r="B143" s="8">
        <v>141</v>
      </c>
      <c r="D143">
        <v>461.8245243129</v>
      </c>
      <c r="E143">
        <v>186.35095137421001</v>
      </c>
      <c r="F143">
        <v>141.79971791254999</v>
      </c>
      <c r="G143">
        <v>118.0197461213</v>
      </c>
      <c r="I143" s="9">
        <f t="shared" si="15"/>
        <v>68.33120525291001</v>
      </c>
      <c r="J143" s="9">
        <f t="shared" si="16"/>
        <v>320.02480640035003</v>
      </c>
      <c r="K143" s="9">
        <f t="shared" si="17"/>
        <v>68.33120525291001</v>
      </c>
      <c r="L143" s="10">
        <f t="shared" si="14"/>
        <v>0.21351846446374501</v>
      </c>
      <c r="M143" s="10">
        <f t="shared" si="18"/>
        <v>0.22473426372583272</v>
      </c>
      <c r="P143" s="8">
        <f t="shared" si="19"/>
        <v>-29.991010446541068</v>
      </c>
      <c r="X143" s="8">
        <v>-13</v>
      </c>
    </row>
    <row r="144" spans="1:24" x14ac:dyDescent="0.2">
      <c r="A144" s="8">
        <v>71</v>
      </c>
      <c r="B144" s="8">
        <v>142</v>
      </c>
      <c r="D144">
        <v>461.29527836505002</v>
      </c>
      <c r="E144">
        <v>186.07399577167001</v>
      </c>
      <c r="F144">
        <v>141.8293370945</v>
      </c>
      <c r="G144">
        <v>117.70310296192</v>
      </c>
      <c r="I144" s="9">
        <f t="shared" si="15"/>
        <v>68.370892809750018</v>
      </c>
      <c r="J144" s="9">
        <f t="shared" si="16"/>
        <v>319.46594127055005</v>
      </c>
      <c r="K144" s="9">
        <f t="shared" si="17"/>
        <v>68.370892809750018</v>
      </c>
      <c r="L144" s="10">
        <f t="shared" si="14"/>
        <v>0.21401621887401112</v>
      </c>
      <c r="M144" s="10">
        <f t="shared" si="18"/>
        <v>0.22531156281171649</v>
      </c>
      <c r="P144" s="8">
        <f t="shared" si="19"/>
        <v>-29.81117082172015</v>
      </c>
    </row>
    <row r="145" spans="1:16" x14ac:dyDescent="0.2">
      <c r="A145" s="8">
        <v>71.5</v>
      </c>
      <c r="B145" s="8">
        <v>143</v>
      </c>
      <c r="D145">
        <v>460.42001409442997</v>
      </c>
      <c r="E145">
        <v>186.30584918957001</v>
      </c>
      <c r="F145">
        <v>142.25105782793</v>
      </c>
      <c r="G145">
        <v>118.27715091678</v>
      </c>
      <c r="I145" s="9">
        <f t="shared" si="15"/>
        <v>68.02869827279001</v>
      </c>
      <c r="J145" s="9">
        <f t="shared" si="16"/>
        <v>318.1689562665</v>
      </c>
      <c r="K145" s="9">
        <f t="shared" si="17"/>
        <v>68.02869827279001</v>
      </c>
      <c r="L145" s="10">
        <f t="shared" si="14"/>
        <v>0.2138131232885235</v>
      </c>
      <c r="M145" s="10">
        <f t="shared" si="18"/>
        <v>0.22518801190184651</v>
      </c>
      <c r="P145" s="8">
        <f t="shared" si="19"/>
        <v>-29.849659275661288</v>
      </c>
    </row>
    <row r="146" spans="1:16" x14ac:dyDescent="0.2">
      <c r="A146" s="8">
        <v>72</v>
      </c>
      <c r="B146" s="8">
        <v>144</v>
      </c>
      <c r="D146">
        <v>460.56025369979</v>
      </c>
      <c r="E146">
        <v>186.44326990838999</v>
      </c>
      <c r="F146">
        <v>142.37799717913001</v>
      </c>
      <c r="G146">
        <v>118.00211565585001</v>
      </c>
      <c r="I146" s="9">
        <f t="shared" si="15"/>
        <v>68.441154252539988</v>
      </c>
      <c r="J146" s="9">
        <f t="shared" si="16"/>
        <v>318.18225652065996</v>
      </c>
      <c r="K146" s="9">
        <f t="shared" si="17"/>
        <v>68.441154252539988</v>
      </c>
      <c r="L146" s="10">
        <f t="shared" si="14"/>
        <v>0.21510047417774855</v>
      </c>
      <c r="M146" s="10">
        <f t="shared" si="18"/>
        <v>0.22655490746668919</v>
      </c>
      <c r="P146" s="8">
        <f t="shared" si="19"/>
        <v>-29.423845357777878</v>
      </c>
    </row>
    <row r="147" spans="1:16" x14ac:dyDescent="0.2">
      <c r="A147" s="8">
        <v>72.5</v>
      </c>
      <c r="B147" s="8">
        <v>145</v>
      </c>
      <c r="D147">
        <v>456.13258110013999</v>
      </c>
      <c r="E147">
        <v>188.22849083215999</v>
      </c>
      <c r="F147">
        <v>142.22990126939001</v>
      </c>
      <c r="G147">
        <v>117.93723554301999</v>
      </c>
      <c r="I147" s="9">
        <f t="shared" si="15"/>
        <v>70.291255289139997</v>
      </c>
      <c r="J147" s="9">
        <f t="shared" si="16"/>
        <v>313.90267983075</v>
      </c>
      <c r="K147" s="9">
        <f t="shared" si="17"/>
        <v>70.291255289139997</v>
      </c>
      <c r="L147" s="10">
        <f t="shared" si="14"/>
        <v>0.2239269041189442</v>
      </c>
      <c r="M147" s="10">
        <f t="shared" si="18"/>
        <v>0.23546088208350249</v>
      </c>
      <c r="P147" s="8">
        <f t="shared" si="19"/>
        <v>-26.649465191732091</v>
      </c>
    </row>
    <row r="148" spans="1:16" x14ac:dyDescent="0.2">
      <c r="A148" s="8">
        <v>73</v>
      </c>
      <c r="B148" s="8">
        <v>146</v>
      </c>
      <c r="D148">
        <v>452.30606488011</v>
      </c>
      <c r="E148">
        <v>188.11071932299001</v>
      </c>
      <c r="F148">
        <v>142.31311706629</v>
      </c>
      <c r="G148">
        <v>118.19393511989</v>
      </c>
      <c r="I148" s="9">
        <f t="shared" si="15"/>
        <v>69.916784203100008</v>
      </c>
      <c r="J148" s="9">
        <f t="shared" si="16"/>
        <v>309.99294781382002</v>
      </c>
      <c r="K148" s="9">
        <f t="shared" si="17"/>
        <v>69.916784203100008</v>
      </c>
      <c r="L148" s="10">
        <f t="shared" si="14"/>
        <v>0.22554314443660062</v>
      </c>
      <c r="M148" s="10">
        <f t="shared" si="18"/>
        <v>0.23715666707677655</v>
      </c>
      <c r="P148" s="8">
        <f t="shared" si="19"/>
        <v>-26.121195973185742</v>
      </c>
    </row>
    <row r="149" spans="1:16" x14ac:dyDescent="0.2">
      <c r="A149" s="8">
        <v>73.5</v>
      </c>
      <c r="B149" s="8">
        <v>147</v>
      </c>
      <c r="D149">
        <v>455.86812411848001</v>
      </c>
      <c r="E149">
        <v>187.38716502116</v>
      </c>
      <c r="F149">
        <v>141.67489421721001</v>
      </c>
      <c r="G149">
        <v>117.9442877292</v>
      </c>
      <c r="I149" s="9">
        <f t="shared" si="15"/>
        <v>69.442877291960002</v>
      </c>
      <c r="J149" s="9">
        <f t="shared" si="16"/>
        <v>314.19322990127</v>
      </c>
      <c r="K149" s="9">
        <f t="shared" si="17"/>
        <v>69.442877291960002</v>
      </c>
      <c r="L149" s="10">
        <f t="shared" si="14"/>
        <v>0.22101964868492319</v>
      </c>
      <c r="M149" s="10">
        <f t="shared" si="18"/>
        <v>0.23271271600071675</v>
      </c>
      <c r="P149" s="8">
        <f t="shared" si="19"/>
        <v>-27.50557109828684</v>
      </c>
    </row>
    <row r="150" spans="1:16" x14ac:dyDescent="0.2">
      <c r="A150" s="8">
        <v>74</v>
      </c>
      <c r="B150" s="8">
        <v>148</v>
      </c>
      <c r="D150">
        <v>447.67207334274002</v>
      </c>
      <c r="E150">
        <v>186.4442877292</v>
      </c>
      <c r="F150">
        <v>141.90056417489001</v>
      </c>
      <c r="G150">
        <v>118.14174894217</v>
      </c>
      <c r="I150" s="9">
        <f t="shared" si="15"/>
        <v>68.302538787030002</v>
      </c>
      <c r="J150" s="9">
        <f t="shared" si="16"/>
        <v>305.77150916785001</v>
      </c>
      <c r="K150" s="9">
        <f t="shared" si="17"/>
        <v>68.302538787030002</v>
      </c>
      <c r="L150" s="10">
        <f t="shared" si="14"/>
        <v>0.22337770766450335</v>
      </c>
      <c r="M150" s="10">
        <f t="shared" si="18"/>
        <v>0.23515031965591457</v>
      </c>
      <c r="P150" s="8">
        <f t="shared" si="19"/>
        <v>-26.746211283708636</v>
      </c>
    </row>
    <row r="151" spans="1:16" x14ac:dyDescent="0.2">
      <c r="A151" s="8">
        <v>74.5</v>
      </c>
      <c r="B151" s="8">
        <v>149</v>
      </c>
      <c r="D151">
        <v>452.07757404796001</v>
      </c>
      <c r="E151">
        <v>187.12482369534999</v>
      </c>
      <c r="F151">
        <v>142.22073342735999</v>
      </c>
      <c r="G151">
        <v>118.22637517631</v>
      </c>
      <c r="I151" s="9">
        <f t="shared" si="15"/>
        <v>68.898448519039988</v>
      </c>
      <c r="J151" s="9">
        <f t="shared" si="16"/>
        <v>309.8568406206</v>
      </c>
      <c r="K151" s="9">
        <f t="shared" si="17"/>
        <v>68.898448519039988</v>
      </c>
      <c r="L151" s="10">
        <f t="shared" si="14"/>
        <v>0.22235574461111143</v>
      </c>
      <c r="M151" s="10">
        <f t="shared" si="18"/>
        <v>0.23420790127814028</v>
      </c>
      <c r="P151" s="8">
        <f t="shared" si="19"/>
        <v>-27.039792499455416</v>
      </c>
    </row>
    <row r="152" spans="1:16" x14ac:dyDescent="0.2">
      <c r="A152" s="8">
        <v>75</v>
      </c>
      <c r="B152" s="8">
        <v>150</v>
      </c>
      <c r="D152">
        <v>453.11424541608</v>
      </c>
      <c r="E152">
        <v>186.65373765867</v>
      </c>
      <c r="F152">
        <v>141.78420310295999</v>
      </c>
      <c r="G152">
        <v>118.20803949224</v>
      </c>
      <c r="I152" s="9">
        <f t="shared" si="15"/>
        <v>68.445698166429992</v>
      </c>
      <c r="J152" s="9">
        <f t="shared" si="16"/>
        <v>311.33004231311998</v>
      </c>
      <c r="K152" s="9">
        <f t="shared" si="17"/>
        <v>68.445698166429992</v>
      </c>
      <c r="L152" s="10">
        <f t="shared" si="14"/>
        <v>0.21984932021944345</v>
      </c>
      <c r="M152" s="10">
        <f t="shared" si="18"/>
        <v>0.23178102156208996</v>
      </c>
      <c r="P152" s="8">
        <f t="shared" si="19"/>
        <v>-27.795811603403642</v>
      </c>
    </row>
    <row r="153" spans="1:16" x14ac:dyDescent="0.2">
      <c r="A153" s="8">
        <v>75.5</v>
      </c>
      <c r="B153" s="8">
        <v>151</v>
      </c>
      <c r="D153">
        <v>454.50282087446999</v>
      </c>
      <c r="E153">
        <v>187.27150916784001</v>
      </c>
      <c r="F153">
        <v>141.48660084625999</v>
      </c>
      <c r="G153">
        <v>117.78913963329001</v>
      </c>
      <c r="I153" s="9">
        <f t="shared" si="15"/>
        <v>69.482369534550003</v>
      </c>
      <c r="J153" s="9">
        <f t="shared" si="16"/>
        <v>313.01622002821</v>
      </c>
      <c r="K153" s="9">
        <f t="shared" si="17"/>
        <v>69.482369534550003</v>
      </c>
      <c r="L153" s="10">
        <f t="shared" si="14"/>
        <v>0.22197689796486594</v>
      </c>
      <c r="M153" s="10">
        <f t="shared" si="18"/>
        <v>0.23398814398313009</v>
      </c>
      <c r="P153" s="8">
        <f t="shared" si="19"/>
        <v>-27.10825106877013</v>
      </c>
    </row>
    <row r="154" spans="1:16" x14ac:dyDescent="0.2">
      <c r="A154" s="8">
        <v>76</v>
      </c>
      <c r="B154" s="8">
        <v>152</v>
      </c>
      <c r="D154">
        <v>453</v>
      </c>
      <c r="E154">
        <v>186.30677009873</v>
      </c>
      <c r="F154">
        <v>141.26657263752</v>
      </c>
      <c r="G154">
        <v>118.05077574048001</v>
      </c>
      <c r="I154" s="9">
        <f t="shared" si="15"/>
        <v>68.255994358249993</v>
      </c>
      <c r="J154" s="9">
        <f t="shared" si="16"/>
        <v>311.73342736248003</v>
      </c>
      <c r="K154" s="9">
        <f t="shared" si="17"/>
        <v>68.255994358249993</v>
      </c>
      <c r="L154" s="10">
        <f t="shared" si="14"/>
        <v>0.21895628882584578</v>
      </c>
      <c r="M154" s="10">
        <f t="shared" si="18"/>
        <v>0.23104707951972758</v>
      </c>
      <c r="P154" s="8">
        <f t="shared" si="19"/>
        <v>-28.024448482910707</v>
      </c>
    </row>
    <row r="155" spans="1:16" x14ac:dyDescent="0.2">
      <c r="A155" s="8">
        <v>76.5</v>
      </c>
      <c r="B155" s="8">
        <v>153</v>
      </c>
      <c r="D155">
        <v>453.35684062058999</v>
      </c>
      <c r="E155">
        <v>186.11212976023</v>
      </c>
      <c r="F155">
        <v>142.02327221439</v>
      </c>
      <c r="G155">
        <v>117.98166431593999</v>
      </c>
      <c r="I155" s="9">
        <f t="shared" si="15"/>
        <v>68.13046544429001</v>
      </c>
      <c r="J155" s="9">
        <f t="shared" si="16"/>
        <v>311.33356840620002</v>
      </c>
      <c r="K155" s="9">
        <f t="shared" si="17"/>
        <v>68.13046544429001</v>
      </c>
      <c r="L155" s="10">
        <f t="shared" si="14"/>
        <v>0.21883430621718089</v>
      </c>
      <c r="M155" s="10">
        <f t="shared" si="18"/>
        <v>0.23100464158668033</v>
      </c>
      <c r="P155" s="8">
        <f t="shared" si="19"/>
        <v>-28.037668704705638</v>
      </c>
    </row>
    <row r="156" spans="1:16" x14ac:dyDescent="0.2">
      <c r="A156" s="8">
        <v>77</v>
      </c>
      <c r="B156" s="8">
        <v>154</v>
      </c>
      <c r="D156">
        <v>448.46897038082</v>
      </c>
      <c r="E156">
        <v>183.98377997179</v>
      </c>
      <c r="F156">
        <v>141.15514809590999</v>
      </c>
      <c r="G156">
        <v>117.76868829337</v>
      </c>
      <c r="I156" s="9">
        <f t="shared" si="15"/>
        <v>66.215091678419995</v>
      </c>
      <c r="J156" s="9">
        <f t="shared" si="16"/>
        <v>307.31382228490997</v>
      </c>
      <c r="K156" s="9">
        <f t="shared" si="17"/>
        <v>66.215091678419995</v>
      </c>
      <c r="L156" s="10">
        <f t="shared" si="14"/>
        <v>0.21546408549444329</v>
      </c>
      <c r="M156" s="10">
        <f t="shared" si="18"/>
        <v>0.22771396553956036</v>
      </c>
      <c r="P156" s="8">
        <f t="shared" si="19"/>
        <v>-29.062776764274563</v>
      </c>
    </row>
    <row r="157" spans="1:16" x14ac:dyDescent="0.2">
      <c r="A157" s="8">
        <v>77.5</v>
      </c>
      <c r="B157" s="8">
        <v>155</v>
      </c>
      <c r="D157">
        <v>452.28772919605001</v>
      </c>
      <c r="E157">
        <v>186.34767277856</v>
      </c>
      <c r="F157">
        <v>141.56911142454001</v>
      </c>
      <c r="G157">
        <v>117.90550070522001</v>
      </c>
      <c r="I157" s="9">
        <f t="shared" si="15"/>
        <v>68.442172073339989</v>
      </c>
      <c r="J157" s="9">
        <f t="shared" si="16"/>
        <v>310.71861777151003</v>
      </c>
      <c r="K157" s="9">
        <f t="shared" si="17"/>
        <v>68.442172073339989</v>
      </c>
      <c r="L157" s="10">
        <f t="shared" si="14"/>
        <v>0.22027058617926012</v>
      </c>
      <c r="M157" s="10">
        <f t="shared" si="18"/>
        <v>0.23260001089999485</v>
      </c>
      <c r="P157" s="8">
        <f t="shared" si="19"/>
        <v>-27.540680876779216</v>
      </c>
    </row>
    <row r="158" spans="1:16" x14ac:dyDescent="0.2">
      <c r="A158" s="8">
        <v>78</v>
      </c>
      <c r="B158" s="8">
        <v>156</v>
      </c>
      <c r="D158">
        <v>442.97473684211002</v>
      </c>
      <c r="E158">
        <v>188.19298245613999</v>
      </c>
      <c r="F158">
        <v>142.09873060648999</v>
      </c>
      <c r="G158">
        <v>117.76939351199</v>
      </c>
      <c r="I158" s="9">
        <f t="shared" si="15"/>
        <v>70.423588944149984</v>
      </c>
      <c r="J158" s="9">
        <f t="shared" si="16"/>
        <v>300.87600623562003</v>
      </c>
      <c r="K158" s="9">
        <f t="shared" si="17"/>
        <v>70.423588944149984</v>
      </c>
      <c r="L158" s="10">
        <f t="shared" si="14"/>
        <v>0.23406183106871051</v>
      </c>
      <c r="M158" s="10">
        <f t="shared" si="18"/>
        <v>0.24647080046506287</v>
      </c>
      <c r="P158" s="8">
        <f t="shared" si="19"/>
        <v>-23.219666601253543</v>
      </c>
    </row>
    <row r="159" spans="1:16" x14ac:dyDescent="0.2">
      <c r="A159" s="8">
        <v>78.5</v>
      </c>
      <c r="B159" s="8">
        <v>157</v>
      </c>
      <c r="D159">
        <v>443.98807017543999</v>
      </c>
      <c r="E159">
        <v>189.99228070174999</v>
      </c>
      <c r="F159">
        <v>141.4442877292</v>
      </c>
      <c r="G159">
        <v>117.94569816643001</v>
      </c>
      <c r="I159" s="9">
        <f t="shared" si="15"/>
        <v>72.046582535319985</v>
      </c>
      <c r="J159" s="9">
        <f t="shared" si="16"/>
        <v>302.54378244624002</v>
      </c>
      <c r="K159" s="9">
        <f t="shared" si="17"/>
        <v>72.046582535319985</v>
      </c>
      <c r="L159" s="10">
        <f t="shared" si="14"/>
        <v>0.23813605407052837</v>
      </c>
      <c r="M159" s="10">
        <f t="shared" si="18"/>
        <v>0.25062456814249839</v>
      </c>
      <c r="P159" s="8">
        <f t="shared" si="19"/>
        <v>-21.925689113727007</v>
      </c>
    </row>
    <row r="160" spans="1:16" x14ac:dyDescent="0.2">
      <c r="A160" s="8">
        <v>79</v>
      </c>
      <c r="B160" s="8">
        <v>158</v>
      </c>
      <c r="D160">
        <v>447.04070175439</v>
      </c>
      <c r="E160">
        <v>190.98736842105001</v>
      </c>
      <c r="F160">
        <v>141.60437235543</v>
      </c>
      <c r="G160">
        <v>117.56629055006999</v>
      </c>
      <c r="I160" s="9">
        <f t="shared" si="15"/>
        <v>73.421077870980014</v>
      </c>
      <c r="J160" s="9">
        <f t="shared" si="16"/>
        <v>305.43632939895997</v>
      </c>
      <c r="K160" s="9">
        <f t="shared" si="17"/>
        <v>73.421077870980014</v>
      </c>
      <c r="L160" s="10">
        <f t="shared" si="14"/>
        <v>0.24038095931632819</v>
      </c>
      <c r="M160" s="10">
        <f t="shared" si="18"/>
        <v>0.25294901806391584</v>
      </c>
      <c r="P160" s="8">
        <f t="shared" si="19"/>
        <v>-21.201578835355839</v>
      </c>
    </row>
    <row r="161" spans="1:16" x14ac:dyDescent="0.2">
      <c r="A161" s="8">
        <v>79.5</v>
      </c>
      <c r="B161" s="8">
        <v>159</v>
      </c>
      <c r="D161">
        <v>449.81473684210999</v>
      </c>
      <c r="E161">
        <v>191.59228070175001</v>
      </c>
      <c r="F161">
        <v>141.94076163611001</v>
      </c>
      <c r="G161">
        <v>117.83427362482</v>
      </c>
      <c r="I161" s="9">
        <f t="shared" si="15"/>
        <v>73.758007076930014</v>
      </c>
      <c r="J161" s="9">
        <f t="shared" si="16"/>
        <v>307.87397520599995</v>
      </c>
      <c r="K161" s="9">
        <f t="shared" si="17"/>
        <v>73.758007076930014</v>
      </c>
      <c r="L161" s="10">
        <f t="shared" si="14"/>
        <v>0.23957207499457586</v>
      </c>
      <c r="M161" s="10">
        <f t="shared" si="18"/>
        <v>0.25221967841778115</v>
      </c>
      <c r="P161" s="8">
        <f t="shared" si="19"/>
        <v>-21.428781981065114</v>
      </c>
    </row>
    <row r="162" spans="1:16" x14ac:dyDescent="0.2">
      <c r="A162" s="8">
        <v>80</v>
      </c>
      <c r="B162" s="4">
        <v>160</v>
      </c>
      <c r="C162" s="4" t="s">
        <v>6</v>
      </c>
      <c r="D162">
        <v>453.45894736842001</v>
      </c>
      <c r="E162">
        <v>190.93473684211</v>
      </c>
      <c r="F162">
        <v>141.62200282086999</v>
      </c>
      <c r="G162">
        <v>117.96121297601999</v>
      </c>
      <c r="H162" s="4"/>
      <c r="I162" s="5">
        <f t="shared" si="15"/>
        <v>72.973523866090005</v>
      </c>
      <c r="J162" s="5">
        <f t="shared" si="16"/>
        <v>311.83694454755005</v>
      </c>
      <c r="K162" s="9">
        <f t="shared" si="17"/>
        <v>72.973523866090005</v>
      </c>
      <c r="L162" s="6">
        <f t="shared" si="14"/>
        <v>0.23401179732558192</v>
      </c>
      <c r="M162" s="6">
        <f t="shared" si="18"/>
        <v>0.24673894542440486</v>
      </c>
      <c r="N162" s="4"/>
      <c r="O162" s="4"/>
      <c r="P162" s="4">
        <f t="shared" si="19"/>
        <v>-23.136134355897813</v>
      </c>
    </row>
    <row r="163" spans="1:16" x14ac:dyDescent="0.2">
      <c r="A163" s="8">
        <v>80.5</v>
      </c>
      <c r="B163" s="8">
        <v>161</v>
      </c>
      <c r="D163">
        <v>480.13196894847999</v>
      </c>
      <c r="E163">
        <v>197.09738884967999</v>
      </c>
      <c r="F163">
        <v>141.34485190409001</v>
      </c>
      <c r="G163">
        <v>117.70733427363</v>
      </c>
      <c r="I163" s="9">
        <f t="shared" si="15"/>
        <v>79.390054576049991</v>
      </c>
      <c r="J163" s="9">
        <f t="shared" si="16"/>
        <v>338.78711704439002</v>
      </c>
      <c r="K163" s="9">
        <f t="shared" si="17"/>
        <v>79.390054576049991</v>
      </c>
      <c r="L163" s="10">
        <f t="shared" si="14"/>
        <v>0.23433610837583238</v>
      </c>
      <c r="M163" s="10">
        <f t="shared" si="18"/>
        <v>0.24714280115027296</v>
      </c>
      <c r="P163" s="8">
        <f t="shared" si="19"/>
        <v>-23.010325630407262</v>
      </c>
    </row>
    <row r="164" spans="1:16" x14ac:dyDescent="0.2">
      <c r="A164" s="8">
        <v>81</v>
      </c>
      <c r="B164" s="8">
        <v>162</v>
      </c>
      <c r="D164">
        <v>479.40931545518998</v>
      </c>
      <c r="E164">
        <v>212.73323923782999</v>
      </c>
      <c r="F164">
        <v>141.5557122708</v>
      </c>
      <c r="G164">
        <v>117.85119887165</v>
      </c>
      <c r="I164" s="9">
        <f t="shared" si="15"/>
        <v>94.882040366179993</v>
      </c>
      <c r="J164" s="9">
        <f t="shared" si="16"/>
        <v>337.85360318438995</v>
      </c>
      <c r="K164" s="9">
        <f t="shared" si="17"/>
        <v>94.882040366179993</v>
      </c>
      <c r="L164" s="10">
        <f t="shared" si="14"/>
        <v>0.28083773407145324</v>
      </c>
      <c r="M164" s="10">
        <f t="shared" si="18"/>
        <v>0.29372397152151147</v>
      </c>
      <c r="P164" s="8">
        <f t="shared" si="19"/>
        <v>-8.499406752962086</v>
      </c>
    </row>
    <row r="165" spans="1:16" x14ac:dyDescent="0.2">
      <c r="A165" s="8">
        <v>81.5</v>
      </c>
      <c r="B165" s="8">
        <v>163</v>
      </c>
      <c r="D165">
        <v>480.88567395907</v>
      </c>
      <c r="E165">
        <v>206.17572335921</v>
      </c>
      <c r="F165">
        <v>141.29689703808</v>
      </c>
      <c r="G165">
        <v>117.79901269394</v>
      </c>
      <c r="I165" s="9">
        <f t="shared" si="15"/>
        <v>88.376710665269997</v>
      </c>
      <c r="J165" s="9">
        <f t="shared" si="16"/>
        <v>339.58877692098997</v>
      </c>
      <c r="K165" s="9">
        <f t="shared" si="17"/>
        <v>88.376710665269997</v>
      </c>
      <c r="L165" s="10">
        <f t="shared" si="14"/>
        <v>0.26024626451607397</v>
      </c>
      <c r="M165" s="10">
        <f t="shared" si="18"/>
        <v>0.27321204664174981</v>
      </c>
      <c r="P165" s="8">
        <f t="shared" si="19"/>
        <v>-14.889260755734259</v>
      </c>
    </row>
    <row r="166" spans="1:16" x14ac:dyDescent="0.2">
      <c r="A166" s="8">
        <v>82</v>
      </c>
      <c r="B166" s="8">
        <v>164</v>
      </c>
      <c r="D166">
        <v>473.93930839801999</v>
      </c>
      <c r="E166">
        <v>202.44671841920001</v>
      </c>
      <c r="F166">
        <v>141.85825105782999</v>
      </c>
      <c r="G166">
        <v>117.16713681241001</v>
      </c>
      <c r="I166" s="9">
        <f t="shared" si="15"/>
        <v>85.279581606790003</v>
      </c>
      <c r="J166" s="9">
        <f t="shared" si="16"/>
        <v>332.08105734019</v>
      </c>
      <c r="K166" s="9">
        <f t="shared" si="17"/>
        <v>85.279581606790003</v>
      </c>
      <c r="L166" s="10">
        <f t="shared" si="14"/>
        <v>0.25680351143735375</v>
      </c>
      <c r="M166" s="10">
        <f t="shared" si="18"/>
        <v>0.26984883823864725</v>
      </c>
      <c r="P166" s="8">
        <f t="shared" si="19"/>
        <v>-15.936964021161367</v>
      </c>
    </row>
    <row r="167" spans="1:16" x14ac:dyDescent="0.2">
      <c r="A167" s="8">
        <v>82.5</v>
      </c>
      <c r="B167" s="8">
        <v>165</v>
      </c>
      <c r="D167">
        <v>471.24206069159999</v>
      </c>
      <c r="E167">
        <v>200.16937191248999</v>
      </c>
      <c r="F167">
        <v>141.63399153738001</v>
      </c>
      <c r="G167">
        <v>118.04795486601</v>
      </c>
      <c r="I167" s="9">
        <f t="shared" si="15"/>
        <v>82.121417046479991</v>
      </c>
      <c r="J167" s="9">
        <f t="shared" si="16"/>
        <v>329.60806915421995</v>
      </c>
      <c r="K167" s="9">
        <f t="shared" si="17"/>
        <v>82.121417046479991</v>
      </c>
      <c r="L167" s="10">
        <f t="shared" si="14"/>
        <v>0.24914868515569105</v>
      </c>
      <c r="M167" s="10">
        <f t="shared" si="18"/>
        <v>0.26227355663260221</v>
      </c>
      <c r="P167" s="8">
        <f t="shared" si="19"/>
        <v>-18.296808052194876</v>
      </c>
    </row>
    <row r="168" spans="1:16" x14ac:dyDescent="0.2">
      <c r="A168" s="8">
        <v>83</v>
      </c>
      <c r="B168" s="8">
        <v>166</v>
      </c>
      <c r="D168">
        <v>469.41789992952999</v>
      </c>
      <c r="E168">
        <v>197.04016913319001</v>
      </c>
      <c r="F168">
        <v>141.36741889986001</v>
      </c>
      <c r="G168">
        <v>117.71297602257</v>
      </c>
      <c r="I168" s="9">
        <f t="shared" si="15"/>
        <v>79.327193110620001</v>
      </c>
      <c r="J168" s="9">
        <f t="shared" si="16"/>
        <v>328.05048102966998</v>
      </c>
      <c r="K168" s="9">
        <f t="shared" si="17"/>
        <v>79.327193110620001</v>
      </c>
      <c r="L168" s="10">
        <f t="shared" si="14"/>
        <v>0.2418139819872582</v>
      </c>
      <c r="M168" s="10">
        <f t="shared" si="18"/>
        <v>0.25501839813978699</v>
      </c>
      <c r="P168" s="8">
        <f t="shared" si="19"/>
        <v>-20.556927656172309</v>
      </c>
    </row>
    <row r="169" spans="1:16" x14ac:dyDescent="0.2">
      <c r="A169" s="8">
        <v>83.5</v>
      </c>
      <c r="B169" s="8">
        <v>167</v>
      </c>
      <c r="D169">
        <v>447.47075405215003</v>
      </c>
      <c r="E169">
        <v>193.14376321353001</v>
      </c>
      <c r="F169">
        <v>141.50493653032001</v>
      </c>
      <c r="G169">
        <v>117.97038081805</v>
      </c>
      <c r="I169" s="9">
        <f t="shared" si="15"/>
        <v>75.173382395480004</v>
      </c>
      <c r="J169" s="9">
        <f t="shared" si="16"/>
        <v>305.96581752182999</v>
      </c>
      <c r="K169" s="9">
        <f t="shared" si="17"/>
        <v>75.173382395480004</v>
      </c>
      <c r="L169" s="10">
        <f t="shared" si="14"/>
        <v>0.24569209398731787</v>
      </c>
      <c r="M169" s="10">
        <f t="shared" si="18"/>
        <v>0.25897605481546432</v>
      </c>
      <c r="P169" s="8">
        <f t="shared" si="19"/>
        <v>-19.324042468706249</v>
      </c>
    </row>
    <row r="170" spans="1:16" x14ac:dyDescent="0.2">
      <c r="A170" s="8">
        <v>84</v>
      </c>
      <c r="B170" s="8">
        <v>168</v>
      </c>
      <c r="D170">
        <v>440.54545454546002</v>
      </c>
      <c r="E170">
        <v>192.28400281889</v>
      </c>
      <c r="F170">
        <v>141.18758815232999</v>
      </c>
      <c r="G170">
        <v>118.00423131171</v>
      </c>
      <c r="I170" s="9">
        <f t="shared" si="15"/>
        <v>74.279771507180001</v>
      </c>
      <c r="J170" s="9">
        <f t="shared" si="16"/>
        <v>299.35786639313005</v>
      </c>
      <c r="K170" s="9">
        <f t="shared" si="17"/>
        <v>74.279771507180001</v>
      </c>
      <c r="L170" s="10">
        <f t="shared" si="14"/>
        <v>0.24813034780797277</v>
      </c>
      <c r="M170" s="10">
        <f t="shared" si="18"/>
        <v>0.26149385331173686</v>
      </c>
      <c r="P170" s="8">
        <f t="shared" si="19"/>
        <v>-18.539700438697423</v>
      </c>
    </row>
    <row r="171" spans="1:16" x14ac:dyDescent="0.2">
      <c r="A171" s="8">
        <v>84.5</v>
      </c>
      <c r="B171" s="8">
        <v>169</v>
      </c>
      <c r="D171">
        <v>440.21156558532999</v>
      </c>
      <c r="E171">
        <v>194.04301833567999</v>
      </c>
      <c r="F171">
        <v>141.94851904090001</v>
      </c>
      <c r="G171">
        <v>117.57475317348</v>
      </c>
      <c r="I171" s="9">
        <f t="shared" si="15"/>
        <v>76.468265162199984</v>
      </c>
      <c r="J171" s="9">
        <f t="shared" si="16"/>
        <v>298.26304654442998</v>
      </c>
      <c r="K171" s="9">
        <f t="shared" si="17"/>
        <v>76.468265162199984</v>
      </c>
      <c r="L171" s="10">
        <f t="shared" si="14"/>
        <v>0.25637860958014819</v>
      </c>
      <c r="M171" s="10">
        <f t="shared" si="18"/>
        <v>0.26982165975952993</v>
      </c>
      <c r="P171" s="8">
        <f t="shared" si="19"/>
        <v>-15.945430633368417</v>
      </c>
    </row>
    <row r="172" spans="1:16" x14ac:dyDescent="0.2">
      <c r="A172" s="8">
        <v>85</v>
      </c>
      <c r="B172" s="8">
        <v>170</v>
      </c>
      <c r="D172">
        <v>437.91853932584002</v>
      </c>
      <c r="E172">
        <v>193.83778089888</v>
      </c>
      <c r="F172">
        <v>141.54442877292001</v>
      </c>
      <c r="G172">
        <v>117.77644569816999</v>
      </c>
      <c r="I172" s="9">
        <f t="shared" si="15"/>
        <v>76.061335200710005</v>
      </c>
      <c r="J172" s="9">
        <f t="shared" si="16"/>
        <v>296.37411055292</v>
      </c>
      <c r="K172" s="9">
        <f t="shared" si="17"/>
        <v>76.061335200710005</v>
      </c>
      <c r="L172" s="10">
        <f t="shared" si="14"/>
        <v>0.25663960680914011</v>
      </c>
      <c r="M172" s="10">
        <f t="shared" si="18"/>
        <v>0.27016220166413946</v>
      </c>
      <c r="P172" s="8">
        <f t="shared" si="19"/>
        <v>-15.839345365162904</v>
      </c>
    </row>
    <row r="173" spans="1:16" x14ac:dyDescent="0.2">
      <c r="A173" s="8">
        <v>85.5</v>
      </c>
      <c r="B173" s="8">
        <v>171</v>
      </c>
      <c r="D173">
        <v>434.94311797752999</v>
      </c>
      <c r="E173">
        <v>193.99438202247001</v>
      </c>
      <c r="F173">
        <v>141.51057827926999</v>
      </c>
      <c r="G173">
        <v>118.02679830747999</v>
      </c>
      <c r="I173" s="9">
        <f t="shared" si="15"/>
        <v>75.967583714990013</v>
      </c>
      <c r="J173" s="9">
        <f t="shared" si="16"/>
        <v>293.43253969826003</v>
      </c>
      <c r="K173" s="9">
        <f t="shared" si="17"/>
        <v>75.967583714990013</v>
      </c>
      <c r="L173" s="10">
        <f t="shared" si="14"/>
        <v>0.25889284055922474</v>
      </c>
      <c r="M173" s="10">
        <f t="shared" si="18"/>
        <v>0.27249498008984174</v>
      </c>
      <c r="P173" s="8">
        <f t="shared" si="19"/>
        <v>-15.112640599596919</v>
      </c>
    </row>
    <row r="174" spans="1:16" x14ac:dyDescent="0.2">
      <c r="A174" s="8">
        <v>86</v>
      </c>
      <c r="B174" s="8">
        <v>172</v>
      </c>
      <c r="D174">
        <v>413.42696629213998</v>
      </c>
      <c r="E174">
        <v>191.10744382023</v>
      </c>
      <c r="F174">
        <v>141.44005641749001</v>
      </c>
      <c r="G174">
        <v>117.55289139633</v>
      </c>
      <c r="I174" s="9">
        <f t="shared" si="15"/>
        <v>73.554552423900006</v>
      </c>
      <c r="J174" s="9">
        <f t="shared" si="16"/>
        <v>271.98690987465</v>
      </c>
      <c r="K174" s="9">
        <f t="shared" si="17"/>
        <v>73.554552423900006</v>
      </c>
      <c r="L174" s="10">
        <f t="shared" si="14"/>
        <v>0.27043416338602078</v>
      </c>
      <c r="M174" s="10">
        <f t="shared" si="18"/>
        <v>0.28411584759225544</v>
      </c>
      <c r="P174" s="8">
        <f t="shared" si="19"/>
        <v>-11.492519759585045</v>
      </c>
    </row>
    <row r="175" spans="1:16" x14ac:dyDescent="0.2">
      <c r="A175" s="8">
        <v>86.5</v>
      </c>
      <c r="B175" s="8">
        <v>173</v>
      </c>
      <c r="D175">
        <v>413.63974719100997</v>
      </c>
      <c r="E175">
        <v>191.56601123595999</v>
      </c>
      <c r="F175">
        <v>141.7976022567</v>
      </c>
      <c r="G175">
        <v>117.68970380818</v>
      </c>
      <c r="I175" s="9">
        <f t="shared" si="15"/>
        <v>73.876307427779992</v>
      </c>
      <c r="J175" s="9">
        <f t="shared" si="16"/>
        <v>271.84214493431</v>
      </c>
      <c r="K175" s="9">
        <f t="shared" si="17"/>
        <v>73.876307427779992</v>
      </c>
      <c r="L175" s="10">
        <f t="shared" si="14"/>
        <v>0.27176178824527752</v>
      </c>
      <c r="M175" s="10">
        <f t="shared" si="18"/>
        <v>0.2855230171271298</v>
      </c>
      <c r="P175" s="8">
        <f t="shared" si="19"/>
        <v>-11.054159735467191</v>
      </c>
    </row>
    <row r="176" spans="1:16" x14ac:dyDescent="0.2">
      <c r="A176" s="8">
        <v>87</v>
      </c>
      <c r="B176" s="8">
        <v>174</v>
      </c>
      <c r="D176">
        <v>443.18328651684999</v>
      </c>
      <c r="E176">
        <v>195.01966292135</v>
      </c>
      <c r="F176">
        <v>141.72355430183001</v>
      </c>
      <c r="G176">
        <v>117.65373765867</v>
      </c>
      <c r="I176" s="9">
        <f t="shared" si="15"/>
        <v>77.365925262680008</v>
      </c>
      <c r="J176" s="9">
        <f t="shared" si="16"/>
        <v>301.45973221501998</v>
      </c>
      <c r="K176" s="9">
        <f t="shared" si="17"/>
        <v>77.365925262680008</v>
      </c>
      <c r="L176" s="10">
        <f t="shared" si="14"/>
        <v>0.2566376765952203</v>
      </c>
      <c r="M176" s="10">
        <f t="shared" si="18"/>
        <v>0.27047845015269023</v>
      </c>
      <c r="P176" s="8">
        <f t="shared" si="19"/>
        <v>-15.740827957251049</v>
      </c>
    </row>
    <row r="177" spans="1:16" x14ac:dyDescent="0.2">
      <c r="A177" s="8">
        <v>87.5</v>
      </c>
      <c r="B177" s="8">
        <v>175</v>
      </c>
      <c r="D177">
        <v>441.63412921347998</v>
      </c>
      <c r="E177">
        <v>194.48595505617999</v>
      </c>
      <c r="F177">
        <v>141.1706629055</v>
      </c>
      <c r="G177">
        <v>117.90902679830999</v>
      </c>
      <c r="I177" s="9">
        <f t="shared" si="15"/>
        <v>76.576928257869994</v>
      </c>
      <c r="J177" s="9">
        <f t="shared" si="16"/>
        <v>300.46346630797996</v>
      </c>
      <c r="K177" s="9">
        <f t="shared" si="17"/>
        <v>76.576928257869994</v>
      </c>
      <c r="L177" s="10">
        <f t="shared" si="14"/>
        <v>0.25486269328790007</v>
      </c>
      <c r="M177" s="10">
        <f t="shared" si="18"/>
        <v>0.26878301152098766</v>
      </c>
      <c r="P177" s="8">
        <f t="shared" si="19"/>
        <v>-16.268989277592485</v>
      </c>
    </row>
    <row r="178" spans="1:16" x14ac:dyDescent="0.2">
      <c r="A178" s="8">
        <v>88</v>
      </c>
      <c r="B178" s="8">
        <v>176</v>
      </c>
      <c r="D178">
        <v>444.82935393257998</v>
      </c>
      <c r="E178">
        <v>195.76123595505999</v>
      </c>
      <c r="F178">
        <v>141.523977433</v>
      </c>
      <c r="G178">
        <v>117.47390691114001</v>
      </c>
      <c r="I178" s="9">
        <f t="shared" si="15"/>
        <v>78.287329043919982</v>
      </c>
      <c r="J178" s="9">
        <f t="shared" si="16"/>
        <v>303.30537649958001</v>
      </c>
      <c r="K178" s="9">
        <f t="shared" si="17"/>
        <v>78.287329043919982</v>
      </c>
      <c r="L178" s="10">
        <f t="shared" si="14"/>
        <v>0.25811388491502191</v>
      </c>
      <c r="M178" s="10">
        <f t="shared" si="18"/>
        <v>0.27211374782372716</v>
      </c>
      <c r="P178" s="8">
        <f t="shared" si="19"/>
        <v>-15.231401687885699</v>
      </c>
    </row>
    <row r="179" spans="1:16" x14ac:dyDescent="0.2">
      <c r="A179" s="8">
        <v>88.5</v>
      </c>
      <c r="B179" s="8">
        <v>177</v>
      </c>
      <c r="D179">
        <v>449.48595505617999</v>
      </c>
      <c r="E179">
        <v>195.56039325843</v>
      </c>
      <c r="F179">
        <v>141.29125528914</v>
      </c>
      <c r="G179">
        <v>117.72143864598</v>
      </c>
      <c r="I179" s="9">
        <f t="shared" si="15"/>
        <v>77.838954612449996</v>
      </c>
      <c r="J179" s="9">
        <f t="shared" si="16"/>
        <v>308.19469976703999</v>
      </c>
      <c r="K179" s="9">
        <f t="shared" si="17"/>
        <v>77.838954612449996</v>
      </c>
      <c r="L179" s="10">
        <f t="shared" si="14"/>
        <v>0.25256422213388924</v>
      </c>
      <c r="M179" s="10">
        <f t="shared" si="18"/>
        <v>0.26664362971821209</v>
      </c>
      <c r="P179" s="8">
        <f t="shared" si="19"/>
        <v>-16.935447323634346</v>
      </c>
    </row>
    <row r="180" spans="1:16" x14ac:dyDescent="0.2">
      <c r="A180" s="8">
        <v>89</v>
      </c>
      <c r="B180" s="8">
        <v>178</v>
      </c>
      <c r="D180">
        <v>446.68188202247001</v>
      </c>
      <c r="E180">
        <v>194.85884831460999</v>
      </c>
      <c r="F180">
        <v>140.85966149506001</v>
      </c>
      <c r="G180">
        <v>117.49929478138</v>
      </c>
      <c r="I180" s="9">
        <f t="shared" si="15"/>
        <v>77.359553533229985</v>
      </c>
      <c r="J180" s="9">
        <f t="shared" si="16"/>
        <v>305.82222052740997</v>
      </c>
      <c r="K180" s="9">
        <f t="shared" si="17"/>
        <v>77.359553533229985</v>
      </c>
      <c r="L180" s="10">
        <f t="shared" si="14"/>
        <v>0.2529559604917474</v>
      </c>
      <c r="M180" s="10">
        <f t="shared" si="18"/>
        <v>0.26711491275168792</v>
      </c>
      <c r="P180" s="8">
        <f t="shared" si="19"/>
        <v>-16.788633711769698</v>
      </c>
    </row>
    <row r="181" spans="1:16" x14ac:dyDescent="0.2">
      <c r="A181" s="8">
        <v>89.5</v>
      </c>
      <c r="B181" s="8">
        <v>179</v>
      </c>
      <c r="D181">
        <v>446.18609550562002</v>
      </c>
      <c r="E181">
        <v>195.24648876405001</v>
      </c>
      <c r="F181">
        <v>141.19322990127</v>
      </c>
      <c r="G181">
        <v>117.52820874471</v>
      </c>
      <c r="I181" s="9">
        <f t="shared" si="15"/>
        <v>77.718280019340014</v>
      </c>
      <c r="J181" s="9">
        <f t="shared" si="16"/>
        <v>304.99286560435002</v>
      </c>
      <c r="K181" s="9">
        <f t="shared" si="17"/>
        <v>77.718280019340014</v>
      </c>
      <c r="L181" s="10">
        <f t="shared" si="14"/>
        <v>0.2548199934622718</v>
      </c>
      <c r="M181" s="10">
        <f t="shared" si="18"/>
        <v>0.26905849039782997</v>
      </c>
      <c r="P181" s="8">
        <f t="shared" si="19"/>
        <v>-16.183172377706757</v>
      </c>
    </row>
    <row r="182" spans="1:16" x14ac:dyDescent="0.2">
      <c r="A182" s="8">
        <v>90</v>
      </c>
      <c r="B182" s="8">
        <v>180</v>
      </c>
      <c r="D182">
        <v>445.05898876405001</v>
      </c>
      <c r="E182">
        <v>195.23665730337001</v>
      </c>
      <c r="F182">
        <v>141.39492242595</v>
      </c>
      <c r="G182">
        <v>117.43582510578</v>
      </c>
      <c r="I182" s="9">
        <f t="shared" si="15"/>
        <v>77.800832197590012</v>
      </c>
      <c r="J182" s="9">
        <f t="shared" si="16"/>
        <v>303.66406633810004</v>
      </c>
      <c r="K182" s="9">
        <f t="shared" si="17"/>
        <v>77.800832197590012</v>
      </c>
      <c r="L182" s="10">
        <f t="shared" si="14"/>
        <v>0.25620691027356013</v>
      </c>
      <c r="M182" s="10">
        <f>L182+ABS($N$2)*A182</f>
        <v>0.27052495188473591</v>
      </c>
      <c r="P182" s="8">
        <f t="shared" si="19"/>
        <v>-15.726341784920089</v>
      </c>
    </row>
    <row r="183" spans="1:16" x14ac:dyDescent="0.2">
      <c r="A183" s="8">
        <v>90.5</v>
      </c>
      <c r="B183" s="8">
        <v>181</v>
      </c>
      <c r="D183">
        <v>439.22331460674002</v>
      </c>
      <c r="E183">
        <v>194.15308988763999</v>
      </c>
      <c r="F183">
        <v>140.88928067700999</v>
      </c>
      <c r="G183">
        <v>117.67136812411999</v>
      </c>
      <c r="I183" s="9">
        <f t="shared" si="15"/>
        <v>76.48172176352</v>
      </c>
      <c r="J183" s="9">
        <f t="shared" si="16"/>
        <v>298.33403392973003</v>
      </c>
      <c r="K183" s="9">
        <f t="shared" si="17"/>
        <v>76.48172176352</v>
      </c>
      <c r="L183" s="10">
        <f t="shared" si="14"/>
        <v>0.25636271113987147</v>
      </c>
      <c r="M183" s="10">
        <f t="shared" ref="M183:M241" si="20">L183+ABS($N$2)*A183</f>
        <v>0.27076029742666491</v>
      </c>
      <c r="P183" s="8">
        <f t="shared" si="19"/>
        <v>-15.653027180759594</v>
      </c>
    </row>
    <row r="184" spans="1:16" x14ac:dyDescent="0.2">
      <c r="A184" s="8">
        <v>91</v>
      </c>
      <c r="B184" s="8">
        <v>182</v>
      </c>
      <c r="D184">
        <v>452.52771929825002</v>
      </c>
      <c r="E184">
        <v>194.98385964912001</v>
      </c>
      <c r="F184">
        <v>141.09449929478001</v>
      </c>
      <c r="G184">
        <v>117.46121297601999</v>
      </c>
      <c r="I184" s="9">
        <f t="shared" si="15"/>
        <v>77.522646673100013</v>
      </c>
      <c r="J184" s="9">
        <f t="shared" si="16"/>
        <v>311.43322000347001</v>
      </c>
      <c r="K184" s="9">
        <f t="shared" si="17"/>
        <v>77.522646673100013</v>
      </c>
      <c r="L184" s="10">
        <f t="shared" si="14"/>
        <v>0.24892221411780108</v>
      </c>
      <c r="M184" s="10">
        <f t="shared" si="20"/>
        <v>0.26339934508021218</v>
      </c>
      <c r="P184" s="8">
        <f t="shared" si="19"/>
        <v>-17.946103578558038</v>
      </c>
    </row>
    <row r="185" spans="1:16" x14ac:dyDescent="0.2">
      <c r="A185" s="8">
        <v>91.5</v>
      </c>
      <c r="B185" s="8">
        <v>183</v>
      </c>
      <c r="D185">
        <v>452.70385964911998</v>
      </c>
      <c r="E185">
        <v>194.92631578947001</v>
      </c>
      <c r="F185">
        <v>140.88998589562999</v>
      </c>
      <c r="G185">
        <v>117.50846262341</v>
      </c>
      <c r="I185" s="9">
        <f t="shared" si="15"/>
        <v>77.417853166060013</v>
      </c>
      <c r="J185" s="9">
        <f t="shared" si="16"/>
        <v>311.81387375348999</v>
      </c>
      <c r="K185" s="9">
        <f t="shared" si="17"/>
        <v>77.417853166060013</v>
      </c>
      <c r="L185" s="10">
        <f t="shared" si="14"/>
        <v>0.24828225965103809</v>
      </c>
      <c r="M185" s="10">
        <f t="shared" si="20"/>
        <v>0.26283893528906682</v>
      </c>
      <c r="P185" s="8">
        <f t="shared" si="19"/>
        <v>-18.120681867437987</v>
      </c>
    </row>
    <row r="186" spans="1:16" x14ac:dyDescent="0.2">
      <c r="A186" s="8">
        <v>92</v>
      </c>
      <c r="B186" s="8">
        <v>184</v>
      </c>
      <c r="D186">
        <v>450.72350877193003</v>
      </c>
      <c r="E186">
        <v>195.19157894737</v>
      </c>
      <c r="F186">
        <v>140.74894217207</v>
      </c>
      <c r="G186">
        <v>117.77221438646001</v>
      </c>
      <c r="I186" s="9">
        <f t="shared" si="15"/>
        <v>77.419364560909997</v>
      </c>
      <c r="J186" s="9">
        <f t="shared" si="16"/>
        <v>309.97456659986005</v>
      </c>
      <c r="K186" s="9">
        <f t="shared" si="17"/>
        <v>77.419364560909997</v>
      </c>
      <c r="L186" s="10">
        <f t="shared" si="14"/>
        <v>0.24976037682746113</v>
      </c>
      <c r="M186" s="10">
        <f t="shared" si="20"/>
        <v>0.26439659714110753</v>
      </c>
      <c r="P186" s="8">
        <f t="shared" si="19"/>
        <v>-17.635440629544792</v>
      </c>
    </row>
    <row r="187" spans="1:16" x14ac:dyDescent="0.2">
      <c r="A187" s="8">
        <v>92.5</v>
      </c>
      <c r="B187" s="8">
        <v>185</v>
      </c>
      <c r="D187">
        <v>449.97614035087997</v>
      </c>
      <c r="E187">
        <v>195.64561403509001</v>
      </c>
      <c r="F187">
        <v>141.74823695346001</v>
      </c>
      <c r="G187">
        <v>117.64880112835</v>
      </c>
      <c r="I187" s="9">
        <f t="shared" si="15"/>
        <v>77.996812906740004</v>
      </c>
      <c r="J187" s="9">
        <f t="shared" si="16"/>
        <v>308.22790339741994</v>
      </c>
      <c r="K187" s="9">
        <f t="shared" si="17"/>
        <v>77.996812906740004</v>
      </c>
      <c r="L187" s="10">
        <f t="shared" si="14"/>
        <v>0.25304916280137435</v>
      </c>
      <c r="M187" s="10">
        <f t="shared" si="20"/>
        <v>0.26776492779063837</v>
      </c>
      <c r="P187" s="8">
        <f t="shared" si="19"/>
        <v>-16.586141687113457</v>
      </c>
    </row>
    <row r="188" spans="1:16" x14ac:dyDescent="0.2">
      <c r="A188" s="8">
        <v>93</v>
      </c>
      <c r="B188" s="8">
        <v>186</v>
      </c>
      <c r="D188">
        <v>449.06666666667002</v>
      </c>
      <c r="E188">
        <v>195.56631578947</v>
      </c>
      <c r="F188">
        <v>141.12200282086999</v>
      </c>
      <c r="G188">
        <v>117.35543018336</v>
      </c>
      <c r="I188" s="9">
        <f t="shared" si="15"/>
        <v>78.210885606109997</v>
      </c>
      <c r="J188" s="9">
        <f t="shared" si="16"/>
        <v>307.94466384580005</v>
      </c>
      <c r="K188" s="9">
        <f t="shared" si="17"/>
        <v>78.210885606109997</v>
      </c>
      <c r="L188" s="10">
        <f t="shared" si="14"/>
        <v>0.25397707701560712</v>
      </c>
      <c r="M188" s="10">
        <f t="shared" si="20"/>
        <v>0.26877238668048881</v>
      </c>
      <c r="P188" s="8">
        <f t="shared" si="19"/>
        <v>-16.272299117112098</v>
      </c>
    </row>
    <row r="189" spans="1:16" x14ac:dyDescent="0.2">
      <c r="A189" s="8">
        <v>93.5</v>
      </c>
      <c r="B189" s="8">
        <v>187</v>
      </c>
      <c r="D189">
        <v>450.50385964911999</v>
      </c>
      <c r="E189">
        <v>195.66385964912001</v>
      </c>
      <c r="F189">
        <v>141.06911142454001</v>
      </c>
      <c r="G189">
        <v>117.40973201692999</v>
      </c>
      <c r="I189" s="9">
        <f t="shared" si="15"/>
        <v>78.25412763219002</v>
      </c>
      <c r="J189" s="9">
        <f t="shared" si="16"/>
        <v>309.43474822457995</v>
      </c>
      <c r="K189" s="9">
        <f t="shared" si="17"/>
        <v>78.25412763219002</v>
      </c>
      <c r="L189" s="10">
        <f t="shared" si="14"/>
        <v>0.25289379451138805</v>
      </c>
      <c r="M189" s="10">
        <f t="shared" si="20"/>
        <v>0.26776864885188734</v>
      </c>
      <c r="P189" s="8">
        <f t="shared" si="19"/>
        <v>-16.584982505892988</v>
      </c>
    </row>
    <row r="190" spans="1:16" x14ac:dyDescent="0.2">
      <c r="A190" s="8">
        <v>94</v>
      </c>
      <c r="B190" s="8">
        <v>188</v>
      </c>
      <c r="D190">
        <v>449.11087719298001</v>
      </c>
      <c r="E190">
        <v>194.5052631579</v>
      </c>
      <c r="F190">
        <v>140.89562764457</v>
      </c>
      <c r="G190">
        <v>117.34837799717999</v>
      </c>
      <c r="I190" s="9">
        <f t="shared" si="15"/>
        <v>77.156885160720009</v>
      </c>
      <c r="J190" s="9">
        <f t="shared" si="16"/>
        <v>308.21524954841004</v>
      </c>
      <c r="K190" s="9">
        <f t="shared" si="17"/>
        <v>77.156885160720009</v>
      </c>
      <c r="L190" s="10">
        <f t="shared" si="14"/>
        <v>0.2503344181502003</v>
      </c>
      <c r="M190" s="10">
        <f t="shared" si="20"/>
        <v>0.26528881716631725</v>
      </c>
      <c r="P190" s="8">
        <f t="shared" si="19"/>
        <v>-17.357497153598029</v>
      </c>
    </row>
    <row r="191" spans="1:16" x14ac:dyDescent="0.2">
      <c r="A191" s="8">
        <v>94.5</v>
      </c>
      <c r="B191" s="8">
        <v>189</v>
      </c>
      <c r="D191">
        <v>447.37122807018</v>
      </c>
      <c r="E191">
        <v>194.75649122806999</v>
      </c>
      <c r="F191">
        <v>141.08321579689999</v>
      </c>
      <c r="G191">
        <v>117.52115655853</v>
      </c>
      <c r="I191" s="9">
        <f t="shared" si="15"/>
        <v>77.235334669539995</v>
      </c>
      <c r="J191" s="9">
        <f t="shared" si="16"/>
        <v>306.28801227328</v>
      </c>
      <c r="K191" s="9">
        <f t="shared" si="17"/>
        <v>77.235334669539995</v>
      </c>
      <c r="L191" s="10">
        <f t="shared" si="14"/>
        <v>0.2521657119268127</v>
      </c>
      <c r="M191" s="10">
        <f t="shared" si="20"/>
        <v>0.2671996556185473</v>
      </c>
      <c r="P191" s="8">
        <f t="shared" si="19"/>
        <v>-16.762234699966466</v>
      </c>
    </row>
    <row r="192" spans="1:16" x14ac:dyDescent="0.2">
      <c r="A192" s="8">
        <v>95</v>
      </c>
      <c r="B192" s="8">
        <v>190</v>
      </c>
      <c r="D192">
        <v>446.7950877193</v>
      </c>
      <c r="E192">
        <v>194.46736842105</v>
      </c>
      <c r="F192">
        <v>140.83004231312</v>
      </c>
      <c r="G192">
        <v>117.35190409027</v>
      </c>
      <c r="I192" s="9">
        <f t="shared" si="15"/>
        <v>77.11546433078</v>
      </c>
      <c r="J192" s="9">
        <f t="shared" si="16"/>
        <v>305.96504540618002</v>
      </c>
      <c r="K192" s="9">
        <f t="shared" si="17"/>
        <v>77.11546433078</v>
      </c>
      <c r="L192" s="10">
        <f t="shared" si="14"/>
        <v>0.25204011206053406</v>
      </c>
      <c r="M192" s="10">
        <f t="shared" si="20"/>
        <v>0.26715360042788627</v>
      </c>
      <c r="P192" s="8">
        <f t="shared" si="19"/>
        <v>-16.776581766178872</v>
      </c>
    </row>
    <row r="193" spans="1:16" x14ac:dyDescent="0.2">
      <c r="A193" s="8">
        <v>95.5</v>
      </c>
      <c r="B193" s="8">
        <v>191</v>
      </c>
      <c r="D193">
        <v>447.33964912280999</v>
      </c>
      <c r="E193">
        <v>194.69192982455999</v>
      </c>
      <c r="F193">
        <v>141.42242595204999</v>
      </c>
      <c r="G193">
        <v>117.42595204513</v>
      </c>
      <c r="I193" s="9">
        <f t="shared" si="15"/>
        <v>77.265977779429988</v>
      </c>
      <c r="J193" s="9">
        <f t="shared" si="16"/>
        <v>305.91722317076</v>
      </c>
      <c r="K193" s="9">
        <f t="shared" si="17"/>
        <v>77.265977779429988</v>
      </c>
      <c r="L193" s="10">
        <f t="shared" si="14"/>
        <v>0.25257151911417841</v>
      </c>
      <c r="M193" s="10">
        <f t="shared" si="20"/>
        <v>0.26776455215714828</v>
      </c>
      <c r="P193" s="8">
        <f t="shared" si="19"/>
        <v>-16.586258704076727</v>
      </c>
    </row>
    <row r="194" spans="1:16" x14ac:dyDescent="0.2">
      <c r="A194" s="8">
        <v>96</v>
      </c>
      <c r="B194" s="8">
        <v>192</v>
      </c>
      <c r="D194">
        <v>444.88561403508999</v>
      </c>
      <c r="E194">
        <v>194.71578947367999</v>
      </c>
      <c r="F194">
        <v>140.85825105782999</v>
      </c>
      <c r="G194">
        <v>117.17418899859</v>
      </c>
      <c r="I194" s="9">
        <f t="shared" si="15"/>
        <v>77.541600475089993</v>
      </c>
      <c r="J194" s="9">
        <f t="shared" si="16"/>
        <v>304.02736297726</v>
      </c>
      <c r="K194" s="9">
        <f t="shared" si="17"/>
        <v>77.541600475089993</v>
      </c>
      <c r="L194" s="10">
        <f t="shared" ref="L194:L257" si="21">K194/J194</f>
        <v>0.25504809736776812</v>
      </c>
      <c r="M194" s="10">
        <f t="shared" si="20"/>
        <v>0.27032067508635566</v>
      </c>
      <c r="P194" s="8">
        <f t="shared" si="19"/>
        <v>-15.789977885649547</v>
      </c>
    </row>
    <row r="195" spans="1:16" x14ac:dyDescent="0.2">
      <c r="A195" s="8">
        <v>96.5</v>
      </c>
      <c r="B195" s="8">
        <v>193</v>
      </c>
      <c r="D195">
        <v>447.55719298245998</v>
      </c>
      <c r="E195">
        <v>195.86526315789999</v>
      </c>
      <c r="F195">
        <v>141.19252468265</v>
      </c>
      <c r="G195">
        <v>117.5557122708</v>
      </c>
      <c r="I195" s="9">
        <f t="shared" ref="I195:I241" si="22">E195-G195</f>
        <v>78.309550887099988</v>
      </c>
      <c r="J195" s="9">
        <f t="shared" ref="J195:J241" si="23">D195-F195</f>
        <v>306.36466829980998</v>
      </c>
      <c r="K195" s="9">
        <f t="shared" ref="K195:K258" si="24">I195*1</f>
        <v>78.309550887099988</v>
      </c>
      <c r="L195" s="10">
        <f t="shared" si="21"/>
        <v>0.25560894903999137</v>
      </c>
      <c r="M195" s="10">
        <f t="shared" si="20"/>
        <v>0.27096107143419657</v>
      </c>
      <c r="P195" s="8">
        <f t="shared" ref="P195:P241" si="25">(M195-$O$2)/$O$2*100</f>
        <v>-15.590482265877197</v>
      </c>
    </row>
    <row r="196" spans="1:16" x14ac:dyDescent="0.2">
      <c r="A196" s="8">
        <v>97</v>
      </c>
      <c r="B196" s="8">
        <v>194</v>
      </c>
      <c r="D196">
        <v>446.75298245613999</v>
      </c>
      <c r="E196">
        <v>195.4849122807</v>
      </c>
      <c r="F196">
        <v>141.12129760226</v>
      </c>
      <c r="G196">
        <v>117.25458392102</v>
      </c>
      <c r="I196" s="9">
        <f t="shared" si="22"/>
        <v>78.230328359680001</v>
      </c>
      <c r="J196" s="9">
        <f t="shared" si="23"/>
        <v>305.63168485387996</v>
      </c>
      <c r="K196" s="9">
        <f t="shared" si="24"/>
        <v>78.230328359680001</v>
      </c>
      <c r="L196" s="10">
        <f t="shared" si="21"/>
        <v>0.25596275594620138</v>
      </c>
      <c r="M196" s="10">
        <f t="shared" si="20"/>
        <v>0.27139442301602418</v>
      </c>
      <c r="P196" s="8">
        <f t="shared" si="25"/>
        <v>-15.455485021299681</v>
      </c>
    </row>
    <row r="197" spans="1:16" x14ac:dyDescent="0.2">
      <c r="A197" s="8">
        <v>97.5</v>
      </c>
      <c r="B197" s="8">
        <v>195</v>
      </c>
      <c r="D197">
        <v>447.13192982456002</v>
      </c>
      <c r="E197">
        <v>195.52982456140001</v>
      </c>
      <c r="F197">
        <v>140.97813822284999</v>
      </c>
      <c r="G197">
        <v>117.18829337095001</v>
      </c>
      <c r="I197" s="9">
        <f t="shared" si="22"/>
        <v>78.341531190449999</v>
      </c>
      <c r="J197" s="9">
        <f t="shared" si="23"/>
        <v>306.15379160171005</v>
      </c>
      <c r="K197" s="9">
        <f t="shared" si="24"/>
        <v>78.341531190449999</v>
      </c>
      <c r="L197" s="10">
        <f t="shared" si="21"/>
        <v>0.25588946908215399</v>
      </c>
      <c r="M197" s="10">
        <f t="shared" si="20"/>
        <v>0.27140068082759444</v>
      </c>
      <c r="P197" s="8">
        <f t="shared" si="25"/>
        <v>-15.453535594195925</v>
      </c>
    </row>
    <row r="198" spans="1:16" x14ac:dyDescent="0.2">
      <c r="A198" s="8">
        <v>98</v>
      </c>
      <c r="B198" s="8">
        <v>196</v>
      </c>
      <c r="D198">
        <v>446.58947368421002</v>
      </c>
      <c r="E198">
        <v>195.73754385965</v>
      </c>
      <c r="F198">
        <v>140.59943582510999</v>
      </c>
      <c r="G198">
        <v>117.30677009873</v>
      </c>
      <c r="I198" s="9">
        <f t="shared" si="22"/>
        <v>78.430773760920005</v>
      </c>
      <c r="J198" s="9">
        <f t="shared" si="23"/>
        <v>305.99003785910003</v>
      </c>
      <c r="K198" s="9">
        <f t="shared" si="24"/>
        <v>78.430773760920005</v>
      </c>
      <c r="L198" s="10">
        <f t="shared" si="21"/>
        <v>0.25631806286790032</v>
      </c>
      <c r="M198" s="10">
        <f t="shared" si="20"/>
        <v>0.27190881928895844</v>
      </c>
      <c r="P198" s="8">
        <f t="shared" si="25"/>
        <v>-15.295240816872862</v>
      </c>
    </row>
    <row r="199" spans="1:16" x14ac:dyDescent="0.2">
      <c r="A199" s="8">
        <v>98.5</v>
      </c>
      <c r="B199" s="8">
        <v>197</v>
      </c>
      <c r="D199">
        <v>447.17192982455998</v>
      </c>
      <c r="E199">
        <v>196.58736842105</v>
      </c>
      <c r="F199">
        <v>140.79407616360999</v>
      </c>
      <c r="G199">
        <v>117.27221438646001</v>
      </c>
      <c r="I199" s="9">
        <f t="shared" si="22"/>
        <v>79.315154034589995</v>
      </c>
      <c r="J199" s="9">
        <f t="shared" si="23"/>
        <v>306.37785366095</v>
      </c>
      <c r="K199" s="9">
        <f t="shared" si="24"/>
        <v>79.315154034589995</v>
      </c>
      <c r="L199" s="10">
        <f t="shared" si="21"/>
        <v>0.25888018042702043</v>
      </c>
      <c r="M199" s="10">
        <f t="shared" si="20"/>
        <v>0.27455048152369615</v>
      </c>
      <c r="P199" s="8">
        <f t="shared" si="25"/>
        <v>-14.472312880876686</v>
      </c>
    </row>
    <row r="200" spans="1:16" x14ac:dyDescent="0.2">
      <c r="A200" s="8">
        <v>99</v>
      </c>
      <c r="B200" s="8">
        <v>198</v>
      </c>
      <c r="D200">
        <v>445.97333333333</v>
      </c>
      <c r="E200">
        <v>194.97333333333</v>
      </c>
      <c r="F200">
        <v>141.03455571226999</v>
      </c>
      <c r="G200">
        <v>117.41396332863</v>
      </c>
      <c r="I200" s="9">
        <f t="shared" si="22"/>
        <v>77.5593700047</v>
      </c>
      <c r="J200" s="9">
        <f t="shared" si="23"/>
        <v>304.93877762106001</v>
      </c>
      <c r="K200" s="9">
        <f t="shared" si="24"/>
        <v>77.5593700047</v>
      </c>
      <c r="L200" s="10">
        <f t="shared" si="21"/>
        <v>0.25434407066811665</v>
      </c>
      <c r="M200" s="10">
        <f t="shared" si="20"/>
        <v>0.27009391644041003</v>
      </c>
      <c r="P200" s="8">
        <f t="shared" si="25"/>
        <v>-15.860617508695771</v>
      </c>
    </row>
    <row r="201" spans="1:16" x14ac:dyDescent="0.2">
      <c r="A201" s="8">
        <v>99.5</v>
      </c>
      <c r="B201" s="8">
        <v>199</v>
      </c>
      <c r="D201">
        <v>446.34877192982998</v>
      </c>
      <c r="E201">
        <v>196.53403508772001</v>
      </c>
      <c r="F201">
        <v>140.89210155148001</v>
      </c>
      <c r="G201">
        <v>117.13469675599001</v>
      </c>
      <c r="I201" s="9">
        <f t="shared" si="22"/>
        <v>79.399338331730007</v>
      </c>
      <c r="J201" s="9">
        <f t="shared" si="23"/>
        <v>305.45667037834994</v>
      </c>
      <c r="K201" s="9">
        <f t="shared" si="24"/>
        <v>79.399338331730007</v>
      </c>
      <c r="L201" s="10">
        <f t="shared" si="21"/>
        <v>0.25993650174141897</v>
      </c>
      <c r="M201" s="10">
        <f t="shared" si="20"/>
        <v>0.27576589218933001</v>
      </c>
      <c r="P201" s="8">
        <f t="shared" si="25"/>
        <v>-14.093689384918237</v>
      </c>
    </row>
    <row r="202" spans="1:16" x14ac:dyDescent="0.2">
      <c r="A202" s="8">
        <v>100</v>
      </c>
      <c r="B202" s="8">
        <v>200</v>
      </c>
      <c r="D202">
        <v>445.59087719297997</v>
      </c>
      <c r="E202">
        <v>196.47228070175001</v>
      </c>
      <c r="F202">
        <v>140.86248236954</v>
      </c>
      <c r="G202">
        <v>117.52750352609</v>
      </c>
      <c r="I202" s="9">
        <f t="shared" si="22"/>
        <v>78.944777175660008</v>
      </c>
      <c r="J202" s="9">
        <f t="shared" si="23"/>
        <v>304.72839482344</v>
      </c>
      <c r="K202" s="9">
        <f t="shared" si="24"/>
        <v>78.944777175660008</v>
      </c>
      <c r="L202" s="10">
        <f t="shared" si="21"/>
        <v>0.25906603558030983</v>
      </c>
      <c r="M202" s="10">
        <f t="shared" si="20"/>
        <v>0.27497497070383847</v>
      </c>
      <c r="P202" s="8">
        <f t="shared" si="25"/>
        <v>-14.340076442669853</v>
      </c>
    </row>
    <row r="203" spans="1:16" x14ac:dyDescent="0.2">
      <c r="A203" s="8">
        <v>100.5</v>
      </c>
      <c r="B203" s="8">
        <v>201</v>
      </c>
      <c r="D203">
        <v>447.54035087719001</v>
      </c>
      <c r="E203">
        <v>197.08070175438999</v>
      </c>
      <c r="F203">
        <v>141.30959097319999</v>
      </c>
      <c r="G203">
        <v>117.62976022567</v>
      </c>
      <c r="I203" s="9">
        <f t="shared" si="22"/>
        <v>79.450941528719994</v>
      </c>
      <c r="J203" s="9">
        <f t="shared" si="23"/>
        <v>306.23075990399002</v>
      </c>
      <c r="K203" s="9">
        <f t="shared" si="24"/>
        <v>79.450941528719994</v>
      </c>
      <c r="L203" s="10">
        <f t="shared" si="21"/>
        <v>0.25944794557421202</v>
      </c>
      <c r="M203" s="10">
        <f t="shared" si="20"/>
        <v>0.27543642537335833</v>
      </c>
      <c r="P203" s="8">
        <f t="shared" si="25"/>
        <v>-14.196324552761233</v>
      </c>
    </row>
    <row r="204" spans="1:16" x14ac:dyDescent="0.2">
      <c r="A204" s="8">
        <v>101</v>
      </c>
      <c r="B204" s="8">
        <v>202</v>
      </c>
      <c r="D204">
        <v>446.56631578947002</v>
      </c>
      <c r="E204">
        <v>195.55157894736999</v>
      </c>
      <c r="F204">
        <v>140.86318758815</v>
      </c>
      <c r="G204">
        <v>117.51622002821</v>
      </c>
      <c r="I204" s="9">
        <f t="shared" si="22"/>
        <v>78.035358919159989</v>
      </c>
      <c r="J204" s="9">
        <f t="shared" si="23"/>
        <v>305.70312820132006</v>
      </c>
      <c r="K204" s="9">
        <f t="shared" si="24"/>
        <v>78.035358919159989</v>
      </c>
      <c r="L204" s="10">
        <f t="shared" si="21"/>
        <v>0.25526516322649467</v>
      </c>
      <c r="M204" s="10">
        <f t="shared" si="20"/>
        <v>0.27133318770125864</v>
      </c>
      <c r="P204" s="8">
        <f t="shared" si="25"/>
        <v>-15.474560984353333</v>
      </c>
    </row>
    <row r="205" spans="1:16" x14ac:dyDescent="0.2">
      <c r="A205" s="8">
        <v>101.5</v>
      </c>
      <c r="B205" s="8">
        <v>203</v>
      </c>
      <c r="D205">
        <v>445.65263157894998</v>
      </c>
      <c r="E205">
        <v>195.62385964911999</v>
      </c>
      <c r="F205">
        <v>140.89210155148001</v>
      </c>
      <c r="G205">
        <v>117.16572637518</v>
      </c>
      <c r="I205" s="9">
        <f t="shared" si="22"/>
        <v>78.458133273939993</v>
      </c>
      <c r="J205" s="9">
        <f t="shared" si="23"/>
        <v>304.76053002746994</v>
      </c>
      <c r="K205" s="9">
        <f t="shared" si="24"/>
        <v>78.458133273939993</v>
      </c>
      <c r="L205" s="10">
        <f t="shared" si="21"/>
        <v>0.25744191108628167</v>
      </c>
      <c r="M205" s="10">
        <f t="shared" si="20"/>
        <v>0.2735894802366633</v>
      </c>
      <c r="P205" s="8">
        <f t="shared" si="25"/>
        <v>-14.771683025639398</v>
      </c>
    </row>
    <row r="206" spans="1:16" x14ac:dyDescent="0.2">
      <c r="A206" s="8">
        <v>102</v>
      </c>
      <c r="B206" s="8">
        <v>204</v>
      </c>
      <c r="D206">
        <v>443.02736842105003</v>
      </c>
      <c r="E206">
        <v>196.16491228070001</v>
      </c>
      <c r="F206">
        <v>140.91043723554</v>
      </c>
      <c r="G206">
        <v>117.30183356841</v>
      </c>
      <c r="I206" s="9">
        <f t="shared" si="22"/>
        <v>78.863078712290005</v>
      </c>
      <c r="J206" s="9">
        <f t="shared" si="23"/>
        <v>302.11693118551</v>
      </c>
      <c r="K206" s="9">
        <f t="shared" si="24"/>
        <v>78.863078712290005</v>
      </c>
      <c r="L206" s="10">
        <f t="shared" si="21"/>
        <v>0.26103495227106427</v>
      </c>
      <c r="M206" s="10">
        <f t="shared" si="20"/>
        <v>0.2772620660970635</v>
      </c>
      <c r="P206" s="8">
        <f t="shared" si="25"/>
        <v>-13.627602808976896</v>
      </c>
    </row>
    <row r="207" spans="1:16" x14ac:dyDescent="0.2">
      <c r="A207" s="8">
        <v>102.5</v>
      </c>
      <c r="B207" s="8">
        <v>205</v>
      </c>
      <c r="D207">
        <v>444.31508771929998</v>
      </c>
      <c r="E207">
        <v>196.45754385965</v>
      </c>
      <c r="F207">
        <v>140.47320169253001</v>
      </c>
      <c r="G207">
        <v>117.33709449929999</v>
      </c>
      <c r="I207" s="9">
        <f t="shared" si="22"/>
        <v>79.120449360350008</v>
      </c>
      <c r="J207" s="9">
        <f t="shared" si="23"/>
        <v>303.84188602677</v>
      </c>
      <c r="K207" s="9">
        <f t="shared" si="24"/>
        <v>79.120449360350008</v>
      </c>
      <c r="L207" s="10">
        <f t="shared" si="21"/>
        <v>0.26040007319260483</v>
      </c>
      <c r="M207" s="10">
        <f t="shared" si="20"/>
        <v>0.27670673169422172</v>
      </c>
      <c r="P207" s="8">
        <f t="shared" si="25"/>
        <v>-13.800600018048033</v>
      </c>
    </row>
    <row r="208" spans="1:16" x14ac:dyDescent="0.2">
      <c r="A208" s="8">
        <v>103</v>
      </c>
      <c r="B208" s="8">
        <v>206</v>
      </c>
      <c r="D208">
        <v>440.90947368421001</v>
      </c>
      <c r="E208">
        <v>196.23368421052999</v>
      </c>
      <c r="F208">
        <v>140.73342736248</v>
      </c>
      <c r="G208">
        <v>117.57686882934</v>
      </c>
      <c r="I208" s="9">
        <f t="shared" si="22"/>
        <v>78.656815381189986</v>
      </c>
      <c r="J208" s="9">
        <f t="shared" si="23"/>
        <v>300.17604632173004</v>
      </c>
      <c r="K208" s="9">
        <f t="shared" si="24"/>
        <v>78.656815381189986</v>
      </c>
      <c r="L208" s="10">
        <f t="shared" si="21"/>
        <v>0.26203561658242797</v>
      </c>
      <c r="M208" s="10">
        <f t="shared" si="20"/>
        <v>0.27842181975966251</v>
      </c>
      <c r="P208" s="8">
        <f t="shared" si="25"/>
        <v>-13.266317526068134</v>
      </c>
    </row>
    <row r="209" spans="1:16" x14ac:dyDescent="0.2">
      <c r="A209" s="8">
        <v>103.5</v>
      </c>
      <c r="B209" s="8">
        <v>207</v>
      </c>
      <c r="D209">
        <v>440.0301754386</v>
      </c>
      <c r="E209">
        <v>195.58245614034999</v>
      </c>
      <c r="F209">
        <v>141.16290550071</v>
      </c>
      <c r="G209">
        <v>117.29337094499</v>
      </c>
      <c r="I209" s="9">
        <f t="shared" si="22"/>
        <v>78.289085195359988</v>
      </c>
      <c r="J209" s="9">
        <f t="shared" si="23"/>
        <v>298.86726993789</v>
      </c>
      <c r="K209" s="9">
        <f t="shared" si="24"/>
        <v>78.289085195359988</v>
      </c>
      <c r="L209" s="10">
        <f t="shared" si="21"/>
        <v>0.26195268960575668</v>
      </c>
      <c r="M209" s="10">
        <f t="shared" si="20"/>
        <v>0.27841843745860884</v>
      </c>
      <c r="P209" s="8">
        <f t="shared" si="25"/>
        <v>-13.267371177056672</v>
      </c>
    </row>
    <row r="210" spans="1:16" x14ac:dyDescent="0.2">
      <c r="A210" s="8">
        <v>104</v>
      </c>
      <c r="B210" s="8">
        <v>208</v>
      </c>
      <c r="D210">
        <v>439.97684210526</v>
      </c>
      <c r="E210">
        <v>196.12</v>
      </c>
      <c r="F210">
        <v>141.35754583920999</v>
      </c>
      <c r="G210">
        <v>117.52609308885999</v>
      </c>
      <c r="I210" s="9">
        <f t="shared" si="22"/>
        <v>78.59390691114001</v>
      </c>
      <c r="J210" s="9">
        <f t="shared" si="23"/>
        <v>298.61929626605001</v>
      </c>
      <c r="K210" s="9">
        <f t="shared" si="24"/>
        <v>78.59390691114001</v>
      </c>
      <c r="L210" s="10">
        <f t="shared" si="21"/>
        <v>0.26319098562578502</v>
      </c>
      <c r="M210" s="10">
        <f t="shared" si="20"/>
        <v>0.27973627815425484</v>
      </c>
      <c r="P210" s="8">
        <f t="shared" si="25"/>
        <v>-12.856838782196053</v>
      </c>
    </row>
    <row r="211" spans="1:16" x14ac:dyDescent="0.2">
      <c r="A211" s="8">
        <v>104.5</v>
      </c>
      <c r="B211" s="8">
        <v>209</v>
      </c>
      <c r="D211">
        <v>440.83087719297998</v>
      </c>
      <c r="E211">
        <v>197.97263157895</v>
      </c>
      <c r="F211">
        <v>140.73836389281001</v>
      </c>
      <c r="G211">
        <v>117.09732016925</v>
      </c>
      <c r="I211" s="9">
        <f t="shared" si="22"/>
        <v>80.875311409700004</v>
      </c>
      <c r="J211" s="9">
        <f t="shared" si="23"/>
        <v>300.09251330016997</v>
      </c>
      <c r="K211" s="9">
        <f t="shared" si="24"/>
        <v>80.875311409700004</v>
      </c>
      <c r="L211" s="10">
        <f t="shared" si="21"/>
        <v>0.26950126319480627</v>
      </c>
      <c r="M211" s="10">
        <f t="shared" si="20"/>
        <v>0.28612610039889375</v>
      </c>
      <c r="P211" s="8">
        <f t="shared" si="25"/>
        <v>-10.866287847252156</v>
      </c>
    </row>
    <row r="212" spans="1:16" x14ac:dyDescent="0.2">
      <c r="A212" s="8">
        <v>105</v>
      </c>
      <c r="B212" s="8">
        <v>210</v>
      </c>
      <c r="D212">
        <v>442.59508771930001</v>
      </c>
      <c r="E212">
        <v>198.48561403509001</v>
      </c>
      <c r="F212">
        <v>140.92383638928001</v>
      </c>
      <c r="G212">
        <v>117.17489421721</v>
      </c>
      <c r="I212" s="9">
        <f t="shared" si="22"/>
        <v>81.310719817880013</v>
      </c>
      <c r="J212" s="9">
        <f t="shared" si="23"/>
        <v>301.67125133002003</v>
      </c>
      <c r="K212" s="9">
        <f t="shared" si="24"/>
        <v>81.310719817880013</v>
      </c>
      <c r="L212" s="10">
        <f t="shared" si="21"/>
        <v>0.26953420141758333</v>
      </c>
      <c r="M212" s="10">
        <f t="shared" si="20"/>
        <v>0.28623858329728846</v>
      </c>
      <c r="P212" s="8">
        <f t="shared" si="25"/>
        <v>-10.831247289003034</v>
      </c>
    </row>
    <row r="213" spans="1:16" x14ac:dyDescent="0.2">
      <c r="A213" s="8">
        <v>105.5</v>
      </c>
      <c r="B213" s="8">
        <v>211</v>
      </c>
      <c r="D213">
        <v>439.4</v>
      </c>
      <c r="E213">
        <v>196.83719298246001</v>
      </c>
      <c r="F213">
        <v>140.67277856134999</v>
      </c>
      <c r="G213">
        <v>117.341325811</v>
      </c>
      <c r="I213" s="9">
        <f t="shared" si="22"/>
        <v>79.495867171460006</v>
      </c>
      <c r="J213" s="9">
        <f t="shared" si="23"/>
        <v>298.72722143864996</v>
      </c>
      <c r="K213" s="9">
        <f t="shared" si="24"/>
        <v>79.495867171460006</v>
      </c>
      <c r="L213" s="10">
        <f t="shared" si="21"/>
        <v>0.26611524315933888</v>
      </c>
      <c r="M213" s="10">
        <f t="shared" si="20"/>
        <v>0.28289916971466161</v>
      </c>
      <c r="P213" s="8">
        <f t="shared" si="25"/>
        <v>-11.871538016126049</v>
      </c>
    </row>
    <row r="214" spans="1:16" x14ac:dyDescent="0.2">
      <c r="A214" s="8">
        <v>106</v>
      </c>
      <c r="B214" s="8">
        <v>212</v>
      </c>
      <c r="D214">
        <v>444.03157894737001</v>
      </c>
      <c r="E214">
        <v>199.15438596491001</v>
      </c>
      <c r="F214">
        <v>141.15303244006</v>
      </c>
      <c r="G214">
        <v>117.38928067701001</v>
      </c>
      <c r="I214" s="9">
        <f t="shared" si="22"/>
        <v>81.765105287899999</v>
      </c>
      <c r="J214" s="9">
        <f t="shared" si="23"/>
        <v>302.87854650731003</v>
      </c>
      <c r="K214" s="9">
        <f t="shared" si="24"/>
        <v>81.765105287899999</v>
      </c>
      <c r="L214" s="10">
        <f t="shared" si="21"/>
        <v>0.26996004250148031</v>
      </c>
      <c r="M214" s="10">
        <f t="shared" si="20"/>
        <v>0.28682351373242071</v>
      </c>
      <c r="P214" s="8">
        <f t="shared" si="25"/>
        <v>-10.64903035401607</v>
      </c>
    </row>
    <row r="215" spans="1:16" x14ac:dyDescent="0.2">
      <c r="A215" s="8">
        <v>106.5</v>
      </c>
      <c r="B215" s="8">
        <v>213</v>
      </c>
      <c r="D215">
        <v>441.96701754385998</v>
      </c>
      <c r="E215">
        <v>198.72701754386</v>
      </c>
      <c r="F215">
        <v>141.09661495064</v>
      </c>
      <c r="G215">
        <v>117.05641748942</v>
      </c>
      <c r="I215" s="9">
        <f t="shared" si="22"/>
        <v>81.670600054440001</v>
      </c>
      <c r="J215" s="9">
        <f t="shared" si="23"/>
        <v>300.87040259321998</v>
      </c>
      <c r="K215" s="9">
        <f t="shared" si="24"/>
        <v>81.670600054440001</v>
      </c>
      <c r="L215" s="10">
        <f t="shared" si="21"/>
        <v>0.27144777070298781</v>
      </c>
      <c r="M215" s="10">
        <f t="shared" si="20"/>
        <v>0.28839078660954587</v>
      </c>
      <c r="P215" s="8">
        <f t="shared" si="25"/>
        <v>-10.160795099351329</v>
      </c>
    </row>
    <row r="216" spans="1:16" x14ac:dyDescent="0.2">
      <c r="A216" s="8">
        <v>107</v>
      </c>
      <c r="B216" s="8">
        <v>214</v>
      </c>
      <c r="D216">
        <v>441.43859649122999</v>
      </c>
      <c r="E216">
        <v>198.53824561403999</v>
      </c>
      <c r="F216">
        <v>140.16078984485</v>
      </c>
      <c r="G216">
        <v>117.05994358251</v>
      </c>
      <c r="I216" s="9">
        <f t="shared" si="22"/>
        <v>81.478302031529992</v>
      </c>
      <c r="J216" s="9">
        <f t="shared" si="23"/>
        <v>301.27780664637999</v>
      </c>
      <c r="K216" s="9">
        <f t="shared" si="24"/>
        <v>81.478302031529992</v>
      </c>
      <c r="L216" s="10">
        <f t="shared" si="21"/>
        <v>0.27044242965816545</v>
      </c>
      <c r="M216" s="10">
        <f t="shared" si="20"/>
        <v>0.28746499024034111</v>
      </c>
      <c r="P216" s="8">
        <f t="shared" si="25"/>
        <v>-10.449198243872971</v>
      </c>
    </row>
    <row r="217" spans="1:16" x14ac:dyDescent="0.2">
      <c r="A217" s="8">
        <v>107.5</v>
      </c>
      <c r="B217" s="8">
        <v>215</v>
      </c>
      <c r="D217">
        <v>440.03789473683997</v>
      </c>
      <c r="E217">
        <v>198.55578947367999</v>
      </c>
      <c r="F217">
        <v>140.47108603666999</v>
      </c>
      <c r="G217">
        <v>117.23624823695</v>
      </c>
      <c r="I217" s="9">
        <f t="shared" si="22"/>
        <v>81.319541236729989</v>
      </c>
      <c r="J217" s="9">
        <f t="shared" si="23"/>
        <v>299.56680870016999</v>
      </c>
      <c r="K217" s="9">
        <f t="shared" si="24"/>
        <v>81.319541236729989</v>
      </c>
      <c r="L217" s="10">
        <f t="shared" si="21"/>
        <v>0.27145711365547504</v>
      </c>
      <c r="M217" s="10">
        <f t="shared" si="20"/>
        <v>0.28855921891326836</v>
      </c>
      <c r="P217" s="8">
        <f t="shared" si="25"/>
        <v>-10.108325239187245</v>
      </c>
    </row>
    <row r="218" spans="1:16" x14ac:dyDescent="0.2">
      <c r="A218" s="8">
        <v>108</v>
      </c>
      <c r="B218" s="8">
        <v>216</v>
      </c>
      <c r="D218">
        <v>448.44280701754002</v>
      </c>
      <c r="E218">
        <v>200.69263157895</v>
      </c>
      <c r="F218">
        <v>140.3293370945</v>
      </c>
      <c r="G218">
        <v>117.54795486601</v>
      </c>
      <c r="I218" s="9">
        <f t="shared" si="22"/>
        <v>83.144676712939997</v>
      </c>
      <c r="J218" s="9">
        <f t="shared" si="23"/>
        <v>308.11346992304004</v>
      </c>
      <c r="K218" s="9">
        <f t="shared" si="24"/>
        <v>83.144676712939997</v>
      </c>
      <c r="L218" s="10">
        <f t="shared" si="21"/>
        <v>0.26985083363511403</v>
      </c>
      <c r="M218" s="10">
        <f t="shared" si="20"/>
        <v>0.28703248356852501</v>
      </c>
      <c r="P218" s="8">
        <f t="shared" si="25"/>
        <v>-10.58393228294195</v>
      </c>
    </row>
    <row r="219" spans="1:16" x14ac:dyDescent="0.2">
      <c r="A219" s="8">
        <v>108.5</v>
      </c>
      <c r="B219" s="8">
        <v>217</v>
      </c>
      <c r="D219">
        <v>452.11298245614</v>
      </c>
      <c r="E219">
        <v>201.79087719297999</v>
      </c>
      <c r="F219">
        <v>140.63187588151999</v>
      </c>
      <c r="G219">
        <v>117.08251057827999</v>
      </c>
      <c r="I219" s="9">
        <f t="shared" si="22"/>
        <v>84.708366614699997</v>
      </c>
      <c r="J219" s="9">
        <f t="shared" si="23"/>
        <v>311.48110657462001</v>
      </c>
      <c r="K219" s="9">
        <f t="shared" si="24"/>
        <v>84.708366614699997</v>
      </c>
      <c r="L219" s="10">
        <f t="shared" si="21"/>
        <v>0.27195346628321687</v>
      </c>
      <c r="M219" s="10">
        <f t="shared" si="20"/>
        <v>0.28921466089224546</v>
      </c>
      <c r="P219" s="8">
        <f t="shared" si="25"/>
        <v>-9.9041426196865245</v>
      </c>
    </row>
    <row r="220" spans="1:16" x14ac:dyDescent="0.2">
      <c r="A220" s="8">
        <v>109</v>
      </c>
      <c r="B220" s="8">
        <v>218</v>
      </c>
      <c r="D220">
        <v>450.20771929825003</v>
      </c>
      <c r="E220">
        <v>202.76210526316001</v>
      </c>
      <c r="F220">
        <v>139.93864598024999</v>
      </c>
      <c r="G220">
        <v>117.58674188998999</v>
      </c>
      <c r="I220" s="9">
        <f t="shared" si="22"/>
        <v>85.175363373170015</v>
      </c>
      <c r="J220" s="9">
        <f t="shared" si="23"/>
        <v>310.26907331800004</v>
      </c>
      <c r="K220" s="9">
        <f t="shared" si="24"/>
        <v>85.175363373170015</v>
      </c>
      <c r="L220" s="10">
        <f t="shared" si="21"/>
        <v>0.27452095841299767</v>
      </c>
      <c r="M220" s="10">
        <f t="shared" si="20"/>
        <v>0.29186169769764392</v>
      </c>
      <c r="P220" s="8">
        <f t="shared" si="25"/>
        <v>-9.0795404028975391</v>
      </c>
    </row>
    <row r="221" spans="1:16" x14ac:dyDescent="0.2">
      <c r="A221" s="8">
        <v>109.5</v>
      </c>
      <c r="B221" s="8">
        <v>219</v>
      </c>
      <c r="D221">
        <v>452.72070175439001</v>
      </c>
      <c r="E221">
        <v>202.69684210526</v>
      </c>
      <c r="F221">
        <v>140.56417489422</v>
      </c>
      <c r="G221">
        <v>117.60225669958</v>
      </c>
      <c r="I221" s="9">
        <f t="shared" si="22"/>
        <v>85.094585405680007</v>
      </c>
      <c r="J221" s="9">
        <f t="shared" si="23"/>
        <v>312.15652686017</v>
      </c>
      <c r="K221" s="9">
        <f t="shared" si="24"/>
        <v>85.094585405680007</v>
      </c>
      <c r="L221" s="10">
        <f t="shared" si="21"/>
        <v>0.27260229430922001</v>
      </c>
      <c r="M221" s="10">
        <f t="shared" si="20"/>
        <v>0.29002257826948391</v>
      </c>
      <c r="P221" s="8">
        <f t="shared" si="25"/>
        <v>-9.6524610190021374</v>
      </c>
    </row>
    <row r="222" spans="1:16" x14ac:dyDescent="0.2">
      <c r="A222" s="8">
        <v>110</v>
      </c>
      <c r="B222" s="8">
        <v>220</v>
      </c>
      <c r="D222">
        <v>453.45543859649001</v>
      </c>
      <c r="E222">
        <v>202.56</v>
      </c>
      <c r="F222">
        <v>140.94499294780999</v>
      </c>
      <c r="G222">
        <v>117.12270803949001</v>
      </c>
      <c r="I222" s="9">
        <f t="shared" si="22"/>
        <v>85.437291960509995</v>
      </c>
      <c r="J222" s="9">
        <f t="shared" si="23"/>
        <v>312.51044564868005</v>
      </c>
      <c r="K222" s="9">
        <f t="shared" si="24"/>
        <v>85.437291960509995</v>
      </c>
      <c r="L222" s="10">
        <f t="shared" si="21"/>
        <v>0.27339019591222696</v>
      </c>
      <c r="M222" s="10">
        <f t="shared" si="20"/>
        <v>0.29089002454810853</v>
      </c>
      <c r="P222" s="8">
        <f t="shared" si="25"/>
        <v>-9.382235035426687</v>
      </c>
    </row>
    <row r="223" spans="1:16" x14ac:dyDescent="0.2">
      <c r="A223" s="8">
        <v>110.5</v>
      </c>
      <c r="B223" s="8">
        <v>221</v>
      </c>
      <c r="D223">
        <v>449.30035087719</v>
      </c>
      <c r="E223">
        <v>203.17684210525999</v>
      </c>
      <c r="F223">
        <v>140.68265162200001</v>
      </c>
      <c r="G223">
        <v>116.80253878702</v>
      </c>
      <c r="I223" s="9">
        <f t="shared" si="22"/>
        <v>86.374303318239996</v>
      </c>
      <c r="J223" s="9">
        <f t="shared" si="23"/>
        <v>308.61769925519002</v>
      </c>
      <c r="K223" s="9">
        <f t="shared" si="24"/>
        <v>86.374303318239996</v>
      </c>
      <c r="L223" s="10">
        <f t="shared" si="21"/>
        <v>0.27987475613580653</v>
      </c>
      <c r="M223" s="10">
        <f t="shared" si="20"/>
        <v>0.2974541294473057</v>
      </c>
      <c r="P223" s="8">
        <f t="shared" si="25"/>
        <v>-7.3373917449690618</v>
      </c>
    </row>
    <row r="224" spans="1:16" x14ac:dyDescent="0.2">
      <c r="A224" s="8">
        <v>111</v>
      </c>
      <c r="B224" s="8">
        <v>222</v>
      </c>
      <c r="D224">
        <v>449.00771929824998</v>
      </c>
      <c r="E224">
        <v>201.18456140351</v>
      </c>
      <c r="F224">
        <v>140.52750352608999</v>
      </c>
      <c r="G224">
        <v>117.02327221439</v>
      </c>
      <c r="I224" s="9">
        <f t="shared" si="22"/>
        <v>84.161289189119998</v>
      </c>
      <c r="J224" s="9">
        <f t="shared" si="23"/>
        <v>308.48021577216002</v>
      </c>
      <c r="K224" s="9">
        <f t="shared" si="24"/>
        <v>84.161289189119998</v>
      </c>
      <c r="L224" s="10">
        <f t="shared" si="21"/>
        <v>0.27282556509646821</v>
      </c>
      <c r="M224" s="10">
        <f t="shared" si="20"/>
        <v>0.29048448308358504</v>
      </c>
      <c r="P224" s="8">
        <f t="shared" si="25"/>
        <v>-9.5085689005108112</v>
      </c>
    </row>
    <row r="225" spans="1:16" x14ac:dyDescent="0.2">
      <c r="A225" s="8">
        <v>111.5</v>
      </c>
      <c r="B225" s="8">
        <v>223</v>
      </c>
      <c r="D225">
        <v>449.81614035088</v>
      </c>
      <c r="E225">
        <v>202.99719298246001</v>
      </c>
      <c r="F225">
        <v>140.7023977433</v>
      </c>
      <c r="G225">
        <v>117.27221438646001</v>
      </c>
      <c r="I225" s="9">
        <f t="shared" si="22"/>
        <v>85.724978596</v>
      </c>
      <c r="J225" s="9">
        <f t="shared" si="23"/>
        <v>309.11374260757998</v>
      </c>
      <c r="K225" s="9">
        <f t="shared" si="24"/>
        <v>85.724978596</v>
      </c>
      <c r="L225" s="10">
        <f t="shared" si="21"/>
        <v>0.27732503211553389</v>
      </c>
      <c r="M225" s="10">
        <f t="shared" si="20"/>
        <v>0.29506349477826838</v>
      </c>
      <c r="P225" s="8">
        <f t="shared" si="25"/>
        <v>-8.0821198286890894</v>
      </c>
    </row>
    <row r="226" spans="1:16" x14ac:dyDescent="0.2">
      <c r="A226" s="8">
        <v>112</v>
      </c>
      <c r="B226" s="8">
        <v>224</v>
      </c>
      <c r="D226">
        <v>448.88842105263001</v>
      </c>
      <c r="E226">
        <v>203.01894736841999</v>
      </c>
      <c r="F226">
        <v>140.75458392101999</v>
      </c>
      <c r="G226">
        <v>117.07757404796</v>
      </c>
      <c r="I226" s="9">
        <f t="shared" si="22"/>
        <v>85.941373320459988</v>
      </c>
      <c r="J226" s="9">
        <f t="shared" si="23"/>
        <v>308.13383713160999</v>
      </c>
      <c r="K226" s="9">
        <f t="shared" si="24"/>
        <v>85.941373320459988</v>
      </c>
      <c r="L226" s="10">
        <f t="shared" si="21"/>
        <v>0.27890923671506013</v>
      </c>
      <c r="M226" s="10">
        <f t="shared" si="20"/>
        <v>0.29672724405341222</v>
      </c>
      <c r="P226" s="8">
        <f t="shared" si="25"/>
        <v>-7.5638303445131561</v>
      </c>
    </row>
    <row r="227" spans="1:16" x14ac:dyDescent="0.2">
      <c r="A227" s="8">
        <v>112.5</v>
      </c>
      <c r="B227" s="8">
        <v>225</v>
      </c>
      <c r="D227">
        <v>449.90666666666999</v>
      </c>
      <c r="E227">
        <v>204.00561403508999</v>
      </c>
      <c r="F227">
        <v>140.86953455571</v>
      </c>
      <c r="G227">
        <v>116.9365303244</v>
      </c>
      <c r="I227" s="9">
        <f t="shared" si="22"/>
        <v>87.069083710689995</v>
      </c>
      <c r="J227" s="9">
        <f t="shared" si="23"/>
        <v>309.03713211095999</v>
      </c>
      <c r="K227" s="9">
        <f t="shared" si="24"/>
        <v>87.069083710689995</v>
      </c>
      <c r="L227" s="10">
        <f t="shared" si="21"/>
        <v>0.28174311324966533</v>
      </c>
      <c r="M227" s="10">
        <f t="shared" si="20"/>
        <v>0.29964066526363509</v>
      </c>
      <c r="P227" s="8">
        <f t="shared" si="25"/>
        <v>-6.6562443285234059</v>
      </c>
    </row>
    <row r="228" spans="1:16" x14ac:dyDescent="0.2">
      <c r="A228" s="8">
        <v>113</v>
      </c>
      <c r="B228" s="8">
        <v>226</v>
      </c>
      <c r="D228">
        <v>445.92070175439</v>
      </c>
      <c r="E228">
        <v>202.15929824560999</v>
      </c>
      <c r="F228">
        <v>140.47813822284999</v>
      </c>
      <c r="G228">
        <v>117.13187588152</v>
      </c>
      <c r="I228" s="9">
        <f t="shared" si="22"/>
        <v>85.027422364089986</v>
      </c>
      <c r="J228" s="9">
        <f t="shared" si="23"/>
        <v>305.44256353154003</v>
      </c>
      <c r="K228" s="9">
        <f t="shared" si="24"/>
        <v>85.027422364089986</v>
      </c>
      <c r="L228" s="10">
        <f t="shared" si="21"/>
        <v>0.27837450478741166</v>
      </c>
      <c r="M228" s="10">
        <f t="shared" si="20"/>
        <v>0.29635160147699907</v>
      </c>
      <c r="P228" s="8">
        <f t="shared" si="25"/>
        <v>-7.680850138344085</v>
      </c>
    </row>
    <row r="229" spans="1:16" x14ac:dyDescent="0.2">
      <c r="A229" s="8">
        <v>113.5</v>
      </c>
      <c r="B229" s="8">
        <v>227</v>
      </c>
      <c r="D229">
        <v>441.91157894737</v>
      </c>
      <c r="E229">
        <v>200.35859649123</v>
      </c>
      <c r="F229">
        <v>140.96473906911001</v>
      </c>
      <c r="G229">
        <v>117.26657263752</v>
      </c>
      <c r="I229" s="9">
        <f t="shared" si="22"/>
        <v>83.092023853710003</v>
      </c>
      <c r="J229" s="9">
        <f t="shared" si="23"/>
        <v>300.94683987825999</v>
      </c>
      <c r="K229" s="9">
        <f t="shared" si="24"/>
        <v>83.092023853710003</v>
      </c>
      <c r="L229" s="10">
        <f t="shared" si="21"/>
        <v>0.27610199823770426</v>
      </c>
      <c r="M229" s="10">
        <f t="shared" si="20"/>
        <v>0.29415863960290928</v>
      </c>
      <c r="P229" s="8">
        <f t="shared" si="25"/>
        <v>-8.3639993937757495</v>
      </c>
    </row>
    <row r="230" spans="1:16" x14ac:dyDescent="0.2">
      <c r="A230" s="8">
        <v>114</v>
      </c>
      <c r="B230" s="8">
        <v>228</v>
      </c>
      <c r="D230">
        <v>439.99789473684001</v>
      </c>
      <c r="E230">
        <v>200.03087719298</v>
      </c>
      <c r="F230">
        <v>140.6466854725</v>
      </c>
      <c r="G230">
        <v>117.13469675599001</v>
      </c>
      <c r="I230" s="9">
        <f t="shared" si="22"/>
        <v>82.896180436989994</v>
      </c>
      <c r="J230" s="9">
        <f t="shared" si="23"/>
        <v>299.35120926434001</v>
      </c>
      <c r="K230" s="9">
        <f t="shared" si="24"/>
        <v>82.896180436989994</v>
      </c>
      <c r="L230" s="10">
        <f t="shared" si="21"/>
        <v>0.27691947742823081</v>
      </c>
      <c r="M230" s="10">
        <f t="shared" si="20"/>
        <v>0.29505566346905349</v>
      </c>
      <c r="P230" s="8">
        <f t="shared" si="25"/>
        <v>-8.0845594301807608</v>
      </c>
    </row>
    <row r="231" spans="1:16" x14ac:dyDescent="0.2">
      <c r="A231" s="8">
        <v>114.5</v>
      </c>
      <c r="B231" s="8">
        <v>229</v>
      </c>
      <c r="D231">
        <v>440.55157894736999</v>
      </c>
      <c r="E231">
        <v>200.36210526316</v>
      </c>
      <c r="F231">
        <v>140.34767277856</v>
      </c>
      <c r="G231">
        <v>116.94499294780999</v>
      </c>
      <c r="I231" s="9">
        <f t="shared" si="22"/>
        <v>83.41711231535001</v>
      </c>
      <c r="J231" s="9">
        <f t="shared" si="23"/>
        <v>300.20390616881002</v>
      </c>
      <c r="K231" s="9">
        <f t="shared" si="24"/>
        <v>83.41711231535001</v>
      </c>
      <c r="L231" s="10">
        <f t="shared" si="21"/>
        <v>0.27786817759940496</v>
      </c>
      <c r="M231" s="10">
        <f t="shared" si="20"/>
        <v>0.2960839083158453</v>
      </c>
      <c r="P231" s="8">
        <f t="shared" si="25"/>
        <v>-7.7642416399871541</v>
      </c>
    </row>
    <row r="232" spans="1:16" x14ac:dyDescent="0.2">
      <c r="A232" s="8">
        <v>115</v>
      </c>
      <c r="B232" s="8">
        <v>230</v>
      </c>
      <c r="D232">
        <v>440.04491228069998</v>
      </c>
      <c r="E232">
        <v>200.97473684210999</v>
      </c>
      <c r="F232">
        <v>140.51198871650001</v>
      </c>
      <c r="G232">
        <v>117.08392101552</v>
      </c>
      <c r="I232" s="9">
        <f t="shared" si="22"/>
        <v>83.890815826589986</v>
      </c>
      <c r="J232" s="9">
        <f t="shared" si="23"/>
        <v>299.53292356419996</v>
      </c>
      <c r="K232" s="9">
        <f t="shared" si="24"/>
        <v>83.890815826589986</v>
      </c>
      <c r="L232" s="10">
        <f t="shared" si="21"/>
        <v>0.2800721030207865</v>
      </c>
      <c r="M232" s="10">
        <f t="shared" si="20"/>
        <v>0.2983673784128445</v>
      </c>
      <c r="P232" s="8">
        <f t="shared" si="25"/>
        <v>-7.052897354891936</v>
      </c>
    </row>
    <row r="233" spans="1:16" x14ac:dyDescent="0.2">
      <c r="A233" s="8">
        <v>115.5</v>
      </c>
      <c r="B233" s="8">
        <v>231</v>
      </c>
      <c r="D233">
        <v>435.44982456140002</v>
      </c>
      <c r="E233">
        <v>199.56631578947</v>
      </c>
      <c r="F233">
        <v>140.92031029619</v>
      </c>
      <c r="G233">
        <v>117.31734837800001</v>
      </c>
      <c r="I233" s="9">
        <f t="shared" si="22"/>
        <v>82.248967411469991</v>
      </c>
      <c r="J233" s="9">
        <f t="shared" si="23"/>
        <v>294.52951426521003</v>
      </c>
      <c r="K233" s="9">
        <f t="shared" si="24"/>
        <v>82.248967411469991</v>
      </c>
      <c r="L233" s="10">
        <f t="shared" si="21"/>
        <v>0.27925543427002242</v>
      </c>
      <c r="M233" s="10">
        <f t="shared" si="20"/>
        <v>0.29763025433769802</v>
      </c>
      <c r="P233" s="8">
        <f t="shared" si="25"/>
        <v>-7.2825254980196323</v>
      </c>
    </row>
    <row r="234" spans="1:16" x14ac:dyDescent="0.2">
      <c r="A234" s="8">
        <v>116</v>
      </c>
      <c r="B234" s="8">
        <v>232</v>
      </c>
      <c r="D234">
        <v>435.54456140350999</v>
      </c>
      <c r="E234">
        <v>201.33824561404001</v>
      </c>
      <c r="F234">
        <v>140.53314527504</v>
      </c>
      <c r="G234">
        <v>117.27644569816999</v>
      </c>
      <c r="I234" s="9">
        <f t="shared" si="22"/>
        <v>84.061799915870012</v>
      </c>
      <c r="J234" s="9">
        <f t="shared" si="23"/>
        <v>295.01141612846999</v>
      </c>
      <c r="K234" s="9">
        <f t="shared" si="24"/>
        <v>84.061799915870012</v>
      </c>
      <c r="L234" s="10">
        <f t="shared" si="21"/>
        <v>0.28494422696938354</v>
      </c>
      <c r="M234" s="10">
        <f t="shared" si="20"/>
        <v>0.3033985917126768</v>
      </c>
      <c r="P234" s="8">
        <f t="shared" si="25"/>
        <v>-5.4855788983752616</v>
      </c>
    </row>
    <row r="235" spans="1:16" x14ac:dyDescent="0.2">
      <c r="A235" s="8">
        <v>116.5</v>
      </c>
      <c r="B235" s="8">
        <v>233</v>
      </c>
      <c r="D235">
        <v>437.98601398600999</v>
      </c>
      <c r="E235">
        <v>202.04755244755</v>
      </c>
      <c r="F235">
        <v>140.51692524683</v>
      </c>
      <c r="G235">
        <v>117.13751763047</v>
      </c>
      <c r="I235" s="9">
        <f t="shared" si="22"/>
        <v>84.910034817080003</v>
      </c>
      <c r="J235" s="9">
        <f t="shared" si="23"/>
        <v>297.46908873917999</v>
      </c>
      <c r="K235" s="9">
        <f t="shared" si="24"/>
        <v>84.910034817080003</v>
      </c>
      <c r="L235" s="10">
        <f t="shared" si="21"/>
        <v>0.28544154008394756</v>
      </c>
      <c r="M235" s="10">
        <f t="shared" si="20"/>
        <v>0.30397544950285849</v>
      </c>
      <c r="P235" s="8">
        <f t="shared" si="25"/>
        <v>-5.3058767455431974</v>
      </c>
    </row>
    <row r="236" spans="1:16" x14ac:dyDescent="0.2">
      <c r="A236" s="8">
        <v>117</v>
      </c>
      <c r="B236" s="8">
        <v>234</v>
      </c>
      <c r="D236">
        <v>438.45314685314997</v>
      </c>
      <c r="E236">
        <v>202.28181818182</v>
      </c>
      <c r="F236">
        <v>140.52538787024</v>
      </c>
      <c r="G236">
        <v>116.83921015515</v>
      </c>
      <c r="I236" s="9">
        <f t="shared" si="22"/>
        <v>85.442608026670001</v>
      </c>
      <c r="J236" s="9">
        <f t="shared" si="23"/>
        <v>297.92775898290995</v>
      </c>
      <c r="K236" s="9">
        <f t="shared" si="24"/>
        <v>85.442608026670001</v>
      </c>
      <c r="L236" s="10">
        <f t="shared" si="21"/>
        <v>0.28678968458112442</v>
      </c>
      <c r="M236" s="10">
        <f t="shared" si="20"/>
        <v>0.30540313867565294</v>
      </c>
      <c r="P236" s="8">
        <f t="shared" si="25"/>
        <v>-4.861124464664079</v>
      </c>
    </row>
    <row r="237" spans="1:16" x14ac:dyDescent="0.2">
      <c r="A237" s="8">
        <v>117.5</v>
      </c>
      <c r="B237" s="8">
        <v>235</v>
      </c>
      <c r="D237">
        <v>433.99930069930002</v>
      </c>
      <c r="E237">
        <v>201.74895104895</v>
      </c>
      <c r="F237">
        <v>140.31875881523001</v>
      </c>
      <c r="G237">
        <v>117.04936530323999</v>
      </c>
      <c r="I237" s="9">
        <f t="shared" si="22"/>
        <v>84.69958574571001</v>
      </c>
      <c r="J237" s="9">
        <f t="shared" si="23"/>
        <v>293.68054188407001</v>
      </c>
      <c r="K237" s="9">
        <f t="shared" si="24"/>
        <v>84.69958574571001</v>
      </c>
      <c r="L237" s="10">
        <f t="shared" si="21"/>
        <v>0.28840721010091658</v>
      </c>
      <c r="M237" s="10">
        <f t="shared" si="20"/>
        <v>0.30710020887106276</v>
      </c>
      <c r="P237" s="8">
        <f t="shared" si="25"/>
        <v>-4.3324548812538843</v>
      </c>
    </row>
    <row r="238" spans="1:16" x14ac:dyDescent="0.2">
      <c r="A238" s="8">
        <v>118</v>
      </c>
      <c r="B238" s="8">
        <v>236</v>
      </c>
      <c r="D238">
        <v>429.95804195803998</v>
      </c>
      <c r="E238">
        <v>203.96153846153999</v>
      </c>
      <c r="F238">
        <v>140.78702397743001</v>
      </c>
      <c r="G238">
        <v>116.7101551481</v>
      </c>
      <c r="I238" s="9">
        <f t="shared" si="22"/>
        <v>87.251383313439987</v>
      </c>
      <c r="J238" s="9">
        <f t="shared" si="23"/>
        <v>289.17101798060997</v>
      </c>
      <c r="K238" s="9">
        <f t="shared" si="24"/>
        <v>87.251383313439987</v>
      </c>
      <c r="L238" s="10">
        <f t="shared" si="21"/>
        <v>0.30172935006678481</v>
      </c>
      <c r="M238" s="10">
        <f t="shared" si="20"/>
        <v>0.32050189351254865</v>
      </c>
      <c r="P238" s="8">
        <f t="shared" si="25"/>
        <v>-0.15757569501127436</v>
      </c>
    </row>
    <row r="239" spans="1:16" x14ac:dyDescent="0.2">
      <c r="A239" s="8">
        <v>118.5</v>
      </c>
      <c r="B239" s="8">
        <v>237</v>
      </c>
      <c r="D239">
        <v>432.03076923076998</v>
      </c>
      <c r="E239">
        <v>204.63356643357</v>
      </c>
      <c r="F239">
        <v>140.5557122708</v>
      </c>
      <c r="G239">
        <v>117.13610719323</v>
      </c>
      <c r="I239" s="9">
        <f t="shared" si="22"/>
        <v>87.497459240339992</v>
      </c>
      <c r="J239" s="9">
        <f t="shared" si="23"/>
        <v>291.47505695996995</v>
      </c>
      <c r="K239" s="9">
        <f t="shared" si="24"/>
        <v>87.497459240339992</v>
      </c>
      <c r="L239" s="10">
        <f t="shared" si="21"/>
        <v>0.30018849692636496</v>
      </c>
      <c r="M239" s="10">
        <f t="shared" si="20"/>
        <v>0.31904058504774641</v>
      </c>
      <c r="P239" s="8">
        <f t="shared" si="25"/>
        <v>-0.61280102358658006</v>
      </c>
    </row>
    <row r="240" spans="1:16" x14ac:dyDescent="0.2">
      <c r="A240" s="8">
        <v>119</v>
      </c>
      <c r="B240" s="8">
        <v>238</v>
      </c>
      <c r="D240">
        <v>440.3020979021</v>
      </c>
      <c r="E240">
        <v>209.85174825175</v>
      </c>
      <c r="F240">
        <v>140.84696755994</v>
      </c>
      <c r="G240">
        <v>117.00282087447</v>
      </c>
      <c r="I240" s="9">
        <f t="shared" si="22"/>
        <v>92.848927377279992</v>
      </c>
      <c r="J240" s="9">
        <f t="shared" si="23"/>
        <v>299.45513034216003</v>
      </c>
      <c r="K240" s="9">
        <f t="shared" si="24"/>
        <v>92.848927377279992</v>
      </c>
      <c r="L240" s="10">
        <f t="shared" si="21"/>
        <v>0.31005956475412527</v>
      </c>
      <c r="M240" s="10">
        <f t="shared" si="20"/>
        <v>0.32899119755112438</v>
      </c>
      <c r="P240" s="8">
        <f t="shared" si="25"/>
        <v>2.4870036757509966</v>
      </c>
    </row>
    <row r="241" spans="1:16" x14ac:dyDescent="0.2">
      <c r="A241" s="8">
        <v>119.5</v>
      </c>
      <c r="B241" s="8">
        <v>239</v>
      </c>
      <c r="D241">
        <v>432.04685314685003</v>
      </c>
      <c r="E241">
        <v>208.11888111888001</v>
      </c>
      <c r="F241">
        <v>140.58956276446</v>
      </c>
      <c r="G241">
        <v>117.23272214387001</v>
      </c>
      <c r="I241" s="9">
        <f t="shared" si="22"/>
        <v>90.886158975010005</v>
      </c>
      <c r="J241" s="9">
        <f t="shared" si="23"/>
        <v>291.45729038239006</v>
      </c>
      <c r="K241" s="9">
        <f t="shared" si="24"/>
        <v>90.886158975010005</v>
      </c>
      <c r="L241" s="10">
        <f t="shared" si="21"/>
        <v>0.31183354122234502</v>
      </c>
      <c r="M241" s="10">
        <f t="shared" si="20"/>
        <v>0.33084471869496179</v>
      </c>
      <c r="P241" s="8">
        <f t="shared" si="25"/>
        <v>3.064410699694327</v>
      </c>
    </row>
    <row r="242" spans="1:16" x14ac:dyDescent="0.2">
      <c r="A242" s="8">
        <v>120</v>
      </c>
      <c r="B242" s="8">
        <v>240</v>
      </c>
      <c r="D242">
        <v>428.97832167832001</v>
      </c>
      <c r="E242">
        <v>210.54685314685</v>
      </c>
      <c r="F242">
        <v>140.23624823694999</v>
      </c>
      <c r="G242">
        <v>116.85825105783</v>
      </c>
      <c r="I242" s="9">
        <f>E242-G242</f>
        <v>93.688602089019994</v>
      </c>
      <c r="J242" s="9">
        <f>D242-F242</f>
        <v>288.74207344137005</v>
      </c>
      <c r="K242" s="9">
        <f t="shared" si="24"/>
        <v>93.688602089019994</v>
      </c>
      <c r="L242" s="10">
        <f t="shared" si="21"/>
        <v>0.32447159837980366</v>
      </c>
      <c r="M242" s="10">
        <f>L242+ABS($N$2)*A242</f>
        <v>0.34356232052803809</v>
      </c>
      <c r="O242" s="11"/>
      <c r="P242" s="8">
        <f>(M242-$O$2)/$O$2*100</f>
        <v>7.0261851043444237</v>
      </c>
    </row>
    <row r="243" spans="1:16" x14ac:dyDescent="0.2">
      <c r="A243" s="8">
        <v>120.5</v>
      </c>
      <c r="B243" s="8">
        <v>241</v>
      </c>
      <c r="D243">
        <v>430.76783216783002</v>
      </c>
      <c r="E243">
        <v>212.0979020979</v>
      </c>
      <c r="F243">
        <v>140.74118476728</v>
      </c>
      <c r="G243">
        <v>116.82651622003</v>
      </c>
      <c r="I243" s="9">
        <f t="shared" ref="I243:I274" si="26">E243-G243</f>
        <v>95.271385877870003</v>
      </c>
      <c r="J243" s="9">
        <f t="shared" ref="J243:J274" si="27">D243-F243</f>
        <v>290.02664740055002</v>
      </c>
      <c r="K243" s="9">
        <f t="shared" si="24"/>
        <v>95.271385877870003</v>
      </c>
      <c r="L243" s="10">
        <f t="shared" si="21"/>
        <v>0.32849183594600045</v>
      </c>
      <c r="M243" s="10">
        <f t="shared" ref="M243:M274" si="28">L243+ABS($N$2)*A243</f>
        <v>0.34766210276985249</v>
      </c>
      <c r="P243" s="8">
        <f t="shared" ref="P243:P274" si="29">(M243-$O$2)/$O$2*100</f>
        <v>8.303345103804034</v>
      </c>
    </row>
    <row r="244" spans="1:16" x14ac:dyDescent="0.2">
      <c r="A244" s="8">
        <v>121</v>
      </c>
      <c r="B244" s="8">
        <v>242</v>
      </c>
      <c r="D244">
        <v>459.12867132867001</v>
      </c>
      <c r="E244">
        <v>222.75874125874</v>
      </c>
      <c r="F244">
        <v>140.41607898449001</v>
      </c>
      <c r="G244">
        <v>116.87235543017999</v>
      </c>
      <c r="I244" s="9">
        <f t="shared" si="26"/>
        <v>105.88638582856001</v>
      </c>
      <c r="J244" s="9">
        <f t="shared" si="27"/>
        <v>318.71259234418</v>
      </c>
      <c r="K244" s="9">
        <f t="shared" si="24"/>
        <v>105.88638582856001</v>
      </c>
      <c r="L244" s="10">
        <f t="shared" si="21"/>
        <v>0.33223157280906096</v>
      </c>
      <c r="M244" s="10">
        <f t="shared" si="28"/>
        <v>0.35148138430853065</v>
      </c>
      <c r="N244" s="1"/>
      <c r="P244" s="8">
        <f t="shared" si="29"/>
        <v>9.4931238091519496</v>
      </c>
    </row>
    <row r="245" spans="1:16" x14ac:dyDescent="0.2">
      <c r="A245" s="8">
        <v>121.5</v>
      </c>
      <c r="B245" s="8">
        <v>243</v>
      </c>
      <c r="D245">
        <v>466.19160839160998</v>
      </c>
      <c r="E245">
        <v>226.46643356643</v>
      </c>
      <c r="F245">
        <v>140.44851904090001</v>
      </c>
      <c r="G245">
        <v>117.18335684061999</v>
      </c>
      <c r="I245" s="9">
        <f t="shared" si="26"/>
        <v>109.28307672581001</v>
      </c>
      <c r="J245" s="9">
        <f t="shared" si="27"/>
        <v>325.74308935070997</v>
      </c>
      <c r="K245" s="9">
        <f t="shared" si="24"/>
        <v>109.28307672581001</v>
      </c>
      <c r="L245" s="10">
        <f t="shared" si="21"/>
        <v>0.33548855002155037</v>
      </c>
      <c r="M245" s="10">
        <f t="shared" si="28"/>
        <v>0.35481790619663772</v>
      </c>
      <c r="P245" s="8">
        <f t="shared" si="29"/>
        <v>10.532513718535512</v>
      </c>
    </row>
    <row r="246" spans="1:16" x14ac:dyDescent="0.2">
      <c r="A246" s="8">
        <v>122</v>
      </c>
      <c r="B246" s="8">
        <v>244</v>
      </c>
      <c r="D246">
        <v>467.08321678322</v>
      </c>
      <c r="E246">
        <v>229.27482517483</v>
      </c>
      <c r="F246">
        <v>140.51622002821</v>
      </c>
      <c r="G246">
        <v>116.72143864598</v>
      </c>
      <c r="I246" s="9">
        <f t="shared" si="26"/>
        <v>112.55338652885</v>
      </c>
      <c r="J246" s="9">
        <f t="shared" si="27"/>
        <v>326.56699675501</v>
      </c>
      <c r="K246" s="9">
        <f t="shared" si="24"/>
        <v>112.55338652885</v>
      </c>
      <c r="L246" s="10">
        <f t="shared" si="21"/>
        <v>0.34465634202860784</v>
      </c>
      <c r="M246" s="10">
        <f t="shared" si="28"/>
        <v>0.3640652428793128</v>
      </c>
      <c r="P246" s="8">
        <f t="shared" si="29"/>
        <v>13.413234648587</v>
      </c>
    </row>
    <row r="247" spans="1:16" x14ac:dyDescent="0.2">
      <c r="A247" s="8">
        <v>122.5</v>
      </c>
      <c r="B247" s="8">
        <v>245</v>
      </c>
      <c r="D247">
        <v>466.86713286713001</v>
      </c>
      <c r="E247">
        <v>229.57342657343</v>
      </c>
      <c r="F247">
        <v>140.63681241185</v>
      </c>
      <c r="G247">
        <v>117.24118476728</v>
      </c>
      <c r="I247" s="9">
        <f t="shared" si="26"/>
        <v>112.33224180614999</v>
      </c>
      <c r="J247" s="9">
        <f t="shared" si="27"/>
        <v>326.23032045527998</v>
      </c>
      <c r="K247" s="9">
        <f t="shared" si="24"/>
        <v>112.33224180614999</v>
      </c>
      <c r="L247" s="10">
        <f t="shared" si="21"/>
        <v>0.34433415523542249</v>
      </c>
      <c r="M247" s="10">
        <f t="shared" si="28"/>
        <v>0.36382260076174511</v>
      </c>
      <c r="P247" s="8">
        <f t="shared" si="29"/>
        <v>13.337647022595311</v>
      </c>
    </row>
    <row r="248" spans="1:16" x14ac:dyDescent="0.2">
      <c r="A248" s="8">
        <v>123</v>
      </c>
      <c r="B248" s="8">
        <v>246</v>
      </c>
      <c r="D248">
        <v>465.65454545454998</v>
      </c>
      <c r="E248">
        <v>229.03986013986</v>
      </c>
      <c r="F248">
        <v>140.13963328631999</v>
      </c>
      <c r="G248">
        <v>117.25669957687001</v>
      </c>
      <c r="I248" s="9">
        <f t="shared" si="26"/>
        <v>111.78316056298999</v>
      </c>
      <c r="J248" s="9">
        <f t="shared" si="27"/>
        <v>325.51491216823001</v>
      </c>
      <c r="K248" s="9">
        <f t="shared" si="24"/>
        <v>111.78316056298999</v>
      </c>
      <c r="L248" s="10">
        <f t="shared" si="21"/>
        <v>0.34340411570828161</v>
      </c>
      <c r="M248" s="10">
        <f t="shared" si="28"/>
        <v>0.36297210591022189</v>
      </c>
      <c r="P248" s="8">
        <f t="shared" si="29"/>
        <v>13.072701730371431</v>
      </c>
    </row>
    <row r="249" spans="1:16" x14ac:dyDescent="0.2">
      <c r="A249" s="8">
        <v>123.5</v>
      </c>
      <c r="B249" s="8">
        <v>247</v>
      </c>
      <c r="D249">
        <v>460.91340782123001</v>
      </c>
      <c r="E249">
        <v>228.14315642458001</v>
      </c>
      <c r="F249">
        <v>140.02327221439</v>
      </c>
      <c r="G249">
        <v>116.93582510578</v>
      </c>
      <c r="I249" s="9">
        <f t="shared" si="26"/>
        <v>111.20733131880002</v>
      </c>
      <c r="J249" s="9">
        <f t="shared" si="27"/>
        <v>320.89013560683998</v>
      </c>
      <c r="K249" s="9">
        <f t="shared" si="24"/>
        <v>111.20733131880002</v>
      </c>
      <c r="L249" s="10">
        <f t="shared" si="21"/>
        <v>0.34655889657840128</v>
      </c>
      <c r="M249" s="10">
        <f t="shared" si="28"/>
        <v>0.36620643145595921</v>
      </c>
      <c r="P249" s="8">
        <f t="shared" si="29"/>
        <v>14.080255538989809</v>
      </c>
    </row>
    <row r="250" spans="1:16" x14ac:dyDescent="0.2">
      <c r="A250" s="8">
        <v>124</v>
      </c>
      <c r="B250" s="8">
        <v>248</v>
      </c>
      <c r="D250">
        <v>460.70460893855</v>
      </c>
      <c r="E250">
        <v>227.40432960894</v>
      </c>
      <c r="F250">
        <v>140.53667136812001</v>
      </c>
      <c r="G250">
        <v>117.13681241185</v>
      </c>
      <c r="I250" s="9">
        <f t="shared" si="26"/>
        <v>110.26751719709</v>
      </c>
      <c r="J250" s="9">
        <f t="shared" si="27"/>
        <v>320.16793757043001</v>
      </c>
      <c r="K250" s="9">
        <f t="shared" si="24"/>
        <v>110.26751719709</v>
      </c>
      <c r="L250" s="10">
        <f t="shared" si="21"/>
        <v>0.34440524567777353</v>
      </c>
      <c r="M250" s="10">
        <f t="shared" si="28"/>
        <v>0.36413232523094907</v>
      </c>
      <c r="P250" s="8">
        <f t="shared" si="29"/>
        <v>13.43413207462727</v>
      </c>
    </row>
    <row r="251" spans="1:16" x14ac:dyDescent="0.2">
      <c r="A251" s="8">
        <v>124.5</v>
      </c>
      <c r="B251" s="8">
        <v>249</v>
      </c>
      <c r="D251">
        <v>459.56424581006002</v>
      </c>
      <c r="E251">
        <v>228.97206703910999</v>
      </c>
      <c r="F251">
        <v>140.36882933709001</v>
      </c>
      <c r="G251">
        <v>116.92736248237</v>
      </c>
      <c r="I251" s="9">
        <f t="shared" si="26"/>
        <v>112.04470455673999</v>
      </c>
      <c r="J251" s="9">
        <f t="shared" si="27"/>
        <v>319.19541647297001</v>
      </c>
      <c r="K251" s="9">
        <f t="shared" si="24"/>
        <v>112.04470455673999</v>
      </c>
      <c r="L251" s="10">
        <f t="shared" si="21"/>
        <v>0.35102228532854923</v>
      </c>
      <c r="M251" s="10">
        <f t="shared" si="28"/>
        <v>0.37082890955734243</v>
      </c>
      <c r="P251" s="8">
        <f t="shared" si="29"/>
        <v>15.520245221674015</v>
      </c>
    </row>
    <row r="252" spans="1:16" x14ac:dyDescent="0.2">
      <c r="A252" s="8">
        <v>125</v>
      </c>
      <c r="B252" s="8">
        <v>250</v>
      </c>
      <c r="D252">
        <v>458.96438547486002</v>
      </c>
      <c r="E252">
        <v>228.25279329609</v>
      </c>
      <c r="F252">
        <v>140.35049365302999</v>
      </c>
      <c r="G252">
        <v>116.80183356841</v>
      </c>
      <c r="I252" s="9">
        <f t="shared" si="26"/>
        <v>111.45095972768</v>
      </c>
      <c r="J252" s="9">
        <f t="shared" si="27"/>
        <v>318.61389182183007</v>
      </c>
      <c r="K252" s="9">
        <f t="shared" si="24"/>
        <v>111.45095972768</v>
      </c>
      <c r="L252" s="10">
        <f t="shared" si="21"/>
        <v>0.34979943620915233</v>
      </c>
      <c r="M252" s="10">
        <f t="shared" si="28"/>
        <v>0.36968560511356319</v>
      </c>
      <c r="P252" s="8">
        <f t="shared" si="29"/>
        <v>15.164084182703064</v>
      </c>
    </row>
    <row r="253" spans="1:16" x14ac:dyDescent="0.2">
      <c r="A253" s="8">
        <v>125.5</v>
      </c>
      <c r="B253" s="8">
        <v>251</v>
      </c>
      <c r="D253">
        <v>461.09567039106003</v>
      </c>
      <c r="E253">
        <v>232.63966480446999</v>
      </c>
      <c r="F253">
        <v>139.91396332862999</v>
      </c>
      <c r="G253">
        <v>116.88222849083</v>
      </c>
      <c r="I253" s="9">
        <f t="shared" si="26"/>
        <v>115.75743631363999</v>
      </c>
      <c r="J253" s="9">
        <f t="shared" si="27"/>
        <v>321.18170706243006</v>
      </c>
      <c r="K253" s="9">
        <f t="shared" si="24"/>
        <v>115.75743631363999</v>
      </c>
      <c r="L253" s="10">
        <f t="shared" si="21"/>
        <v>0.36041105009489066</v>
      </c>
      <c r="M253" s="10">
        <f t="shared" si="28"/>
        <v>0.38037676367491913</v>
      </c>
      <c r="P253" s="8">
        <f t="shared" si="29"/>
        <v>18.49458303778399</v>
      </c>
    </row>
    <row r="254" spans="1:16" x14ac:dyDescent="0.2">
      <c r="A254" s="8">
        <v>126</v>
      </c>
      <c r="B254" s="8">
        <v>252</v>
      </c>
      <c r="D254">
        <v>459.13826815643</v>
      </c>
      <c r="E254">
        <v>231.63268156424999</v>
      </c>
      <c r="F254">
        <v>140.01622002821</v>
      </c>
      <c r="G254">
        <v>116.92313117066</v>
      </c>
      <c r="I254" s="9">
        <f t="shared" si="26"/>
        <v>114.70955039358999</v>
      </c>
      <c r="J254" s="9">
        <f t="shared" si="27"/>
        <v>319.12204812822</v>
      </c>
      <c r="K254" s="9">
        <f t="shared" si="24"/>
        <v>114.70955039358999</v>
      </c>
      <c r="L254" s="10">
        <f t="shared" si="21"/>
        <v>0.35945354157259879</v>
      </c>
      <c r="M254" s="10">
        <f t="shared" si="28"/>
        <v>0.37949879982824491</v>
      </c>
      <c r="P254" s="8">
        <f t="shared" si="29"/>
        <v>18.221080632093351</v>
      </c>
    </row>
    <row r="255" spans="1:16" x14ac:dyDescent="0.2">
      <c r="A255" s="8">
        <v>126.5</v>
      </c>
      <c r="B255" s="8">
        <v>253</v>
      </c>
      <c r="D255">
        <v>460.68365921788001</v>
      </c>
      <c r="E255">
        <v>231.83659217876999</v>
      </c>
      <c r="F255">
        <v>140.24047954866001</v>
      </c>
      <c r="G255">
        <v>116.85895627645</v>
      </c>
      <c r="I255" s="9">
        <f t="shared" si="26"/>
        <v>114.97763590231999</v>
      </c>
      <c r="J255" s="9">
        <f t="shared" si="27"/>
        <v>320.44317966922</v>
      </c>
      <c r="K255" s="9">
        <f t="shared" si="24"/>
        <v>114.97763590231999</v>
      </c>
      <c r="L255" s="10">
        <f t="shared" si="21"/>
        <v>0.35880818565402628</v>
      </c>
      <c r="M255" s="10">
        <f t="shared" si="28"/>
        <v>0.37893298858529006</v>
      </c>
      <c r="P255" s="8">
        <f t="shared" si="29"/>
        <v>18.04481968843244</v>
      </c>
    </row>
    <row r="256" spans="1:16" x14ac:dyDescent="0.2">
      <c r="A256" s="8">
        <v>127</v>
      </c>
      <c r="B256" s="8">
        <v>254</v>
      </c>
      <c r="D256">
        <v>459.24581005586998</v>
      </c>
      <c r="E256">
        <v>231.16829608939</v>
      </c>
      <c r="F256">
        <v>139.90479548659999</v>
      </c>
      <c r="G256">
        <v>116.74682651622</v>
      </c>
      <c r="I256" s="9">
        <f t="shared" si="26"/>
        <v>114.42146957317</v>
      </c>
      <c r="J256" s="9">
        <f t="shared" si="27"/>
        <v>319.34101456926999</v>
      </c>
      <c r="K256" s="9">
        <f t="shared" si="24"/>
        <v>114.42146957317</v>
      </c>
      <c r="L256" s="10">
        <f t="shared" si="21"/>
        <v>0.35830496038068488</v>
      </c>
      <c r="M256" s="10">
        <f t="shared" si="28"/>
        <v>0.37850930798756627</v>
      </c>
      <c r="P256" s="8">
        <f t="shared" si="29"/>
        <v>17.912835138999274</v>
      </c>
    </row>
    <row r="257" spans="1:16" x14ac:dyDescent="0.2">
      <c r="A257" s="8">
        <v>127.5</v>
      </c>
      <c r="B257" s="8">
        <v>255</v>
      </c>
      <c r="D257">
        <v>459.68226256983002</v>
      </c>
      <c r="E257">
        <v>230.76606145251</v>
      </c>
      <c r="F257">
        <v>140.22566995769</v>
      </c>
      <c r="G257">
        <v>117.15937940761999</v>
      </c>
      <c r="I257" s="9">
        <f t="shared" si="26"/>
        <v>113.60668204489001</v>
      </c>
      <c r="J257" s="9">
        <f t="shared" si="27"/>
        <v>319.45659261214001</v>
      </c>
      <c r="K257" s="9">
        <f t="shared" si="24"/>
        <v>113.60668204489001</v>
      </c>
      <c r="L257" s="10">
        <f t="shared" si="21"/>
        <v>0.35562478493853666</v>
      </c>
      <c r="M257" s="10">
        <f t="shared" si="28"/>
        <v>0.37590867722103571</v>
      </c>
      <c r="P257" s="8">
        <f t="shared" si="29"/>
        <v>17.102689284299711</v>
      </c>
    </row>
    <row r="258" spans="1:16" x14ac:dyDescent="0.2">
      <c r="A258" s="8">
        <v>128</v>
      </c>
      <c r="B258" s="8">
        <v>256</v>
      </c>
      <c r="D258">
        <v>459.62081005586998</v>
      </c>
      <c r="E258">
        <v>229.84916201116999</v>
      </c>
      <c r="F258">
        <v>139.98377997179</v>
      </c>
      <c r="G258">
        <v>116.49224259521</v>
      </c>
      <c r="I258" s="9">
        <f t="shared" si="26"/>
        <v>113.35691941595999</v>
      </c>
      <c r="J258" s="9">
        <f t="shared" si="27"/>
        <v>319.63703008407998</v>
      </c>
      <c r="K258" s="9">
        <f t="shared" si="24"/>
        <v>113.35691941595999</v>
      </c>
      <c r="L258" s="10">
        <f t="shared" ref="L258:L321" si="30">K258/J258</f>
        <v>0.35464263757594561</v>
      </c>
      <c r="M258" s="10">
        <f t="shared" si="28"/>
        <v>0.37500607453406232</v>
      </c>
      <c r="P258" s="8">
        <f t="shared" si="29"/>
        <v>16.821511412106911</v>
      </c>
    </row>
    <row r="259" spans="1:16" x14ac:dyDescent="0.2">
      <c r="A259" s="8">
        <v>128.5</v>
      </c>
      <c r="B259" s="8">
        <v>257</v>
      </c>
      <c r="D259">
        <v>457.86033519553001</v>
      </c>
      <c r="E259">
        <v>229.47276536313001</v>
      </c>
      <c r="F259">
        <v>140.11142454161001</v>
      </c>
      <c r="G259">
        <v>116.83215796896999</v>
      </c>
      <c r="I259" s="9">
        <f t="shared" si="26"/>
        <v>112.64060739416001</v>
      </c>
      <c r="J259" s="9">
        <f t="shared" si="27"/>
        <v>317.74891065392001</v>
      </c>
      <c r="K259" s="9">
        <f t="shared" ref="K259:K321" si="31">I259*1</f>
        <v>112.64060739416001</v>
      </c>
      <c r="L259" s="10">
        <f t="shared" si="30"/>
        <v>0.35449565243936859</v>
      </c>
      <c r="M259" s="10">
        <f t="shared" si="28"/>
        <v>0.37493863407310291</v>
      </c>
      <c r="P259" s="8">
        <f t="shared" si="29"/>
        <v>16.800502428214063</v>
      </c>
    </row>
    <row r="260" spans="1:16" x14ac:dyDescent="0.2">
      <c r="A260" s="8">
        <v>129</v>
      </c>
      <c r="B260" s="8">
        <v>258</v>
      </c>
      <c r="D260">
        <v>459.06634078211999</v>
      </c>
      <c r="E260">
        <v>230.80516759777001</v>
      </c>
      <c r="F260">
        <v>140.11636107192999</v>
      </c>
      <c r="G260">
        <v>116.7461212976</v>
      </c>
      <c r="I260" s="9">
        <f t="shared" si="26"/>
        <v>114.05904630017001</v>
      </c>
      <c r="J260" s="9">
        <f t="shared" si="27"/>
        <v>318.94997971019001</v>
      </c>
      <c r="K260" s="9">
        <f t="shared" si="31"/>
        <v>114.05904630017001</v>
      </c>
      <c r="L260" s="10">
        <f t="shared" si="30"/>
        <v>0.35760794342676666</v>
      </c>
      <c r="M260" s="10">
        <f t="shared" si="28"/>
        <v>0.37813046973611864</v>
      </c>
      <c r="P260" s="8">
        <f t="shared" si="29"/>
        <v>17.794819831727729</v>
      </c>
    </row>
    <row r="261" spans="1:16" x14ac:dyDescent="0.2">
      <c r="A261" s="8">
        <v>129.5</v>
      </c>
      <c r="B261" s="8">
        <v>259</v>
      </c>
      <c r="D261">
        <v>457.15502793296002</v>
      </c>
      <c r="E261">
        <v>231.5719273743</v>
      </c>
      <c r="F261">
        <v>140.2736248237</v>
      </c>
      <c r="G261">
        <v>116.80888575458</v>
      </c>
      <c r="I261" s="9">
        <f t="shared" si="26"/>
        <v>114.76304161972</v>
      </c>
      <c r="J261" s="9">
        <f t="shared" si="27"/>
        <v>316.88140310926002</v>
      </c>
      <c r="K261" s="9">
        <f t="shared" si="31"/>
        <v>114.76304161972</v>
      </c>
      <c r="L261" s="10">
        <f t="shared" si="30"/>
        <v>0.36216401623338546</v>
      </c>
      <c r="M261" s="10">
        <f t="shared" si="28"/>
        <v>0.38276608721835509</v>
      </c>
      <c r="P261" s="8">
        <f t="shared" si="29"/>
        <v>19.238902680988506</v>
      </c>
    </row>
    <row r="262" spans="1:16" x14ac:dyDescent="0.2">
      <c r="A262" s="8">
        <v>130</v>
      </c>
      <c r="B262" s="8">
        <v>260</v>
      </c>
      <c r="D262">
        <v>455.45530726256999</v>
      </c>
      <c r="E262">
        <v>230.50418994412999</v>
      </c>
      <c r="F262">
        <v>140.17418899859001</v>
      </c>
      <c r="G262">
        <v>116.96685472497001</v>
      </c>
      <c r="I262" s="9">
        <f t="shared" si="26"/>
        <v>113.53733521915998</v>
      </c>
      <c r="J262" s="9">
        <f t="shared" si="27"/>
        <v>315.28111826397998</v>
      </c>
      <c r="K262" s="9">
        <f t="shared" si="31"/>
        <v>113.53733521915998</v>
      </c>
      <c r="L262" s="10">
        <f t="shared" si="30"/>
        <v>0.36011460452920918</v>
      </c>
      <c r="M262" s="10">
        <f t="shared" si="28"/>
        <v>0.38079622018979647</v>
      </c>
      <c r="P262" s="8">
        <f t="shared" si="29"/>
        <v>18.625251705219604</v>
      </c>
    </row>
    <row r="263" spans="1:16" x14ac:dyDescent="0.2">
      <c r="A263" s="8">
        <v>130.5</v>
      </c>
      <c r="B263" s="8">
        <v>261</v>
      </c>
      <c r="D263">
        <v>453.32541899440997</v>
      </c>
      <c r="E263">
        <v>229.13268156424999</v>
      </c>
      <c r="F263">
        <v>140.15021156559001</v>
      </c>
      <c r="G263">
        <v>116.92736248237</v>
      </c>
      <c r="I263" s="9">
        <f t="shared" si="26"/>
        <v>112.20531908187999</v>
      </c>
      <c r="J263" s="9">
        <f t="shared" si="27"/>
        <v>313.17520742881993</v>
      </c>
      <c r="K263" s="9">
        <f t="shared" si="31"/>
        <v>112.20531908187999</v>
      </c>
      <c r="L263" s="10">
        <f t="shared" si="30"/>
        <v>0.35828289219663911</v>
      </c>
      <c r="M263" s="10">
        <f t="shared" si="28"/>
        <v>0.37904405253284401</v>
      </c>
      <c r="P263" s="8">
        <f t="shared" si="29"/>
        <v>18.079418216556999</v>
      </c>
    </row>
    <row r="264" spans="1:16" x14ac:dyDescent="0.2">
      <c r="A264" s="8">
        <v>131</v>
      </c>
      <c r="B264" s="8">
        <v>262</v>
      </c>
      <c r="D264">
        <v>452.43505586591999</v>
      </c>
      <c r="E264">
        <v>228.13687150838001</v>
      </c>
      <c r="F264">
        <v>140.2898448519</v>
      </c>
      <c r="G264">
        <v>117.04090267983</v>
      </c>
      <c r="I264" s="9">
        <f t="shared" si="26"/>
        <v>111.09596882855001</v>
      </c>
      <c r="J264" s="9">
        <f t="shared" si="27"/>
        <v>312.14521101401999</v>
      </c>
      <c r="K264" s="9">
        <f t="shared" si="31"/>
        <v>111.09596882855001</v>
      </c>
      <c r="L264" s="10">
        <f t="shared" si="30"/>
        <v>0.35591117501898867</v>
      </c>
      <c r="M264" s="10">
        <f t="shared" si="28"/>
        <v>0.37675188003081123</v>
      </c>
      <c r="P264" s="8">
        <f t="shared" si="29"/>
        <v>17.365362967085517</v>
      </c>
    </row>
    <row r="265" spans="1:16" x14ac:dyDescent="0.2">
      <c r="A265" s="8">
        <v>131.5</v>
      </c>
      <c r="B265" s="8">
        <v>263</v>
      </c>
      <c r="D265">
        <v>446.74441340781999</v>
      </c>
      <c r="E265">
        <v>224.89315642458001</v>
      </c>
      <c r="F265">
        <v>140.50282087446999</v>
      </c>
      <c r="G265">
        <v>116.68829337095001</v>
      </c>
      <c r="I265" s="9">
        <f t="shared" si="26"/>
        <v>108.20486305363001</v>
      </c>
      <c r="J265" s="9">
        <f t="shared" si="27"/>
        <v>306.24159253335</v>
      </c>
      <c r="K265" s="9">
        <f t="shared" si="31"/>
        <v>108.20486305363001</v>
      </c>
      <c r="L265" s="10">
        <f t="shared" si="30"/>
        <v>0.3533317018061366</v>
      </c>
      <c r="M265" s="10">
        <f t="shared" si="28"/>
        <v>0.37425195149357682</v>
      </c>
      <c r="P265" s="8">
        <f t="shared" si="29"/>
        <v>16.586587768564154</v>
      </c>
    </row>
    <row r="266" spans="1:16" x14ac:dyDescent="0.2">
      <c r="A266" s="8">
        <v>132</v>
      </c>
      <c r="B266" s="8">
        <v>264</v>
      </c>
      <c r="D266">
        <v>447.97765363129002</v>
      </c>
      <c r="E266">
        <v>224.06634078211999</v>
      </c>
      <c r="F266">
        <v>139.90126939351001</v>
      </c>
      <c r="G266">
        <v>116.76939351199</v>
      </c>
      <c r="I266" s="9">
        <f t="shared" si="26"/>
        <v>107.29694727012999</v>
      </c>
      <c r="J266" s="9">
        <f t="shared" si="27"/>
        <v>308.07638423778002</v>
      </c>
      <c r="K266" s="9">
        <f t="shared" si="31"/>
        <v>107.29694727012999</v>
      </c>
      <c r="L266" s="10">
        <f t="shared" si="30"/>
        <v>0.34828033812327491</v>
      </c>
      <c r="M266" s="10">
        <f t="shared" si="28"/>
        <v>0.36928013248633274</v>
      </c>
      <c r="P266" s="8">
        <f t="shared" si="29"/>
        <v>15.03777176174254</v>
      </c>
    </row>
    <row r="267" spans="1:16" x14ac:dyDescent="0.2">
      <c r="A267" s="8">
        <v>132.5</v>
      </c>
      <c r="B267" s="8">
        <v>265</v>
      </c>
      <c r="D267">
        <v>451.84427374301998</v>
      </c>
      <c r="E267">
        <v>224.96997206704</v>
      </c>
      <c r="F267">
        <v>140.0634696756</v>
      </c>
      <c r="G267">
        <v>116.78138222849</v>
      </c>
      <c r="I267" s="9">
        <f t="shared" si="26"/>
        <v>108.18858983855</v>
      </c>
      <c r="J267" s="9">
        <f t="shared" si="27"/>
        <v>311.78080406741998</v>
      </c>
      <c r="K267" s="9">
        <f t="shared" si="31"/>
        <v>108.18858983855</v>
      </c>
      <c r="L267" s="10">
        <f t="shared" si="30"/>
        <v>0.34700208745101296</v>
      </c>
      <c r="M267" s="10">
        <f t="shared" si="28"/>
        <v>0.36808142648968845</v>
      </c>
      <c r="P267" s="8">
        <f t="shared" si="29"/>
        <v>14.664352087299315</v>
      </c>
    </row>
    <row r="268" spans="1:16" x14ac:dyDescent="0.2">
      <c r="A268" s="8">
        <v>133</v>
      </c>
      <c r="B268" s="8">
        <v>266</v>
      </c>
      <c r="D268">
        <v>451.67108938548</v>
      </c>
      <c r="E268">
        <v>222.94622905028001</v>
      </c>
      <c r="F268">
        <v>140.12834978843</v>
      </c>
      <c r="G268">
        <v>116.90691114245</v>
      </c>
      <c r="I268" s="9">
        <f t="shared" si="26"/>
        <v>106.03931790783001</v>
      </c>
      <c r="J268" s="9">
        <f t="shared" si="27"/>
        <v>311.54273959705</v>
      </c>
      <c r="K268" s="9">
        <f t="shared" si="31"/>
        <v>106.03931790783001</v>
      </c>
      <c r="L268" s="10">
        <f t="shared" si="30"/>
        <v>0.34036844525724297</v>
      </c>
      <c r="M268" s="10">
        <f t="shared" si="28"/>
        <v>0.36152732897153611</v>
      </c>
      <c r="P268" s="8">
        <f t="shared" si="29"/>
        <v>12.622626286019397</v>
      </c>
    </row>
    <row r="269" spans="1:16" x14ac:dyDescent="0.2">
      <c r="A269" s="8">
        <v>133.5</v>
      </c>
      <c r="B269" s="8">
        <v>267</v>
      </c>
      <c r="D269">
        <v>451.84129213482998</v>
      </c>
      <c r="E269">
        <v>221.97261235955</v>
      </c>
      <c r="F269">
        <v>139.85543018336</v>
      </c>
      <c r="G269">
        <v>116.9485190409</v>
      </c>
      <c r="I269" s="9">
        <f t="shared" si="26"/>
        <v>105.02409331865</v>
      </c>
      <c r="J269" s="9">
        <f t="shared" si="27"/>
        <v>311.98586195146999</v>
      </c>
      <c r="K269" s="9">
        <f t="shared" si="31"/>
        <v>105.02409331865</v>
      </c>
      <c r="L269" s="10">
        <f t="shared" si="30"/>
        <v>0.33663093789482906</v>
      </c>
      <c r="M269" s="10">
        <f t="shared" si="28"/>
        <v>0.35786936628473986</v>
      </c>
      <c r="P269" s="8">
        <f t="shared" si="29"/>
        <v>11.483101465543951</v>
      </c>
    </row>
    <row r="270" spans="1:16" x14ac:dyDescent="0.2">
      <c r="A270" s="8">
        <v>134</v>
      </c>
      <c r="B270" s="8">
        <v>268</v>
      </c>
      <c r="D270">
        <v>448.90308988764002</v>
      </c>
      <c r="E270">
        <v>221.13061797752999</v>
      </c>
      <c r="F270">
        <v>140.14880112834999</v>
      </c>
      <c r="G270">
        <v>116.84626234133</v>
      </c>
      <c r="I270" s="9">
        <f t="shared" si="26"/>
        <v>104.28435563619999</v>
      </c>
      <c r="J270" s="9">
        <f t="shared" si="27"/>
        <v>308.75428875929003</v>
      </c>
      <c r="K270" s="9">
        <f t="shared" si="31"/>
        <v>104.28435563619999</v>
      </c>
      <c r="L270" s="10">
        <f t="shared" si="30"/>
        <v>0.33775840347112329</v>
      </c>
      <c r="M270" s="10">
        <f t="shared" si="28"/>
        <v>0.3590763765366517</v>
      </c>
      <c r="P270" s="8">
        <f t="shared" si="29"/>
        <v>11.859108073152759</v>
      </c>
    </row>
    <row r="271" spans="1:16" x14ac:dyDescent="0.2">
      <c r="A271" s="8">
        <v>134.5</v>
      </c>
      <c r="B271" s="8">
        <v>269</v>
      </c>
      <c r="D271">
        <v>449.75702247190998</v>
      </c>
      <c r="E271">
        <v>221.72331460673999</v>
      </c>
      <c r="F271">
        <v>140.23695345556999</v>
      </c>
      <c r="G271">
        <v>116.92172073343001</v>
      </c>
      <c r="I271" s="9">
        <f t="shared" si="26"/>
        <v>104.80159387330998</v>
      </c>
      <c r="J271" s="9">
        <f t="shared" si="27"/>
        <v>309.52006901634002</v>
      </c>
      <c r="K271" s="9">
        <f t="shared" si="31"/>
        <v>104.80159387330998</v>
      </c>
      <c r="L271" s="10">
        <f t="shared" si="30"/>
        <v>0.33859385663220876</v>
      </c>
      <c r="M271" s="10">
        <f t="shared" si="28"/>
        <v>0.35999137437335482</v>
      </c>
      <c r="P271" s="8">
        <f t="shared" si="29"/>
        <v>12.144147269798514</v>
      </c>
    </row>
    <row r="272" spans="1:16" x14ac:dyDescent="0.2">
      <c r="A272" s="8">
        <v>135</v>
      </c>
      <c r="B272" s="8">
        <v>270</v>
      </c>
      <c r="D272">
        <v>454.12570224719002</v>
      </c>
      <c r="E272">
        <v>220.52247191011</v>
      </c>
      <c r="F272">
        <v>140.13892806769999</v>
      </c>
      <c r="G272">
        <v>116.62341325811001</v>
      </c>
      <c r="I272" s="9">
        <f t="shared" si="26"/>
        <v>103.89905865199999</v>
      </c>
      <c r="J272" s="9">
        <f t="shared" si="27"/>
        <v>313.98677417949</v>
      </c>
      <c r="K272" s="9">
        <f t="shared" si="31"/>
        <v>103.89905865199999</v>
      </c>
      <c r="L272" s="10">
        <f t="shared" si="30"/>
        <v>0.33090265958975162</v>
      </c>
      <c r="M272" s="10">
        <f t="shared" si="28"/>
        <v>0.35237972200651535</v>
      </c>
      <c r="P272" s="8">
        <f t="shared" si="29"/>
        <v>9.7729730563073129</v>
      </c>
    </row>
    <row r="273" spans="1:16" x14ac:dyDescent="0.2">
      <c r="A273" s="8">
        <v>135.5</v>
      </c>
      <c r="B273" s="8">
        <v>271</v>
      </c>
      <c r="D273">
        <v>455.43047752809002</v>
      </c>
      <c r="E273">
        <v>221.45084269662999</v>
      </c>
      <c r="F273">
        <v>139.85401974612</v>
      </c>
      <c r="G273">
        <v>116.55359661495</v>
      </c>
      <c r="I273" s="9">
        <f t="shared" si="26"/>
        <v>104.89724608168</v>
      </c>
      <c r="J273" s="9">
        <f t="shared" si="27"/>
        <v>315.57645778197002</v>
      </c>
      <c r="K273" s="9">
        <f t="shared" si="31"/>
        <v>104.89724608168</v>
      </c>
      <c r="L273" s="10">
        <f t="shared" si="30"/>
        <v>0.33239883234304157</v>
      </c>
      <c r="M273" s="10">
        <f t="shared" si="28"/>
        <v>0.3539554394354229</v>
      </c>
      <c r="P273" s="8">
        <f t="shared" si="29"/>
        <v>10.263838949165429</v>
      </c>
    </row>
    <row r="274" spans="1:16" x14ac:dyDescent="0.2">
      <c r="A274" s="8">
        <v>136</v>
      </c>
      <c r="B274" s="8">
        <v>272</v>
      </c>
      <c r="D274">
        <v>453.89957865168998</v>
      </c>
      <c r="E274">
        <v>220.57162921348001</v>
      </c>
      <c r="F274">
        <v>140.30394922426001</v>
      </c>
      <c r="G274">
        <v>116.63751763047</v>
      </c>
      <c r="I274" s="9">
        <f t="shared" si="26"/>
        <v>103.93411158301001</v>
      </c>
      <c r="J274" s="9">
        <f t="shared" si="27"/>
        <v>313.59562942742997</v>
      </c>
      <c r="K274" s="9">
        <f t="shared" si="31"/>
        <v>103.93411158301001</v>
      </c>
      <c r="L274" s="10">
        <f t="shared" si="30"/>
        <v>0.33142716871652605</v>
      </c>
      <c r="M274" s="10">
        <f t="shared" si="28"/>
        <v>0.35306332048452505</v>
      </c>
      <c r="P274" s="8">
        <f t="shared" si="29"/>
        <v>9.9859269597856279</v>
      </c>
    </row>
    <row r="275" spans="1:16" x14ac:dyDescent="0.2">
      <c r="A275" s="8">
        <v>136.5</v>
      </c>
      <c r="B275" s="8">
        <v>273</v>
      </c>
      <c r="D275">
        <v>457.04301833568002</v>
      </c>
      <c r="E275">
        <v>219.35472496474</v>
      </c>
      <c r="F275">
        <v>139.93370944993001</v>
      </c>
      <c r="G275">
        <v>116.66784203103001</v>
      </c>
      <c r="I275" s="9">
        <f>E275-G275</f>
        <v>102.68688293371</v>
      </c>
      <c r="J275" s="9">
        <f>D275-F275</f>
        <v>317.10930888575001</v>
      </c>
      <c r="K275" s="9">
        <f t="shared" si="31"/>
        <v>102.68688293371</v>
      </c>
      <c r="L275" s="10">
        <f t="shared" si="30"/>
        <v>0.32382172347613619</v>
      </c>
      <c r="M275" s="10">
        <f>L275+ABS($N$2)*A275</f>
        <v>0.34553741991975284</v>
      </c>
      <c r="O275" s="11"/>
      <c r="P275" s="8">
        <f>(M275-$O$2)/$O$2*100</f>
        <v>7.6414660605687539</v>
      </c>
    </row>
    <row r="276" spans="1:16" x14ac:dyDescent="0.2">
      <c r="A276" s="8">
        <v>137</v>
      </c>
      <c r="B276" s="8">
        <v>274</v>
      </c>
      <c r="D276">
        <v>452.04019746121003</v>
      </c>
      <c r="E276">
        <v>215.16008462623</v>
      </c>
      <c r="F276">
        <v>139.5634696756</v>
      </c>
      <c r="G276">
        <v>116.74400564174999</v>
      </c>
      <c r="I276" s="9">
        <f t="shared" ref="I276:I291" si="32">E276-G276</f>
        <v>98.416078984480009</v>
      </c>
      <c r="J276" s="9">
        <f t="shared" ref="J276:J291" si="33">D276-F276</f>
        <v>312.47672778561002</v>
      </c>
      <c r="K276" s="9">
        <f t="shared" si="31"/>
        <v>98.416078984480009</v>
      </c>
      <c r="L276" s="10">
        <f t="shared" si="30"/>
        <v>0.31495490778437485</v>
      </c>
      <c r="M276" s="10">
        <f t="shared" ref="M276:M291" si="34">L276+ABS($N$2)*A276</f>
        <v>0.3367501489036091</v>
      </c>
      <c r="P276" s="8">
        <f t="shared" ref="P276:P291" si="35">(M276-$O$2)/$O$2*100</f>
        <v>4.9040643196258351</v>
      </c>
    </row>
    <row r="277" spans="1:16" x14ac:dyDescent="0.2">
      <c r="A277" s="8">
        <v>137.5</v>
      </c>
      <c r="B277" s="8">
        <v>275</v>
      </c>
      <c r="D277">
        <v>449.81593794076002</v>
      </c>
      <c r="E277">
        <v>215.33497884344001</v>
      </c>
      <c r="F277">
        <v>140.00987306064999</v>
      </c>
      <c r="G277">
        <v>116.75528913962999</v>
      </c>
      <c r="I277" s="9">
        <f t="shared" si="32"/>
        <v>98.579689703810018</v>
      </c>
      <c r="J277" s="9">
        <f t="shared" si="33"/>
        <v>309.80606488011006</v>
      </c>
      <c r="K277" s="9">
        <f t="shared" si="31"/>
        <v>98.579689703810018</v>
      </c>
      <c r="L277" s="10">
        <f t="shared" si="30"/>
        <v>0.31819806284928209</v>
      </c>
      <c r="M277" s="10">
        <f t="shared" si="34"/>
        <v>0.34007284864413401</v>
      </c>
      <c r="N277" s="1"/>
      <c r="P277" s="8">
        <f t="shared" si="35"/>
        <v>5.9391483676349752</v>
      </c>
    </row>
    <row r="278" spans="1:16" x14ac:dyDescent="0.2">
      <c r="A278" s="8">
        <v>138</v>
      </c>
      <c r="B278" s="8">
        <v>276</v>
      </c>
      <c r="D278">
        <v>451.14033850494002</v>
      </c>
      <c r="E278">
        <v>214.84485190409001</v>
      </c>
      <c r="F278">
        <v>139.51692524683</v>
      </c>
      <c r="G278">
        <v>116.62059238364</v>
      </c>
      <c r="I278" s="9">
        <f t="shared" si="32"/>
        <v>98.224259520450005</v>
      </c>
      <c r="J278" s="9">
        <f t="shared" si="33"/>
        <v>311.62341325811002</v>
      </c>
      <c r="K278" s="9">
        <f t="shared" si="31"/>
        <v>98.224259520450005</v>
      </c>
      <c r="L278" s="10">
        <f t="shared" si="30"/>
        <v>0.31520179595457182</v>
      </c>
      <c r="M278" s="10">
        <f t="shared" si="34"/>
        <v>0.33715612642504139</v>
      </c>
      <c r="P278" s="8">
        <f t="shared" si="35"/>
        <v>5.030534024715247</v>
      </c>
    </row>
    <row r="279" spans="1:16" x14ac:dyDescent="0.2">
      <c r="A279" s="8">
        <v>138.5</v>
      </c>
      <c r="B279" s="8">
        <v>277</v>
      </c>
      <c r="D279">
        <v>454.39844851904002</v>
      </c>
      <c r="E279">
        <v>216.25246826515999</v>
      </c>
      <c r="F279">
        <v>139.92031029619</v>
      </c>
      <c r="G279">
        <v>116.35472496474</v>
      </c>
      <c r="I279" s="9">
        <f t="shared" si="32"/>
        <v>99.89774330041999</v>
      </c>
      <c r="J279" s="9">
        <f t="shared" si="33"/>
        <v>314.47813822285002</v>
      </c>
      <c r="K279" s="9">
        <f t="shared" si="31"/>
        <v>99.89774330041999</v>
      </c>
      <c r="L279" s="10">
        <f t="shared" si="30"/>
        <v>0.3176619648823697</v>
      </c>
      <c r="M279" s="10">
        <f t="shared" si="34"/>
        <v>0.33969584002845693</v>
      </c>
      <c r="P279" s="8">
        <f t="shared" si="35"/>
        <v>5.8217030266401544</v>
      </c>
    </row>
    <row r="280" spans="1:16" x14ac:dyDescent="0.2">
      <c r="A280" s="8">
        <v>139</v>
      </c>
      <c r="B280" s="8">
        <v>278</v>
      </c>
      <c r="D280">
        <v>453.47813822285002</v>
      </c>
      <c r="E280">
        <v>215.16854724965</v>
      </c>
      <c r="F280">
        <v>139.67700987306</v>
      </c>
      <c r="G280">
        <v>116.48236953455999</v>
      </c>
      <c r="I280" s="9">
        <f t="shared" si="32"/>
        <v>98.686177715090011</v>
      </c>
      <c r="J280" s="9">
        <f t="shared" si="33"/>
        <v>313.80112834979002</v>
      </c>
      <c r="K280" s="9">
        <f t="shared" si="31"/>
        <v>98.686177715090011</v>
      </c>
      <c r="L280" s="10">
        <f t="shared" si="30"/>
        <v>0.31448636986762463</v>
      </c>
      <c r="M280" s="10">
        <f t="shared" si="34"/>
        <v>0.33659978968932946</v>
      </c>
      <c r="P280" s="8">
        <f t="shared" si="35"/>
        <v>4.8572245699265579</v>
      </c>
    </row>
    <row r="281" spans="1:16" x14ac:dyDescent="0.2">
      <c r="A281" s="8">
        <v>139.5</v>
      </c>
      <c r="B281" s="8">
        <v>279</v>
      </c>
      <c r="D281">
        <v>449.51974612129999</v>
      </c>
      <c r="E281">
        <v>213.92524682652001</v>
      </c>
      <c r="F281">
        <v>140.00352609308999</v>
      </c>
      <c r="G281">
        <v>117.06064880113</v>
      </c>
      <c r="I281" s="9">
        <f t="shared" si="32"/>
        <v>96.864598025390009</v>
      </c>
      <c r="J281" s="9">
        <f t="shared" si="33"/>
        <v>309.51622002821</v>
      </c>
      <c r="K281" s="9">
        <f t="shared" si="31"/>
        <v>96.864598025390009</v>
      </c>
      <c r="L281" s="10">
        <f t="shared" si="30"/>
        <v>0.31295483647532768</v>
      </c>
      <c r="M281" s="10">
        <f t="shared" si="34"/>
        <v>0.33514780097265018</v>
      </c>
      <c r="P281" s="8">
        <f t="shared" si="35"/>
        <v>4.4049025198196254</v>
      </c>
    </row>
    <row r="282" spans="1:16" x14ac:dyDescent="0.2">
      <c r="A282" s="8">
        <v>140</v>
      </c>
      <c r="B282" s="8">
        <v>280</v>
      </c>
      <c r="D282">
        <v>453.06558533145</v>
      </c>
      <c r="E282">
        <v>214.87517630465001</v>
      </c>
      <c r="F282">
        <v>140.55007052185999</v>
      </c>
      <c r="G282">
        <v>116.81382228491</v>
      </c>
      <c r="I282" s="9">
        <f t="shared" si="32"/>
        <v>98.061354019740008</v>
      </c>
      <c r="J282" s="9">
        <f t="shared" si="33"/>
        <v>312.51551480959</v>
      </c>
      <c r="K282" s="9">
        <f t="shared" si="31"/>
        <v>98.061354019740008</v>
      </c>
      <c r="L282" s="10">
        <f t="shared" si="30"/>
        <v>0.31378075446746062</v>
      </c>
      <c r="M282" s="10">
        <f t="shared" si="34"/>
        <v>0.33605326364040078</v>
      </c>
      <c r="P282" s="8">
        <f t="shared" si="35"/>
        <v>4.686971330319003</v>
      </c>
    </row>
    <row r="283" spans="1:16" x14ac:dyDescent="0.2">
      <c r="A283" s="8">
        <v>140.5</v>
      </c>
      <c r="B283" s="8">
        <v>281</v>
      </c>
      <c r="D283">
        <v>452.66290550071</v>
      </c>
      <c r="E283">
        <v>214.49153737659</v>
      </c>
      <c r="F283">
        <v>140.20662905501001</v>
      </c>
      <c r="G283">
        <v>116.6191819464</v>
      </c>
      <c r="I283" s="9">
        <f t="shared" si="32"/>
        <v>97.872355430189998</v>
      </c>
      <c r="J283" s="9">
        <f t="shared" si="33"/>
        <v>312.45627644569998</v>
      </c>
      <c r="K283" s="9">
        <f t="shared" si="31"/>
        <v>97.872355430189998</v>
      </c>
      <c r="L283" s="10">
        <f t="shared" si="30"/>
        <v>0.3132353638196117</v>
      </c>
      <c r="M283" s="10">
        <f t="shared" si="34"/>
        <v>0.33558741766816946</v>
      </c>
      <c r="P283" s="8">
        <f t="shared" si="35"/>
        <v>4.5418514662503435</v>
      </c>
    </row>
    <row r="284" spans="1:16" x14ac:dyDescent="0.2">
      <c r="A284" s="8">
        <v>141</v>
      </c>
      <c r="B284" s="8">
        <v>282</v>
      </c>
      <c r="D284">
        <v>451.44499294781002</v>
      </c>
      <c r="E284">
        <v>215.21791255289</v>
      </c>
      <c r="F284">
        <v>140.33286318758999</v>
      </c>
      <c r="G284">
        <v>116.36741889986</v>
      </c>
      <c r="I284" s="9">
        <f t="shared" si="32"/>
        <v>98.85049365303</v>
      </c>
      <c r="J284" s="9">
        <f t="shared" si="33"/>
        <v>311.11212976022</v>
      </c>
      <c r="K284" s="9">
        <f t="shared" si="31"/>
        <v>98.85049365303</v>
      </c>
      <c r="L284" s="10">
        <f t="shared" si="30"/>
        <v>0.31773268926935105</v>
      </c>
      <c r="M284" s="10">
        <f t="shared" si="34"/>
        <v>0.34016428779352648</v>
      </c>
      <c r="P284" s="8">
        <f t="shared" si="35"/>
        <v>5.9676333985709089</v>
      </c>
    </row>
    <row r="285" spans="1:16" x14ac:dyDescent="0.2">
      <c r="A285" s="8">
        <v>141.5</v>
      </c>
      <c r="B285" s="8">
        <v>283</v>
      </c>
      <c r="D285">
        <v>450.81382228490997</v>
      </c>
      <c r="E285">
        <v>214.70521861776999</v>
      </c>
      <c r="F285">
        <v>139.73765867418999</v>
      </c>
      <c r="G285">
        <v>116.59873060648999</v>
      </c>
      <c r="I285" s="9">
        <f t="shared" si="32"/>
        <v>98.106488011279993</v>
      </c>
      <c r="J285" s="9">
        <f t="shared" si="33"/>
        <v>311.07616361071996</v>
      </c>
      <c r="K285" s="9">
        <f t="shared" si="31"/>
        <v>98.106488011279993</v>
      </c>
      <c r="L285" s="10">
        <f t="shared" si="30"/>
        <v>0.31537770966614542</v>
      </c>
      <c r="M285" s="10">
        <f t="shared" si="34"/>
        <v>0.3378888528659385</v>
      </c>
      <c r="P285" s="8">
        <f t="shared" si="35"/>
        <v>5.2587922212886458</v>
      </c>
    </row>
    <row r="286" spans="1:16" x14ac:dyDescent="0.2">
      <c r="A286" s="8">
        <v>142</v>
      </c>
      <c r="B286" s="8">
        <v>284</v>
      </c>
      <c r="D286">
        <v>451.27715091677999</v>
      </c>
      <c r="E286">
        <v>214.74400564174999</v>
      </c>
      <c r="F286">
        <v>140.16431593793999</v>
      </c>
      <c r="G286">
        <v>116.60789844852</v>
      </c>
      <c r="I286" s="9">
        <f t="shared" si="32"/>
        <v>98.136107193229989</v>
      </c>
      <c r="J286" s="9">
        <f t="shared" si="33"/>
        <v>311.11283497884</v>
      </c>
      <c r="K286" s="9">
        <f t="shared" si="31"/>
        <v>98.136107193229989</v>
      </c>
      <c r="L286" s="10">
        <f t="shared" si="30"/>
        <v>0.31543573957630072</v>
      </c>
      <c r="M286" s="10">
        <f t="shared" si="34"/>
        <v>0.33802642745171141</v>
      </c>
      <c r="P286" s="8">
        <f t="shared" si="35"/>
        <v>5.3016493165019805</v>
      </c>
    </row>
    <row r="287" spans="1:16" x14ac:dyDescent="0.2">
      <c r="A287" s="8">
        <v>142.5</v>
      </c>
      <c r="B287" s="8">
        <v>285</v>
      </c>
      <c r="D287">
        <v>451.19605077573999</v>
      </c>
      <c r="E287">
        <v>216.74753173484001</v>
      </c>
      <c r="F287">
        <v>138.89774330041999</v>
      </c>
      <c r="G287">
        <v>116.32299012694</v>
      </c>
      <c r="I287" s="9">
        <f t="shared" si="32"/>
        <v>100.42454160790001</v>
      </c>
      <c r="J287" s="9">
        <f t="shared" si="33"/>
        <v>312.29830747532003</v>
      </c>
      <c r="K287" s="9">
        <f t="shared" si="31"/>
        <v>100.42454160790001</v>
      </c>
      <c r="L287" s="10">
        <f t="shared" si="30"/>
        <v>0.32156607706186896</v>
      </c>
      <c r="M287" s="10">
        <f t="shared" si="34"/>
        <v>0.34423630961289731</v>
      </c>
      <c r="P287" s="8">
        <f t="shared" si="35"/>
        <v>7.2361454994296093</v>
      </c>
    </row>
    <row r="288" spans="1:16" x14ac:dyDescent="0.2">
      <c r="A288" s="8">
        <v>143</v>
      </c>
      <c r="B288" s="8">
        <v>286</v>
      </c>
      <c r="D288">
        <v>450.20874471086</v>
      </c>
      <c r="E288">
        <v>216.00141043724</v>
      </c>
      <c r="F288">
        <v>139.79548660085001</v>
      </c>
      <c r="G288">
        <v>116.57616361072</v>
      </c>
      <c r="I288" s="9">
        <f t="shared" si="32"/>
        <v>99.425246826519995</v>
      </c>
      <c r="J288" s="9">
        <f t="shared" si="33"/>
        <v>310.41325811001002</v>
      </c>
      <c r="K288" s="9">
        <f t="shared" si="31"/>
        <v>99.425246826519995</v>
      </c>
      <c r="L288" s="10">
        <f t="shared" si="30"/>
        <v>0.32029961423646353</v>
      </c>
      <c r="M288" s="10">
        <f t="shared" si="34"/>
        <v>0.34304939146310953</v>
      </c>
      <c r="P288" s="8">
        <f t="shared" si="35"/>
        <v>6.8663979630651681</v>
      </c>
    </row>
    <row r="289" spans="1:16" x14ac:dyDescent="0.2">
      <c r="A289" s="8">
        <v>143.5</v>
      </c>
      <c r="B289" s="8">
        <v>287</v>
      </c>
      <c r="D289">
        <v>449.95980253878997</v>
      </c>
      <c r="E289">
        <v>216.80606488011</v>
      </c>
      <c r="F289">
        <v>139.51057827926999</v>
      </c>
      <c r="G289">
        <v>116.64456981664</v>
      </c>
      <c r="I289" s="9">
        <f t="shared" si="32"/>
        <v>100.16149506347</v>
      </c>
      <c r="J289" s="9">
        <f t="shared" si="33"/>
        <v>310.44922425951995</v>
      </c>
      <c r="K289" s="9">
        <f t="shared" si="31"/>
        <v>100.16149506347</v>
      </c>
      <c r="L289" s="10">
        <f t="shared" si="30"/>
        <v>0.32263406456361449</v>
      </c>
      <c r="M289" s="10">
        <f t="shared" si="34"/>
        <v>0.34546338646587815</v>
      </c>
      <c r="P289" s="8">
        <f t="shared" si="35"/>
        <v>7.6184032342200201</v>
      </c>
    </row>
    <row r="290" spans="1:16" x14ac:dyDescent="0.2">
      <c r="A290" s="8">
        <v>144</v>
      </c>
      <c r="B290" s="8">
        <v>288</v>
      </c>
      <c r="D290">
        <v>446.98448519041</v>
      </c>
      <c r="E290">
        <v>218.79478138223001</v>
      </c>
      <c r="F290">
        <v>140.08321579689999</v>
      </c>
      <c r="G290">
        <v>116.50141043724</v>
      </c>
      <c r="I290" s="9">
        <f t="shared" si="32"/>
        <v>102.29337094499002</v>
      </c>
      <c r="J290" s="9">
        <f t="shared" si="33"/>
        <v>306.90126939351001</v>
      </c>
      <c r="K290" s="9">
        <f t="shared" si="31"/>
        <v>102.29337094499002</v>
      </c>
      <c r="L290" s="10">
        <f t="shared" si="30"/>
        <v>0.33331035465294562</v>
      </c>
      <c r="M290" s="10">
        <f t="shared" si="34"/>
        <v>0.35621922123082689</v>
      </c>
      <c r="P290" s="8">
        <f t="shared" si="35"/>
        <v>10.969049954546851</v>
      </c>
    </row>
    <row r="291" spans="1:16" x14ac:dyDescent="0.2">
      <c r="A291" s="8">
        <v>144.5</v>
      </c>
      <c r="B291" s="8">
        <v>289</v>
      </c>
      <c r="D291">
        <v>446.90409026798</v>
      </c>
      <c r="E291">
        <v>219.98519040903</v>
      </c>
      <c r="F291">
        <v>139.31452750353</v>
      </c>
      <c r="G291">
        <v>116.76022566995999</v>
      </c>
      <c r="I291" s="9">
        <f t="shared" si="32"/>
        <v>103.22496473907</v>
      </c>
      <c r="J291" s="9">
        <f t="shared" si="33"/>
        <v>307.58956276444997</v>
      </c>
      <c r="K291" s="9">
        <f t="shared" si="31"/>
        <v>103.22496473907</v>
      </c>
      <c r="L291" s="10">
        <f t="shared" si="30"/>
        <v>0.335593197023135</v>
      </c>
      <c r="M291" s="10">
        <f t="shared" si="34"/>
        <v>0.35858160827663393</v>
      </c>
      <c r="P291" s="8">
        <f t="shared" si="35"/>
        <v>11.704978367371783</v>
      </c>
    </row>
    <row r="292" spans="1:16" x14ac:dyDescent="0.2">
      <c r="A292" s="8">
        <v>145</v>
      </c>
      <c r="B292" s="8">
        <v>290</v>
      </c>
      <c r="D292">
        <v>445.49294781382002</v>
      </c>
      <c r="E292">
        <v>219.08039492243</v>
      </c>
      <c r="F292">
        <v>139.77009873060999</v>
      </c>
      <c r="G292">
        <v>116.80818053597</v>
      </c>
      <c r="I292" s="9">
        <f>E292-G292</f>
        <v>102.27221438646001</v>
      </c>
      <c r="J292" s="9">
        <f>D292-F292</f>
        <v>305.72284908321001</v>
      </c>
      <c r="K292" s="9">
        <f t="shared" si="31"/>
        <v>102.27221438646001</v>
      </c>
      <c r="L292" s="10">
        <f t="shared" si="30"/>
        <v>0.33452591029146173</v>
      </c>
      <c r="M292" s="10">
        <f>L292+ABS($N$2)*A292</f>
        <v>0.35759386622057832</v>
      </c>
      <c r="O292" s="11"/>
      <c r="P292" s="8">
        <f>(M292-$O$2)/$O$2*100</f>
        <v>11.39727796540606</v>
      </c>
    </row>
    <row r="293" spans="1:16" x14ac:dyDescent="0.2">
      <c r="A293" s="8">
        <v>145.5</v>
      </c>
      <c r="B293" s="8">
        <v>291</v>
      </c>
      <c r="D293">
        <v>442.75669957687001</v>
      </c>
      <c r="E293">
        <v>218.59026798308</v>
      </c>
      <c r="F293">
        <v>139.75176304653999</v>
      </c>
      <c r="G293">
        <v>116.35472496474</v>
      </c>
      <c r="I293" s="9">
        <f t="shared" ref="I293:I301" si="36">E293-G293</f>
        <v>102.23554301834</v>
      </c>
      <c r="J293" s="9">
        <f t="shared" ref="J293:J301" si="37">D293-F293</f>
        <v>303.00493653033004</v>
      </c>
      <c r="K293" s="9">
        <f t="shared" si="31"/>
        <v>102.23554301834</v>
      </c>
      <c r="L293" s="10">
        <f t="shared" si="30"/>
        <v>0.3374055359923368</v>
      </c>
      <c r="M293" s="10">
        <f t="shared" ref="M293:M301" si="38">L293+ABS($N$2)*A293</f>
        <v>0.360553036597071</v>
      </c>
      <c r="P293" s="8">
        <f t="shared" ref="P293:P301" si="39">(M293-$O$2)/$O$2*100</f>
        <v>12.31911571520072</v>
      </c>
    </row>
    <row r="294" spans="1:16" x14ac:dyDescent="0.2">
      <c r="A294" s="8">
        <v>146</v>
      </c>
      <c r="B294" s="8">
        <v>292</v>
      </c>
      <c r="D294">
        <v>448.28067700986998</v>
      </c>
      <c r="E294">
        <v>219.47954866008999</v>
      </c>
      <c r="F294">
        <v>139.80888575457999</v>
      </c>
      <c r="G294">
        <v>116.35472496474</v>
      </c>
      <c r="I294" s="9">
        <f t="shared" si="36"/>
        <v>103.12482369534999</v>
      </c>
      <c r="J294" s="9">
        <f t="shared" si="37"/>
        <v>308.47179125528999</v>
      </c>
      <c r="K294" s="9">
        <f t="shared" si="31"/>
        <v>103.12482369534999</v>
      </c>
      <c r="L294" s="10">
        <f t="shared" si="30"/>
        <v>0.33430876540021875</v>
      </c>
      <c r="M294" s="10">
        <f t="shared" si="38"/>
        <v>0.35753581068057061</v>
      </c>
      <c r="N294" s="1"/>
      <c r="P294" s="8">
        <f t="shared" si="39"/>
        <v>11.379192562554991</v>
      </c>
    </row>
    <row r="295" spans="1:16" x14ac:dyDescent="0.2">
      <c r="A295" s="8">
        <v>146.5</v>
      </c>
      <c r="B295" s="8">
        <v>293</v>
      </c>
      <c r="D295">
        <v>448.89774330042002</v>
      </c>
      <c r="E295">
        <v>220.42101551480999</v>
      </c>
      <c r="F295">
        <v>139.51692524683</v>
      </c>
      <c r="G295">
        <v>116.44640338505</v>
      </c>
      <c r="I295" s="9">
        <f t="shared" si="36"/>
        <v>103.97461212975999</v>
      </c>
      <c r="J295" s="9">
        <f t="shared" si="37"/>
        <v>309.38081805359002</v>
      </c>
      <c r="K295" s="9">
        <f t="shared" si="31"/>
        <v>103.97461212975999</v>
      </c>
      <c r="L295" s="10">
        <f t="shared" si="30"/>
        <v>0.33607323422278179</v>
      </c>
      <c r="M295" s="10">
        <f t="shared" si="38"/>
        <v>0.35937982417875131</v>
      </c>
      <c r="P295" s="8">
        <f t="shared" si="39"/>
        <v>11.953637774381095</v>
      </c>
    </row>
    <row r="296" spans="1:16" x14ac:dyDescent="0.2">
      <c r="A296" s="8">
        <v>147</v>
      </c>
      <c r="B296" s="8">
        <v>294</v>
      </c>
      <c r="D296">
        <v>446.33004231311998</v>
      </c>
      <c r="E296">
        <v>219.02891396333001</v>
      </c>
      <c r="F296">
        <v>139.88928067700999</v>
      </c>
      <c r="G296">
        <v>116.33215796896999</v>
      </c>
      <c r="I296" s="9">
        <f t="shared" si="36"/>
        <v>102.69675599436002</v>
      </c>
      <c r="J296" s="9">
        <f t="shared" si="37"/>
        <v>306.44076163610998</v>
      </c>
      <c r="K296" s="9">
        <f t="shared" si="31"/>
        <v>102.69675599436002</v>
      </c>
      <c r="L296" s="10">
        <f t="shared" si="30"/>
        <v>0.33512759675329878</v>
      </c>
      <c r="M296" s="10">
        <f t="shared" si="38"/>
        <v>0.35851373138488596</v>
      </c>
      <c r="P296" s="8">
        <f t="shared" si="39"/>
        <v>11.683833427003</v>
      </c>
    </row>
    <row r="297" spans="1:16" x14ac:dyDescent="0.2">
      <c r="A297" s="8">
        <v>147.5</v>
      </c>
      <c r="B297" s="8">
        <v>295</v>
      </c>
      <c r="D297">
        <v>447.68617771509003</v>
      </c>
      <c r="E297">
        <v>220.16995768688</v>
      </c>
      <c r="F297">
        <v>139.97954866008999</v>
      </c>
      <c r="G297">
        <v>116.55500705219001</v>
      </c>
      <c r="I297" s="9">
        <f t="shared" si="36"/>
        <v>103.61495063468999</v>
      </c>
      <c r="J297" s="9">
        <f t="shared" si="37"/>
        <v>307.70662905500001</v>
      </c>
      <c r="K297" s="9">
        <f t="shared" si="31"/>
        <v>103.61495063468999</v>
      </c>
      <c r="L297" s="10">
        <f t="shared" si="30"/>
        <v>0.33673291652150167</v>
      </c>
      <c r="M297" s="10">
        <f t="shared" si="38"/>
        <v>0.36019859582870645</v>
      </c>
      <c r="P297" s="8">
        <f t="shared" si="39"/>
        <v>12.208700687076544</v>
      </c>
    </row>
    <row r="298" spans="1:16" x14ac:dyDescent="0.2">
      <c r="A298" s="8">
        <v>148</v>
      </c>
      <c r="B298" s="8">
        <v>296</v>
      </c>
      <c r="D298">
        <v>448.83991537377</v>
      </c>
      <c r="E298">
        <v>219.68547249647</v>
      </c>
      <c r="F298">
        <v>139.60507757405</v>
      </c>
      <c r="G298">
        <v>116.22919605078</v>
      </c>
      <c r="I298" s="9">
        <f t="shared" si="36"/>
        <v>103.45627644568999</v>
      </c>
      <c r="J298" s="9">
        <f t="shared" si="37"/>
        <v>309.23483779972003</v>
      </c>
      <c r="K298" s="9">
        <f t="shared" si="31"/>
        <v>103.45627644568999</v>
      </c>
      <c r="L298" s="10">
        <f t="shared" si="30"/>
        <v>0.33455569618806918</v>
      </c>
      <c r="M298" s="10">
        <f t="shared" si="38"/>
        <v>0.35810092017089162</v>
      </c>
      <c r="P298" s="8">
        <f t="shared" si="39"/>
        <v>11.555234896948244</v>
      </c>
    </row>
    <row r="299" spans="1:16" x14ac:dyDescent="0.2">
      <c r="A299" s="8">
        <v>148.5</v>
      </c>
      <c r="B299" s="8">
        <v>297</v>
      </c>
      <c r="D299">
        <v>450.11777150916998</v>
      </c>
      <c r="E299">
        <v>219.21932299013</v>
      </c>
      <c r="F299">
        <v>139.44005641749001</v>
      </c>
      <c r="G299">
        <v>116.54936530323999</v>
      </c>
      <c r="I299" s="9">
        <f t="shared" si="36"/>
        <v>102.66995768689</v>
      </c>
      <c r="J299" s="9">
        <f t="shared" si="37"/>
        <v>310.67771509167994</v>
      </c>
      <c r="K299" s="9">
        <f t="shared" si="31"/>
        <v>102.66995768689</v>
      </c>
      <c r="L299" s="10">
        <f t="shared" si="30"/>
        <v>0.33047094368063201</v>
      </c>
      <c r="M299" s="10">
        <f t="shared" si="38"/>
        <v>0.35409571233907211</v>
      </c>
      <c r="P299" s="8">
        <f t="shared" si="39"/>
        <v>10.307536621622669</v>
      </c>
    </row>
    <row r="300" spans="1:16" x14ac:dyDescent="0.2">
      <c r="A300" s="8">
        <v>149</v>
      </c>
      <c r="B300" s="8">
        <v>298</v>
      </c>
      <c r="D300">
        <v>448.94640338505002</v>
      </c>
      <c r="E300">
        <v>217.46332863187999</v>
      </c>
      <c r="F300">
        <v>139.14174894217001</v>
      </c>
      <c r="G300">
        <v>116.85684062059001</v>
      </c>
      <c r="I300" s="9">
        <f t="shared" si="36"/>
        <v>100.60648801128998</v>
      </c>
      <c r="J300" s="9">
        <f t="shared" si="37"/>
        <v>309.80465444288001</v>
      </c>
      <c r="K300" s="9">
        <f t="shared" si="31"/>
        <v>100.60648801128998</v>
      </c>
      <c r="L300" s="10">
        <f t="shared" si="30"/>
        <v>0.32474169309111922</v>
      </c>
      <c r="M300" s="10">
        <f t="shared" si="38"/>
        <v>0.34844600642517692</v>
      </c>
      <c r="P300" s="8">
        <f t="shared" si="39"/>
        <v>8.5475459742306228</v>
      </c>
    </row>
    <row r="301" spans="1:16" x14ac:dyDescent="0.2">
      <c r="A301" s="8">
        <v>149.5</v>
      </c>
      <c r="B301" s="8">
        <v>299</v>
      </c>
      <c r="D301">
        <v>454.87915194345999</v>
      </c>
      <c r="E301">
        <v>222.12791519435001</v>
      </c>
      <c r="F301">
        <v>139.63822284907999</v>
      </c>
      <c r="G301">
        <v>116.26304654443</v>
      </c>
      <c r="I301" s="9">
        <f t="shared" si="36"/>
        <v>105.86486864992001</v>
      </c>
      <c r="J301" s="9">
        <f t="shared" si="37"/>
        <v>315.24092909438002</v>
      </c>
      <c r="K301" s="9">
        <f t="shared" si="31"/>
        <v>105.86486864992001</v>
      </c>
      <c r="L301" s="10">
        <f t="shared" si="30"/>
        <v>0.33582209313380468</v>
      </c>
      <c r="M301" s="10">
        <f t="shared" si="38"/>
        <v>0.35960595114348004</v>
      </c>
      <c r="P301" s="8">
        <f t="shared" si="39"/>
        <v>12.02408061673629</v>
      </c>
    </row>
    <row r="302" spans="1:16" x14ac:dyDescent="0.2">
      <c r="A302" s="8">
        <v>150</v>
      </c>
      <c r="B302" s="8">
        <v>300</v>
      </c>
      <c r="D302">
        <v>453.70954063604</v>
      </c>
      <c r="E302">
        <v>220.86007067137999</v>
      </c>
      <c r="F302">
        <v>139.47743300422999</v>
      </c>
      <c r="G302">
        <v>116.73342736248</v>
      </c>
      <c r="I302" s="9">
        <f>E302-G302</f>
        <v>104.12664330889999</v>
      </c>
      <c r="J302" s="9">
        <f>D302-F302</f>
        <v>314.23210763180998</v>
      </c>
      <c r="K302" s="9">
        <f t="shared" si="31"/>
        <v>104.12664330889999</v>
      </c>
      <c r="L302" s="10">
        <f t="shared" si="30"/>
        <v>0.33136856731046271</v>
      </c>
      <c r="M302" s="10">
        <f>L302+ABS($N$2)*A302</f>
        <v>0.35523196999575574</v>
      </c>
      <c r="O302" s="11"/>
      <c r="P302" s="8">
        <f>(M302-$O$2)/$O$2*100</f>
        <v>10.661502452635636</v>
      </c>
    </row>
    <row r="303" spans="1:16" x14ac:dyDescent="0.2">
      <c r="A303" s="8">
        <v>150.5</v>
      </c>
      <c r="B303" s="8">
        <v>301</v>
      </c>
      <c r="D303">
        <v>451.72579505300001</v>
      </c>
      <c r="E303">
        <v>220.18374558304001</v>
      </c>
      <c r="F303">
        <v>139.99365303243999</v>
      </c>
      <c r="G303">
        <v>116.72355430183001</v>
      </c>
      <c r="I303" s="9">
        <f t="shared" ref="I303:I309" si="40">E303-G303</f>
        <v>103.46019128121</v>
      </c>
      <c r="J303" s="9">
        <f t="shared" ref="J303:J309" si="41">D303-F303</f>
        <v>311.73214202055999</v>
      </c>
      <c r="K303" s="9">
        <f t="shared" si="31"/>
        <v>103.46019128121</v>
      </c>
      <c r="L303" s="10">
        <f t="shared" si="30"/>
        <v>0.33188810948595215</v>
      </c>
      <c r="M303" s="10">
        <f t="shared" ref="M303:M309" si="42">L303+ABS($N$2)*A303</f>
        <v>0.35583105684686278</v>
      </c>
      <c r="P303" s="8">
        <f t="shared" ref="P303:P309" si="43">(M303-$O$2)/$O$2*100</f>
        <v>10.848129379947151</v>
      </c>
    </row>
    <row r="304" spans="1:16" x14ac:dyDescent="0.2">
      <c r="A304" s="8">
        <v>151</v>
      </c>
      <c r="B304" s="8">
        <v>302</v>
      </c>
      <c r="D304">
        <v>438.64025245442002</v>
      </c>
      <c r="E304">
        <v>217.09396914446</v>
      </c>
      <c r="F304">
        <v>139.72284908322001</v>
      </c>
      <c r="G304">
        <v>116.52256699577001</v>
      </c>
      <c r="I304" s="9">
        <f t="shared" si="40"/>
        <v>100.57140214869</v>
      </c>
      <c r="J304" s="9">
        <f t="shared" si="41"/>
        <v>298.91740337120001</v>
      </c>
      <c r="K304" s="9">
        <f t="shared" si="31"/>
        <v>100.57140214869</v>
      </c>
      <c r="L304" s="10">
        <f t="shared" si="30"/>
        <v>0.33645214702938842</v>
      </c>
      <c r="M304" s="10">
        <f t="shared" si="42"/>
        <v>0.3604746390659167</v>
      </c>
      <c r="N304" s="1"/>
      <c r="P304" s="8">
        <f t="shared" si="43"/>
        <v>12.294693395930819</v>
      </c>
    </row>
    <row r="305" spans="1:16" x14ac:dyDescent="0.2">
      <c r="A305" s="8">
        <v>151.5</v>
      </c>
      <c r="B305" s="8">
        <v>303</v>
      </c>
      <c r="D305">
        <v>440.05680224404</v>
      </c>
      <c r="E305">
        <v>217.39901823282</v>
      </c>
      <c r="F305">
        <v>139.40409026798</v>
      </c>
      <c r="G305">
        <v>116.59026798308</v>
      </c>
      <c r="I305" s="9">
        <f t="shared" si="40"/>
        <v>100.80875024974</v>
      </c>
      <c r="J305" s="9">
        <f t="shared" si="41"/>
        <v>300.65271197606</v>
      </c>
      <c r="K305" s="9">
        <f t="shared" si="31"/>
        <v>100.80875024974</v>
      </c>
      <c r="L305" s="10">
        <f t="shared" si="30"/>
        <v>0.33529965383371318</v>
      </c>
      <c r="M305" s="10">
        <f t="shared" si="42"/>
        <v>0.35940169054585913</v>
      </c>
      <c r="P305" s="8">
        <f t="shared" si="43"/>
        <v>11.960449562850927</v>
      </c>
    </row>
    <row r="306" spans="1:16" x14ac:dyDescent="0.2">
      <c r="A306" s="8">
        <v>152</v>
      </c>
      <c r="B306" s="8">
        <v>304</v>
      </c>
      <c r="D306">
        <v>438.97054698456998</v>
      </c>
      <c r="E306">
        <v>217.0427769986</v>
      </c>
      <c r="F306">
        <v>139.7101551481</v>
      </c>
      <c r="G306">
        <v>116.32299012694</v>
      </c>
      <c r="I306" s="9">
        <f t="shared" si="40"/>
        <v>100.71978687166001</v>
      </c>
      <c r="J306" s="9">
        <f t="shared" si="41"/>
        <v>299.26039183646998</v>
      </c>
      <c r="K306" s="9">
        <f t="shared" si="31"/>
        <v>100.71978687166001</v>
      </c>
      <c r="L306" s="10">
        <f t="shared" si="30"/>
        <v>0.33656237049471638</v>
      </c>
      <c r="M306" s="10">
        <f t="shared" si="42"/>
        <v>0.36074395188247999</v>
      </c>
      <c r="P306" s="8">
        <f t="shared" si="43"/>
        <v>12.378589450981833</v>
      </c>
    </row>
    <row r="307" spans="1:16" x14ac:dyDescent="0.2">
      <c r="A307" s="8">
        <v>152.5</v>
      </c>
      <c r="B307" s="8">
        <v>305</v>
      </c>
      <c r="D307">
        <v>440.30364656382</v>
      </c>
      <c r="E307">
        <v>218.46213183731001</v>
      </c>
      <c r="F307">
        <v>139.61636107192999</v>
      </c>
      <c r="G307">
        <v>116.47813822285001</v>
      </c>
      <c r="I307" s="9">
        <f t="shared" si="40"/>
        <v>101.98399361446</v>
      </c>
      <c r="J307" s="9">
        <f t="shared" si="41"/>
        <v>300.68728549189001</v>
      </c>
      <c r="K307" s="9">
        <f t="shared" si="31"/>
        <v>101.98399361446</v>
      </c>
      <c r="L307" s="10">
        <f t="shared" si="30"/>
        <v>0.33916962417491597</v>
      </c>
      <c r="M307" s="10">
        <f t="shared" si="42"/>
        <v>0.36343075023829718</v>
      </c>
      <c r="P307" s="8">
        <f t="shared" si="43"/>
        <v>13.215578145567953</v>
      </c>
    </row>
    <row r="308" spans="1:16" x14ac:dyDescent="0.2">
      <c r="A308" s="8">
        <v>153</v>
      </c>
      <c r="B308" s="8">
        <v>306</v>
      </c>
      <c r="D308">
        <v>443.44950911641001</v>
      </c>
      <c r="E308">
        <v>218.55049088358999</v>
      </c>
      <c r="F308">
        <v>139.21579689704001</v>
      </c>
      <c r="G308">
        <v>116.29125528914</v>
      </c>
      <c r="I308" s="9">
        <f t="shared" si="40"/>
        <v>102.25923559444999</v>
      </c>
      <c r="J308" s="9">
        <f t="shared" si="41"/>
        <v>304.23371221936998</v>
      </c>
      <c r="K308" s="9">
        <f t="shared" si="31"/>
        <v>102.25923559444999</v>
      </c>
      <c r="L308" s="10">
        <f t="shared" si="30"/>
        <v>0.33612065818897546</v>
      </c>
      <c r="M308" s="10">
        <f t="shared" si="42"/>
        <v>0.36046132892797433</v>
      </c>
      <c r="P308" s="8">
        <f t="shared" si="43"/>
        <v>12.290547035279294</v>
      </c>
    </row>
    <row r="309" spans="1:16" x14ac:dyDescent="0.2">
      <c r="A309" s="8">
        <v>153.5</v>
      </c>
      <c r="B309" s="8">
        <v>307</v>
      </c>
      <c r="D309">
        <v>441.30715287518001</v>
      </c>
      <c r="E309">
        <v>219.33450210378999</v>
      </c>
      <c r="F309">
        <v>139.91819464034</v>
      </c>
      <c r="G309">
        <v>116.79689703808</v>
      </c>
      <c r="I309" s="9">
        <f t="shared" si="40"/>
        <v>102.53760506570998</v>
      </c>
      <c r="J309" s="9">
        <f t="shared" si="41"/>
        <v>301.38895823484</v>
      </c>
      <c r="K309" s="9">
        <f t="shared" si="31"/>
        <v>102.53760506570998</v>
      </c>
      <c r="L309" s="10">
        <f t="shared" si="30"/>
        <v>0.34021686018707248</v>
      </c>
      <c r="M309" s="10">
        <f t="shared" si="42"/>
        <v>0.36463707560168901</v>
      </c>
      <c r="P309" s="8">
        <f t="shared" si="43"/>
        <v>13.591371397400707</v>
      </c>
    </row>
    <row r="310" spans="1:16" x14ac:dyDescent="0.2">
      <c r="A310" s="8">
        <v>154</v>
      </c>
      <c r="B310" s="8">
        <v>308</v>
      </c>
      <c r="D310">
        <v>440.41374474052998</v>
      </c>
      <c r="E310">
        <v>218.77279102384</v>
      </c>
      <c r="F310">
        <v>139.50705218618</v>
      </c>
      <c r="G310">
        <v>116.36600846262</v>
      </c>
      <c r="I310" s="9">
        <f>E310-G310</f>
        <v>102.40678256122</v>
      </c>
      <c r="J310" s="9">
        <f>D310-F310</f>
        <v>300.90669255435</v>
      </c>
      <c r="K310" s="9">
        <f t="shared" si="31"/>
        <v>102.40678256122</v>
      </c>
      <c r="L310" s="10">
        <f t="shared" si="30"/>
        <v>0.34032736757000914</v>
      </c>
      <c r="M310" s="10">
        <f>L310+ABS($N$2)*A310</f>
        <v>0.36482712766024328</v>
      </c>
      <c r="O310" s="11"/>
      <c r="P310" s="8">
        <f>(M310-$O$2)/$O$2*100</f>
        <v>13.650576221628896</v>
      </c>
    </row>
    <row r="311" spans="1:16" x14ac:dyDescent="0.2">
      <c r="A311" s="8">
        <v>154.5</v>
      </c>
      <c r="B311" s="8">
        <v>309</v>
      </c>
      <c r="D311">
        <v>441.63604488079</v>
      </c>
      <c r="E311">
        <v>218.50070126227001</v>
      </c>
      <c r="F311">
        <v>139.8293370945</v>
      </c>
      <c r="G311">
        <v>116.67912552891001</v>
      </c>
      <c r="I311" s="9">
        <f t="shared" ref="I311:I319" si="44">E311-G311</f>
        <v>101.82157573336001</v>
      </c>
      <c r="J311" s="9">
        <f t="shared" ref="J311:J319" si="45">D311-F311</f>
        <v>301.80670778628996</v>
      </c>
      <c r="K311" s="9">
        <f t="shared" si="31"/>
        <v>101.82157573336001</v>
      </c>
      <c r="L311" s="10">
        <f t="shared" si="30"/>
        <v>0.33737346820488862</v>
      </c>
      <c r="M311" s="10">
        <f t="shared" ref="M311:M319" si="46">L311+ABS($N$2)*A311</f>
        <v>0.36195277297074041</v>
      </c>
      <c r="P311" s="8">
        <f t="shared" ref="P311:P319" si="47">(M311-$O$2)/$O$2*100</f>
        <v>12.755160168490528</v>
      </c>
    </row>
    <row r="312" spans="1:16" x14ac:dyDescent="0.2">
      <c r="A312" s="8">
        <v>155</v>
      </c>
      <c r="B312" s="8">
        <v>310</v>
      </c>
      <c r="D312">
        <v>440.73001402525</v>
      </c>
      <c r="E312">
        <v>218.69705469845999</v>
      </c>
      <c r="F312">
        <v>139.67912552890999</v>
      </c>
      <c r="G312">
        <v>116.44005641749</v>
      </c>
      <c r="I312" s="9">
        <f t="shared" si="44"/>
        <v>102.25699828097</v>
      </c>
      <c r="J312" s="9">
        <f t="shared" si="45"/>
        <v>301.05088849634001</v>
      </c>
      <c r="K312" s="9">
        <f t="shared" si="31"/>
        <v>102.25699828097</v>
      </c>
      <c r="L312" s="10">
        <f t="shared" si="30"/>
        <v>0.3396668210870043</v>
      </c>
      <c r="M312" s="10">
        <f t="shared" si="46"/>
        <v>0.36432567052847376</v>
      </c>
      <c r="N312" s="1"/>
      <c r="P312" s="8">
        <f t="shared" si="47"/>
        <v>13.494362805314289</v>
      </c>
    </row>
    <row r="313" spans="1:16" x14ac:dyDescent="0.2">
      <c r="A313" s="8">
        <v>155.5</v>
      </c>
      <c r="B313" s="8">
        <v>311</v>
      </c>
      <c r="D313">
        <v>440.48737727909997</v>
      </c>
      <c r="E313">
        <v>217.16549789621001</v>
      </c>
      <c r="F313">
        <v>140.05641748942</v>
      </c>
      <c r="G313">
        <v>116.43864598025</v>
      </c>
      <c r="I313" s="9">
        <f t="shared" si="44"/>
        <v>100.72685191596001</v>
      </c>
      <c r="J313" s="9">
        <f t="shared" si="45"/>
        <v>300.43095978967995</v>
      </c>
      <c r="K313" s="9">
        <f t="shared" si="31"/>
        <v>100.72685191596001</v>
      </c>
      <c r="L313" s="10">
        <f t="shared" si="30"/>
        <v>0.33527454023538378</v>
      </c>
      <c r="M313" s="10">
        <f t="shared" si="46"/>
        <v>0.36001293435247084</v>
      </c>
      <c r="P313" s="8">
        <f t="shared" si="47"/>
        <v>12.150863612592362</v>
      </c>
    </row>
    <row r="314" spans="1:16" x14ac:dyDescent="0.2">
      <c r="A314" s="8">
        <v>156</v>
      </c>
      <c r="B314" s="8">
        <v>312</v>
      </c>
      <c r="D314">
        <v>437.76998597476</v>
      </c>
      <c r="E314">
        <v>215.9572230014</v>
      </c>
      <c r="F314">
        <v>139.45909732017</v>
      </c>
      <c r="G314">
        <v>116.16008462623</v>
      </c>
      <c r="I314" s="9">
        <f t="shared" si="44"/>
        <v>99.797138375169993</v>
      </c>
      <c r="J314" s="9">
        <f t="shared" si="45"/>
        <v>298.31088865459003</v>
      </c>
      <c r="K314" s="9">
        <f t="shared" si="31"/>
        <v>99.797138375169993</v>
      </c>
      <c r="L314" s="10">
        <f t="shared" si="30"/>
        <v>0.33454071631533266</v>
      </c>
      <c r="M314" s="10">
        <f t="shared" si="46"/>
        <v>0.35935865510803738</v>
      </c>
      <c r="P314" s="8">
        <f t="shared" si="47"/>
        <v>11.947043206975588</v>
      </c>
    </row>
    <row r="315" spans="1:16" x14ac:dyDescent="0.2">
      <c r="A315" s="8">
        <v>156.5</v>
      </c>
      <c r="B315" s="8">
        <v>313</v>
      </c>
      <c r="D315">
        <v>433.44740532959003</v>
      </c>
      <c r="E315">
        <v>214.66830294530001</v>
      </c>
      <c r="F315">
        <v>139.93300423131001</v>
      </c>
      <c r="G315">
        <v>115.94922425951999</v>
      </c>
      <c r="I315" s="9">
        <f t="shared" si="44"/>
        <v>98.719078685780019</v>
      </c>
      <c r="J315" s="9">
        <f t="shared" si="45"/>
        <v>293.51440109828002</v>
      </c>
      <c r="K315" s="9">
        <f t="shared" si="31"/>
        <v>98.719078685780019</v>
      </c>
      <c r="L315" s="10">
        <f t="shared" si="30"/>
        <v>0.33633470220333428</v>
      </c>
      <c r="M315" s="10">
        <f t="shared" si="46"/>
        <v>0.36123218567165666</v>
      </c>
      <c r="P315" s="8">
        <f t="shared" si="47"/>
        <v>12.530683545044031</v>
      </c>
    </row>
    <row r="316" spans="1:16" x14ac:dyDescent="0.2">
      <c r="A316" s="8">
        <v>157</v>
      </c>
      <c r="B316" s="8">
        <v>314</v>
      </c>
      <c r="D316">
        <v>433.53656821378001</v>
      </c>
      <c r="E316">
        <v>212.87341772152001</v>
      </c>
      <c r="F316">
        <v>139.44781382228999</v>
      </c>
      <c r="G316">
        <v>116.78490832158001</v>
      </c>
      <c r="I316" s="9">
        <f t="shared" si="44"/>
        <v>96.088509399940008</v>
      </c>
      <c r="J316" s="9">
        <f t="shared" si="45"/>
        <v>294.08875439149006</v>
      </c>
      <c r="K316" s="9">
        <f t="shared" si="31"/>
        <v>96.088509399940008</v>
      </c>
      <c r="L316" s="10">
        <f t="shared" si="30"/>
        <v>0.32673302860138365</v>
      </c>
      <c r="M316" s="10">
        <f t="shared" si="46"/>
        <v>0.35171005674532368</v>
      </c>
      <c r="P316" s="8">
        <f t="shared" si="47"/>
        <v>9.5643596143789527</v>
      </c>
    </row>
    <row r="317" spans="1:16" x14ac:dyDescent="0.2">
      <c r="A317" s="8">
        <v>157.5</v>
      </c>
      <c r="B317" s="8">
        <v>315</v>
      </c>
      <c r="D317">
        <v>432.97609001407</v>
      </c>
      <c r="E317">
        <v>213.13713080169001</v>
      </c>
      <c r="F317">
        <v>139.82440056418</v>
      </c>
      <c r="G317">
        <v>116.34203102962</v>
      </c>
      <c r="I317" s="9">
        <f t="shared" si="44"/>
        <v>96.795099772070003</v>
      </c>
      <c r="J317" s="9">
        <f t="shared" si="45"/>
        <v>293.15168944989</v>
      </c>
      <c r="K317" s="9">
        <f t="shared" si="31"/>
        <v>96.795099772070003</v>
      </c>
      <c r="L317" s="10">
        <f t="shared" si="30"/>
        <v>0.33018776031517877</v>
      </c>
      <c r="M317" s="10">
        <f t="shared" si="46"/>
        <v>0.35524433313473641</v>
      </c>
      <c r="P317" s="8">
        <f t="shared" si="47"/>
        <v>10.665353805132566</v>
      </c>
    </row>
    <row r="318" spans="1:16" x14ac:dyDescent="0.2">
      <c r="A318" s="8">
        <v>158</v>
      </c>
      <c r="B318" s="8">
        <v>316</v>
      </c>
      <c r="D318">
        <v>431.17299578058999</v>
      </c>
      <c r="E318">
        <v>213.00210970463999</v>
      </c>
      <c r="F318">
        <v>139.39069111424999</v>
      </c>
      <c r="G318">
        <v>115.96262341326</v>
      </c>
      <c r="I318" s="9">
        <f t="shared" si="44"/>
        <v>97.039486291379987</v>
      </c>
      <c r="J318" s="9">
        <f t="shared" si="45"/>
        <v>291.78230466634</v>
      </c>
      <c r="K318" s="9">
        <f t="shared" si="31"/>
        <v>97.039486291379987</v>
      </c>
      <c r="L318" s="10">
        <f t="shared" si="30"/>
        <v>0.33257495310535351</v>
      </c>
      <c r="M318" s="10">
        <f t="shared" si="46"/>
        <v>0.35771107060052881</v>
      </c>
      <c r="P318" s="8">
        <f t="shared" si="47"/>
        <v>11.433789354793413</v>
      </c>
    </row>
    <row r="319" spans="1:16" x14ac:dyDescent="0.2">
      <c r="A319" s="8">
        <v>158.5</v>
      </c>
      <c r="B319" s="8">
        <v>317</v>
      </c>
      <c r="D319">
        <v>431.59353023910001</v>
      </c>
      <c r="E319">
        <v>213.38607594937</v>
      </c>
      <c r="F319">
        <v>139.45486600845999</v>
      </c>
      <c r="G319">
        <v>116.67418899859</v>
      </c>
      <c r="I319" s="9">
        <f t="shared" si="44"/>
        <v>96.711886950779999</v>
      </c>
      <c r="J319" s="9">
        <f t="shared" si="45"/>
        <v>292.13866423064002</v>
      </c>
      <c r="K319" s="9">
        <f t="shared" si="31"/>
        <v>96.711886950779999</v>
      </c>
      <c r="L319" s="10">
        <f t="shared" si="30"/>
        <v>0.33104788510440752</v>
      </c>
      <c r="M319" s="10">
        <f t="shared" si="46"/>
        <v>0.35626354727520049</v>
      </c>
      <c r="P319" s="8">
        <f t="shared" si="47"/>
        <v>10.98285835886424</v>
      </c>
    </row>
    <row r="320" spans="1:16" x14ac:dyDescent="0.2">
      <c r="A320" s="8">
        <v>159</v>
      </c>
      <c r="B320" s="8">
        <v>318</v>
      </c>
      <c r="D320">
        <v>429.13924050633</v>
      </c>
      <c r="E320">
        <v>212.58087201124999</v>
      </c>
      <c r="F320">
        <v>139.5</v>
      </c>
      <c r="G320">
        <v>116.2898448519</v>
      </c>
      <c r="I320" s="9">
        <f>E320-G320</f>
        <v>96.291027159349994</v>
      </c>
      <c r="J320" s="9">
        <f>D320-F320</f>
        <v>289.63924050633</v>
      </c>
      <c r="K320" s="9">
        <f t="shared" si="31"/>
        <v>96.291027159349994</v>
      </c>
      <c r="L320" s="10">
        <f t="shared" si="30"/>
        <v>0.33245159388976364</v>
      </c>
      <c r="M320" s="10">
        <f>L320+ABS($N$2)*A320</f>
        <v>0.35774680073617421</v>
      </c>
      <c r="O320" s="11"/>
      <c r="P320" s="8">
        <f>(M320-$O$2)/$O$2*100</f>
        <v>11.444919970355416</v>
      </c>
    </row>
    <row r="321" spans="1:16" x14ac:dyDescent="0.2">
      <c r="A321" s="8">
        <v>159.5</v>
      </c>
      <c r="B321" s="8">
        <v>319</v>
      </c>
      <c r="D321">
        <v>428.33052039380999</v>
      </c>
      <c r="E321">
        <v>212.03938115330999</v>
      </c>
      <c r="F321">
        <v>139.81029619181999</v>
      </c>
      <c r="G321">
        <v>116.66220028209</v>
      </c>
      <c r="I321" s="9">
        <f t="shared" ref="I321" si="48">E321-G321</f>
        <v>95.377180871219991</v>
      </c>
      <c r="J321" s="9">
        <f t="shared" ref="J321" si="49">D321-F321</f>
        <v>288.52022420199</v>
      </c>
      <c r="K321" s="9">
        <f t="shared" si="31"/>
        <v>95.377180871219991</v>
      </c>
      <c r="L321" s="10">
        <f t="shared" si="30"/>
        <v>0.33057364049615956</v>
      </c>
      <c r="M321" s="10">
        <f t="shared" ref="M321" si="50">L321+ABS($N$2)*A321</f>
        <v>0.35594839201818779</v>
      </c>
      <c r="P321" s="8">
        <f t="shared" ref="P321" si="51">(M321-$O$2)/$O$2*100</f>
        <v>10.884681513330635</v>
      </c>
    </row>
    <row r="322" spans="1:16" x14ac:dyDescent="0.2">
      <c r="A322" s="8">
        <v>160</v>
      </c>
      <c r="D322">
        <v>424.15752461322</v>
      </c>
      <c r="E322">
        <v>211.48523206751</v>
      </c>
      <c r="F322">
        <v>139.54090267983</v>
      </c>
      <c r="G322">
        <v>116.02468265162</v>
      </c>
      <c r="I322" s="9">
        <f t="shared" ref="I322" si="52">E322-G322</f>
        <v>95.46054941589</v>
      </c>
      <c r="J322" s="9">
        <f t="shared" ref="J322" si="53">D322-F322</f>
        <v>284.61662193338998</v>
      </c>
      <c r="K322" s="9">
        <f t="shared" ref="K322" si="54">I322*1</f>
        <v>95.46054941589</v>
      </c>
      <c r="L322" s="10">
        <f t="shared" ref="L322" si="55">K322/J322</f>
        <v>0.33540047228243414</v>
      </c>
      <c r="M322" s="10">
        <f t="shared" ref="M322" si="56">L322+ABS($N$2)*A322</f>
        <v>0.36085476848008002</v>
      </c>
      <c r="P322" s="8">
        <f t="shared" ref="P322" si="57">(M322-$O$2)/$O$2*100</f>
        <v>12.413110924900007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7FFF5-28DE-444B-BB66-E226CACA11C0}">
  <dimension ref="A1:Y798"/>
  <sheetViews>
    <sheetView topLeftCell="E1" zoomScale="75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513.74664107486001</v>
      </c>
      <c r="E2">
        <v>225.00047984644999</v>
      </c>
      <c r="F2">
        <v>134.81565050408</v>
      </c>
      <c r="G2">
        <v>115.89198271724</v>
      </c>
      <c r="H2" s="4"/>
      <c r="I2" s="5">
        <f>E2-G2</f>
        <v>109.10849712920999</v>
      </c>
      <c r="J2" s="5">
        <f>D2-F2</f>
        <v>378.93099057078001</v>
      </c>
      <c r="K2" s="9">
        <f>I2*1</f>
        <v>109.10849712920999</v>
      </c>
      <c r="L2" s="6">
        <f t="shared" ref="L2:L65" si="0">K2/J2</f>
        <v>0.28793764522891341</v>
      </c>
      <c r="M2" s="6">
        <f>L2+ABS($N$2)*A2</f>
        <v>0.28793764522891341</v>
      </c>
      <c r="N2" s="4">
        <f>LINEST(V64:V103,U64:U103)</f>
        <v>2.5778683676506466E-4</v>
      </c>
      <c r="O2" s="7">
        <f>AVERAGE(M62:M81)</f>
        <v>0.23841585732433593</v>
      </c>
      <c r="P2" s="4">
        <f>(M2-$O$2)/$O$2*100</f>
        <v>20.77118043252009</v>
      </c>
    </row>
    <row r="3" spans="1:16" x14ac:dyDescent="0.2">
      <c r="A3" s="8">
        <v>0.5</v>
      </c>
      <c r="B3" s="8">
        <v>1</v>
      </c>
      <c r="D3">
        <v>540.58157389635005</v>
      </c>
      <c r="E3">
        <v>256.51631477926998</v>
      </c>
      <c r="F3">
        <v>134.6053768603</v>
      </c>
      <c r="G3">
        <v>116.05856937110001</v>
      </c>
      <c r="I3" s="9">
        <f t="shared" ref="I3:I66" si="1">E3-G3</f>
        <v>140.45774540816996</v>
      </c>
      <c r="J3" s="9">
        <f t="shared" ref="J3:J66" si="2">D3-F3</f>
        <v>405.97619703605005</v>
      </c>
      <c r="K3" s="9">
        <f t="shared" ref="K3:K66" si="3">I3*1</f>
        <v>140.45774540816996</v>
      </c>
      <c r="L3" s="10">
        <f t="shared" si="0"/>
        <v>0.34597532178887208</v>
      </c>
      <c r="M3" s="10">
        <f t="shared" ref="M3:M66" si="4">L3+ABS($N$2)*A3</f>
        <v>0.3461042152072546</v>
      </c>
      <c r="P3" s="8">
        <f t="shared" ref="P3:P66" si="5">(M3-$O$2)/$O$2*100</f>
        <v>45.1682866615796</v>
      </c>
    </row>
    <row r="4" spans="1:16" ht="16" x14ac:dyDescent="0.2">
      <c r="A4" s="8">
        <v>1</v>
      </c>
      <c r="B4" s="8">
        <v>2</v>
      </c>
      <c r="D4">
        <v>637.78982725527999</v>
      </c>
      <c r="E4">
        <v>287.87523992323003</v>
      </c>
      <c r="F4">
        <v>135.35381661066</v>
      </c>
      <c r="G4">
        <v>116.00288046087</v>
      </c>
      <c r="I4" s="9">
        <f t="shared" si="1"/>
        <v>171.87235946236001</v>
      </c>
      <c r="J4" s="9">
        <f t="shared" si="2"/>
        <v>502.43601064461996</v>
      </c>
      <c r="K4" s="9">
        <f t="shared" si="3"/>
        <v>171.87235946236001</v>
      </c>
      <c r="L4" s="10">
        <f t="shared" si="0"/>
        <v>0.34207810710432485</v>
      </c>
      <c r="M4" s="10">
        <f t="shared" si="4"/>
        <v>0.34233589394108993</v>
      </c>
      <c r="N4" s="1" t="s">
        <v>7</v>
      </c>
      <c r="P4" s="8">
        <f t="shared" si="5"/>
        <v>43.587720121897497</v>
      </c>
    </row>
    <row r="5" spans="1:16" x14ac:dyDescent="0.2">
      <c r="A5" s="8">
        <v>1.5</v>
      </c>
      <c r="B5" s="8">
        <v>3</v>
      </c>
      <c r="D5">
        <v>687.74808061420003</v>
      </c>
      <c r="E5">
        <v>330.16458733205002</v>
      </c>
      <c r="F5">
        <v>134.89774363897999</v>
      </c>
      <c r="G5">
        <v>115.89006240998999</v>
      </c>
      <c r="I5" s="9">
        <f t="shared" si="1"/>
        <v>214.27452492206004</v>
      </c>
      <c r="J5" s="9">
        <f t="shared" si="2"/>
        <v>552.85033697521999</v>
      </c>
      <c r="K5" s="9">
        <f t="shared" si="3"/>
        <v>214.27452492206004</v>
      </c>
      <c r="L5" s="10">
        <f t="shared" si="0"/>
        <v>0.38758143134072887</v>
      </c>
      <c r="M5" s="10">
        <f t="shared" si="4"/>
        <v>0.38796811159587646</v>
      </c>
      <c r="N5" s="8">
        <f>RSQ(V64:V83,U64:U83)</f>
        <v>9.406862809282665E-2</v>
      </c>
      <c r="P5" s="8">
        <f t="shared" si="5"/>
        <v>62.72747792446237</v>
      </c>
    </row>
    <row r="6" spans="1:16" x14ac:dyDescent="0.2">
      <c r="A6" s="8">
        <v>2</v>
      </c>
      <c r="B6" s="8">
        <v>4</v>
      </c>
      <c r="D6">
        <v>647.09404990403004</v>
      </c>
      <c r="E6">
        <v>300.73608445297998</v>
      </c>
      <c r="F6">
        <v>135.01584253480999</v>
      </c>
      <c r="G6">
        <v>116.07153144503</v>
      </c>
      <c r="I6" s="9">
        <f t="shared" si="1"/>
        <v>184.66455300794996</v>
      </c>
      <c r="J6" s="9">
        <f t="shared" si="2"/>
        <v>512.07820736922008</v>
      </c>
      <c r="K6" s="9">
        <f t="shared" si="3"/>
        <v>184.66455300794996</v>
      </c>
      <c r="L6" s="10">
        <f t="shared" si="0"/>
        <v>0.36061787115811123</v>
      </c>
      <c r="M6" s="10">
        <f t="shared" si="4"/>
        <v>0.36113344483164134</v>
      </c>
      <c r="P6" s="8">
        <f t="shared" si="5"/>
        <v>51.472074418423844</v>
      </c>
    </row>
    <row r="7" spans="1:16" x14ac:dyDescent="0.2">
      <c r="A7" s="8">
        <v>2.5</v>
      </c>
      <c r="B7" s="8">
        <v>5</v>
      </c>
      <c r="D7">
        <v>644.19289827255</v>
      </c>
      <c r="E7">
        <v>286.06765834932997</v>
      </c>
      <c r="F7">
        <v>135.32837253961</v>
      </c>
      <c r="G7">
        <v>116.09697551607999</v>
      </c>
      <c r="I7" s="9">
        <f t="shared" si="1"/>
        <v>169.97068283324998</v>
      </c>
      <c r="J7" s="9">
        <f t="shared" si="2"/>
        <v>508.86452573294002</v>
      </c>
      <c r="K7" s="9">
        <f t="shared" si="3"/>
        <v>169.97068283324998</v>
      </c>
      <c r="L7" s="10">
        <f t="shared" si="0"/>
        <v>0.33401951646842293</v>
      </c>
      <c r="M7" s="10">
        <f t="shared" si="4"/>
        <v>0.33466398356033561</v>
      </c>
      <c r="P7" s="8">
        <f t="shared" si="5"/>
        <v>40.369850947064215</v>
      </c>
    </row>
    <row r="8" spans="1:16" x14ac:dyDescent="0.2">
      <c r="A8" s="8">
        <v>3</v>
      </c>
      <c r="B8" s="8">
        <v>6</v>
      </c>
      <c r="D8">
        <v>636.87859884836996</v>
      </c>
      <c r="E8">
        <v>275.83253358924998</v>
      </c>
      <c r="F8">
        <v>134.96303408545</v>
      </c>
      <c r="G8">
        <v>116.2069131061</v>
      </c>
      <c r="I8" s="9">
        <f t="shared" si="1"/>
        <v>159.62562048314999</v>
      </c>
      <c r="J8" s="9">
        <f t="shared" si="2"/>
        <v>501.91556476291998</v>
      </c>
      <c r="K8" s="9">
        <f t="shared" si="3"/>
        <v>159.62562048314999</v>
      </c>
      <c r="L8" s="10">
        <f t="shared" si="0"/>
        <v>0.31803281605452743</v>
      </c>
      <c r="M8" s="10">
        <f t="shared" si="4"/>
        <v>0.31880617656482263</v>
      </c>
      <c r="P8" s="8">
        <f t="shared" si="5"/>
        <v>33.71852868457713</v>
      </c>
    </row>
    <row r="9" spans="1:16" x14ac:dyDescent="0.2">
      <c r="A9" s="8">
        <v>3.5</v>
      </c>
      <c r="B9" s="8">
        <v>7</v>
      </c>
      <c r="D9">
        <v>632.12667946257</v>
      </c>
      <c r="E9">
        <v>268.18138195776999</v>
      </c>
      <c r="F9">
        <v>135.20307249160001</v>
      </c>
      <c r="G9">
        <v>116.34901584254</v>
      </c>
      <c r="I9" s="9">
        <f t="shared" si="1"/>
        <v>151.83236611523</v>
      </c>
      <c r="J9" s="9">
        <f t="shared" si="2"/>
        <v>496.92360697097001</v>
      </c>
      <c r="K9" s="9">
        <f t="shared" si="3"/>
        <v>151.83236611523</v>
      </c>
      <c r="L9" s="10">
        <f t="shared" si="0"/>
        <v>0.30554468329797008</v>
      </c>
      <c r="M9" s="10">
        <f t="shared" si="4"/>
        <v>0.30644693722664779</v>
      </c>
      <c r="P9" s="8">
        <f t="shared" si="5"/>
        <v>28.534628806071321</v>
      </c>
    </row>
    <row r="10" spans="1:16" x14ac:dyDescent="0.2">
      <c r="A10" s="8">
        <v>4</v>
      </c>
      <c r="B10" s="8">
        <v>8</v>
      </c>
      <c r="D10">
        <v>643.86804222649005</v>
      </c>
      <c r="E10">
        <v>268.60028790786998</v>
      </c>
      <c r="F10">
        <v>134.83101296206999</v>
      </c>
      <c r="G10">
        <v>115.94335093615</v>
      </c>
      <c r="I10" s="9">
        <f t="shared" si="1"/>
        <v>152.65693697171997</v>
      </c>
      <c r="J10" s="9">
        <f t="shared" si="2"/>
        <v>509.03702926442008</v>
      </c>
      <c r="K10" s="9">
        <f t="shared" si="3"/>
        <v>152.65693697171997</v>
      </c>
      <c r="L10" s="10">
        <f t="shared" si="0"/>
        <v>0.29989357982918385</v>
      </c>
      <c r="M10" s="10">
        <f t="shared" si="4"/>
        <v>0.30092472717624413</v>
      </c>
      <c r="P10" s="8">
        <f t="shared" si="5"/>
        <v>26.218419593992209</v>
      </c>
    </row>
    <row r="11" spans="1:16" x14ac:dyDescent="0.2">
      <c r="A11" s="8">
        <v>4.5</v>
      </c>
      <c r="B11" s="8">
        <v>9</v>
      </c>
      <c r="D11">
        <v>647.55518234165004</v>
      </c>
      <c r="E11">
        <v>265.11468330133999</v>
      </c>
      <c r="F11">
        <v>135.00816130581001</v>
      </c>
      <c r="G11">
        <v>116.12385981756999</v>
      </c>
      <c r="I11" s="9">
        <f t="shared" si="1"/>
        <v>148.99082348376999</v>
      </c>
      <c r="J11" s="9">
        <f t="shared" si="2"/>
        <v>512.54702103584009</v>
      </c>
      <c r="K11" s="9">
        <f t="shared" si="3"/>
        <v>148.99082348376999</v>
      </c>
      <c r="L11" s="10">
        <f t="shared" si="0"/>
        <v>0.29068713185117068</v>
      </c>
      <c r="M11" s="10">
        <f t="shared" si="4"/>
        <v>0.29184717261661347</v>
      </c>
      <c r="P11" s="8">
        <f t="shared" si="5"/>
        <v>22.410973788371258</v>
      </c>
    </row>
    <row r="12" spans="1:16" x14ac:dyDescent="0.2">
      <c r="A12" s="8">
        <v>5</v>
      </c>
      <c r="B12" s="8">
        <v>10</v>
      </c>
      <c r="D12">
        <v>668.08637236084996</v>
      </c>
      <c r="E12">
        <v>266.52255278310997</v>
      </c>
      <c r="F12">
        <v>135.15506481036999</v>
      </c>
      <c r="G12">
        <v>116.32069131061</v>
      </c>
      <c r="I12" s="9">
        <f t="shared" si="1"/>
        <v>150.20186147249996</v>
      </c>
      <c r="J12" s="9">
        <f t="shared" si="2"/>
        <v>532.93130755047991</v>
      </c>
      <c r="K12" s="9">
        <f t="shared" si="3"/>
        <v>150.20186147249996</v>
      </c>
      <c r="L12" s="10">
        <f t="shared" si="0"/>
        <v>0.28184094149558414</v>
      </c>
      <c r="M12" s="10">
        <f t="shared" si="4"/>
        <v>0.28312987567940945</v>
      </c>
      <c r="P12" s="8">
        <f t="shared" si="5"/>
        <v>18.754632706433412</v>
      </c>
    </row>
    <row r="13" spans="1:16" x14ac:dyDescent="0.2">
      <c r="A13" s="8">
        <v>5.5</v>
      </c>
      <c r="B13" s="8">
        <v>11</v>
      </c>
      <c r="D13">
        <v>1041.9625540085999</v>
      </c>
      <c r="E13">
        <v>368.66538646183</v>
      </c>
      <c r="F13">
        <v>135.07345175227999</v>
      </c>
      <c r="G13">
        <v>116.01440230436999</v>
      </c>
      <c r="I13" s="9">
        <f t="shared" si="1"/>
        <v>252.65098415746002</v>
      </c>
      <c r="J13" s="9">
        <f t="shared" si="2"/>
        <v>906.88910225631992</v>
      </c>
      <c r="K13" s="9">
        <f t="shared" si="3"/>
        <v>252.65098415746002</v>
      </c>
      <c r="L13" s="10">
        <f t="shared" si="0"/>
        <v>0.27859082607660629</v>
      </c>
      <c r="M13" s="10">
        <f t="shared" si="4"/>
        <v>0.28000865367881417</v>
      </c>
      <c r="P13" s="8">
        <f t="shared" si="5"/>
        <v>17.445482369025594</v>
      </c>
    </row>
    <row r="14" spans="1:16" x14ac:dyDescent="0.2">
      <c r="A14" s="8">
        <v>6</v>
      </c>
      <c r="B14" s="8">
        <v>12</v>
      </c>
      <c r="D14">
        <v>1029.2986077772</v>
      </c>
      <c r="E14">
        <v>361.03504560729999</v>
      </c>
      <c r="F14">
        <v>134.93999039846</v>
      </c>
      <c r="G14">
        <v>116.1992318771</v>
      </c>
      <c r="I14" s="9">
        <f t="shared" si="1"/>
        <v>244.83581373019999</v>
      </c>
      <c r="J14" s="9">
        <f t="shared" si="2"/>
        <v>894.35861737874006</v>
      </c>
      <c r="K14" s="9">
        <f t="shared" si="3"/>
        <v>244.83581373019999</v>
      </c>
      <c r="L14" s="10">
        <f t="shared" si="0"/>
        <v>0.27375574962064431</v>
      </c>
      <c r="M14" s="10">
        <f t="shared" si="4"/>
        <v>0.2753024706412347</v>
      </c>
      <c r="P14" s="8">
        <f t="shared" si="5"/>
        <v>15.471543600692211</v>
      </c>
    </row>
    <row r="15" spans="1:16" x14ac:dyDescent="0.2">
      <c r="A15" s="8">
        <v>6.5</v>
      </c>
      <c r="B15" s="8">
        <v>13</v>
      </c>
      <c r="D15">
        <v>964.30100816131005</v>
      </c>
      <c r="E15">
        <v>341.50552088334001</v>
      </c>
      <c r="F15">
        <v>135.06385021604001</v>
      </c>
      <c r="G15">
        <v>115.9217474796</v>
      </c>
      <c r="I15" s="9">
        <f t="shared" si="1"/>
        <v>225.58377340374</v>
      </c>
      <c r="J15" s="9">
        <f t="shared" si="2"/>
        <v>829.23715794527004</v>
      </c>
      <c r="K15" s="9">
        <f t="shared" si="3"/>
        <v>225.58377340374</v>
      </c>
      <c r="L15" s="10">
        <f t="shared" si="0"/>
        <v>0.27203770506703295</v>
      </c>
      <c r="M15" s="10">
        <f t="shared" si="4"/>
        <v>0.27371331950600586</v>
      </c>
      <c r="P15" s="8">
        <f t="shared" si="5"/>
        <v>14.804997695120592</v>
      </c>
    </row>
    <row r="16" spans="1:16" x14ac:dyDescent="0.2">
      <c r="A16" s="8">
        <v>7</v>
      </c>
      <c r="B16" s="8">
        <v>14</v>
      </c>
      <c r="D16">
        <v>979.63395863395999</v>
      </c>
      <c r="E16">
        <v>341.94516594517</v>
      </c>
      <c r="F16">
        <v>135.38886221796</v>
      </c>
      <c r="G16">
        <v>116.00096015363</v>
      </c>
      <c r="I16" s="9">
        <f t="shared" si="1"/>
        <v>225.94420579154001</v>
      </c>
      <c r="J16" s="9">
        <f t="shared" si="2"/>
        <v>844.24509641600002</v>
      </c>
      <c r="K16" s="9">
        <f t="shared" si="3"/>
        <v>225.94420579154001</v>
      </c>
      <c r="L16" s="10">
        <f t="shared" si="0"/>
        <v>0.26762868597131473</v>
      </c>
      <c r="M16" s="10">
        <f t="shared" si="4"/>
        <v>0.2694331938286702</v>
      </c>
      <c r="P16" s="8">
        <f t="shared" si="5"/>
        <v>13.009762375888842</v>
      </c>
    </row>
    <row r="17" spans="1:16" x14ac:dyDescent="0.2">
      <c r="A17" s="8">
        <v>7.5</v>
      </c>
      <c r="B17" s="8">
        <v>15</v>
      </c>
      <c r="D17">
        <v>973.44684944685002</v>
      </c>
      <c r="E17">
        <v>336.89033189033</v>
      </c>
      <c r="F17">
        <v>135.2616418627</v>
      </c>
      <c r="G17">
        <v>116.42486797888</v>
      </c>
      <c r="I17" s="9">
        <f t="shared" si="1"/>
        <v>220.46546391145</v>
      </c>
      <c r="J17" s="9">
        <f t="shared" si="2"/>
        <v>838.18520758415002</v>
      </c>
      <c r="K17" s="9">
        <f t="shared" si="3"/>
        <v>220.46546391145</v>
      </c>
      <c r="L17" s="10">
        <f t="shared" si="0"/>
        <v>0.26302714712287051</v>
      </c>
      <c r="M17" s="10">
        <f t="shared" si="4"/>
        <v>0.2649605483986085</v>
      </c>
      <c r="P17" s="8">
        <f t="shared" si="5"/>
        <v>11.133777497929481</v>
      </c>
    </row>
    <row r="18" spans="1:16" x14ac:dyDescent="0.2">
      <c r="A18" s="8">
        <v>8</v>
      </c>
      <c r="B18" s="8">
        <v>16</v>
      </c>
      <c r="D18">
        <v>968.86387686388002</v>
      </c>
      <c r="E18">
        <v>331.62193362193</v>
      </c>
      <c r="F18">
        <v>135.01104176667999</v>
      </c>
      <c r="G18">
        <v>116.30628900623999</v>
      </c>
      <c r="I18" s="9">
        <f t="shared" si="1"/>
        <v>215.31564461569002</v>
      </c>
      <c r="J18" s="9">
        <f t="shared" si="2"/>
        <v>833.8528350972</v>
      </c>
      <c r="K18" s="9">
        <f t="shared" si="3"/>
        <v>215.31564461569002</v>
      </c>
      <c r="L18" s="10">
        <f t="shared" si="0"/>
        <v>0.25821780001574407</v>
      </c>
      <c r="M18" s="10">
        <f t="shared" si="4"/>
        <v>0.26028009470986457</v>
      </c>
      <c r="P18" s="8">
        <f t="shared" si="5"/>
        <v>9.1706305238686348</v>
      </c>
    </row>
    <row r="19" spans="1:16" x14ac:dyDescent="0.2">
      <c r="A19" s="8">
        <v>8.5</v>
      </c>
      <c r="B19" s="8">
        <v>17</v>
      </c>
      <c r="D19">
        <v>934.76978764478997</v>
      </c>
      <c r="E19">
        <v>320.43146718147</v>
      </c>
      <c r="F19">
        <v>135.5664906385</v>
      </c>
      <c r="G19">
        <v>116.62794047048</v>
      </c>
      <c r="I19" s="9">
        <f t="shared" si="1"/>
        <v>203.80352671099001</v>
      </c>
      <c r="J19" s="9">
        <f t="shared" si="2"/>
        <v>799.20329700628997</v>
      </c>
      <c r="K19" s="9">
        <f t="shared" si="3"/>
        <v>203.80352671099001</v>
      </c>
      <c r="L19" s="10">
        <f t="shared" si="0"/>
        <v>0.25500836579930425</v>
      </c>
      <c r="M19" s="10">
        <f t="shared" si="4"/>
        <v>0.25719955391180732</v>
      </c>
      <c r="P19" s="8">
        <f t="shared" si="5"/>
        <v>7.878543314305829</v>
      </c>
    </row>
    <row r="20" spans="1:16" x14ac:dyDescent="0.2">
      <c r="A20" s="8">
        <v>9</v>
      </c>
      <c r="B20" s="8">
        <v>18</v>
      </c>
      <c r="D20">
        <v>917.44546332046002</v>
      </c>
      <c r="E20">
        <v>311.39237451737</v>
      </c>
      <c r="F20">
        <v>135.42294767163</v>
      </c>
      <c r="G20">
        <v>116.12049927989</v>
      </c>
      <c r="I20" s="9">
        <f t="shared" si="1"/>
        <v>195.27187523748</v>
      </c>
      <c r="J20" s="9">
        <f t="shared" si="2"/>
        <v>782.02251564882999</v>
      </c>
      <c r="K20" s="9">
        <f t="shared" si="3"/>
        <v>195.27187523748</v>
      </c>
      <c r="L20" s="10">
        <f t="shared" si="0"/>
        <v>0.24970109086369008</v>
      </c>
      <c r="M20" s="10">
        <f t="shared" si="4"/>
        <v>0.25202117239457567</v>
      </c>
      <c r="P20" s="8">
        <f t="shared" si="5"/>
        <v>5.7065478877654323</v>
      </c>
    </row>
    <row r="21" spans="1:16" x14ac:dyDescent="0.2">
      <c r="A21" s="8">
        <v>9.5</v>
      </c>
      <c r="B21" s="8">
        <v>19</v>
      </c>
      <c r="D21">
        <v>918.23793436292999</v>
      </c>
      <c r="E21">
        <v>310.51399613900003</v>
      </c>
      <c r="F21">
        <v>135.29524723956001</v>
      </c>
      <c r="G21">
        <v>115.95919347096</v>
      </c>
      <c r="I21" s="9">
        <f t="shared" si="1"/>
        <v>194.55480266804003</v>
      </c>
      <c r="J21" s="9">
        <f t="shared" si="2"/>
        <v>782.94268712336998</v>
      </c>
      <c r="K21" s="9">
        <f t="shared" si="3"/>
        <v>194.55480266804003</v>
      </c>
      <c r="L21" s="10">
        <f t="shared" si="0"/>
        <v>0.24849175535805676</v>
      </c>
      <c r="M21" s="10">
        <f t="shared" si="4"/>
        <v>0.25094073030732489</v>
      </c>
      <c r="P21" s="8">
        <f t="shared" si="5"/>
        <v>5.2533724574999159</v>
      </c>
    </row>
    <row r="22" spans="1:16" x14ac:dyDescent="0.2">
      <c r="A22" s="8">
        <v>10</v>
      </c>
      <c r="B22" s="8">
        <v>20</v>
      </c>
      <c r="D22">
        <v>964.85328185328001</v>
      </c>
      <c r="E22">
        <v>318.42712355212001</v>
      </c>
      <c r="F22">
        <v>135.38022083532999</v>
      </c>
      <c r="G22">
        <v>116.30772923668</v>
      </c>
      <c r="I22" s="9">
        <f t="shared" si="1"/>
        <v>202.11939431543999</v>
      </c>
      <c r="J22" s="9">
        <f t="shared" si="2"/>
        <v>829.47306101795004</v>
      </c>
      <c r="K22" s="9">
        <f t="shared" si="3"/>
        <v>202.11939431543999</v>
      </c>
      <c r="L22" s="10">
        <f t="shared" si="0"/>
        <v>0.24367204170246834</v>
      </c>
      <c r="M22" s="10">
        <f t="shared" si="4"/>
        <v>0.24624991007011898</v>
      </c>
      <c r="P22" s="8">
        <f t="shared" si="5"/>
        <v>3.2858773882333563</v>
      </c>
    </row>
    <row r="23" spans="1:16" x14ac:dyDescent="0.2">
      <c r="A23" s="8">
        <v>10.5</v>
      </c>
      <c r="B23" s="8">
        <v>21</v>
      </c>
      <c r="D23">
        <v>928.24336069532001</v>
      </c>
      <c r="E23">
        <v>308.55866731048002</v>
      </c>
      <c r="F23">
        <v>135.62121939510001</v>
      </c>
      <c r="G23">
        <v>116.12193951032</v>
      </c>
      <c r="I23" s="9">
        <f t="shared" si="1"/>
        <v>192.43672780016001</v>
      </c>
      <c r="J23" s="9">
        <f t="shared" si="2"/>
        <v>792.62214130021994</v>
      </c>
      <c r="K23" s="9">
        <f t="shared" si="3"/>
        <v>192.43672780016001</v>
      </c>
      <c r="L23" s="10">
        <f t="shared" si="0"/>
        <v>0.24278495107957265</v>
      </c>
      <c r="M23" s="10">
        <f t="shared" si="4"/>
        <v>0.24549171286560584</v>
      </c>
      <c r="P23" s="8">
        <f t="shared" si="5"/>
        <v>2.9678628010233665</v>
      </c>
    </row>
    <row r="24" spans="1:16" x14ac:dyDescent="0.2">
      <c r="A24" s="8">
        <v>11</v>
      </c>
      <c r="B24" s="8">
        <v>22</v>
      </c>
      <c r="D24">
        <v>972.24094640270005</v>
      </c>
      <c r="E24">
        <v>314.62530178658</v>
      </c>
      <c r="F24">
        <v>135.43206913105999</v>
      </c>
      <c r="G24">
        <v>116.22083533365</v>
      </c>
      <c r="I24" s="9">
        <f t="shared" si="1"/>
        <v>198.40446645293</v>
      </c>
      <c r="J24" s="9">
        <f t="shared" si="2"/>
        <v>836.80887727164009</v>
      </c>
      <c r="K24" s="9">
        <f t="shared" si="3"/>
        <v>198.40446645293</v>
      </c>
      <c r="L24" s="10">
        <f t="shared" si="0"/>
        <v>0.23709651252722677</v>
      </c>
      <c r="M24" s="10">
        <f t="shared" si="4"/>
        <v>0.23993216773164247</v>
      </c>
      <c r="P24" s="8">
        <f t="shared" si="5"/>
        <v>0.63599394114284336</v>
      </c>
    </row>
    <row r="25" spans="1:16" x14ac:dyDescent="0.2">
      <c r="A25" s="8">
        <v>11.5</v>
      </c>
      <c r="B25" s="8">
        <v>23</v>
      </c>
      <c r="D25">
        <v>984.30613230324002</v>
      </c>
      <c r="E25">
        <v>316.08208594882001</v>
      </c>
      <c r="F25">
        <v>135.25060009602001</v>
      </c>
      <c r="G25">
        <v>116.08113298128001</v>
      </c>
      <c r="I25" s="9">
        <f t="shared" si="1"/>
        <v>200.00095296754</v>
      </c>
      <c r="J25" s="9">
        <f t="shared" si="2"/>
        <v>849.05553220722004</v>
      </c>
      <c r="K25" s="9">
        <f t="shared" si="3"/>
        <v>200.00095296754</v>
      </c>
      <c r="L25" s="10">
        <f t="shared" si="0"/>
        <v>0.2355569752282444</v>
      </c>
      <c r="M25" s="10">
        <f t="shared" si="4"/>
        <v>0.23852152385104264</v>
      </c>
      <c r="P25" s="8">
        <f t="shared" si="5"/>
        <v>4.4320259521565195E-2</v>
      </c>
    </row>
    <row r="26" spans="1:16" x14ac:dyDescent="0.2">
      <c r="A26" s="8">
        <v>12</v>
      </c>
      <c r="B26" s="8">
        <v>24</v>
      </c>
      <c r="D26">
        <v>996.29966491144</v>
      </c>
      <c r="E26">
        <v>316.40114887506002</v>
      </c>
      <c r="F26">
        <v>135.5040806529</v>
      </c>
      <c r="G26">
        <v>116.08305328853</v>
      </c>
      <c r="I26" s="9">
        <f t="shared" si="1"/>
        <v>200.31809558653003</v>
      </c>
      <c r="J26" s="9">
        <f t="shared" si="2"/>
        <v>860.79558425853998</v>
      </c>
      <c r="K26" s="9">
        <f t="shared" si="3"/>
        <v>200.31809558653003</v>
      </c>
      <c r="L26" s="10">
        <f t="shared" si="0"/>
        <v>0.23271273604299123</v>
      </c>
      <c r="M26" s="10">
        <f t="shared" si="4"/>
        <v>0.23580617808417201</v>
      </c>
      <c r="P26" s="8">
        <f t="shared" si="5"/>
        <v>-1.0945913033853982</v>
      </c>
    </row>
    <row r="27" spans="1:16" x14ac:dyDescent="0.2">
      <c r="A27" s="8">
        <v>12.5</v>
      </c>
      <c r="B27" s="8">
        <v>25</v>
      </c>
      <c r="D27">
        <v>989.28961225467003</v>
      </c>
      <c r="E27">
        <v>312.62182862613997</v>
      </c>
      <c r="F27">
        <v>135.33701392223</v>
      </c>
      <c r="G27">
        <v>116.03360537686</v>
      </c>
      <c r="I27" s="9">
        <f t="shared" si="1"/>
        <v>196.58822324927996</v>
      </c>
      <c r="J27" s="9">
        <f t="shared" si="2"/>
        <v>853.95259833244006</v>
      </c>
      <c r="K27" s="9">
        <f t="shared" si="3"/>
        <v>196.58822324927996</v>
      </c>
      <c r="L27" s="10">
        <f t="shared" si="0"/>
        <v>0.23020976062742654</v>
      </c>
      <c r="M27" s="10">
        <f t="shared" si="4"/>
        <v>0.23343209608698984</v>
      </c>
      <c r="P27" s="8">
        <f t="shared" si="5"/>
        <v>-2.0903648328081994</v>
      </c>
    </row>
    <row r="28" spans="1:16" x14ac:dyDescent="0.2">
      <c r="A28" s="8">
        <v>13</v>
      </c>
      <c r="B28" s="8">
        <v>26</v>
      </c>
      <c r="D28">
        <v>962.00526567735994</v>
      </c>
      <c r="E28">
        <v>307.14408808041998</v>
      </c>
      <c r="F28">
        <v>135.04080652905</v>
      </c>
      <c r="G28">
        <v>115.93855016803001</v>
      </c>
      <c r="I28" s="9">
        <f t="shared" si="1"/>
        <v>191.20553791238996</v>
      </c>
      <c r="J28" s="9">
        <f t="shared" si="2"/>
        <v>826.96445914830997</v>
      </c>
      <c r="K28" s="9">
        <f t="shared" si="3"/>
        <v>191.20553791238996</v>
      </c>
      <c r="L28" s="10">
        <f t="shared" si="0"/>
        <v>0.23121373088912719</v>
      </c>
      <c r="M28" s="10">
        <f t="shared" si="4"/>
        <v>0.23456495976707303</v>
      </c>
      <c r="P28" s="8">
        <f t="shared" si="5"/>
        <v>-1.6152019418843497</v>
      </c>
    </row>
    <row r="29" spans="1:16" x14ac:dyDescent="0.2">
      <c r="A29" s="8">
        <v>13.5</v>
      </c>
      <c r="B29" s="8">
        <v>27</v>
      </c>
      <c r="D29">
        <v>986.77644806127</v>
      </c>
      <c r="E29">
        <v>310.32838678794002</v>
      </c>
      <c r="F29">
        <v>135.43927028325001</v>
      </c>
      <c r="G29">
        <v>116.16898703792999</v>
      </c>
      <c r="I29" s="9">
        <f t="shared" si="1"/>
        <v>194.15939975001004</v>
      </c>
      <c r="J29" s="9">
        <f t="shared" si="2"/>
        <v>851.33717777801996</v>
      </c>
      <c r="K29" s="9">
        <f t="shared" si="3"/>
        <v>194.15939975001004</v>
      </c>
      <c r="L29" s="10">
        <f t="shared" si="0"/>
        <v>0.22806404420956194</v>
      </c>
      <c r="M29" s="10">
        <f t="shared" si="4"/>
        <v>0.23154416650589033</v>
      </c>
      <c r="P29" s="8">
        <f t="shared" si="5"/>
        <v>-2.8822289320703609</v>
      </c>
    </row>
    <row r="30" spans="1:16" x14ac:dyDescent="0.2">
      <c r="A30" s="8">
        <v>14</v>
      </c>
      <c r="B30" s="8">
        <v>28</v>
      </c>
      <c r="D30">
        <v>996.52273815222998</v>
      </c>
      <c r="E30">
        <v>310.33125897559</v>
      </c>
      <c r="F30">
        <v>135.52616418626999</v>
      </c>
      <c r="G30">
        <v>116.06385021604</v>
      </c>
      <c r="I30" s="9">
        <f t="shared" si="1"/>
        <v>194.26740875954999</v>
      </c>
      <c r="J30" s="9">
        <f t="shared" si="2"/>
        <v>860.99657396596001</v>
      </c>
      <c r="K30" s="9">
        <f t="shared" si="3"/>
        <v>194.26740875954999</v>
      </c>
      <c r="L30" s="10">
        <f t="shared" si="0"/>
        <v>0.22563087314587904</v>
      </c>
      <c r="M30" s="10">
        <f t="shared" si="4"/>
        <v>0.22923988886058994</v>
      </c>
      <c r="P30" s="8">
        <f t="shared" si="5"/>
        <v>-3.8487240600205537</v>
      </c>
    </row>
    <row r="31" spans="1:16" x14ac:dyDescent="0.2">
      <c r="A31" s="8">
        <v>14.5</v>
      </c>
      <c r="B31" s="8">
        <v>29</v>
      </c>
      <c r="D31">
        <v>1002.8449018669</v>
      </c>
      <c r="E31">
        <v>311.99234083292998</v>
      </c>
      <c r="F31">
        <v>135.92510801728</v>
      </c>
      <c r="G31">
        <v>116.59337493999</v>
      </c>
      <c r="I31" s="9">
        <f t="shared" si="1"/>
        <v>195.39896589294</v>
      </c>
      <c r="J31" s="9">
        <f t="shared" si="2"/>
        <v>866.91979384962008</v>
      </c>
      <c r="K31" s="9">
        <f t="shared" si="3"/>
        <v>195.39896589294</v>
      </c>
      <c r="L31" s="10">
        <f t="shared" si="0"/>
        <v>0.22539451432439528</v>
      </c>
      <c r="M31" s="10">
        <f t="shared" si="4"/>
        <v>0.22913242345748872</v>
      </c>
      <c r="P31" s="8">
        <f t="shared" si="5"/>
        <v>-3.8937988316012992</v>
      </c>
    </row>
    <row r="32" spans="1:16" x14ac:dyDescent="0.2">
      <c r="A32" s="8">
        <v>15</v>
      </c>
      <c r="B32" s="8">
        <v>30</v>
      </c>
      <c r="D32">
        <v>946.34992819530999</v>
      </c>
      <c r="E32">
        <v>300.93537577787998</v>
      </c>
      <c r="F32">
        <v>135.37638022083999</v>
      </c>
      <c r="G32">
        <v>116.25300048008</v>
      </c>
      <c r="I32" s="9">
        <f t="shared" si="1"/>
        <v>184.68237529779998</v>
      </c>
      <c r="J32" s="9">
        <f t="shared" si="2"/>
        <v>810.97354797446997</v>
      </c>
      <c r="K32" s="9">
        <f t="shared" si="3"/>
        <v>184.68237529779998</v>
      </c>
      <c r="L32" s="10">
        <f t="shared" si="0"/>
        <v>0.22772922219112121</v>
      </c>
      <c r="M32" s="10">
        <f t="shared" si="4"/>
        <v>0.23159602474259719</v>
      </c>
      <c r="P32" s="8">
        <f t="shared" si="5"/>
        <v>-2.8604777627946039</v>
      </c>
    </row>
    <row r="33" spans="1:16" x14ac:dyDescent="0.2">
      <c r="A33" s="8">
        <v>15.5</v>
      </c>
      <c r="B33" s="8">
        <v>31</v>
      </c>
      <c r="D33">
        <v>957.76626506024002</v>
      </c>
      <c r="E33">
        <v>303.60867469879997</v>
      </c>
      <c r="F33">
        <v>135.76140182429</v>
      </c>
      <c r="G33">
        <v>116.32981277003999</v>
      </c>
      <c r="I33" s="9">
        <f t="shared" si="1"/>
        <v>187.27886192875997</v>
      </c>
      <c r="J33" s="9">
        <f t="shared" si="2"/>
        <v>822.00486323594998</v>
      </c>
      <c r="K33" s="9">
        <f t="shared" si="3"/>
        <v>187.27886192875997</v>
      </c>
      <c r="L33" s="10">
        <f t="shared" si="0"/>
        <v>0.22783181743172126</v>
      </c>
      <c r="M33" s="10">
        <f t="shared" si="4"/>
        <v>0.23182751340157975</v>
      </c>
      <c r="P33" s="8">
        <f t="shared" si="5"/>
        <v>-2.7633832735351698</v>
      </c>
    </row>
    <row r="34" spans="1:16" x14ac:dyDescent="0.2">
      <c r="A34" s="8">
        <v>16</v>
      </c>
      <c r="B34" s="8">
        <v>32</v>
      </c>
      <c r="D34">
        <v>942.91662650601995</v>
      </c>
      <c r="E34">
        <v>299.03759036144999</v>
      </c>
      <c r="F34">
        <v>135.79164666347</v>
      </c>
      <c r="G34">
        <v>116.19779164665999</v>
      </c>
      <c r="I34" s="9">
        <f t="shared" si="1"/>
        <v>182.83979871478999</v>
      </c>
      <c r="J34" s="9">
        <f t="shared" si="2"/>
        <v>807.12497984254992</v>
      </c>
      <c r="K34" s="9">
        <f t="shared" si="3"/>
        <v>182.83979871478999</v>
      </c>
      <c r="L34" s="10">
        <f t="shared" si="0"/>
        <v>0.22653220168016297</v>
      </c>
      <c r="M34" s="10">
        <f t="shared" si="4"/>
        <v>0.230656791068404</v>
      </c>
      <c r="P34" s="8">
        <f t="shared" si="5"/>
        <v>-3.254425415746006</v>
      </c>
    </row>
    <row r="35" spans="1:16" x14ac:dyDescent="0.2">
      <c r="A35" s="8">
        <v>16.5</v>
      </c>
      <c r="B35" s="8">
        <v>33</v>
      </c>
      <c r="D35">
        <v>1010.0674049109</v>
      </c>
      <c r="E35">
        <v>313.79056331247</v>
      </c>
      <c r="F35">
        <v>135.77148343735001</v>
      </c>
      <c r="G35">
        <v>116.37205952953001</v>
      </c>
      <c r="I35" s="9">
        <f t="shared" si="1"/>
        <v>197.41850378293998</v>
      </c>
      <c r="J35" s="9">
        <f t="shared" si="2"/>
        <v>874.29592147354992</v>
      </c>
      <c r="K35" s="9">
        <f t="shared" si="3"/>
        <v>197.41850378293998</v>
      </c>
      <c r="L35" s="10">
        <f t="shared" si="0"/>
        <v>0.22580284196020065</v>
      </c>
      <c r="M35" s="10">
        <f t="shared" si="4"/>
        <v>0.23005632476682422</v>
      </c>
      <c r="P35" s="8">
        <f t="shared" si="5"/>
        <v>-3.5062821119903838</v>
      </c>
    </row>
    <row r="36" spans="1:16" x14ac:dyDescent="0.2">
      <c r="A36" s="8">
        <v>17</v>
      </c>
      <c r="B36" s="8">
        <v>34</v>
      </c>
      <c r="D36">
        <v>980.77226769379001</v>
      </c>
      <c r="E36">
        <v>307.94703899856</v>
      </c>
      <c r="F36">
        <v>135.24915986558</v>
      </c>
      <c r="G36">
        <v>116.12289966394999</v>
      </c>
      <c r="I36" s="9">
        <f t="shared" si="1"/>
        <v>191.82413933461001</v>
      </c>
      <c r="J36" s="9">
        <f t="shared" si="2"/>
        <v>845.52310782820996</v>
      </c>
      <c r="K36" s="9">
        <f t="shared" si="3"/>
        <v>191.82413933461001</v>
      </c>
      <c r="L36" s="10">
        <f t="shared" si="0"/>
        <v>0.22687036883867648</v>
      </c>
      <c r="M36" s="10">
        <f t="shared" si="4"/>
        <v>0.23125274506368257</v>
      </c>
      <c r="P36" s="8">
        <f t="shared" si="5"/>
        <v>-3.0044613395445467</v>
      </c>
    </row>
    <row r="37" spans="1:16" x14ac:dyDescent="0.2">
      <c r="A37" s="8">
        <v>17.5</v>
      </c>
      <c r="B37" s="8">
        <v>35</v>
      </c>
      <c r="D37">
        <v>936.89402697494995</v>
      </c>
      <c r="E37">
        <v>299.29913294798001</v>
      </c>
      <c r="F37">
        <v>135.39318290927</v>
      </c>
      <c r="G37">
        <v>116.15794527124</v>
      </c>
      <c r="I37" s="9">
        <f t="shared" si="1"/>
        <v>183.14118767674</v>
      </c>
      <c r="J37" s="9">
        <f t="shared" si="2"/>
        <v>801.50084406567998</v>
      </c>
      <c r="K37" s="9">
        <f t="shared" si="3"/>
        <v>183.14118767674</v>
      </c>
      <c r="L37" s="10">
        <f t="shared" si="0"/>
        <v>0.22849781011800441</v>
      </c>
      <c r="M37" s="10">
        <f t="shared" si="4"/>
        <v>0.23300907976139304</v>
      </c>
      <c r="P37" s="8">
        <f t="shared" si="5"/>
        <v>-2.2677927649701677</v>
      </c>
    </row>
    <row r="38" spans="1:16" x14ac:dyDescent="0.2">
      <c r="A38" s="8">
        <v>18</v>
      </c>
      <c r="B38" s="8">
        <v>36</v>
      </c>
      <c r="D38">
        <v>921.27076332213005</v>
      </c>
      <c r="E38">
        <v>294.69755160826003</v>
      </c>
      <c r="F38">
        <v>135.48439750360001</v>
      </c>
      <c r="G38">
        <v>116.14786365819</v>
      </c>
      <c r="I38" s="9">
        <f t="shared" si="1"/>
        <v>178.54968795007002</v>
      </c>
      <c r="J38" s="9">
        <f t="shared" si="2"/>
        <v>785.78636581853004</v>
      </c>
      <c r="K38" s="9">
        <f t="shared" si="3"/>
        <v>178.54968795007002</v>
      </c>
      <c r="L38" s="10">
        <f t="shared" si="0"/>
        <v>0.22722421222475675</v>
      </c>
      <c r="M38" s="10">
        <f t="shared" si="4"/>
        <v>0.23186437528652792</v>
      </c>
      <c r="P38" s="8">
        <f t="shared" si="5"/>
        <v>-2.7479221018824709</v>
      </c>
    </row>
    <row r="39" spans="1:16" x14ac:dyDescent="0.2">
      <c r="A39" s="8">
        <v>18.5</v>
      </c>
      <c r="B39" s="8">
        <v>37</v>
      </c>
      <c r="D39">
        <v>925.82909265482999</v>
      </c>
      <c r="E39">
        <v>293.14162265963</v>
      </c>
      <c r="F39">
        <v>135.81036965915001</v>
      </c>
      <c r="G39">
        <v>116.32165146423</v>
      </c>
      <c r="I39" s="9">
        <f t="shared" si="1"/>
        <v>176.8199711954</v>
      </c>
      <c r="J39" s="9">
        <f t="shared" si="2"/>
        <v>790.01872299568004</v>
      </c>
      <c r="K39" s="9">
        <f t="shared" si="3"/>
        <v>176.8199711954</v>
      </c>
      <c r="L39" s="10">
        <f t="shared" si="0"/>
        <v>0.22381744387641161</v>
      </c>
      <c r="M39" s="10">
        <f t="shared" si="4"/>
        <v>0.2285865003565653</v>
      </c>
      <c r="P39" s="8">
        <f t="shared" si="5"/>
        <v>-4.1227781902102985</v>
      </c>
    </row>
    <row r="40" spans="1:16" x14ac:dyDescent="0.2">
      <c r="A40" s="8">
        <v>19</v>
      </c>
      <c r="B40" s="8">
        <v>38</v>
      </c>
      <c r="D40">
        <v>916.99903984638001</v>
      </c>
      <c r="E40">
        <v>291.73067690830999</v>
      </c>
      <c r="F40">
        <v>135.72539606337</v>
      </c>
      <c r="G40">
        <v>116.15890542487</v>
      </c>
      <c r="I40" s="9">
        <f t="shared" si="1"/>
        <v>175.57177148343999</v>
      </c>
      <c r="J40" s="9">
        <f t="shared" si="2"/>
        <v>781.27364378301002</v>
      </c>
      <c r="K40" s="9">
        <f t="shared" si="3"/>
        <v>175.57177148343999</v>
      </c>
      <c r="L40" s="10">
        <f t="shared" si="0"/>
        <v>0.22472506640989809</v>
      </c>
      <c r="M40" s="10">
        <f t="shared" si="4"/>
        <v>0.22962301630843432</v>
      </c>
      <c r="P40" s="8">
        <f t="shared" si="5"/>
        <v>-3.6880269268079817</v>
      </c>
    </row>
    <row r="41" spans="1:16" x14ac:dyDescent="0.2">
      <c r="A41" s="8">
        <v>19.5</v>
      </c>
      <c r="B41" s="8">
        <v>39</v>
      </c>
      <c r="D41">
        <v>928.80556889102002</v>
      </c>
      <c r="E41">
        <v>292.84589534326</v>
      </c>
      <c r="F41">
        <v>135.92846855497001</v>
      </c>
      <c r="G41">
        <v>116.27028324532</v>
      </c>
      <c r="I41" s="9">
        <f t="shared" si="1"/>
        <v>176.57561209794</v>
      </c>
      <c r="J41" s="9">
        <f t="shared" si="2"/>
        <v>792.87710033605003</v>
      </c>
      <c r="K41" s="9">
        <f t="shared" si="3"/>
        <v>176.57561209794</v>
      </c>
      <c r="L41" s="10">
        <f t="shared" si="0"/>
        <v>0.222702373448673</v>
      </c>
      <c r="M41" s="10">
        <f t="shared" si="4"/>
        <v>0.22772921676559177</v>
      </c>
      <c r="P41" s="8">
        <f t="shared" si="5"/>
        <v>-4.4823530945788885</v>
      </c>
    </row>
    <row r="42" spans="1:16" x14ac:dyDescent="0.2">
      <c r="A42" s="8">
        <v>20</v>
      </c>
      <c r="B42" s="8">
        <v>40</v>
      </c>
      <c r="D42">
        <v>919.13819577735001</v>
      </c>
      <c r="E42">
        <v>289.97888675624</v>
      </c>
      <c r="F42">
        <v>135.57753240519</v>
      </c>
      <c r="G42">
        <v>116.21315410466001</v>
      </c>
      <c r="I42" s="9">
        <f t="shared" si="1"/>
        <v>173.76573265157998</v>
      </c>
      <c r="J42" s="9">
        <f t="shared" si="2"/>
        <v>783.56066337215998</v>
      </c>
      <c r="K42" s="9">
        <f t="shared" si="3"/>
        <v>173.76573265157998</v>
      </c>
      <c r="L42" s="10">
        <f t="shared" si="0"/>
        <v>0.22176423699443448</v>
      </c>
      <c r="M42" s="10">
        <f t="shared" si="4"/>
        <v>0.22691997372973577</v>
      </c>
      <c r="P42" s="8">
        <f t="shared" si="5"/>
        <v>-4.8217780996678421</v>
      </c>
    </row>
    <row r="43" spans="1:16" x14ac:dyDescent="0.2">
      <c r="A43" s="8">
        <v>20.5</v>
      </c>
      <c r="B43" s="8">
        <v>41</v>
      </c>
      <c r="D43">
        <v>936.53023032630006</v>
      </c>
      <c r="E43">
        <v>294.48656429942002</v>
      </c>
      <c r="F43">
        <v>135.32069131060999</v>
      </c>
      <c r="G43">
        <v>116.3125300048</v>
      </c>
      <c r="I43" s="9">
        <f t="shared" si="1"/>
        <v>178.17403429462001</v>
      </c>
      <c r="J43" s="9">
        <f t="shared" si="2"/>
        <v>801.2095390156901</v>
      </c>
      <c r="K43" s="9">
        <f t="shared" si="3"/>
        <v>178.17403429462001</v>
      </c>
      <c r="L43" s="10">
        <f t="shared" si="0"/>
        <v>0.2223813192657593</v>
      </c>
      <c r="M43" s="10">
        <f t="shared" si="4"/>
        <v>0.22766594941944313</v>
      </c>
      <c r="P43" s="8">
        <f t="shared" si="5"/>
        <v>-4.5088896458211893</v>
      </c>
    </row>
    <row r="44" spans="1:16" x14ac:dyDescent="0.2">
      <c r="A44" s="8">
        <v>21</v>
      </c>
      <c r="B44" s="8">
        <v>42</v>
      </c>
      <c r="D44">
        <v>929.60892514395005</v>
      </c>
      <c r="E44">
        <v>292.88147792706002</v>
      </c>
      <c r="F44">
        <v>135.46711473836001</v>
      </c>
      <c r="G44">
        <v>116.24819971194999</v>
      </c>
      <c r="I44" s="9">
        <f t="shared" si="1"/>
        <v>176.63327821511001</v>
      </c>
      <c r="J44" s="9">
        <f t="shared" si="2"/>
        <v>794.14181040559004</v>
      </c>
      <c r="K44" s="9">
        <f t="shared" si="3"/>
        <v>176.63327821511001</v>
      </c>
      <c r="L44" s="10">
        <f t="shared" si="0"/>
        <v>0.22242032329830178</v>
      </c>
      <c r="M44" s="10">
        <f t="shared" si="4"/>
        <v>0.22783384687036815</v>
      </c>
      <c r="P44" s="8">
        <f t="shared" si="5"/>
        <v>-4.4384675468847856</v>
      </c>
    </row>
    <row r="45" spans="1:16" x14ac:dyDescent="0.2">
      <c r="A45" s="8">
        <v>21.5</v>
      </c>
      <c r="B45" s="8">
        <v>43</v>
      </c>
      <c r="D45">
        <v>918.10523786640999</v>
      </c>
      <c r="E45">
        <v>290.77174435367999</v>
      </c>
      <c r="F45">
        <v>136.06577052328001</v>
      </c>
      <c r="G45">
        <v>116.20787325972</v>
      </c>
      <c r="I45" s="9">
        <f t="shared" si="1"/>
        <v>174.56387109395999</v>
      </c>
      <c r="J45" s="9">
        <f t="shared" si="2"/>
        <v>782.03946734313001</v>
      </c>
      <c r="K45" s="9">
        <f t="shared" si="3"/>
        <v>174.56387109395999</v>
      </c>
      <c r="L45" s="10">
        <f t="shared" si="0"/>
        <v>0.22321619097692907</v>
      </c>
      <c r="M45" s="10">
        <f t="shared" si="4"/>
        <v>0.22875860796737796</v>
      </c>
      <c r="P45" s="8">
        <f t="shared" si="5"/>
        <v>-4.0505902020688369</v>
      </c>
    </row>
    <row r="46" spans="1:16" x14ac:dyDescent="0.2">
      <c r="A46" s="8">
        <v>22</v>
      </c>
      <c r="B46" s="8">
        <v>44</v>
      </c>
      <c r="D46">
        <v>896.68716962998997</v>
      </c>
      <c r="E46">
        <v>287.07111965400998</v>
      </c>
      <c r="F46">
        <v>135.91262602015999</v>
      </c>
      <c r="G46">
        <v>116.14978396543</v>
      </c>
      <c r="I46" s="9">
        <f t="shared" si="1"/>
        <v>170.92133568857997</v>
      </c>
      <c r="J46" s="9">
        <f t="shared" si="2"/>
        <v>760.77454360982995</v>
      </c>
      <c r="K46" s="9">
        <f t="shared" si="3"/>
        <v>170.92133568857997</v>
      </c>
      <c r="L46" s="10">
        <f t="shared" si="0"/>
        <v>0.22466752748793145</v>
      </c>
      <c r="M46" s="10">
        <f t="shared" si="4"/>
        <v>0.23033883789676288</v>
      </c>
      <c r="P46" s="8">
        <f t="shared" si="5"/>
        <v>-3.3877861641498299</v>
      </c>
    </row>
    <row r="47" spans="1:16" x14ac:dyDescent="0.2">
      <c r="A47" s="8">
        <v>22.5</v>
      </c>
      <c r="B47" s="8">
        <v>45</v>
      </c>
      <c r="D47">
        <v>899.35752042287004</v>
      </c>
      <c r="E47">
        <v>287.35607880827001</v>
      </c>
      <c r="F47">
        <v>135.72491598656001</v>
      </c>
      <c r="G47">
        <v>116.39270283245</v>
      </c>
      <c r="I47" s="9">
        <f t="shared" si="1"/>
        <v>170.96337597582001</v>
      </c>
      <c r="J47" s="9">
        <f t="shared" si="2"/>
        <v>763.63260443630998</v>
      </c>
      <c r="K47" s="9">
        <f t="shared" si="3"/>
        <v>170.96337597582001</v>
      </c>
      <c r="L47" s="10">
        <f t="shared" si="0"/>
        <v>0.22388171351329336</v>
      </c>
      <c r="M47" s="10">
        <f t="shared" si="4"/>
        <v>0.22968191734050733</v>
      </c>
      <c r="P47" s="8">
        <f t="shared" si="5"/>
        <v>-3.6633217613319777</v>
      </c>
    </row>
    <row r="48" spans="1:16" x14ac:dyDescent="0.2">
      <c r="A48" s="8">
        <v>23</v>
      </c>
      <c r="B48" s="8">
        <v>46</v>
      </c>
      <c r="D48">
        <v>890.19173474290994</v>
      </c>
      <c r="E48">
        <v>284.54204709274001</v>
      </c>
      <c r="F48">
        <v>135.73931829092999</v>
      </c>
      <c r="G48">
        <v>116.29380700912</v>
      </c>
      <c r="I48" s="9">
        <f t="shared" si="1"/>
        <v>168.24824008362</v>
      </c>
      <c r="J48" s="9">
        <f t="shared" si="2"/>
        <v>754.45241645197996</v>
      </c>
      <c r="K48" s="9">
        <f t="shared" si="3"/>
        <v>168.24824008362</v>
      </c>
      <c r="L48" s="10">
        <f t="shared" si="0"/>
        <v>0.22300709284603215</v>
      </c>
      <c r="M48" s="10">
        <f t="shared" si="4"/>
        <v>0.22893619009162863</v>
      </c>
      <c r="P48" s="8">
        <f t="shared" si="5"/>
        <v>-3.9761060103528916</v>
      </c>
    </row>
    <row r="49" spans="1:25" x14ac:dyDescent="0.2">
      <c r="A49" s="8">
        <v>23.5</v>
      </c>
      <c r="B49" s="8">
        <v>47</v>
      </c>
      <c r="D49">
        <v>906.23450264296002</v>
      </c>
      <c r="E49">
        <v>287.34262373859002</v>
      </c>
      <c r="F49">
        <v>136.01584253480999</v>
      </c>
      <c r="G49">
        <v>116.41574651944001</v>
      </c>
      <c r="I49" s="9">
        <f t="shared" si="1"/>
        <v>170.92687721915001</v>
      </c>
      <c r="J49" s="9">
        <f t="shared" si="2"/>
        <v>770.21866010815006</v>
      </c>
      <c r="K49" s="9">
        <f t="shared" si="3"/>
        <v>170.92687721915001</v>
      </c>
      <c r="L49" s="10">
        <f t="shared" si="0"/>
        <v>0.22191993789808903</v>
      </c>
      <c r="M49" s="10">
        <f t="shared" si="4"/>
        <v>0.22797792856206806</v>
      </c>
      <c r="P49" s="8">
        <f t="shared" si="5"/>
        <v>-4.3780346154024201</v>
      </c>
    </row>
    <row r="50" spans="1:25" x14ac:dyDescent="0.2">
      <c r="A50" s="8">
        <v>24</v>
      </c>
      <c r="B50" s="8">
        <v>48</v>
      </c>
      <c r="D50">
        <v>898.91254204709003</v>
      </c>
      <c r="E50">
        <v>287.38298894761999</v>
      </c>
      <c r="F50">
        <v>135.76716274603999</v>
      </c>
      <c r="G50">
        <v>116.12674027845</v>
      </c>
      <c r="I50" s="9">
        <f t="shared" si="1"/>
        <v>171.25624866916999</v>
      </c>
      <c r="J50" s="9">
        <f t="shared" si="2"/>
        <v>763.14537930105007</v>
      </c>
      <c r="K50" s="9">
        <f t="shared" si="3"/>
        <v>171.25624866916999</v>
      </c>
      <c r="L50" s="10">
        <f t="shared" si="0"/>
        <v>0.2244084198295484</v>
      </c>
      <c r="M50" s="10">
        <f t="shared" si="4"/>
        <v>0.23059530391190997</v>
      </c>
      <c r="P50" s="8">
        <f t="shared" si="5"/>
        <v>-3.2802152928053969</v>
      </c>
    </row>
    <row r="51" spans="1:25" x14ac:dyDescent="0.2">
      <c r="A51" s="8">
        <v>24.5</v>
      </c>
      <c r="B51" s="8">
        <v>49</v>
      </c>
      <c r="D51">
        <v>907.96492071119997</v>
      </c>
      <c r="E51">
        <v>288.46468044210002</v>
      </c>
      <c r="F51">
        <v>135.94239078253</v>
      </c>
      <c r="G51">
        <v>116.25540086414</v>
      </c>
      <c r="I51" s="9">
        <f t="shared" si="1"/>
        <v>172.20927957796002</v>
      </c>
      <c r="J51" s="9">
        <f t="shared" si="2"/>
        <v>772.02252992867</v>
      </c>
      <c r="K51" s="9">
        <f t="shared" si="3"/>
        <v>172.20927957796002</v>
      </c>
      <c r="L51" s="10">
        <f t="shared" si="0"/>
        <v>0.22306250517568582</v>
      </c>
      <c r="M51" s="10">
        <f t="shared" si="4"/>
        <v>0.2293782826764299</v>
      </c>
      <c r="P51" s="8">
        <f t="shared" si="5"/>
        <v>-3.7906768238202799</v>
      </c>
    </row>
    <row r="52" spans="1:25" x14ac:dyDescent="0.2">
      <c r="A52" s="8">
        <v>25</v>
      </c>
      <c r="B52" s="8">
        <v>50</v>
      </c>
      <c r="D52">
        <v>928.56991830850995</v>
      </c>
      <c r="E52">
        <v>291.83277270542999</v>
      </c>
      <c r="F52">
        <v>135.85309649544001</v>
      </c>
      <c r="G52">
        <v>116.33125300048</v>
      </c>
      <c r="I52" s="9">
        <f t="shared" si="1"/>
        <v>175.50151970495</v>
      </c>
      <c r="J52" s="9">
        <f t="shared" si="2"/>
        <v>792.71682181306994</v>
      </c>
      <c r="K52" s="9">
        <f t="shared" si="3"/>
        <v>175.50151970495</v>
      </c>
      <c r="L52" s="10">
        <f t="shared" si="0"/>
        <v>0.22139245046364728</v>
      </c>
      <c r="M52" s="10">
        <f t="shared" si="4"/>
        <v>0.2278371213827739</v>
      </c>
      <c r="P52" s="8">
        <f t="shared" si="5"/>
        <v>-4.4370941011574319</v>
      </c>
    </row>
    <row r="53" spans="1:25" x14ac:dyDescent="0.2">
      <c r="A53" s="8">
        <v>25.5</v>
      </c>
      <c r="B53" s="8">
        <v>51</v>
      </c>
      <c r="D53">
        <v>914.77985611510996</v>
      </c>
      <c r="E53">
        <v>291.38033573142002</v>
      </c>
      <c r="F53">
        <v>136.14402304369</v>
      </c>
      <c r="G53">
        <v>116.30964954393001</v>
      </c>
      <c r="I53" s="9">
        <f t="shared" si="1"/>
        <v>175.07068618749003</v>
      </c>
      <c r="J53" s="9">
        <f t="shared" si="2"/>
        <v>778.63583307141994</v>
      </c>
      <c r="K53" s="9">
        <f t="shared" si="3"/>
        <v>175.07068618749003</v>
      </c>
      <c r="L53" s="10">
        <f t="shared" si="0"/>
        <v>0.22484283249192794</v>
      </c>
      <c r="M53" s="10">
        <f t="shared" si="4"/>
        <v>0.23141639682943707</v>
      </c>
      <c r="P53" s="8">
        <f t="shared" si="5"/>
        <v>-2.935820030366914</v>
      </c>
      <c r="S53" s="11"/>
      <c r="U53" s="12"/>
    </row>
    <row r="54" spans="1:25" x14ac:dyDescent="0.2">
      <c r="A54" s="8">
        <v>26</v>
      </c>
      <c r="B54" s="8">
        <v>52</v>
      </c>
      <c r="D54">
        <v>918.70791366906997</v>
      </c>
      <c r="E54">
        <v>293.81918465228</v>
      </c>
      <c r="F54">
        <v>135.83437349976001</v>
      </c>
      <c r="G54">
        <v>116.12722035525999</v>
      </c>
      <c r="I54" s="9">
        <f t="shared" si="1"/>
        <v>177.69196429702001</v>
      </c>
      <c r="J54" s="9">
        <f t="shared" si="2"/>
        <v>782.87354016930999</v>
      </c>
      <c r="K54" s="9">
        <f t="shared" si="3"/>
        <v>177.69196429702001</v>
      </c>
      <c r="L54" s="10">
        <f t="shared" si="0"/>
        <v>0.2269740324326085</v>
      </c>
      <c r="M54" s="10">
        <f t="shared" si="4"/>
        <v>0.23367649018850017</v>
      </c>
      <c r="P54" s="8">
        <f t="shared" si="5"/>
        <v>-1.9878573468326051</v>
      </c>
      <c r="S54" s="11"/>
    </row>
    <row r="55" spans="1:25" x14ac:dyDescent="0.2">
      <c r="A55" s="8">
        <v>26.5</v>
      </c>
      <c r="B55" s="8">
        <v>53</v>
      </c>
      <c r="D55">
        <v>889.89160671463003</v>
      </c>
      <c r="E55">
        <v>290.93189448441001</v>
      </c>
      <c r="F55">
        <v>135.83725396062999</v>
      </c>
      <c r="G55">
        <v>116.43734997599999</v>
      </c>
      <c r="I55" s="9">
        <f t="shared" si="1"/>
        <v>174.49454450841</v>
      </c>
      <c r="J55" s="9">
        <f t="shared" si="2"/>
        <v>754.05435275400009</v>
      </c>
      <c r="K55" s="9">
        <f t="shared" si="3"/>
        <v>174.49454450841</v>
      </c>
      <c r="L55" s="10">
        <f t="shared" si="0"/>
        <v>0.23140844406124192</v>
      </c>
      <c r="M55" s="10">
        <f t="shared" si="4"/>
        <v>0.23823979523551614</v>
      </c>
      <c r="P55" s="8">
        <f t="shared" si="5"/>
        <v>-7.3846635368837191E-2</v>
      </c>
      <c r="S55" s="11"/>
    </row>
    <row r="56" spans="1:25" x14ac:dyDescent="0.2">
      <c r="A56" s="8">
        <v>27</v>
      </c>
      <c r="B56" s="8">
        <v>54</v>
      </c>
      <c r="D56">
        <v>875.72470023980998</v>
      </c>
      <c r="E56">
        <v>288.96786570743001</v>
      </c>
      <c r="F56">
        <v>135.61497839654001</v>
      </c>
      <c r="G56">
        <v>116.1445031205</v>
      </c>
      <c r="I56" s="9">
        <f t="shared" si="1"/>
        <v>172.82336258692999</v>
      </c>
      <c r="J56" s="9">
        <f t="shared" si="2"/>
        <v>740.10972184326999</v>
      </c>
      <c r="K56" s="9">
        <f t="shared" si="3"/>
        <v>172.82336258692999</v>
      </c>
      <c r="L56" s="10">
        <f t="shared" si="0"/>
        <v>0.2335104613360667</v>
      </c>
      <c r="M56" s="10">
        <f t="shared" si="4"/>
        <v>0.24047070592872344</v>
      </c>
      <c r="P56" s="8">
        <f t="shared" si="5"/>
        <v>0.86187581121843648</v>
      </c>
      <c r="S56" s="11"/>
    </row>
    <row r="57" spans="1:25" x14ac:dyDescent="0.2">
      <c r="A57" s="8">
        <v>27.5</v>
      </c>
      <c r="B57" s="8">
        <v>55</v>
      </c>
      <c r="D57">
        <v>862.66666666667004</v>
      </c>
      <c r="E57">
        <v>285.90647482013998</v>
      </c>
      <c r="F57">
        <v>136.04992798847999</v>
      </c>
      <c r="G57">
        <v>116.34133461354</v>
      </c>
      <c r="I57" s="9">
        <f t="shared" si="1"/>
        <v>169.56514020659998</v>
      </c>
      <c r="J57" s="9">
        <f t="shared" si="2"/>
        <v>726.61673867819002</v>
      </c>
      <c r="K57" s="9">
        <f t="shared" si="3"/>
        <v>169.56514020659998</v>
      </c>
      <c r="L57" s="10">
        <f t="shared" si="0"/>
        <v>0.23336255715091417</v>
      </c>
      <c r="M57" s="10">
        <f t="shared" si="4"/>
        <v>0.24045169516195344</v>
      </c>
      <c r="P57" s="8">
        <f t="shared" si="5"/>
        <v>0.85390202667937676</v>
      </c>
      <c r="S57" s="11"/>
    </row>
    <row r="58" spans="1:25" x14ac:dyDescent="0.2">
      <c r="A58" s="8">
        <v>28</v>
      </c>
      <c r="B58" s="8">
        <v>56</v>
      </c>
      <c r="D58">
        <v>848.02254196643003</v>
      </c>
      <c r="E58">
        <v>281.58417266187001</v>
      </c>
      <c r="F58">
        <v>136.25972155545</v>
      </c>
      <c r="G58">
        <v>116.41574651944001</v>
      </c>
      <c r="I58" s="9">
        <f t="shared" si="1"/>
        <v>165.16842614243001</v>
      </c>
      <c r="J58" s="9">
        <f t="shared" si="2"/>
        <v>711.76282041098</v>
      </c>
      <c r="K58" s="9">
        <f t="shared" si="3"/>
        <v>165.16842614243001</v>
      </c>
      <c r="L58" s="10">
        <f t="shared" si="0"/>
        <v>0.23205542830554127</v>
      </c>
      <c r="M58" s="10">
        <f t="shared" si="4"/>
        <v>0.23927345973496308</v>
      </c>
      <c r="P58" s="8">
        <f t="shared" si="5"/>
        <v>0.35970862855002633</v>
      </c>
      <c r="S58" s="11"/>
    </row>
    <row r="59" spans="1:25" x14ac:dyDescent="0.2">
      <c r="A59" s="8">
        <v>28.5</v>
      </c>
      <c r="B59" s="8">
        <v>57</v>
      </c>
      <c r="D59">
        <v>885.5111003861</v>
      </c>
      <c r="E59">
        <v>286.72586872586999</v>
      </c>
      <c r="F59">
        <v>136.30340854536999</v>
      </c>
      <c r="G59">
        <v>116.27556409025</v>
      </c>
      <c r="I59" s="9">
        <f t="shared" si="1"/>
        <v>170.45030463562</v>
      </c>
      <c r="J59" s="9">
        <f t="shared" si="2"/>
        <v>749.20769184073004</v>
      </c>
      <c r="K59" s="9">
        <f t="shared" si="3"/>
        <v>170.45030463562</v>
      </c>
      <c r="L59" s="10">
        <f t="shared" si="0"/>
        <v>0.22750741415486575</v>
      </c>
      <c r="M59" s="10">
        <f t="shared" si="4"/>
        <v>0.23485433900267008</v>
      </c>
      <c r="P59" s="8">
        <f t="shared" si="5"/>
        <v>-1.4938261077243833</v>
      </c>
      <c r="R59" s="1"/>
      <c r="S59" s="11"/>
    </row>
    <row r="60" spans="1:25" x14ac:dyDescent="0.2">
      <c r="A60" s="8">
        <v>29</v>
      </c>
      <c r="B60" s="8">
        <v>58</v>
      </c>
      <c r="D60">
        <v>895.40588803088997</v>
      </c>
      <c r="E60">
        <v>288.69111969111998</v>
      </c>
      <c r="F60">
        <v>136.15458473356</v>
      </c>
      <c r="G60">
        <v>116.53480556888999</v>
      </c>
      <c r="I60" s="9">
        <f t="shared" si="1"/>
        <v>172.15631412222999</v>
      </c>
      <c r="J60" s="9">
        <f t="shared" si="2"/>
        <v>759.25130329732997</v>
      </c>
      <c r="K60" s="9">
        <f t="shared" si="3"/>
        <v>172.15631412222999</v>
      </c>
      <c r="L60" s="10">
        <f t="shared" si="0"/>
        <v>0.22674483846728671</v>
      </c>
      <c r="M60" s="10">
        <f t="shared" si="4"/>
        <v>0.23422065673347359</v>
      </c>
      <c r="P60" s="8">
        <f t="shared" si="5"/>
        <v>-1.7596147495991754</v>
      </c>
      <c r="S60" s="11"/>
    </row>
    <row r="61" spans="1:25" x14ac:dyDescent="0.2">
      <c r="A61" s="8">
        <v>29.5</v>
      </c>
      <c r="B61" s="8">
        <v>59</v>
      </c>
      <c r="C61" s="2"/>
      <c r="D61">
        <v>883.02074288470999</v>
      </c>
      <c r="E61">
        <v>286.09840810420002</v>
      </c>
      <c r="F61">
        <v>135.94719155064999</v>
      </c>
      <c r="G61">
        <v>116.3048487758</v>
      </c>
      <c r="I61" s="9">
        <f t="shared" si="1"/>
        <v>169.79355932840002</v>
      </c>
      <c r="J61" s="9">
        <f t="shared" si="2"/>
        <v>747.07355133405997</v>
      </c>
      <c r="K61" s="9">
        <f t="shared" si="3"/>
        <v>169.79355932840002</v>
      </c>
      <c r="L61" s="10">
        <f t="shared" si="0"/>
        <v>0.22727823656077401</v>
      </c>
      <c r="M61" s="10">
        <f t="shared" si="4"/>
        <v>0.23488294824534342</v>
      </c>
      <c r="P61" s="8">
        <f t="shared" si="5"/>
        <v>-1.4818263846378359</v>
      </c>
      <c r="S61" s="11"/>
    </row>
    <row r="62" spans="1:25" x14ac:dyDescent="0.2">
      <c r="A62" s="8">
        <v>30</v>
      </c>
      <c r="B62" s="8">
        <v>60</v>
      </c>
      <c r="D62">
        <v>901.55861070911999</v>
      </c>
      <c r="E62">
        <v>289.48239266762999</v>
      </c>
      <c r="F62">
        <v>135.79260681708999</v>
      </c>
      <c r="G62">
        <v>116.06192990879001</v>
      </c>
      <c r="I62" s="9">
        <f t="shared" si="1"/>
        <v>173.42046275883999</v>
      </c>
      <c r="J62" s="9">
        <f t="shared" si="2"/>
        <v>765.76600389202997</v>
      </c>
      <c r="K62" s="9">
        <f t="shared" si="3"/>
        <v>173.42046275883999</v>
      </c>
      <c r="L62" s="10">
        <f t="shared" si="0"/>
        <v>0.2264666515324851</v>
      </c>
      <c r="M62" s="10">
        <f t="shared" si="4"/>
        <v>0.23420025663543703</v>
      </c>
      <c r="P62" s="8">
        <f t="shared" si="5"/>
        <v>-1.7681712685595745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864.82795180722997</v>
      </c>
      <c r="E63">
        <v>281.13542168675002</v>
      </c>
      <c r="F63">
        <v>135.96015362457999</v>
      </c>
      <c r="G63">
        <v>116.42822851656</v>
      </c>
      <c r="I63" s="9">
        <f t="shared" si="1"/>
        <v>164.70719317019001</v>
      </c>
      <c r="J63" s="9">
        <f t="shared" si="2"/>
        <v>728.86779818264995</v>
      </c>
      <c r="K63" s="9">
        <f t="shared" si="3"/>
        <v>164.70719317019001</v>
      </c>
      <c r="L63" s="10">
        <f t="shared" si="0"/>
        <v>0.22597677326515028</v>
      </c>
      <c r="M63" s="10">
        <f t="shared" si="4"/>
        <v>0.23383927178648475</v>
      </c>
      <c r="P63" s="8">
        <f t="shared" si="5"/>
        <v>-1.9195810166373637</v>
      </c>
    </row>
    <row r="64" spans="1:25" x14ac:dyDescent="0.2">
      <c r="A64" s="8">
        <v>31</v>
      </c>
      <c r="B64" s="8">
        <v>62</v>
      </c>
      <c r="D64">
        <v>830.73060240964003</v>
      </c>
      <c r="E64">
        <v>276.09108433735003</v>
      </c>
      <c r="F64">
        <v>135.96159385502</v>
      </c>
      <c r="G64">
        <v>116.38262121939999</v>
      </c>
      <c r="I64" s="9">
        <f t="shared" si="1"/>
        <v>159.70846311795003</v>
      </c>
      <c r="J64" s="9">
        <f t="shared" si="2"/>
        <v>694.76900855462009</v>
      </c>
      <c r="K64" s="9">
        <f t="shared" si="3"/>
        <v>159.70846311795003</v>
      </c>
      <c r="L64" s="10">
        <f t="shared" si="0"/>
        <v>0.22987275072934454</v>
      </c>
      <c r="M64" s="10">
        <f t="shared" si="4"/>
        <v>0.23786414266906156</v>
      </c>
      <c r="P64" s="8">
        <f t="shared" si="5"/>
        <v>-0.23140854029848784</v>
      </c>
      <c r="U64" s="8">
        <v>30.5</v>
      </c>
      <c r="V64" s="10">
        <f>L62</f>
        <v>0.2264666515324851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857.29879518072005</v>
      </c>
      <c r="E65">
        <v>279.28626506024</v>
      </c>
      <c r="F65">
        <v>136.02688430149001</v>
      </c>
      <c r="G65">
        <v>116.33653384542001</v>
      </c>
      <c r="I65" s="9">
        <f t="shared" si="1"/>
        <v>162.94973121481999</v>
      </c>
      <c r="J65" s="9">
        <f t="shared" si="2"/>
        <v>721.27191087923006</v>
      </c>
      <c r="K65" s="9">
        <f t="shared" si="3"/>
        <v>162.94973121481999</v>
      </c>
      <c r="L65" s="10">
        <f t="shared" si="0"/>
        <v>0.22591997380874621</v>
      </c>
      <c r="M65" s="10">
        <f t="shared" si="4"/>
        <v>0.23404025916684573</v>
      </c>
      <c r="P65" s="8">
        <f t="shared" si="5"/>
        <v>-1.8352798369186174</v>
      </c>
      <c r="U65" s="8">
        <v>31</v>
      </c>
      <c r="V65" s="10">
        <f t="shared" ref="V65:V83" si="6">L63</f>
        <v>0.22597677326515028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787.64048192770997</v>
      </c>
      <c r="E66">
        <v>266.79662650602</v>
      </c>
      <c r="F66">
        <v>136.01104176667999</v>
      </c>
      <c r="G66">
        <v>116.58425348055999</v>
      </c>
      <c r="I66" s="9">
        <f t="shared" si="1"/>
        <v>150.21237302546001</v>
      </c>
      <c r="J66" s="9">
        <f t="shared" si="2"/>
        <v>651.62944016102995</v>
      </c>
      <c r="K66" s="9">
        <f t="shared" si="3"/>
        <v>150.21237302546001</v>
      </c>
      <c r="L66" s="10">
        <f t="shared" ref="L66:L129" si="7">K66/J66</f>
        <v>0.2305180886062172</v>
      </c>
      <c r="M66" s="10">
        <f t="shared" si="4"/>
        <v>0.23876726738269927</v>
      </c>
      <c r="P66" s="8">
        <f t="shared" si="5"/>
        <v>0.14739374398460733</v>
      </c>
      <c r="U66" s="8">
        <v>31.5</v>
      </c>
      <c r="V66" s="10">
        <f t="shared" si="6"/>
        <v>0.22987275072934454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772.37590361445996</v>
      </c>
      <c r="E67">
        <v>264.22313253011998</v>
      </c>
      <c r="F67">
        <v>136.06865098416</v>
      </c>
      <c r="G67">
        <v>116.39846375419999</v>
      </c>
      <c r="I67" s="9">
        <f t="shared" ref="I67:I130" si="8">E67-G67</f>
        <v>147.82466877591997</v>
      </c>
      <c r="J67" s="9">
        <f t="shared" ref="J67:J130" si="9">D67-F67</f>
        <v>636.3072526302999</v>
      </c>
      <c r="K67" s="9">
        <f t="shared" ref="K67:K130" si="10">I67*1</f>
        <v>147.82466877591997</v>
      </c>
      <c r="L67" s="10">
        <f t="shared" si="7"/>
        <v>0.23231649201680152</v>
      </c>
      <c r="M67" s="10">
        <f t="shared" ref="M67:M130" si="11">L67+ABS($N$2)*A67</f>
        <v>0.24069456421166613</v>
      </c>
      <c r="P67" s="8">
        <f t="shared" ref="P67:P130" si="12">(M67-$O$2)/$O$2*100</f>
        <v>0.9557698522671233</v>
      </c>
      <c r="U67" s="8">
        <v>32</v>
      </c>
      <c r="V67" s="10">
        <f t="shared" si="6"/>
        <v>0.22591997380874621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777.70216867470003</v>
      </c>
      <c r="E68">
        <v>265.78554216868002</v>
      </c>
      <c r="F68">
        <v>135.67498799808001</v>
      </c>
      <c r="G68">
        <v>116.41862698032</v>
      </c>
      <c r="I68" s="9">
        <f t="shared" si="8"/>
        <v>149.36691518836003</v>
      </c>
      <c r="J68" s="9">
        <f t="shared" si="9"/>
        <v>642.02718067661999</v>
      </c>
      <c r="K68" s="9">
        <f t="shared" si="10"/>
        <v>149.36691518836003</v>
      </c>
      <c r="L68" s="10">
        <f t="shared" si="7"/>
        <v>0.23264889662606672</v>
      </c>
      <c r="M68" s="10">
        <f t="shared" si="11"/>
        <v>0.24115586223931385</v>
      </c>
      <c r="P68" s="8">
        <f t="shared" si="12"/>
        <v>1.1492544773355708</v>
      </c>
      <c r="U68" s="8">
        <v>32.5</v>
      </c>
      <c r="V68" s="10">
        <f t="shared" si="6"/>
        <v>0.2305180886062172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786.70457831324995</v>
      </c>
      <c r="E69">
        <v>267.37590361446001</v>
      </c>
      <c r="F69">
        <v>135.81084973596001</v>
      </c>
      <c r="G69">
        <v>116.31973115699</v>
      </c>
      <c r="I69" s="9">
        <f t="shared" si="8"/>
        <v>151.05617245747001</v>
      </c>
      <c r="J69" s="9">
        <f t="shared" si="9"/>
        <v>650.89372857728995</v>
      </c>
      <c r="K69" s="9">
        <f t="shared" si="10"/>
        <v>151.05617245747001</v>
      </c>
      <c r="L69" s="10">
        <f t="shared" si="7"/>
        <v>0.23207501597479741</v>
      </c>
      <c r="M69" s="10">
        <f t="shared" si="11"/>
        <v>0.24071087500642707</v>
      </c>
      <c r="P69" s="8">
        <f t="shared" si="12"/>
        <v>0.96261117353828096</v>
      </c>
      <c r="U69" s="8">
        <v>33</v>
      </c>
      <c r="V69" s="10">
        <f t="shared" si="6"/>
        <v>0.23231649201680152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793.62168674699001</v>
      </c>
      <c r="E70">
        <v>268.69975903615</v>
      </c>
      <c r="F70">
        <v>135.94527124339999</v>
      </c>
      <c r="G70">
        <v>116.24579932789</v>
      </c>
      <c r="I70" s="9">
        <f t="shared" si="8"/>
        <v>152.45395970826002</v>
      </c>
      <c r="J70" s="9">
        <f t="shared" si="9"/>
        <v>657.67641550359008</v>
      </c>
      <c r="K70" s="9">
        <f t="shared" si="10"/>
        <v>152.45395970826002</v>
      </c>
      <c r="L70" s="10">
        <f t="shared" si="7"/>
        <v>0.23180694352788117</v>
      </c>
      <c r="M70" s="10">
        <f t="shared" si="11"/>
        <v>0.24057169597789338</v>
      </c>
      <c r="P70" s="8">
        <f t="shared" si="12"/>
        <v>0.90423459150399277</v>
      </c>
      <c r="U70" s="8">
        <v>33.5</v>
      </c>
      <c r="V70" s="10">
        <f t="shared" si="6"/>
        <v>0.23264889662606672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822.60674698795003</v>
      </c>
      <c r="E71">
        <v>272.95325301205003</v>
      </c>
      <c r="F71">
        <v>136.22803648583999</v>
      </c>
      <c r="G71">
        <v>116.37397983677</v>
      </c>
      <c r="I71" s="9">
        <f t="shared" si="8"/>
        <v>156.57927317528004</v>
      </c>
      <c r="J71" s="9">
        <f t="shared" si="9"/>
        <v>686.37871050211004</v>
      </c>
      <c r="K71" s="9">
        <f t="shared" si="10"/>
        <v>156.57927317528004</v>
      </c>
      <c r="L71" s="10">
        <f t="shared" si="7"/>
        <v>0.2281237322479551</v>
      </c>
      <c r="M71" s="10">
        <f t="shared" si="11"/>
        <v>0.23701737811634982</v>
      </c>
      <c r="P71" s="8">
        <f t="shared" si="12"/>
        <v>-0.58657138987347091</v>
      </c>
      <c r="U71" s="8">
        <v>34</v>
      </c>
      <c r="V71" s="10">
        <f t="shared" si="6"/>
        <v>0.23207501597479741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836.20433734940002</v>
      </c>
      <c r="E72">
        <v>273.82265060241002</v>
      </c>
      <c r="F72">
        <v>136.23475756120999</v>
      </c>
      <c r="G72">
        <v>116.50744119059</v>
      </c>
      <c r="I72" s="9">
        <f t="shared" si="8"/>
        <v>157.31520941182004</v>
      </c>
      <c r="J72" s="9">
        <f t="shared" si="9"/>
        <v>699.96957978819</v>
      </c>
      <c r="K72" s="9">
        <f t="shared" si="10"/>
        <v>157.31520941182004</v>
      </c>
      <c r="L72" s="10">
        <f t="shared" si="7"/>
        <v>0.22474578032294409</v>
      </c>
      <c r="M72" s="10">
        <f t="shared" si="11"/>
        <v>0.23376831960972136</v>
      </c>
      <c r="P72" s="8">
        <f t="shared" si="12"/>
        <v>-1.9493408562552768</v>
      </c>
      <c r="U72" s="8">
        <v>34.5</v>
      </c>
      <c r="V72" s="10">
        <f t="shared" si="6"/>
        <v>0.23180694352788117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843.48578313252995</v>
      </c>
      <c r="E73">
        <v>275.33879518072001</v>
      </c>
      <c r="F73">
        <v>136.06913106096999</v>
      </c>
      <c r="G73">
        <v>116.35477676428</v>
      </c>
      <c r="I73" s="9">
        <f t="shared" si="8"/>
        <v>158.98401841643999</v>
      </c>
      <c r="J73" s="9">
        <f t="shared" si="9"/>
        <v>707.41665207155995</v>
      </c>
      <c r="K73" s="9">
        <f t="shared" si="10"/>
        <v>158.98401841643999</v>
      </c>
      <c r="L73" s="10">
        <f t="shared" si="7"/>
        <v>0.22473886916696115</v>
      </c>
      <c r="M73" s="10">
        <f t="shared" si="11"/>
        <v>0.23389030187212095</v>
      </c>
      <c r="P73" s="8">
        <f t="shared" si="12"/>
        <v>-1.8981772030618349</v>
      </c>
      <c r="U73" s="8">
        <v>35</v>
      </c>
      <c r="V73" s="10">
        <f t="shared" si="6"/>
        <v>0.2281237322479551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816.01156626505997</v>
      </c>
      <c r="E74">
        <v>272.05445783133001</v>
      </c>
      <c r="F74">
        <v>136.41766682669001</v>
      </c>
      <c r="G74">
        <v>116.38934229477</v>
      </c>
      <c r="I74" s="9">
        <f t="shared" si="8"/>
        <v>155.66511553655999</v>
      </c>
      <c r="J74" s="9">
        <f t="shared" si="9"/>
        <v>679.59389943836993</v>
      </c>
      <c r="K74" s="9">
        <f t="shared" si="10"/>
        <v>155.66511553655999</v>
      </c>
      <c r="L74" s="10">
        <f t="shared" si="7"/>
        <v>0.22905608138213832</v>
      </c>
      <c r="M74" s="10">
        <f t="shared" si="11"/>
        <v>0.23833640750568064</v>
      </c>
      <c r="P74" s="8">
        <f t="shared" si="12"/>
        <v>-3.3324049644571162E-2</v>
      </c>
      <c r="U74" s="8">
        <v>35.5</v>
      </c>
      <c r="V74" s="10">
        <f t="shared" si="6"/>
        <v>0.22474578032294409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818.62602409638998</v>
      </c>
      <c r="E75">
        <v>273.06554216868</v>
      </c>
      <c r="F75">
        <v>136.42822851656001</v>
      </c>
      <c r="G75">
        <v>116.45607297168</v>
      </c>
      <c r="I75" s="9">
        <f t="shared" si="8"/>
        <v>156.60946919700001</v>
      </c>
      <c r="J75" s="9">
        <f t="shared" si="9"/>
        <v>682.19779557982997</v>
      </c>
      <c r="K75" s="9">
        <f t="shared" si="10"/>
        <v>156.60946919700001</v>
      </c>
      <c r="L75" s="10">
        <f t="shared" si="7"/>
        <v>0.22956607337596383</v>
      </c>
      <c r="M75" s="10">
        <f t="shared" si="11"/>
        <v>0.23897529291788869</v>
      </c>
      <c r="P75" s="8">
        <f t="shared" si="12"/>
        <v>0.23464697349879501</v>
      </c>
      <c r="U75" s="8">
        <v>36</v>
      </c>
      <c r="V75" s="10">
        <f t="shared" si="6"/>
        <v>0.22473886916696115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802.64292589028003</v>
      </c>
      <c r="E76">
        <v>268.27237728584998</v>
      </c>
      <c r="F76">
        <v>136.17042726835999</v>
      </c>
      <c r="G76">
        <v>116.46087373979999</v>
      </c>
      <c r="I76" s="9">
        <f t="shared" si="8"/>
        <v>151.81150354605001</v>
      </c>
      <c r="J76" s="9">
        <f t="shared" si="9"/>
        <v>666.47249862192007</v>
      </c>
      <c r="K76" s="9">
        <f t="shared" si="10"/>
        <v>151.81150354605001</v>
      </c>
      <c r="L76" s="10">
        <f t="shared" si="7"/>
        <v>0.22778359776277943</v>
      </c>
      <c r="M76" s="10">
        <f t="shared" si="11"/>
        <v>0.23732171072308683</v>
      </c>
      <c r="P76" s="8">
        <f t="shared" si="12"/>
        <v>-0.45892358567435482</v>
      </c>
      <c r="U76" s="8">
        <v>36.5</v>
      </c>
      <c r="V76" s="10">
        <f t="shared" si="6"/>
        <v>0.22905608138213832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830.35514918190995</v>
      </c>
      <c r="E77">
        <v>272.77285851780999</v>
      </c>
      <c r="F77">
        <v>136.57897263562</v>
      </c>
      <c r="G77">
        <v>116.79164666347</v>
      </c>
      <c r="I77" s="9">
        <f t="shared" si="8"/>
        <v>155.98121185433999</v>
      </c>
      <c r="J77" s="9">
        <f t="shared" si="9"/>
        <v>693.77617654628989</v>
      </c>
      <c r="K77" s="9">
        <f t="shared" si="10"/>
        <v>155.98121185433999</v>
      </c>
      <c r="L77" s="10">
        <f t="shared" si="7"/>
        <v>0.22482929960327439</v>
      </c>
      <c r="M77" s="10">
        <f t="shared" si="11"/>
        <v>0.2344963059819643</v>
      </c>
      <c r="P77" s="8">
        <f t="shared" si="12"/>
        <v>-1.6439977551659029</v>
      </c>
      <c r="U77" s="8">
        <v>37</v>
      </c>
      <c r="V77" s="10">
        <f t="shared" si="6"/>
        <v>0.22956607337596383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839.89364773821001</v>
      </c>
      <c r="E78">
        <v>274.65255052935998</v>
      </c>
      <c r="F78">
        <v>136.61257801247999</v>
      </c>
      <c r="G78">
        <v>116.5040806529</v>
      </c>
      <c r="I78" s="9">
        <f t="shared" si="8"/>
        <v>158.14846987645998</v>
      </c>
      <c r="J78" s="9">
        <f t="shared" si="9"/>
        <v>703.28106972573005</v>
      </c>
      <c r="K78" s="9">
        <f t="shared" si="10"/>
        <v>158.14846987645998</v>
      </c>
      <c r="L78" s="10">
        <f t="shared" si="7"/>
        <v>0.22487235428949581</v>
      </c>
      <c r="M78" s="10">
        <f t="shared" si="11"/>
        <v>0.23466825408656827</v>
      </c>
      <c r="P78" s="8">
        <f t="shared" si="12"/>
        <v>-1.5718766695411095</v>
      </c>
      <c r="U78" s="8">
        <v>37.5</v>
      </c>
      <c r="V78" s="10">
        <f t="shared" si="6"/>
        <v>0.22778359776277943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765.99807228915995</v>
      </c>
      <c r="E79">
        <v>263.28963855422001</v>
      </c>
      <c r="F79">
        <v>136.50456072972</v>
      </c>
      <c r="G79">
        <v>116.57849255881</v>
      </c>
      <c r="I79" s="9">
        <f t="shared" si="8"/>
        <v>146.71114599540999</v>
      </c>
      <c r="J79" s="9">
        <f t="shared" si="9"/>
        <v>629.49351155943998</v>
      </c>
      <c r="K79" s="9">
        <f t="shared" si="10"/>
        <v>146.71114599540999</v>
      </c>
      <c r="L79" s="10">
        <f t="shared" si="7"/>
        <v>0.23306220525127172</v>
      </c>
      <c r="M79" s="10">
        <f t="shared" si="11"/>
        <v>0.24298699846672672</v>
      </c>
      <c r="P79" s="8">
        <f t="shared" si="12"/>
        <v>1.9172974456025</v>
      </c>
      <c r="U79" s="8">
        <v>38</v>
      </c>
      <c r="V79" s="10">
        <f t="shared" si="6"/>
        <v>0.22482929960327439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752.78891566264997</v>
      </c>
      <c r="E80">
        <v>262.21253012047998</v>
      </c>
      <c r="F80">
        <v>136.35525684109999</v>
      </c>
      <c r="G80">
        <v>116.60009601535999</v>
      </c>
      <c r="I80" s="9">
        <f t="shared" si="8"/>
        <v>145.61243410511997</v>
      </c>
      <c r="J80" s="9">
        <f t="shared" si="9"/>
        <v>616.43365882155001</v>
      </c>
      <c r="K80" s="9">
        <f t="shared" si="10"/>
        <v>145.61243410511997</v>
      </c>
      <c r="L80" s="10">
        <f t="shared" si="7"/>
        <v>0.23621752644638275</v>
      </c>
      <c r="M80" s="10">
        <f t="shared" si="11"/>
        <v>0.24627121308022026</v>
      </c>
      <c r="P80" s="8">
        <f t="shared" si="12"/>
        <v>3.2948126202856023</v>
      </c>
      <c r="U80" s="8">
        <v>38.5</v>
      </c>
      <c r="V80" s="10">
        <f t="shared" si="6"/>
        <v>0.22487235428949581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754.95132530120998</v>
      </c>
      <c r="E81">
        <v>263.75662650601998</v>
      </c>
      <c r="F81">
        <v>136.50552088334001</v>
      </c>
      <c r="G81">
        <v>116.22131541047</v>
      </c>
      <c r="I81" s="9">
        <f t="shared" si="8"/>
        <v>147.53531109554999</v>
      </c>
      <c r="J81" s="9">
        <f t="shared" si="9"/>
        <v>618.44580441787002</v>
      </c>
      <c r="K81" s="9">
        <f t="shared" si="10"/>
        <v>147.53531109554999</v>
      </c>
      <c r="L81" s="10">
        <f t="shared" si="7"/>
        <v>0.23855818899834216</v>
      </c>
      <c r="M81" s="10">
        <f t="shared" si="11"/>
        <v>0.24874076905056222</v>
      </c>
      <c r="P81" s="8">
        <f t="shared" si="12"/>
        <v>4.330631293614208</v>
      </c>
      <c r="U81" s="8">
        <v>39</v>
      </c>
      <c r="V81" s="10">
        <f t="shared" si="6"/>
        <v>0.23306220525127172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799.23469879517995</v>
      </c>
      <c r="E82">
        <v>273.76289156627001</v>
      </c>
      <c r="F82">
        <v>136.49735957753001</v>
      </c>
      <c r="G82">
        <v>116.72587614018001</v>
      </c>
      <c r="H82" s="13"/>
      <c r="I82" s="14">
        <f t="shared" si="8"/>
        <v>157.03701542609002</v>
      </c>
      <c r="J82" s="14">
        <f t="shared" si="9"/>
        <v>662.73733921764995</v>
      </c>
      <c r="K82" s="9">
        <f t="shared" si="10"/>
        <v>157.03701542609002</v>
      </c>
      <c r="L82" s="15">
        <f t="shared" si="7"/>
        <v>0.23695211682424522</v>
      </c>
      <c r="M82" s="15">
        <f t="shared" si="11"/>
        <v>0.24726359029484779</v>
      </c>
      <c r="N82" s="13"/>
      <c r="O82" s="13"/>
      <c r="P82" s="13">
        <f t="shared" si="12"/>
        <v>3.7110505441236619</v>
      </c>
      <c r="U82" s="8">
        <v>39.5</v>
      </c>
      <c r="V82" s="10">
        <f t="shared" si="6"/>
        <v>0.23621752644638275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755.13445783133</v>
      </c>
      <c r="E83">
        <v>264.12337349398001</v>
      </c>
      <c r="F83">
        <v>136.71627460394001</v>
      </c>
      <c r="G83">
        <v>116.52568410946</v>
      </c>
      <c r="I83" s="9">
        <f t="shared" si="8"/>
        <v>147.59768938452001</v>
      </c>
      <c r="J83" s="9">
        <f t="shared" si="9"/>
        <v>618.41818322739005</v>
      </c>
      <c r="K83" s="9">
        <f t="shared" si="10"/>
        <v>147.59768938452001</v>
      </c>
      <c r="L83" s="10">
        <f t="shared" si="7"/>
        <v>0.23866971151177954</v>
      </c>
      <c r="M83" s="10">
        <f t="shared" si="11"/>
        <v>0.24911007840076466</v>
      </c>
      <c r="P83" s="8">
        <f t="shared" si="12"/>
        <v>4.4855326304409919</v>
      </c>
      <c r="U83" s="8">
        <v>40</v>
      </c>
      <c r="V83" s="10">
        <f t="shared" si="6"/>
        <v>0.23855818899834216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775.73846153846</v>
      </c>
      <c r="E84">
        <v>264.72692307692</v>
      </c>
      <c r="F84">
        <v>136.38886221796</v>
      </c>
      <c r="G84">
        <v>116.64090254441</v>
      </c>
      <c r="I84" s="9">
        <f t="shared" si="8"/>
        <v>148.08602053251002</v>
      </c>
      <c r="J84" s="9">
        <f t="shared" si="9"/>
        <v>639.34959932050003</v>
      </c>
      <c r="K84" s="9">
        <f t="shared" si="10"/>
        <v>148.08602053251002</v>
      </c>
      <c r="L84" s="10">
        <f t="shared" si="7"/>
        <v>0.23161979094050525</v>
      </c>
      <c r="M84" s="10">
        <f t="shared" si="11"/>
        <v>0.24218905124787291</v>
      </c>
      <c r="P84" s="8">
        <f t="shared" si="12"/>
        <v>1.58261030364436</v>
      </c>
      <c r="U84" s="8">
        <v>150.5</v>
      </c>
      <c r="V84" s="10">
        <f>L302</f>
        <v>0.26045241951866904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809.16586538462002</v>
      </c>
      <c r="E85">
        <v>271.20913461538998</v>
      </c>
      <c r="F85">
        <v>136.49159865579</v>
      </c>
      <c r="G85">
        <v>116.54248679789001</v>
      </c>
      <c r="I85" s="9">
        <f t="shared" si="8"/>
        <v>154.66664781749998</v>
      </c>
      <c r="J85" s="9">
        <f t="shared" si="9"/>
        <v>672.67426672883005</v>
      </c>
      <c r="K85" s="9">
        <f t="shared" si="10"/>
        <v>154.66664781749998</v>
      </c>
      <c r="L85" s="10">
        <f t="shared" si="7"/>
        <v>0.22992799853877796</v>
      </c>
      <c r="M85" s="10">
        <f t="shared" si="11"/>
        <v>0.24062615226452816</v>
      </c>
      <c r="P85" s="8">
        <f t="shared" si="12"/>
        <v>0.9270754743403633</v>
      </c>
      <c r="U85" s="8">
        <v>151</v>
      </c>
      <c r="V85" s="10">
        <f t="shared" ref="V85:V103" si="13">L303</f>
        <v>0.25935967312321279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783.19663461539005</v>
      </c>
      <c r="E86">
        <v>265.91201923077</v>
      </c>
      <c r="F86">
        <v>136.26692270762999</v>
      </c>
      <c r="G86">
        <v>116.49975996159</v>
      </c>
      <c r="I86" s="9">
        <f t="shared" si="8"/>
        <v>149.41225926918</v>
      </c>
      <c r="J86" s="9">
        <f t="shared" si="9"/>
        <v>646.92971190776007</v>
      </c>
      <c r="K86" s="9">
        <f t="shared" si="10"/>
        <v>149.41225926918</v>
      </c>
      <c r="L86" s="10">
        <f t="shared" si="7"/>
        <v>0.23095593929141309</v>
      </c>
      <c r="M86" s="10">
        <f t="shared" si="11"/>
        <v>0.2417829864355458</v>
      </c>
      <c r="P86" s="8">
        <f t="shared" si="12"/>
        <v>1.4122924326418855</v>
      </c>
      <c r="U86" s="8">
        <v>151.5</v>
      </c>
      <c r="V86" s="10">
        <f t="shared" si="13"/>
        <v>0.26033234969892405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812.20288461538996</v>
      </c>
      <c r="E87">
        <v>270.86250000000001</v>
      </c>
      <c r="F87">
        <v>136.52664426307999</v>
      </c>
      <c r="G87">
        <v>116.55448871820001</v>
      </c>
      <c r="I87" s="9">
        <f t="shared" si="8"/>
        <v>154.30801128180002</v>
      </c>
      <c r="J87" s="9">
        <f t="shared" si="9"/>
        <v>675.67624035230995</v>
      </c>
      <c r="K87" s="9">
        <f t="shared" si="10"/>
        <v>154.30801128180002</v>
      </c>
      <c r="L87" s="10">
        <f t="shared" si="7"/>
        <v>0.22837566583862856</v>
      </c>
      <c r="M87" s="10">
        <f t="shared" si="11"/>
        <v>0.23933160640114381</v>
      </c>
      <c r="P87" s="8">
        <f t="shared" si="12"/>
        <v>0.38409738642598806</v>
      </c>
      <c r="U87" s="8">
        <v>152</v>
      </c>
      <c r="V87" s="10">
        <f t="shared" si="13"/>
        <v>0.2592784332766479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804.28269230769001</v>
      </c>
      <c r="E88">
        <v>272.20480769231</v>
      </c>
      <c r="F88">
        <v>136.23619779165</v>
      </c>
      <c r="G88">
        <v>116.31204992799</v>
      </c>
      <c r="I88" s="9">
        <f t="shared" si="8"/>
        <v>155.89275776431998</v>
      </c>
      <c r="J88" s="9">
        <f t="shared" si="9"/>
        <v>668.04649451603996</v>
      </c>
      <c r="K88" s="9">
        <f t="shared" si="10"/>
        <v>155.89275776431998</v>
      </c>
      <c r="L88" s="10">
        <f t="shared" si="7"/>
        <v>0.2333561496752633</v>
      </c>
      <c r="M88" s="10">
        <f t="shared" si="11"/>
        <v>0.24444098365616107</v>
      </c>
      <c r="P88" s="8">
        <f t="shared" si="12"/>
        <v>2.5271499972540363</v>
      </c>
      <c r="U88" s="8">
        <v>152.5</v>
      </c>
      <c r="V88" s="10">
        <f t="shared" si="13"/>
        <v>0.26050476848793641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779.68798076922997</v>
      </c>
      <c r="E89">
        <v>265.65096153846002</v>
      </c>
      <c r="F89">
        <v>136.28276524244001</v>
      </c>
      <c r="G89">
        <v>116.37301968315001</v>
      </c>
      <c r="I89" s="9">
        <f t="shared" si="8"/>
        <v>149.27794185531002</v>
      </c>
      <c r="J89" s="9">
        <f t="shared" si="9"/>
        <v>643.40521552679002</v>
      </c>
      <c r="K89" s="9">
        <f t="shared" si="10"/>
        <v>149.27794185531002</v>
      </c>
      <c r="L89" s="10">
        <f t="shared" si="7"/>
        <v>0.23201232792788015</v>
      </c>
      <c r="M89" s="10">
        <f t="shared" si="11"/>
        <v>0.24322605532716046</v>
      </c>
      <c r="P89" s="8">
        <f t="shared" si="12"/>
        <v>2.0175663048623655</v>
      </c>
      <c r="U89" s="8">
        <v>153</v>
      </c>
      <c r="V89" s="10">
        <f t="shared" si="13"/>
        <v>0.2589345383741023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786.06105769230999</v>
      </c>
      <c r="E90">
        <v>273.37307692308002</v>
      </c>
      <c r="F90">
        <v>136.13634181469001</v>
      </c>
      <c r="G90">
        <v>116.35045607297</v>
      </c>
      <c r="I90" s="9">
        <f t="shared" si="8"/>
        <v>157.02262085011</v>
      </c>
      <c r="J90" s="9">
        <f t="shared" si="9"/>
        <v>649.92471587761997</v>
      </c>
      <c r="K90" s="9">
        <f t="shared" si="10"/>
        <v>157.02262085011</v>
      </c>
      <c r="L90" s="10">
        <f t="shared" si="7"/>
        <v>0.24160124551976134</v>
      </c>
      <c r="M90" s="10">
        <f t="shared" si="11"/>
        <v>0.25294386633742416</v>
      </c>
      <c r="P90" s="8">
        <f t="shared" si="12"/>
        <v>6.0935581953865743</v>
      </c>
      <c r="U90" s="8">
        <v>153.5</v>
      </c>
      <c r="V90" s="10">
        <f t="shared" si="13"/>
        <v>0.2599175332214872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803.40721153846005</v>
      </c>
      <c r="E91">
        <v>341.01201923077002</v>
      </c>
      <c r="F91">
        <v>136.84301488238</v>
      </c>
      <c r="G91">
        <v>116.64762361978001</v>
      </c>
      <c r="I91" s="9">
        <f t="shared" si="8"/>
        <v>224.36439561099002</v>
      </c>
      <c r="J91" s="9">
        <f t="shared" si="9"/>
        <v>666.56419665608007</v>
      </c>
      <c r="K91" s="9">
        <f t="shared" si="10"/>
        <v>224.36439561099002</v>
      </c>
      <c r="L91" s="10">
        <f t="shared" si="7"/>
        <v>0.33659833026818403</v>
      </c>
      <c r="M91" s="10">
        <f t="shared" si="11"/>
        <v>0.3480698445042294</v>
      </c>
      <c r="P91" s="8">
        <f t="shared" si="12"/>
        <v>45.992740755797335</v>
      </c>
      <c r="U91" s="8">
        <v>154</v>
      </c>
      <c r="V91" s="10">
        <f t="shared" si="13"/>
        <v>0.25939902072867377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822.625</v>
      </c>
      <c r="E92">
        <v>404.16298076922999</v>
      </c>
      <c r="F92">
        <v>136.65530484877999</v>
      </c>
      <c r="G92">
        <v>116.62938070091</v>
      </c>
      <c r="I92" s="9">
        <f t="shared" si="8"/>
        <v>287.53360006831997</v>
      </c>
      <c r="J92" s="9">
        <f t="shared" si="9"/>
        <v>685.96969515121998</v>
      </c>
      <c r="K92" s="9">
        <f t="shared" si="10"/>
        <v>287.53360006831997</v>
      </c>
      <c r="L92" s="10">
        <f t="shared" si="7"/>
        <v>0.41916370664878139</v>
      </c>
      <c r="M92" s="10">
        <f t="shared" si="11"/>
        <v>0.43076411430320932</v>
      </c>
      <c r="P92" s="8">
        <f t="shared" si="12"/>
        <v>80.677627376608115</v>
      </c>
      <c r="U92" s="8">
        <v>154.5</v>
      </c>
      <c r="V92" s="10">
        <f t="shared" si="13"/>
        <v>0.26063833190441299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844.09615384614995</v>
      </c>
      <c r="E93">
        <v>478.97259615385002</v>
      </c>
      <c r="F93">
        <v>136.74651944311</v>
      </c>
      <c r="G93">
        <v>117.06337013922</v>
      </c>
      <c r="I93" s="9">
        <f t="shared" si="8"/>
        <v>361.90922601463001</v>
      </c>
      <c r="J93" s="9">
        <f t="shared" si="9"/>
        <v>707.34963440304</v>
      </c>
      <c r="K93" s="9">
        <f t="shared" si="10"/>
        <v>361.90922601463001</v>
      </c>
      <c r="L93" s="10">
        <f t="shared" si="7"/>
        <v>0.51164121448943611</v>
      </c>
      <c r="M93" s="10">
        <f t="shared" si="11"/>
        <v>0.52337051556224656</v>
      </c>
      <c r="P93" s="8">
        <f t="shared" si="12"/>
        <v>119.52001072238426</v>
      </c>
      <c r="U93" s="8">
        <v>155</v>
      </c>
      <c r="V93" s="10">
        <f t="shared" si="13"/>
        <v>0.26111772552525025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819.94780086999003</v>
      </c>
      <c r="E94">
        <v>509.68148864186003</v>
      </c>
      <c r="F94">
        <v>137.08689390302001</v>
      </c>
      <c r="G94">
        <v>116.78252520402999</v>
      </c>
      <c r="I94" s="9">
        <f t="shared" si="8"/>
        <v>392.89896343783005</v>
      </c>
      <c r="J94" s="9">
        <f t="shared" si="9"/>
        <v>682.86090696696999</v>
      </c>
      <c r="K94" s="9">
        <f t="shared" si="10"/>
        <v>392.89896343783005</v>
      </c>
      <c r="L94" s="10">
        <f t="shared" si="7"/>
        <v>0.57537187944020729</v>
      </c>
      <c r="M94" s="10">
        <f t="shared" si="11"/>
        <v>0.58723007393140025</v>
      </c>
      <c r="P94" s="8">
        <f t="shared" si="12"/>
        <v>146.30495660888226</v>
      </c>
      <c r="U94" s="8">
        <v>155.5</v>
      </c>
      <c r="V94" s="10">
        <f t="shared" si="13"/>
        <v>0.25948925558075803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830.07263107262997</v>
      </c>
      <c r="E95">
        <v>549.72823472823995</v>
      </c>
      <c r="F95">
        <v>137.13346135382</v>
      </c>
      <c r="G95">
        <v>116.8478156505</v>
      </c>
      <c r="I95" s="9">
        <f t="shared" si="8"/>
        <v>432.88041907773993</v>
      </c>
      <c r="J95" s="9">
        <f t="shared" si="9"/>
        <v>692.93916971881004</v>
      </c>
      <c r="K95" s="9">
        <f t="shared" si="10"/>
        <v>432.88041907773993</v>
      </c>
      <c r="L95" s="10">
        <f t="shared" si="7"/>
        <v>0.62470190457468266</v>
      </c>
      <c r="M95" s="10">
        <f t="shared" si="11"/>
        <v>0.63668899248425814</v>
      </c>
      <c r="P95" s="8">
        <f t="shared" si="12"/>
        <v>167.04976742302833</v>
      </c>
      <c r="U95" s="8">
        <v>156</v>
      </c>
      <c r="V95" s="10">
        <f t="shared" si="13"/>
        <v>0.25961332094986062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838.82642237223001</v>
      </c>
      <c r="E96">
        <v>572.17550626807997</v>
      </c>
      <c r="F96">
        <v>136.85981757081001</v>
      </c>
      <c r="G96">
        <v>116.95007201152001</v>
      </c>
      <c r="I96" s="9">
        <f t="shared" si="8"/>
        <v>455.22543425655999</v>
      </c>
      <c r="J96" s="9">
        <f t="shared" si="9"/>
        <v>701.96660480141998</v>
      </c>
      <c r="K96" s="9">
        <f t="shared" si="10"/>
        <v>455.22543425655999</v>
      </c>
      <c r="L96" s="10">
        <f t="shared" si="7"/>
        <v>0.64850012969682391</v>
      </c>
      <c r="M96" s="10">
        <f t="shared" si="11"/>
        <v>0.6606161110247819</v>
      </c>
      <c r="P96" s="8">
        <f t="shared" si="12"/>
        <v>177.08564289249168</v>
      </c>
      <c r="U96" s="8">
        <v>156.5</v>
      </c>
      <c r="V96" s="10">
        <f t="shared" si="13"/>
        <v>0.26058248208010099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926.27965284473999</v>
      </c>
      <c r="E97">
        <v>628.97589199614004</v>
      </c>
      <c r="F97">
        <v>137.02304368699001</v>
      </c>
      <c r="G97">
        <v>116.63994239078001</v>
      </c>
      <c r="I97" s="9">
        <f t="shared" si="8"/>
        <v>512.33594960536004</v>
      </c>
      <c r="J97" s="9">
        <f t="shared" si="9"/>
        <v>789.25660915774995</v>
      </c>
      <c r="K97" s="9">
        <f t="shared" si="10"/>
        <v>512.33594960536004</v>
      </c>
      <c r="L97" s="10">
        <f t="shared" si="7"/>
        <v>0.64913735743321299</v>
      </c>
      <c r="M97" s="10">
        <f t="shared" si="11"/>
        <v>0.66138223217955361</v>
      </c>
      <c r="P97" s="8">
        <f t="shared" si="12"/>
        <v>177.40698106327011</v>
      </c>
      <c r="U97" s="8">
        <v>157</v>
      </c>
      <c r="V97" s="10">
        <f t="shared" si="13"/>
        <v>0.25983225229327672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908.79220779220998</v>
      </c>
      <c r="E98">
        <v>617.53198653199001</v>
      </c>
      <c r="F98">
        <v>136.85789726356001</v>
      </c>
      <c r="G98">
        <v>116.99711953913</v>
      </c>
      <c r="I98" s="9">
        <f t="shared" si="8"/>
        <v>500.53486699286003</v>
      </c>
      <c r="J98" s="9">
        <f t="shared" si="9"/>
        <v>771.93431052865003</v>
      </c>
      <c r="K98" s="9">
        <f t="shared" si="10"/>
        <v>500.53486699286003</v>
      </c>
      <c r="L98" s="10">
        <f t="shared" si="7"/>
        <v>0.64841640041893545</v>
      </c>
      <c r="M98" s="10">
        <f t="shared" si="11"/>
        <v>0.66079016858365858</v>
      </c>
      <c r="P98" s="8">
        <f t="shared" si="12"/>
        <v>177.15864875746647</v>
      </c>
      <c r="U98" s="8">
        <v>157.5</v>
      </c>
      <c r="V98" s="10">
        <f t="shared" si="13"/>
        <v>0.26068570627412851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919.90091390091004</v>
      </c>
      <c r="E99">
        <v>611.04954304954003</v>
      </c>
      <c r="F99">
        <v>137.15314450311999</v>
      </c>
      <c r="G99">
        <v>116.79932789246</v>
      </c>
      <c r="I99" s="9">
        <f t="shared" si="8"/>
        <v>494.25021515708005</v>
      </c>
      <c r="J99" s="9">
        <f t="shared" si="9"/>
        <v>782.74776939779008</v>
      </c>
      <c r="K99" s="9">
        <f t="shared" si="10"/>
        <v>494.25021515708005</v>
      </c>
      <c r="L99" s="10">
        <f t="shared" si="7"/>
        <v>0.63142973315316286</v>
      </c>
      <c r="M99" s="10">
        <f t="shared" si="11"/>
        <v>0.64393239473626851</v>
      </c>
      <c r="P99" s="8">
        <f t="shared" si="12"/>
        <v>170.08790521021277</v>
      </c>
      <c r="U99" s="8">
        <v>158</v>
      </c>
      <c r="V99" s="10">
        <f t="shared" si="13"/>
        <v>0.26201384583133269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971.79846079846004</v>
      </c>
      <c r="E100">
        <v>631.25012025011995</v>
      </c>
      <c r="F100">
        <v>137.47383581373001</v>
      </c>
      <c r="G100">
        <v>117.03216514642</v>
      </c>
      <c r="I100" s="9">
        <f t="shared" si="8"/>
        <v>514.21795510369998</v>
      </c>
      <c r="J100" s="9">
        <f t="shared" si="9"/>
        <v>834.32462498473001</v>
      </c>
      <c r="K100" s="9">
        <f t="shared" si="10"/>
        <v>514.21795510369998</v>
      </c>
      <c r="L100" s="10">
        <f t="shared" si="7"/>
        <v>0.61632839269620177</v>
      </c>
      <c r="M100" s="10">
        <f t="shared" si="11"/>
        <v>0.62895994769768993</v>
      </c>
      <c r="P100" s="8">
        <f t="shared" si="12"/>
        <v>163.8079340679366</v>
      </c>
      <c r="U100" s="8">
        <v>158.5</v>
      </c>
      <c r="V100" s="10">
        <f t="shared" si="13"/>
        <v>0.26125811363653567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954.22648752399004</v>
      </c>
      <c r="E101">
        <v>606.76583493281998</v>
      </c>
      <c r="F101">
        <v>137.36341814689999</v>
      </c>
      <c r="G101">
        <v>116.74411905905001</v>
      </c>
      <c r="I101" s="9">
        <f t="shared" si="8"/>
        <v>490.02171587376995</v>
      </c>
      <c r="J101" s="9">
        <f t="shared" si="9"/>
        <v>816.86306937709003</v>
      </c>
      <c r="K101" s="9">
        <f t="shared" si="10"/>
        <v>490.02171587376995</v>
      </c>
      <c r="L101" s="10">
        <f t="shared" si="7"/>
        <v>0.59988232329739499</v>
      </c>
      <c r="M101" s="10">
        <f t="shared" si="11"/>
        <v>0.61264277171726567</v>
      </c>
      <c r="P101" s="8">
        <f t="shared" si="12"/>
        <v>156.9639362887844</v>
      </c>
      <c r="U101" s="8">
        <v>159</v>
      </c>
      <c r="V101" s="10">
        <f t="shared" si="13"/>
        <v>0.25998414121915003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977.26055662188003</v>
      </c>
      <c r="E102">
        <v>605.23128598847995</v>
      </c>
      <c r="F102">
        <v>137.28612578012999</v>
      </c>
      <c r="G102">
        <v>116.95151224196</v>
      </c>
      <c r="I102" s="9">
        <f t="shared" si="8"/>
        <v>488.27977374651994</v>
      </c>
      <c r="J102" s="9">
        <f t="shared" si="9"/>
        <v>839.97443084175006</v>
      </c>
      <c r="K102" s="9">
        <f t="shared" si="10"/>
        <v>488.27977374651994</v>
      </c>
      <c r="L102" s="10">
        <f t="shared" si="7"/>
        <v>0.58130313949819634</v>
      </c>
      <c r="M102" s="10">
        <f t="shared" si="11"/>
        <v>0.59419248133644953</v>
      </c>
      <c r="P102" s="8">
        <f t="shared" si="12"/>
        <v>149.22523526953267</v>
      </c>
      <c r="U102" s="8">
        <v>159.5</v>
      </c>
      <c r="V102" s="10">
        <f t="shared" si="13"/>
        <v>0.26194010482487801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987.20847376023005</v>
      </c>
      <c r="E103">
        <v>608.55705344246996</v>
      </c>
      <c r="F103">
        <v>137.37061929909001</v>
      </c>
      <c r="G103">
        <v>117.14786365819</v>
      </c>
      <c r="I103" s="9">
        <f t="shared" si="8"/>
        <v>491.40918978427999</v>
      </c>
      <c r="J103" s="9">
        <f t="shared" si="9"/>
        <v>849.83785446114007</v>
      </c>
      <c r="K103" s="9">
        <f t="shared" si="10"/>
        <v>491.40918978427999</v>
      </c>
      <c r="L103" s="10">
        <f t="shared" si="7"/>
        <v>0.57823876308248201</v>
      </c>
      <c r="M103" s="10">
        <f t="shared" si="11"/>
        <v>0.59125699833911782</v>
      </c>
      <c r="P103" s="8">
        <f t="shared" si="12"/>
        <v>147.99399040592516</v>
      </c>
      <c r="U103" s="8">
        <v>160</v>
      </c>
      <c r="V103" s="10">
        <f t="shared" si="13"/>
        <v>0.26225094422887363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1008.2566201252</v>
      </c>
      <c r="E104">
        <v>600.86133846894995</v>
      </c>
      <c r="F104">
        <v>137.15506481036999</v>
      </c>
      <c r="G104">
        <v>116.72875660106</v>
      </c>
      <c r="I104" s="9">
        <f t="shared" si="8"/>
        <v>484.13258186788994</v>
      </c>
      <c r="J104" s="9">
        <f t="shared" si="9"/>
        <v>871.10155531482997</v>
      </c>
      <c r="K104" s="9">
        <f t="shared" si="10"/>
        <v>484.13258186788994</v>
      </c>
      <c r="L104" s="10">
        <f t="shared" si="7"/>
        <v>0.5557705400869325</v>
      </c>
      <c r="M104" s="10">
        <f t="shared" si="11"/>
        <v>0.56891766876195082</v>
      </c>
      <c r="P104" s="8">
        <f t="shared" si="12"/>
        <v>138.62408949921783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996.60645472062004</v>
      </c>
      <c r="E105">
        <v>583.20712909440999</v>
      </c>
      <c r="F105">
        <v>137.29524723956001</v>
      </c>
      <c r="G105">
        <v>117.09697551607999</v>
      </c>
      <c r="I105" s="9">
        <f t="shared" si="8"/>
        <v>466.11015357833003</v>
      </c>
      <c r="J105" s="9">
        <f t="shared" si="9"/>
        <v>859.31120748106002</v>
      </c>
      <c r="K105" s="9">
        <f t="shared" si="10"/>
        <v>466.11015357833003</v>
      </c>
      <c r="L105" s="10">
        <f t="shared" si="7"/>
        <v>0.5424229889246539</v>
      </c>
      <c r="M105" s="10">
        <f t="shared" si="11"/>
        <v>0.55569901101805474</v>
      </c>
      <c r="P105" s="8">
        <f t="shared" si="12"/>
        <v>133.07971929991785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1005.3535645472</v>
      </c>
      <c r="E106">
        <v>578.18448940270002</v>
      </c>
      <c r="F106">
        <v>137.52136341815</v>
      </c>
      <c r="G106">
        <v>116.86413826211999</v>
      </c>
      <c r="I106" s="9">
        <f t="shared" si="8"/>
        <v>461.32035114058004</v>
      </c>
      <c r="J106" s="9">
        <f t="shared" si="9"/>
        <v>867.83220112904996</v>
      </c>
      <c r="K106" s="9">
        <f t="shared" si="10"/>
        <v>461.32035114058004</v>
      </c>
      <c r="L106" s="10">
        <f t="shared" si="7"/>
        <v>0.53157782177292123</v>
      </c>
      <c r="M106" s="10">
        <f t="shared" si="11"/>
        <v>0.54498273728470459</v>
      </c>
      <c r="P106" s="8">
        <f t="shared" si="12"/>
        <v>128.58493700916947</v>
      </c>
      <c r="X106" s="8">
        <v>-13</v>
      </c>
    </row>
    <row r="107" spans="1:25" x14ac:dyDescent="0.2">
      <c r="A107" s="8">
        <v>52.5</v>
      </c>
      <c r="B107" s="8">
        <v>105</v>
      </c>
      <c r="D107">
        <v>1014.0269749518</v>
      </c>
      <c r="E107">
        <v>568.93256262041996</v>
      </c>
      <c r="F107">
        <v>137.31829092654999</v>
      </c>
      <c r="G107">
        <v>117.33173307729</v>
      </c>
      <c r="I107" s="9">
        <f t="shared" si="8"/>
        <v>451.60082954312998</v>
      </c>
      <c r="J107" s="9">
        <f t="shared" si="9"/>
        <v>876.70868402525002</v>
      </c>
      <c r="K107" s="9">
        <f t="shared" si="10"/>
        <v>451.60082954312998</v>
      </c>
      <c r="L107" s="10">
        <f t="shared" si="7"/>
        <v>0.51510933765328537</v>
      </c>
      <c r="M107" s="10">
        <f t="shared" si="11"/>
        <v>0.52864314658345124</v>
      </c>
      <c r="P107" s="8">
        <f t="shared" si="12"/>
        <v>121.7315377073666</v>
      </c>
      <c r="X107" s="8">
        <v>-13</v>
      </c>
    </row>
    <row r="108" spans="1:25" x14ac:dyDescent="0.2">
      <c r="A108" s="8">
        <v>53</v>
      </c>
      <c r="B108" s="8">
        <v>106</v>
      </c>
      <c r="D108">
        <v>1030.6136801540999</v>
      </c>
      <c r="E108">
        <v>564.42919075145005</v>
      </c>
      <c r="F108">
        <v>137.45415266443001</v>
      </c>
      <c r="G108">
        <v>116.96831493038999</v>
      </c>
      <c r="I108" s="9">
        <f t="shared" si="8"/>
        <v>447.46087582106009</v>
      </c>
      <c r="J108" s="9">
        <f t="shared" si="9"/>
        <v>893.15952748966993</v>
      </c>
      <c r="K108" s="9">
        <f t="shared" si="10"/>
        <v>447.46087582106009</v>
      </c>
      <c r="L108" s="10">
        <f t="shared" si="7"/>
        <v>0.50098651142277084</v>
      </c>
      <c r="M108" s="10">
        <f t="shared" si="11"/>
        <v>0.51464921377131922</v>
      </c>
      <c r="P108" s="8">
        <f t="shared" si="12"/>
        <v>115.86198986387105</v>
      </c>
      <c r="X108" s="8">
        <v>-13</v>
      </c>
    </row>
    <row r="109" spans="1:25" x14ac:dyDescent="0.2">
      <c r="A109" s="8">
        <v>53.5</v>
      </c>
      <c r="B109" s="8">
        <v>107</v>
      </c>
      <c r="D109">
        <v>990.89643545279</v>
      </c>
      <c r="E109">
        <v>540.75048169556999</v>
      </c>
      <c r="F109">
        <v>137.67738838214001</v>
      </c>
      <c r="G109">
        <v>117.36965914546001</v>
      </c>
      <c r="I109" s="9">
        <f t="shared" si="8"/>
        <v>423.38082255011</v>
      </c>
      <c r="J109" s="9">
        <f t="shared" si="9"/>
        <v>853.21904707065005</v>
      </c>
      <c r="K109" s="9">
        <f t="shared" si="10"/>
        <v>423.38082255011</v>
      </c>
      <c r="L109" s="10">
        <f t="shared" si="7"/>
        <v>0.49621585922595129</v>
      </c>
      <c r="M109" s="10">
        <f t="shared" si="11"/>
        <v>0.51000745499288225</v>
      </c>
      <c r="P109" s="8">
        <f t="shared" si="12"/>
        <v>113.91507289679932</v>
      </c>
      <c r="X109" s="8">
        <v>-13</v>
      </c>
    </row>
    <row r="110" spans="1:25" x14ac:dyDescent="0.2">
      <c r="A110" s="8">
        <v>54</v>
      </c>
      <c r="B110" s="8">
        <v>108</v>
      </c>
      <c r="D110">
        <v>930.26589595376004</v>
      </c>
      <c r="E110">
        <v>503.62764932562999</v>
      </c>
      <c r="F110">
        <v>137.55112818051001</v>
      </c>
      <c r="G110">
        <v>117.07345175227999</v>
      </c>
      <c r="I110" s="9">
        <f t="shared" si="8"/>
        <v>386.55419757335</v>
      </c>
      <c r="J110" s="9">
        <f t="shared" si="9"/>
        <v>792.71476777325006</v>
      </c>
      <c r="K110" s="9">
        <f t="shared" si="10"/>
        <v>386.55419757335</v>
      </c>
      <c r="L110" s="10">
        <f t="shared" si="7"/>
        <v>0.48763340016887491</v>
      </c>
      <c r="M110" s="10">
        <f t="shared" si="11"/>
        <v>0.50155388935418843</v>
      </c>
      <c r="P110" s="8">
        <f t="shared" si="12"/>
        <v>110.36935000170105</v>
      </c>
      <c r="X110" s="8">
        <v>-13</v>
      </c>
    </row>
    <row r="111" spans="1:25" x14ac:dyDescent="0.2">
      <c r="A111" s="8">
        <v>54.5</v>
      </c>
      <c r="B111" s="8">
        <v>109</v>
      </c>
      <c r="D111">
        <v>953.11722141822997</v>
      </c>
      <c r="E111">
        <v>500.03473227207002</v>
      </c>
      <c r="F111">
        <v>137.98607777244001</v>
      </c>
      <c r="G111">
        <v>117.21411425828001</v>
      </c>
      <c r="I111" s="9">
        <f t="shared" si="8"/>
        <v>382.82061801379001</v>
      </c>
      <c r="J111" s="9">
        <f t="shared" si="9"/>
        <v>815.13114364578996</v>
      </c>
      <c r="K111" s="9">
        <f t="shared" si="10"/>
        <v>382.82061801379001</v>
      </c>
      <c r="L111" s="10">
        <f t="shared" si="7"/>
        <v>0.46964297830846008</v>
      </c>
      <c r="M111" s="10">
        <f t="shared" si="11"/>
        <v>0.48369236091215612</v>
      </c>
      <c r="P111" s="8">
        <f t="shared" si="12"/>
        <v>102.87759645708094</v>
      </c>
      <c r="X111" s="8">
        <v>-13</v>
      </c>
    </row>
    <row r="112" spans="1:25" x14ac:dyDescent="0.2">
      <c r="A112" s="8">
        <v>55</v>
      </c>
      <c r="B112" s="8">
        <v>110</v>
      </c>
      <c r="D112">
        <v>939.65074770863998</v>
      </c>
      <c r="E112">
        <v>487.33478051134</v>
      </c>
      <c r="F112">
        <v>137.87998079693</v>
      </c>
      <c r="G112">
        <v>117.02400384061001</v>
      </c>
      <c r="I112" s="9">
        <f t="shared" si="8"/>
        <v>370.31077667072998</v>
      </c>
      <c r="J112" s="9">
        <f t="shared" si="9"/>
        <v>801.77076691170998</v>
      </c>
      <c r="K112" s="9">
        <f t="shared" si="10"/>
        <v>370.31077667072998</v>
      </c>
      <c r="L112" s="10">
        <f t="shared" si="7"/>
        <v>0.46186614922006525</v>
      </c>
      <c r="M112" s="10">
        <f t="shared" si="11"/>
        <v>0.4760444252421438</v>
      </c>
      <c r="P112" s="8">
        <f t="shared" si="12"/>
        <v>99.669783119561103</v>
      </c>
      <c r="X112" s="8">
        <v>-13</v>
      </c>
    </row>
    <row r="113" spans="1:24" x14ac:dyDescent="0.2">
      <c r="A113" s="8">
        <v>55.5</v>
      </c>
      <c r="B113" s="8">
        <v>111</v>
      </c>
      <c r="D113">
        <v>969.46419990388995</v>
      </c>
      <c r="E113">
        <v>487.87361845266997</v>
      </c>
      <c r="F113">
        <v>137.67354776764</v>
      </c>
      <c r="G113">
        <v>117.07633221315</v>
      </c>
      <c r="I113" s="9">
        <f t="shared" si="8"/>
        <v>370.79728623951996</v>
      </c>
      <c r="J113" s="9">
        <f t="shared" si="9"/>
        <v>831.79065213624995</v>
      </c>
      <c r="K113" s="9">
        <f t="shared" si="10"/>
        <v>370.79728623951996</v>
      </c>
      <c r="L113" s="10">
        <f t="shared" si="7"/>
        <v>0.44578198286698489</v>
      </c>
      <c r="M113" s="10">
        <f t="shared" si="11"/>
        <v>0.46008915230744596</v>
      </c>
      <c r="P113" s="8">
        <f t="shared" si="12"/>
        <v>92.977580212523506</v>
      </c>
      <c r="X113" s="8">
        <v>-13</v>
      </c>
    </row>
    <row r="114" spans="1:24" x14ac:dyDescent="0.2">
      <c r="A114" s="8">
        <v>56</v>
      </c>
      <c r="B114" s="8">
        <v>112</v>
      </c>
      <c r="D114">
        <v>921.12686208553998</v>
      </c>
      <c r="E114">
        <v>464.19798173955002</v>
      </c>
      <c r="F114">
        <v>137.53480556888999</v>
      </c>
      <c r="G114">
        <v>117.44023043687</v>
      </c>
      <c r="I114" s="9">
        <f t="shared" si="8"/>
        <v>346.75775130268005</v>
      </c>
      <c r="J114" s="9">
        <f t="shared" si="9"/>
        <v>783.59205651665002</v>
      </c>
      <c r="K114" s="9">
        <f t="shared" si="10"/>
        <v>346.75775130268005</v>
      </c>
      <c r="L114" s="10">
        <f t="shared" si="7"/>
        <v>0.4425233109740081</v>
      </c>
      <c r="M114" s="10">
        <f t="shared" si="11"/>
        <v>0.45695937383285173</v>
      </c>
      <c r="P114" s="8">
        <f t="shared" si="12"/>
        <v>91.664840988833134</v>
      </c>
      <c r="X114" s="8">
        <v>-13</v>
      </c>
    </row>
    <row r="115" spans="1:24" x14ac:dyDescent="0.2">
      <c r="A115" s="8">
        <v>56.5</v>
      </c>
      <c r="B115" s="8">
        <v>113</v>
      </c>
      <c r="D115">
        <v>922.34550696780002</v>
      </c>
      <c r="E115">
        <v>452.30466122056998</v>
      </c>
      <c r="F115">
        <v>138.09169467115001</v>
      </c>
      <c r="G115">
        <v>117.21795487278</v>
      </c>
      <c r="I115" s="9">
        <f t="shared" si="8"/>
        <v>335.08670634778997</v>
      </c>
      <c r="J115" s="9">
        <f t="shared" si="9"/>
        <v>784.25381229665004</v>
      </c>
      <c r="K115" s="9">
        <f t="shared" si="10"/>
        <v>335.08670634778997</v>
      </c>
      <c r="L115" s="10">
        <f t="shared" si="7"/>
        <v>0.42726818932062882</v>
      </c>
      <c r="M115" s="10">
        <f t="shared" si="11"/>
        <v>0.44183314559785497</v>
      </c>
      <c r="P115" s="8">
        <f t="shared" si="12"/>
        <v>85.320368601487118</v>
      </c>
      <c r="X115" s="8">
        <v>-13</v>
      </c>
    </row>
    <row r="116" spans="1:24" x14ac:dyDescent="0.2">
      <c r="A116" s="8">
        <v>57</v>
      </c>
      <c r="B116" s="8">
        <v>114</v>
      </c>
      <c r="D116">
        <v>938.93032196060005</v>
      </c>
      <c r="E116">
        <v>453.67707832772999</v>
      </c>
      <c r="F116">
        <v>137.51128180508999</v>
      </c>
      <c r="G116">
        <v>117.08353336534</v>
      </c>
      <c r="I116" s="9">
        <f t="shared" si="8"/>
        <v>336.59354496238996</v>
      </c>
      <c r="J116" s="9">
        <f t="shared" si="9"/>
        <v>801.41904015551006</v>
      </c>
      <c r="K116" s="9">
        <f t="shared" si="10"/>
        <v>336.59354496238996</v>
      </c>
      <c r="L116" s="10">
        <f t="shared" si="7"/>
        <v>0.41999694054820086</v>
      </c>
      <c r="M116" s="10">
        <f t="shared" si="11"/>
        <v>0.43469079024380952</v>
      </c>
      <c r="P116" s="8">
        <f t="shared" si="12"/>
        <v>82.324613438973273</v>
      </c>
      <c r="X116" s="8">
        <v>-13</v>
      </c>
    </row>
    <row r="117" spans="1:24" x14ac:dyDescent="0.2">
      <c r="A117" s="8">
        <v>57.5</v>
      </c>
      <c r="B117" s="8">
        <v>115</v>
      </c>
      <c r="D117">
        <v>911.36665064873</v>
      </c>
      <c r="E117">
        <v>436.76790004805002</v>
      </c>
      <c r="F117">
        <v>138.33413346135001</v>
      </c>
      <c r="G117">
        <v>117.48439750359999</v>
      </c>
      <c r="I117" s="9">
        <f t="shared" si="8"/>
        <v>319.28350254445002</v>
      </c>
      <c r="J117" s="9">
        <f t="shared" si="9"/>
        <v>773.03251718737999</v>
      </c>
      <c r="K117" s="9">
        <f t="shared" si="10"/>
        <v>319.28350254445002</v>
      </c>
      <c r="L117" s="10">
        <f t="shared" si="7"/>
        <v>0.41302726010302743</v>
      </c>
      <c r="M117" s="10">
        <f t="shared" si="11"/>
        <v>0.42785000321701866</v>
      </c>
      <c r="P117" s="8">
        <f t="shared" si="12"/>
        <v>79.455346644573439</v>
      </c>
      <c r="X117" s="8">
        <v>-13</v>
      </c>
    </row>
    <row r="118" spans="1:24" x14ac:dyDescent="0.2">
      <c r="A118" s="8">
        <v>58</v>
      </c>
      <c r="B118" s="8">
        <v>116</v>
      </c>
      <c r="D118">
        <v>959.84142239308005</v>
      </c>
      <c r="E118">
        <v>445.60932244113002</v>
      </c>
      <c r="F118">
        <v>137.86173787806001</v>
      </c>
      <c r="G118">
        <v>117.22899663945999</v>
      </c>
      <c r="I118" s="9">
        <f t="shared" si="8"/>
        <v>328.38032580167004</v>
      </c>
      <c r="J118" s="9">
        <f t="shared" si="9"/>
        <v>821.97968451502004</v>
      </c>
      <c r="K118" s="9">
        <f t="shared" si="10"/>
        <v>328.38032580167004</v>
      </c>
      <c r="L118" s="10">
        <f t="shared" si="7"/>
        <v>0.3994993209539226</v>
      </c>
      <c r="M118" s="10">
        <f t="shared" si="11"/>
        <v>0.41445095748629635</v>
      </c>
      <c r="P118" s="8">
        <f t="shared" si="12"/>
        <v>73.835315376059896</v>
      </c>
      <c r="X118" s="8">
        <v>-13</v>
      </c>
    </row>
    <row r="119" spans="1:24" x14ac:dyDescent="0.2">
      <c r="A119" s="8">
        <v>58.5</v>
      </c>
      <c r="B119" s="8">
        <v>117</v>
      </c>
      <c r="D119">
        <v>949.21047573281999</v>
      </c>
      <c r="E119">
        <v>437.99279192696002</v>
      </c>
      <c r="F119">
        <v>137.62938070090999</v>
      </c>
      <c r="G119">
        <v>117.47863658185</v>
      </c>
      <c r="I119" s="9">
        <f t="shared" si="8"/>
        <v>320.51415534511</v>
      </c>
      <c r="J119" s="9">
        <f t="shared" si="9"/>
        <v>811.58109503190997</v>
      </c>
      <c r="K119" s="9">
        <f t="shared" si="10"/>
        <v>320.51415534511</v>
      </c>
      <c r="L119" s="10">
        <f t="shared" si="7"/>
        <v>0.39492560547200517</v>
      </c>
      <c r="M119" s="10">
        <f t="shared" si="11"/>
        <v>0.41000613542276143</v>
      </c>
      <c r="P119" s="8">
        <f t="shared" si="12"/>
        <v>71.971000597077605</v>
      </c>
      <c r="X119" s="8">
        <v>-13</v>
      </c>
    </row>
    <row r="120" spans="1:24" x14ac:dyDescent="0.2">
      <c r="A120" s="8">
        <v>59</v>
      </c>
      <c r="B120" s="8">
        <v>118</v>
      </c>
      <c r="D120">
        <v>920.52330610284002</v>
      </c>
      <c r="E120">
        <v>427.48101874099001</v>
      </c>
      <c r="F120">
        <v>138.00480076811999</v>
      </c>
      <c r="G120">
        <v>117.32021123379999</v>
      </c>
      <c r="I120" s="9">
        <f t="shared" si="8"/>
        <v>310.16080750719004</v>
      </c>
      <c r="J120" s="9">
        <f t="shared" si="9"/>
        <v>782.51850533471998</v>
      </c>
      <c r="K120" s="9">
        <f t="shared" si="10"/>
        <v>310.16080750719004</v>
      </c>
      <c r="L120" s="10">
        <f t="shared" si="7"/>
        <v>0.39636226541955027</v>
      </c>
      <c r="M120" s="10">
        <f t="shared" si="11"/>
        <v>0.41157168878868911</v>
      </c>
      <c r="P120" s="8">
        <f t="shared" si="12"/>
        <v>72.627648767839986</v>
      </c>
      <c r="X120" s="8">
        <v>-13</v>
      </c>
    </row>
    <row r="121" spans="1:24" x14ac:dyDescent="0.2">
      <c r="A121" s="8">
        <v>59.5</v>
      </c>
      <c r="B121" s="8">
        <v>119</v>
      </c>
      <c r="D121">
        <v>921.96444017298995</v>
      </c>
      <c r="E121">
        <v>423.74819798174002</v>
      </c>
      <c r="F121">
        <v>137.59961593854999</v>
      </c>
      <c r="G121">
        <v>117.41622659626</v>
      </c>
      <c r="I121" s="9">
        <f t="shared" si="8"/>
        <v>306.33197138548002</v>
      </c>
      <c r="J121" s="9">
        <f t="shared" si="9"/>
        <v>784.36482423443999</v>
      </c>
      <c r="K121" s="9">
        <f t="shared" si="10"/>
        <v>306.33197138548002</v>
      </c>
      <c r="L121" s="10">
        <f t="shared" si="7"/>
        <v>0.39054781897501306</v>
      </c>
      <c r="M121" s="10">
        <f t="shared" si="11"/>
        <v>0.40588613576253441</v>
      </c>
      <c r="P121" s="8">
        <f t="shared" si="12"/>
        <v>70.242927763976468</v>
      </c>
      <c r="X121" s="8">
        <v>-13</v>
      </c>
    </row>
    <row r="122" spans="1:24" x14ac:dyDescent="0.2">
      <c r="A122" s="8">
        <v>60</v>
      </c>
      <c r="B122" s="8">
        <v>120</v>
      </c>
      <c r="D122">
        <v>1024.2080730417999</v>
      </c>
      <c r="E122">
        <v>450.77558865930001</v>
      </c>
      <c r="F122">
        <v>137.79164666347</v>
      </c>
      <c r="G122">
        <v>117.21747479597001</v>
      </c>
      <c r="I122" s="9">
        <f t="shared" si="8"/>
        <v>333.55811386332999</v>
      </c>
      <c r="J122" s="9">
        <f t="shared" si="9"/>
        <v>886.4164263783299</v>
      </c>
      <c r="K122" s="9">
        <f t="shared" si="10"/>
        <v>333.55811386332999</v>
      </c>
      <c r="L122" s="10">
        <f t="shared" si="7"/>
        <v>0.37629956297872647</v>
      </c>
      <c r="M122" s="10">
        <f t="shared" si="11"/>
        <v>0.39176677318463032</v>
      </c>
      <c r="P122" s="8">
        <f t="shared" si="12"/>
        <v>64.320770263061405</v>
      </c>
      <c r="X122" s="8">
        <v>-13</v>
      </c>
    </row>
    <row r="123" spans="1:24" x14ac:dyDescent="0.2">
      <c r="A123" s="8">
        <v>60.5</v>
      </c>
      <c r="B123" s="8">
        <v>121</v>
      </c>
      <c r="D123">
        <v>1060.5918958032</v>
      </c>
      <c r="E123">
        <v>459.20501688373997</v>
      </c>
      <c r="F123">
        <v>138.53000480077</v>
      </c>
      <c r="G123">
        <v>117.49975996159</v>
      </c>
      <c r="I123" s="9">
        <f t="shared" si="8"/>
        <v>341.70525692214994</v>
      </c>
      <c r="J123" s="9">
        <f t="shared" si="9"/>
        <v>922.06189100243</v>
      </c>
      <c r="K123" s="9">
        <f t="shared" si="10"/>
        <v>341.70525692214994</v>
      </c>
      <c r="L123" s="10">
        <f t="shared" si="7"/>
        <v>0.37058820048474317</v>
      </c>
      <c r="M123" s="10">
        <f t="shared" si="11"/>
        <v>0.3861843041090296</v>
      </c>
      <c r="P123" s="8">
        <f t="shared" si="12"/>
        <v>61.979286295404656</v>
      </c>
      <c r="X123" s="8">
        <v>-13</v>
      </c>
    </row>
    <row r="124" spans="1:24" x14ac:dyDescent="0.2">
      <c r="A124" s="8">
        <v>61</v>
      </c>
      <c r="B124" s="8">
        <v>122</v>
      </c>
      <c r="D124">
        <v>1117.3506994694001</v>
      </c>
      <c r="E124">
        <v>471.70236372406998</v>
      </c>
      <c r="F124">
        <v>137.59433509362</v>
      </c>
      <c r="G124">
        <v>117.47911665866999</v>
      </c>
      <c r="I124" s="9">
        <f t="shared" si="8"/>
        <v>354.22324706539996</v>
      </c>
      <c r="J124" s="9">
        <f t="shared" si="9"/>
        <v>979.75636437578009</v>
      </c>
      <c r="K124" s="9">
        <f t="shared" si="10"/>
        <v>354.22324706539996</v>
      </c>
      <c r="L124" s="10">
        <f t="shared" si="7"/>
        <v>0.36154217512134434</v>
      </c>
      <c r="M124" s="10">
        <f t="shared" si="11"/>
        <v>0.37726717216401329</v>
      </c>
      <c r="P124" s="8">
        <f t="shared" si="12"/>
        <v>58.239127379344971</v>
      </c>
      <c r="X124" s="8">
        <v>-13</v>
      </c>
    </row>
    <row r="125" spans="1:24" x14ac:dyDescent="0.2">
      <c r="A125" s="8">
        <v>61.5</v>
      </c>
      <c r="B125" s="8">
        <v>123</v>
      </c>
      <c r="D125">
        <v>1126.6811384467001</v>
      </c>
      <c r="E125">
        <v>472.14182344428002</v>
      </c>
      <c r="F125">
        <v>138.04320691311</v>
      </c>
      <c r="G125">
        <v>117.46951512242001</v>
      </c>
      <c r="I125" s="9">
        <f t="shared" si="8"/>
        <v>354.67230832185999</v>
      </c>
      <c r="J125" s="9">
        <f t="shared" si="9"/>
        <v>988.63793153359006</v>
      </c>
      <c r="K125" s="9">
        <f t="shared" si="10"/>
        <v>354.67230832185999</v>
      </c>
      <c r="L125" s="10">
        <f t="shared" si="7"/>
        <v>0.35874843257499434</v>
      </c>
      <c r="M125" s="10">
        <f t="shared" si="11"/>
        <v>0.37460232303604579</v>
      </c>
      <c r="P125" s="8">
        <f t="shared" si="12"/>
        <v>57.121395883682624</v>
      </c>
      <c r="X125" s="8">
        <v>-13</v>
      </c>
    </row>
    <row r="126" spans="1:24" x14ac:dyDescent="0.2">
      <c r="A126" s="8">
        <v>62</v>
      </c>
      <c r="B126" s="8">
        <v>124</v>
      </c>
      <c r="D126">
        <v>1074.8962855765001</v>
      </c>
      <c r="E126">
        <v>449.96237337193003</v>
      </c>
      <c r="F126">
        <v>138.42822851656001</v>
      </c>
      <c r="G126">
        <v>117.57561209794</v>
      </c>
      <c r="I126" s="9">
        <f t="shared" si="8"/>
        <v>332.38676127399003</v>
      </c>
      <c r="J126" s="9">
        <f t="shared" si="9"/>
        <v>936.46805705994007</v>
      </c>
      <c r="K126" s="9">
        <f t="shared" si="10"/>
        <v>332.38676127399003</v>
      </c>
      <c r="L126" s="10">
        <f t="shared" si="7"/>
        <v>0.35493657126707007</v>
      </c>
      <c r="M126" s="10">
        <f t="shared" si="11"/>
        <v>0.37091935514650409</v>
      </c>
      <c r="P126" s="8">
        <f t="shared" si="12"/>
        <v>55.576629553592646</v>
      </c>
      <c r="X126" s="8">
        <v>-13</v>
      </c>
    </row>
    <row r="127" spans="1:24" x14ac:dyDescent="0.2">
      <c r="A127" s="8">
        <v>62.5</v>
      </c>
      <c r="B127" s="8">
        <v>125</v>
      </c>
      <c r="D127">
        <v>1065.0356970574001</v>
      </c>
      <c r="E127">
        <v>441.30101302460002</v>
      </c>
      <c r="F127">
        <v>138.35669707152999</v>
      </c>
      <c r="G127">
        <v>117.10369659145999</v>
      </c>
      <c r="I127" s="9">
        <f t="shared" si="8"/>
        <v>324.19731643314003</v>
      </c>
      <c r="J127" s="9">
        <f t="shared" si="9"/>
        <v>926.67899998587006</v>
      </c>
      <c r="K127" s="9">
        <f t="shared" si="10"/>
        <v>324.19731643314003</v>
      </c>
      <c r="L127" s="10">
        <f t="shared" si="7"/>
        <v>0.34984856291993599</v>
      </c>
      <c r="M127" s="10">
        <f t="shared" si="11"/>
        <v>0.36596024021775253</v>
      </c>
      <c r="P127" s="8">
        <f t="shared" si="12"/>
        <v>53.496602249869611</v>
      </c>
      <c r="X127" s="8">
        <v>-13</v>
      </c>
    </row>
    <row r="128" spans="1:24" x14ac:dyDescent="0.2">
      <c r="A128" s="8">
        <v>63</v>
      </c>
      <c r="B128" s="8">
        <v>126</v>
      </c>
      <c r="D128">
        <v>1084.2301013025001</v>
      </c>
      <c r="E128">
        <v>440.56777616980003</v>
      </c>
      <c r="F128">
        <v>138.23619779165</v>
      </c>
      <c r="G128">
        <v>117.64330292847001</v>
      </c>
      <c r="I128" s="9">
        <f t="shared" si="8"/>
        <v>322.92447324133002</v>
      </c>
      <c r="J128" s="9">
        <f t="shared" si="9"/>
        <v>945.99390351085003</v>
      </c>
      <c r="K128" s="9">
        <f t="shared" si="10"/>
        <v>322.92447324133002</v>
      </c>
      <c r="L128" s="10">
        <f t="shared" si="7"/>
        <v>0.34135999401567629</v>
      </c>
      <c r="M128" s="10">
        <f t="shared" si="11"/>
        <v>0.35760056473187535</v>
      </c>
      <c r="P128" s="8">
        <f t="shared" si="12"/>
        <v>49.990260188693341</v>
      </c>
      <c r="X128" s="8">
        <v>-13</v>
      </c>
    </row>
    <row r="129" spans="1:24" x14ac:dyDescent="0.2">
      <c r="A129" s="8">
        <v>63.5</v>
      </c>
      <c r="B129" s="8">
        <v>127</v>
      </c>
      <c r="D129">
        <v>1070.0413461538999</v>
      </c>
      <c r="E129">
        <v>429.83221153846</v>
      </c>
      <c r="F129">
        <v>137.92222755641001</v>
      </c>
      <c r="G129">
        <v>117.39990398464001</v>
      </c>
      <c r="I129" s="9">
        <f t="shared" si="8"/>
        <v>312.43230755382001</v>
      </c>
      <c r="J129" s="9">
        <f t="shared" si="9"/>
        <v>932.11911859748989</v>
      </c>
      <c r="K129" s="9">
        <f t="shared" si="10"/>
        <v>312.43230755382001</v>
      </c>
      <c r="L129" s="10">
        <f t="shared" si="7"/>
        <v>0.33518495793104247</v>
      </c>
      <c r="M129" s="10">
        <f t="shared" si="11"/>
        <v>0.35155442206562409</v>
      </c>
      <c r="P129" s="8">
        <f t="shared" si="12"/>
        <v>47.454295201252847</v>
      </c>
      <c r="X129" s="8">
        <v>-13</v>
      </c>
    </row>
    <row r="130" spans="1:24" x14ac:dyDescent="0.2">
      <c r="A130" s="8">
        <v>64</v>
      </c>
      <c r="B130" s="8">
        <v>128</v>
      </c>
      <c r="D130">
        <v>1104.1995192308</v>
      </c>
      <c r="E130">
        <v>434.25865384615003</v>
      </c>
      <c r="F130">
        <v>138.12866058569</v>
      </c>
      <c r="G130">
        <v>117.37157945270999</v>
      </c>
      <c r="I130" s="9">
        <f t="shared" si="8"/>
        <v>316.88707439344</v>
      </c>
      <c r="J130" s="9">
        <f t="shared" si="9"/>
        <v>966.07085864510998</v>
      </c>
      <c r="K130" s="9">
        <f t="shared" si="10"/>
        <v>316.88707439344</v>
      </c>
      <c r="L130" s="10">
        <f t="shared" ref="L130:L193" si="14">K130/J130</f>
        <v>0.32801638881630912</v>
      </c>
      <c r="M130" s="10">
        <f t="shared" si="11"/>
        <v>0.34451474636927326</v>
      </c>
      <c r="P130" s="8">
        <f t="shared" si="12"/>
        <v>44.50160750029417</v>
      </c>
      <c r="X130" s="8">
        <v>-13</v>
      </c>
    </row>
    <row r="131" spans="1:24" x14ac:dyDescent="0.2">
      <c r="A131" s="8">
        <v>64.5</v>
      </c>
      <c r="B131" s="8">
        <v>129</v>
      </c>
      <c r="D131">
        <v>1090.9649038462001</v>
      </c>
      <c r="E131">
        <v>426.78413461538997</v>
      </c>
      <c r="F131">
        <v>138.19299087854</v>
      </c>
      <c r="G131">
        <v>117.55880940951</v>
      </c>
      <c r="I131" s="9">
        <f t="shared" ref="I131:I194" si="15">E131-G131</f>
        <v>309.22532520587998</v>
      </c>
      <c r="J131" s="9">
        <f t="shared" ref="J131:J194" si="16">D131-F131</f>
        <v>952.77191296766</v>
      </c>
      <c r="K131" s="9">
        <f t="shared" ref="K131:K194" si="17">I131*1</f>
        <v>309.22532520587998</v>
      </c>
      <c r="L131" s="10">
        <f t="shared" si="14"/>
        <v>0.32455335951572706</v>
      </c>
      <c r="M131" s="10">
        <f t="shared" ref="M131:M181" si="18">L131+ABS($N$2)*A131</f>
        <v>0.34118061048707371</v>
      </c>
      <c r="P131" s="8">
        <f t="shared" ref="P131:P194" si="19">(M131-$O$2)/$O$2*100</f>
        <v>43.103153588873397</v>
      </c>
      <c r="X131" s="8">
        <v>-13</v>
      </c>
    </row>
    <row r="132" spans="1:24" x14ac:dyDescent="0.2">
      <c r="A132" s="8">
        <v>65</v>
      </c>
      <c r="B132" s="8">
        <v>130</v>
      </c>
      <c r="D132">
        <v>1085.7918269231</v>
      </c>
      <c r="E132">
        <v>420.20528846154002</v>
      </c>
      <c r="F132">
        <v>138.39990398463999</v>
      </c>
      <c r="G132">
        <v>117.69707153145001</v>
      </c>
      <c r="I132" s="9">
        <f t="shared" si="15"/>
        <v>302.50821693009004</v>
      </c>
      <c r="J132" s="9">
        <f t="shared" si="16"/>
        <v>947.39192293845997</v>
      </c>
      <c r="K132" s="9">
        <f t="shared" si="17"/>
        <v>302.50821693009004</v>
      </c>
      <c r="L132" s="10">
        <f t="shared" si="14"/>
        <v>0.31930630777579488</v>
      </c>
      <c r="M132" s="10">
        <f t="shared" si="18"/>
        <v>0.33606245216552411</v>
      </c>
      <c r="P132" s="8">
        <f t="shared" si="19"/>
        <v>40.956417889751265</v>
      </c>
      <c r="X132" s="8">
        <v>-13</v>
      </c>
    </row>
    <row r="133" spans="1:24" x14ac:dyDescent="0.2">
      <c r="A133" s="8">
        <v>65.5</v>
      </c>
      <c r="B133" s="8">
        <v>131</v>
      </c>
      <c r="D133">
        <v>1094.5326923077</v>
      </c>
      <c r="E133">
        <v>420.91826923077002</v>
      </c>
      <c r="F133">
        <v>138.62073931828999</v>
      </c>
      <c r="G133">
        <v>117.39990398464001</v>
      </c>
      <c r="I133" s="9">
        <f t="shared" si="15"/>
        <v>303.51836524613003</v>
      </c>
      <c r="J133" s="9">
        <f t="shared" si="16"/>
        <v>955.91195298941</v>
      </c>
      <c r="K133" s="9">
        <f t="shared" si="17"/>
        <v>303.51836524613003</v>
      </c>
      <c r="L133" s="10">
        <f t="shared" si="14"/>
        <v>0.31751707288201736</v>
      </c>
      <c r="M133" s="10">
        <f t="shared" si="18"/>
        <v>0.3344021106901291</v>
      </c>
      <c r="P133" s="8">
        <f t="shared" si="19"/>
        <v>40.260012250450053</v>
      </c>
      <c r="X133" s="8">
        <v>-13</v>
      </c>
    </row>
    <row r="134" spans="1:24" x14ac:dyDescent="0.2">
      <c r="A134" s="8">
        <v>66</v>
      </c>
      <c r="B134" s="8">
        <v>132</v>
      </c>
      <c r="D134">
        <v>1063.6884615385</v>
      </c>
      <c r="E134">
        <v>407.80961538461997</v>
      </c>
      <c r="F134">
        <v>138.48199711954001</v>
      </c>
      <c r="G134">
        <v>117.35093614978</v>
      </c>
      <c r="I134" s="9">
        <f t="shared" si="15"/>
        <v>290.45867923483996</v>
      </c>
      <c r="J134" s="9">
        <f t="shared" si="16"/>
        <v>925.20646441895997</v>
      </c>
      <c r="K134" s="9">
        <f t="shared" si="17"/>
        <v>290.45867923483996</v>
      </c>
      <c r="L134" s="10">
        <f t="shared" si="14"/>
        <v>0.31393931020277865</v>
      </c>
      <c r="M134" s="10">
        <f t="shared" si="18"/>
        <v>0.3309532414292729</v>
      </c>
      <c r="P134" s="8">
        <f t="shared" si="19"/>
        <v>38.813435122753212</v>
      </c>
      <c r="X134" s="8">
        <v>-13</v>
      </c>
    </row>
    <row r="135" spans="1:24" x14ac:dyDescent="0.2">
      <c r="A135" s="8">
        <v>66.5</v>
      </c>
      <c r="B135" s="8">
        <v>133</v>
      </c>
      <c r="D135">
        <v>1051.0706730769</v>
      </c>
      <c r="E135">
        <v>403.64471153846</v>
      </c>
      <c r="F135">
        <v>138.46807489198</v>
      </c>
      <c r="G135">
        <v>117.49975996159</v>
      </c>
      <c r="I135" s="9">
        <f t="shared" si="15"/>
        <v>286.14495157686997</v>
      </c>
      <c r="J135" s="9">
        <f t="shared" si="16"/>
        <v>912.60259818492</v>
      </c>
      <c r="K135" s="9">
        <f t="shared" si="17"/>
        <v>286.14495157686997</v>
      </c>
      <c r="L135" s="10">
        <f t="shared" si="14"/>
        <v>0.31354825435078221</v>
      </c>
      <c r="M135" s="10">
        <f t="shared" si="18"/>
        <v>0.33069107899565903</v>
      </c>
      <c r="P135" s="8">
        <f t="shared" si="19"/>
        <v>38.703474973056771</v>
      </c>
      <c r="X135" s="8">
        <v>-13</v>
      </c>
    </row>
    <row r="136" spans="1:24" x14ac:dyDescent="0.2">
      <c r="A136" s="8">
        <v>67</v>
      </c>
      <c r="B136" s="8">
        <v>134</v>
      </c>
      <c r="D136">
        <v>1079.4995192307999</v>
      </c>
      <c r="E136">
        <v>407.65576923076998</v>
      </c>
      <c r="F136">
        <v>138.49063850216001</v>
      </c>
      <c r="G136">
        <v>117.55208833413</v>
      </c>
      <c r="I136" s="9">
        <f t="shared" si="15"/>
        <v>290.10368089663996</v>
      </c>
      <c r="J136" s="9">
        <f t="shared" si="16"/>
        <v>941.00888072863995</v>
      </c>
      <c r="K136" s="9">
        <f t="shared" si="17"/>
        <v>290.10368089663996</v>
      </c>
      <c r="L136" s="10">
        <f t="shared" si="14"/>
        <v>0.3082900563828978</v>
      </c>
      <c r="M136" s="10">
        <f t="shared" si="18"/>
        <v>0.32556177444615714</v>
      </c>
      <c r="P136" s="8">
        <f t="shared" si="19"/>
        <v>36.552064153715136</v>
      </c>
      <c r="X136" s="8">
        <v>-13</v>
      </c>
    </row>
    <row r="137" spans="1:24" x14ac:dyDescent="0.2">
      <c r="A137" s="8">
        <v>67.5</v>
      </c>
      <c r="B137" s="8">
        <v>135</v>
      </c>
      <c r="D137">
        <v>1049.0322115385</v>
      </c>
      <c r="E137">
        <v>392.91874999999999</v>
      </c>
      <c r="F137">
        <v>138.28612578012999</v>
      </c>
      <c r="G137">
        <v>117.43446951512</v>
      </c>
      <c r="I137" s="9">
        <f t="shared" si="15"/>
        <v>275.48428048488</v>
      </c>
      <c r="J137" s="9">
        <f t="shared" si="16"/>
        <v>910.74608575836999</v>
      </c>
      <c r="K137" s="9">
        <f t="shared" si="17"/>
        <v>275.48428048488</v>
      </c>
      <c r="L137" s="10">
        <f t="shared" si="14"/>
        <v>0.30248198130380843</v>
      </c>
      <c r="M137" s="10">
        <f t="shared" si="18"/>
        <v>0.31988259278545028</v>
      </c>
      <c r="P137" s="8">
        <f t="shared" si="19"/>
        <v>34.170015524717684</v>
      </c>
      <c r="X137" s="8">
        <v>-13</v>
      </c>
    </row>
    <row r="138" spans="1:24" x14ac:dyDescent="0.2">
      <c r="A138" s="8">
        <v>68</v>
      </c>
      <c r="B138" s="8">
        <v>136</v>
      </c>
      <c r="D138">
        <v>1044.3</v>
      </c>
      <c r="E138">
        <v>387.41923076923001</v>
      </c>
      <c r="F138">
        <v>138.40326452232</v>
      </c>
      <c r="G138">
        <v>117.73163706193</v>
      </c>
      <c r="I138" s="9">
        <f t="shared" si="15"/>
        <v>269.68759370730004</v>
      </c>
      <c r="J138" s="9">
        <f t="shared" si="16"/>
        <v>905.89673547767995</v>
      </c>
      <c r="K138" s="9">
        <f t="shared" si="17"/>
        <v>269.68759370730004</v>
      </c>
      <c r="L138" s="10">
        <f t="shared" si="14"/>
        <v>0.29770235739407275</v>
      </c>
      <c r="M138" s="10">
        <f t="shared" si="18"/>
        <v>0.31523186229409716</v>
      </c>
      <c r="P138" s="8">
        <f t="shared" si="19"/>
        <v>32.219335505550021</v>
      </c>
      <c r="X138" s="8">
        <v>-13</v>
      </c>
    </row>
    <row r="139" spans="1:24" x14ac:dyDescent="0.2">
      <c r="A139" s="8">
        <v>68.5</v>
      </c>
      <c r="B139" s="8">
        <v>137</v>
      </c>
      <c r="D139">
        <v>1048.9331730768999</v>
      </c>
      <c r="E139">
        <v>386.63894230769</v>
      </c>
      <c r="F139">
        <v>138.61305808929001</v>
      </c>
      <c r="G139">
        <v>117.81709073451999</v>
      </c>
      <c r="I139" s="9">
        <f t="shared" si="15"/>
        <v>268.82185157317002</v>
      </c>
      <c r="J139" s="9">
        <f t="shared" si="16"/>
        <v>910.32011498760994</v>
      </c>
      <c r="K139" s="9">
        <f t="shared" si="17"/>
        <v>268.82185157317002</v>
      </c>
      <c r="L139" s="10">
        <f t="shared" si="14"/>
        <v>0.29530474736003043</v>
      </c>
      <c r="M139" s="10">
        <f t="shared" si="18"/>
        <v>0.31296314567843736</v>
      </c>
      <c r="P139" s="8">
        <f t="shared" si="19"/>
        <v>31.267755924761691</v>
      </c>
      <c r="X139" s="8">
        <v>-13</v>
      </c>
    </row>
    <row r="140" spans="1:24" x14ac:dyDescent="0.2">
      <c r="A140" s="8">
        <v>69</v>
      </c>
      <c r="B140" s="8">
        <v>138</v>
      </c>
      <c r="D140">
        <v>1057.5533653846001</v>
      </c>
      <c r="E140">
        <v>383.51682692307998</v>
      </c>
      <c r="F140">
        <v>138.60345655304999</v>
      </c>
      <c r="G140">
        <v>117.66154584733999</v>
      </c>
      <c r="I140" s="9">
        <f t="shared" si="15"/>
        <v>265.85528107573998</v>
      </c>
      <c r="J140" s="9">
        <f t="shared" si="16"/>
        <v>918.94990883155003</v>
      </c>
      <c r="K140" s="9">
        <f t="shared" si="17"/>
        <v>265.85528107573998</v>
      </c>
      <c r="L140" s="10">
        <f t="shared" si="14"/>
        <v>0.28930334343661501</v>
      </c>
      <c r="M140" s="10">
        <f t="shared" si="18"/>
        <v>0.30709063517340446</v>
      </c>
      <c r="P140" s="8">
        <f t="shared" si="19"/>
        <v>28.804618375549072</v>
      </c>
      <c r="X140" s="8">
        <v>-13</v>
      </c>
    </row>
    <row r="141" spans="1:24" x14ac:dyDescent="0.2">
      <c r="A141" s="8">
        <v>69.5</v>
      </c>
      <c r="B141" s="8">
        <v>139</v>
      </c>
      <c r="D141">
        <v>1001.1043269231</v>
      </c>
      <c r="E141">
        <v>369.93124999999998</v>
      </c>
      <c r="F141">
        <v>138.69179068650999</v>
      </c>
      <c r="G141">
        <v>118.00624099856</v>
      </c>
      <c r="I141" s="9">
        <f t="shared" si="15"/>
        <v>251.92500900143997</v>
      </c>
      <c r="J141" s="9">
        <f t="shared" si="16"/>
        <v>862.41253623658997</v>
      </c>
      <c r="K141" s="9">
        <f t="shared" si="17"/>
        <v>251.92500900143997</v>
      </c>
      <c r="L141" s="10">
        <f t="shared" si="14"/>
        <v>0.29211658970171572</v>
      </c>
      <c r="M141" s="10">
        <f t="shared" si="18"/>
        <v>0.31003277485688774</v>
      </c>
      <c r="P141" s="8">
        <f t="shared" si="19"/>
        <v>30.038655287565735</v>
      </c>
      <c r="X141" s="8">
        <v>-13</v>
      </c>
    </row>
    <row r="142" spans="1:24" x14ac:dyDescent="0.2">
      <c r="A142" s="8">
        <v>70</v>
      </c>
      <c r="B142" s="8">
        <v>140</v>
      </c>
      <c r="D142">
        <v>953.66923076923001</v>
      </c>
      <c r="E142">
        <v>353.16634615384999</v>
      </c>
      <c r="F142">
        <v>138.83005280845001</v>
      </c>
      <c r="G142">
        <v>117.43783005281</v>
      </c>
      <c r="I142" s="9">
        <f t="shared" si="15"/>
        <v>235.72851610103999</v>
      </c>
      <c r="J142" s="9">
        <f t="shared" si="16"/>
        <v>814.83917796078003</v>
      </c>
      <c r="K142" s="9">
        <f t="shared" si="17"/>
        <v>235.72851610103999</v>
      </c>
      <c r="L142" s="10">
        <f t="shared" si="14"/>
        <v>0.2892945288798891</v>
      </c>
      <c r="M142" s="10">
        <f t="shared" si="18"/>
        <v>0.30733960745344363</v>
      </c>
      <c r="P142" s="8">
        <f t="shared" si="19"/>
        <v>28.90904611069778</v>
      </c>
      <c r="X142" s="8">
        <v>-13</v>
      </c>
    </row>
    <row r="143" spans="1:24" x14ac:dyDescent="0.2">
      <c r="A143" s="8">
        <v>70.5</v>
      </c>
      <c r="B143" s="8">
        <v>141</v>
      </c>
      <c r="D143">
        <v>927.63798076923001</v>
      </c>
      <c r="E143">
        <v>343.14423076922998</v>
      </c>
      <c r="F143">
        <v>138.77772443590999</v>
      </c>
      <c r="G143">
        <v>117.62938070091</v>
      </c>
      <c r="I143" s="9">
        <f t="shared" si="15"/>
        <v>225.51485006831996</v>
      </c>
      <c r="J143" s="9">
        <f t="shared" si="16"/>
        <v>788.86025633331997</v>
      </c>
      <c r="K143" s="9">
        <f t="shared" si="17"/>
        <v>225.51485006831996</v>
      </c>
      <c r="L143" s="10">
        <f t="shared" si="14"/>
        <v>0.28587427019904571</v>
      </c>
      <c r="M143" s="10">
        <f t="shared" si="18"/>
        <v>0.30404824219098275</v>
      </c>
      <c r="P143" s="8">
        <f t="shared" si="19"/>
        <v>27.52853170221891</v>
      </c>
      <c r="X143" s="8">
        <v>-13</v>
      </c>
    </row>
    <row r="144" spans="1:24" x14ac:dyDescent="0.2">
      <c r="A144" s="8">
        <v>71</v>
      </c>
      <c r="B144" s="8">
        <v>142</v>
      </c>
      <c r="D144">
        <v>946.46009615385003</v>
      </c>
      <c r="E144">
        <v>344.69230769231001</v>
      </c>
      <c r="F144">
        <v>138.63850216034999</v>
      </c>
      <c r="G144">
        <v>118.02256361018</v>
      </c>
      <c r="I144" s="9">
        <f t="shared" si="15"/>
        <v>226.66974408213002</v>
      </c>
      <c r="J144" s="9">
        <f t="shared" si="16"/>
        <v>807.82159399350007</v>
      </c>
      <c r="K144" s="9">
        <f t="shared" si="17"/>
        <v>226.66974408213002</v>
      </c>
      <c r="L144" s="10">
        <f t="shared" si="14"/>
        <v>0.28059381646580972</v>
      </c>
      <c r="M144" s="10">
        <f t="shared" si="18"/>
        <v>0.29889668187612933</v>
      </c>
      <c r="P144" s="8">
        <f t="shared" si="19"/>
        <v>25.367786031747276</v>
      </c>
    </row>
    <row r="145" spans="1:16" x14ac:dyDescent="0.2">
      <c r="A145" s="8">
        <v>71.5</v>
      </c>
      <c r="B145" s="8">
        <v>143</v>
      </c>
      <c r="D145">
        <v>1029.1677884615001</v>
      </c>
      <c r="E145">
        <v>364.19663461539</v>
      </c>
      <c r="F145">
        <v>139.11665866538999</v>
      </c>
      <c r="G145">
        <v>117.78924627940999</v>
      </c>
      <c r="I145" s="9">
        <f t="shared" si="15"/>
        <v>246.40738833597999</v>
      </c>
      <c r="J145" s="9">
        <f t="shared" si="16"/>
        <v>890.0511297961101</v>
      </c>
      <c r="K145" s="9">
        <f t="shared" si="17"/>
        <v>246.40738833597999</v>
      </c>
      <c r="L145" s="10">
        <f t="shared" si="14"/>
        <v>0.27684632948269627</v>
      </c>
      <c r="M145" s="10">
        <f t="shared" si="18"/>
        <v>0.2952780883113984</v>
      </c>
      <c r="P145" s="8">
        <f t="shared" si="19"/>
        <v>23.850020558703143</v>
      </c>
    </row>
    <row r="146" spans="1:16" x14ac:dyDescent="0.2">
      <c r="A146" s="8">
        <v>72</v>
      </c>
      <c r="B146" s="8">
        <v>144</v>
      </c>
      <c r="D146">
        <v>1020.2663461539</v>
      </c>
      <c r="E146">
        <v>360.42403846154002</v>
      </c>
      <c r="F146">
        <v>138.88862217955</v>
      </c>
      <c r="G146">
        <v>117.7345175228</v>
      </c>
      <c r="I146" s="9">
        <f t="shared" si="15"/>
        <v>242.68952093874003</v>
      </c>
      <c r="J146" s="9">
        <f t="shared" si="16"/>
        <v>881.37772397435003</v>
      </c>
      <c r="K146" s="9">
        <f t="shared" si="17"/>
        <v>242.68952093874003</v>
      </c>
      <c r="L146" s="10">
        <f t="shared" si="14"/>
        <v>0.27535245597584768</v>
      </c>
      <c r="M146" s="10">
        <f t="shared" si="18"/>
        <v>0.29391310822293232</v>
      </c>
      <c r="P146" s="8">
        <f t="shared" si="19"/>
        <v>23.277499878331959</v>
      </c>
    </row>
    <row r="147" spans="1:16" x14ac:dyDescent="0.2">
      <c r="A147" s="8">
        <v>72.5</v>
      </c>
      <c r="B147" s="8">
        <v>145</v>
      </c>
      <c r="D147">
        <v>1032.4860576922999</v>
      </c>
      <c r="E147">
        <v>361.39903846153999</v>
      </c>
      <c r="F147">
        <v>139.26020163225999</v>
      </c>
      <c r="G147">
        <v>117.47863658185</v>
      </c>
      <c r="I147" s="9">
        <f t="shared" si="15"/>
        <v>243.92040187968999</v>
      </c>
      <c r="J147" s="9">
        <f t="shared" si="16"/>
        <v>893.22585606003997</v>
      </c>
      <c r="K147" s="9">
        <f t="shared" si="17"/>
        <v>243.92040187968999</v>
      </c>
      <c r="L147" s="10">
        <f t="shared" si="14"/>
        <v>0.27307808011246643</v>
      </c>
      <c r="M147" s="10">
        <f t="shared" si="18"/>
        <v>0.29176762577793364</v>
      </c>
      <c r="P147" s="8">
        <f t="shared" si="19"/>
        <v>22.377609045114429</v>
      </c>
    </row>
    <row r="148" spans="1:16" x14ac:dyDescent="0.2">
      <c r="A148" s="8">
        <v>73</v>
      </c>
      <c r="B148" s="8">
        <v>146</v>
      </c>
      <c r="D148">
        <v>1041.3735576923</v>
      </c>
      <c r="E148">
        <v>363.57644230769</v>
      </c>
      <c r="F148">
        <v>139.42678828613001</v>
      </c>
      <c r="G148">
        <v>117.72299567931</v>
      </c>
      <c r="I148" s="9">
        <f t="shared" si="15"/>
        <v>245.85344662838</v>
      </c>
      <c r="J148" s="9">
        <f t="shared" si="16"/>
        <v>901.94676940617001</v>
      </c>
      <c r="K148" s="9">
        <f t="shared" si="17"/>
        <v>245.85344662838</v>
      </c>
      <c r="L148" s="10">
        <f t="shared" si="14"/>
        <v>0.27258088278341158</v>
      </c>
      <c r="M148" s="10">
        <f t="shared" si="18"/>
        <v>0.29139932186726131</v>
      </c>
      <c r="P148" s="8">
        <f t="shared" si="19"/>
        <v>22.223129425006235</v>
      </c>
    </row>
    <row r="149" spans="1:16" x14ac:dyDescent="0.2">
      <c r="A149" s="8">
        <v>73.5</v>
      </c>
      <c r="B149" s="8">
        <v>147</v>
      </c>
      <c r="D149">
        <v>1108.6297544535</v>
      </c>
      <c r="E149">
        <v>375.65142031776998</v>
      </c>
      <c r="F149">
        <v>139.05088814210001</v>
      </c>
      <c r="G149">
        <v>117.61833893423</v>
      </c>
      <c r="I149" s="9">
        <f t="shared" si="15"/>
        <v>258.03308138353998</v>
      </c>
      <c r="J149" s="9">
        <f t="shared" si="16"/>
        <v>969.57886631140002</v>
      </c>
      <c r="K149" s="9">
        <f t="shared" si="17"/>
        <v>258.03308138353998</v>
      </c>
      <c r="L149" s="10">
        <f t="shared" si="14"/>
        <v>0.26612902812659633</v>
      </c>
      <c r="M149" s="10">
        <f t="shared" si="18"/>
        <v>0.28507636062882857</v>
      </c>
      <c r="P149" s="8">
        <f t="shared" si="19"/>
        <v>19.571056987630094</v>
      </c>
    </row>
    <row r="150" spans="1:16" x14ac:dyDescent="0.2">
      <c r="A150" s="8">
        <v>74</v>
      </c>
      <c r="B150" s="8">
        <v>148</v>
      </c>
      <c r="D150">
        <v>1092.4159845931999</v>
      </c>
      <c r="E150">
        <v>369.47135291286003</v>
      </c>
      <c r="F150">
        <v>138.71291406624999</v>
      </c>
      <c r="G150">
        <v>117.62938070091</v>
      </c>
      <c r="I150" s="9">
        <f t="shared" si="15"/>
        <v>251.84197221195001</v>
      </c>
      <c r="J150" s="9">
        <f t="shared" si="16"/>
        <v>953.70307052694989</v>
      </c>
      <c r="K150" s="9">
        <f t="shared" si="17"/>
        <v>251.84197221195001</v>
      </c>
      <c r="L150" s="10">
        <f t="shared" si="14"/>
        <v>0.26406748598680685</v>
      </c>
      <c r="M150" s="10">
        <f t="shared" si="18"/>
        <v>0.28314371190742166</v>
      </c>
      <c r="P150" s="8">
        <f t="shared" si="19"/>
        <v>18.76043610733446</v>
      </c>
    </row>
    <row r="151" spans="1:16" x14ac:dyDescent="0.2">
      <c r="A151" s="8">
        <v>74.5</v>
      </c>
      <c r="B151" s="8">
        <v>149</v>
      </c>
      <c r="D151">
        <v>1105.0240731824999</v>
      </c>
      <c r="E151">
        <v>372.89407799711</v>
      </c>
      <c r="F151">
        <v>138.95487277965</v>
      </c>
      <c r="G151">
        <v>117.7772443591</v>
      </c>
      <c r="I151" s="9">
        <f t="shared" si="15"/>
        <v>255.11683363801001</v>
      </c>
      <c r="J151" s="9">
        <f t="shared" si="16"/>
        <v>966.0692004028499</v>
      </c>
      <c r="K151" s="9">
        <f t="shared" si="17"/>
        <v>255.11683363801001</v>
      </c>
      <c r="L151" s="10">
        <f t="shared" si="14"/>
        <v>0.26407718363407773</v>
      </c>
      <c r="M151" s="10">
        <f t="shared" si="18"/>
        <v>0.28328230297307505</v>
      </c>
      <c r="P151" s="8">
        <f t="shared" si="19"/>
        <v>18.818566077047365</v>
      </c>
    </row>
    <row r="152" spans="1:16" x14ac:dyDescent="0.2">
      <c r="A152" s="8">
        <v>75</v>
      </c>
      <c r="B152" s="8">
        <v>150</v>
      </c>
      <c r="D152">
        <v>1110.9691863263999</v>
      </c>
      <c r="E152">
        <v>373.00337024555</v>
      </c>
      <c r="F152">
        <v>138.92078732597</v>
      </c>
      <c r="G152">
        <v>117.83245319251</v>
      </c>
      <c r="I152" s="9">
        <f t="shared" si="15"/>
        <v>255.17091705304</v>
      </c>
      <c r="J152" s="9">
        <f t="shared" si="16"/>
        <v>972.04839900042998</v>
      </c>
      <c r="K152" s="9">
        <f t="shared" si="17"/>
        <v>255.17091705304</v>
      </c>
      <c r="L152" s="10">
        <f t="shared" si="14"/>
        <v>0.26250844846350818</v>
      </c>
      <c r="M152" s="10">
        <f t="shared" si="18"/>
        <v>0.28184246122088802</v>
      </c>
      <c r="P152" s="8">
        <f t="shared" si="19"/>
        <v>18.214645780660241</v>
      </c>
    </row>
    <row r="153" spans="1:16" x14ac:dyDescent="0.2">
      <c r="A153" s="8">
        <v>75.5</v>
      </c>
      <c r="B153" s="8">
        <v>151</v>
      </c>
      <c r="D153">
        <v>1120.0621088108001</v>
      </c>
      <c r="E153">
        <v>372.55079441501999</v>
      </c>
      <c r="F153">
        <v>139.23331733077001</v>
      </c>
      <c r="G153">
        <v>117.91550648104</v>
      </c>
      <c r="I153" s="9">
        <f t="shared" si="15"/>
        <v>254.63528793398001</v>
      </c>
      <c r="J153" s="9">
        <f t="shared" si="16"/>
        <v>980.82879148003008</v>
      </c>
      <c r="K153" s="9">
        <f t="shared" si="17"/>
        <v>254.63528793398001</v>
      </c>
      <c r="L153" s="10">
        <f t="shared" si="14"/>
        <v>0.25961237082951644</v>
      </c>
      <c r="M153" s="10">
        <f t="shared" si="18"/>
        <v>0.27907527700527884</v>
      </c>
      <c r="P153" s="8">
        <f t="shared" si="19"/>
        <v>17.053991348247735</v>
      </c>
    </row>
    <row r="154" spans="1:16" x14ac:dyDescent="0.2">
      <c r="A154" s="8">
        <v>76</v>
      </c>
      <c r="B154" s="8">
        <v>152</v>
      </c>
      <c r="D154">
        <v>1092.0654790563001</v>
      </c>
      <c r="E154">
        <v>366.49494463168003</v>
      </c>
      <c r="F154">
        <v>138.89342294766999</v>
      </c>
      <c r="G154">
        <v>117.59193470955</v>
      </c>
      <c r="I154" s="9">
        <f t="shared" si="15"/>
        <v>248.90300992213002</v>
      </c>
      <c r="J154" s="9">
        <f t="shared" si="16"/>
        <v>953.17205610863016</v>
      </c>
      <c r="K154" s="9">
        <f t="shared" si="17"/>
        <v>248.90300992213002</v>
      </c>
      <c r="L154" s="10">
        <f t="shared" si="14"/>
        <v>0.26113124941816729</v>
      </c>
      <c r="M154" s="10">
        <f t="shared" si="18"/>
        <v>0.28072304901231221</v>
      </c>
      <c r="P154" s="8">
        <f t="shared" si="19"/>
        <v>17.745124910220408</v>
      </c>
    </row>
    <row r="155" spans="1:16" x14ac:dyDescent="0.2">
      <c r="A155" s="8">
        <v>76.5</v>
      </c>
      <c r="B155" s="8">
        <v>153</v>
      </c>
      <c r="D155">
        <v>1093.9075589792999</v>
      </c>
      <c r="E155">
        <v>369.18103033221001</v>
      </c>
      <c r="F155">
        <v>139.21027364378</v>
      </c>
      <c r="G155">
        <v>117.82333173308</v>
      </c>
      <c r="I155" s="9">
        <f t="shared" si="15"/>
        <v>251.35769859913</v>
      </c>
      <c r="J155" s="9">
        <f t="shared" si="16"/>
        <v>954.69728533551984</v>
      </c>
      <c r="K155" s="9">
        <f t="shared" si="17"/>
        <v>251.35769859913</v>
      </c>
      <c r="L155" s="10">
        <f t="shared" si="14"/>
        <v>0.26328523445082658</v>
      </c>
      <c r="M155" s="10">
        <f t="shared" si="18"/>
        <v>0.28300592746335401</v>
      </c>
      <c r="P155" s="8">
        <f t="shared" si="19"/>
        <v>18.702644463098228</v>
      </c>
    </row>
    <row r="156" spans="1:16" x14ac:dyDescent="0.2">
      <c r="A156" s="8">
        <v>77</v>
      </c>
      <c r="B156" s="8">
        <v>154</v>
      </c>
      <c r="D156">
        <v>1081.6759749639</v>
      </c>
      <c r="E156">
        <v>362.90852190660001</v>
      </c>
      <c r="F156">
        <v>139.03120499280001</v>
      </c>
      <c r="G156">
        <v>117.77388382141</v>
      </c>
      <c r="I156" s="9">
        <f t="shared" si="15"/>
        <v>245.13463808519003</v>
      </c>
      <c r="J156" s="9">
        <f t="shared" si="16"/>
        <v>942.6447699711</v>
      </c>
      <c r="K156" s="9">
        <f t="shared" si="17"/>
        <v>245.13463808519003</v>
      </c>
      <c r="L156" s="10">
        <f t="shared" si="14"/>
        <v>0.26004985747993431</v>
      </c>
      <c r="M156" s="10">
        <f t="shared" si="18"/>
        <v>0.27989944391084431</v>
      </c>
      <c r="P156" s="8">
        <f t="shared" si="19"/>
        <v>17.399675949437786</v>
      </c>
    </row>
    <row r="157" spans="1:16" x14ac:dyDescent="0.2">
      <c r="A157" s="8">
        <v>77.5</v>
      </c>
      <c r="B157" s="8">
        <v>155</v>
      </c>
      <c r="D157">
        <v>1051.7284545017001</v>
      </c>
      <c r="E157">
        <v>358.89985556091</v>
      </c>
      <c r="F157">
        <v>139.36773883820999</v>
      </c>
      <c r="G157">
        <v>118.00144023044</v>
      </c>
      <c r="I157" s="9">
        <f t="shared" si="15"/>
        <v>240.89841533047002</v>
      </c>
      <c r="J157" s="9">
        <f t="shared" si="16"/>
        <v>912.36071566349005</v>
      </c>
      <c r="K157" s="9">
        <f t="shared" si="17"/>
        <v>240.89841533047002</v>
      </c>
      <c r="L157" s="10">
        <f t="shared" si="14"/>
        <v>0.26403856631999223</v>
      </c>
      <c r="M157" s="10">
        <f t="shared" si="18"/>
        <v>0.28401704616928475</v>
      </c>
      <c r="P157" s="8">
        <f t="shared" si="19"/>
        <v>19.126743227869245</v>
      </c>
    </row>
    <row r="158" spans="1:16" x14ac:dyDescent="0.2">
      <c r="A158" s="8">
        <v>78</v>
      </c>
      <c r="B158" s="8">
        <v>156</v>
      </c>
      <c r="D158">
        <v>1038.7722676937999</v>
      </c>
      <c r="E158">
        <v>355.41068849302002</v>
      </c>
      <c r="F158">
        <v>138.89198271724001</v>
      </c>
      <c r="G158">
        <v>117.68506961113999</v>
      </c>
      <c r="I158" s="9">
        <f t="shared" si="15"/>
        <v>237.72561888188002</v>
      </c>
      <c r="J158" s="9">
        <f t="shared" si="16"/>
        <v>899.88028497655989</v>
      </c>
      <c r="K158" s="9">
        <f t="shared" si="17"/>
        <v>237.72561888188002</v>
      </c>
      <c r="L158" s="10">
        <f t="shared" si="14"/>
        <v>0.2641747161824668</v>
      </c>
      <c r="M158" s="10">
        <f t="shared" si="18"/>
        <v>0.28428208945014183</v>
      </c>
      <c r="P158" s="8">
        <f t="shared" si="19"/>
        <v>19.237911706271468</v>
      </c>
    </row>
    <row r="159" spans="1:16" x14ac:dyDescent="0.2">
      <c r="A159" s="8">
        <v>78.5</v>
      </c>
      <c r="B159" s="8">
        <v>157</v>
      </c>
      <c r="D159">
        <v>1012.4222436206001</v>
      </c>
      <c r="E159">
        <v>348.16995666827</v>
      </c>
      <c r="F159">
        <v>139.37205952952999</v>
      </c>
      <c r="G159">
        <v>117.90830532885001</v>
      </c>
      <c r="I159" s="9">
        <f t="shared" si="15"/>
        <v>230.26165133941998</v>
      </c>
      <c r="J159" s="9">
        <f t="shared" si="16"/>
        <v>873.05018409107004</v>
      </c>
      <c r="K159" s="9">
        <f t="shared" si="17"/>
        <v>230.26165133941998</v>
      </c>
      <c r="L159" s="10">
        <f t="shared" si="14"/>
        <v>0.2637438895670639</v>
      </c>
      <c r="M159" s="10">
        <f t="shared" si="18"/>
        <v>0.28398015625312145</v>
      </c>
      <c r="P159" s="8">
        <f t="shared" si="19"/>
        <v>19.11127029893855</v>
      </c>
    </row>
    <row r="160" spans="1:16" x14ac:dyDescent="0.2">
      <c r="A160" s="8">
        <v>79</v>
      </c>
      <c r="B160" s="8">
        <v>158</v>
      </c>
      <c r="D160">
        <v>1028.4910929225</v>
      </c>
      <c r="E160">
        <v>353.24506499759002</v>
      </c>
      <c r="F160">
        <v>139.25972155545</v>
      </c>
      <c r="G160">
        <v>117.87469995199</v>
      </c>
      <c r="I160" s="9">
        <f t="shared" si="15"/>
        <v>235.37036504560001</v>
      </c>
      <c r="J160" s="9">
        <f t="shared" si="16"/>
        <v>889.23137136704997</v>
      </c>
      <c r="K160" s="9">
        <f t="shared" si="17"/>
        <v>235.37036504560001</v>
      </c>
      <c r="L160" s="10">
        <f t="shared" si="14"/>
        <v>0.26468967765246065</v>
      </c>
      <c r="M160" s="10">
        <f t="shared" si="18"/>
        <v>0.28505483775690077</v>
      </c>
      <c r="P160" s="8">
        <f t="shared" si="19"/>
        <v>19.562029537791251</v>
      </c>
    </row>
    <row r="161" spans="1:16" x14ac:dyDescent="0.2">
      <c r="A161" s="8">
        <v>79.5</v>
      </c>
      <c r="B161" s="8">
        <v>159</v>
      </c>
      <c r="D161">
        <v>1072.5685990338</v>
      </c>
      <c r="E161">
        <v>361.98985507245999</v>
      </c>
      <c r="F161">
        <v>139.55400864137999</v>
      </c>
      <c r="G161">
        <v>117.79740758521</v>
      </c>
      <c r="I161" s="9">
        <f t="shared" si="15"/>
        <v>244.19244748724998</v>
      </c>
      <c r="J161" s="9">
        <f t="shared" si="16"/>
        <v>933.0145903924199</v>
      </c>
      <c r="K161" s="9">
        <f t="shared" si="17"/>
        <v>244.19244748724998</v>
      </c>
      <c r="L161" s="10">
        <f t="shared" si="14"/>
        <v>0.26172414665513882</v>
      </c>
      <c r="M161" s="10">
        <f t="shared" si="18"/>
        <v>0.28221820017796145</v>
      </c>
      <c r="P161" s="8">
        <f t="shared" si="19"/>
        <v>18.372243920855372</v>
      </c>
    </row>
    <row r="162" spans="1:16" x14ac:dyDescent="0.2">
      <c r="A162" s="8">
        <v>80</v>
      </c>
      <c r="B162" s="4">
        <v>160</v>
      </c>
      <c r="C162" s="4" t="s">
        <v>6</v>
      </c>
      <c r="D162">
        <v>1077.2154589372001</v>
      </c>
      <c r="E162">
        <v>364.12705314009997</v>
      </c>
      <c r="F162">
        <v>138.96975516083</v>
      </c>
      <c r="G162">
        <v>118.22851656265</v>
      </c>
      <c r="H162" s="4"/>
      <c r="I162" s="5">
        <f t="shared" si="15"/>
        <v>245.89853657744999</v>
      </c>
      <c r="J162" s="5">
        <f t="shared" si="16"/>
        <v>938.24570377637008</v>
      </c>
      <c r="K162" s="9">
        <f t="shared" si="17"/>
        <v>245.89853657744999</v>
      </c>
      <c r="L162" s="6">
        <f t="shared" si="14"/>
        <v>0.26208330673695218</v>
      </c>
      <c r="M162" s="6">
        <f t="shared" si="18"/>
        <v>0.28270625367815738</v>
      </c>
      <c r="N162" s="4"/>
      <c r="O162" s="4"/>
      <c r="P162" s="4">
        <f t="shared" si="19"/>
        <v>18.576950732588951</v>
      </c>
    </row>
    <row r="163" spans="1:16" x14ac:dyDescent="0.2">
      <c r="A163" s="8">
        <v>80.5</v>
      </c>
      <c r="B163" s="8">
        <v>161</v>
      </c>
      <c r="D163">
        <v>1099.0898550725001</v>
      </c>
      <c r="E163">
        <v>368.39565217390998</v>
      </c>
      <c r="F163">
        <v>139.59433509362</v>
      </c>
      <c r="G163">
        <v>118.23187710034</v>
      </c>
      <c r="I163" s="9">
        <f t="shared" si="15"/>
        <v>250.16377507356998</v>
      </c>
      <c r="J163" s="9">
        <f t="shared" si="16"/>
        <v>959.49551997888011</v>
      </c>
      <c r="K163" s="9">
        <f t="shared" si="17"/>
        <v>250.16377507356998</v>
      </c>
      <c r="L163" s="10">
        <f t="shared" si="14"/>
        <v>0.26072427631457462</v>
      </c>
      <c r="M163" s="10">
        <f t="shared" si="18"/>
        <v>0.28147611667416234</v>
      </c>
      <c r="P163" s="8">
        <f t="shared" si="19"/>
        <v>18.060987986737867</v>
      </c>
    </row>
    <row r="164" spans="1:16" x14ac:dyDescent="0.2">
      <c r="A164" s="8">
        <v>81</v>
      </c>
      <c r="B164" s="8">
        <v>162</v>
      </c>
      <c r="D164">
        <v>1100.3739130434999</v>
      </c>
      <c r="E164">
        <v>370.90386473429999</v>
      </c>
      <c r="F164">
        <v>139.20307249160001</v>
      </c>
      <c r="G164">
        <v>118.00384061450001</v>
      </c>
      <c r="I164" s="9">
        <f t="shared" si="15"/>
        <v>252.90002411979998</v>
      </c>
      <c r="J164" s="9">
        <f t="shared" si="16"/>
        <v>961.17084055189991</v>
      </c>
      <c r="K164" s="9">
        <f t="shared" si="17"/>
        <v>252.90002411979998</v>
      </c>
      <c r="L164" s="10">
        <f t="shared" si="14"/>
        <v>0.26311662136419572</v>
      </c>
      <c r="M164" s="10">
        <f t="shared" si="18"/>
        <v>0.28399735514216595</v>
      </c>
      <c r="P164" s="8">
        <f t="shared" si="19"/>
        <v>19.118484118202723</v>
      </c>
    </row>
    <row r="165" spans="1:16" x14ac:dyDescent="0.2">
      <c r="A165" s="8">
        <v>81.5</v>
      </c>
      <c r="B165" s="8">
        <v>163</v>
      </c>
      <c r="D165">
        <v>1115.3874396135</v>
      </c>
      <c r="E165">
        <v>368.66666666666998</v>
      </c>
      <c r="F165">
        <v>139.69995199232</v>
      </c>
      <c r="G165">
        <v>118.26644263081999</v>
      </c>
      <c r="I165" s="9">
        <f t="shared" si="15"/>
        <v>250.40022403584999</v>
      </c>
      <c r="J165" s="9">
        <f t="shared" si="16"/>
        <v>975.68748762118003</v>
      </c>
      <c r="K165" s="9">
        <f t="shared" si="17"/>
        <v>250.40022403584999</v>
      </c>
      <c r="L165" s="10">
        <f t="shared" si="14"/>
        <v>0.25663978191044534</v>
      </c>
      <c r="M165" s="10">
        <f t="shared" si="18"/>
        <v>0.27764940910679814</v>
      </c>
      <c r="P165" s="8">
        <f t="shared" si="19"/>
        <v>16.455932177820586</v>
      </c>
    </row>
    <row r="166" spans="1:16" x14ac:dyDescent="0.2">
      <c r="A166" s="8">
        <v>82</v>
      </c>
      <c r="B166" s="8">
        <v>164</v>
      </c>
      <c r="D166">
        <v>1111.3238691049</v>
      </c>
      <c r="E166">
        <v>366.71462945140001</v>
      </c>
      <c r="F166">
        <v>139.54488718195</v>
      </c>
      <c r="G166">
        <v>118.09169467114999</v>
      </c>
      <c r="I166" s="9">
        <f t="shared" si="15"/>
        <v>248.62293478025003</v>
      </c>
      <c r="J166" s="9">
        <f t="shared" si="16"/>
        <v>971.77898192295004</v>
      </c>
      <c r="K166" s="9">
        <f t="shared" si="17"/>
        <v>248.62293478025003</v>
      </c>
      <c r="L166" s="10">
        <f t="shared" si="14"/>
        <v>0.2558430871681095</v>
      </c>
      <c r="M166" s="10">
        <f t="shared" si="18"/>
        <v>0.27698160778284481</v>
      </c>
      <c r="P166" s="8">
        <f t="shared" si="19"/>
        <v>16.175832803790748</v>
      </c>
    </row>
    <row r="167" spans="1:16" x14ac:dyDescent="0.2">
      <c r="A167" s="8">
        <v>82.5</v>
      </c>
      <c r="B167" s="8">
        <v>165</v>
      </c>
      <c r="D167">
        <v>1099.8931665063001</v>
      </c>
      <c r="E167">
        <v>363.93214629451001</v>
      </c>
      <c r="F167">
        <v>140.03072491598999</v>
      </c>
      <c r="G167">
        <v>118.05952952472001</v>
      </c>
      <c r="I167" s="9">
        <f t="shared" si="15"/>
        <v>245.87261676979</v>
      </c>
      <c r="J167" s="9">
        <f t="shared" si="16"/>
        <v>959.86244159031003</v>
      </c>
      <c r="K167" s="9">
        <f t="shared" si="17"/>
        <v>245.87261676979</v>
      </c>
      <c r="L167" s="10">
        <f t="shared" si="14"/>
        <v>0.25615401344637018</v>
      </c>
      <c r="M167" s="10">
        <f t="shared" si="18"/>
        <v>0.277421427479488</v>
      </c>
      <c r="P167" s="8">
        <f t="shared" si="19"/>
        <v>16.360308661050897</v>
      </c>
    </row>
    <row r="168" spans="1:16" x14ac:dyDescent="0.2">
      <c r="A168" s="8">
        <v>83</v>
      </c>
      <c r="B168" s="8">
        <v>166</v>
      </c>
      <c r="D168">
        <v>1055.6154956688999</v>
      </c>
      <c r="E168">
        <v>355.59239653512998</v>
      </c>
      <c r="F168">
        <v>140.04464714354</v>
      </c>
      <c r="G168">
        <v>118.23667786846001</v>
      </c>
      <c r="I168" s="9">
        <f t="shared" si="15"/>
        <v>237.35571866666999</v>
      </c>
      <c r="J168" s="9">
        <f t="shared" si="16"/>
        <v>915.57084852535991</v>
      </c>
      <c r="K168" s="9">
        <f t="shared" si="17"/>
        <v>237.35571866666999</v>
      </c>
      <c r="L168" s="10">
        <f t="shared" si="14"/>
        <v>0.25924342070191592</v>
      </c>
      <c r="M168" s="10">
        <f t="shared" si="18"/>
        <v>0.28063972815341631</v>
      </c>
      <c r="P168" s="8">
        <f t="shared" si="19"/>
        <v>17.710177210083771</v>
      </c>
    </row>
    <row r="169" spans="1:16" x14ac:dyDescent="0.2">
      <c r="A169" s="8">
        <v>83.5</v>
      </c>
      <c r="B169" s="8">
        <v>167</v>
      </c>
      <c r="D169">
        <v>1067.8031761309001</v>
      </c>
      <c r="E169">
        <v>355.55149181906</v>
      </c>
      <c r="F169">
        <v>139.71243398944</v>
      </c>
      <c r="G169">
        <v>118.47671627459999</v>
      </c>
      <c r="I169" s="9">
        <f t="shared" si="15"/>
        <v>237.07477554446001</v>
      </c>
      <c r="J169" s="9">
        <f t="shared" si="16"/>
        <v>928.09074214146005</v>
      </c>
      <c r="K169" s="9">
        <f t="shared" si="17"/>
        <v>237.07477554446001</v>
      </c>
      <c r="L169" s="10">
        <f t="shared" si="14"/>
        <v>0.25544353022791488</v>
      </c>
      <c r="M169" s="10">
        <f t="shared" si="18"/>
        <v>0.27696873109779779</v>
      </c>
      <c r="P169" s="8">
        <f t="shared" si="19"/>
        <v>16.170431868973946</v>
      </c>
    </row>
    <row r="170" spans="1:16" x14ac:dyDescent="0.2">
      <c r="A170" s="8">
        <v>84</v>
      </c>
      <c r="B170" s="8">
        <v>168</v>
      </c>
      <c r="D170">
        <v>1070.4205967276</v>
      </c>
      <c r="E170">
        <v>354.6708373436</v>
      </c>
      <c r="F170">
        <v>140.03168506961001</v>
      </c>
      <c r="G170">
        <v>118.43542966875</v>
      </c>
      <c r="I170" s="9">
        <f t="shared" si="15"/>
        <v>236.23540767484999</v>
      </c>
      <c r="J170" s="9">
        <f t="shared" si="16"/>
        <v>930.38891165798998</v>
      </c>
      <c r="K170" s="9">
        <f t="shared" si="17"/>
        <v>236.23540767484999</v>
      </c>
      <c r="L170" s="10">
        <f t="shared" si="14"/>
        <v>0.25391038598457621</v>
      </c>
      <c r="M170" s="10">
        <f t="shared" si="18"/>
        <v>0.27556448027284164</v>
      </c>
      <c r="P170" s="8">
        <f t="shared" si="19"/>
        <v>15.581439659850101</v>
      </c>
    </row>
    <row r="171" spans="1:16" x14ac:dyDescent="0.2">
      <c r="A171" s="8">
        <v>84.5</v>
      </c>
      <c r="B171" s="8">
        <v>169</v>
      </c>
      <c r="D171">
        <v>1078.8161693937</v>
      </c>
      <c r="E171">
        <v>353.77911453321002</v>
      </c>
      <c r="F171">
        <v>140.23667786845999</v>
      </c>
      <c r="G171">
        <v>118.49831973116</v>
      </c>
      <c r="I171" s="9">
        <f t="shared" si="15"/>
        <v>235.28079480205002</v>
      </c>
      <c r="J171" s="9">
        <f t="shared" si="16"/>
        <v>938.57949152523997</v>
      </c>
      <c r="K171" s="9">
        <f t="shared" si="17"/>
        <v>235.28079480205002</v>
      </c>
      <c r="L171" s="10">
        <f t="shared" si="14"/>
        <v>0.25067753656081554</v>
      </c>
      <c r="M171" s="10">
        <f t="shared" si="18"/>
        <v>0.27246052426746348</v>
      </c>
      <c r="P171" s="8">
        <f t="shared" si="19"/>
        <v>14.279531288396601</v>
      </c>
    </row>
    <row r="172" spans="1:16" x14ac:dyDescent="0.2">
      <c r="A172" s="8">
        <v>85</v>
      </c>
      <c r="B172" s="8">
        <v>170</v>
      </c>
      <c r="D172">
        <v>1033.0067372474</v>
      </c>
      <c r="E172">
        <v>339.49422521654998</v>
      </c>
      <c r="F172">
        <v>140.42102736438</v>
      </c>
      <c r="G172">
        <v>118.2501200192</v>
      </c>
      <c r="I172" s="9">
        <f t="shared" si="15"/>
        <v>221.24410519735</v>
      </c>
      <c r="J172" s="9">
        <f t="shared" si="16"/>
        <v>892.58570988301994</v>
      </c>
      <c r="K172" s="9">
        <f t="shared" si="17"/>
        <v>221.24410519735</v>
      </c>
      <c r="L172" s="10">
        <f t="shared" si="14"/>
        <v>0.24786875114362483</v>
      </c>
      <c r="M172" s="10">
        <f t="shared" si="18"/>
        <v>0.26978063226865534</v>
      </c>
      <c r="P172" s="8">
        <f t="shared" si="19"/>
        <v>13.155490283371307</v>
      </c>
    </row>
    <row r="173" spans="1:16" x14ac:dyDescent="0.2">
      <c r="A173" s="8">
        <v>85.5</v>
      </c>
      <c r="B173" s="8">
        <v>171</v>
      </c>
      <c r="D173">
        <v>1044.8132820019</v>
      </c>
      <c r="E173">
        <v>339.78488931664998</v>
      </c>
      <c r="F173">
        <v>140.28084493519</v>
      </c>
      <c r="G173">
        <v>118.63514162266</v>
      </c>
      <c r="I173" s="9">
        <f t="shared" si="15"/>
        <v>221.14974769398998</v>
      </c>
      <c r="J173" s="9">
        <f t="shared" si="16"/>
        <v>904.53243706671003</v>
      </c>
      <c r="K173" s="9">
        <f t="shared" si="17"/>
        <v>221.14974769398998</v>
      </c>
      <c r="L173" s="10">
        <f t="shared" si="14"/>
        <v>0.24449067676461889</v>
      </c>
      <c r="M173" s="10">
        <f t="shared" si="18"/>
        <v>0.26653145130803191</v>
      </c>
      <c r="P173" s="8">
        <f t="shared" si="19"/>
        <v>11.792669455475068</v>
      </c>
    </row>
    <row r="174" spans="1:16" x14ac:dyDescent="0.2">
      <c r="A174" s="8">
        <v>86</v>
      </c>
      <c r="B174" s="8">
        <v>172</v>
      </c>
      <c r="D174">
        <v>1037.2430221366999</v>
      </c>
      <c r="E174">
        <v>335.92925890279002</v>
      </c>
      <c r="F174">
        <v>140.23187710034</v>
      </c>
      <c r="G174">
        <v>118.44503120499</v>
      </c>
      <c r="I174" s="9">
        <f t="shared" si="15"/>
        <v>217.48422769780001</v>
      </c>
      <c r="J174" s="9">
        <f t="shared" si="16"/>
        <v>897.01114503635995</v>
      </c>
      <c r="K174" s="9">
        <f t="shared" si="17"/>
        <v>217.48422769780001</v>
      </c>
      <c r="L174" s="10">
        <f t="shared" si="14"/>
        <v>0.24245432055248811</v>
      </c>
      <c r="M174" s="10">
        <f t="shared" si="18"/>
        <v>0.26462398851428365</v>
      </c>
      <c r="P174" s="8">
        <f t="shared" si="19"/>
        <v>10.992612439488338</v>
      </c>
    </row>
    <row r="175" spans="1:16" x14ac:dyDescent="0.2">
      <c r="A175" s="8">
        <v>86.5</v>
      </c>
      <c r="B175" s="8">
        <v>173</v>
      </c>
      <c r="D175">
        <v>1051.6650625602001</v>
      </c>
      <c r="E175">
        <v>337.65447545717001</v>
      </c>
      <c r="F175">
        <v>140.78060489678001</v>
      </c>
      <c r="G175">
        <v>118.60585693711</v>
      </c>
      <c r="I175" s="9">
        <f t="shared" si="15"/>
        <v>219.04861852006002</v>
      </c>
      <c r="J175" s="9">
        <f t="shared" si="16"/>
        <v>910.88445766342011</v>
      </c>
      <c r="K175" s="9">
        <f t="shared" si="17"/>
        <v>219.04861852006002</v>
      </c>
      <c r="L175" s="10">
        <f t="shared" si="14"/>
        <v>0.24047903845231755</v>
      </c>
      <c r="M175" s="10">
        <f t="shared" si="18"/>
        <v>0.26277759983249566</v>
      </c>
      <c r="P175" s="8">
        <f t="shared" si="19"/>
        <v>10.218172055149219</v>
      </c>
    </row>
    <row r="176" spans="1:16" x14ac:dyDescent="0.2">
      <c r="A176" s="8">
        <v>87</v>
      </c>
      <c r="B176" s="8">
        <v>174</v>
      </c>
      <c r="D176">
        <v>1062.7589027911999</v>
      </c>
      <c r="E176">
        <v>336.16217516843</v>
      </c>
      <c r="F176">
        <v>140.37926068171001</v>
      </c>
      <c r="G176">
        <v>118.4959193471</v>
      </c>
      <c r="I176" s="9">
        <f t="shared" si="15"/>
        <v>217.66625582133</v>
      </c>
      <c r="J176" s="9">
        <f t="shared" si="16"/>
        <v>922.37964210948996</v>
      </c>
      <c r="K176" s="9">
        <f t="shared" si="17"/>
        <v>217.66625582133</v>
      </c>
      <c r="L176" s="10">
        <f t="shared" si="14"/>
        <v>0.23598336941123879</v>
      </c>
      <c r="M176" s="10">
        <f t="shared" si="18"/>
        <v>0.25841082420979944</v>
      </c>
      <c r="P176" s="8">
        <f t="shared" si="19"/>
        <v>8.3865926997728089</v>
      </c>
    </row>
    <row r="177" spans="1:16" x14ac:dyDescent="0.2">
      <c r="A177" s="8">
        <v>87.5</v>
      </c>
      <c r="B177" s="8">
        <v>175</v>
      </c>
      <c r="D177">
        <v>1054.9441770934</v>
      </c>
      <c r="E177">
        <v>333.27959576516002</v>
      </c>
      <c r="F177">
        <v>140.56985117619001</v>
      </c>
      <c r="G177">
        <v>118.76620259242</v>
      </c>
      <c r="I177" s="9">
        <f t="shared" si="15"/>
        <v>214.51339317274002</v>
      </c>
      <c r="J177" s="9">
        <f t="shared" si="16"/>
        <v>914.37432591720994</v>
      </c>
      <c r="K177" s="9">
        <f t="shared" si="17"/>
        <v>214.51339317274002</v>
      </c>
      <c r="L177" s="10">
        <f t="shared" si="14"/>
        <v>0.23460128646718223</v>
      </c>
      <c r="M177" s="10">
        <f t="shared" si="18"/>
        <v>0.25715763468412539</v>
      </c>
      <c r="P177" s="8">
        <f t="shared" si="19"/>
        <v>7.8609609151515212</v>
      </c>
    </row>
    <row r="178" spans="1:16" x14ac:dyDescent="0.2">
      <c r="A178" s="8">
        <v>88</v>
      </c>
      <c r="B178" s="8">
        <v>176</v>
      </c>
      <c r="D178">
        <v>1054.5538979788</v>
      </c>
      <c r="E178">
        <v>328.84071222328998</v>
      </c>
      <c r="F178">
        <v>140.57465194431001</v>
      </c>
      <c r="G178">
        <v>118.90734517523001</v>
      </c>
      <c r="I178" s="9">
        <f t="shared" si="15"/>
        <v>209.93336704805998</v>
      </c>
      <c r="J178" s="9">
        <f t="shared" si="16"/>
        <v>913.97924603448996</v>
      </c>
      <c r="K178" s="9">
        <f t="shared" si="17"/>
        <v>209.93336704805998</v>
      </c>
      <c r="L178" s="10">
        <f t="shared" si="14"/>
        <v>0.22969161275696837</v>
      </c>
      <c r="M178" s="10">
        <f t="shared" si="18"/>
        <v>0.25237685439229407</v>
      </c>
      <c r="P178" s="8">
        <f t="shared" si="19"/>
        <v>5.8557334334376492</v>
      </c>
    </row>
    <row r="179" spans="1:16" x14ac:dyDescent="0.2">
      <c r="A179" s="8">
        <v>88.5</v>
      </c>
      <c r="B179" s="8">
        <v>177</v>
      </c>
      <c r="D179">
        <v>1054.9860442733</v>
      </c>
      <c r="E179">
        <v>324.91193455245002</v>
      </c>
      <c r="F179">
        <v>140.92750840133999</v>
      </c>
      <c r="G179">
        <v>118.88430148824</v>
      </c>
      <c r="I179" s="9">
        <f t="shared" si="15"/>
        <v>206.02763306421002</v>
      </c>
      <c r="J179" s="9">
        <f t="shared" si="16"/>
        <v>914.05853587195998</v>
      </c>
      <c r="K179" s="9">
        <f t="shared" si="17"/>
        <v>206.02763306421002</v>
      </c>
      <c r="L179" s="10">
        <f t="shared" si="14"/>
        <v>0.22539872992671237</v>
      </c>
      <c r="M179" s="10">
        <f t="shared" si="18"/>
        <v>0.24821286498042058</v>
      </c>
      <c r="P179" s="8">
        <f t="shared" si="19"/>
        <v>4.1092097505733483</v>
      </c>
    </row>
    <row r="180" spans="1:16" x14ac:dyDescent="0.2">
      <c r="A180" s="8">
        <v>89</v>
      </c>
      <c r="B180" s="8">
        <v>178</v>
      </c>
      <c r="D180">
        <v>1072.6576923077</v>
      </c>
      <c r="E180">
        <v>324.73317307692002</v>
      </c>
      <c r="F180">
        <v>140.79836773884</v>
      </c>
      <c r="G180">
        <v>118.78540566491</v>
      </c>
      <c r="I180" s="9">
        <f t="shared" si="15"/>
        <v>205.94776741201002</v>
      </c>
      <c r="J180" s="9">
        <f t="shared" si="16"/>
        <v>931.85932456886007</v>
      </c>
      <c r="K180" s="9">
        <f t="shared" si="17"/>
        <v>205.94776741201002</v>
      </c>
      <c r="L180" s="10">
        <f t="shared" si="14"/>
        <v>0.22100735806587021</v>
      </c>
      <c r="M180" s="10">
        <f t="shared" si="18"/>
        <v>0.24395038653796097</v>
      </c>
      <c r="P180" s="8">
        <f t="shared" si="19"/>
        <v>2.3213763026240271</v>
      </c>
    </row>
    <row r="181" spans="1:16" x14ac:dyDescent="0.2">
      <c r="A181" s="8">
        <v>89.5</v>
      </c>
      <c r="B181" s="8">
        <v>179</v>
      </c>
      <c r="D181">
        <v>1089.0283653846</v>
      </c>
      <c r="E181">
        <v>323.61874999999998</v>
      </c>
      <c r="F181">
        <v>140.92990878540999</v>
      </c>
      <c r="G181">
        <v>119.08065290447</v>
      </c>
      <c r="I181" s="9">
        <f t="shared" si="15"/>
        <v>204.53809709552996</v>
      </c>
      <c r="J181" s="9">
        <f t="shared" si="16"/>
        <v>948.09845659918994</v>
      </c>
      <c r="K181" s="9">
        <f t="shared" si="17"/>
        <v>204.53809709552996</v>
      </c>
      <c r="L181" s="10">
        <f t="shared" si="14"/>
        <v>0.21573508075227124</v>
      </c>
      <c r="M181" s="10">
        <f t="shared" si="18"/>
        <v>0.23880700264274451</v>
      </c>
      <c r="P181" s="8">
        <f t="shared" si="19"/>
        <v>0.16406011026207909</v>
      </c>
    </row>
    <row r="182" spans="1:16" x14ac:dyDescent="0.2">
      <c r="A182" s="8">
        <v>90</v>
      </c>
      <c r="B182" s="8">
        <v>180</v>
      </c>
      <c r="D182">
        <v>1074.6846153846</v>
      </c>
      <c r="E182">
        <v>317.36346153846</v>
      </c>
      <c r="F182">
        <v>141.03408545367</v>
      </c>
      <c r="G182">
        <v>118.7071531445</v>
      </c>
      <c r="I182" s="9">
        <f t="shared" si="15"/>
        <v>198.65630839395999</v>
      </c>
      <c r="J182" s="9">
        <f t="shared" si="16"/>
        <v>933.65052993092991</v>
      </c>
      <c r="K182" s="9">
        <f t="shared" si="17"/>
        <v>198.65630839395999</v>
      </c>
      <c r="L182" s="10">
        <f t="shared" si="14"/>
        <v>0.21277373281055845</v>
      </c>
      <c r="M182" s="10">
        <f>L182+ABS($N$2)*A182</f>
        <v>0.23597454811941426</v>
      </c>
      <c r="P182" s="8">
        <f t="shared" si="19"/>
        <v>-1.0239709859569281</v>
      </c>
    </row>
    <row r="183" spans="1:16" x14ac:dyDescent="0.2">
      <c r="A183" s="8">
        <v>90.5</v>
      </c>
      <c r="B183" s="8">
        <v>181</v>
      </c>
      <c r="D183">
        <v>1057.5884615385</v>
      </c>
      <c r="E183">
        <v>312.61153846154002</v>
      </c>
      <c r="F183">
        <v>140.96111377821001</v>
      </c>
      <c r="G183">
        <v>118.68506961113999</v>
      </c>
      <c r="I183" s="9">
        <f t="shared" si="15"/>
        <v>193.92646885040003</v>
      </c>
      <c r="J183" s="9">
        <f t="shared" si="16"/>
        <v>916.62734776029004</v>
      </c>
      <c r="K183" s="9">
        <f t="shared" si="17"/>
        <v>193.92646885040003</v>
      </c>
      <c r="L183" s="10">
        <f t="shared" si="14"/>
        <v>0.21156522257844998</v>
      </c>
      <c r="M183" s="10">
        <f t="shared" ref="M183:M241" si="20">L183+ABS($N$2)*A183</f>
        <v>0.23489493130568834</v>
      </c>
      <c r="P183" s="8">
        <f t="shared" si="19"/>
        <v>-1.4768002674661849</v>
      </c>
    </row>
    <row r="184" spans="1:16" x14ac:dyDescent="0.2">
      <c r="A184" s="8">
        <v>91</v>
      </c>
      <c r="B184" s="8">
        <v>182</v>
      </c>
      <c r="D184">
        <v>1099.5903846153999</v>
      </c>
      <c r="E184">
        <v>316.36057692307998</v>
      </c>
      <c r="F184">
        <v>140.94815170427</v>
      </c>
      <c r="G184">
        <v>119.06673067691</v>
      </c>
      <c r="I184" s="9">
        <f t="shared" si="15"/>
        <v>197.29384624616998</v>
      </c>
      <c r="J184" s="9">
        <f t="shared" si="16"/>
        <v>958.6422329111299</v>
      </c>
      <c r="K184" s="9">
        <f t="shared" si="17"/>
        <v>197.29384624616998</v>
      </c>
      <c r="L184" s="10">
        <f t="shared" si="14"/>
        <v>0.20580550227486163</v>
      </c>
      <c r="M184" s="10">
        <f t="shared" si="20"/>
        <v>0.22926410442048251</v>
      </c>
      <c r="P184" s="8">
        <f t="shared" si="19"/>
        <v>-3.8385672020982939</v>
      </c>
    </row>
    <row r="185" spans="1:16" x14ac:dyDescent="0.2">
      <c r="A185" s="8">
        <v>91.5</v>
      </c>
      <c r="B185" s="8">
        <v>183</v>
      </c>
      <c r="D185">
        <v>1137.3629807692</v>
      </c>
      <c r="E185">
        <v>320.02980769230999</v>
      </c>
      <c r="F185">
        <v>140.97023523764</v>
      </c>
      <c r="G185">
        <v>118.87998079693</v>
      </c>
      <c r="I185" s="9">
        <f t="shared" si="15"/>
        <v>201.14982689537999</v>
      </c>
      <c r="J185" s="9">
        <f t="shared" si="16"/>
        <v>996.39274553155997</v>
      </c>
      <c r="K185" s="9">
        <f t="shared" si="17"/>
        <v>201.14982689537999</v>
      </c>
      <c r="L185" s="10">
        <f t="shared" si="14"/>
        <v>0.20187805240198703</v>
      </c>
      <c r="M185" s="10">
        <f t="shared" si="20"/>
        <v>0.22546554796599044</v>
      </c>
      <c r="P185" s="8">
        <f t="shared" si="19"/>
        <v>-5.4318154436884436</v>
      </c>
    </row>
    <row r="186" spans="1:16" x14ac:dyDescent="0.2">
      <c r="A186" s="8">
        <v>92</v>
      </c>
      <c r="B186" s="8">
        <v>184</v>
      </c>
      <c r="D186">
        <v>1091.3404050145</v>
      </c>
      <c r="E186">
        <v>309.85631629700998</v>
      </c>
      <c r="F186">
        <v>141.07489198272</v>
      </c>
      <c r="G186">
        <v>118.56553048488</v>
      </c>
      <c r="I186" s="9">
        <f t="shared" si="15"/>
        <v>191.29078581212997</v>
      </c>
      <c r="J186" s="9">
        <f t="shared" si="16"/>
        <v>950.26551303177996</v>
      </c>
      <c r="K186" s="9">
        <f t="shared" si="17"/>
        <v>191.29078581212997</v>
      </c>
      <c r="L186" s="10">
        <f t="shared" si="14"/>
        <v>0.20130246040585562</v>
      </c>
      <c r="M186" s="10">
        <f t="shared" si="20"/>
        <v>0.22501884938824157</v>
      </c>
      <c r="P186" s="8">
        <f t="shared" si="19"/>
        <v>-5.6191765457401388</v>
      </c>
    </row>
    <row r="187" spans="1:16" x14ac:dyDescent="0.2">
      <c r="A187" s="8">
        <v>92.5</v>
      </c>
      <c r="B187" s="8">
        <v>185</v>
      </c>
      <c r="D187">
        <v>1086.7020250723001</v>
      </c>
      <c r="E187">
        <v>308.25554484089002</v>
      </c>
      <c r="F187">
        <v>141.24627940471001</v>
      </c>
      <c r="G187">
        <v>118.78828612578</v>
      </c>
      <c r="I187" s="9">
        <f t="shared" si="15"/>
        <v>189.46725871511001</v>
      </c>
      <c r="J187" s="9">
        <f t="shared" si="16"/>
        <v>945.45574566759012</v>
      </c>
      <c r="K187" s="9">
        <f t="shared" si="17"/>
        <v>189.46725871511001</v>
      </c>
      <c r="L187" s="10">
        <f t="shared" si="14"/>
        <v>0.20039780770629978</v>
      </c>
      <c r="M187" s="10">
        <f t="shared" si="20"/>
        <v>0.22424309010706825</v>
      </c>
      <c r="P187" s="8">
        <f t="shared" si="19"/>
        <v>-5.9445572858802525</v>
      </c>
    </row>
    <row r="188" spans="1:16" x14ac:dyDescent="0.2">
      <c r="A188" s="8">
        <v>93</v>
      </c>
      <c r="B188" s="8">
        <v>186</v>
      </c>
      <c r="D188">
        <v>1081.4440694310999</v>
      </c>
      <c r="E188">
        <v>304.41369334618997</v>
      </c>
      <c r="F188">
        <v>141.18963034085999</v>
      </c>
      <c r="G188">
        <v>118.91214594335</v>
      </c>
      <c r="I188" s="9">
        <f t="shared" si="15"/>
        <v>185.50154740283998</v>
      </c>
      <c r="J188" s="9">
        <f t="shared" si="16"/>
        <v>940.25443909023988</v>
      </c>
      <c r="K188" s="9">
        <f t="shared" si="17"/>
        <v>185.50154740283998</v>
      </c>
      <c r="L188" s="10">
        <f t="shared" si="14"/>
        <v>0.19728866963108979</v>
      </c>
      <c r="M188" s="10">
        <f t="shared" si="20"/>
        <v>0.2212628454502408</v>
      </c>
      <c r="P188" s="8">
        <f t="shared" si="19"/>
        <v>-7.1945767645650038</v>
      </c>
    </row>
    <row r="189" spans="1:16" x14ac:dyDescent="0.2">
      <c r="A189" s="8">
        <v>93.5</v>
      </c>
      <c r="B189" s="8">
        <v>187</v>
      </c>
      <c r="D189">
        <v>1071.9874638379999</v>
      </c>
      <c r="E189">
        <v>301.49662487946</v>
      </c>
      <c r="F189">
        <v>141.25972155545</v>
      </c>
      <c r="G189">
        <v>119.18290926548001</v>
      </c>
      <c r="I189" s="9">
        <f t="shared" si="15"/>
        <v>182.31371561397998</v>
      </c>
      <c r="J189" s="9">
        <f t="shared" si="16"/>
        <v>930.72774228254991</v>
      </c>
      <c r="K189" s="9">
        <f t="shared" si="17"/>
        <v>182.31371561397998</v>
      </c>
      <c r="L189" s="10">
        <f t="shared" si="14"/>
        <v>0.19588297128316742</v>
      </c>
      <c r="M189" s="10">
        <f t="shared" si="20"/>
        <v>0.21998604052070098</v>
      </c>
      <c r="P189" s="8">
        <f t="shared" si="19"/>
        <v>-7.7301136805524706</v>
      </c>
    </row>
    <row r="190" spans="1:16" x14ac:dyDescent="0.2">
      <c r="A190" s="8">
        <v>94</v>
      </c>
      <c r="B190" s="8">
        <v>188</v>
      </c>
      <c r="D190">
        <v>1065.8895853423001</v>
      </c>
      <c r="E190">
        <v>297.39488910317999</v>
      </c>
      <c r="F190">
        <v>140.97983677388001</v>
      </c>
      <c r="G190">
        <v>118.87950072012001</v>
      </c>
      <c r="I190" s="9">
        <f t="shared" si="15"/>
        <v>178.51538838305999</v>
      </c>
      <c r="J190" s="9">
        <f t="shared" si="16"/>
        <v>924.90974856842001</v>
      </c>
      <c r="K190" s="9">
        <f t="shared" si="17"/>
        <v>178.51538838305999</v>
      </c>
      <c r="L190" s="10">
        <f t="shared" si="14"/>
        <v>0.19300844072555945</v>
      </c>
      <c r="M190" s="10">
        <f t="shared" si="20"/>
        <v>0.21724040338147552</v>
      </c>
      <c r="P190" s="8">
        <f t="shared" si="19"/>
        <v>-8.8817305109256086</v>
      </c>
    </row>
    <row r="191" spans="1:16" x14ac:dyDescent="0.2">
      <c r="A191" s="8">
        <v>94.5</v>
      </c>
      <c r="B191" s="8">
        <v>189</v>
      </c>
      <c r="D191">
        <v>1113.7724204435999</v>
      </c>
      <c r="E191">
        <v>302.02459016392999</v>
      </c>
      <c r="F191">
        <v>141.48199711954001</v>
      </c>
      <c r="G191">
        <v>119.05376860298</v>
      </c>
      <c r="I191" s="9">
        <f t="shared" si="15"/>
        <v>182.97082156094999</v>
      </c>
      <c r="J191" s="9">
        <f t="shared" si="16"/>
        <v>972.29042332405993</v>
      </c>
      <c r="K191" s="9">
        <f t="shared" si="17"/>
        <v>182.97082156094999</v>
      </c>
      <c r="L191" s="10">
        <f t="shared" si="14"/>
        <v>0.18818535817252069</v>
      </c>
      <c r="M191" s="10">
        <f t="shared" si="20"/>
        <v>0.2125462142468193</v>
      </c>
      <c r="P191" s="8">
        <f t="shared" si="19"/>
        <v>-10.850638614328455</v>
      </c>
    </row>
    <row r="192" spans="1:16" x14ac:dyDescent="0.2">
      <c r="A192" s="8">
        <v>95</v>
      </c>
      <c r="B192" s="8">
        <v>190</v>
      </c>
      <c r="D192">
        <v>1125.6171648988</v>
      </c>
      <c r="E192">
        <v>302.28881388620999</v>
      </c>
      <c r="F192">
        <v>141.85741718675001</v>
      </c>
      <c r="G192">
        <v>118.88190110418</v>
      </c>
      <c r="I192" s="9">
        <f t="shared" si="15"/>
        <v>183.40691278202999</v>
      </c>
      <c r="J192" s="9">
        <f t="shared" si="16"/>
        <v>983.75974771204994</v>
      </c>
      <c r="K192" s="9">
        <f t="shared" si="17"/>
        <v>183.40691278202999</v>
      </c>
      <c r="L192" s="10">
        <f t="shared" si="14"/>
        <v>0.18643465867411549</v>
      </c>
      <c r="M192" s="10">
        <f t="shared" si="20"/>
        <v>0.21092440816679664</v>
      </c>
      <c r="P192" s="8">
        <f t="shared" si="19"/>
        <v>-11.530881152817155</v>
      </c>
    </row>
    <row r="193" spans="1:16" x14ac:dyDescent="0.2">
      <c r="A193" s="8">
        <v>95.5</v>
      </c>
      <c r="B193" s="8">
        <v>191</v>
      </c>
      <c r="D193">
        <v>1120.3809064609</v>
      </c>
      <c r="E193">
        <v>299.81870781099002</v>
      </c>
      <c r="F193">
        <v>141.61929908785001</v>
      </c>
      <c r="G193">
        <v>119.35813730197</v>
      </c>
      <c r="I193" s="9">
        <f t="shared" si="15"/>
        <v>180.46057050902002</v>
      </c>
      <c r="J193" s="9">
        <f t="shared" si="16"/>
        <v>978.76160737304997</v>
      </c>
      <c r="K193" s="9">
        <f t="shared" si="17"/>
        <v>180.46057050902002</v>
      </c>
      <c r="L193" s="10">
        <f t="shared" si="14"/>
        <v>0.18437642951011093</v>
      </c>
      <c r="M193" s="10">
        <f t="shared" si="20"/>
        <v>0.2089950724211746</v>
      </c>
      <c r="P193" s="8">
        <f t="shared" si="19"/>
        <v>-12.340112454490773</v>
      </c>
    </row>
    <row r="194" spans="1:16" x14ac:dyDescent="0.2">
      <c r="A194" s="8">
        <v>96</v>
      </c>
      <c r="B194" s="8">
        <v>192</v>
      </c>
      <c r="D194">
        <v>1152.7324011572</v>
      </c>
      <c r="E194">
        <v>302.72275795564002</v>
      </c>
      <c r="F194">
        <v>141.31541046568</v>
      </c>
      <c r="G194">
        <v>119.31541046568</v>
      </c>
      <c r="I194" s="9">
        <f t="shared" si="15"/>
        <v>183.40734748996002</v>
      </c>
      <c r="J194" s="9">
        <f t="shared" si="16"/>
        <v>1011.41699069152</v>
      </c>
      <c r="K194" s="9">
        <f t="shared" si="17"/>
        <v>183.40734748996002</v>
      </c>
      <c r="L194" s="10">
        <f t="shared" ref="L194:L257" si="21">K194/J194</f>
        <v>0.18133702437069188</v>
      </c>
      <c r="M194" s="10">
        <f t="shared" si="20"/>
        <v>0.20608456070013809</v>
      </c>
      <c r="P194" s="8">
        <f t="shared" si="19"/>
        <v>-13.560883486124425</v>
      </c>
    </row>
    <row r="195" spans="1:16" x14ac:dyDescent="0.2">
      <c r="A195" s="8">
        <v>96.5</v>
      </c>
      <c r="B195" s="8">
        <v>193</v>
      </c>
      <c r="D195">
        <v>1153.8612048192999</v>
      </c>
      <c r="E195">
        <v>300.91662650602001</v>
      </c>
      <c r="F195">
        <v>141.59577532405001</v>
      </c>
      <c r="G195">
        <v>118.93038886222</v>
      </c>
      <c r="I195" s="9">
        <f t="shared" ref="I195:I241" si="22">E195-G195</f>
        <v>181.9862376438</v>
      </c>
      <c r="J195" s="9">
        <f t="shared" ref="J195:J241" si="23">D195-F195</f>
        <v>1012.2654294952499</v>
      </c>
      <c r="K195" s="9">
        <f t="shared" ref="K195:K258" si="24">I195*1</f>
        <v>181.9862376438</v>
      </c>
      <c r="L195" s="10">
        <f t="shared" si="21"/>
        <v>0.17978114468904124</v>
      </c>
      <c r="M195" s="10">
        <f t="shared" si="20"/>
        <v>0.20465757443686999</v>
      </c>
      <c r="P195" s="8">
        <f t="shared" ref="P195:P241" si="25">(M195-$O$2)/$O$2*100</f>
        <v>-14.159411738096713</v>
      </c>
    </row>
    <row r="196" spans="1:16" x14ac:dyDescent="0.2">
      <c r="A196" s="8">
        <v>97</v>
      </c>
      <c r="B196" s="8">
        <v>194</v>
      </c>
      <c r="D196">
        <v>1149.7151807229</v>
      </c>
      <c r="E196">
        <v>299.35132530121001</v>
      </c>
      <c r="F196">
        <v>141.90206433028999</v>
      </c>
      <c r="G196">
        <v>118.87614018243001</v>
      </c>
      <c r="I196" s="9">
        <f t="shared" si="22"/>
        <v>180.47518511878002</v>
      </c>
      <c r="J196" s="9">
        <f t="shared" si="23"/>
        <v>1007.81311639261</v>
      </c>
      <c r="K196" s="9">
        <f t="shared" si="24"/>
        <v>180.47518511878002</v>
      </c>
      <c r="L196" s="10">
        <f t="shared" si="21"/>
        <v>0.17907604315051698</v>
      </c>
      <c r="M196" s="10">
        <f t="shared" si="20"/>
        <v>0.20408136631672824</v>
      </c>
      <c r="P196" s="8">
        <f t="shared" si="25"/>
        <v>-14.401093699442887</v>
      </c>
    </row>
    <row r="197" spans="1:16" x14ac:dyDescent="0.2">
      <c r="A197" s="8">
        <v>97.5</v>
      </c>
      <c r="B197" s="8">
        <v>195</v>
      </c>
      <c r="D197">
        <v>1110.2587951807</v>
      </c>
      <c r="E197">
        <v>293.33783132529999</v>
      </c>
      <c r="F197">
        <v>141.73163706193</v>
      </c>
      <c r="G197">
        <v>119.37926068170999</v>
      </c>
      <c r="I197" s="9">
        <f t="shared" si="22"/>
        <v>173.95857064359001</v>
      </c>
      <c r="J197" s="9">
        <f t="shared" si="23"/>
        <v>968.52715811876999</v>
      </c>
      <c r="K197" s="9">
        <f t="shared" si="24"/>
        <v>173.95857064359001</v>
      </c>
      <c r="L197" s="10">
        <f t="shared" si="21"/>
        <v>0.17961145352029206</v>
      </c>
      <c r="M197" s="10">
        <f t="shared" si="20"/>
        <v>0.20474567010488587</v>
      </c>
      <c r="P197" s="8">
        <f t="shared" si="25"/>
        <v>-14.122461314997956</v>
      </c>
    </row>
    <row r="198" spans="1:16" x14ac:dyDescent="0.2">
      <c r="A198" s="8">
        <v>98</v>
      </c>
      <c r="B198" s="8">
        <v>196</v>
      </c>
      <c r="D198">
        <v>1079.1701204819001</v>
      </c>
      <c r="E198">
        <v>288.0443373494</v>
      </c>
      <c r="F198">
        <v>142.02256361017999</v>
      </c>
      <c r="G198">
        <v>119.44407105137</v>
      </c>
      <c r="I198" s="9">
        <f t="shared" si="22"/>
        <v>168.60026629802999</v>
      </c>
      <c r="J198" s="9">
        <f t="shared" si="23"/>
        <v>937.1475568717201</v>
      </c>
      <c r="K198" s="9">
        <f t="shared" si="24"/>
        <v>168.60026629802999</v>
      </c>
      <c r="L198" s="10">
        <f t="shared" si="21"/>
        <v>0.17990791851480925</v>
      </c>
      <c r="M198" s="10">
        <f t="shared" si="20"/>
        <v>0.2051710285177856</v>
      </c>
      <c r="P198" s="8">
        <f t="shared" si="25"/>
        <v>-13.94405102900717</v>
      </c>
    </row>
    <row r="199" spans="1:16" x14ac:dyDescent="0.2">
      <c r="A199" s="8">
        <v>98.5</v>
      </c>
      <c r="B199" s="8">
        <v>197</v>
      </c>
      <c r="D199">
        <v>1106.5913253012</v>
      </c>
      <c r="E199">
        <v>290.89349397590001</v>
      </c>
      <c r="F199">
        <v>142.08353336534</v>
      </c>
      <c r="G199">
        <v>119.49879980797</v>
      </c>
      <c r="I199" s="9">
        <f t="shared" si="22"/>
        <v>171.39469416793003</v>
      </c>
      <c r="J199" s="9">
        <f t="shared" si="23"/>
        <v>964.50779193585993</v>
      </c>
      <c r="K199" s="9">
        <f t="shared" si="24"/>
        <v>171.39469416793003</v>
      </c>
      <c r="L199" s="10">
        <f t="shared" si="21"/>
        <v>0.17770172060914552</v>
      </c>
      <c r="M199" s="10">
        <f t="shared" si="20"/>
        <v>0.20309372403050438</v>
      </c>
      <c r="P199" s="8">
        <f t="shared" si="25"/>
        <v>-14.81534562769458</v>
      </c>
    </row>
    <row r="200" spans="1:16" x14ac:dyDescent="0.2">
      <c r="A200" s="8">
        <v>99</v>
      </c>
      <c r="B200" s="8">
        <v>198</v>
      </c>
      <c r="D200">
        <v>1084.2419277107999</v>
      </c>
      <c r="E200">
        <v>288.81975903615</v>
      </c>
      <c r="F200">
        <v>141.80268843015</v>
      </c>
      <c r="G200">
        <v>119.09697551607999</v>
      </c>
      <c r="I200" s="9">
        <f t="shared" si="22"/>
        <v>169.72278352007001</v>
      </c>
      <c r="J200" s="9">
        <f t="shared" si="23"/>
        <v>942.43923928064987</v>
      </c>
      <c r="K200" s="9">
        <f t="shared" si="24"/>
        <v>169.72278352007001</v>
      </c>
      <c r="L200" s="10">
        <f t="shared" si="21"/>
        <v>0.18008883379008808</v>
      </c>
      <c r="M200" s="10">
        <f t="shared" si="20"/>
        <v>0.20560973062982948</v>
      </c>
      <c r="P200" s="8">
        <f t="shared" si="25"/>
        <v>-13.760043926053827</v>
      </c>
    </row>
    <row r="201" spans="1:16" x14ac:dyDescent="0.2">
      <c r="A201" s="8">
        <v>99.5</v>
      </c>
      <c r="B201" s="8">
        <v>199</v>
      </c>
      <c r="D201">
        <v>1097.0144578313</v>
      </c>
      <c r="E201">
        <v>289.90506024095998</v>
      </c>
      <c r="F201">
        <v>141.92030724916</v>
      </c>
      <c r="G201">
        <v>119.32645223236</v>
      </c>
      <c r="I201" s="9">
        <f t="shared" si="22"/>
        <v>170.57860800859999</v>
      </c>
      <c r="J201" s="9">
        <f t="shared" si="23"/>
        <v>955.09415058213995</v>
      </c>
      <c r="K201" s="9">
        <f t="shared" si="24"/>
        <v>170.57860800859999</v>
      </c>
      <c r="L201" s="10">
        <f t="shared" si="21"/>
        <v>0.17859873595145623</v>
      </c>
      <c r="M201" s="10">
        <f t="shared" si="20"/>
        <v>0.20424852620958017</v>
      </c>
      <c r="P201" s="8">
        <f t="shared" si="25"/>
        <v>-14.33098095831572</v>
      </c>
    </row>
    <row r="202" spans="1:16" x14ac:dyDescent="0.2">
      <c r="A202" s="8">
        <v>100</v>
      </c>
      <c r="B202" s="8">
        <v>200</v>
      </c>
      <c r="D202">
        <v>1112.0708433735001</v>
      </c>
      <c r="E202">
        <v>291.96096385542</v>
      </c>
      <c r="F202">
        <v>142.09793566971001</v>
      </c>
      <c r="G202">
        <v>119.57273163706</v>
      </c>
      <c r="I202" s="9">
        <f t="shared" si="22"/>
        <v>172.38823221836</v>
      </c>
      <c r="J202" s="9">
        <f t="shared" si="23"/>
        <v>969.97290770379004</v>
      </c>
      <c r="K202" s="9">
        <f t="shared" si="24"/>
        <v>172.38823221836</v>
      </c>
      <c r="L202" s="10">
        <f t="shared" si="21"/>
        <v>0.17772479091859733</v>
      </c>
      <c r="M202" s="10">
        <f t="shared" si="20"/>
        <v>0.20350347459510379</v>
      </c>
      <c r="P202" s="8">
        <f t="shared" si="25"/>
        <v>-14.643481822493905</v>
      </c>
    </row>
    <row r="203" spans="1:16" x14ac:dyDescent="0.2">
      <c r="A203" s="8">
        <v>100.5</v>
      </c>
      <c r="B203" s="8">
        <v>201</v>
      </c>
      <c r="D203">
        <v>1057.3927710843</v>
      </c>
      <c r="E203">
        <v>283.13445783133</v>
      </c>
      <c r="F203">
        <v>142.03552568411001</v>
      </c>
      <c r="G203">
        <v>119.64138262122</v>
      </c>
      <c r="I203" s="9">
        <f t="shared" si="22"/>
        <v>163.49307521010999</v>
      </c>
      <c r="J203" s="9">
        <f t="shared" si="23"/>
        <v>915.35724540018998</v>
      </c>
      <c r="K203" s="9">
        <f t="shared" si="24"/>
        <v>163.49307521010999</v>
      </c>
      <c r="L203" s="10">
        <f t="shared" si="21"/>
        <v>0.17861122095410034</v>
      </c>
      <c r="M203" s="10">
        <f t="shared" si="20"/>
        <v>0.20451879804898934</v>
      </c>
      <c r="P203" s="8">
        <f t="shared" si="25"/>
        <v>-14.217619438472894</v>
      </c>
    </row>
    <row r="204" spans="1:16" x14ac:dyDescent="0.2">
      <c r="A204" s="8">
        <v>101</v>
      </c>
      <c r="B204" s="8">
        <v>202</v>
      </c>
      <c r="D204">
        <v>1096.4240963855</v>
      </c>
      <c r="E204">
        <v>287.56385542168999</v>
      </c>
      <c r="F204">
        <v>142.30532885261999</v>
      </c>
      <c r="G204">
        <v>119.45943350936</v>
      </c>
      <c r="I204" s="9">
        <f t="shared" si="22"/>
        <v>168.10442191233</v>
      </c>
      <c r="J204" s="9">
        <f t="shared" si="23"/>
        <v>954.11876753287993</v>
      </c>
      <c r="K204" s="9">
        <f t="shared" si="24"/>
        <v>168.10442191233</v>
      </c>
      <c r="L204" s="10">
        <f t="shared" si="21"/>
        <v>0.17618815144681341</v>
      </c>
      <c r="M204" s="10">
        <f t="shared" si="20"/>
        <v>0.20222462196008495</v>
      </c>
      <c r="P204" s="8">
        <f t="shared" si="25"/>
        <v>-15.179877618214455</v>
      </c>
    </row>
    <row r="205" spans="1:16" x14ac:dyDescent="0.2">
      <c r="A205" s="8">
        <v>101.5</v>
      </c>
      <c r="B205" s="8">
        <v>203</v>
      </c>
      <c r="D205">
        <v>1120.5084337349001</v>
      </c>
      <c r="E205">
        <v>291.26409638553997</v>
      </c>
      <c r="F205">
        <v>142.28708593375001</v>
      </c>
      <c r="G205">
        <v>119.29236677869</v>
      </c>
      <c r="I205" s="9">
        <f t="shared" si="22"/>
        <v>171.97172960684998</v>
      </c>
      <c r="J205" s="9">
        <f t="shared" si="23"/>
        <v>978.22134780115016</v>
      </c>
      <c r="K205" s="9">
        <f t="shared" si="24"/>
        <v>171.97172960684998</v>
      </c>
      <c r="L205" s="10">
        <f t="shared" si="21"/>
        <v>0.17580042593980261</v>
      </c>
      <c r="M205" s="10">
        <f t="shared" si="20"/>
        <v>0.20196578987145666</v>
      </c>
      <c r="P205" s="8">
        <f t="shared" si="25"/>
        <v>-15.2884409040349</v>
      </c>
    </row>
    <row r="206" spans="1:16" x14ac:dyDescent="0.2">
      <c r="A206" s="8">
        <v>102</v>
      </c>
      <c r="B206" s="8">
        <v>204</v>
      </c>
      <c r="D206">
        <v>1135.4154216868001</v>
      </c>
      <c r="E206">
        <v>292.82795180723002</v>
      </c>
      <c r="F206">
        <v>142.27172347576001</v>
      </c>
      <c r="G206">
        <v>119.47959673548</v>
      </c>
      <c r="I206" s="9">
        <f t="shared" si="22"/>
        <v>173.34835507175001</v>
      </c>
      <c r="J206" s="9">
        <f t="shared" si="23"/>
        <v>993.14369821104003</v>
      </c>
      <c r="K206" s="9">
        <f t="shared" si="24"/>
        <v>173.34835507175001</v>
      </c>
      <c r="L206" s="10">
        <f t="shared" si="21"/>
        <v>0.17454508887687067</v>
      </c>
      <c r="M206" s="10">
        <f t="shared" si="20"/>
        <v>0.20083934622690727</v>
      </c>
      <c r="P206" s="8">
        <f t="shared" si="25"/>
        <v>-15.760911006146022</v>
      </c>
    </row>
    <row r="207" spans="1:16" x14ac:dyDescent="0.2">
      <c r="A207" s="8">
        <v>102.5</v>
      </c>
      <c r="B207" s="8">
        <v>205</v>
      </c>
      <c r="D207">
        <v>1104.4067469879999</v>
      </c>
      <c r="E207">
        <v>289.98698795181002</v>
      </c>
      <c r="F207">
        <v>142.22371579452999</v>
      </c>
      <c r="G207">
        <v>119.45655304848999</v>
      </c>
      <c r="I207" s="9">
        <f t="shared" si="22"/>
        <v>170.53043490332004</v>
      </c>
      <c r="J207" s="9">
        <f t="shared" si="23"/>
        <v>962.1830311934699</v>
      </c>
      <c r="K207" s="9">
        <f t="shared" si="24"/>
        <v>170.53043490332004</v>
      </c>
      <c r="L207" s="10">
        <f t="shared" si="21"/>
        <v>0.1772328438299291</v>
      </c>
      <c r="M207" s="10">
        <f t="shared" si="20"/>
        <v>0.20365599459834821</v>
      </c>
      <c r="P207" s="8">
        <f t="shared" si="25"/>
        <v>-14.579509566220308</v>
      </c>
    </row>
    <row r="208" spans="1:16" x14ac:dyDescent="0.2">
      <c r="A208" s="8">
        <v>103</v>
      </c>
      <c r="B208" s="8">
        <v>206</v>
      </c>
      <c r="D208">
        <v>1117.6655421687001</v>
      </c>
      <c r="E208">
        <v>291.95036144578</v>
      </c>
      <c r="F208">
        <v>142.16898703793001</v>
      </c>
      <c r="G208">
        <v>119.47575612097999</v>
      </c>
      <c r="I208" s="9">
        <f t="shared" si="22"/>
        <v>172.4746053248</v>
      </c>
      <c r="J208" s="9">
        <f t="shared" si="23"/>
        <v>975.49655513077005</v>
      </c>
      <c r="K208" s="9">
        <f t="shared" si="24"/>
        <v>172.4746053248</v>
      </c>
      <c r="L208" s="10">
        <f t="shared" si="21"/>
        <v>0.17680698554766186</v>
      </c>
      <c r="M208" s="10">
        <f t="shared" si="20"/>
        <v>0.20335902973446351</v>
      </c>
      <c r="P208" s="8">
        <f t="shared" si="25"/>
        <v>-14.704067079809144</v>
      </c>
    </row>
    <row r="209" spans="1:16" x14ac:dyDescent="0.2">
      <c r="A209" s="8">
        <v>103.5</v>
      </c>
      <c r="B209" s="8">
        <v>207</v>
      </c>
      <c r="D209">
        <v>1062.9421686747</v>
      </c>
      <c r="E209">
        <v>284.01445783132999</v>
      </c>
      <c r="F209">
        <v>142.57897263562</v>
      </c>
      <c r="G209">
        <v>119.51608257321</v>
      </c>
      <c r="I209" s="9">
        <f t="shared" si="22"/>
        <v>164.49837525812001</v>
      </c>
      <c r="J209" s="9">
        <f t="shared" si="23"/>
        <v>920.36319603908009</v>
      </c>
      <c r="K209" s="9">
        <f t="shared" si="24"/>
        <v>164.49837525812001</v>
      </c>
      <c r="L209" s="10">
        <f t="shared" si="21"/>
        <v>0.17873202227779558</v>
      </c>
      <c r="M209" s="10">
        <f t="shared" si="20"/>
        <v>0.20541295988297978</v>
      </c>
      <c r="P209" s="8">
        <f t="shared" si="25"/>
        <v>-13.842576501301968</v>
      </c>
    </row>
    <row r="210" spans="1:16" x14ac:dyDescent="0.2">
      <c r="A210" s="8">
        <v>104</v>
      </c>
      <c r="B210" s="8">
        <v>208</v>
      </c>
      <c r="D210">
        <v>1095.9749397590001</v>
      </c>
      <c r="E210">
        <v>287.80963855421999</v>
      </c>
      <c r="F210">
        <v>142.24675948152</v>
      </c>
      <c r="G210">
        <v>119.54344695151001</v>
      </c>
      <c r="I210" s="9">
        <f t="shared" si="22"/>
        <v>168.26619160270997</v>
      </c>
      <c r="J210" s="9">
        <f t="shared" si="23"/>
        <v>953.72818027748008</v>
      </c>
      <c r="K210" s="9">
        <f t="shared" si="24"/>
        <v>168.26619160270997</v>
      </c>
      <c r="L210" s="10">
        <f t="shared" si="21"/>
        <v>0.17642992529984192</v>
      </c>
      <c r="M210" s="10">
        <f t="shared" si="20"/>
        <v>0.20323975632340863</v>
      </c>
      <c r="P210" s="8">
        <f t="shared" si="25"/>
        <v>-14.754094545428861</v>
      </c>
    </row>
    <row r="211" spans="1:16" x14ac:dyDescent="0.2">
      <c r="A211" s="8">
        <v>104.5</v>
      </c>
      <c r="B211" s="8">
        <v>209</v>
      </c>
      <c r="D211">
        <v>1132.1204819277</v>
      </c>
      <c r="E211">
        <v>293.39036144578</v>
      </c>
      <c r="F211">
        <v>142.50072011521999</v>
      </c>
      <c r="G211">
        <v>119.87614018243001</v>
      </c>
      <c r="I211" s="9">
        <f t="shared" si="22"/>
        <v>173.51422126335001</v>
      </c>
      <c r="J211" s="9">
        <f t="shared" si="23"/>
        <v>989.61976181247996</v>
      </c>
      <c r="K211" s="9">
        <f t="shared" si="24"/>
        <v>173.51422126335001</v>
      </c>
      <c r="L211" s="10">
        <f t="shared" si="21"/>
        <v>0.17533423235764839</v>
      </c>
      <c r="M211" s="10">
        <f t="shared" si="20"/>
        <v>0.20227295679959764</v>
      </c>
      <c r="P211" s="8">
        <f t="shared" si="25"/>
        <v>-15.159604285704134</v>
      </c>
    </row>
    <row r="212" spans="1:16" x14ac:dyDescent="0.2">
      <c r="A212" s="8">
        <v>105</v>
      </c>
      <c r="B212" s="8">
        <v>210</v>
      </c>
      <c r="D212">
        <v>1155.6732530121001</v>
      </c>
      <c r="E212">
        <v>296.96240963855001</v>
      </c>
      <c r="F212">
        <v>142.53528564569999</v>
      </c>
      <c r="G212">
        <v>119.52424387902001</v>
      </c>
      <c r="I212" s="9">
        <f t="shared" si="22"/>
        <v>177.43816575953002</v>
      </c>
      <c r="J212" s="9">
        <f t="shared" si="23"/>
        <v>1013.1379673664001</v>
      </c>
      <c r="K212" s="9">
        <f t="shared" si="24"/>
        <v>177.43816575953002</v>
      </c>
      <c r="L212" s="10">
        <f t="shared" si="21"/>
        <v>0.17513721869566432</v>
      </c>
      <c r="M212" s="10">
        <f t="shared" si="20"/>
        <v>0.20220483655599611</v>
      </c>
      <c r="P212" s="8">
        <f t="shared" si="25"/>
        <v>-15.188176312903176</v>
      </c>
    </row>
    <row r="213" spans="1:16" x14ac:dyDescent="0.2">
      <c r="A213" s="8">
        <v>105.5</v>
      </c>
      <c r="B213" s="8">
        <v>211</v>
      </c>
      <c r="D213">
        <v>1155.3542168675001</v>
      </c>
      <c r="E213">
        <v>296.43518072288998</v>
      </c>
      <c r="F213">
        <v>142.42630820931001</v>
      </c>
      <c r="G213">
        <v>119.50072011522001</v>
      </c>
      <c r="I213" s="9">
        <f t="shared" si="22"/>
        <v>176.93446060766996</v>
      </c>
      <c r="J213" s="9">
        <f t="shared" si="23"/>
        <v>1012.9279086581901</v>
      </c>
      <c r="K213" s="9">
        <f t="shared" si="24"/>
        <v>176.93446060766996</v>
      </c>
      <c r="L213" s="10">
        <f t="shared" si="21"/>
        <v>0.17467626184972265</v>
      </c>
      <c r="M213" s="10">
        <f t="shared" si="20"/>
        <v>0.20187277312843699</v>
      </c>
      <c r="P213" s="8">
        <f t="shared" si="25"/>
        <v>-15.327455399154299</v>
      </c>
    </row>
    <row r="214" spans="1:16" x14ac:dyDescent="0.2">
      <c r="A214" s="8">
        <v>106</v>
      </c>
      <c r="B214" s="8">
        <v>212</v>
      </c>
      <c r="D214">
        <v>1145.8222543352999</v>
      </c>
      <c r="E214">
        <v>296.51926782274001</v>
      </c>
      <c r="F214">
        <v>142.59289486317999</v>
      </c>
      <c r="G214">
        <v>119.48391742679</v>
      </c>
      <c r="I214" s="9">
        <f t="shared" si="22"/>
        <v>177.03535039594999</v>
      </c>
      <c r="J214" s="9">
        <f t="shared" si="23"/>
        <v>1003.22935947212</v>
      </c>
      <c r="K214" s="9">
        <f t="shared" si="24"/>
        <v>177.03535039594999</v>
      </c>
      <c r="L214" s="10">
        <f t="shared" si="21"/>
        <v>0.17646547992684603</v>
      </c>
      <c r="M214" s="10">
        <f t="shared" si="20"/>
        <v>0.20379088462394288</v>
      </c>
      <c r="P214" s="8">
        <f t="shared" si="25"/>
        <v>-14.522931942941181</v>
      </c>
    </row>
    <row r="215" spans="1:16" x14ac:dyDescent="0.2">
      <c r="A215" s="8">
        <v>106.5</v>
      </c>
      <c r="B215" s="8">
        <v>213</v>
      </c>
      <c r="D215">
        <v>1148.5597302505</v>
      </c>
      <c r="E215">
        <v>298.34730250481999</v>
      </c>
      <c r="F215">
        <v>142.72155544886999</v>
      </c>
      <c r="G215">
        <v>119.7345175228</v>
      </c>
      <c r="I215" s="9">
        <f t="shared" si="22"/>
        <v>178.61278498202</v>
      </c>
      <c r="J215" s="9">
        <f t="shared" si="23"/>
        <v>1005.83817480163</v>
      </c>
      <c r="K215" s="9">
        <f t="shared" si="24"/>
        <v>178.61278498202</v>
      </c>
      <c r="L215" s="10">
        <f t="shared" si="21"/>
        <v>0.17757606487469593</v>
      </c>
      <c r="M215" s="10">
        <f t="shared" si="20"/>
        <v>0.20503036299017532</v>
      </c>
      <c r="P215" s="8">
        <f t="shared" si="25"/>
        <v>-14.003051101061487</v>
      </c>
    </row>
    <row r="216" spans="1:16" x14ac:dyDescent="0.2">
      <c r="A216" s="8">
        <v>107</v>
      </c>
      <c r="B216" s="8">
        <v>214</v>
      </c>
      <c r="D216">
        <v>1055.939788054</v>
      </c>
      <c r="E216">
        <v>286.93111753372</v>
      </c>
      <c r="F216">
        <v>142.77388382141001</v>
      </c>
      <c r="G216">
        <v>119.4570331253</v>
      </c>
      <c r="I216" s="9">
        <f t="shared" si="22"/>
        <v>167.47408440842</v>
      </c>
      <c r="J216" s="9">
        <f t="shared" si="23"/>
        <v>913.16590423259004</v>
      </c>
      <c r="K216" s="9">
        <f t="shared" si="24"/>
        <v>167.47408440842</v>
      </c>
      <c r="L216" s="10">
        <f t="shared" si="21"/>
        <v>0.1833994059920169</v>
      </c>
      <c r="M216" s="10">
        <f t="shared" si="20"/>
        <v>0.21098259752587883</v>
      </c>
      <c r="P216" s="8">
        <f t="shared" si="25"/>
        <v>-11.50647448803603</v>
      </c>
    </row>
    <row r="217" spans="1:16" x14ac:dyDescent="0.2">
      <c r="A217" s="8">
        <v>107.5</v>
      </c>
      <c r="B217" s="8">
        <v>215</v>
      </c>
      <c r="D217">
        <v>1026.3593448940001</v>
      </c>
      <c r="E217">
        <v>284.27408477841999</v>
      </c>
      <c r="F217">
        <v>142.84493518963001</v>
      </c>
      <c r="G217">
        <v>119.74411905905001</v>
      </c>
      <c r="I217" s="9">
        <f t="shared" si="22"/>
        <v>164.52996571936998</v>
      </c>
      <c r="J217" s="9">
        <f t="shared" si="23"/>
        <v>883.51440970437011</v>
      </c>
      <c r="K217" s="9">
        <f t="shared" si="24"/>
        <v>164.52996571936998</v>
      </c>
      <c r="L217" s="10">
        <f t="shared" si="21"/>
        <v>0.18622216447428722</v>
      </c>
      <c r="M217" s="10">
        <f t="shared" si="20"/>
        <v>0.21393424942653166</v>
      </c>
      <c r="P217" s="8">
        <f t="shared" si="25"/>
        <v>-10.26844781742013</v>
      </c>
    </row>
    <row r="218" spans="1:16" x14ac:dyDescent="0.2">
      <c r="A218" s="8">
        <v>108</v>
      </c>
      <c r="B218" s="8">
        <v>216</v>
      </c>
      <c r="D218">
        <v>1026.6690751445001</v>
      </c>
      <c r="E218">
        <v>284.32610789980998</v>
      </c>
      <c r="F218">
        <v>142.46663466154999</v>
      </c>
      <c r="G218">
        <v>119.79260681709</v>
      </c>
      <c r="I218" s="9">
        <f t="shared" si="22"/>
        <v>164.53350108271997</v>
      </c>
      <c r="J218" s="9">
        <f t="shared" si="23"/>
        <v>884.20244048295012</v>
      </c>
      <c r="K218" s="9">
        <f t="shared" si="24"/>
        <v>164.53350108271997</v>
      </c>
      <c r="L218" s="10">
        <f t="shared" si="21"/>
        <v>0.18608125645169221</v>
      </c>
      <c r="M218" s="10">
        <f t="shared" si="20"/>
        <v>0.2139222348223192</v>
      </c>
      <c r="P218" s="8">
        <f t="shared" si="25"/>
        <v>-10.273487165199803</v>
      </c>
    </row>
    <row r="219" spans="1:16" x14ac:dyDescent="0.2">
      <c r="A219" s="8">
        <v>108.5</v>
      </c>
      <c r="B219" s="8">
        <v>217</v>
      </c>
      <c r="D219">
        <v>1029.2143545279</v>
      </c>
      <c r="E219">
        <v>285.76252408478001</v>
      </c>
      <c r="F219">
        <v>142.80124819970999</v>
      </c>
      <c r="G219">
        <v>119.58905424868</v>
      </c>
      <c r="I219" s="9">
        <f t="shared" si="22"/>
        <v>166.17346983610003</v>
      </c>
      <c r="J219" s="9">
        <f t="shared" si="23"/>
        <v>886.41310632819</v>
      </c>
      <c r="K219" s="9">
        <f t="shared" si="24"/>
        <v>166.17346983610003</v>
      </c>
      <c r="L219" s="10">
        <f t="shared" si="21"/>
        <v>0.18746729786571448</v>
      </c>
      <c r="M219" s="10">
        <f t="shared" si="20"/>
        <v>0.21543716965472398</v>
      </c>
      <c r="P219" s="8">
        <f t="shared" si="25"/>
        <v>-9.6380701885748401</v>
      </c>
    </row>
    <row r="220" spans="1:16" x14ac:dyDescent="0.2">
      <c r="A220" s="8">
        <v>109</v>
      </c>
      <c r="B220" s="8">
        <v>218</v>
      </c>
      <c r="D220">
        <v>1036.8882466281</v>
      </c>
      <c r="E220">
        <v>287.62186897881003</v>
      </c>
      <c r="F220">
        <v>142.46999519923</v>
      </c>
      <c r="G220">
        <v>119.64330292847001</v>
      </c>
      <c r="I220" s="9">
        <f t="shared" si="22"/>
        <v>167.97856605034002</v>
      </c>
      <c r="J220" s="9">
        <f t="shared" si="23"/>
        <v>894.41825142887001</v>
      </c>
      <c r="K220" s="9">
        <f t="shared" si="24"/>
        <v>167.97856605034002</v>
      </c>
      <c r="L220" s="10">
        <f t="shared" si="21"/>
        <v>0.1878076233149171</v>
      </c>
      <c r="M220" s="10">
        <f t="shared" si="20"/>
        <v>0.21590638852230915</v>
      </c>
      <c r="P220" s="8">
        <f t="shared" si="25"/>
        <v>-9.4412632845160847</v>
      </c>
    </row>
    <row r="221" spans="1:16" x14ac:dyDescent="0.2">
      <c r="A221" s="8">
        <v>109.5</v>
      </c>
      <c r="B221" s="8">
        <v>219</v>
      </c>
      <c r="D221">
        <v>1043.5804431598999</v>
      </c>
      <c r="E221">
        <v>288.33333333333002</v>
      </c>
      <c r="F221">
        <v>142.92030724916</v>
      </c>
      <c r="G221">
        <v>119.83197311569999</v>
      </c>
      <c r="I221" s="9">
        <f t="shared" si="22"/>
        <v>168.50136021763001</v>
      </c>
      <c r="J221" s="9">
        <f t="shared" si="23"/>
        <v>900.66013591073988</v>
      </c>
      <c r="K221" s="9">
        <f t="shared" si="24"/>
        <v>168.50136021763001</v>
      </c>
      <c r="L221" s="10">
        <f t="shared" si="21"/>
        <v>0.18708650854991252</v>
      </c>
      <c r="M221" s="10">
        <f t="shared" si="20"/>
        <v>0.2153141671756871</v>
      </c>
      <c r="P221" s="8">
        <f t="shared" si="25"/>
        <v>-9.6896617565256022</v>
      </c>
    </row>
    <row r="222" spans="1:16" x14ac:dyDescent="0.2">
      <c r="A222" s="8">
        <v>110</v>
      </c>
      <c r="B222" s="8">
        <v>220</v>
      </c>
      <c r="D222">
        <v>1109.9137764933</v>
      </c>
      <c r="E222">
        <v>300.11223506744</v>
      </c>
      <c r="F222">
        <v>142.73259721554999</v>
      </c>
      <c r="G222">
        <v>119.86989918387</v>
      </c>
      <c r="I222" s="9">
        <f t="shared" si="22"/>
        <v>180.24233588356998</v>
      </c>
      <c r="J222" s="9">
        <f t="shared" si="23"/>
        <v>967.18117927775006</v>
      </c>
      <c r="K222" s="9">
        <f t="shared" si="24"/>
        <v>180.24233588356998</v>
      </c>
      <c r="L222" s="10">
        <f t="shared" si="21"/>
        <v>0.18635839876264684</v>
      </c>
      <c r="M222" s="10">
        <f t="shared" si="20"/>
        <v>0.21471495080680394</v>
      </c>
      <c r="P222" s="8">
        <f t="shared" si="25"/>
        <v>-9.9409941870140663</v>
      </c>
    </row>
    <row r="223" spans="1:16" x14ac:dyDescent="0.2">
      <c r="A223" s="8">
        <v>110.5</v>
      </c>
      <c r="B223" s="8">
        <v>221</v>
      </c>
      <c r="D223">
        <v>1149.7822736031001</v>
      </c>
      <c r="E223">
        <v>307.23506743738</v>
      </c>
      <c r="F223">
        <v>142.80700912146</v>
      </c>
      <c r="G223">
        <v>119.59577532405</v>
      </c>
      <c r="I223" s="9">
        <f t="shared" si="22"/>
        <v>187.63929211332999</v>
      </c>
      <c r="J223" s="9">
        <f t="shared" si="23"/>
        <v>1006.9752644816401</v>
      </c>
      <c r="K223" s="9">
        <f t="shared" si="24"/>
        <v>187.63929211332999</v>
      </c>
      <c r="L223" s="10">
        <f t="shared" si="21"/>
        <v>0.18633952464554421</v>
      </c>
      <c r="M223" s="10">
        <f t="shared" si="20"/>
        <v>0.21482497010808385</v>
      </c>
      <c r="P223" s="8">
        <f t="shared" si="25"/>
        <v>-9.8948482206699566</v>
      </c>
    </row>
    <row r="224" spans="1:16" x14ac:dyDescent="0.2">
      <c r="A224" s="8">
        <v>111</v>
      </c>
      <c r="B224" s="8">
        <v>222</v>
      </c>
      <c r="D224">
        <v>1160.5110789980999</v>
      </c>
      <c r="E224">
        <v>309.68545279383</v>
      </c>
      <c r="F224">
        <v>142.71675468075</v>
      </c>
      <c r="G224">
        <v>119.75324051848</v>
      </c>
      <c r="I224" s="9">
        <f t="shared" si="22"/>
        <v>189.93221227535</v>
      </c>
      <c r="J224" s="9">
        <f t="shared" si="23"/>
        <v>1017.7943243173499</v>
      </c>
      <c r="K224" s="9">
        <f t="shared" si="24"/>
        <v>189.93221227535</v>
      </c>
      <c r="L224" s="10">
        <f t="shared" si="21"/>
        <v>0.18661158520680532</v>
      </c>
      <c r="M224" s="10">
        <f t="shared" si="20"/>
        <v>0.2152259240877275</v>
      </c>
      <c r="P224" s="8">
        <f t="shared" si="25"/>
        <v>-9.7266740127362095</v>
      </c>
    </row>
    <row r="225" spans="1:16" x14ac:dyDescent="0.2">
      <c r="A225" s="8">
        <v>111.5</v>
      </c>
      <c r="B225" s="8">
        <v>223</v>
      </c>
      <c r="D225">
        <v>1059.8078034682001</v>
      </c>
      <c r="E225">
        <v>298.46387283236999</v>
      </c>
      <c r="F225">
        <v>142.38598175708</v>
      </c>
      <c r="G225">
        <v>119.87181949111999</v>
      </c>
      <c r="I225" s="9">
        <f t="shared" si="22"/>
        <v>178.59205334124999</v>
      </c>
      <c r="J225" s="9">
        <f t="shared" si="23"/>
        <v>917.42182171112006</v>
      </c>
      <c r="K225" s="9">
        <f t="shared" si="24"/>
        <v>178.59205334124999</v>
      </c>
      <c r="L225" s="10">
        <f t="shared" si="21"/>
        <v>0.19466732653922578</v>
      </c>
      <c r="M225" s="10">
        <f t="shared" si="20"/>
        <v>0.22341055883853048</v>
      </c>
      <c r="P225" s="8">
        <f t="shared" si="25"/>
        <v>-6.2937501952282302</v>
      </c>
    </row>
    <row r="226" spans="1:16" x14ac:dyDescent="0.2">
      <c r="A226" s="8">
        <v>112</v>
      </c>
      <c r="B226" s="8">
        <v>224</v>
      </c>
      <c r="D226">
        <v>1070.2418111753</v>
      </c>
      <c r="E226">
        <v>301.10452793834003</v>
      </c>
      <c r="F226">
        <v>142.9529524724</v>
      </c>
      <c r="G226">
        <v>119.47719635142001</v>
      </c>
      <c r="I226" s="9">
        <f t="shared" si="22"/>
        <v>181.62733158692004</v>
      </c>
      <c r="J226" s="9">
        <f t="shared" si="23"/>
        <v>927.28885870289992</v>
      </c>
      <c r="K226" s="9">
        <f t="shared" si="24"/>
        <v>181.62733158692004</v>
      </c>
      <c r="L226" s="10">
        <f t="shared" si="21"/>
        <v>0.19586920502957622</v>
      </c>
      <c r="M226" s="10">
        <f t="shared" si="20"/>
        <v>0.22474133074726346</v>
      </c>
      <c r="P226" s="8">
        <f t="shared" si="25"/>
        <v>-5.7355776291632843</v>
      </c>
    </row>
    <row r="227" spans="1:16" x14ac:dyDescent="0.2">
      <c r="A227" s="8">
        <v>112.5</v>
      </c>
      <c r="B227" s="8">
        <v>225</v>
      </c>
      <c r="D227">
        <v>1069.2124277457001</v>
      </c>
      <c r="E227">
        <v>301.81021194605</v>
      </c>
      <c r="F227">
        <v>142.95775324051999</v>
      </c>
      <c r="G227">
        <v>119.93374939989999</v>
      </c>
      <c r="I227" s="9">
        <f t="shared" si="22"/>
        <v>181.87646254615001</v>
      </c>
      <c r="J227" s="9">
        <f t="shared" si="23"/>
        <v>926.25467450518011</v>
      </c>
      <c r="K227" s="9">
        <f t="shared" si="24"/>
        <v>181.87646254615001</v>
      </c>
      <c r="L227" s="10">
        <f t="shared" si="21"/>
        <v>0.19635686334680177</v>
      </c>
      <c r="M227" s="10">
        <f t="shared" si="20"/>
        <v>0.22535788248287156</v>
      </c>
      <c r="P227" s="8">
        <f t="shared" si="25"/>
        <v>-5.4769741358690647</v>
      </c>
    </row>
    <row r="228" spans="1:16" x14ac:dyDescent="0.2">
      <c r="A228" s="8">
        <v>113</v>
      </c>
      <c r="B228" s="8">
        <v>226</v>
      </c>
      <c r="D228">
        <v>1114.4672447014</v>
      </c>
      <c r="E228">
        <v>307.73073217725999</v>
      </c>
      <c r="F228">
        <v>143.10993759000999</v>
      </c>
      <c r="G228">
        <v>119.69371099376001</v>
      </c>
      <c r="I228" s="9">
        <f t="shared" si="22"/>
        <v>188.03702118349997</v>
      </c>
      <c r="J228" s="9">
        <f t="shared" si="23"/>
        <v>971.35730711139001</v>
      </c>
      <c r="K228" s="9">
        <f t="shared" si="24"/>
        <v>188.03702118349997</v>
      </c>
      <c r="L228" s="10">
        <f t="shared" si="21"/>
        <v>0.19358172302495164</v>
      </c>
      <c r="M228" s="10">
        <f t="shared" si="20"/>
        <v>0.22271163557940393</v>
      </c>
      <c r="P228" s="8">
        <f t="shared" si="25"/>
        <v>-6.5869032039963278</v>
      </c>
    </row>
    <row r="229" spans="1:16" x14ac:dyDescent="0.2">
      <c r="A229" s="8">
        <v>113.5</v>
      </c>
      <c r="B229" s="8">
        <v>227</v>
      </c>
      <c r="D229">
        <v>1129.5664739884</v>
      </c>
      <c r="E229">
        <v>312.08285163776998</v>
      </c>
      <c r="F229">
        <v>143.46711473836001</v>
      </c>
      <c r="G229">
        <v>119.76428228517</v>
      </c>
      <c r="I229" s="9">
        <f t="shared" si="22"/>
        <v>192.31856935259998</v>
      </c>
      <c r="J229" s="9">
        <f t="shared" si="23"/>
        <v>986.09935925004004</v>
      </c>
      <c r="K229" s="9">
        <f t="shared" si="24"/>
        <v>192.31856935259998</v>
      </c>
      <c r="L229" s="10">
        <f t="shared" si="21"/>
        <v>0.19502960583897386</v>
      </c>
      <c r="M229" s="10">
        <f t="shared" si="20"/>
        <v>0.2242884118118087</v>
      </c>
      <c r="P229" s="8">
        <f t="shared" si="25"/>
        <v>-5.925547768120369</v>
      </c>
    </row>
    <row r="230" spans="1:16" x14ac:dyDescent="0.2">
      <c r="A230" s="8">
        <v>114</v>
      </c>
      <c r="B230" s="8">
        <v>228</v>
      </c>
      <c r="D230">
        <v>1155.9089595375999</v>
      </c>
      <c r="E230">
        <v>317.33333333333002</v>
      </c>
      <c r="F230">
        <v>143.31541046568</v>
      </c>
      <c r="G230">
        <v>119.90878540567</v>
      </c>
      <c r="I230" s="9">
        <f t="shared" si="22"/>
        <v>197.42454792766</v>
      </c>
      <c r="J230" s="9">
        <f t="shared" si="23"/>
        <v>1012.5935490719199</v>
      </c>
      <c r="K230" s="9">
        <f t="shared" si="24"/>
        <v>197.42454792766</v>
      </c>
      <c r="L230" s="10">
        <f t="shared" si="21"/>
        <v>0.19496919381780284</v>
      </c>
      <c r="M230" s="10">
        <f t="shared" si="20"/>
        <v>0.22435689320902022</v>
      </c>
      <c r="P230" s="8">
        <f t="shared" si="25"/>
        <v>-5.896824260388934</v>
      </c>
    </row>
    <row r="231" spans="1:16" x14ac:dyDescent="0.2">
      <c r="A231" s="8">
        <v>114.5</v>
      </c>
      <c r="B231" s="8">
        <v>229</v>
      </c>
      <c r="D231">
        <v>1129.2668593449</v>
      </c>
      <c r="E231">
        <v>316.53757225433998</v>
      </c>
      <c r="F231">
        <v>143.14450312049999</v>
      </c>
      <c r="G231">
        <v>119.79980796928</v>
      </c>
      <c r="I231" s="9">
        <f t="shared" si="22"/>
        <v>196.73776428506</v>
      </c>
      <c r="J231" s="9">
        <f t="shared" si="23"/>
        <v>986.12235622440005</v>
      </c>
      <c r="K231" s="9">
        <f t="shared" si="24"/>
        <v>196.73776428506</v>
      </c>
      <c r="L231" s="10">
        <f t="shared" si="21"/>
        <v>0.19950644364084444</v>
      </c>
      <c r="M231" s="10">
        <f t="shared" si="20"/>
        <v>0.22902303645044433</v>
      </c>
      <c r="P231" s="8">
        <f t="shared" si="25"/>
        <v>-3.9396795914936971</v>
      </c>
    </row>
    <row r="232" spans="1:16" x14ac:dyDescent="0.2">
      <c r="A232" s="8">
        <v>115</v>
      </c>
      <c r="B232" s="8">
        <v>230</v>
      </c>
      <c r="D232">
        <v>1065.0158959538001</v>
      </c>
      <c r="E232">
        <v>308.98458574181001</v>
      </c>
      <c r="F232">
        <v>143.00720115217999</v>
      </c>
      <c r="G232">
        <v>120.17282765242</v>
      </c>
      <c r="I232" s="9">
        <f t="shared" si="22"/>
        <v>188.81175808939003</v>
      </c>
      <c r="J232" s="9">
        <f t="shared" si="23"/>
        <v>922.00869480162009</v>
      </c>
      <c r="K232" s="9">
        <f t="shared" si="24"/>
        <v>188.81175808939003</v>
      </c>
      <c r="L232" s="10">
        <f t="shared" si="21"/>
        <v>0.20478305590167439</v>
      </c>
      <c r="M232" s="10">
        <f t="shared" si="20"/>
        <v>0.23442854212965683</v>
      </c>
      <c r="P232" s="8">
        <f t="shared" si="25"/>
        <v>-1.6724202993154258</v>
      </c>
    </row>
    <row r="233" spans="1:16" x14ac:dyDescent="0.2">
      <c r="A233" s="8">
        <v>115.5</v>
      </c>
      <c r="B233" s="8">
        <v>231</v>
      </c>
      <c r="D233">
        <v>1075.6820809249</v>
      </c>
      <c r="E233">
        <v>311.29865125241002</v>
      </c>
      <c r="F233">
        <v>142.94575132021001</v>
      </c>
      <c r="G233">
        <v>119.71291406624999</v>
      </c>
      <c r="I233" s="9">
        <f t="shared" si="22"/>
        <v>191.58573718616003</v>
      </c>
      <c r="J233" s="9">
        <f t="shared" si="23"/>
        <v>932.73632960469001</v>
      </c>
      <c r="K233" s="9">
        <f t="shared" si="24"/>
        <v>191.58573718616003</v>
      </c>
      <c r="L233" s="10">
        <f t="shared" si="21"/>
        <v>0.20540181732532861</v>
      </c>
      <c r="M233" s="10">
        <f t="shared" si="20"/>
        <v>0.23517619697169359</v>
      </c>
      <c r="P233" s="8">
        <f t="shared" si="25"/>
        <v>-1.3588275498953795</v>
      </c>
    </row>
    <row r="234" spans="1:16" x14ac:dyDescent="0.2">
      <c r="A234" s="8">
        <v>116</v>
      </c>
      <c r="B234" s="8">
        <v>232</v>
      </c>
      <c r="D234">
        <v>1057.5370905587999</v>
      </c>
      <c r="E234">
        <v>308.33622350674</v>
      </c>
      <c r="F234">
        <v>143.24435909746001</v>
      </c>
      <c r="G234">
        <v>119.89006240998999</v>
      </c>
      <c r="I234" s="9">
        <f t="shared" si="22"/>
        <v>188.44616109675002</v>
      </c>
      <c r="J234" s="9">
        <f t="shared" si="23"/>
        <v>914.29273146133994</v>
      </c>
      <c r="K234" s="9">
        <f t="shared" si="24"/>
        <v>188.44616109675002</v>
      </c>
      <c r="L234" s="10">
        <f t="shared" si="21"/>
        <v>0.2061114067871361</v>
      </c>
      <c r="M234" s="10">
        <f t="shared" si="20"/>
        <v>0.2360146798518836</v>
      </c>
      <c r="P234" s="8">
        <f t="shared" si="25"/>
        <v>-1.0071383251936219</v>
      </c>
    </row>
    <row r="235" spans="1:16" x14ac:dyDescent="0.2">
      <c r="A235" s="8">
        <v>116.5</v>
      </c>
      <c r="B235" s="8">
        <v>233</v>
      </c>
      <c r="D235">
        <v>1079.4556840077</v>
      </c>
      <c r="E235">
        <v>312.49373795760999</v>
      </c>
      <c r="F235">
        <v>143.63226116179001</v>
      </c>
      <c r="G235">
        <v>119.88862217955</v>
      </c>
      <c r="I235" s="9">
        <f t="shared" si="22"/>
        <v>192.60511577806</v>
      </c>
      <c r="J235" s="9">
        <f t="shared" si="23"/>
        <v>935.82342284591004</v>
      </c>
      <c r="K235" s="9">
        <f t="shared" si="24"/>
        <v>192.60511577806</v>
      </c>
      <c r="L235" s="10">
        <f t="shared" si="21"/>
        <v>0.20581352323105273</v>
      </c>
      <c r="M235" s="10">
        <f t="shared" si="20"/>
        <v>0.23584568971418277</v>
      </c>
      <c r="P235" s="8">
        <f t="shared" si="25"/>
        <v>-1.0780187354135427</v>
      </c>
    </row>
    <row r="236" spans="1:16" x14ac:dyDescent="0.2">
      <c r="A236" s="8">
        <v>117</v>
      </c>
      <c r="B236" s="8">
        <v>234</v>
      </c>
      <c r="D236">
        <v>1013.3246628131</v>
      </c>
      <c r="E236">
        <v>302.36801541426001</v>
      </c>
      <c r="F236">
        <v>142.61113778205001</v>
      </c>
      <c r="G236">
        <v>119.83917426788</v>
      </c>
      <c r="I236" s="9">
        <f t="shared" si="22"/>
        <v>182.52884114638002</v>
      </c>
      <c r="J236" s="9">
        <f t="shared" si="23"/>
        <v>870.71352503104993</v>
      </c>
      <c r="K236" s="9">
        <f t="shared" si="24"/>
        <v>182.52884114638002</v>
      </c>
      <c r="L236" s="10">
        <f t="shared" si="21"/>
        <v>0.20963133786152108</v>
      </c>
      <c r="M236" s="10">
        <f t="shared" si="20"/>
        <v>0.23979239776303363</v>
      </c>
      <c r="P236" s="8">
        <f t="shared" si="25"/>
        <v>0.5773694980468862</v>
      </c>
    </row>
    <row r="237" spans="1:16" x14ac:dyDescent="0.2">
      <c r="A237" s="8">
        <v>117.5</v>
      </c>
      <c r="B237" s="8">
        <v>235</v>
      </c>
      <c r="D237">
        <v>1031.0746628131001</v>
      </c>
      <c r="E237">
        <v>306.27649325625998</v>
      </c>
      <c r="F237">
        <v>143.12818050888001</v>
      </c>
      <c r="G237">
        <v>120.14786365819</v>
      </c>
      <c r="I237" s="9">
        <f t="shared" si="22"/>
        <v>186.12862959806998</v>
      </c>
      <c r="J237" s="9">
        <f t="shared" si="23"/>
        <v>887.94648230422013</v>
      </c>
      <c r="K237" s="9">
        <f t="shared" si="24"/>
        <v>186.12862959806998</v>
      </c>
      <c r="L237" s="10">
        <f t="shared" si="21"/>
        <v>0.20961694573648898</v>
      </c>
      <c r="M237" s="10">
        <f t="shared" si="20"/>
        <v>0.23990689905638407</v>
      </c>
      <c r="P237" s="8">
        <f t="shared" si="25"/>
        <v>0.62539536957886188</v>
      </c>
    </row>
    <row r="238" spans="1:16" x14ac:dyDescent="0.2">
      <c r="A238" s="8">
        <v>118</v>
      </c>
      <c r="B238" s="8">
        <v>236</v>
      </c>
      <c r="D238">
        <v>1073.0419075145001</v>
      </c>
      <c r="E238">
        <v>313.27360308285</v>
      </c>
      <c r="F238">
        <v>142.95391262602001</v>
      </c>
      <c r="G238">
        <v>119.71195391262999</v>
      </c>
      <c r="I238" s="9">
        <f t="shared" si="22"/>
        <v>193.56164917021999</v>
      </c>
      <c r="J238" s="9">
        <f t="shared" si="23"/>
        <v>930.08799488848001</v>
      </c>
      <c r="K238" s="9">
        <f t="shared" si="24"/>
        <v>193.56164917021999</v>
      </c>
      <c r="L238" s="10">
        <f t="shared" si="21"/>
        <v>0.20811111446872135</v>
      </c>
      <c r="M238" s="10">
        <f t="shared" si="20"/>
        <v>0.23852996120699899</v>
      </c>
      <c r="P238" s="8">
        <f t="shared" si="25"/>
        <v>4.7859183505497088E-2</v>
      </c>
    </row>
    <row r="239" spans="1:16" x14ac:dyDescent="0.2">
      <c r="A239" s="8">
        <v>118.5</v>
      </c>
      <c r="B239" s="8">
        <v>237</v>
      </c>
      <c r="D239">
        <v>1085.6141618496999</v>
      </c>
      <c r="E239">
        <v>319.29768786126999</v>
      </c>
      <c r="F239">
        <v>143.05904944791001</v>
      </c>
      <c r="G239">
        <v>119.81997119539</v>
      </c>
      <c r="I239" s="9">
        <f t="shared" si="22"/>
        <v>199.47771666588</v>
      </c>
      <c r="J239" s="9">
        <f t="shared" si="23"/>
        <v>942.55511240178998</v>
      </c>
      <c r="K239" s="9">
        <f t="shared" si="24"/>
        <v>199.47771666588</v>
      </c>
      <c r="L239" s="10">
        <f t="shared" si="21"/>
        <v>0.2116350694418038</v>
      </c>
      <c r="M239" s="10">
        <f t="shared" si="20"/>
        <v>0.24218280959846394</v>
      </c>
      <c r="P239" s="8">
        <f t="shared" si="25"/>
        <v>1.5799923362494857</v>
      </c>
    </row>
    <row r="240" spans="1:16" x14ac:dyDescent="0.2">
      <c r="A240" s="8">
        <v>119</v>
      </c>
      <c r="B240" s="8">
        <v>238</v>
      </c>
      <c r="D240">
        <v>1101.3256262042</v>
      </c>
      <c r="E240">
        <v>322.22784200385001</v>
      </c>
      <c r="F240">
        <v>143.31877100336001</v>
      </c>
      <c r="G240">
        <v>119.81421027364</v>
      </c>
      <c r="I240" s="9">
        <f t="shared" si="22"/>
        <v>202.41363173021</v>
      </c>
      <c r="J240" s="9">
        <f t="shared" si="23"/>
        <v>958.00685520084005</v>
      </c>
      <c r="K240" s="9">
        <f t="shared" si="24"/>
        <v>202.41363173021</v>
      </c>
      <c r="L240" s="10">
        <f t="shared" si="21"/>
        <v>0.21128620388397457</v>
      </c>
      <c r="M240" s="10">
        <f t="shared" si="20"/>
        <v>0.24196283745901725</v>
      </c>
      <c r="P240" s="8">
        <f t="shared" si="25"/>
        <v>1.4877282805296332</v>
      </c>
    </row>
    <row r="241" spans="1:16" x14ac:dyDescent="0.2">
      <c r="A241" s="8">
        <v>119.5</v>
      </c>
      <c r="B241" s="8">
        <v>239</v>
      </c>
      <c r="D241">
        <v>1067.6820809249</v>
      </c>
      <c r="E241">
        <v>317.67341040461997</v>
      </c>
      <c r="F241">
        <v>143.01632261162001</v>
      </c>
      <c r="G241">
        <v>119.99855976956</v>
      </c>
      <c r="I241" s="9">
        <f t="shared" si="22"/>
        <v>197.67485063505995</v>
      </c>
      <c r="J241" s="9">
        <f t="shared" si="23"/>
        <v>924.66575831327998</v>
      </c>
      <c r="K241" s="9">
        <f t="shared" si="24"/>
        <v>197.67485063505995</v>
      </c>
      <c r="L241" s="10">
        <f t="shared" si="21"/>
        <v>0.21377978892140076</v>
      </c>
      <c r="M241" s="10">
        <f t="shared" si="20"/>
        <v>0.24458531591482599</v>
      </c>
      <c r="P241" s="8">
        <f t="shared" si="25"/>
        <v>2.587688025338541</v>
      </c>
    </row>
    <row r="242" spans="1:16" x14ac:dyDescent="0.2">
      <c r="A242" s="8">
        <v>120</v>
      </c>
      <c r="B242" s="8">
        <v>240</v>
      </c>
      <c r="D242">
        <v>1063.1955684008001</v>
      </c>
      <c r="E242">
        <v>319.63631984585999</v>
      </c>
      <c r="F242">
        <v>143.06721075371999</v>
      </c>
      <c r="G242">
        <v>119.57705232837</v>
      </c>
      <c r="I242" s="9">
        <f>E242-G242</f>
        <v>200.05926751748999</v>
      </c>
      <c r="J242" s="9">
        <f>D242-F242</f>
        <v>920.12835764708007</v>
      </c>
      <c r="K242" s="9">
        <f t="shared" si="24"/>
        <v>200.05926751748999</v>
      </c>
      <c r="L242" s="10">
        <f t="shared" si="21"/>
        <v>0.21742539054993862</v>
      </c>
      <c r="M242" s="10">
        <f>L242+ABS($N$2)*A242</f>
        <v>0.24835981096174636</v>
      </c>
      <c r="O242" s="11"/>
      <c r="P242" s="8">
        <f>(M242-$O$2)/$O$2*100</f>
        <v>4.1708440659141601</v>
      </c>
    </row>
    <row r="243" spans="1:16" x14ac:dyDescent="0.2">
      <c r="A243" s="8">
        <v>120.5</v>
      </c>
      <c r="B243" s="8">
        <v>241</v>
      </c>
      <c r="D243">
        <v>1044.3665703275999</v>
      </c>
      <c r="E243">
        <v>316.41377649326</v>
      </c>
      <c r="F243">
        <v>143.05904944791001</v>
      </c>
      <c r="G243">
        <v>120.10705712914</v>
      </c>
      <c r="I243" s="9">
        <f t="shared" ref="I243:I274" si="26">E243-G243</f>
        <v>196.30671936412</v>
      </c>
      <c r="J243" s="9">
        <f t="shared" ref="J243:J274" si="27">D243-F243</f>
        <v>901.30752087968995</v>
      </c>
      <c r="K243" s="9">
        <f t="shared" si="24"/>
        <v>196.30671936412</v>
      </c>
      <c r="L243" s="10">
        <f t="shared" si="21"/>
        <v>0.21780215388918717</v>
      </c>
      <c r="M243" s="10">
        <f t="shared" ref="M243:M274" si="28">L243+ABS($N$2)*A243</f>
        <v>0.24886546771937745</v>
      </c>
      <c r="P243" s="8">
        <f t="shared" ref="P243:P274" si="29">(M243-$O$2)/$O$2*100</f>
        <v>4.3829343032439718</v>
      </c>
    </row>
    <row r="244" spans="1:16" x14ac:dyDescent="0.2">
      <c r="A244" s="8">
        <v>121</v>
      </c>
      <c r="B244" s="8">
        <v>242</v>
      </c>
      <c r="D244">
        <v>1024.4600192677999</v>
      </c>
      <c r="E244">
        <v>313.57755298651</v>
      </c>
      <c r="F244">
        <v>143.10369659145999</v>
      </c>
      <c r="G244">
        <v>119.86941910706</v>
      </c>
      <c r="I244" s="9">
        <f t="shared" si="26"/>
        <v>193.70813387945</v>
      </c>
      <c r="J244" s="9">
        <f t="shared" si="27"/>
        <v>881.35632267633991</v>
      </c>
      <c r="K244" s="9">
        <f t="shared" si="24"/>
        <v>193.70813387945</v>
      </c>
      <c r="L244" s="10">
        <f t="shared" si="21"/>
        <v>0.21978413145234263</v>
      </c>
      <c r="M244" s="10">
        <f t="shared" si="28"/>
        <v>0.25097633870091546</v>
      </c>
      <c r="N244" s="1"/>
      <c r="P244" s="8">
        <f t="shared" si="29"/>
        <v>5.2683078707690632</v>
      </c>
    </row>
    <row r="245" spans="1:16" x14ac:dyDescent="0.2">
      <c r="A245" s="8">
        <v>121.5</v>
      </c>
      <c r="B245" s="8">
        <v>243</v>
      </c>
      <c r="D245">
        <v>1084.8540462428</v>
      </c>
      <c r="E245">
        <v>325.52697495183003</v>
      </c>
      <c r="F245">
        <v>143.02448391742999</v>
      </c>
      <c r="G245">
        <v>119.72299567931</v>
      </c>
      <c r="I245" s="9">
        <f t="shared" si="26"/>
        <v>205.80397927252002</v>
      </c>
      <c r="J245" s="9">
        <f t="shared" si="27"/>
        <v>941.82956232537003</v>
      </c>
      <c r="K245" s="9">
        <f t="shared" si="24"/>
        <v>205.80397927252002</v>
      </c>
      <c r="L245" s="10">
        <f t="shared" si="21"/>
        <v>0.21851509817168147</v>
      </c>
      <c r="M245" s="10">
        <f t="shared" si="28"/>
        <v>0.24983619883863684</v>
      </c>
      <c r="P245" s="8">
        <f t="shared" si="29"/>
        <v>4.7900930929962913</v>
      </c>
    </row>
    <row r="246" spans="1:16" x14ac:dyDescent="0.2">
      <c r="A246" s="8">
        <v>122</v>
      </c>
      <c r="B246" s="8">
        <v>244</v>
      </c>
      <c r="D246">
        <v>1072.6401734103999</v>
      </c>
      <c r="E246">
        <v>325.40028901734001</v>
      </c>
      <c r="F246">
        <v>143.37493999040001</v>
      </c>
      <c r="G246">
        <v>119.95967354777</v>
      </c>
      <c r="I246" s="9">
        <f t="shared" si="26"/>
        <v>205.44061546957002</v>
      </c>
      <c r="J246" s="9">
        <f t="shared" si="27"/>
        <v>929.26523341999996</v>
      </c>
      <c r="K246" s="9">
        <f t="shared" si="24"/>
        <v>205.44061546957002</v>
      </c>
      <c r="L246" s="10">
        <f t="shared" si="21"/>
        <v>0.22107855548784641</v>
      </c>
      <c r="M246" s="10">
        <f t="shared" si="28"/>
        <v>0.25252854957318427</v>
      </c>
      <c r="P246" s="8">
        <f t="shared" si="29"/>
        <v>5.9193597301918262</v>
      </c>
    </row>
    <row r="247" spans="1:16" x14ac:dyDescent="0.2">
      <c r="A247" s="8">
        <v>122.5</v>
      </c>
      <c r="B247" s="8">
        <v>245</v>
      </c>
      <c r="D247">
        <v>1005.098265896</v>
      </c>
      <c r="E247">
        <v>315.01011560694002</v>
      </c>
      <c r="F247">
        <v>143.22851656264999</v>
      </c>
      <c r="G247">
        <v>119.89006240998999</v>
      </c>
      <c r="I247" s="9">
        <f t="shared" si="26"/>
        <v>195.12005319695004</v>
      </c>
      <c r="J247" s="9">
        <f t="shared" si="27"/>
        <v>861.86974933335</v>
      </c>
      <c r="K247" s="9">
        <f t="shared" si="24"/>
        <v>195.12005319695004</v>
      </c>
      <c r="L247" s="10">
        <f t="shared" si="21"/>
        <v>0.22639157871345872</v>
      </c>
      <c r="M247" s="10">
        <f t="shared" si="28"/>
        <v>0.25797046621717912</v>
      </c>
      <c r="P247" s="8">
        <f t="shared" si="29"/>
        <v>8.2018910622381593</v>
      </c>
    </row>
    <row r="248" spans="1:16" x14ac:dyDescent="0.2">
      <c r="A248" s="8">
        <v>123</v>
      </c>
      <c r="B248" s="8">
        <v>246</v>
      </c>
      <c r="D248">
        <v>1036.5862235067</v>
      </c>
      <c r="E248">
        <v>320.62620423892002</v>
      </c>
      <c r="F248">
        <v>143.01344215073999</v>
      </c>
      <c r="G248">
        <v>120.16898703792999</v>
      </c>
      <c r="I248" s="9">
        <f t="shared" si="26"/>
        <v>200.45721720099004</v>
      </c>
      <c r="J248" s="9">
        <f t="shared" si="27"/>
        <v>893.57278135595993</v>
      </c>
      <c r="K248" s="9">
        <f t="shared" si="24"/>
        <v>200.45721720099004</v>
      </c>
      <c r="L248" s="10">
        <f t="shared" si="21"/>
        <v>0.22433227755304327</v>
      </c>
      <c r="M248" s="10">
        <f t="shared" si="28"/>
        <v>0.25604005847514621</v>
      </c>
      <c r="P248" s="8">
        <f t="shared" si="29"/>
        <v>7.3922101275481404</v>
      </c>
    </row>
    <row r="249" spans="1:16" x14ac:dyDescent="0.2">
      <c r="A249" s="8">
        <v>123.5</v>
      </c>
      <c r="B249" s="8">
        <v>247</v>
      </c>
      <c r="D249">
        <v>997.85260115607002</v>
      </c>
      <c r="E249">
        <v>315.16811175337</v>
      </c>
      <c r="F249">
        <v>143.02400384062</v>
      </c>
      <c r="G249">
        <v>120.22131541047</v>
      </c>
      <c r="I249" s="9">
        <f t="shared" si="26"/>
        <v>194.9467963429</v>
      </c>
      <c r="J249" s="9">
        <f t="shared" si="27"/>
        <v>854.82859731545</v>
      </c>
      <c r="K249" s="9">
        <f t="shared" si="24"/>
        <v>194.9467963429</v>
      </c>
      <c r="L249" s="10">
        <f t="shared" si="21"/>
        <v>0.22805366708030297</v>
      </c>
      <c r="M249" s="10">
        <f t="shared" si="28"/>
        <v>0.25989034142078848</v>
      </c>
      <c r="P249" s="8">
        <f t="shared" si="29"/>
        <v>9.0071542796916901</v>
      </c>
    </row>
    <row r="250" spans="1:16" x14ac:dyDescent="0.2">
      <c r="A250" s="8">
        <v>124</v>
      </c>
      <c r="B250" s="8">
        <v>248</v>
      </c>
      <c r="D250">
        <v>962.91811175337</v>
      </c>
      <c r="E250">
        <v>308.18448940270002</v>
      </c>
      <c r="F250">
        <v>143.14210273643999</v>
      </c>
      <c r="G250">
        <v>119.71675468075</v>
      </c>
      <c r="I250" s="9">
        <f t="shared" si="26"/>
        <v>188.46773472195002</v>
      </c>
      <c r="J250" s="9">
        <f t="shared" si="27"/>
        <v>819.77600901692995</v>
      </c>
      <c r="K250" s="9">
        <f t="shared" si="24"/>
        <v>188.46773472195002</v>
      </c>
      <c r="L250" s="10">
        <f t="shared" si="21"/>
        <v>0.22990150071354162</v>
      </c>
      <c r="M250" s="10">
        <f t="shared" si="28"/>
        <v>0.26186706847240965</v>
      </c>
      <c r="P250" s="8">
        <f t="shared" si="29"/>
        <v>9.8362631627187369</v>
      </c>
    </row>
    <row r="251" spans="1:16" x14ac:dyDescent="0.2">
      <c r="A251" s="8">
        <v>124.5</v>
      </c>
      <c r="B251" s="8">
        <v>249</v>
      </c>
      <c r="D251">
        <v>1044.8654124457</v>
      </c>
      <c r="E251">
        <v>328.41003376749001</v>
      </c>
      <c r="F251">
        <v>142.97887662026</v>
      </c>
      <c r="G251">
        <v>120.16802688430001</v>
      </c>
      <c r="I251" s="9">
        <f t="shared" si="26"/>
        <v>208.24200688319002</v>
      </c>
      <c r="J251" s="9">
        <f t="shared" si="27"/>
        <v>901.88653582543998</v>
      </c>
      <c r="K251" s="9">
        <f t="shared" si="24"/>
        <v>208.24200688319002</v>
      </c>
      <c r="L251" s="10">
        <f t="shared" si="21"/>
        <v>0.23089601475489288</v>
      </c>
      <c r="M251" s="10">
        <f t="shared" si="28"/>
        <v>0.26299047593214342</v>
      </c>
      <c r="P251" s="8">
        <f t="shared" si="29"/>
        <v>10.307459782080139</v>
      </c>
    </row>
    <row r="252" spans="1:16" x14ac:dyDescent="0.2">
      <c r="A252" s="8">
        <v>125</v>
      </c>
      <c r="B252" s="8">
        <v>250</v>
      </c>
      <c r="D252">
        <v>1023.9599614086</v>
      </c>
      <c r="E252">
        <v>324.27351664255002</v>
      </c>
      <c r="F252">
        <v>143.00528084493999</v>
      </c>
      <c r="G252">
        <v>119.97743638982</v>
      </c>
      <c r="I252" s="9">
        <f t="shared" si="26"/>
        <v>204.29608025273001</v>
      </c>
      <c r="J252" s="9">
        <f t="shared" si="27"/>
        <v>880.95468056365996</v>
      </c>
      <c r="K252" s="9">
        <f t="shared" si="24"/>
        <v>204.29608025273001</v>
      </c>
      <c r="L252" s="10">
        <f t="shared" si="21"/>
        <v>0.23190305331258987</v>
      </c>
      <c r="M252" s="10">
        <f t="shared" si="28"/>
        <v>0.26412640790822295</v>
      </c>
      <c r="P252" s="8">
        <f t="shared" si="29"/>
        <v>10.783909624312836</v>
      </c>
    </row>
    <row r="253" spans="1:16" x14ac:dyDescent="0.2">
      <c r="A253" s="8">
        <v>125.5</v>
      </c>
      <c r="B253" s="8">
        <v>251</v>
      </c>
      <c r="D253">
        <v>1021.6237337193</v>
      </c>
      <c r="E253">
        <v>325.35552339603998</v>
      </c>
      <c r="F253">
        <v>143.86317810849999</v>
      </c>
      <c r="G253">
        <v>119.94767162746</v>
      </c>
      <c r="I253" s="9">
        <f t="shared" si="26"/>
        <v>205.40785176857997</v>
      </c>
      <c r="J253" s="9">
        <f t="shared" si="27"/>
        <v>877.76055561080011</v>
      </c>
      <c r="K253" s="9">
        <f t="shared" si="24"/>
        <v>205.40785176857997</v>
      </c>
      <c r="L253" s="10">
        <f t="shared" si="21"/>
        <v>0.23401353644291351</v>
      </c>
      <c r="M253" s="10">
        <f t="shared" si="28"/>
        <v>0.2663657844569291</v>
      </c>
      <c r="P253" s="8">
        <f t="shared" si="29"/>
        <v>11.723182948595017</v>
      </c>
    </row>
    <row r="254" spans="1:16" x14ac:dyDescent="0.2">
      <c r="A254" s="8">
        <v>126</v>
      </c>
      <c r="B254" s="8">
        <v>252</v>
      </c>
      <c r="D254">
        <v>1001.9835986493</v>
      </c>
      <c r="E254">
        <v>321.15967197299</v>
      </c>
      <c r="F254">
        <v>143.82237157944999</v>
      </c>
      <c r="G254">
        <v>119.77964474316001</v>
      </c>
      <c r="I254" s="9">
        <f t="shared" si="26"/>
        <v>201.38002722982998</v>
      </c>
      <c r="J254" s="9">
        <f t="shared" si="27"/>
        <v>858.16122706985004</v>
      </c>
      <c r="K254" s="9">
        <f t="shared" si="24"/>
        <v>201.38002722982998</v>
      </c>
      <c r="L254" s="10">
        <f t="shared" si="21"/>
        <v>0.23466456054817617</v>
      </c>
      <c r="M254" s="10">
        <f t="shared" si="28"/>
        <v>0.2671457019805743</v>
      </c>
      <c r="P254" s="8">
        <f t="shared" si="29"/>
        <v>12.050307801949137</v>
      </c>
    </row>
    <row r="255" spans="1:16" x14ac:dyDescent="0.2">
      <c r="A255" s="8">
        <v>126.5</v>
      </c>
      <c r="B255" s="8">
        <v>253</v>
      </c>
      <c r="D255">
        <v>950.53931500241004</v>
      </c>
      <c r="E255">
        <v>311.62421611192002</v>
      </c>
      <c r="F255">
        <v>143.15122419586999</v>
      </c>
      <c r="G255">
        <v>119.83725396062999</v>
      </c>
      <c r="I255" s="9">
        <f t="shared" si="26"/>
        <v>191.78696215129003</v>
      </c>
      <c r="J255" s="9">
        <f t="shared" si="27"/>
        <v>807.38809080654005</v>
      </c>
      <c r="K255" s="9">
        <f t="shared" si="24"/>
        <v>191.78696215129003</v>
      </c>
      <c r="L255" s="10">
        <f t="shared" si="21"/>
        <v>0.237539993882873</v>
      </c>
      <c r="M255" s="10">
        <f t="shared" si="28"/>
        <v>0.27015002873365368</v>
      </c>
      <c r="P255" s="8">
        <f t="shared" si="29"/>
        <v>13.310428159208913</v>
      </c>
    </row>
    <row r="256" spans="1:16" x14ac:dyDescent="0.2">
      <c r="A256" s="8">
        <v>127</v>
      </c>
      <c r="B256" s="8">
        <v>254</v>
      </c>
      <c r="D256">
        <v>935.87698986974999</v>
      </c>
      <c r="E256">
        <v>307.47901591895999</v>
      </c>
      <c r="F256">
        <v>143.44743158905001</v>
      </c>
      <c r="G256">
        <v>119.81469035046</v>
      </c>
      <c r="I256" s="9">
        <f t="shared" si="26"/>
        <v>187.66432556849998</v>
      </c>
      <c r="J256" s="9">
        <f t="shared" si="27"/>
        <v>792.42955828070001</v>
      </c>
      <c r="K256" s="9">
        <f t="shared" si="24"/>
        <v>187.66432556849998</v>
      </c>
      <c r="L256" s="10">
        <f t="shared" si="21"/>
        <v>0.23682146079415198</v>
      </c>
      <c r="M256" s="10">
        <f t="shared" si="28"/>
        <v>0.2695603890633152</v>
      </c>
      <c r="P256" s="8">
        <f t="shared" si="29"/>
        <v>13.063112533077403</v>
      </c>
    </row>
    <row r="257" spans="1:16" x14ac:dyDescent="0.2">
      <c r="A257" s="8">
        <v>127.5</v>
      </c>
      <c r="B257" s="8">
        <v>255</v>
      </c>
      <c r="D257">
        <v>932.12349252291006</v>
      </c>
      <c r="E257">
        <v>306.68017366136002</v>
      </c>
      <c r="F257">
        <v>143.46951512242001</v>
      </c>
      <c r="G257">
        <v>120.27940470474999</v>
      </c>
      <c r="I257" s="9">
        <f t="shared" si="26"/>
        <v>186.40076895661002</v>
      </c>
      <c r="J257" s="9">
        <f t="shared" si="27"/>
        <v>788.65397740049002</v>
      </c>
      <c r="K257" s="9">
        <f t="shared" si="24"/>
        <v>186.40076895661002</v>
      </c>
      <c r="L257" s="10">
        <f t="shared" si="21"/>
        <v>0.23635304493234424</v>
      </c>
      <c r="M257" s="10">
        <f t="shared" si="28"/>
        <v>0.26922086661988998</v>
      </c>
      <c r="P257" s="8">
        <f t="shared" si="29"/>
        <v>12.920704873102279</v>
      </c>
    </row>
    <row r="258" spans="1:16" x14ac:dyDescent="0.2">
      <c r="A258" s="8">
        <v>128</v>
      </c>
      <c r="B258" s="8">
        <v>256</v>
      </c>
      <c r="D258">
        <v>931.25615050651004</v>
      </c>
      <c r="E258">
        <v>307.65557163531003</v>
      </c>
      <c r="F258">
        <v>142.80364858377001</v>
      </c>
      <c r="G258">
        <v>119.66538646183</v>
      </c>
      <c r="I258" s="9">
        <f t="shared" si="26"/>
        <v>187.99018517348003</v>
      </c>
      <c r="J258" s="9">
        <f t="shared" si="27"/>
        <v>788.45250192274</v>
      </c>
      <c r="K258" s="9">
        <f t="shared" si="24"/>
        <v>187.99018517348003</v>
      </c>
      <c r="L258" s="10">
        <f t="shared" ref="L258:L321" si="30">K258/J258</f>
        <v>0.23842930895018083</v>
      </c>
      <c r="M258" s="10">
        <f t="shared" si="28"/>
        <v>0.27142602405610911</v>
      </c>
      <c r="P258" s="8">
        <f t="shared" si="29"/>
        <v>13.845625497496519</v>
      </c>
    </row>
    <row r="259" spans="1:16" x14ac:dyDescent="0.2">
      <c r="A259" s="8">
        <v>128.5</v>
      </c>
      <c r="B259" s="8">
        <v>257</v>
      </c>
      <c r="D259">
        <v>933.23540762180005</v>
      </c>
      <c r="E259">
        <v>308.03135552340001</v>
      </c>
      <c r="F259">
        <v>143.21267402784</v>
      </c>
      <c r="G259">
        <v>120.01920307249</v>
      </c>
      <c r="I259" s="9">
        <f t="shared" si="26"/>
        <v>188.01215245091001</v>
      </c>
      <c r="J259" s="9">
        <f t="shared" si="27"/>
        <v>790.02273359396008</v>
      </c>
      <c r="K259" s="9">
        <f t="shared" ref="K259:K322" si="31">I259*1</f>
        <v>188.01215245091001</v>
      </c>
      <c r="L259" s="10">
        <f t="shared" si="30"/>
        <v>0.23798321802159772</v>
      </c>
      <c r="M259" s="10">
        <f t="shared" si="28"/>
        <v>0.27110882654590851</v>
      </c>
      <c r="P259" s="8">
        <f t="shared" si="29"/>
        <v>13.712581700091262</v>
      </c>
    </row>
    <row r="260" spans="1:16" x14ac:dyDescent="0.2">
      <c r="A260" s="8">
        <v>129</v>
      </c>
      <c r="B260" s="8">
        <v>258</v>
      </c>
      <c r="D260">
        <v>927.20935841774997</v>
      </c>
      <c r="E260">
        <v>307.73661360347</v>
      </c>
      <c r="F260">
        <v>143.14402304369</v>
      </c>
      <c r="G260">
        <v>119.97167546807999</v>
      </c>
      <c r="I260" s="9">
        <f t="shared" si="26"/>
        <v>187.76493813539003</v>
      </c>
      <c r="J260" s="9">
        <f t="shared" si="27"/>
        <v>784.06533537405994</v>
      </c>
      <c r="K260" s="9">
        <f t="shared" si="31"/>
        <v>187.76493813539003</v>
      </c>
      <c r="L260" s="10">
        <f t="shared" si="30"/>
        <v>0.23947613759229847</v>
      </c>
      <c r="M260" s="10">
        <f t="shared" si="28"/>
        <v>0.27273063953499183</v>
      </c>
      <c r="P260" s="8">
        <f t="shared" si="29"/>
        <v>14.392827136483119</v>
      </c>
    </row>
    <row r="261" spans="1:16" x14ac:dyDescent="0.2">
      <c r="A261" s="8">
        <v>129.5</v>
      </c>
      <c r="B261" s="8">
        <v>259</v>
      </c>
      <c r="D261">
        <v>923.95224312590005</v>
      </c>
      <c r="E261">
        <v>307.47226242161003</v>
      </c>
      <c r="F261">
        <v>143.25252040327001</v>
      </c>
      <c r="G261">
        <v>120.08737397984</v>
      </c>
      <c r="I261" s="9">
        <f t="shared" si="26"/>
        <v>187.38488844177004</v>
      </c>
      <c r="J261" s="9">
        <f t="shared" si="27"/>
        <v>780.69972272262999</v>
      </c>
      <c r="K261" s="9">
        <f t="shared" si="31"/>
        <v>187.38488844177004</v>
      </c>
      <c r="L261" s="10">
        <f t="shared" si="30"/>
        <v>0.24002171768202982</v>
      </c>
      <c r="M261" s="10">
        <f t="shared" si="28"/>
        <v>0.27340511304310566</v>
      </c>
      <c r="P261" s="8">
        <f t="shared" si="29"/>
        <v>14.675725059332395</v>
      </c>
    </row>
    <row r="262" spans="1:16" x14ac:dyDescent="0.2">
      <c r="A262" s="8">
        <v>130</v>
      </c>
      <c r="B262" s="8">
        <v>260</v>
      </c>
      <c r="D262">
        <v>921.44380125422003</v>
      </c>
      <c r="E262">
        <v>306.30053063192997</v>
      </c>
      <c r="F262">
        <v>143.43879020643001</v>
      </c>
      <c r="G262">
        <v>119.68554968795</v>
      </c>
      <c r="I262" s="9">
        <f t="shared" si="26"/>
        <v>186.61498094397996</v>
      </c>
      <c r="J262" s="9">
        <f t="shared" si="27"/>
        <v>778.00501104779005</v>
      </c>
      <c r="K262" s="9">
        <f t="shared" si="31"/>
        <v>186.61498094397996</v>
      </c>
      <c r="L262" s="10">
        <f t="shared" si="30"/>
        <v>0.23986346912168779</v>
      </c>
      <c r="M262" s="10">
        <f t="shared" si="28"/>
        <v>0.27337575790114621</v>
      </c>
      <c r="P262" s="8">
        <f t="shared" si="29"/>
        <v>14.663412479838357</v>
      </c>
    </row>
    <row r="263" spans="1:16" x14ac:dyDescent="0.2">
      <c r="A263" s="8">
        <v>130.5</v>
      </c>
      <c r="B263" s="8">
        <v>261</v>
      </c>
      <c r="D263">
        <v>921.93294741919999</v>
      </c>
      <c r="E263">
        <v>307.47033285094</v>
      </c>
      <c r="F263">
        <v>143.16850696111001</v>
      </c>
      <c r="G263">
        <v>119.98607777244</v>
      </c>
      <c r="I263" s="9">
        <f t="shared" si="26"/>
        <v>187.48425507849998</v>
      </c>
      <c r="J263" s="9">
        <f t="shared" si="27"/>
        <v>778.76444045809001</v>
      </c>
      <c r="K263" s="9">
        <f t="shared" si="31"/>
        <v>187.48425507849998</v>
      </c>
      <c r="L263" s="10">
        <f t="shared" si="30"/>
        <v>0.24074578311282002</v>
      </c>
      <c r="M263" s="10">
        <f t="shared" si="28"/>
        <v>0.27438696531066098</v>
      </c>
      <c r="P263" s="8">
        <f t="shared" si="29"/>
        <v>15.087548450013838</v>
      </c>
    </row>
    <row r="264" spans="1:16" x14ac:dyDescent="0.2">
      <c r="A264" s="8">
        <v>131</v>
      </c>
      <c r="B264" s="8">
        <v>262</v>
      </c>
      <c r="D264">
        <v>928.49445248432005</v>
      </c>
      <c r="E264">
        <v>309.94597202122998</v>
      </c>
      <c r="F264">
        <v>143.44599135862001</v>
      </c>
      <c r="G264">
        <v>119.70091214593999</v>
      </c>
      <c r="I264" s="9">
        <f t="shared" si="26"/>
        <v>190.24505987529</v>
      </c>
      <c r="J264" s="9">
        <f t="shared" si="27"/>
        <v>785.04846112569999</v>
      </c>
      <c r="K264" s="9">
        <f t="shared" si="31"/>
        <v>190.24505987529</v>
      </c>
      <c r="L264" s="10">
        <f t="shared" si="30"/>
        <v>0.24233543442973315</v>
      </c>
      <c r="M264" s="10">
        <f t="shared" si="28"/>
        <v>0.27610551004595663</v>
      </c>
      <c r="P264" s="8">
        <f t="shared" si="29"/>
        <v>15.808366584588576</v>
      </c>
    </row>
    <row r="265" spans="1:16" x14ac:dyDescent="0.2">
      <c r="A265" s="8">
        <v>131.5</v>
      </c>
      <c r="B265" s="8">
        <v>263</v>
      </c>
      <c r="D265">
        <v>924.85865894838003</v>
      </c>
      <c r="E265">
        <v>307.97877472262002</v>
      </c>
      <c r="F265">
        <v>143.45943350936</v>
      </c>
      <c r="G265">
        <v>119.96687469995</v>
      </c>
      <c r="I265" s="9">
        <f t="shared" si="26"/>
        <v>188.01190002267003</v>
      </c>
      <c r="J265" s="9">
        <f t="shared" si="27"/>
        <v>781.39922543902003</v>
      </c>
      <c r="K265" s="9">
        <f t="shared" si="31"/>
        <v>188.01190002267003</v>
      </c>
      <c r="L265" s="10">
        <f t="shared" si="30"/>
        <v>0.24060927359767698</v>
      </c>
      <c r="M265" s="10">
        <f t="shared" si="28"/>
        <v>0.27450824263228296</v>
      </c>
      <c r="P265" s="8">
        <f t="shared" si="29"/>
        <v>15.138416426239514</v>
      </c>
    </row>
    <row r="266" spans="1:16" x14ac:dyDescent="0.2">
      <c r="A266" s="8">
        <v>132</v>
      </c>
      <c r="B266" s="8">
        <v>264</v>
      </c>
      <c r="D266">
        <v>923.15484804631001</v>
      </c>
      <c r="E266">
        <v>308.93439459720003</v>
      </c>
      <c r="F266">
        <v>143.07345175227999</v>
      </c>
      <c r="G266">
        <v>119.81517042727</v>
      </c>
      <c r="I266" s="9">
        <f t="shared" si="26"/>
        <v>189.11922416993002</v>
      </c>
      <c r="J266" s="9">
        <f t="shared" si="27"/>
        <v>780.08139629403001</v>
      </c>
      <c r="K266" s="9">
        <f t="shared" si="31"/>
        <v>189.11922416993002</v>
      </c>
      <c r="L266" s="10">
        <f t="shared" si="30"/>
        <v>0.24243524466598967</v>
      </c>
      <c r="M266" s="10">
        <f t="shared" si="28"/>
        <v>0.2764631071189782</v>
      </c>
      <c r="P266" s="8">
        <f t="shared" si="29"/>
        <v>15.958355380231104</v>
      </c>
    </row>
    <row r="267" spans="1:16" x14ac:dyDescent="0.2">
      <c r="A267" s="8">
        <v>132.5</v>
      </c>
      <c r="B267" s="8">
        <v>265</v>
      </c>
      <c r="D267">
        <v>916.02749638206001</v>
      </c>
      <c r="E267">
        <v>307.69319826339</v>
      </c>
      <c r="F267">
        <v>143.67978876620001</v>
      </c>
      <c r="G267">
        <v>119.51416226596</v>
      </c>
      <c r="I267" s="9">
        <f t="shared" si="26"/>
        <v>188.17903599742999</v>
      </c>
      <c r="J267" s="9">
        <f t="shared" si="27"/>
        <v>772.34770761586003</v>
      </c>
      <c r="K267" s="9">
        <f t="shared" si="31"/>
        <v>188.17903599742999</v>
      </c>
      <c r="L267" s="10">
        <f t="shared" si="30"/>
        <v>0.24364549042077815</v>
      </c>
      <c r="M267" s="10">
        <f t="shared" si="28"/>
        <v>0.27780224629214922</v>
      </c>
      <c r="P267" s="8">
        <f t="shared" si="29"/>
        <v>16.520037471430804</v>
      </c>
    </row>
    <row r="268" spans="1:16" x14ac:dyDescent="0.2">
      <c r="A268" s="8">
        <v>133</v>
      </c>
      <c r="B268" s="8">
        <v>266</v>
      </c>
      <c r="D268">
        <v>918.71201157741996</v>
      </c>
      <c r="E268">
        <v>310.15098890497001</v>
      </c>
      <c r="F268">
        <v>143.42726836294</v>
      </c>
      <c r="G268">
        <v>120.04416706673</v>
      </c>
      <c r="I268" s="9">
        <f t="shared" si="26"/>
        <v>190.10682183824002</v>
      </c>
      <c r="J268" s="9">
        <f t="shared" si="27"/>
        <v>775.28474321447993</v>
      </c>
      <c r="K268" s="9">
        <f t="shared" si="31"/>
        <v>190.10682183824002</v>
      </c>
      <c r="L268" s="10">
        <f t="shared" si="30"/>
        <v>0.24520903255495588</v>
      </c>
      <c r="M268" s="10">
        <f t="shared" si="28"/>
        <v>0.27949468184470949</v>
      </c>
      <c r="P268" s="8">
        <f t="shared" si="29"/>
        <v>17.229904496029722</v>
      </c>
    </row>
    <row r="269" spans="1:16" x14ac:dyDescent="0.2">
      <c r="A269" s="8">
        <v>133.5</v>
      </c>
      <c r="B269" s="8">
        <v>267</v>
      </c>
      <c r="D269">
        <v>921.88615533044003</v>
      </c>
      <c r="E269">
        <v>311.65894838398998</v>
      </c>
      <c r="F269">
        <v>143.28948631781</v>
      </c>
      <c r="G269">
        <v>119.79980796928</v>
      </c>
      <c r="I269" s="9">
        <f t="shared" si="26"/>
        <v>191.85914041471</v>
      </c>
      <c r="J269" s="9">
        <f t="shared" si="27"/>
        <v>778.59666901263006</v>
      </c>
      <c r="K269" s="9">
        <f t="shared" si="31"/>
        <v>191.85914041471</v>
      </c>
      <c r="L269" s="10">
        <f t="shared" si="30"/>
        <v>0.24641659546015568</v>
      </c>
      <c r="M269" s="10">
        <f t="shared" si="28"/>
        <v>0.28083113816829181</v>
      </c>
      <c r="P269" s="8">
        <f t="shared" si="29"/>
        <v>17.790461305707119</v>
      </c>
    </row>
    <row r="270" spans="1:16" x14ac:dyDescent="0.2">
      <c r="A270" s="8">
        <v>134</v>
      </c>
      <c r="B270" s="8">
        <v>268</v>
      </c>
      <c r="D270">
        <v>919.76121562952005</v>
      </c>
      <c r="E270">
        <v>311.04196816208002</v>
      </c>
      <c r="F270">
        <v>142.87806048968</v>
      </c>
      <c r="G270">
        <v>120.04080652905</v>
      </c>
      <c r="I270" s="9">
        <f t="shared" si="26"/>
        <v>191.00116163303002</v>
      </c>
      <c r="J270" s="9">
        <f t="shared" si="27"/>
        <v>776.88315513984003</v>
      </c>
      <c r="K270" s="9">
        <f t="shared" si="31"/>
        <v>191.00116163303002</v>
      </c>
      <c r="L270" s="10">
        <f t="shared" si="30"/>
        <v>0.24585571249597959</v>
      </c>
      <c r="M270" s="10">
        <f t="shared" si="28"/>
        <v>0.28039914862249826</v>
      </c>
      <c r="P270" s="8">
        <f t="shared" si="29"/>
        <v>17.609269689242669</v>
      </c>
    </row>
    <row r="271" spans="1:16" x14ac:dyDescent="0.2">
      <c r="A271" s="8">
        <v>134.5</v>
      </c>
      <c r="B271" s="8">
        <v>269</v>
      </c>
      <c r="D271">
        <v>922.09599614086005</v>
      </c>
      <c r="E271">
        <v>312.25470332851</v>
      </c>
      <c r="F271">
        <v>143.55256841094999</v>
      </c>
      <c r="G271">
        <v>119.81036965915</v>
      </c>
      <c r="I271" s="9">
        <f t="shared" si="26"/>
        <v>192.44433366935999</v>
      </c>
      <c r="J271" s="9">
        <f t="shared" si="27"/>
        <v>778.54342772991004</v>
      </c>
      <c r="K271" s="9">
        <f t="shared" si="31"/>
        <v>192.44433366935999</v>
      </c>
      <c r="L271" s="10">
        <f t="shared" si="30"/>
        <v>0.24718509824235804</v>
      </c>
      <c r="M271" s="10">
        <f t="shared" si="28"/>
        <v>0.28185742778725925</v>
      </c>
      <c r="P271" s="8">
        <f t="shared" si="29"/>
        <v>18.2209232852437</v>
      </c>
    </row>
    <row r="272" spans="1:16" x14ac:dyDescent="0.2">
      <c r="A272" s="8">
        <v>135</v>
      </c>
      <c r="B272" s="8">
        <v>270</v>
      </c>
      <c r="D272">
        <v>922.53014954173</v>
      </c>
      <c r="E272">
        <v>312.40424505547998</v>
      </c>
      <c r="F272">
        <v>143.44839174268</v>
      </c>
      <c r="G272">
        <v>119.85693710994001</v>
      </c>
      <c r="I272" s="9">
        <f t="shared" si="26"/>
        <v>192.54730794553996</v>
      </c>
      <c r="J272" s="9">
        <f t="shared" si="27"/>
        <v>779.08175779905002</v>
      </c>
      <c r="K272" s="9">
        <f t="shared" si="31"/>
        <v>192.54730794553996</v>
      </c>
      <c r="L272" s="10">
        <f t="shared" si="30"/>
        <v>0.24714647213598862</v>
      </c>
      <c r="M272" s="10">
        <f t="shared" si="28"/>
        <v>0.28194769509927237</v>
      </c>
      <c r="P272" s="8">
        <f t="shared" si="29"/>
        <v>18.258784572251265</v>
      </c>
    </row>
    <row r="273" spans="1:16" x14ac:dyDescent="0.2">
      <c r="A273" s="8">
        <v>135.5</v>
      </c>
      <c r="B273" s="8">
        <v>271</v>
      </c>
      <c r="D273">
        <v>921.18765074770999</v>
      </c>
      <c r="E273">
        <v>312.29860106126</v>
      </c>
      <c r="F273">
        <v>143.22803648583999</v>
      </c>
      <c r="G273">
        <v>120.04272683629</v>
      </c>
      <c r="I273" s="9">
        <f t="shared" si="26"/>
        <v>192.25587422497</v>
      </c>
      <c r="J273" s="9">
        <f t="shared" si="27"/>
        <v>777.95961426187</v>
      </c>
      <c r="K273" s="9">
        <f t="shared" si="31"/>
        <v>192.25587422497</v>
      </c>
      <c r="L273" s="10">
        <f t="shared" si="30"/>
        <v>0.24712834792508201</v>
      </c>
      <c r="M273" s="10">
        <f t="shared" si="28"/>
        <v>0.28205846430674825</v>
      </c>
      <c r="P273" s="8">
        <f t="shared" si="29"/>
        <v>18.305245075641857</v>
      </c>
    </row>
    <row r="274" spans="1:16" x14ac:dyDescent="0.2">
      <c r="A274" s="8">
        <v>136</v>
      </c>
      <c r="B274" s="8">
        <v>272</v>
      </c>
      <c r="D274">
        <v>923.32416787265004</v>
      </c>
      <c r="E274">
        <v>313.03569705741</v>
      </c>
      <c r="F274">
        <v>143.22755640903</v>
      </c>
      <c r="G274">
        <v>120.28468554969</v>
      </c>
      <c r="I274" s="9">
        <f t="shared" si="26"/>
        <v>192.75101150772002</v>
      </c>
      <c r="J274" s="9">
        <f t="shared" si="27"/>
        <v>780.09661146362009</v>
      </c>
      <c r="K274" s="9">
        <f t="shared" si="31"/>
        <v>192.75101150772002</v>
      </c>
      <c r="L274" s="10">
        <f t="shared" si="30"/>
        <v>0.24708607712842115</v>
      </c>
      <c r="M274" s="10">
        <f t="shared" si="28"/>
        <v>0.28214508692846996</v>
      </c>
      <c r="P274" s="8">
        <f t="shared" si="29"/>
        <v>18.341577651290912</v>
      </c>
    </row>
    <row r="275" spans="1:16" x14ac:dyDescent="0.2">
      <c r="A275" s="8">
        <v>136.5</v>
      </c>
      <c r="B275" s="8">
        <v>273</v>
      </c>
      <c r="D275">
        <v>922.48914616497996</v>
      </c>
      <c r="E275">
        <v>312.90545103713998</v>
      </c>
      <c r="F275">
        <v>143.32741238598001</v>
      </c>
      <c r="G275">
        <v>120.05328852616</v>
      </c>
      <c r="I275" s="9">
        <f>E275-G275</f>
        <v>192.85216251097998</v>
      </c>
      <c r="J275" s="9">
        <f>D275-F275</f>
        <v>779.16173377899997</v>
      </c>
      <c r="K275" s="9">
        <f t="shared" si="31"/>
        <v>192.85216251097998</v>
      </c>
      <c r="L275" s="10">
        <f t="shared" si="30"/>
        <v>0.24751236380106958</v>
      </c>
      <c r="M275" s="10">
        <f>L275+ABS($N$2)*A275</f>
        <v>0.28270026701950091</v>
      </c>
      <c r="O275" s="11"/>
      <c r="P275" s="8">
        <f>(M275-$O$2)/$O$2*100</f>
        <v>18.57443971728835</v>
      </c>
    </row>
    <row r="276" spans="1:16" x14ac:dyDescent="0.2">
      <c r="A276" s="8">
        <v>137</v>
      </c>
      <c r="B276" s="8">
        <v>274</v>
      </c>
      <c r="D276">
        <v>920.02460202605005</v>
      </c>
      <c r="E276">
        <v>312.42161119151001</v>
      </c>
      <c r="F276">
        <v>143.66490638502</v>
      </c>
      <c r="G276">
        <v>120.10849735958</v>
      </c>
      <c r="I276" s="9">
        <f t="shared" ref="I276:I291" si="32">E276-G276</f>
        <v>192.31311383193002</v>
      </c>
      <c r="J276" s="9">
        <f t="shared" ref="J276:J291" si="33">D276-F276</f>
        <v>776.35969564103004</v>
      </c>
      <c r="K276" s="9">
        <f t="shared" si="31"/>
        <v>192.31311383193002</v>
      </c>
      <c r="L276" s="10">
        <f t="shared" si="30"/>
        <v>0.2477113571347101</v>
      </c>
      <c r="M276" s="10">
        <f t="shared" ref="M276:M291" si="34">L276+ABS($N$2)*A276</f>
        <v>0.28302815377152396</v>
      </c>
      <c r="P276" s="8">
        <f t="shared" ref="P276:P291" si="35">(M276-$O$2)/$O$2*100</f>
        <v>18.711966958849722</v>
      </c>
    </row>
    <row r="277" spans="1:16" x14ac:dyDescent="0.2">
      <c r="A277" s="8">
        <v>137.5</v>
      </c>
      <c r="B277" s="8">
        <v>275</v>
      </c>
      <c r="D277">
        <v>919.52194886637994</v>
      </c>
      <c r="E277">
        <v>313.26000964784998</v>
      </c>
      <c r="F277">
        <v>143.55112818051001</v>
      </c>
      <c r="G277">
        <v>119.93614978397</v>
      </c>
      <c r="I277" s="9">
        <f t="shared" si="32"/>
        <v>193.32385986387999</v>
      </c>
      <c r="J277" s="9">
        <f t="shared" si="33"/>
        <v>775.97082068586997</v>
      </c>
      <c r="K277" s="9">
        <f t="shared" si="31"/>
        <v>193.32385986387999</v>
      </c>
      <c r="L277" s="10">
        <f t="shared" si="30"/>
        <v>0.24913805353273938</v>
      </c>
      <c r="M277" s="10">
        <f t="shared" si="34"/>
        <v>0.28458374358793576</v>
      </c>
      <c r="N277" s="1"/>
      <c r="P277" s="8">
        <f t="shared" si="35"/>
        <v>19.364436066345203</v>
      </c>
    </row>
    <row r="278" spans="1:16" x14ac:dyDescent="0.2">
      <c r="A278" s="8">
        <v>138</v>
      </c>
      <c r="B278" s="8">
        <v>276</v>
      </c>
      <c r="D278">
        <v>918.40617462615</v>
      </c>
      <c r="E278">
        <v>313.86975397973998</v>
      </c>
      <c r="F278">
        <v>143.56985117619001</v>
      </c>
      <c r="G278">
        <v>119.67498799808</v>
      </c>
      <c r="I278" s="9">
        <f t="shared" si="32"/>
        <v>194.19476598166</v>
      </c>
      <c r="J278" s="9">
        <f t="shared" si="33"/>
        <v>774.83632344995999</v>
      </c>
      <c r="K278" s="9">
        <f t="shared" si="31"/>
        <v>194.19476598166</v>
      </c>
      <c r="L278" s="10">
        <f t="shared" si="30"/>
        <v>0.25062682285854576</v>
      </c>
      <c r="M278" s="10">
        <f t="shared" si="34"/>
        <v>0.28620140633212465</v>
      </c>
      <c r="P278" s="8">
        <f t="shared" si="35"/>
        <v>20.04294074398846</v>
      </c>
    </row>
    <row r="279" spans="1:16" x14ac:dyDescent="0.2">
      <c r="A279" s="8">
        <v>138.5</v>
      </c>
      <c r="B279" s="8">
        <v>277</v>
      </c>
      <c r="D279">
        <v>918.18234442837002</v>
      </c>
      <c r="E279">
        <v>312.85865894838003</v>
      </c>
      <c r="F279">
        <v>143.51464234278001</v>
      </c>
      <c r="G279">
        <v>119.69563130101</v>
      </c>
      <c r="I279" s="9">
        <f t="shared" si="32"/>
        <v>193.16302764737003</v>
      </c>
      <c r="J279" s="9">
        <f t="shared" si="33"/>
        <v>774.66770208559001</v>
      </c>
      <c r="K279" s="9">
        <f t="shared" si="31"/>
        <v>193.16302764737003</v>
      </c>
      <c r="L279" s="10">
        <f t="shared" si="30"/>
        <v>0.24934953029192922</v>
      </c>
      <c r="M279" s="10">
        <f t="shared" si="34"/>
        <v>0.28505300718389065</v>
      </c>
      <c r="P279" s="8">
        <f t="shared" si="35"/>
        <v>19.561261731056138</v>
      </c>
    </row>
    <row r="280" spans="1:16" x14ac:dyDescent="0.2">
      <c r="A280" s="8">
        <v>139</v>
      </c>
      <c r="B280" s="8">
        <v>278</v>
      </c>
      <c r="D280">
        <v>916.10757356488</v>
      </c>
      <c r="E280">
        <v>311.73613121081002</v>
      </c>
      <c r="F280">
        <v>142.93278924628001</v>
      </c>
      <c r="G280">
        <v>120.07345175227999</v>
      </c>
      <c r="I280" s="9">
        <f t="shared" si="32"/>
        <v>191.66267945853002</v>
      </c>
      <c r="J280" s="9">
        <f t="shared" si="33"/>
        <v>773.17478431860002</v>
      </c>
      <c r="K280" s="9">
        <f t="shared" si="31"/>
        <v>191.66267945853002</v>
      </c>
      <c r="L280" s="10">
        <f t="shared" si="30"/>
        <v>0.24789049429158841</v>
      </c>
      <c r="M280" s="10">
        <f t="shared" si="34"/>
        <v>0.28372286460193241</v>
      </c>
      <c r="P280" s="8">
        <f t="shared" si="35"/>
        <v>19.003353126785431</v>
      </c>
    </row>
    <row r="281" spans="1:16" x14ac:dyDescent="0.2">
      <c r="A281" s="8">
        <v>139.5</v>
      </c>
      <c r="B281" s="8">
        <v>279</v>
      </c>
      <c r="D281">
        <v>909.91316931982999</v>
      </c>
      <c r="E281">
        <v>311.62759286059003</v>
      </c>
      <c r="F281">
        <v>143.56553048487999</v>
      </c>
      <c r="G281">
        <v>119.93326932309</v>
      </c>
      <c r="I281" s="9">
        <f t="shared" si="32"/>
        <v>191.69432353750003</v>
      </c>
      <c r="J281" s="9">
        <f t="shared" si="33"/>
        <v>766.34763883494998</v>
      </c>
      <c r="K281" s="9">
        <f t="shared" si="31"/>
        <v>191.69432353750003</v>
      </c>
      <c r="L281" s="10">
        <f t="shared" si="30"/>
        <v>0.25014016331925526</v>
      </c>
      <c r="M281" s="10">
        <f t="shared" si="34"/>
        <v>0.2861014270479818</v>
      </c>
      <c r="P281" s="8">
        <f t="shared" si="35"/>
        <v>20.001005914122327</v>
      </c>
    </row>
    <row r="282" spans="1:16" x14ac:dyDescent="0.2">
      <c r="A282" s="8">
        <v>140</v>
      </c>
      <c r="B282" s="8">
        <v>280</v>
      </c>
      <c r="D282">
        <v>901.39749155813001</v>
      </c>
      <c r="E282">
        <v>310.22431259044998</v>
      </c>
      <c r="F282">
        <v>143.76476236197999</v>
      </c>
      <c r="G282">
        <v>119.63706192991</v>
      </c>
      <c r="I282" s="9">
        <f t="shared" si="32"/>
        <v>190.58725066053998</v>
      </c>
      <c r="J282" s="9">
        <f t="shared" si="33"/>
        <v>757.63272919614997</v>
      </c>
      <c r="K282" s="9">
        <f t="shared" si="31"/>
        <v>190.58725066053998</v>
      </c>
      <c r="L282" s="10">
        <f t="shared" si="30"/>
        <v>0.25155625320299124</v>
      </c>
      <c r="M282" s="10">
        <f t="shared" si="34"/>
        <v>0.2876464103501003</v>
      </c>
      <c r="P282" s="8">
        <f t="shared" si="35"/>
        <v>20.649026276298461</v>
      </c>
    </row>
    <row r="283" spans="1:16" x14ac:dyDescent="0.2">
      <c r="A283" s="8">
        <v>140.5</v>
      </c>
      <c r="B283" s="8">
        <v>281</v>
      </c>
      <c r="D283">
        <v>902.97153883261001</v>
      </c>
      <c r="E283">
        <v>310.13362276893002</v>
      </c>
      <c r="F283">
        <v>143.29092654825001</v>
      </c>
      <c r="G283">
        <v>119.8204512722</v>
      </c>
      <c r="I283" s="9">
        <f t="shared" si="32"/>
        <v>190.31317149673004</v>
      </c>
      <c r="J283" s="9">
        <f t="shared" si="33"/>
        <v>759.68061228436</v>
      </c>
      <c r="K283" s="9">
        <f t="shared" si="31"/>
        <v>190.31317149673004</v>
      </c>
      <c r="L283" s="10">
        <f t="shared" si="30"/>
        <v>0.2505173469209096</v>
      </c>
      <c r="M283" s="10">
        <f t="shared" si="34"/>
        <v>0.28673639748640117</v>
      </c>
      <c r="P283" s="8">
        <f t="shared" si="35"/>
        <v>20.26733485949762</v>
      </c>
    </row>
    <row r="284" spans="1:16" x14ac:dyDescent="0.2">
      <c r="A284" s="8">
        <v>141</v>
      </c>
      <c r="B284" s="8">
        <v>282</v>
      </c>
      <c r="D284">
        <v>901.14471780028998</v>
      </c>
      <c r="E284">
        <v>310.57067052580999</v>
      </c>
      <c r="F284">
        <v>143.08161305809</v>
      </c>
      <c r="G284">
        <v>119.99183869418999</v>
      </c>
      <c r="I284" s="9">
        <f t="shared" si="32"/>
        <v>190.57883183161999</v>
      </c>
      <c r="J284" s="9">
        <f t="shared" si="33"/>
        <v>758.06310474220004</v>
      </c>
      <c r="K284" s="9">
        <f t="shared" si="31"/>
        <v>190.57883183161999</v>
      </c>
      <c r="L284" s="10">
        <f t="shared" si="30"/>
        <v>0.25140233133550471</v>
      </c>
      <c r="M284" s="10">
        <f t="shared" si="34"/>
        <v>0.2877502753193788</v>
      </c>
      <c r="P284" s="8">
        <f t="shared" si="35"/>
        <v>20.692590899240969</v>
      </c>
    </row>
    <row r="285" spans="1:16" x14ac:dyDescent="0.2">
      <c r="A285" s="8">
        <v>141.5</v>
      </c>
      <c r="B285" s="8">
        <v>283</v>
      </c>
      <c r="D285">
        <v>945.59566265060005</v>
      </c>
      <c r="E285">
        <v>321.34891566264997</v>
      </c>
      <c r="F285">
        <v>143.59145463274001</v>
      </c>
      <c r="G285">
        <v>119.89486317811</v>
      </c>
      <c r="I285" s="9">
        <f t="shared" si="32"/>
        <v>201.45405248453997</v>
      </c>
      <c r="J285" s="9">
        <f t="shared" si="33"/>
        <v>802.00420801786004</v>
      </c>
      <c r="K285" s="9">
        <f t="shared" si="31"/>
        <v>201.45405248453997</v>
      </c>
      <c r="L285" s="10">
        <f t="shared" si="30"/>
        <v>0.25118827366558372</v>
      </c>
      <c r="M285" s="10">
        <f t="shared" si="34"/>
        <v>0.28766511106784037</v>
      </c>
      <c r="P285" s="8">
        <f t="shared" si="35"/>
        <v>20.656870015364287</v>
      </c>
    </row>
    <row r="286" spans="1:16" x14ac:dyDescent="0.2">
      <c r="A286" s="8">
        <v>142</v>
      </c>
      <c r="B286" s="8">
        <v>284</v>
      </c>
      <c r="D286">
        <v>941.10409638553995</v>
      </c>
      <c r="E286">
        <v>320.95518072289002</v>
      </c>
      <c r="F286">
        <v>143.24003840615001</v>
      </c>
      <c r="G286">
        <v>120.18915026403999</v>
      </c>
      <c r="I286" s="9">
        <f t="shared" si="32"/>
        <v>200.76603045885003</v>
      </c>
      <c r="J286" s="9">
        <f t="shared" si="33"/>
        <v>797.86405797938994</v>
      </c>
      <c r="K286" s="9">
        <f t="shared" si="31"/>
        <v>200.76603045885003</v>
      </c>
      <c r="L286" s="10">
        <f t="shared" si="30"/>
        <v>0.25162937025549797</v>
      </c>
      <c r="M286" s="10">
        <f t="shared" si="34"/>
        <v>0.28823510107613715</v>
      </c>
      <c r="P286" s="8">
        <f t="shared" si="35"/>
        <v>20.895943881798164</v>
      </c>
    </row>
    <row r="287" spans="1:16" x14ac:dyDescent="0.2">
      <c r="A287" s="8">
        <v>142.5</v>
      </c>
      <c r="B287" s="8">
        <v>285</v>
      </c>
      <c r="D287">
        <v>942.97638554216996</v>
      </c>
      <c r="E287">
        <v>322.49445783133001</v>
      </c>
      <c r="F287">
        <v>143.03456553049</v>
      </c>
      <c r="G287">
        <v>119.73163706193</v>
      </c>
      <c r="I287" s="9">
        <f t="shared" si="32"/>
        <v>202.76282076940001</v>
      </c>
      <c r="J287" s="9">
        <f t="shared" si="33"/>
        <v>799.94182001167997</v>
      </c>
      <c r="K287" s="9">
        <f t="shared" si="31"/>
        <v>202.76282076940001</v>
      </c>
      <c r="L287" s="10">
        <f t="shared" si="30"/>
        <v>0.25347195970631897</v>
      </c>
      <c r="M287" s="10">
        <f t="shared" si="34"/>
        <v>0.29020658394534071</v>
      </c>
      <c r="P287" s="8">
        <f t="shared" si="35"/>
        <v>21.72285317018564</v>
      </c>
    </row>
    <row r="288" spans="1:16" x14ac:dyDescent="0.2">
      <c r="A288" s="8">
        <v>143</v>
      </c>
      <c r="B288" s="8">
        <v>286</v>
      </c>
      <c r="D288">
        <v>940.46457831324994</v>
      </c>
      <c r="E288">
        <v>320.45108433734998</v>
      </c>
      <c r="F288">
        <v>143.17618819011</v>
      </c>
      <c r="G288">
        <v>119.95535285646</v>
      </c>
      <c r="I288" s="9">
        <f t="shared" si="32"/>
        <v>200.49573148088999</v>
      </c>
      <c r="J288" s="9">
        <f t="shared" si="33"/>
        <v>797.28839012313995</v>
      </c>
      <c r="K288" s="9">
        <f t="shared" si="31"/>
        <v>200.49573148088999</v>
      </c>
      <c r="L288" s="10">
        <f t="shared" si="30"/>
        <v>0.25147203190795708</v>
      </c>
      <c r="M288" s="10">
        <f t="shared" si="34"/>
        <v>0.28833554956536134</v>
      </c>
      <c r="P288" s="8">
        <f t="shared" si="35"/>
        <v>20.938075512785925</v>
      </c>
    </row>
    <row r="289" spans="1:16" x14ac:dyDescent="0.2">
      <c r="A289" s="8">
        <v>143.5</v>
      </c>
      <c r="B289" s="8">
        <v>287</v>
      </c>
      <c r="D289">
        <v>938.40385542168997</v>
      </c>
      <c r="E289">
        <v>320.13204819277001</v>
      </c>
      <c r="F289">
        <v>143.20739318291001</v>
      </c>
      <c r="G289">
        <v>119.95583293327</v>
      </c>
      <c r="I289" s="9">
        <f t="shared" si="32"/>
        <v>200.1762152595</v>
      </c>
      <c r="J289" s="9">
        <f t="shared" si="33"/>
        <v>795.19646223877999</v>
      </c>
      <c r="K289" s="9">
        <f t="shared" si="31"/>
        <v>200.1762152595</v>
      </c>
      <c r="L289" s="10">
        <f t="shared" si="30"/>
        <v>0.25173177292052829</v>
      </c>
      <c r="M289" s="10">
        <f t="shared" si="34"/>
        <v>0.28872418399631505</v>
      </c>
      <c r="P289" s="8">
        <f t="shared" si="35"/>
        <v>21.101082468495683</v>
      </c>
    </row>
    <row r="290" spans="1:16" x14ac:dyDescent="0.2">
      <c r="A290" s="8">
        <v>144</v>
      </c>
      <c r="B290" s="8">
        <v>288</v>
      </c>
      <c r="D290">
        <v>932.25927710842996</v>
      </c>
      <c r="E290">
        <v>319.59807228915997</v>
      </c>
      <c r="F290">
        <v>143.74795967355001</v>
      </c>
      <c r="G290">
        <v>119.83917426788</v>
      </c>
      <c r="I290" s="9">
        <f t="shared" si="32"/>
        <v>199.75889802127998</v>
      </c>
      <c r="J290" s="9">
        <f t="shared" si="33"/>
        <v>788.51131743487997</v>
      </c>
      <c r="K290" s="9">
        <f t="shared" si="31"/>
        <v>199.75889802127998</v>
      </c>
      <c r="L290" s="10">
        <f t="shared" si="30"/>
        <v>0.25333675446931969</v>
      </c>
      <c r="M290" s="10">
        <f t="shared" si="34"/>
        <v>0.29045805896348897</v>
      </c>
      <c r="P290" s="8">
        <f t="shared" si="35"/>
        <v>21.828330641764289</v>
      </c>
    </row>
    <row r="291" spans="1:16" x14ac:dyDescent="0.2">
      <c r="A291" s="8">
        <v>144.5</v>
      </c>
      <c r="B291" s="8">
        <v>289</v>
      </c>
      <c r="D291">
        <v>931.94746987951999</v>
      </c>
      <c r="E291">
        <v>319.49253012048001</v>
      </c>
      <c r="F291">
        <v>143.11185789725999</v>
      </c>
      <c r="G291">
        <v>119.68650984158</v>
      </c>
      <c r="I291" s="9">
        <f t="shared" si="32"/>
        <v>199.80602027890001</v>
      </c>
      <c r="J291" s="9">
        <f t="shared" si="33"/>
        <v>788.83561198225993</v>
      </c>
      <c r="K291" s="9">
        <f t="shared" si="31"/>
        <v>199.80602027890001</v>
      </c>
      <c r="L291" s="10">
        <f t="shared" si="30"/>
        <v>0.25329234284543611</v>
      </c>
      <c r="M291" s="10">
        <f t="shared" si="34"/>
        <v>0.29054254075798797</v>
      </c>
      <c r="P291" s="8">
        <f t="shared" si="35"/>
        <v>21.863765279144161</v>
      </c>
    </row>
    <row r="292" spans="1:16" x14ac:dyDescent="0.2">
      <c r="A292" s="8">
        <v>145</v>
      </c>
      <c r="B292" s="8">
        <v>290</v>
      </c>
      <c r="D292">
        <v>931.79662650601995</v>
      </c>
      <c r="E292">
        <v>319.93204819277003</v>
      </c>
      <c r="F292">
        <v>143.44407105137</v>
      </c>
      <c r="G292">
        <v>120.00816130581001</v>
      </c>
      <c r="I292" s="9">
        <f>E292-G292</f>
        <v>199.92388688696002</v>
      </c>
      <c r="J292" s="9">
        <f>D292-F292</f>
        <v>788.35255545464997</v>
      </c>
      <c r="K292" s="9">
        <f t="shared" si="31"/>
        <v>199.92388688696002</v>
      </c>
      <c r="L292" s="10">
        <f t="shared" si="30"/>
        <v>0.25359705566205987</v>
      </c>
      <c r="M292" s="10">
        <f>L292+ABS($N$2)*A292</f>
        <v>0.29097614699299423</v>
      </c>
      <c r="O292" s="11"/>
      <c r="P292" s="8">
        <f>(M292-$O$2)/$O$2*100</f>
        <v>22.045634991952902</v>
      </c>
    </row>
    <row r="293" spans="1:16" x14ac:dyDescent="0.2">
      <c r="A293" s="8">
        <v>145.5</v>
      </c>
      <c r="B293" s="8">
        <v>291</v>
      </c>
      <c r="D293">
        <v>931.10939759036</v>
      </c>
      <c r="E293">
        <v>319.99614457831001</v>
      </c>
      <c r="F293">
        <v>143.37686029765001</v>
      </c>
      <c r="G293">
        <v>119.79884781565001</v>
      </c>
      <c r="I293" s="9">
        <f t="shared" ref="I293:I301" si="36">E293-G293</f>
        <v>200.19729676266002</v>
      </c>
      <c r="J293" s="9">
        <f t="shared" ref="J293:J301" si="37">D293-F293</f>
        <v>787.73253729271005</v>
      </c>
      <c r="K293" s="9">
        <f t="shared" si="31"/>
        <v>200.19729676266002</v>
      </c>
      <c r="L293" s="10">
        <f t="shared" si="30"/>
        <v>0.2541437445896304</v>
      </c>
      <c r="M293" s="10">
        <f t="shared" ref="M293:M301" si="38">L293+ABS($N$2)*A293</f>
        <v>0.29165172933894734</v>
      </c>
      <c r="P293" s="8">
        <f t="shared" ref="P293:P301" si="39">(M293-$O$2)/$O$2*100</f>
        <v>22.328998000410035</v>
      </c>
    </row>
    <row r="294" spans="1:16" x14ac:dyDescent="0.2">
      <c r="A294" s="8">
        <v>146</v>
      </c>
      <c r="B294" s="8">
        <v>292</v>
      </c>
      <c r="D294">
        <v>932.27951807228999</v>
      </c>
      <c r="E294">
        <v>320.62843373494002</v>
      </c>
      <c r="F294">
        <v>143.70763322132001</v>
      </c>
      <c r="G294">
        <v>119.92702832453</v>
      </c>
      <c r="I294" s="9">
        <f t="shared" si="36"/>
        <v>200.70140541041002</v>
      </c>
      <c r="J294" s="9">
        <f t="shared" si="37"/>
        <v>788.57188485097004</v>
      </c>
      <c r="K294" s="9">
        <f t="shared" si="31"/>
        <v>200.70140541041002</v>
      </c>
      <c r="L294" s="10">
        <f t="shared" si="30"/>
        <v>0.25451250452371887</v>
      </c>
      <c r="M294" s="10">
        <f t="shared" si="38"/>
        <v>0.29214938269141832</v>
      </c>
      <c r="N294" s="1"/>
      <c r="P294" s="8">
        <f t="shared" si="39"/>
        <v>22.537731327989832</v>
      </c>
    </row>
    <row r="295" spans="1:16" x14ac:dyDescent="0.2">
      <c r="A295" s="8">
        <v>146.5</v>
      </c>
      <c r="B295" s="8">
        <v>293</v>
      </c>
      <c r="D295">
        <v>930.23180722892005</v>
      </c>
      <c r="E295">
        <v>319.98987951806998</v>
      </c>
      <c r="F295">
        <v>143.73739798368001</v>
      </c>
      <c r="G295">
        <v>119.99663946231</v>
      </c>
      <c r="I295" s="9">
        <f t="shared" si="36"/>
        <v>199.99324005576</v>
      </c>
      <c r="J295" s="9">
        <f t="shared" si="37"/>
        <v>786.49440924524004</v>
      </c>
      <c r="K295" s="9">
        <f t="shared" si="31"/>
        <v>199.99324005576</v>
      </c>
      <c r="L295" s="10">
        <f t="shared" si="30"/>
        <v>0.25428437596610975</v>
      </c>
      <c r="M295" s="10">
        <f t="shared" si="38"/>
        <v>0.29205014755219172</v>
      </c>
      <c r="P295" s="8">
        <f t="shared" si="39"/>
        <v>22.49610861868673</v>
      </c>
    </row>
    <row r="296" spans="1:16" x14ac:dyDescent="0.2">
      <c r="A296" s="8">
        <v>147</v>
      </c>
      <c r="B296" s="8">
        <v>294</v>
      </c>
      <c r="D296">
        <v>928.83132530120997</v>
      </c>
      <c r="E296">
        <v>320.37253012048001</v>
      </c>
      <c r="F296">
        <v>143.68170907345001</v>
      </c>
      <c r="G296">
        <v>119.87037926068</v>
      </c>
      <c r="I296" s="9">
        <f t="shared" si="36"/>
        <v>200.5021508598</v>
      </c>
      <c r="J296" s="9">
        <f t="shared" si="37"/>
        <v>785.14961622775991</v>
      </c>
      <c r="K296" s="9">
        <f t="shared" si="31"/>
        <v>200.5021508598</v>
      </c>
      <c r="L296" s="10">
        <f t="shared" si="30"/>
        <v>0.25536808108384451</v>
      </c>
      <c r="M296" s="10">
        <f t="shared" si="38"/>
        <v>0.29326274608830905</v>
      </c>
      <c r="P296" s="8">
        <f t="shared" si="39"/>
        <v>23.004715113961804</v>
      </c>
    </row>
    <row r="297" spans="1:16" x14ac:dyDescent="0.2">
      <c r="A297" s="8">
        <v>147.5</v>
      </c>
      <c r="B297" s="8">
        <v>295</v>
      </c>
      <c r="D297">
        <v>926.99132530121005</v>
      </c>
      <c r="E297">
        <v>319.30072289156999</v>
      </c>
      <c r="F297">
        <v>143.51704272684</v>
      </c>
      <c r="G297">
        <v>120.10177628421</v>
      </c>
      <c r="I297" s="9">
        <f t="shared" si="36"/>
        <v>199.19894660735997</v>
      </c>
      <c r="J297" s="9">
        <f t="shared" si="37"/>
        <v>783.47428257437002</v>
      </c>
      <c r="K297" s="9">
        <f t="shared" si="31"/>
        <v>199.19894660735997</v>
      </c>
      <c r="L297" s="10">
        <f t="shared" si="30"/>
        <v>0.2542507789187724</v>
      </c>
      <c r="M297" s="10">
        <f t="shared" si="38"/>
        <v>0.29227433734161945</v>
      </c>
      <c r="P297" s="8">
        <f t="shared" si="39"/>
        <v>22.590141705220375</v>
      </c>
    </row>
    <row r="298" spans="1:16" x14ac:dyDescent="0.2">
      <c r="A298" s="8">
        <v>148</v>
      </c>
      <c r="B298" s="8">
        <v>296</v>
      </c>
      <c r="D298">
        <v>926.00867469879995</v>
      </c>
      <c r="E298">
        <v>320.53783132529998</v>
      </c>
      <c r="F298">
        <v>142.95103216515</v>
      </c>
      <c r="G298">
        <v>119.99135861738</v>
      </c>
      <c r="I298" s="9">
        <f t="shared" si="36"/>
        <v>200.54647270791997</v>
      </c>
      <c r="J298" s="9">
        <f t="shared" si="37"/>
        <v>783.05764253364998</v>
      </c>
      <c r="K298" s="9">
        <f t="shared" si="31"/>
        <v>200.54647270791997</v>
      </c>
      <c r="L298" s="10">
        <f t="shared" si="30"/>
        <v>0.25610690939562852</v>
      </c>
      <c r="M298" s="10">
        <f t="shared" si="38"/>
        <v>0.29425936123685809</v>
      </c>
      <c r="P298" s="8">
        <f t="shared" si="39"/>
        <v>23.42273057641205</v>
      </c>
    </row>
    <row r="299" spans="1:16" x14ac:dyDescent="0.2">
      <c r="A299" s="8">
        <v>148.5</v>
      </c>
      <c r="B299" s="8">
        <v>297</v>
      </c>
      <c r="D299">
        <v>924.62746987952005</v>
      </c>
      <c r="E299">
        <v>320.87325301204999</v>
      </c>
      <c r="F299">
        <v>143.47191550648</v>
      </c>
      <c r="G299">
        <v>119.53192510802</v>
      </c>
      <c r="I299" s="9">
        <f t="shared" si="36"/>
        <v>201.34132790402998</v>
      </c>
      <c r="J299" s="9">
        <f t="shared" si="37"/>
        <v>781.1555543730401</v>
      </c>
      <c r="K299" s="9">
        <f t="shared" si="31"/>
        <v>201.34132790402998</v>
      </c>
      <c r="L299" s="10">
        <f t="shared" si="30"/>
        <v>0.25774805898375475</v>
      </c>
      <c r="M299" s="10">
        <f t="shared" si="38"/>
        <v>0.29602940424336688</v>
      </c>
      <c r="P299" s="8">
        <f t="shared" si="39"/>
        <v>24.165148898067919</v>
      </c>
    </row>
    <row r="300" spans="1:16" x14ac:dyDescent="0.2">
      <c r="A300" s="8">
        <v>149</v>
      </c>
      <c r="B300" s="8">
        <v>298</v>
      </c>
      <c r="D300">
        <v>920.21975903614998</v>
      </c>
      <c r="E300">
        <v>319.70409638554003</v>
      </c>
      <c r="F300">
        <v>143.19971195391</v>
      </c>
      <c r="G300">
        <v>120.00576092175</v>
      </c>
      <c r="I300" s="9">
        <f t="shared" si="36"/>
        <v>199.69833546379004</v>
      </c>
      <c r="J300" s="9">
        <f t="shared" si="37"/>
        <v>777.02004708224001</v>
      </c>
      <c r="K300" s="9">
        <f t="shared" si="31"/>
        <v>199.69833546379004</v>
      </c>
      <c r="L300" s="10">
        <f t="shared" si="30"/>
        <v>0.25700538385550037</v>
      </c>
      <c r="M300" s="10">
        <f t="shared" si="38"/>
        <v>0.29541562253349501</v>
      </c>
      <c r="P300" s="8">
        <f t="shared" si="39"/>
        <v>23.907707251039849</v>
      </c>
    </row>
    <row r="301" spans="1:16" x14ac:dyDescent="0.2">
      <c r="A301" s="8">
        <v>149.5</v>
      </c>
      <c r="B301" s="8">
        <v>299</v>
      </c>
      <c r="D301">
        <v>927.02891566264998</v>
      </c>
      <c r="E301">
        <v>320.62457831325003</v>
      </c>
      <c r="F301">
        <v>143.53432549208</v>
      </c>
      <c r="G301">
        <v>119.78348535766</v>
      </c>
      <c r="I301" s="9">
        <f t="shared" si="36"/>
        <v>200.84109295559003</v>
      </c>
      <c r="J301" s="9">
        <f t="shared" si="37"/>
        <v>783.49459017056995</v>
      </c>
      <c r="K301" s="9">
        <f t="shared" si="31"/>
        <v>200.84109295559003</v>
      </c>
      <c r="L301" s="10">
        <f t="shared" si="30"/>
        <v>0.25634011450144933</v>
      </c>
      <c r="M301" s="10">
        <f t="shared" si="38"/>
        <v>0.29487924659782649</v>
      </c>
      <c r="P301" s="8">
        <f t="shared" si="39"/>
        <v>23.682732309486845</v>
      </c>
    </row>
    <row r="302" spans="1:16" x14ac:dyDescent="0.2">
      <c r="A302" s="8">
        <v>150</v>
      </c>
      <c r="B302" s="8">
        <v>300</v>
      </c>
      <c r="D302">
        <v>873.31710843374003</v>
      </c>
      <c r="E302">
        <v>309.79469879518001</v>
      </c>
      <c r="F302">
        <v>143.62121939510001</v>
      </c>
      <c r="G302">
        <v>119.74363898224</v>
      </c>
      <c r="I302" s="9">
        <f>E302-G302</f>
        <v>190.05105981294003</v>
      </c>
      <c r="J302" s="9">
        <f>D302-F302</f>
        <v>729.69588903863996</v>
      </c>
      <c r="K302" s="9">
        <f t="shared" si="31"/>
        <v>190.05105981294003</v>
      </c>
      <c r="L302" s="10">
        <f t="shared" si="30"/>
        <v>0.26045241951866904</v>
      </c>
      <c r="M302" s="10">
        <f>L302+ABS($N$2)*A302</f>
        <v>0.29912044503342872</v>
      </c>
      <c r="O302" s="11"/>
      <c r="P302" s="8">
        <f>(M302-$O$2)/$O$2*100</f>
        <v>25.461640173753853</v>
      </c>
    </row>
    <row r="303" spans="1:16" x14ac:dyDescent="0.2">
      <c r="A303" s="8">
        <v>150.5</v>
      </c>
      <c r="B303" s="8">
        <v>301</v>
      </c>
      <c r="D303">
        <v>872.19132530120999</v>
      </c>
      <c r="E303">
        <v>308.75710843373997</v>
      </c>
      <c r="F303">
        <v>143.56601056169001</v>
      </c>
      <c r="G303">
        <v>119.7810849736</v>
      </c>
      <c r="I303" s="9">
        <f t="shared" ref="I303:I309" si="40">E303-G303</f>
        <v>188.97602346013997</v>
      </c>
      <c r="J303" s="9">
        <f t="shared" ref="J303:J309" si="41">D303-F303</f>
        <v>728.62531473952004</v>
      </c>
      <c r="K303" s="9">
        <f t="shared" si="31"/>
        <v>188.97602346013997</v>
      </c>
      <c r="L303" s="10">
        <f t="shared" si="30"/>
        <v>0.25935967312321279</v>
      </c>
      <c r="M303" s="10">
        <f t="shared" ref="M303:M309" si="42">L303+ABS($N$2)*A303</f>
        <v>0.29815659205635503</v>
      </c>
      <c r="P303" s="8">
        <f t="shared" ref="P303:P309" si="43">(M303-$O$2)/$O$2*100</f>
        <v>25.057366318864045</v>
      </c>
    </row>
    <row r="304" spans="1:16" x14ac:dyDescent="0.2">
      <c r="A304" s="8">
        <v>151</v>
      </c>
      <c r="B304" s="8">
        <v>302</v>
      </c>
      <c r="D304">
        <v>867.35036144577998</v>
      </c>
      <c r="E304">
        <v>308.36530120482001</v>
      </c>
      <c r="F304">
        <v>143.09073451751999</v>
      </c>
      <c r="G304">
        <v>119.81709073451999</v>
      </c>
      <c r="I304" s="9">
        <f t="shared" si="40"/>
        <v>188.54821047030003</v>
      </c>
      <c r="J304" s="9">
        <f t="shared" si="41"/>
        <v>724.25962692825999</v>
      </c>
      <c r="K304" s="9">
        <f t="shared" si="31"/>
        <v>188.54821047030003</v>
      </c>
      <c r="L304" s="10">
        <f t="shared" si="30"/>
        <v>0.26033234969892405</v>
      </c>
      <c r="M304" s="10">
        <f t="shared" si="42"/>
        <v>0.29925816205044881</v>
      </c>
      <c r="N304" s="1"/>
      <c r="P304" s="8">
        <f t="shared" si="43"/>
        <v>25.519403536713703</v>
      </c>
    </row>
    <row r="305" spans="1:16" x14ac:dyDescent="0.2">
      <c r="A305" s="8">
        <v>151.5</v>
      </c>
      <c r="B305" s="8">
        <v>303</v>
      </c>
      <c r="D305">
        <v>915.48867469879997</v>
      </c>
      <c r="E305">
        <v>320.26506024096</v>
      </c>
      <c r="F305">
        <v>143.12818050888001</v>
      </c>
      <c r="G305">
        <v>120.00864138262</v>
      </c>
      <c r="I305" s="9">
        <f t="shared" si="40"/>
        <v>200.25641885834</v>
      </c>
      <c r="J305" s="9">
        <f t="shared" si="41"/>
        <v>772.36049418992002</v>
      </c>
      <c r="K305" s="9">
        <f t="shared" si="31"/>
        <v>200.25641885834</v>
      </c>
      <c r="L305" s="10">
        <f t="shared" si="30"/>
        <v>0.2592784332766479</v>
      </c>
      <c r="M305" s="10">
        <f t="shared" si="42"/>
        <v>0.29833313904655517</v>
      </c>
      <c r="P305" s="8">
        <f t="shared" si="43"/>
        <v>25.131416338934638</v>
      </c>
    </row>
    <row r="306" spans="1:16" x14ac:dyDescent="0.2">
      <c r="A306" s="8">
        <v>152</v>
      </c>
      <c r="B306" s="8">
        <v>304</v>
      </c>
      <c r="D306">
        <v>914.72578313252995</v>
      </c>
      <c r="E306">
        <v>320.75566265060002</v>
      </c>
      <c r="F306">
        <v>143.21123379740999</v>
      </c>
      <c r="G306">
        <v>119.77244359098</v>
      </c>
      <c r="I306" s="9">
        <f t="shared" si="40"/>
        <v>200.98321905962001</v>
      </c>
      <c r="J306" s="9">
        <f t="shared" si="41"/>
        <v>771.51454933511991</v>
      </c>
      <c r="K306" s="9">
        <f t="shared" si="31"/>
        <v>200.98321905962001</v>
      </c>
      <c r="L306" s="10">
        <f t="shared" si="30"/>
        <v>0.26050476848793641</v>
      </c>
      <c r="M306" s="10">
        <f t="shared" si="42"/>
        <v>0.29968836767622625</v>
      </c>
      <c r="P306" s="8">
        <f t="shared" si="43"/>
        <v>25.699846914350367</v>
      </c>
    </row>
    <row r="307" spans="1:16" x14ac:dyDescent="0.2">
      <c r="A307" s="8">
        <v>152.5</v>
      </c>
      <c r="B307" s="8">
        <v>305</v>
      </c>
      <c r="D307">
        <v>970.81060240963996</v>
      </c>
      <c r="E307">
        <v>333.94361445782999</v>
      </c>
      <c r="F307">
        <v>143.68026884302</v>
      </c>
      <c r="G307">
        <v>119.77100336054001</v>
      </c>
      <c r="I307" s="9">
        <f t="shared" si="40"/>
        <v>214.17261109728997</v>
      </c>
      <c r="J307" s="9">
        <f t="shared" si="41"/>
        <v>827.13033356661992</v>
      </c>
      <c r="K307" s="9">
        <f t="shared" si="31"/>
        <v>214.17261109728997</v>
      </c>
      <c r="L307" s="10">
        <f t="shared" si="30"/>
        <v>0.2589345383741023</v>
      </c>
      <c r="M307" s="10">
        <f t="shared" si="42"/>
        <v>0.29824703098077465</v>
      </c>
      <c r="P307" s="8">
        <f t="shared" si="43"/>
        <v>25.09529958615364</v>
      </c>
    </row>
    <row r="308" spans="1:16" x14ac:dyDescent="0.2">
      <c r="A308" s="8">
        <v>153</v>
      </c>
      <c r="B308" s="8">
        <v>306</v>
      </c>
      <c r="D308">
        <v>968.84626506023994</v>
      </c>
      <c r="E308">
        <v>334.37638554217</v>
      </c>
      <c r="F308">
        <v>142.96111377821001</v>
      </c>
      <c r="G308">
        <v>119.71435429669</v>
      </c>
      <c r="I308" s="9">
        <f t="shared" si="40"/>
        <v>214.66203124547999</v>
      </c>
      <c r="J308" s="9">
        <f t="shared" si="41"/>
        <v>825.88515128202994</v>
      </c>
      <c r="K308" s="9">
        <f t="shared" si="31"/>
        <v>214.66203124547999</v>
      </c>
      <c r="L308" s="10">
        <f t="shared" si="30"/>
        <v>0.2599175332214872</v>
      </c>
      <c r="M308" s="10">
        <f t="shared" si="42"/>
        <v>0.29935891924654207</v>
      </c>
      <c r="P308" s="8">
        <f t="shared" si="43"/>
        <v>25.561664650225207</v>
      </c>
    </row>
    <row r="309" spans="1:16" x14ac:dyDescent="0.2">
      <c r="A309" s="8">
        <v>153.5</v>
      </c>
      <c r="B309" s="8">
        <v>307</v>
      </c>
      <c r="D309">
        <v>968.73734939759004</v>
      </c>
      <c r="E309">
        <v>334.01783132529999</v>
      </c>
      <c r="F309">
        <v>143.12770043206999</v>
      </c>
      <c r="G309">
        <v>119.8554968795</v>
      </c>
      <c r="I309" s="9">
        <f t="shared" si="40"/>
        <v>214.16233444580001</v>
      </c>
      <c r="J309" s="9">
        <f t="shared" si="41"/>
        <v>825.60964896552002</v>
      </c>
      <c r="K309" s="9">
        <f t="shared" si="31"/>
        <v>214.16233444580001</v>
      </c>
      <c r="L309" s="10">
        <f t="shared" si="30"/>
        <v>0.25939902072867377</v>
      </c>
      <c r="M309" s="10">
        <f t="shared" si="42"/>
        <v>0.29896930017211121</v>
      </c>
      <c r="P309" s="8">
        <f t="shared" si="43"/>
        <v>25.398244700393246</v>
      </c>
    </row>
    <row r="310" spans="1:16" x14ac:dyDescent="0.2">
      <c r="A310" s="8">
        <v>154</v>
      </c>
      <c r="B310" s="8">
        <v>308</v>
      </c>
      <c r="D310">
        <v>949.73012048193004</v>
      </c>
      <c r="E310">
        <v>329.99132530121</v>
      </c>
      <c r="F310">
        <v>143.40086413826</v>
      </c>
      <c r="G310">
        <v>119.83101296207001</v>
      </c>
      <c r="I310" s="9">
        <f>E310-G310</f>
        <v>210.16031233913998</v>
      </c>
      <c r="J310" s="9">
        <f>D310-F310</f>
        <v>806.32925634367007</v>
      </c>
      <c r="K310" s="9">
        <f t="shared" si="31"/>
        <v>210.16031233913998</v>
      </c>
      <c r="L310" s="10">
        <f t="shared" si="30"/>
        <v>0.26063833190441299</v>
      </c>
      <c r="M310" s="10">
        <f>L310+ABS($N$2)*A310</f>
        <v>0.30033750476623294</v>
      </c>
      <c r="O310" s="11"/>
      <c r="P310" s="8">
        <f>(M310-$O$2)/$O$2*100</f>
        <v>25.972117851901146</v>
      </c>
    </row>
    <row r="311" spans="1:16" x14ac:dyDescent="0.2">
      <c r="A311" s="8">
        <v>154.5</v>
      </c>
      <c r="B311" s="8">
        <v>309</v>
      </c>
      <c r="D311">
        <v>948.83036144578</v>
      </c>
      <c r="E311">
        <v>330.19325301204998</v>
      </c>
      <c r="F311">
        <v>143.16034565531001</v>
      </c>
      <c r="G311">
        <v>119.81853096495</v>
      </c>
      <c r="I311" s="9">
        <f t="shared" ref="I311:I319" si="44">E311-G311</f>
        <v>210.37472204709997</v>
      </c>
      <c r="J311" s="9">
        <f t="shared" ref="J311:J319" si="45">D311-F311</f>
        <v>805.67001579046996</v>
      </c>
      <c r="K311" s="9">
        <f t="shared" si="31"/>
        <v>210.37472204709997</v>
      </c>
      <c r="L311" s="10">
        <f t="shared" si="30"/>
        <v>0.26111772552525025</v>
      </c>
      <c r="M311" s="10">
        <f t="shared" ref="M311:M319" si="46">L311+ABS($N$2)*A311</f>
        <v>0.30094579180545272</v>
      </c>
      <c r="P311" s="8">
        <f t="shared" ref="P311:P319" si="47">(M311-$O$2)/$O$2*100</f>
        <v>26.227254840709858</v>
      </c>
    </row>
    <row r="312" spans="1:16" x14ac:dyDescent="0.2">
      <c r="A312" s="8">
        <v>155</v>
      </c>
      <c r="B312" s="8">
        <v>310</v>
      </c>
      <c r="D312">
        <v>949.22506024096003</v>
      </c>
      <c r="E312">
        <v>328.95373493976001</v>
      </c>
      <c r="F312">
        <v>143.17762842055001</v>
      </c>
      <c r="G312">
        <v>119.7930868939</v>
      </c>
      <c r="I312" s="9">
        <f t="shared" si="44"/>
        <v>209.16064804586</v>
      </c>
      <c r="J312" s="9">
        <f t="shared" si="45"/>
        <v>806.04743182041</v>
      </c>
      <c r="K312" s="9">
        <f t="shared" si="31"/>
        <v>209.16064804586</v>
      </c>
      <c r="L312" s="10">
        <f t="shared" si="30"/>
        <v>0.25948925558075803</v>
      </c>
      <c r="M312" s="10">
        <f t="shared" si="46"/>
        <v>0.29944621527934306</v>
      </c>
      <c r="N312" s="1"/>
      <c r="P312" s="8">
        <f t="shared" si="47"/>
        <v>25.598279678177079</v>
      </c>
    </row>
    <row r="313" spans="1:16" x14ac:dyDescent="0.2">
      <c r="A313" s="8">
        <v>155.5</v>
      </c>
      <c r="B313" s="8">
        <v>311</v>
      </c>
      <c r="D313">
        <v>951.28963855422001</v>
      </c>
      <c r="E313">
        <v>329.38265060241002</v>
      </c>
      <c r="F313">
        <v>143.34469515122001</v>
      </c>
      <c r="G313">
        <v>119.62938070091</v>
      </c>
      <c r="I313" s="9">
        <f t="shared" si="44"/>
        <v>209.7532699015</v>
      </c>
      <c r="J313" s="9">
        <f t="shared" si="45"/>
        <v>807.94494340300002</v>
      </c>
      <c r="K313" s="9">
        <f t="shared" si="31"/>
        <v>209.7532699015</v>
      </c>
      <c r="L313" s="10">
        <f t="shared" si="30"/>
        <v>0.25961332094986062</v>
      </c>
      <c r="M313" s="10">
        <f t="shared" si="46"/>
        <v>0.29969917406682817</v>
      </c>
      <c r="P313" s="8">
        <f t="shared" si="47"/>
        <v>25.704379494826846</v>
      </c>
    </row>
    <row r="314" spans="1:16" x14ac:dyDescent="0.2">
      <c r="A314" s="8">
        <v>156</v>
      </c>
      <c r="B314" s="8">
        <v>312</v>
      </c>
      <c r="D314">
        <v>951.19855421686998</v>
      </c>
      <c r="E314">
        <v>330.32722891565999</v>
      </c>
      <c r="F314">
        <v>142.89342294766999</v>
      </c>
      <c r="G314">
        <v>119.69707153145001</v>
      </c>
      <c r="I314" s="9">
        <f t="shared" si="44"/>
        <v>210.63015738420998</v>
      </c>
      <c r="J314" s="9">
        <f t="shared" si="45"/>
        <v>808.30513126920005</v>
      </c>
      <c r="K314" s="9">
        <f t="shared" si="31"/>
        <v>210.63015738420998</v>
      </c>
      <c r="L314" s="10">
        <f t="shared" si="30"/>
        <v>0.26058248208010099</v>
      </c>
      <c r="M314" s="10">
        <f t="shared" si="46"/>
        <v>0.30079722861545105</v>
      </c>
      <c r="P314" s="8">
        <f t="shared" si="47"/>
        <v>26.164942211143622</v>
      </c>
    </row>
    <row r="315" spans="1:16" x14ac:dyDescent="0.2">
      <c r="A315" s="8">
        <v>156.5</v>
      </c>
      <c r="B315" s="8">
        <v>313</v>
      </c>
      <c r="D315">
        <v>948.27759036145005</v>
      </c>
      <c r="E315">
        <v>329.00771084336998</v>
      </c>
      <c r="F315">
        <v>143.29524723956001</v>
      </c>
      <c r="G315">
        <v>119.84733557369</v>
      </c>
      <c r="I315" s="9">
        <f t="shared" si="44"/>
        <v>209.16037526967997</v>
      </c>
      <c r="J315" s="9">
        <f t="shared" si="45"/>
        <v>804.98234312189004</v>
      </c>
      <c r="K315" s="9">
        <f t="shared" si="31"/>
        <v>209.16037526967997</v>
      </c>
      <c r="L315" s="10">
        <f t="shared" si="30"/>
        <v>0.25983225229327672</v>
      </c>
      <c r="M315" s="10">
        <f t="shared" si="46"/>
        <v>0.30017589224700936</v>
      </c>
      <c r="P315" s="8">
        <f t="shared" si="47"/>
        <v>25.904331874476107</v>
      </c>
    </row>
    <row r="316" spans="1:16" x14ac:dyDescent="0.2">
      <c r="A316" s="8">
        <v>157</v>
      </c>
      <c r="B316" s="8">
        <v>314</v>
      </c>
      <c r="D316">
        <v>948.28722891565997</v>
      </c>
      <c r="E316">
        <v>329.52771084337002</v>
      </c>
      <c r="F316">
        <v>142.96399423907999</v>
      </c>
      <c r="G316">
        <v>119.59145463274</v>
      </c>
      <c r="I316" s="9">
        <f t="shared" si="44"/>
        <v>209.93625621063001</v>
      </c>
      <c r="J316" s="9">
        <f t="shared" si="45"/>
        <v>805.32323467658</v>
      </c>
      <c r="K316" s="9">
        <f t="shared" si="31"/>
        <v>209.93625621063001</v>
      </c>
      <c r="L316" s="10">
        <f t="shared" si="30"/>
        <v>0.26068570627412851</v>
      </c>
      <c r="M316" s="10">
        <f t="shared" si="46"/>
        <v>0.30115823964624366</v>
      </c>
      <c r="P316" s="8">
        <f t="shared" si="47"/>
        <v>26.316362940806542</v>
      </c>
    </row>
    <row r="317" spans="1:16" x14ac:dyDescent="0.2">
      <c r="A317" s="8">
        <v>157.5</v>
      </c>
      <c r="B317" s="8">
        <v>315</v>
      </c>
      <c r="D317">
        <v>946.93397590361997</v>
      </c>
      <c r="E317">
        <v>330.20530120481999</v>
      </c>
      <c r="F317">
        <v>143.67114738358001</v>
      </c>
      <c r="G317">
        <v>119.73931829093</v>
      </c>
      <c r="I317" s="9">
        <f t="shared" si="44"/>
        <v>210.46598291389</v>
      </c>
      <c r="J317" s="9">
        <f t="shared" si="45"/>
        <v>803.26282852003999</v>
      </c>
      <c r="K317" s="9">
        <f t="shared" si="31"/>
        <v>210.46598291389</v>
      </c>
      <c r="L317" s="10">
        <f t="shared" si="30"/>
        <v>0.26201384583133269</v>
      </c>
      <c r="M317" s="10">
        <f t="shared" si="46"/>
        <v>0.30261527262183036</v>
      </c>
      <c r="P317" s="8">
        <f t="shared" si="47"/>
        <v>26.927493841216648</v>
      </c>
    </row>
    <row r="318" spans="1:16" x14ac:dyDescent="0.2">
      <c r="A318" s="8">
        <v>158</v>
      </c>
      <c r="B318" s="8">
        <v>316</v>
      </c>
      <c r="D318">
        <v>946.61060240964002</v>
      </c>
      <c r="E318">
        <v>329.75759036145001</v>
      </c>
      <c r="F318">
        <v>142.89774363897999</v>
      </c>
      <c r="G318">
        <v>119.7810849736</v>
      </c>
      <c r="I318" s="9">
        <f t="shared" si="44"/>
        <v>209.97650538785001</v>
      </c>
      <c r="J318" s="9">
        <f t="shared" si="45"/>
        <v>803.71285877065998</v>
      </c>
      <c r="K318" s="9">
        <f t="shared" si="31"/>
        <v>209.97650538785001</v>
      </c>
      <c r="L318" s="10">
        <f t="shared" si="30"/>
        <v>0.26125811363653567</v>
      </c>
      <c r="M318" s="10">
        <f t="shared" si="46"/>
        <v>0.3019884338454159</v>
      </c>
      <c r="P318" s="8">
        <f t="shared" si="47"/>
        <v>26.66457560102522</v>
      </c>
    </row>
    <row r="319" spans="1:16" x14ac:dyDescent="0.2">
      <c r="A319" s="8">
        <v>158.5</v>
      </c>
      <c r="B319" s="8">
        <v>317</v>
      </c>
      <c r="D319">
        <v>946.06361445783</v>
      </c>
      <c r="E319">
        <v>328.73686746988</v>
      </c>
      <c r="F319">
        <v>142.72443590975001</v>
      </c>
      <c r="G319">
        <v>119.88142102736001</v>
      </c>
      <c r="I319" s="9">
        <f t="shared" si="44"/>
        <v>208.85544644251999</v>
      </c>
      <c r="J319" s="9">
        <f t="shared" si="45"/>
        <v>803.33917854807999</v>
      </c>
      <c r="K319" s="9">
        <f t="shared" si="31"/>
        <v>208.85544644251999</v>
      </c>
      <c r="L319" s="10">
        <f t="shared" si="30"/>
        <v>0.25998414121915003</v>
      </c>
      <c r="M319" s="10">
        <f t="shared" si="46"/>
        <v>0.30084335484641278</v>
      </c>
      <c r="P319" s="8">
        <f t="shared" si="47"/>
        <v>26.184289175510582</v>
      </c>
    </row>
    <row r="320" spans="1:16" x14ac:dyDescent="0.2">
      <c r="A320" s="8">
        <v>159</v>
      </c>
      <c r="B320" s="8">
        <v>318</v>
      </c>
      <c r="D320">
        <v>943.06843373493996</v>
      </c>
      <c r="E320">
        <v>329.15325301205002</v>
      </c>
      <c r="F320">
        <v>143.43638982236999</v>
      </c>
      <c r="G320">
        <v>119.69755160826</v>
      </c>
      <c r="I320" s="9">
        <f>E320-G320</f>
        <v>209.45570140379002</v>
      </c>
      <c r="J320" s="9">
        <f>D320-F320</f>
        <v>799.63204391257</v>
      </c>
      <c r="K320" s="9">
        <f t="shared" si="31"/>
        <v>209.45570140379002</v>
      </c>
      <c r="L320" s="10">
        <f t="shared" si="30"/>
        <v>0.26194010482487801</v>
      </c>
      <c r="M320" s="10">
        <f>L320+ABS($N$2)*A320</f>
        <v>0.30292821187052327</v>
      </c>
      <c r="O320" s="11"/>
      <c r="P320" s="8">
        <f>(M320-$O$2)/$O$2*100</f>
        <v>27.058751573904789</v>
      </c>
    </row>
    <row r="321" spans="1:16" x14ac:dyDescent="0.2">
      <c r="A321" s="8">
        <v>159.5</v>
      </c>
      <c r="B321" s="8">
        <v>319</v>
      </c>
      <c r="D321">
        <v>945.88722891565999</v>
      </c>
      <c r="E321">
        <v>330.17638554217001</v>
      </c>
      <c r="F321">
        <v>143.23571771483</v>
      </c>
      <c r="G321">
        <v>119.68026884302</v>
      </c>
      <c r="I321" s="9">
        <f t="shared" ref="I321:I322" si="48">E321-G321</f>
        <v>210.49611669915001</v>
      </c>
      <c r="J321" s="9">
        <f t="shared" ref="J321:J322" si="49">D321-F321</f>
        <v>802.65151120082999</v>
      </c>
      <c r="K321" s="9">
        <f t="shared" si="31"/>
        <v>210.49611669915001</v>
      </c>
      <c r="L321" s="10">
        <f t="shared" si="30"/>
        <v>0.26225094422887363</v>
      </c>
      <c r="M321" s="10">
        <f t="shared" ref="M321:M322" si="50">L321+ABS($N$2)*A321</f>
        <v>0.30336794469290146</v>
      </c>
      <c r="P321" s="8">
        <f t="shared" ref="P321:P322" si="51">(M321-$O$2)/$O$2*100</f>
        <v>27.243190993041239</v>
      </c>
    </row>
    <row r="322" spans="1:16" x14ac:dyDescent="0.2">
      <c r="A322" s="8">
        <v>160</v>
      </c>
      <c r="D322">
        <v>932.40144578313004</v>
      </c>
      <c r="E322">
        <v>326.15855421687002</v>
      </c>
      <c r="F322">
        <v>143.39558329332999</v>
      </c>
      <c r="G322">
        <v>119.57465194431001</v>
      </c>
      <c r="I322" s="9">
        <f t="shared" si="48"/>
        <v>206.58390227256001</v>
      </c>
      <c r="J322" s="9">
        <f t="shared" si="49"/>
        <v>789.00586248980005</v>
      </c>
      <c r="K322" s="9">
        <f t="shared" si="31"/>
        <v>206.58390227256001</v>
      </c>
      <c r="L322" s="10">
        <f t="shared" ref="L322" si="52">K322/J322</f>
        <v>0.26182809544742852</v>
      </c>
      <c r="M322" s="10">
        <f t="shared" si="50"/>
        <v>0.30307398932983887</v>
      </c>
      <c r="P322" s="8">
        <f t="shared" si="51"/>
        <v>27.119895769996276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C473-7ADE-354E-A5D0-B62511CF74B0}">
  <dimension ref="A1:Y798"/>
  <sheetViews>
    <sheetView topLeftCell="E1" zoomScale="75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895.93024911032001</v>
      </c>
      <c r="E2">
        <v>373.84128113879001</v>
      </c>
      <c r="F2">
        <v>138.50820842255999</v>
      </c>
      <c r="G2">
        <v>118.15703069236</v>
      </c>
      <c r="H2" s="4"/>
      <c r="I2" s="5">
        <f>E2-G2</f>
        <v>255.68425044643001</v>
      </c>
      <c r="J2" s="5">
        <f>D2-F2</f>
        <v>757.42204068776005</v>
      </c>
      <c r="K2" s="9">
        <f>I2*1</f>
        <v>255.68425044643001</v>
      </c>
      <c r="L2" s="6">
        <f t="shared" ref="L2:L65" si="0">K2/J2</f>
        <v>0.33757170601249165</v>
      </c>
      <c r="M2" s="6">
        <f>L2+ABS($N$2)*A2</f>
        <v>0.33757170601249165</v>
      </c>
      <c r="N2" s="4">
        <f>LINEST(V64:V103,U64:U103)</f>
        <v>9.90604355803881E-5</v>
      </c>
      <c r="O2" s="7">
        <f>AVERAGE(M62:M81)</f>
        <v>0.24721082416949064</v>
      </c>
      <c r="P2" s="4">
        <f>(M2-$O$2)/$O$2*100</f>
        <v>36.552154278264339</v>
      </c>
    </row>
    <row r="3" spans="1:16" x14ac:dyDescent="0.2">
      <c r="A3" s="8">
        <v>0.5</v>
      </c>
      <c r="B3" s="8">
        <v>1</v>
      </c>
      <c r="D3">
        <v>917.26405693950005</v>
      </c>
      <c r="E3">
        <v>387.69964412810998</v>
      </c>
      <c r="F3">
        <v>138.16416845110999</v>
      </c>
      <c r="G3">
        <v>117.93790149893</v>
      </c>
      <c r="I3" s="9">
        <f t="shared" ref="I3:I66" si="1">E3-G3</f>
        <v>269.76174262917999</v>
      </c>
      <c r="J3" s="9">
        <f t="shared" ref="J3:J66" si="2">D3-F3</f>
        <v>779.09988848839009</v>
      </c>
      <c r="K3" s="9">
        <f t="shared" ref="K3:K66" si="3">I3*1</f>
        <v>269.76174262917999</v>
      </c>
      <c r="L3" s="10">
        <f t="shared" si="0"/>
        <v>0.34624795435739547</v>
      </c>
      <c r="M3" s="10">
        <f t="shared" ref="M3:M66" si="4">L3+ABS($N$2)*A3</f>
        <v>0.34629748457518567</v>
      </c>
      <c r="P3" s="8">
        <f t="shared" ref="P3:P66" si="5">(M3-$O$2)/$O$2*100</f>
        <v>40.081845420231296</v>
      </c>
    </row>
    <row r="4" spans="1:16" ht="16" x14ac:dyDescent="0.2">
      <c r="A4" s="8">
        <v>1</v>
      </c>
      <c r="B4" s="8">
        <v>2</v>
      </c>
      <c r="D4">
        <v>997.85836298931997</v>
      </c>
      <c r="E4">
        <v>426.75658362988997</v>
      </c>
      <c r="F4">
        <v>137.86581013561999</v>
      </c>
      <c r="G4">
        <v>117.76588151321</v>
      </c>
      <c r="I4" s="9">
        <f t="shared" si="1"/>
        <v>308.99070211667998</v>
      </c>
      <c r="J4" s="9">
        <f t="shared" si="2"/>
        <v>859.99255285369998</v>
      </c>
      <c r="K4" s="9">
        <f t="shared" si="3"/>
        <v>308.99070211667998</v>
      </c>
      <c r="L4" s="10">
        <f t="shared" si="0"/>
        <v>0.35929462539106988</v>
      </c>
      <c r="M4" s="10">
        <f t="shared" si="4"/>
        <v>0.35939368582665027</v>
      </c>
      <c r="N4" s="1" t="s">
        <v>7</v>
      </c>
      <c r="P4" s="8">
        <f t="shared" si="5"/>
        <v>45.379429494659078</v>
      </c>
    </row>
    <row r="5" spans="1:16" x14ac:dyDescent="0.2">
      <c r="A5" s="8">
        <v>1.5</v>
      </c>
      <c r="B5" s="8">
        <v>3</v>
      </c>
      <c r="D5">
        <v>1019.0416068867</v>
      </c>
      <c r="E5">
        <v>430.31563845049999</v>
      </c>
      <c r="F5">
        <v>138.32119914347001</v>
      </c>
      <c r="G5">
        <v>118.06352605282</v>
      </c>
      <c r="I5" s="9">
        <f t="shared" si="1"/>
        <v>312.25211239767998</v>
      </c>
      <c r="J5" s="9">
        <f t="shared" si="2"/>
        <v>880.72040774323</v>
      </c>
      <c r="K5" s="9">
        <f t="shared" si="3"/>
        <v>312.25211239767998</v>
      </c>
      <c r="L5" s="10">
        <f t="shared" si="0"/>
        <v>0.35454170205706831</v>
      </c>
      <c r="M5" s="10">
        <f t="shared" si="4"/>
        <v>0.35469029271043889</v>
      </c>
      <c r="N5" s="8">
        <f>RSQ(V64:V83,U64:U83)</f>
        <v>0.28864958632847648</v>
      </c>
      <c r="P5" s="8">
        <f t="shared" si="5"/>
        <v>43.476845685065577</v>
      </c>
    </row>
    <row r="6" spans="1:16" x14ac:dyDescent="0.2">
      <c r="A6" s="8">
        <v>2</v>
      </c>
      <c r="B6" s="8">
        <v>4</v>
      </c>
      <c r="D6">
        <v>958.84791965567001</v>
      </c>
      <c r="E6">
        <v>395.83142037303003</v>
      </c>
      <c r="F6">
        <v>138.06638115632001</v>
      </c>
      <c r="G6">
        <v>118.3176302641</v>
      </c>
      <c r="I6" s="9">
        <f t="shared" si="1"/>
        <v>277.51379010893004</v>
      </c>
      <c r="J6" s="9">
        <f t="shared" si="2"/>
        <v>820.78153849935006</v>
      </c>
      <c r="K6" s="9">
        <f t="shared" si="3"/>
        <v>277.51379010893004</v>
      </c>
      <c r="L6" s="10">
        <f t="shared" si="0"/>
        <v>0.33810920091637731</v>
      </c>
      <c r="M6" s="10">
        <f t="shared" si="4"/>
        <v>0.33830732178753808</v>
      </c>
      <c r="P6" s="8">
        <f t="shared" si="5"/>
        <v>36.849720445732025</v>
      </c>
    </row>
    <row r="7" spans="1:16" x14ac:dyDescent="0.2">
      <c r="A7" s="8">
        <v>2.5</v>
      </c>
      <c r="B7" s="8">
        <v>5</v>
      </c>
      <c r="D7">
        <v>902.74964131994</v>
      </c>
      <c r="E7">
        <v>370.23816355810999</v>
      </c>
      <c r="F7">
        <v>138.28194147037999</v>
      </c>
      <c r="G7">
        <v>118.33333333333</v>
      </c>
      <c r="I7" s="9">
        <f t="shared" si="1"/>
        <v>251.90483022477997</v>
      </c>
      <c r="J7" s="9">
        <f t="shared" si="2"/>
        <v>764.46769984955995</v>
      </c>
      <c r="K7" s="9">
        <f t="shared" si="3"/>
        <v>251.90483022477997</v>
      </c>
      <c r="L7" s="10">
        <f t="shared" si="0"/>
        <v>0.32951664311566398</v>
      </c>
      <c r="M7" s="10">
        <f t="shared" si="4"/>
        <v>0.32976429420461495</v>
      </c>
      <c r="P7" s="8">
        <f t="shared" si="5"/>
        <v>33.393954456672446</v>
      </c>
    </row>
    <row r="8" spans="1:16" x14ac:dyDescent="0.2">
      <c r="A8" s="8">
        <v>3</v>
      </c>
      <c r="B8" s="8">
        <v>6</v>
      </c>
      <c r="D8">
        <v>934.06599713056005</v>
      </c>
      <c r="E8">
        <v>370.13916786227003</v>
      </c>
      <c r="F8">
        <v>138.33547466095999</v>
      </c>
      <c r="G8">
        <v>118.75588865096</v>
      </c>
      <c r="I8" s="9">
        <f t="shared" si="1"/>
        <v>251.38327921131003</v>
      </c>
      <c r="J8" s="9">
        <f t="shared" si="2"/>
        <v>795.73052246960003</v>
      </c>
      <c r="K8" s="9">
        <f t="shared" si="3"/>
        <v>251.38327921131003</v>
      </c>
      <c r="L8" s="10">
        <f t="shared" si="0"/>
        <v>0.31591508948422148</v>
      </c>
      <c r="M8" s="10">
        <f t="shared" si="4"/>
        <v>0.31621227079096265</v>
      </c>
      <c r="P8" s="8">
        <f t="shared" si="5"/>
        <v>27.911984377416989</v>
      </c>
    </row>
    <row r="9" spans="1:16" x14ac:dyDescent="0.2">
      <c r="A9" s="8">
        <v>3.5</v>
      </c>
      <c r="B9" s="8">
        <v>7</v>
      </c>
      <c r="D9">
        <v>941.28766140603</v>
      </c>
      <c r="E9">
        <v>366.0681492109</v>
      </c>
      <c r="F9">
        <v>138.40613847252001</v>
      </c>
      <c r="G9">
        <v>118.98072805139</v>
      </c>
      <c r="I9" s="9">
        <f t="shared" si="1"/>
        <v>247.08742115951</v>
      </c>
      <c r="J9" s="9">
        <f t="shared" si="2"/>
        <v>802.88152293351004</v>
      </c>
      <c r="K9" s="9">
        <f t="shared" si="3"/>
        <v>247.08742115951</v>
      </c>
      <c r="L9" s="10">
        <f t="shared" si="0"/>
        <v>0.3077507877584727</v>
      </c>
      <c r="M9" s="10">
        <f t="shared" si="4"/>
        <v>0.30809749928300406</v>
      </c>
      <c r="P9" s="8">
        <f t="shared" si="5"/>
        <v>24.629453551665197</v>
      </c>
    </row>
    <row r="10" spans="1:16" x14ac:dyDescent="0.2">
      <c r="A10" s="8">
        <v>4</v>
      </c>
      <c r="B10" s="8">
        <v>8</v>
      </c>
      <c r="D10">
        <v>879.77077363897001</v>
      </c>
      <c r="E10">
        <v>347.86891117479001</v>
      </c>
      <c r="F10">
        <v>138.71948608137001</v>
      </c>
      <c r="G10">
        <v>118.50249821556</v>
      </c>
      <c r="I10" s="9">
        <f t="shared" si="1"/>
        <v>229.36641295923002</v>
      </c>
      <c r="J10" s="9">
        <f t="shared" si="2"/>
        <v>741.05128755760006</v>
      </c>
      <c r="K10" s="9">
        <f t="shared" si="3"/>
        <v>229.36641295923002</v>
      </c>
      <c r="L10" s="10">
        <f t="shared" si="0"/>
        <v>0.30951489702580398</v>
      </c>
      <c r="M10" s="10">
        <f t="shared" si="4"/>
        <v>0.30991113876812554</v>
      </c>
      <c r="P10" s="8">
        <f t="shared" si="5"/>
        <v>25.363094358541044</v>
      </c>
    </row>
    <row r="11" spans="1:16" x14ac:dyDescent="0.2">
      <c r="A11" s="8">
        <v>4.5</v>
      </c>
      <c r="B11" s="8">
        <v>9</v>
      </c>
      <c r="D11">
        <v>830.50573065902995</v>
      </c>
      <c r="E11">
        <v>327.18982808022997</v>
      </c>
      <c r="F11">
        <v>138.55389007852</v>
      </c>
      <c r="G11">
        <v>118.33047822984</v>
      </c>
      <c r="I11" s="9">
        <f t="shared" si="1"/>
        <v>208.85934985038998</v>
      </c>
      <c r="J11" s="9">
        <f t="shared" si="2"/>
        <v>691.95184058050995</v>
      </c>
      <c r="K11" s="9">
        <f t="shared" si="3"/>
        <v>208.85934985038998</v>
      </c>
      <c r="L11" s="10">
        <f t="shared" si="0"/>
        <v>0.30184087620197431</v>
      </c>
      <c r="M11" s="10">
        <f t="shared" si="4"/>
        <v>0.30228664816208606</v>
      </c>
      <c r="P11" s="8">
        <f t="shared" si="5"/>
        <v>22.278888546900678</v>
      </c>
    </row>
    <row r="12" spans="1:16" x14ac:dyDescent="0.2">
      <c r="A12" s="8">
        <v>5</v>
      </c>
      <c r="B12" s="8">
        <v>10</v>
      </c>
      <c r="D12">
        <v>879.14562410329995</v>
      </c>
      <c r="E12">
        <v>332.92109038736999</v>
      </c>
      <c r="F12">
        <v>139.07780157030999</v>
      </c>
      <c r="G12">
        <v>118.40114204140001</v>
      </c>
      <c r="I12" s="9">
        <f t="shared" si="1"/>
        <v>214.51994834596996</v>
      </c>
      <c r="J12" s="9">
        <f t="shared" si="2"/>
        <v>740.06782253299002</v>
      </c>
      <c r="K12" s="9">
        <f t="shared" si="3"/>
        <v>214.51994834596996</v>
      </c>
      <c r="L12" s="10">
        <f t="shared" si="0"/>
        <v>0.28986525533800966</v>
      </c>
      <c r="M12" s="10">
        <f t="shared" si="4"/>
        <v>0.29036055751591161</v>
      </c>
      <c r="P12" s="8">
        <f t="shared" si="5"/>
        <v>17.454629461061547</v>
      </c>
    </row>
    <row r="13" spans="1:16" x14ac:dyDescent="0.2">
      <c r="A13" s="8">
        <v>5.5</v>
      </c>
      <c r="B13" s="8">
        <v>11</v>
      </c>
      <c r="D13">
        <v>896.82926829268001</v>
      </c>
      <c r="E13">
        <v>333.93472022956001</v>
      </c>
      <c r="F13">
        <v>139.28051391862999</v>
      </c>
      <c r="G13">
        <v>118.96859386153</v>
      </c>
      <c r="I13" s="9">
        <f t="shared" si="1"/>
        <v>214.96612636803002</v>
      </c>
      <c r="J13" s="9">
        <f t="shared" si="2"/>
        <v>757.54875437405008</v>
      </c>
      <c r="K13" s="9">
        <f t="shared" si="3"/>
        <v>214.96612636803002</v>
      </c>
      <c r="L13" s="10">
        <f t="shared" si="0"/>
        <v>0.28376540140397027</v>
      </c>
      <c r="M13" s="10">
        <f t="shared" si="4"/>
        <v>0.28431023379966242</v>
      </c>
      <c r="P13" s="8">
        <f t="shared" si="5"/>
        <v>15.007194670705836</v>
      </c>
    </row>
    <row r="14" spans="1:16" x14ac:dyDescent="0.2">
      <c r="A14" s="8">
        <v>6</v>
      </c>
      <c r="B14" s="8">
        <v>12</v>
      </c>
      <c r="D14">
        <v>817.17862266858003</v>
      </c>
      <c r="E14">
        <v>311.50430416069003</v>
      </c>
      <c r="F14">
        <v>139.55103497502</v>
      </c>
      <c r="G14">
        <v>118.7187723055</v>
      </c>
      <c r="I14" s="9">
        <f t="shared" si="1"/>
        <v>192.78553185519002</v>
      </c>
      <c r="J14" s="9">
        <f t="shared" si="2"/>
        <v>677.62758769356003</v>
      </c>
      <c r="K14" s="9">
        <f t="shared" si="3"/>
        <v>192.78553185519002</v>
      </c>
      <c r="L14" s="10">
        <f t="shared" si="0"/>
        <v>0.28450071301166152</v>
      </c>
      <c r="M14" s="10">
        <f t="shared" si="4"/>
        <v>0.28509507562514386</v>
      </c>
      <c r="P14" s="8">
        <f t="shared" si="5"/>
        <v>15.324673417082794</v>
      </c>
    </row>
    <row r="15" spans="1:16" x14ac:dyDescent="0.2">
      <c r="A15" s="8">
        <v>6.5</v>
      </c>
      <c r="B15" s="8">
        <v>13</v>
      </c>
      <c r="D15">
        <v>756.56241032999003</v>
      </c>
      <c r="E15">
        <v>290.95767575322998</v>
      </c>
      <c r="F15">
        <v>139.54461099215001</v>
      </c>
      <c r="G15">
        <v>118.71805852962</v>
      </c>
      <c r="I15" s="9">
        <f t="shared" si="1"/>
        <v>172.23961722360997</v>
      </c>
      <c r="J15" s="9">
        <f t="shared" si="2"/>
        <v>617.01779933783996</v>
      </c>
      <c r="K15" s="9">
        <f t="shared" si="3"/>
        <v>172.23961722360997</v>
      </c>
      <c r="L15" s="10">
        <f t="shared" si="0"/>
        <v>0.27914853900236097</v>
      </c>
      <c r="M15" s="10">
        <f t="shared" si="4"/>
        <v>0.2797924318336335</v>
      </c>
      <c r="P15" s="8">
        <f t="shared" si="5"/>
        <v>13.179684899963981</v>
      </c>
    </row>
    <row r="16" spans="1:16" x14ac:dyDescent="0.2">
      <c r="A16" s="8">
        <v>7</v>
      </c>
      <c r="B16" s="8">
        <v>14</v>
      </c>
      <c r="D16">
        <v>780.21377331420001</v>
      </c>
      <c r="E16">
        <v>296.86513629842</v>
      </c>
      <c r="F16">
        <v>139.23411848680001</v>
      </c>
      <c r="G16">
        <v>119.03568879372</v>
      </c>
      <c r="I16" s="9">
        <f t="shared" si="1"/>
        <v>177.8294475047</v>
      </c>
      <c r="J16" s="9">
        <f t="shared" si="2"/>
        <v>640.97965482740005</v>
      </c>
      <c r="K16" s="9">
        <f t="shared" si="3"/>
        <v>177.8294475047</v>
      </c>
      <c r="L16" s="10">
        <f t="shared" si="0"/>
        <v>0.27743384078638983</v>
      </c>
      <c r="M16" s="10">
        <f t="shared" si="4"/>
        <v>0.27812726383545255</v>
      </c>
      <c r="P16" s="8">
        <f t="shared" si="5"/>
        <v>12.506102744419167</v>
      </c>
    </row>
    <row r="17" spans="1:16" x14ac:dyDescent="0.2">
      <c r="A17" s="8">
        <v>7.5</v>
      </c>
      <c r="B17" s="8">
        <v>15</v>
      </c>
      <c r="D17">
        <v>714.24398868458002</v>
      </c>
      <c r="E17">
        <v>277.5360678925</v>
      </c>
      <c r="F17">
        <v>140.61241970021001</v>
      </c>
      <c r="G17">
        <v>119.30192719486</v>
      </c>
      <c r="I17" s="9">
        <f t="shared" si="1"/>
        <v>158.23414069763999</v>
      </c>
      <c r="J17" s="9">
        <f t="shared" si="2"/>
        <v>573.63156898437001</v>
      </c>
      <c r="K17" s="9">
        <f t="shared" si="3"/>
        <v>158.23414069763999</v>
      </c>
      <c r="L17" s="10">
        <f t="shared" si="0"/>
        <v>0.27584629098743252</v>
      </c>
      <c r="M17" s="10">
        <f t="shared" si="4"/>
        <v>0.27658924425428544</v>
      </c>
      <c r="P17" s="8">
        <f t="shared" si="5"/>
        <v>11.883953780540212</v>
      </c>
    </row>
    <row r="18" spans="1:16" x14ac:dyDescent="0.2">
      <c r="A18" s="8">
        <v>8</v>
      </c>
      <c r="B18" s="8">
        <v>16</v>
      </c>
      <c r="D18">
        <v>717.22842998585998</v>
      </c>
      <c r="E18">
        <v>276.13932107496998</v>
      </c>
      <c r="F18">
        <v>139.94147037830001</v>
      </c>
      <c r="G18">
        <v>118.97073518915001</v>
      </c>
      <c r="I18" s="9">
        <f t="shared" si="1"/>
        <v>157.16858588581999</v>
      </c>
      <c r="J18" s="9">
        <f t="shared" si="2"/>
        <v>577.28695960755999</v>
      </c>
      <c r="K18" s="9">
        <f t="shared" si="3"/>
        <v>157.16858588581999</v>
      </c>
      <c r="L18" s="10">
        <f t="shared" si="0"/>
        <v>0.2722538302141162</v>
      </c>
      <c r="M18" s="10">
        <f t="shared" si="4"/>
        <v>0.27304631369875931</v>
      </c>
      <c r="P18" s="8">
        <f t="shared" si="5"/>
        <v>10.45079219976046</v>
      </c>
    </row>
    <row r="19" spans="1:16" x14ac:dyDescent="0.2">
      <c r="A19" s="8">
        <v>8.5</v>
      </c>
      <c r="B19" s="8">
        <v>17</v>
      </c>
      <c r="D19">
        <v>812.44766619518998</v>
      </c>
      <c r="E19">
        <v>297.03465346535</v>
      </c>
      <c r="F19">
        <v>139.94432548180001</v>
      </c>
      <c r="G19">
        <v>119.35331905782</v>
      </c>
      <c r="I19" s="9">
        <f t="shared" si="1"/>
        <v>177.68133440753002</v>
      </c>
      <c r="J19" s="9">
        <f t="shared" si="2"/>
        <v>672.50334071339</v>
      </c>
      <c r="K19" s="9">
        <f t="shared" si="3"/>
        <v>177.68133440753002</v>
      </c>
      <c r="L19" s="10">
        <f t="shared" si="0"/>
        <v>0.26420885020295376</v>
      </c>
      <c r="M19" s="10">
        <f t="shared" si="4"/>
        <v>0.26505086390538707</v>
      </c>
      <c r="P19" s="8">
        <f t="shared" si="5"/>
        <v>7.2165285625459052</v>
      </c>
    </row>
    <row r="20" spans="1:16" x14ac:dyDescent="0.2">
      <c r="A20" s="8">
        <v>9</v>
      </c>
      <c r="B20" s="8">
        <v>18</v>
      </c>
      <c r="D20">
        <v>798.04243281470997</v>
      </c>
      <c r="E20">
        <v>291.68599717115001</v>
      </c>
      <c r="F20">
        <v>140.21056388293999</v>
      </c>
      <c r="G20">
        <v>119.13775874375</v>
      </c>
      <c r="I20" s="9">
        <f t="shared" si="1"/>
        <v>172.54823842740001</v>
      </c>
      <c r="J20" s="9">
        <f t="shared" si="2"/>
        <v>657.83186893177003</v>
      </c>
      <c r="K20" s="9">
        <f t="shared" si="3"/>
        <v>172.54823842740001</v>
      </c>
      <c r="L20" s="10">
        <f t="shared" si="0"/>
        <v>0.26229838743993206</v>
      </c>
      <c r="M20" s="10">
        <f t="shared" si="4"/>
        <v>0.26318993136015556</v>
      </c>
      <c r="P20" s="8">
        <f t="shared" si="5"/>
        <v>6.4637570965377549</v>
      </c>
    </row>
    <row r="21" spans="1:16" x14ac:dyDescent="0.2">
      <c r="A21" s="8">
        <v>9.5</v>
      </c>
      <c r="B21" s="8">
        <v>19</v>
      </c>
      <c r="D21">
        <v>842.96573875803006</v>
      </c>
      <c r="E21">
        <v>300.18986438258003</v>
      </c>
      <c r="F21">
        <v>139.57673090649999</v>
      </c>
      <c r="G21">
        <v>119.29693076373999</v>
      </c>
      <c r="I21" s="9">
        <f t="shared" si="1"/>
        <v>180.89293361884003</v>
      </c>
      <c r="J21" s="9">
        <f t="shared" si="2"/>
        <v>703.3890078515301</v>
      </c>
      <c r="K21" s="9">
        <f t="shared" si="3"/>
        <v>180.89293361884003</v>
      </c>
      <c r="L21" s="10">
        <f t="shared" si="0"/>
        <v>0.25717338712950505</v>
      </c>
      <c r="M21" s="10">
        <f t="shared" si="4"/>
        <v>0.25811446126751875</v>
      </c>
      <c r="P21" s="8">
        <f t="shared" si="5"/>
        <v>4.4106633011151839</v>
      </c>
    </row>
    <row r="22" spans="1:16" x14ac:dyDescent="0.2">
      <c r="A22" s="8">
        <v>10</v>
      </c>
      <c r="B22" s="8">
        <v>20</v>
      </c>
      <c r="D22">
        <v>887.82798001428</v>
      </c>
      <c r="E22">
        <v>307.93504639542999</v>
      </c>
      <c r="F22">
        <v>139.70164168451001</v>
      </c>
      <c r="G22">
        <v>119.01570306924</v>
      </c>
      <c r="I22" s="9">
        <f t="shared" si="1"/>
        <v>188.91934332618999</v>
      </c>
      <c r="J22" s="9">
        <f t="shared" si="2"/>
        <v>748.12633832976996</v>
      </c>
      <c r="K22" s="9">
        <f t="shared" si="3"/>
        <v>188.91934332618999</v>
      </c>
      <c r="L22" s="10">
        <f t="shared" si="0"/>
        <v>0.25252331544423634</v>
      </c>
      <c r="M22" s="10">
        <f t="shared" si="4"/>
        <v>0.25351391980004023</v>
      </c>
      <c r="P22" s="8">
        <f t="shared" si="5"/>
        <v>2.5496843237851579</v>
      </c>
    </row>
    <row r="23" spans="1:16" x14ac:dyDescent="0.2">
      <c r="A23" s="8">
        <v>10.5</v>
      </c>
      <c r="B23" s="8">
        <v>21</v>
      </c>
      <c r="D23">
        <v>913.64311206281002</v>
      </c>
      <c r="E23">
        <v>311.74518201285002</v>
      </c>
      <c r="F23">
        <v>139.79728765167999</v>
      </c>
      <c r="G23">
        <v>119.53961456103001</v>
      </c>
      <c r="I23" s="9">
        <f t="shared" si="1"/>
        <v>192.20556745182</v>
      </c>
      <c r="J23" s="9">
        <f t="shared" si="2"/>
        <v>773.84582441113002</v>
      </c>
      <c r="K23" s="9">
        <f t="shared" si="3"/>
        <v>192.20556745182</v>
      </c>
      <c r="L23" s="10">
        <f t="shared" si="0"/>
        <v>0.24837708156929297</v>
      </c>
      <c r="M23" s="10">
        <f t="shared" si="4"/>
        <v>0.24941721614288706</v>
      </c>
      <c r="P23" s="8">
        <f t="shared" si="5"/>
        <v>0.89251430668897125</v>
      </c>
    </row>
    <row r="24" spans="1:16" x14ac:dyDescent="0.2">
      <c r="A24" s="8">
        <v>11</v>
      </c>
      <c r="B24" s="8">
        <v>22</v>
      </c>
      <c r="D24">
        <v>921.48893647395005</v>
      </c>
      <c r="E24">
        <v>312.86795146323999</v>
      </c>
      <c r="F24">
        <v>139.71805852962001</v>
      </c>
      <c r="G24">
        <v>119.21199143469001</v>
      </c>
      <c r="I24" s="9">
        <f t="shared" si="1"/>
        <v>193.65596002855</v>
      </c>
      <c r="J24" s="9">
        <f t="shared" si="2"/>
        <v>781.7708779443301</v>
      </c>
      <c r="K24" s="9">
        <f t="shared" si="3"/>
        <v>193.65596002855</v>
      </c>
      <c r="L24" s="10">
        <f t="shared" si="0"/>
        <v>0.24771447171039318</v>
      </c>
      <c r="M24" s="10">
        <f t="shared" si="4"/>
        <v>0.24880413650177746</v>
      </c>
      <c r="P24" s="8">
        <f t="shared" si="5"/>
        <v>0.64451560227574378</v>
      </c>
    </row>
    <row r="25" spans="1:16" x14ac:dyDescent="0.2">
      <c r="A25" s="8">
        <v>11.5</v>
      </c>
      <c r="B25" s="8">
        <v>23</v>
      </c>
      <c r="D25">
        <v>888.33047822983997</v>
      </c>
      <c r="E25">
        <v>307.02498215560001</v>
      </c>
      <c r="F25">
        <v>140.50107066381</v>
      </c>
      <c r="G25">
        <v>119.31977159172</v>
      </c>
      <c r="I25" s="9">
        <f t="shared" si="1"/>
        <v>187.70521056388003</v>
      </c>
      <c r="J25" s="9">
        <f t="shared" si="2"/>
        <v>747.82940756603</v>
      </c>
      <c r="K25" s="9">
        <f t="shared" si="3"/>
        <v>187.70521056388003</v>
      </c>
      <c r="L25" s="10">
        <f t="shared" si="0"/>
        <v>0.25100003913299773</v>
      </c>
      <c r="M25" s="10">
        <f t="shared" si="4"/>
        <v>0.25213923414217221</v>
      </c>
      <c r="P25" s="8">
        <f t="shared" si="5"/>
        <v>1.9936060604298593</v>
      </c>
    </row>
    <row r="26" spans="1:16" x14ac:dyDescent="0.2">
      <c r="A26" s="8">
        <v>12</v>
      </c>
      <c r="B26" s="8">
        <v>24</v>
      </c>
      <c r="D26">
        <v>851.51172707888998</v>
      </c>
      <c r="E26">
        <v>296.60767590618002</v>
      </c>
      <c r="F26">
        <v>140.08850820842</v>
      </c>
      <c r="G26">
        <v>118.84653818701</v>
      </c>
      <c r="I26" s="9">
        <f t="shared" si="1"/>
        <v>177.76113771917002</v>
      </c>
      <c r="J26" s="9">
        <f t="shared" si="2"/>
        <v>711.42321887047001</v>
      </c>
      <c r="K26" s="9">
        <f t="shared" si="3"/>
        <v>177.76113771917002</v>
      </c>
      <c r="L26" s="10">
        <f t="shared" si="0"/>
        <v>0.24986693293677176</v>
      </c>
      <c r="M26" s="10">
        <f t="shared" si="4"/>
        <v>0.25105565816373643</v>
      </c>
      <c r="P26" s="8">
        <f t="shared" si="5"/>
        <v>1.5552854561132508</v>
      </c>
    </row>
    <row r="27" spans="1:16" x14ac:dyDescent="0.2">
      <c r="A27" s="8">
        <v>12.5</v>
      </c>
      <c r="B27" s="8">
        <v>25</v>
      </c>
      <c r="D27">
        <v>842.67945984363996</v>
      </c>
      <c r="E27">
        <v>293.53802416488998</v>
      </c>
      <c r="F27">
        <v>140.04782298358001</v>
      </c>
      <c r="G27">
        <v>119.70021413276</v>
      </c>
      <c r="I27" s="9">
        <f t="shared" si="1"/>
        <v>173.83781003212999</v>
      </c>
      <c r="J27" s="9">
        <f t="shared" si="2"/>
        <v>702.63163686005998</v>
      </c>
      <c r="K27" s="9">
        <f t="shared" si="3"/>
        <v>173.83781003212999</v>
      </c>
      <c r="L27" s="10">
        <f t="shared" si="0"/>
        <v>0.24740959688206082</v>
      </c>
      <c r="M27" s="10">
        <f t="shared" si="4"/>
        <v>0.24864785232681566</v>
      </c>
      <c r="P27" s="8">
        <f t="shared" si="5"/>
        <v>0.58129661682604061</v>
      </c>
    </row>
    <row r="28" spans="1:16" x14ac:dyDescent="0.2">
      <c r="A28" s="8">
        <v>13</v>
      </c>
      <c r="B28" s="8">
        <v>26</v>
      </c>
      <c r="D28">
        <v>893.65103056147996</v>
      </c>
      <c r="E28">
        <v>300.00213219616001</v>
      </c>
      <c r="F28">
        <v>140.80371163455001</v>
      </c>
      <c r="G28">
        <v>119.50178443969</v>
      </c>
      <c r="I28" s="9">
        <f t="shared" si="1"/>
        <v>180.50034775647001</v>
      </c>
      <c r="J28" s="9">
        <f t="shared" si="2"/>
        <v>752.84731892692992</v>
      </c>
      <c r="K28" s="9">
        <f t="shared" si="3"/>
        <v>180.50034775647001</v>
      </c>
      <c r="L28" s="10">
        <f t="shared" si="0"/>
        <v>0.23975691115397207</v>
      </c>
      <c r="M28" s="10">
        <f t="shared" si="4"/>
        <v>0.24104469681651711</v>
      </c>
      <c r="P28" s="8">
        <f t="shared" si="5"/>
        <v>-2.4942788705505725</v>
      </c>
    </row>
    <row r="29" spans="1:16" x14ac:dyDescent="0.2">
      <c r="A29" s="8">
        <v>13.5</v>
      </c>
      <c r="B29" s="8">
        <v>27</v>
      </c>
      <c r="D29">
        <v>872.79885468862005</v>
      </c>
      <c r="E29">
        <v>298.70937723693999</v>
      </c>
      <c r="F29">
        <v>140.57958600999001</v>
      </c>
      <c r="G29">
        <v>119.6295503212</v>
      </c>
      <c r="I29" s="9">
        <f t="shared" si="1"/>
        <v>179.07982691574</v>
      </c>
      <c r="J29" s="9">
        <f t="shared" si="2"/>
        <v>732.21926867862999</v>
      </c>
      <c r="K29" s="9">
        <f t="shared" si="3"/>
        <v>179.07982691574</v>
      </c>
      <c r="L29" s="10">
        <f t="shared" si="0"/>
        <v>0.24457131159483034</v>
      </c>
      <c r="M29" s="10">
        <f t="shared" si="4"/>
        <v>0.24590862747516556</v>
      </c>
      <c r="P29" s="8">
        <f t="shared" si="5"/>
        <v>-0.52675553293421884</v>
      </c>
    </row>
    <row r="30" spans="1:16" x14ac:dyDescent="0.2">
      <c r="A30" s="8">
        <v>14</v>
      </c>
      <c r="B30" s="8">
        <v>28</v>
      </c>
      <c r="D30">
        <v>853.47959914102</v>
      </c>
      <c r="E30">
        <v>292.92054402291001</v>
      </c>
      <c r="F30">
        <v>140.59814418273001</v>
      </c>
      <c r="G30">
        <v>119.66809421841999</v>
      </c>
      <c r="I30" s="9">
        <f t="shared" si="1"/>
        <v>173.25244980449003</v>
      </c>
      <c r="J30" s="9">
        <f t="shared" si="2"/>
        <v>712.88145495828996</v>
      </c>
      <c r="K30" s="9">
        <f t="shared" si="3"/>
        <v>173.25244980449003</v>
      </c>
      <c r="L30" s="10">
        <f t="shared" si="0"/>
        <v>0.24303122012709233</v>
      </c>
      <c r="M30" s="10">
        <f t="shared" si="4"/>
        <v>0.24441806622521775</v>
      </c>
      <c r="P30" s="8">
        <f t="shared" si="5"/>
        <v>-1.1297069833633746</v>
      </c>
    </row>
    <row r="31" spans="1:16" x14ac:dyDescent="0.2">
      <c r="A31" s="8">
        <v>14.5</v>
      </c>
      <c r="B31" s="8">
        <v>29</v>
      </c>
      <c r="D31">
        <v>890.24624194702994</v>
      </c>
      <c r="E31">
        <v>298.21403006442</v>
      </c>
      <c r="F31">
        <v>140.53390435403</v>
      </c>
      <c r="G31">
        <v>119.67808708066001</v>
      </c>
      <c r="I31" s="9">
        <f t="shared" si="1"/>
        <v>178.53594298375998</v>
      </c>
      <c r="J31" s="9">
        <f t="shared" si="2"/>
        <v>749.71233759299992</v>
      </c>
      <c r="K31" s="9">
        <f t="shared" si="3"/>
        <v>178.53594298375998</v>
      </c>
      <c r="L31" s="10">
        <f t="shared" si="0"/>
        <v>0.23813926226285831</v>
      </c>
      <c r="M31" s="10">
        <f t="shared" si="4"/>
        <v>0.23957563857877393</v>
      </c>
      <c r="P31" s="8">
        <f t="shared" si="5"/>
        <v>-3.0885320723181366</v>
      </c>
    </row>
    <row r="32" spans="1:16" x14ac:dyDescent="0.2">
      <c r="A32" s="8">
        <v>15</v>
      </c>
      <c r="B32" s="8">
        <v>30</v>
      </c>
      <c r="D32">
        <v>878.29420186112998</v>
      </c>
      <c r="E32">
        <v>298.74087329993</v>
      </c>
      <c r="F32">
        <v>140.50606709492999</v>
      </c>
      <c r="G32">
        <v>119.27194860813999</v>
      </c>
      <c r="I32" s="9">
        <f t="shared" si="1"/>
        <v>179.46892469178999</v>
      </c>
      <c r="J32" s="9">
        <f t="shared" si="2"/>
        <v>737.78813476619996</v>
      </c>
      <c r="K32" s="9">
        <f t="shared" si="3"/>
        <v>179.46892469178999</v>
      </c>
      <c r="L32" s="10">
        <f t="shared" si="0"/>
        <v>0.24325265782250954</v>
      </c>
      <c r="M32" s="10">
        <f t="shared" si="4"/>
        <v>0.24473856435621535</v>
      </c>
      <c r="P32" s="8">
        <f t="shared" si="5"/>
        <v>-1.0000613126795268</v>
      </c>
    </row>
    <row r="33" spans="1:16" x14ac:dyDescent="0.2">
      <c r="A33" s="8">
        <v>15.5</v>
      </c>
      <c r="B33" s="8">
        <v>31</v>
      </c>
      <c r="D33">
        <v>860.70997846374996</v>
      </c>
      <c r="E33">
        <v>294.06963388370002</v>
      </c>
      <c r="F33">
        <v>141.17344753747</v>
      </c>
      <c r="G33">
        <v>119.64882226981</v>
      </c>
      <c r="I33" s="9">
        <f t="shared" si="1"/>
        <v>174.42081161389001</v>
      </c>
      <c r="J33" s="9">
        <f t="shared" si="2"/>
        <v>719.53653092627997</v>
      </c>
      <c r="K33" s="9">
        <f t="shared" si="3"/>
        <v>174.42081161389001</v>
      </c>
      <c r="L33" s="10">
        <f t="shared" si="0"/>
        <v>0.24240716644275601</v>
      </c>
      <c r="M33" s="10">
        <f t="shared" si="4"/>
        <v>0.24394260319425201</v>
      </c>
      <c r="P33" s="8">
        <f t="shared" si="5"/>
        <v>-1.3220379755693454</v>
      </c>
    </row>
    <row r="34" spans="1:16" x14ac:dyDescent="0.2">
      <c r="A34" s="8">
        <v>16</v>
      </c>
      <c r="B34" s="8">
        <v>32</v>
      </c>
      <c r="D34">
        <v>832.52404881551001</v>
      </c>
      <c r="E34">
        <v>286.53194544149</v>
      </c>
      <c r="F34">
        <v>140.58386866524</v>
      </c>
      <c r="G34">
        <v>119.41827266238001</v>
      </c>
      <c r="I34" s="9">
        <f t="shared" si="1"/>
        <v>167.11367277911</v>
      </c>
      <c r="J34" s="9">
        <f t="shared" si="2"/>
        <v>691.94018015026995</v>
      </c>
      <c r="K34" s="9">
        <f t="shared" si="3"/>
        <v>167.11367277911</v>
      </c>
      <c r="L34" s="10">
        <f t="shared" si="0"/>
        <v>0.24151462449083042</v>
      </c>
      <c r="M34" s="10">
        <f t="shared" si="4"/>
        <v>0.24309959146011662</v>
      </c>
      <c r="P34" s="8">
        <f t="shared" si="5"/>
        <v>-1.6630472080604832</v>
      </c>
    </row>
    <row r="35" spans="1:16" x14ac:dyDescent="0.2">
      <c r="A35" s="8">
        <v>16.5</v>
      </c>
      <c r="B35" s="8">
        <v>33</v>
      </c>
      <c r="D35">
        <v>853.26848528356004</v>
      </c>
      <c r="E35">
        <v>288.28643216080002</v>
      </c>
      <c r="F35">
        <v>141.05567451819999</v>
      </c>
      <c r="G35">
        <v>119.72876516773999</v>
      </c>
      <c r="I35" s="9">
        <f t="shared" si="1"/>
        <v>168.55766699306002</v>
      </c>
      <c r="J35" s="9">
        <f t="shared" si="2"/>
        <v>712.21281076536002</v>
      </c>
      <c r="K35" s="9">
        <f t="shared" si="3"/>
        <v>168.55766699306002</v>
      </c>
      <c r="L35" s="10">
        <f t="shared" si="0"/>
        <v>0.23666755841126214</v>
      </c>
      <c r="M35" s="10">
        <f t="shared" si="4"/>
        <v>0.23830205559833853</v>
      </c>
      <c r="P35" s="8">
        <f t="shared" si="5"/>
        <v>-3.6037129850933032</v>
      </c>
    </row>
    <row r="36" spans="1:16" x14ac:dyDescent="0.2">
      <c r="A36" s="8">
        <v>17</v>
      </c>
      <c r="B36" s="8">
        <v>34</v>
      </c>
      <c r="D36">
        <v>901.20071684588004</v>
      </c>
      <c r="E36">
        <v>300.57634408602001</v>
      </c>
      <c r="F36">
        <v>141.72947894360999</v>
      </c>
      <c r="G36">
        <v>119.56887937188</v>
      </c>
      <c r="I36" s="9">
        <f t="shared" si="1"/>
        <v>181.00746471414001</v>
      </c>
      <c r="J36" s="9">
        <f t="shared" si="2"/>
        <v>759.4712379022701</v>
      </c>
      <c r="K36" s="9">
        <f t="shared" si="3"/>
        <v>181.00746471414001</v>
      </c>
      <c r="L36" s="10">
        <f t="shared" si="0"/>
        <v>0.23833353480784789</v>
      </c>
      <c r="M36" s="10">
        <f t="shared" si="4"/>
        <v>0.24001756221271447</v>
      </c>
      <c r="P36" s="8">
        <f t="shared" si="5"/>
        <v>-2.9097682032904757</v>
      </c>
    </row>
    <row r="37" spans="1:16" x14ac:dyDescent="0.2">
      <c r="A37" s="8">
        <v>17.5</v>
      </c>
      <c r="B37" s="8">
        <v>35</v>
      </c>
      <c r="D37">
        <v>959.92478510029002</v>
      </c>
      <c r="E37">
        <v>309.65401146132001</v>
      </c>
      <c r="F37">
        <v>140.96788008564999</v>
      </c>
      <c r="G37">
        <v>119.9136331192</v>
      </c>
      <c r="I37" s="9">
        <f t="shared" si="1"/>
        <v>189.74037834212001</v>
      </c>
      <c r="J37" s="9">
        <f t="shared" si="2"/>
        <v>818.95690501464003</v>
      </c>
      <c r="K37" s="9">
        <f t="shared" si="3"/>
        <v>189.74037834212001</v>
      </c>
      <c r="L37" s="10">
        <f t="shared" si="0"/>
        <v>0.23168542469121514</v>
      </c>
      <c r="M37" s="10">
        <f t="shared" si="4"/>
        <v>0.23341898231387193</v>
      </c>
      <c r="P37" s="8">
        <f t="shared" si="5"/>
        <v>-5.5789797643176282</v>
      </c>
    </row>
    <row r="38" spans="1:16" x14ac:dyDescent="0.2">
      <c r="A38" s="8">
        <v>18</v>
      </c>
      <c r="B38" s="8">
        <v>36</v>
      </c>
      <c r="D38">
        <v>944.80014326647995</v>
      </c>
      <c r="E38">
        <v>308.23495702005999</v>
      </c>
      <c r="F38">
        <v>141.81870092790999</v>
      </c>
      <c r="G38">
        <v>119.51106352604999</v>
      </c>
      <c r="I38" s="9">
        <f t="shared" si="1"/>
        <v>188.72389349400999</v>
      </c>
      <c r="J38" s="9">
        <f t="shared" si="2"/>
        <v>802.98144233856999</v>
      </c>
      <c r="K38" s="9">
        <f t="shared" si="3"/>
        <v>188.72389349400999</v>
      </c>
      <c r="L38" s="10">
        <f t="shared" si="0"/>
        <v>0.23502896025140793</v>
      </c>
      <c r="M38" s="10">
        <f t="shared" si="4"/>
        <v>0.23681204809185491</v>
      </c>
      <c r="P38" s="8">
        <f t="shared" si="5"/>
        <v>-4.2064404390748713</v>
      </c>
    </row>
    <row r="39" spans="1:16" x14ac:dyDescent="0.2">
      <c r="A39" s="8">
        <v>18.5</v>
      </c>
      <c r="B39" s="8">
        <v>37</v>
      </c>
      <c r="D39">
        <v>918.94914040114998</v>
      </c>
      <c r="E39">
        <v>300.05300859598998</v>
      </c>
      <c r="F39">
        <v>141.58529621699</v>
      </c>
      <c r="G39">
        <v>119.8608137045</v>
      </c>
      <c r="I39" s="9">
        <f t="shared" si="1"/>
        <v>180.19219489148998</v>
      </c>
      <c r="J39" s="9">
        <f t="shared" si="2"/>
        <v>777.36384418415992</v>
      </c>
      <c r="K39" s="9">
        <f t="shared" si="3"/>
        <v>180.19219489148998</v>
      </c>
      <c r="L39" s="10">
        <f t="shared" si="0"/>
        <v>0.23179904267428456</v>
      </c>
      <c r="M39" s="10">
        <f t="shared" si="4"/>
        <v>0.23363166073252173</v>
      </c>
      <c r="P39" s="8">
        <f t="shared" si="5"/>
        <v>-5.492948572372736</v>
      </c>
    </row>
    <row r="40" spans="1:16" x14ac:dyDescent="0.2">
      <c r="A40" s="8">
        <v>19</v>
      </c>
      <c r="B40" s="8">
        <v>38</v>
      </c>
      <c r="D40">
        <v>896.40186246418</v>
      </c>
      <c r="E40">
        <v>296.45057306590002</v>
      </c>
      <c r="F40">
        <v>141.42184154175999</v>
      </c>
      <c r="G40">
        <v>119.69878658101</v>
      </c>
      <c r="I40" s="9">
        <f t="shared" si="1"/>
        <v>176.75178648489003</v>
      </c>
      <c r="J40" s="9">
        <f t="shared" si="2"/>
        <v>754.98002092241995</v>
      </c>
      <c r="K40" s="9">
        <f t="shared" si="3"/>
        <v>176.75178648489003</v>
      </c>
      <c r="L40" s="10">
        <f t="shared" si="0"/>
        <v>0.23411452169149871</v>
      </c>
      <c r="M40" s="10">
        <f t="shared" si="4"/>
        <v>0.23599666996752608</v>
      </c>
      <c r="P40" s="8">
        <f t="shared" si="5"/>
        <v>-4.5362715162811824</v>
      </c>
    </row>
    <row r="41" spans="1:16" x14ac:dyDescent="0.2">
      <c r="A41" s="8">
        <v>19.5</v>
      </c>
      <c r="B41" s="8">
        <v>39</v>
      </c>
      <c r="D41">
        <v>921.08810888252003</v>
      </c>
      <c r="E41">
        <v>302.13108882521999</v>
      </c>
      <c r="F41">
        <v>141.52533904353999</v>
      </c>
      <c r="G41">
        <v>119.88936473947</v>
      </c>
      <c r="I41" s="9">
        <f t="shared" si="1"/>
        <v>182.24172408574998</v>
      </c>
      <c r="J41" s="9">
        <f t="shared" si="2"/>
        <v>779.5627698389801</v>
      </c>
      <c r="K41" s="9">
        <f t="shared" si="3"/>
        <v>182.24172408574998</v>
      </c>
      <c r="L41" s="10">
        <f t="shared" si="0"/>
        <v>0.23377427852717017</v>
      </c>
      <c r="M41" s="10">
        <f t="shared" si="4"/>
        <v>0.23570595702098773</v>
      </c>
      <c r="P41" s="8">
        <f t="shared" si="5"/>
        <v>-4.6538686916941119</v>
      </c>
    </row>
    <row r="42" spans="1:16" x14ac:dyDescent="0.2">
      <c r="A42" s="8">
        <v>20</v>
      </c>
      <c r="B42" s="8">
        <v>40</v>
      </c>
      <c r="D42">
        <v>924.60458452722003</v>
      </c>
      <c r="E42">
        <v>303.24355300859997</v>
      </c>
      <c r="F42">
        <v>141.20413990007</v>
      </c>
      <c r="G42">
        <v>120.03640256959</v>
      </c>
      <c r="I42" s="9">
        <f t="shared" si="1"/>
        <v>183.20715043900998</v>
      </c>
      <c r="J42" s="9">
        <f t="shared" si="2"/>
        <v>783.40044462715002</v>
      </c>
      <c r="K42" s="9">
        <f t="shared" si="3"/>
        <v>183.20715043900998</v>
      </c>
      <c r="L42" s="10">
        <f t="shared" si="0"/>
        <v>0.2338614328029967</v>
      </c>
      <c r="M42" s="10">
        <f t="shared" si="4"/>
        <v>0.23584264151460446</v>
      </c>
      <c r="P42" s="8">
        <f t="shared" si="5"/>
        <v>-4.5985780327693169</v>
      </c>
    </row>
    <row r="43" spans="1:16" x14ac:dyDescent="0.2">
      <c r="A43" s="8">
        <v>20.5</v>
      </c>
      <c r="B43" s="8">
        <v>41</v>
      </c>
      <c r="D43">
        <v>907.99212034384004</v>
      </c>
      <c r="E43">
        <v>298.74570200572998</v>
      </c>
      <c r="F43">
        <v>142.09279086366999</v>
      </c>
      <c r="G43">
        <v>120.18772305496</v>
      </c>
      <c r="I43" s="9">
        <f t="shared" si="1"/>
        <v>178.55797895076998</v>
      </c>
      <c r="J43" s="9">
        <f t="shared" si="2"/>
        <v>765.89932948017008</v>
      </c>
      <c r="K43" s="9">
        <f t="shared" si="3"/>
        <v>178.55797895076998</v>
      </c>
      <c r="L43" s="10">
        <f t="shared" si="0"/>
        <v>0.23313505062337703</v>
      </c>
      <c r="M43" s="10">
        <f t="shared" si="4"/>
        <v>0.23516578955277498</v>
      </c>
      <c r="P43" s="8">
        <f t="shared" si="5"/>
        <v>-4.8723734719873928</v>
      </c>
    </row>
    <row r="44" spans="1:16" x14ac:dyDescent="0.2">
      <c r="A44" s="8">
        <v>21</v>
      </c>
      <c r="B44" s="8">
        <v>42</v>
      </c>
      <c r="D44">
        <v>930.77220630372994</v>
      </c>
      <c r="E44">
        <v>304.18194842407001</v>
      </c>
      <c r="F44">
        <v>141.76017130621</v>
      </c>
      <c r="G44">
        <v>120.13133476089</v>
      </c>
      <c r="I44" s="9">
        <f t="shared" si="1"/>
        <v>184.05061366318</v>
      </c>
      <c r="J44" s="9">
        <f t="shared" si="2"/>
        <v>789.01203499752</v>
      </c>
      <c r="K44" s="9">
        <f t="shared" si="3"/>
        <v>184.05061366318</v>
      </c>
      <c r="L44" s="10">
        <f t="shared" si="0"/>
        <v>0.23326718161372342</v>
      </c>
      <c r="M44" s="10">
        <f t="shared" si="4"/>
        <v>0.23534745076091157</v>
      </c>
      <c r="P44" s="8">
        <f t="shared" si="5"/>
        <v>-4.798889145907868</v>
      </c>
    </row>
    <row r="45" spans="1:16" x14ac:dyDescent="0.2">
      <c r="A45" s="8">
        <v>21.5</v>
      </c>
      <c r="B45" s="8">
        <v>43</v>
      </c>
      <c r="D45">
        <v>825.49640287770001</v>
      </c>
      <c r="E45">
        <v>285.89640287769998</v>
      </c>
      <c r="F45">
        <v>141.7380442541</v>
      </c>
      <c r="G45">
        <v>120.01713062099</v>
      </c>
      <c r="I45" s="9">
        <f t="shared" si="1"/>
        <v>165.87927225670998</v>
      </c>
      <c r="J45" s="9">
        <f t="shared" si="2"/>
        <v>683.75835862359997</v>
      </c>
      <c r="K45" s="9">
        <f t="shared" si="3"/>
        <v>165.87927225670998</v>
      </c>
      <c r="L45" s="10">
        <f t="shared" si="0"/>
        <v>0.2425992606373743</v>
      </c>
      <c r="M45" s="10">
        <f t="shared" si="4"/>
        <v>0.24472906000235264</v>
      </c>
      <c r="P45" s="8">
        <f t="shared" si="5"/>
        <v>-1.0039059476766554</v>
      </c>
    </row>
    <row r="46" spans="1:16" x14ac:dyDescent="0.2">
      <c r="A46" s="8">
        <v>22</v>
      </c>
      <c r="B46" s="8">
        <v>44</v>
      </c>
      <c r="D46">
        <v>785.70928571428999</v>
      </c>
      <c r="E46">
        <v>278.73785714285998</v>
      </c>
      <c r="F46">
        <v>141.23911491792001</v>
      </c>
      <c r="G46">
        <v>120.06852248394</v>
      </c>
      <c r="I46" s="9">
        <f t="shared" si="1"/>
        <v>158.66933465891998</v>
      </c>
      <c r="J46" s="9">
        <f t="shared" si="2"/>
        <v>644.47017079636998</v>
      </c>
      <c r="K46" s="9">
        <f t="shared" si="3"/>
        <v>158.66933465891998</v>
      </c>
      <c r="L46" s="10">
        <f t="shared" si="0"/>
        <v>0.24620120813792318</v>
      </c>
      <c r="M46" s="10">
        <f t="shared" si="4"/>
        <v>0.24838053772069171</v>
      </c>
      <c r="P46" s="8">
        <f t="shared" si="5"/>
        <v>0.47316437503525505</v>
      </c>
    </row>
    <row r="47" spans="1:16" x14ac:dyDescent="0.2">
      <c r="A47" s="8">
        <v>22.5</v>
      </c>
      <c r="B47" s="8">
        <v>45</v>
      </c>
      <c r="D47">
        <v>771.62428571428995</v>
      </c>
      <c r="E47">
        <v>276.29785714285998</v>
      </c>
      <c r="F47">
        <v>142.17344753747</v>
      </c>
      <c r="G47">
        <v>120.44753747323</v>
      </c>
      <c r="I47" s="9">
        <f t="shared" si="1"/>
        <v>155.85031966962998</v>
      </c>
      <c r="J47" s="9">
        <f t="shared" si="2"/>
        <v>629.45083817681996</v>
      </c>
      <c r="K47" s="9">
        <f t="shared" si="3"/>
        <v>155.85031966962998</v>
      </c>
      <c r="L47" s="10">
        <f t="shared" si="0"/>
        <v>0.24759728674131948</v>
      </c>
      <c r="M47" s="10">
        <f t="shared" si="4"/>
        <v>0.24982614654187821</v>
      </c>
      <c r="P47" s="8">
        <f t="shared" si="5"/>
        <v>1.0579319822155007</v>
      </c>
    </row>
    <row r="48" spans="1:16" x14ac:dyDescent="0.2">
      <c r="A48" s="8">
        <v>23</v>
      </c>
      <c r="B48" s="8">
        <v>46</v>
      </c>
      <c r="D48">
        <v>797.27071428571003</v>
      </c>
      <c r="E48">
        <v>281.71714285714</v>
      </c>
      <c r="F48">
        <v>141.57387580299999</v>
      </c>
      <c r="G48">
        <v>120.50107066381</v>
      </c>
      <c r="I48" s="9">
        <f t="shared" si="1"/>
        <v>161.21607219333001</v>
      </c>
      <c r="J48" s="9">
        <f t="shared" si="2"/>
        <v>655.69683848271006</v>
      </c>
      <c r="K48" s="9">
        <f t="shared" si="3"/>
        <v>161.21607219333001</v>
      </c>
      <c r="L48" s="10">
        <f t="shared" si="0"/>
        <v>0.24586983302586274</v>
      </c>
      <c r="M48" s="10">
        <f t="shared" si="4"/>
        <v>0.24814822304421166</v>
      </c>
      <c r="P48" s="8">
        <f t="shared" si="5"/>
        <v>0.37919006090054214</v>
      </c>
    </row>
    <row r="49" spans="1:25" x14ac:dyDescent="0.2">
      <c r="A49" s="8">
        <v>23.5</v>
      </c>
      <c r="B49" s="8">
        <v>47</v>
      </c>
      <c r="D49">
        <v>804.41714285713999</v>
      </c>
      <c r="E49">
        <v>281.81571428570999</v>
      </c>
      <c r="F49">
        <v>142.06423982869001</v>
      </c>
      <c r="G49">
        <v>120.47251962884</v>
      </c>
      <c r="I49" s="9">
        <f t="shared" si="1"/>
        <v>161.34319465686997</v>
      </c>
      <c r="J49" s="9">
        <f t="shared" si="2"/>
        <v>662.35290302844999</v>
      </c>
      <c r="K49" s="9">
        <f t="shared" si="3"/>
        <v>161.34319465686997</v>
      </c>
      <c r="L49" s="10">
        <f t="shared" si="0"/>
        <v>0.24359098287207145</v>
      </c>
      <c r="M49" s="10">
        <f t="shared" si="4"/>
        <v>0.24591890310821057</v>
      </c>
      <c r="P49" s="8">
        <f t="shared" si="5"/>
        <v>-0.52259890545662735</v>
      </c>
    </row>
    <row r="50" spans="1:25" x14ac:dyDescent="0.2">
      <c r="A50" s="8">
        <v>24</v>
      </c>
      <c r="B50" s="8">
        <v>48</v>
      </c>
      <c r="D50">
        <v>781.33571428570997</v>
      </c>
      <c r="E50">
        <v>276.72285714285999</v>
      </c>
      <c r="F50">
        <v>141.3426124197</v>
      </c>
      <c r="G50">
        <v>120.11563169164999</v>
      </c>
      <c r="I50" s="9">
        <f t="shared" si="1"/>
        <v>156.60722545121001</v>
      </c>
      <c r="J50" s="9">
        <f t="shared" si="2"/>
        <v>639.99310186600997</v>
      </c>
      <c r="K50" s="9">
        <f t="shared" si="3"/>
        <v>156.60722545121001</v>
      </c>
      <c r="L50" s="10">
        <f t="shared" si="0"/>
        <v>0.24470142724131669</v>
      </c>
      <c r="M50" s="10">
        <f t="shared" si="4"/>
        <v>0.247078877695246</v>
      </c>
      <c r="P50" s="8">
        <f t="shared" si="5"/>
        <v>-5.3374068343453041E-2</v>
      </c>
    </row>
    <row r="51" spans="1:25" x14ac:dyDescent="0.2">
      <c r="A51" s="8">
        <v>24.5</v>
      </c>
      <c r="B51" s="8">
        <v>49</v>
      </c>
      <c r="D51">
        <v>776.49142857142999</v>
      </c>
      <c r="E51">
        <v>275.85928571429002</v>
      </c>
      <c r="F51">
        <v>142.34618129907</v>
      </c>
      <c r="G51">
        <v>120.18558172733999</v>
      </c>
      <c r="I51" s="9">
        <f t="shared" si="1"/>
        <v>155.67370398695004</v>
      </c>
      <c r="J51" s="9">
        <f t="shared" si="2"/>
        <v>634.14524727235994</v>
      </c>
      <c r="K51" s="9">
        <f t="shared" si="3"/>
        <v>155.67370398695004</v>
      </c>
      <c r="L51" s="10">
        <f t="shared" si="0"/>
        <v>0.24548587986198298</v>
      </c>
      <c r="M51" s="10">
        <f t="shared" si="4"/>
        <v>0.24791286053370248</v>
      </c>
      <c r="P51" s="8">
        <f t="shared" si="5"/>
        <v>0.28398285818201874</v>
      </c>
    </row>
    <row r="52" spans="1:25" x14ac:dyDescent="0.2">
      <c r="A52" s="8">
        <v>25</v>
      </c>
      <c r="B52" s="8">
        <v>50</v>
      </c>
      <c r="D52">
        <v>788.80128663331004</v>
      </c>
      <c r="E52">
        <v>278.41172265903998</v>
      </c>
      <c r="F52">
        <v>141.9971448965</v>
      </c>
      <c r="G52">
        <v>120.41613133476</v>
      </c>
      <c r="I52" s="9">
        <f t="shared" si="1"/>
        <v>157.99559132427999</v>
      </c>
      <c r="J52" s="9">
        <f t="shared" si="2"/>
        <v>646.80414173681004</v>
      </c>
      <c r="K52" s="9">
        <f t="shared" si="3"/>
        <v>157.99559132427999</v>
      </c>
      <c r="L52" s="10">
        <f t="shared" si="0"/>
        <v>0.24427114968687028</v>
      </c>
      <c r="M52" s="10">
        <f t="shared" si="4"/>
        <v>0.24674766057637998</v>
      </c>
      <c r="P52" s="8">
        <f t="shared" si="5"/>
        <v>-0.18735570930871132</v>
      </c>
    </row>
    <row r="53" spans="1:25" x14ac:dyDescent="0.2">
      <c r="A53" s="8">
        <v>25.5</v>
      </c>
      <c r="B53" s="8">
        <v>51</v>
      </c>
      <c r="D53">
        <v>844.32022873481003</v>
      </c>
      <c r="E53">
        <v>289.77126518941998</v>
      </c>
      <c r="F53">
        <v>141.97573162027001</v>
      </c>
      <c r="G53">
        <v>119.84725196287999</v>
      </c>
      <c r="I53" s="9">
        <f t="shared" si="1"/>
        <v>169.92401322653998</v>
      </c>
      <c r="J53" s="9">
        <f t="shared" si="2"/>
        <v>702.34449711453999</v>
      </c>
      <c r="K53" s="9">
        <f t="shared" si="3"/>
        <v>169.92401322653998</v>
      </c>
      <c r="L53" s="10">
        <f t="shared" si="0"/>
        <v>0.24193827092636619</v>
      </c>
      <c r="M53" s="10">
        <f t="shared" si="4"/>
        <v>0.24446431203366609</v>
      </c>
      <c r="P53" s="8">
        <f t="shared" si="5"/>
        <v>-1.1109999511758883</v>
      </c>
      <c r="S53" s="11"/>
      <c r="U53" s="12"/>
    </row>
    <row r="54" spans="1:25" x14ac:dyDescent="0.2">
      <c r="A54" s="8">
        <v>26</v>
      </c>
      <c r="B54" s="8">
        <v>52</v>
      </c>
      <c r="D54">
        <v>879.73304782297998</v>
      </c>
      <c r="E54">
        <v>297.23483226267001</v>
      </c>
      <c r="F54">
        <v>142.05710206994999</v>
      </c>
      <c r="G54">
        <v>119.97715917202</v>
      </c>
      <c r="I54" s="9">
        <f t="shared" si="1"/>
        <v>177.25767309065003</v>
      </c>
      <c r="J54" s="9">
        <f t="shared" si="2"/>
        <v>737.67594575302996</v>
      </c>
      <c r="K54" s="9">
        <f t="shared" si="3"/>
        <v>177.25767309065003</v>
      </c>
      <c r="L54" s="10">
        <f t="shared" si="0"/>
        <v>0.24029206064148251</v>
      </c>
      <c r="M54" s="10">
        <f t="shared" si="4"/>
        <v>0.2428676319665726</v>
      </c>
      <c r="P54" s="8">
        <f t="shared" si="5"/>
        <v>-1.7568778460688661</v>
      </c>
      <c r="S54" s="11"/>
    </row>
    <row r="55" spans="1:25" x14ac:dyDescent="0.2">
      <c r="A55" s="8">
        <v>26.5</v>
      </c>
      <c r="B55" s="8">
        <v>53</v>
      </c>
      <c r="D55">
        <v>887.18843683084003</v>
      </c>
      <c r="E55">
        <v>296.55960028550999</v>
      </c>
      <c r="F55">
        <v>142.53461812991</v>
      </c>
      <c r="G55">
        <v>120.33476088508</v>
      </c>
      <c r="I55" s="9">
        <f t="shared" si="1"/>
        <v>176.22483940042997</v>
      </c>
      <c r="J55" s="9">
        <f t="shared" si="2"/>
        <v>744.65381870093006</v>
      </c>
      <c r="K55" s="9">
        <f t="shared" si="3"/>
        <v>176.22483940042997</v>
      </c>
      <c r="L55" s="10">
        <f t="shared" si="0"/>
        <v>0.23665337499760528</v>
      </c>
      <c r="M55" s="10">
        <f t="shared" si="4"/>
        <v>0.23927847654048556</v>
      </c>
      <c r="P55" s="8">
        <f t="shared" si="5"/>
        <v>-3.2087379893877812</v>
      </c>
      <c r="S55" s="11"/>
    </row>
    <row r="56" spans="1:25" x14ac:dyDescent="0.2">
      <c r="A56" s="8">
        <v>27</v>
      </c>
      <c r="B56" s="8">
        <v>54</v>
      </c>
      <c r="D56">
        <v>896.84296930764003</v>
      </c>
      <c r="E56">
        <v>300.12776588151002</v>
      </c>
      <c r="F56">
        <v>141.84511063526</v>
      </c>
      <c r="G56">
        <v>120.23697359029001</v>
      </c>
      <c r="I56" s="9">
        <f t="shared" si="1"/>
        <v>179.89079229122001</v>
      </c>
      <c r="J56" s="9">
        <f t="shared" si="2"/>
        <v>754.99785867238006</v>
      </c>
      <c r="K56" s="9">
        <f t="shared" si="3"/>
        <v>179.89079229122001</v>
      </c>
      <c r="L56" s="10">
        <f t="shared" si="0"/>
        <v>0.23826662582533351</v>
      </c>
      <c r="M56" s="10">
        <f t="shared" si="4"/>
        <v>0.24094125758600399</v>
      </c>
      <c r="P56" s="8">
        <f t="shared" si="5"/>
        <v>-2.5361213873014572</v>
      </c>
      <c r="S56" s="11"/>
    </row>
    <row r="57" spans="1:25" x14ac:dyDescent="0.2">
      <c r="A57" s="8">
        <v>27.5</v>
      </c>
      <c r="B57" s="8">
        <v>55</v>
      </c>
      <c r="D57">
        <v>825.28479657388004</v>
      </c>
      <c r="E57">
        <v>285.43112062812003</v>
      </c>
      <c r="F57">
        <v>141.88151320484999</v>
      </c>
      <c r="G57">
        <v>120.34975017844</v>
      </c>
      <c r="I57" s="9">
        <f t="shared" si="1"/>
        <v>165.08137044968004</v>
      </c>
      <c r="J57" s="9">
        <f t="shared" si="2"/>
        <v>683.40328336903008</v>
      </c>
      <c r="K57" s="9">
        <f t="shared" si="3"/>
        <v>165.08137044968004</v>
      </c>
      <c r="L57" s="10">
        <f t="shared" si="0"/>
        <v>0.24155776606144569</v>
      </c>
      <c r="M57" s="10">
        <f t="shared" si="4"/>
        <v>0.24428192803990637</v>
      </c>
      <c r="P57" s="8">
        <f t="shared" si="5"/>
        <v>-1.1847766534592308</v>
      </c>
      <c r="S57" s="11"/>
    </row>
    <row r="58" spans="1:25" x14ac:dyDescent="0.2">
      <c r="A58" s="8">
        <v>28</v>
      </c>
      <c r="B58" s="8">
        <v>56</v>
      </c>
      <c r="D58">
        <v>808.47965738758</v>
      </c>
      <c r="E58">
        <v>281.89650249822</v>
      </c>
      <c r="F58">
        <v>141.88722341184999</v>
      </c>
      <c r="G58">
        <v>120.59457530336</v>
      </c>
      <c r="I58" s="9">
        <f t="shared" si="1"/>
        <v>161.30192719486001</v>
      </c>
      <c r="J58" s="9">
        <f t="shared" si="2"/>
        <v>666.59243397573005</v>
      </c>
      <c r="K58" s="9">
        <f t="shared" si="3"/>
        <v>161.30192719486001</v>
      </c>
      <c r="L58" s="10">
        <f t="shared" si="0"/>
        <v>0.24197983501374823</v>
      </c>
      <c r="M58" s="10">
        <f t="shared" si="4"/>
        <v>0.2447535272099991</v>
      </c>
      <c r="P58" s="8">
        <f t="shared" si="5"/>
        <v>-0.99400864332978722</v>
      </c>
      <c r="S58" s="11"/>
    </row>
    <row r="59" spans="1:25" x14ac:dyDescent="0.2">
      <c r="A59" s="8">
        <v>28.5</v>
      </c>
      <c r="B59" s="8">
        <v>57</v>
      </c>
      <c r="D59">
        <v>926.30478229836001</v>
      </c>
      <c r="E59">
        <v>306.81584582441002</v>
      </c>
      <c r="F59">
        <v>142.52248394003999</v>
      </c>
      <c r="G59">
        <v>120.42041399001</v>
      </c>
      <c r="I59" s="9">
        <f t="shared" si="1"/>
        <v>186.39543183440003</v>
      </c>
      <c r="J59" s="9">
        <f t="shared" si="2"/>
        <v>783.78229835832008</v>
      </c>
      <c r="K59" s="9">
        <f t="shared" si="3"/>
        <v>186.39543183440003</v>
      </c>
      <c r="L59" s="10">
        <f t="shared" si="0"/>
        <v>0.23781531201306363</v>
      </c>
      <c r="M59" s="10">
        <f t="shared" si="4"/>
        <v>0.2406385344271047</v>
      </c>
      <c r="P59" s="8">
        <f t="shared" si="5"/>
        <v>-2.6585768501301144</v>
      </c>
      <c r="R59" s="1"/>
      <c r="S59" s="11"/>
    </row>
    <row r="60" spans="1:25" x14ac:dyDescent="0.2">
      <c r="A60" s="8">
        <v>29</v>
      </c>
      <c r="B60" s="8">
        <v>58</v>
      </c>
      <c r="D60">
        <v>1046.2559139785001</v>
      </c>
      <c r="E60">
        <v>337.82580645160999</v>
      </c>
      <c r="F60">
        <v>142.04782298358001</v>
      </c>
      <c r="G60">
        <v>119.94289793004999</v>
      </c>
      <c r="I60" s="9">
        <f t="shared" si="1"/>
        <v>217.88290852156001</v>
      </c>
      <c r="J60" s="9">
        <f t="shared" si="2"/>
        <v>904.2080909949201</v>
      </c>
      <c r="K60" s="9">
        <f t="shared" si="3"/>
        <v>217.88290852156001</v>
      </c>
      <c r="L60" s="10">
        <f t="shared" si="0"/>
        <v>0.24096544887340993</v>
      </c>
      <c r="M60" s="10">
        <f t="shared" si="4"/>
        <v>0.24383820150524119</v>
      </c>
      <c r="P60" s="8">
        <f t="shared" si="5"/>
        <v>-1.3642698193252021</v>
      </c>
      <c r="S60" s="11"/>
    </row>
    <row r="61" spans="1:25" x14ac:dyDescent="0.2">
      <c r="A61" s="8">
        <v>29.5</v>
      </c>
      <c r="B61" s="8">
        <v>59</v>
      </c>
      <c r="C61" s="2"/>
      <c r="D61">
        <v>1064.1132616488001</v>
      </c>
      <c r="E61">
        <v>341.65806451613003</v>
      </c>
      <c r="F61">
        <v>142.18700927909001</v>
      </c>
      <c r="G61">
        <v>120.23982869379</v>
      </c>
      <c r="I61" s="9">
        <f t="shared" si="1"/>
        <v>221.41823582234002</v>
      </c>
      <c r="J61" s="9">
        <f t="shared" si="2"/>
        <v>921.92625236971003</v>
      </c>
      <c r="K61" s="9">
        <f t="shared" si="3"/>
        <v>221.41823582234002</v>
      </c>
      <c r="L61" s="10">
        <f t="shared" si="0"/>
        <v>0.24016914070209933</v>
      </c>
      <c r="M61" s="10">
        <f t="shared" si="4"/>
        <v>0.24309142355172078</v>
      </c>
      <c r="P61" s="8">
        <f t="shared" si="5"/>
        <v>-1.6663512334498545</v>
      </c>
      <c r="S61" s="11"/>
    </row>
    <row r="62" spans="1:25" x14ac:dyDescent="0.2">
      <c r="A62" s="8">
        <v>30</v>
      </c>
      <c r="B62" s="8">
        <v>60</v>
      </c>
      <c r="D62">
        <v>1057.2944126074999</v>
      </c>
      <c r="E62">
        <v>338.82664756447002</v>
      </c>
      <c r="F62">
        <v>142.03925767308999</v>
      </c>
      <c r="G62">
        <v>119.93647394718</v>
      </c>
      <c r="I62" s="9">
        <f t="shared" si="1"/>
        <v>218.89017361729003</v>
      </c>
      <c r="J62" s="9">
        <f t="shared" si="2"/>
        <v>915.25515493440992</v>
      </c>
      <c r="K62" s="9">
        <f t="shared" si="3"/>
        <v>218.89017361729003</v>
      </c>
      <c r="L62" s="10">
        <f t="shared" si="0"/>
        <v>0.23915754250297164</v>
      </c>
      <c r="M62" s="10">
        <f t="shared" si="4"/>
        <v>0.24212935557038329</v>
      </c>
      <c r="P62" s="8">
        <f t="shared" si="5"/>
        <v>-2.0555202694617605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899.31756272401003</v>
      </c>
      <c r="E63">
        <v>304.22078853046997</v>
      </c>
      <c r="F63">
        <v>142.28622412563001</v>
      </c>
      <c r="G63">
        <v>120.10492505353</v>
      </c>
      <c r="I63" s="9">
        <f t="shared" si="1"/>
        <v>184.11586347693998</v>
      </c>
      <c r="J63" s="9">
        <f t="shared" si="2"/>
        <v>757.03133859837999</v>
      </c>
      <c r="K63" s="9">
        <f t="shared" si="3"/>
        <v>184.11586347693998</v>
      </c>
      <c r="L63" s="10">
        <f t="shared" si="0"/>
        <v>0.24320771689296877</v>
      </c>
      <c r="M63" s="10">
        <f t="shared" si="4"/>
        <v>0.24622906017817062</v>
      </c>
      <c r="P63" s="8">
        <f t="shared" si="5"/>
        <v>-0.39713632872600835</v>
      </c>
    </row>
    <row r="64" spans="1:25" x14ac:dyDescent="0.2">
      <c r="A64" s="8">
        <v>31</v>
      </c>
      <c r="B64" s="8">
        <v>62</v>
      </c>
      <c r="D64">
        <v>906.91469534049997</v>
      </c>
      <c r="E64">
        <v>306.51899641577</v>
      </c>
      <c r="F64">
        <v>141.84368308351</v>
      </c>
      <c r="G64">
        <v>120.49678800856999</v>
      </c>
      <c r="I64" s="9">
        <f t="shared" si="1"/>
        <v>186.02220840720003</v>
      </c>
      <c r="J64" s="9">
        <f t="shared" si="2"/>
        <v>765.07101225699</v>
      </c>
      <c r="K64" s="9">
        <f t="shared" si="3"/>
        <v>186.02220840720003</v>
      </c>
      <c r="L64" s="10">
        <f t="shared" si="0"/>
        <v>0.24314371532444692</v>
      </c>
      <c r="M64" s="10">
        <f t="shared" si="4"/>
        <v>0.24621458882743896</v>
      </c>
      <c r="P64" s="8">
        <f t="shared" si="5"/>
        <v>-0.40299017868596482</v>
      </c>
      <c r="U64" s="8">
        <v>30.5</v>
      </c>
      <c r="V64" s="10">
        <f>L62</f>
        <v>0.23915754250297164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926.62044317369998</v>
      </c>
      <c r="E65">
        <v>309.46104360256999</v>
      </c>
      <c r="F65">
        <v>142.03783012133999</v>
      </c>
      <c r="G65">
        <v>120.431834404</v>
      </c>
      <c r="I65" s="9">
        <f t="shared" si="1"/>
        <v>189.02920919856999</v>
      </c>
      <c r="J65" s="9">
        <f t="shared" si="2"/>
        <v>784.58261305235999</v>
      </c>
      <c r="K65" s="9">
        <f t="shared" si="3"/>
        <v>189.02920919856999</v>
      </c>
      <c r="L65" s="10">
        <f t="shared" si="0"/>
        <v>0.24092964342297363</v>
      </c>
      <c r="M65" s="10">
        <f t="shared" si="4"/>
        <v>0.24405004714375586</v>
      </c>
      <c r="P65" s="8">
        <f t="shared" si="5"/>
        <v>-1.2785754977976664</v>
      </c>
      <c r="U65" s="8">
        <v>31</v>
      </c>
      <c r="V65" s="10">
        <f t="shared" ref="V65:V83" si="6">L63</f>
        <v>0.24320771689296877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1000.4437275986</v>
      </c>
      <c r="E66">
        <v>329.49677419354998</v>
      </c>
      <c r="F66">
        <v>142.74946466809001</v>
      </c>
      <c r="G66">
        <v>120.43754461099</v>
      </c>
      <c r="I66" s="9">
        <f t="shared" si="1"/>
        <v>209.05922958255996</v>
      </c>
      <c r="J66" s="9">
        <f t="shared" si="2"/>
        <v>857.69426293051004</v>
      </c>
      <c r="K66" s="9">
        <f t="shared" si="3"/>
        <v>209.05922958255996</v>
      </c>
      <c r="L66" s="10">
        <f t="shared" ref="L66:L129" si="7">K66/J66</f>
        <v>0.2437456313025354</v>
      </c>
      <c r="M66" s="10">
        <f t="shared" si="4"/>
        <v>0.24691556524110783</v>
      </c>
      <c r="P66" s="8">
        <f t="shared" si="5"/>
        <v>-0.11943608431173498</v>
      </c>
      <c r="U66" s="8">
        <v>31.5</v>
      </c>
      <c r="V66" s="10">
        <f t="shared" si="6"/>
        <v>0.24314371532444692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1028.288172043</v>
      </c>
      <c r="E67">
        <v>337.20788530466001</v>
      </c>
      <c r="F67">
        <v>142.78729478944001</v>
      </c>
      <c r="G67">
        <v>120.33261955746001</v>
      </c>
      <c r="I67" s="9">
        <f t="shared" ref="I67:I130" si="8">E67-G67</f>
        <v>216.87526574719999</v>
      </c>
      <c r="J67" s="9">
        <f t="shared" ref="J67:J130" si="9">D67-F67</f>
        <v>885.50087725356002</v>
      </c>
      <c r="K67" s="9">
        <f t="shared" ref="K67:K130" si="10">I67*1</f>
        <v>216.87526574719999</v>
      </c>
      <c r="L67" s="10">
        <f t="shared" si="7"/>
        <v>0.24491818282535538</v>
      </c>
      <c r="M67" s="10">
        <f t="shared" ref="M67:M130" si="11">L67+ABS($N$2)*A67</f>
        <v>0.248137646981718</v>
      </c>
      <c r="P67" s="8">
        <f t="shared" ref="P67:P130" si="12">(M67-$O$2)/$O$2*100</f>
        <v>0.37491190579580846</v>
      </c>
      <c r="U67" s="8">
        <v>32</v>
      </c>
      <c r="V67" s="10">
        <f t="shared" si="6"/>
        <v>0.24092964342297363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1024.8817204300999</v>
      </c>
      <c r="E68">
        <v>336.25663082437001</v>
      </c>
      <c r="F68">
        <v>142.43968593861999</v>
      </c>
      <c r="G68">
        <v>120.6266952177</v>
      </c>
      <c r="I68" s="9">
        <f t="shared" si="8"/>
        <v>215.62993560667002</v>
      </c>
      <c r="J68" s="9">
        <f t="shared" si="9"/>
        <v>882.44203449147994</v>
      </c>
      <c r="K68" s="9">
        <f t="shared" si="10"/>
        <v>215.62993560667002</v>
      </c>
      <c r="L68" s="10">
        <f t="shared" si="7"/>
        <v>0.24435592047802879</v>
      </c>
      <c r="M68" s="10">
        <f t="shared" si="11"/>
        <v>0.2476249148521816</v>
      </c>
      <c r="P68" s="8">
        <f t="shared" si="12"/>
        <v>0.16750507753133809</v>
      </c>
      <c r="U68" s="8">
        <v>32.5</v>
      </c>
      <c r="V68" s="10">
        <f t="shared" si="6"/>
        <v>0.2437456313025354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1030.5397849461999</v>
      </c>
      <c r="E69">
        <v>335.47455197133002</v>
      </c>
      <c r="F69">
        <v>142.3454675232</v>
      </c>
      <c r="G69">
        <v>120.23554603853999</v>
      </c>
      <c r="I69" s="9">
        <f t="shared" si="8"/>
        <v>215.23900593279001</v>
      </c>
      <c r="J69" s="9">
        <f t="shared" si="9"/>
        <v>888.19431742299992</v>
      </c>
      <c r="K69" s="9">
        <f t="shared" si="10"/>
        <v>215.23900593279001</v>
      </c>
      <c r="L69" s="10">
        <f t="shared" si="7"/>
        <v>0.24233323914667995</v>
      </c>
      <c r="M69" s="10">
        <f t="shared" si="11"/>
        <v>0.24565176373862296</v>
      </c>
      <c r="P69" s="8">
        <f t="shared" si="12"/>
        <v>-0.63066026178480183</v>
      </c>
      <c r="U69" s="8">
        <v>33</v>
      </c>
      <c r="V69" s="10">
        <f t="shared" si="6"/>
        <v>0.24491818282535538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998.75089477452002</v>
      </c>
      <c r="E70">
        <v>325.09663564781999</v>
      </c>
      <c r="F70">
        <v>142.28194147037999</v>
      </c>
      <c r="G70">
        <v>120.50107066381</v>
      </c>
      <c r="I70" s="9">
        <f t="shared" si="8"/>
        <v>204.59556498401</v>
      </c>
      <c r="J70" s="9">
        <f t="shared" si="9"/>
        <v>856.46895330414009</v>
      </c>
      <c r="K70" s="9">
        <f t="shared" si="10"/>
        <v>204.59556498401</v>
      </c>
      <c r="L70" s="10">
        <f t="shared" si="7"/>
        <v>0.23888264039777307</v>
      </c>
      <c r="M70" s="10">
        <f t="shared" si="11"/>
        <v>0.24225069520750628</v>
      </c>
      <c r="P70" s="8">
        <f t="shared" si="12"/>
        <v>-2.0064368049611123</v>
      </c>
      <c r="U70" s="8">
        <v>33.5</v>
      </c>
      <c r="V70" s="10">
        <f t="shared" si="6"/>
        <v>0.24435592047802879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979.33142448103001</v>
      </c>
      <c r="E71">
        <v>320.93987115247</v>
      </c>
      <c r="F71">
        <v>142.76802284083001</v>
      </c>
      <c r="G71">
        <v>120.61741613133999</v>
      </c>
      <c r="I71" s="9">
        <f t="shared" si="8"/>
        <v>200.32245502113</v>
      </c>
      <c r="J71" s="9">
        <f t="shared" si="9"/>
        <v>836.56340164020003</v>
      </c>
      <c r="K71" s="9">
        <f t="shared" si="10"/>
        <v>200.32245502113</v>
      </c>
      <c r="L71" s="10">
        <f t="shared" si="7"/>
        <v>0.2394587841499756</v>
      </c>
      <c r="M71" s="10">
        <f t="shared" si="11"/>
        <v>0.242876369177499</v>
      </c>
      <c r="P71" s="8">
        <f t="shared" si="12"/>
        <v>-1.7533435303867966</v>
      </c>
      <c r="U71" s="8">
        <v>34</v>
      </c>
      <c r="V71" s="10">
        <f t="shared" si="6"/>
        <v>0.24233323914667995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961.04294917681</v>
      </c>
      <c r="E72">
        <v>315.79384395132001</v>
      </c>
      <c r="F72">
        <v>142.33261955745999</v>
      </c>
      <c r="G72">
        <v>120.42683797287999</v>
      </c>
      <c r="I72" s="9">
        <f t="shared" si="8"/>
        <v>195.36700597844003</v>
      </c>
      <c r="J72" s="9">
        <f t="shared" si="9"/>
        <v>818.71032961934998</v>
      </c>
      <c r="K72" s="9">
        <f t="shared" si="10"/>
        <v>195.36700597844003</v>
      </c>
      <c r="L72" s="10">
        <f t="shared" si="7"/>
        <v>0.23862775258896965</v>
      </c>
      <c r="M72" s="10">
        <f t="shared" si="11"/>
        <v>0.24209486783428324</v>
      </c>
      <c r="P72" s="8">
        <f t="shared" si="12"/>
        <v>-2.0694710081544954</v>
      </c>
      <c r="U72" s="8">
        <v>34.5</v>
      </c>
      <c r="V72" s="10">
        <f t="shared" si="6"/>
        <v>0.23888264039777307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930.20946915351999</v>
      </c>
      <c r="E73">
        <v>316.66355810617</v>
      </c>
      <c r="F73">
        <v>142.01356174161</v>
      </c>
      <c r="G73">
        <v>120.16488222698</v>
      </c>
      <c r="I73" s="9">
        <f t="shared" si="8"/>
        <v>196.49867587918999</v>
      </c>
      <c r="J73" s="9">
        <f t="shared" si="9"/>
        <v>788.19590741190996</v>
      </c>
      <c r="K73" s="9">
        <f t="shared" si="10"/>
        <v>196.49867587918999</v>
      </c>
      <c r="L73" s="10">
        <f t="shared" si="7"/>
        <v>0.24930182208685345</v>
      </c>
      <c r="M73" s="10">
        <f t="shared" si="11"/>
        <v>0.25281846754995724</v>
      </c>
      <c r="P73" s="8">
        <f t="shared" si="12"/>
        <v>2.2683648255716879</v>
      </c>
      <c r="U73" s="8">
        <v>35</v>
      </c>
      <c r="V73" s="10">
        <f t="shared" si="6"/>
        <v>0.2394587841499756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967.30918220947001</v>
      </c>
      <c r="E74">
        <v>325.00143472023001</v>
      </c>
      <c r="F74">
        <v>142.62455389007999</v>
      </c>
      <c r="G74">
        <v>120.39257673090999</v>
      </c>
      <c r="I74" s="9">
        <f t="shared" si="8"/>
        <v>204.60885798932003</v>
      </c>
      <c r="J74" s="9">
        <f t="shared" si="9"/>
        <v>824.68462831938996</v>
      </c>
      <c r="K74" s="9">
        <f t="shared" si="10"/>
        <v>204.60885798932003</v>
      </c>
      <c r="L74" s="10">
        <f t="shared" si="7"/>
        <v>0.24810557995519908</v>
      </c>
      <c r="M74" s="10">
        <f t="shared" si="11"/>
        <v>0.25167175563609306</v>
      </c>
      <c r="P74" s="8">
        <f t="shared" si="12"/>
        <v>1.8045049125939394</v>
      </c>
      <c r="U74" s="8">
        <v>35.5</v>
      </c>
      <c r="V74" s="10">
        <f t="shared" si="6"/>
        <v>0.23862775258896965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1003.890702626</v>
      </c>
      <c r="E75">
        <v>330.79134137685998</v>
      </c>
      <c r="F75">
        <v>142.04139900070999</v>
      </c>
      <c r="G75">
        <v>120.54960742327</v>
      </c>
      <c r="I75" s="9">
        <f t="shared" si="8"/>
        <v>210.24173395358997</v>
      </c>
      <c r="J75" s="9">
        <f t="shared" si="9"/>
        <v>861.84930362529008</v>
      </c>
      <c r="K75" s="9">
        <f t="shared" si="10"/>
        <v>210.24173395358997</v>
      </c>
      <c r="L75" s="10">
        <f t="shared" si="7"/>
        <v>0.24394256985441351</v>
      </c>
      <c r="M75" s="10">
        <f t="shared" si="11"/>
        <v>0.24755827575309769</v>
      </c>
      <c r="P75" s="8">
        <f t="shared" si="12"/>
        <v>0.14054869351870827</v>
      </c>
      <c r="U75" s="8">
        <v>36</v>
      </c>
      <c r="V75" s="10">
        <f t="shared" si="6"/>
        <v>0.24930182208685345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1036.8789173789</v>
      </c>
      <c r="E76">
        <v>338.46011396010999</v>
      </c>
      <c r="F76">
        <v>142.49821556031</v>
      </c>
      <c r="G76">
        <v>120.63882940757</v>
      </c>
      <c r="I76" s="9">
        <f t="shared" si="8"/>
        <v>217.82128455253999</v>
      </c>
      <c r="J76" s="9">
        <f t="shared" si="9"/>
        <v>894.38070181859007</v>
      </c>
      <c r="K76" s="9">
        <f t="shared" si="10"/>
        <v>217.82128455253999</v>
      </c>
      <c r="L76" s="10">
        <f t="shared" si="7"/>
        <v>0.24354425817734307</v>
      </c>
      <c r="M76" s="10">
        <f t="shared" si="11"/>
        <v>0.24720949429381742</v>
      </c>
      <c r="P76" s="8">
        <f t="shared" si="12"/>
        <v>-5.3795204060763831E-4</v>
      </c>
      <c r="U76" s="8">
        <v>36.5</v>
      </c>
      <c r="V76" s="10">
        <f t="shared" si="6"/>
        <v>0.24810557995519908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1023.4301994302</v>
      </c>
      <c r="E77">
        <v>333.96011396010999</v>
      </c>
      <c r="F77">
        <v>142.92933618844</v>
      </c>
      <c r="G77">
        <v>120.53390435403</v>
      </c>
      <c r="I77" s="9">
        <f t="shared" si="8"/>
        <v>213.42620960607999</v>
      </c>
      <c r="J77" s="9">
        <f t="shared" si="9"/>
        <v>880.50086324176004</v>
      </c>
      <c r="K77" s="9">
        <f t="shared" si="10"/>
        <v>213.42620960607999</v>
      </c>
      <c r="L77" s="10">
        <f t="shared" si="7"/>
        <v>0.24239182324058589</v>
      </c>
      <c r="M77" s="10">
        <f t="shared" si="11"/>
        <v>0.24610658957485043</v>
      </c>
      <c r="P77" s="8">
        <f t="shared" si="12"/>
        <v>-0.44667728379204447</v>
      </c>
      <c r="U77" s="8">
        <v>37</v>
      </c>
      <c r="V77" s="10">
        <f t="shared" si="6"/>
        <v>0.24394256985441351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995.74358974358995</v>
      </c>
      <c r="E78">
        <v>331.39173789173998</v>
      </c>
      <c r="F78">
        <v>143.38115631692</v>
      </c>
      <c r="G78">
        <v>120.66952177016</v>
      </c>
      <c r="I78" s="9">
        <f t="shared" si="8"/>
        <v>210.72221612157998</v>
      </c>
      <c r="J78" s="9">
        <f t="shared" si="9"/>
        <v>852.3624334266699</v>
      </c>
      <c r="K78" s="9">
        <f t="shared" si="10"/>
        <v>210.72221612157998</v>
      </c>
      <c r="L78" s="10">
        <f t="shared" si="7"/>
        <v>0.24722137890854001</v>
      </c>
      <c r="M78" s="10">
        <f t="shared" si="11"/>
        <v>0.25098567546059475</v>
      </c>
      <c r="P78" s="8">
        <f t="shared" si="12"/>
        <v>1.526976540685786</v>
      </c>
      <c r="U78" s="8">
        <v>37.5</v>
      </c>
      <c r="V78" s="10">
        <f t="shared" si="6"/>
        <v>0.24354425817734307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993.32122507122995</v>
      </c>
      <c r="E79">
        <v>331.40527065526999</v>
      </c>
      <c r="F79">
        <v>142.17844396858999</v>
      </c>
      <c r="G79">
        <v>120.07994289793</v>
      </c>
      <c r="I79" s="9">
        <f t="shared" si="8"/>
        <v>211.32532775734001</v>
      </c>
      <c r="J79" s="9">
        <f t="shared" si="9"/>
        <v>851.1427811026399</v>
      </c>
      <c r="K79" s="9">
        <f t="shared" si="10"/>
        <v>211.32532775734001</v>
      </c>
      <c r="L79" s="10">
        <f t="shared" si="7"/>
        <v>0.24828422733442199</v>
      </c>
      <c r="M79" s="10">
        <f t="shared" si="11"/>
        <v>0.25209805410426694</v>
      </c>
      <c r="P79" s="8">
        <f t="shared" si="12"/>
        <v>1.9769481984435935</v>
      </c>
      <c r="U79" s="8">
        <v>38</v>
      </c>
      <c r="V79" s="10">
        <f t="shared" si="6"/>
        <v>0.24239182324058589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979.93803418802997</v>
      </c>
      <c r="E80">
        <v>326.90527065526999</v>
      </c>
      <c r="F80">
        <v>142.70235546039001</v>
      </c>
      <c r="G80">
        <v>120.02355460385</v>
      </c>
      <c r="I80" s="9">
        <f t="shared" si="8"/>
        <v>206.88171605141997</v>
      </c>
      <c r="J80" s="9">
        <f t="shared" si="9"/>
        <v>837.23567872763999</v>
      </c>
      <c r="K80" s="9">
        <f t="shared" si="10"/>
        <v>206.88171605141997</v>
      </c>
      <c r="L80" s="10">
        <f t="shared" si="7"/>
        <v>0.24710093144360656</v>
      </c>
      <c r="M80" s="10">
        <f t="shared" si="11"/>
        <v>0.25096428843124169</v>
      </c>
      <c r="P80" s="8">
        <f t="shared" si="12"/>
        <v>1.518325208599131</v>
      </c>
      <c r="U80" s="8">
        <v>38.5</v>
      </c>
      <c r="V80" s="10">
        <f t="shared" si="6"/>
        <v>0.24722137890854001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971.19885958659995</v>
      </c>
      <c r="E81">
        <v>324.66571632217</v>
      </c>
      <c r="F81">
        <v>142.25553176303001</v>
      </c>
      <c r="G81">
        <v>120.15203426124</v>
      </c>
      <c r="I81" s="9">
        <f t="shared" si="8"/>
        <v>204.51368206092999</v>
      </c>
      <c r="J81" s="9">
        <f t="shared" si="9"/>
        <v>828.94332782356992</v>
      </c>
      <c r="K81" s="9">
        <f t="shared" si="10"/>
        <v>204.51368206092999</v>
      </c>
      <c r="L81" s="10">
        <f t="shared" si="7"/>
        <v>0.24671612062780018</v>
      </c>
      <c r="M81" s="10">
        <f t="shared" si="11"/>
        <v>0.2506290078332255</v>
      </c>
      <c r="P81" s="8">
        <f t="shared" si="12"/>
        <v>1.3826998373628321</v>
      </c>
      <c r="U81" s="8">
        <v>39</v>
      </c>
      <c r="V81" s="10">
        <f t="shared" si="6"/>
        <v>0.24828422733442199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948.40912330720005</v>
      </c>
      <c r="E82">
        <v>316.95794725588001</v>
      </c>
      <c r="F82">
        <v>142.49607423269001</v>
      </c>
      <c r="G82">
        <v>120.8051391863</v>
      </c>
      <c r="H82" s="13"/>
      <c r="I82" s="14">
        <f t="shared" si="8"/>
        <v>196.15280806958003</v>
      </c>
      <c r="J82" s="14">
        <f t="shared" si="9"/>
        <v>805.91304907451001</v>
      </c>
      <c r="K82" s="9">
        <f t="shared" si="10"/>
        <v>196.15280806958003</v>
      </c>
      <c r="L82" s="15">
        <f t="shared" si="7"/>
        <v>0.24339202386018804</v>
      </c>
      <c r="M82" s="15">
        <f t="shared" si="11"/>
        <v>0.24735444128340356</v>
      </c>
      <c r="N82" s="13"/>
      <c r="O82" s="13"/>
      <c r="P82" s="13">
        <f t="shared" si="12"/>
        <v>5.8094994179726474E-2</v>
      </c>
      <c r="U82" s="8">
        <v>39.5</v>
      </c>
      <c r="V82" s="10">
        <f t="shared" si="6"/>
        <v>0.24710093144360656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905.83891660726999</v>
      </c>
      <c r="E83">
        <v>306.75124732716</v>
      </c>
      <c r="F83">
        <v>142.18843683084</v>
      </c>
      <c r="G83">
        <v>120.35546038544</v>
      </c>
      <c r="I83" s="9">
        <f t="shared" si="8"/>
        <v>186.39578694172002</v>
      </c>
      <c r="J83" s="9">
        <f t="shared" si="9"/>
        <v>763.65047977642996</v>
      </c>
      <c r="K83" s="9">
        <f t="shared" si="10"/>
        <v>186.39578694172002</v>
      </c>
      <c r="L83" s="10">
        <f t="shared" si="7"/>
        <v>0.24408520897713593</v>
      </c>
      <c r="M83" s="10">
        <f t="shared" si="11"/>
        <v>0.24809715661814163</v>
      </c>
      <c r="P83" s="8">
        <f t="shared" si="12"/>
        <v>0.35853302606333898</v>
      </c>
      <c r="U83" s="8">
        <v>40</v>
      </c>
      <c r="V83" s="10">
        <f t="shared" si="6"/>
        <v>0.24671612062780018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908.65645046328996</v>
      </c>
      <c r="E84">
        <v>308.98146828224998</v>
      </c>
      <c r="F84">
        <v>142.23911491792001</v>
      </c>
      <c r="G84">
        <v>120.70877944326</v>
      </c>
      <c r="I84" s="9">
        <f t="shared" si="8"/>
        <v>188.27268883898998</v>
      </c>
      <c r="J84" s="9">
        <f t="shared" si="9"/>
        <v>766.41733554536995</v>
      </c>
      <c r="K84" s="9">
        <f t="shared" si="10"/>
        <v>188.27268883898998</v>
      </c>
      <c r="L84" s="10">
        <f t="shared" si="7"/>
        <v>0.24565296230547581</v>
      </c>
      <c r="M84" s="10">
        <f t="shared" si="11"/>
        <v>0.24971444016427172</v>
      </c>
      <c r="P84" s="8">
        <f t="shared" si="12"/>
        <v>1.0127452967288233</v>
      </c>
      <c r="U84" s="8">
        <v>150.5</v>
      </c>
      <c r="V84" s="10">
        <f>L302</f>
        <v>0.25946852838102391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922.08553100499</v>
      </c>
      <c r="E85">
        <v>317.52316464719001</v>
      </c>
      <c r="F85">
        <v>142.25838686652</v>
      </c>
      <c r="G85">
        <v>120.64882226981</v>
      </c>
      <c r="I85" s="9">
        <f t="shared" si="8"/>
        <v>196.87434237738</v>
      </c>
      <c r="J85" s="9">
        <f t="shared" si="9"/>
        <v>779.82714413846998</v>
      </c>
      <c r="K85" s="9">
        <f t="shared" si="10"/>
        <v>196.87434237738</v>
      </c>
      <c r="L85" s="10">
        <f t="shared" si="7"/>
        <v>0.25245895049585759</v>
      </c>
      <c r="M85" s="10">
        <f t="shared" si="11"/>
        <v>0.25656995857244369</v>
      </c>
      <c r="P85" s="8">
        <f t="shared" si="12"/>
        <v>3.7858918331732592</v>
      </c>
      <c r="U85" s="8">
        <v>151</v>
      </c>
      <c r="V85" s="10">
        <f t="shared" ref="V85:V103" si="13">L303</f>
        <v>0.25982903346062897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946.89736279400995</v>
      </c>
      <c r="E86">
        <v>324.66999287241998</v>
      </c>
      <c r="F86">
        <v>142.37758743755001</v>
      </c>
      <c r="G86">
        <v>120.4289793005</v>
      </c>
      <c r="I86" s="9">
        <f t="shared" si="8"/>
        <v>204.24101357191998</v>
      </c>
      <c r="J86" s="9">
        <f t="shared" si="9"/>
        <v>804.51977535645995</v>
      </c>
      <c r="K86" s="9">
        <f t="shared" si="10"/>
        <v>204.24101357191998</v>
      </c>
      <c r="L86" s="10">
        <f t="shared" si="7"/>
        <v>0.2538669897597316</v>
      </c>
      <c r="M86" s="10">
        <f t="shared" si="11"/>
        <v>0.25802752805410789</v>
      </c>
      <c r="P86" s="8">
        <f t="shared" si="12"/>
        <v>4.3754976833867083</v>
      </c>
      <c r="U86" s="8">
        <v>151.5</v>
      </c>
      <c r="V86" s="10">
        <f t="shared" si="13"/>
        <v>0.25554809623462948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1005.2979330007</v>
      </c>
      <c r="E87">
        <v>389.05345687812002</v>
      </c>
      <c r="F87">
        <v>142.42969307637</v>
      </c>
      <c r="G87">
        <v>120.56459671663001</v>
      </c>
      <c r="I87" s="9">
        <f t="shared" si="8"/>
        <v>268.48886016149004</v>
      </c>
      <c r="J87" s="9">
        <f t="shared" si="9"/>
        <v>862.86823992433006</v>
      </c>
      <c r="K87" s="9">
        <f t="shared" si="10"/>
        <v>268.48886016149004</v>
      </c>
      <c r="L87" s="10">
        <f t="shared" si="7"/>
        <v>0.31115858451927192</v>
      </c>
      <c r="M87" s="10">
        <f t="shared" si="11"/>
        <v>0.31536865303143841</v>
      </c>
      <c r="P87" s="8">
        <f t="shared" si="12"/>
        <v>27.570729999758409</v>
      </c>
      <c r="U87" s="8">
        <v>152</v>
      </c>
      <c r="V87" s="10">
        <f t="shared" si="13"/>
        <v>0.25826359061526749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1024.3568376067999</v>
      </c>
      <c r="E88">
        <v>428.74074074074002</v>
      </c>
      <c r="F88">
        <v>142.93790149892999</v>
      </c>
      <c r="G88">
        <v>120.24910778016</v>
      </c>
      <c r="I88" s="9">
        <f t="shared" si="8"/>
        <v>308.49163296058003</v>
      </c>
      <c r="J88" s="9">
        <f t="shared" si="9"/>
        <v>881.41893610786997</v>
      </c>
      <c r="K88" s="9">
        <f t="shared" si="10"/>
        <v>308.49163296058003</v>
      </c>
      <c r="L88" s="10">
        <f t="shared" si="7"/>
        <v>0.34999433336751701</v>
      </c>
      <c r="M88" s="10">
        <f t="shared" si="11"/>
        <v>0.35425393209747369</v>
      </c>
      <c r="P88" s="8">
        <f t="shared" si="12"/>
        <v>43.300332130519109</v>
      </c>
      <c r="U88" s="8">
        <v>152.5</v>
      </c>
      <c r="V88" s="10">
        <f t="shared" si="13"/>
        <v>0.25476225111106443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1056.1955587392999</v>
      </c>
      <c r="E89">
        <v>474.71919770774002</v>
      </c>
      <c r="F89">
        <v>143.02498215559999</v>
      </c>
      <c r="G89">
        <v>120.25981441827</v>
      </c>
      <c r="I89" s="9">
        <f t="shared" si="8"/>
        <v>354.45938328947</v>
      </c>
      <c r="J89" s="9">
        <f t="shared" si="9"/>
        <v>913.17057658369993</v>
      </c>
      <c r="K89" s="9">
        <f t="shared" si="10"/>
        <v>354.45938328947</v>
      </c>
      <c r="L89" s="10">
        <f t="shared" si="7"/>
        <v>0.38816338631447433</v>
      </c>
      <c r="M89" s="10">
        <f t="shared" si="11"/>
        <v>0.39247251526222121</v>
      </c>
      <c r="P89" s="8">
        <f t="shared" si="12"/>
        <v>58.760247080903483</v>
      </c>
      <c r="U89" s="8">
        <v>153</v>
      </c>
      <c r="V89" s="10">
        <f t="shared" si="13"/>
        <v>0.2521341848125882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1055.6267908310001</v>
      </c>
      <c r="E90">
        <v>504.93051575931003</v>
      </c>
      <c r="F90">
        <v>142.84796573876</v>
      </c>
      <c r="G90">
        <v>120.68308351178</v>
      </c>
      <c r="I90" s="9">
        <f t="shared" si="8"/>
        <v>384.24743224753001</v>
      </c>
      <c r="J90" s="9">
        <f t="shared" si="9"/>
        <v>912.77882509224014</v>
      </c>
      <c r="K90" s="9">
        <f t="shared" si="10"/>
        <v>384.24743224753001</v>
      </c>
      <c r="L90" s="10">
        <f t="shared" si="7"/>
        <v>0.42096444580503956</v>
      </c>
      <c r="M90" s="10">
        <f t="shared" si="11"/>
        <v>0.42532310497057663</v>
      </c>
      <c r="P90" s="8">
        <f t="shared" si="12"/>
        <v>72.048738723094957</v>
      </c>
      <c r="U90" s="8">
        <v>153.5</v>
      </c>
      <c r="V90" s="10">
        <f t="shared" si="13"/>
        <v>0.25178388629703352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1068.8194842406999</v>
      </c>
      <c r="E91">
        <v>545.57808022922995</v>
      </c>
      <c r="F91">
        <v>142.70306923626001</v>
      </c>
      <c r="G91">
        <v>120.39971448964999</v>
      </c>
      <c r="I91" s="9">
        <f t="shared" si="8"/>
        <v>425.17836573957993</v>
      </c>
      <c r="J91" s="9">
        <f t="shared" si="9"/>
        <v>926.11641500443989</v>
      </c>
      <c r="K91" s="9">
        <f t="shared" si="10"/>
        <v>425.17836573957993</v>
      </c>
      <c r="L91" s="10">
        <f t="shared" si="7"/>
        <v>0.4590981855532078</v>
      </c>
      <c r="M91" s="10">
        <f t="shared" si="11"/>
        <v>0.46350637493653507</v>
      </c>
      <c r="P91" s="8">
        <f t="shared" si="12"/>
        <v>87.494369024371537</v>
      </c>
      <c r="U91" s="8">
        <v>154</v>
      </c>
      <c r="V91" s="10">
        <f t="shared" si="13"/>
        <v>0.25812791901217164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1030.1755014327</v>
      </c>
      <c r="E92">
        <v>544.56590257879998</v>
      </c>
      <c r="F92">
        <v>143.23411848680001</v>
      </c>
      <c r="G92">
        <v>120.28622412563</v>
      </c>
      <c r="I92" s="9">
        <f t="shared" si="8"/>
        <v>424.27967845316999</v>
      </c>
      <c r="J92" s="9">
        <f t="shared" si="9"/>
        <v>886.94138294589993</v>
      </c>
      <c r="K92" s="9">
        <f t="shared" si="10"/>
        <v>424.27967845316999</v>
      </c>
      <c r="L92" s="10">
        <f t="shared" si="7"/>
        <v>0.47836270424541621</v>
      </c>
      <c r="M92" s="10">
        <f t="shared" si="11"/>
        <v>0.48282042384653368</v>
      </c>
      <c r="P92" s="8">
        <f t="shared" si="12"/>
        <v>95.307153506962266</v>
      </c>
      <c r="U92" s="8">
        <v>154.5</v>
      </c>
      <c r="V92" s="10">
        <f t="shared" si="13"/>
        <v>0.25652030377091789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1031.7507163324001</v>
      </c>
      <c r="E93">
        <v>560.20343839541999</v>
      </c>
      <c r="F93">
        <v>143.00571020699999</v>
      </c>
      <c r="G93">
        <v>120.48108493933</v>
      </c>
      <c r="I93" s="9">
        <f t="shared" si="8"/>
        <v>439.72235345608999</v>
      </c>
      <c r="J93" s="9">
        <f t="shared" si="9"/>
        <v>888.7450061254001</v>
      </c>
      <c r="K93" s="9">
        <f t="shared" si="10"/>
        <v>439.72235345608999</v>
      </c>
      <c r="L93" s="10">
        <f t="shared" si="7"/>
        <v>0.4947677347556832</v>
      </c>
      <c r="M93" s="10">
        <f t="shared" si="11"/>
        <v>0.49927498457459085</v>
      </c>
      <c r="P93" s="8">
        <f t="shared" si="12"/>
        <v>101.96323775543181</v>
      </c>
      <c r="U93" s="8">
        <v>155</v>
      </c>
      <c r="V93" s="10">
        <f t="shared" si="13"/>
        <v>0.25356147502528292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1078.388252149</v>
      </c>
      <c r="E94">
        <v>603.48065902579003</v>
      </c>
      <c r="F94">
        <v>142.46609564597</v>
      </c>
      <c r="G94">
        <v>120.21199143469001</v>
      </c>
      <c r="I94" s="9">
        <f t="shared" si="8"/>
        <v>483.26866759110004</v>
      </c>
      <c r="J94" s="9">
        <f t="shared" si="9"/>
        <v>935.92215650303001</v>
      </c>
      <c r="K94" s="9">
        <f t="shared" si="10"/>
        <v>483.26866759110004</v>
      </c>
      <c r="L94" s="10">
        <f t="shared" si="7"/>
        <v>0.51635562234874333</v>
      </c>
      <c r="M94" s="10">
        <f t="shared" si="11"/>
        <v>0.52091240238544123</v>
      </c>
      <c r="P94" s="8">
        <f t="shared" si="12"/>
        <v>110.71585523629726</v>
      </c>
      <c r="U94" s="8">
        <v>155.5</v>
      </c>
      <c r="V94" s="10">
        <f t="shared" si="13"/>
        <v>0.25325074170732886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1089.0809455587</v>
      </c>
      <c r="E95">
        <v>611.90616045845002</v>
      </c>
      <c r="F95">
        <v>142.67237687366</v>
      </c>
      <c r="G95">
        <v>120.51463240543001</v>
      </c>
      <c r="I95" s="9">
        <f t="shared" si="8"/>
        <v>491.39152805302001</v>
      </c>
      <c r="J95" s="9">
        <f t="shared" si="9"/>
        <v>946.40856868504</v>
      </c>
      <c r="K95" s="9">
        <f t="shared" si="10"/>
        <v>491.39152805302001</v>
      </c>
      <c r="L95" s="10">
        <f t="shared" si="7"/>
        <v>0.51921711648888569</v>
      </c>
      <c r="M95" s="10">
        <f t="shared" si="11"/>
        <v>0.52382342674337379</v>
      </c>
      <c r="P95" s="8">
        <f t="shared" si="12"/>
        <v>111.89340252522047</v>
      </c>
      <c r="U95" s="8">
        <v>156</v>
      </c>
      <c r="V95" s="10">
        <f t="shared" si="13"/>
        <v>0.25282226374664607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1110.4376790831</v>
      </c>
      <c r="E96">
        <v>627.17908309456004</v>
      </c>
      <c r="F96">
        <v>142.54104211277999</v>
      </c>
      <c r="G96">
        <v>120.14275517487999</v>
      </c>
      <c r="I96" s="9">
        <f t="shared" si="8"/>
        <v>507.03632791968005</v>
      </c>
      <c r="J96" s="9">
        <f t="shared" si="9"/>
        <v>967.89663697031995</v>
      </c>
      <c r="K96" s="9">
        <f t="shared" si="10"/>
        <v>507.03632791968005</v>
      </c>
      <c r="L96" s="10">
        <f t="shared" si="7"/>
        <v>0.52385379652396502</v>
      </c>
      <c r="M96" s="10">
        <f t="shared" si="11"/>
        <v>0.52850963699624331</v>
      </c>
      <c r="P96" s="8">
        <f t="shared" si="12"/>
        <v>113.78903564266705</v>
      </c>
      <c r="U96" s="8">
        <v>156.5</v>
      </c>
      <c r="V96" s="10">
        <f t="shared" si="13"/>
        <v>0.2548677890715319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1102.2349570201</v>
      </c>
      <c r="E97">
        <v>621.82163323782004</v>
      </c>
      <c r="F97">
        <v>142.65952890791999</v>
      </c>
      <c r="G97">
        <v>120.62384011419999</v>
      </c>
      <c r="I97" s="9">
        <f t="shared" si="8"/>
        <v>501.19779312362004</v>
      </c>
      <c r="J97" s="9">
        <f t="shared" si="9"/>
        <v>959.57542811217991</v>
      </c>
      <c r="K97" s="9">
        <f t="shared" si="10"/>
        <v>501.19779312362004</v>
      </c>
      <c r="L97" s="10">
        <f t="shared" si="7"/>
        <v>0.52231203346843846</v>
      </c>
      <c r="M97" s="10">
        <f t="shared" si="11"/>
        <v>0.52701740415850695</v>
      </c>
      <c r="P97" s="8">
        <f t="shared" si="12"/>
        <v>113.18540801319348</v>
      </c>
      <c r="U97" s="8">
        <v>157</v>
      </c>
      <c r="V97" s="10">
        <f t="shared" si="13"/>
        <v>0.25056291981213807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1043.1379800853999</v>
      </c>
      <c r="E98">
        <v>599.95305832147994</v>
      </c>
      <c r="F98">
        <v>142.52962169879001</v>
      </c>
      <c r="G98">
        <v>119.98715203426001</v>
      </c>
      <c r="I98" s="9">
        <f t="shared" si="8"/>
        <v>479.96590628721992</v>
      </c>
      <c r="J98" s="9">
        <f t="shared" si="9"/>
        <v>900.60835838660989</v>
      </c>
      <c r="K98" s="9">
        <f t="shared" si="10"/>
        <v>479.96590628721992</v>
      </c>
      <c r="L98" s="10">
        <f t="shared" si="7"/>
        <v>0.53293521186840009</v>
      </c>
      <c r="M98" s="10">
        <f t="shared" si="11"/>
        <v>0.53769011277625878</v>
      </c>
      <c r="P98" s="8">
        <f t="shared" si="12"/>
        <v>117.50265773460313</v>
      </c>
      <c r="U98" s="8">
        <v>157.5</v>
      </c>
      <c r="V98" s="10">
        <f t="shared" si="13"/>
        <v>0.25477582344199379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1003.8741109530999</v>
      </c>
      <c r="E99">
        <v>578.92318634423998</v>
      </c>
      <c r="F99">
        <v>142.10563882941</v>
      </c>
      <c r="G99">
        <v>120.47251962884</v>
      </c>
      <c r="I99" s="9">
        <f t="shared" si="8"/>
        <v>458.45066671539996</v>
      </c>
      <c r="J99" s="9">
        <f t="shared" si="9"/>
        <v>861.76847212368989</v>
      </c>
      <c r="K99" s="9">
        <f t="shared" si="10"/>
        <v>458.45066671539996</v>
      </c>
      <c r="L99" s="10">
        <f t="shared" si="7"/>
        <v>0.53198820976314209</v>
      </c>
      <c r="M99" s="10">
        <f t="shared" si="11"/>
        <v>0.53679264088879086</v>
      </c>
      <c r="P99" s="8">
        <f t="shared" si="12"/>
        <v>117.13961866037043</v>
      </c>
      <c r="U99" s="8">
        <v>158</v>
      </c>
      <c r="V99" s="10">
        <f t="shared" si="13"/>
        <v>0.25533184917804941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965.54088952654001</v>
      </c>
      <c r="E100">
        <v>544.21664275466003</v>
      </c>
      <c r="F100">
        <v>142.07351891505999</v>
      </c>
      <c r="G100">
        <v>120.33190578159</v>
      </c>
      <c r="I100" s="9">
        <f t="shared" si="8"/>
        <v>423.88473697307006</v>
      </c>
      <c r="J100" s="9">
        <f t="shared" si="9"/>
        <v>823.46737061147996</v>
      </c>
      <c r="K100" s="9">
        <f t="shared" si="10"/>
        <v>423.88473697307006</v>
      </c>
      <c r="L100" s="10">
        <f t="shared" si="7"/>
        <v>0.51475596010356439</v>
      </c>
      <c r="M100" s="10">
        <f t="shared" si="11"/>
        <v>0.51960992144700335</v>
      </c>
      <c r="P100" s="8">
        <f t="shared" si="12"/>
        <v>110.18898472291517</v>
      </c>
      <c r="U100" s="8">
        <v>158.5</v>
      </c>
      <c r="V100" s="10">
        <f t="shared" si="13"/>
        <v>0.25421647598593999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953.07460545193999</v>
      </c>
      <c r="E101">
        <v>535.70086083214005</v>
      </c>
      <c r="F101">
        <v>142.52391149178999</v>
      </c>
      <c r="G101">
        <v>120.29907209136</v>
      </c>
      <c r="I101" s="9">
        <f t="shared" si="8"/>
        <v>415.40178874078003</v>
      </c>
      <c r="J101" s="9">
        <f t="shared" si="9"/>
        <v>810.55069396015006</v>
      </c>
      <c r="K101" s="9">
        <f t="shared" si="10"/>
        <v>415.40178874078003</v>
      </c>
      <c r="L101" s="10">
        <f t="shared" si="7"/>
        <v>0.5124932861524425</v>
      </c>
      <c r="M101" s="10">
        <f t="shared" si="11"/>
        <v>0.51739677771367165</v>
      </c>
      <c r="P101" s="8">
        <f t="shared" si="12"/>
        <v>109.2937392413442</v>
      </c>
      <c r="U101" s="8">
        <v>159</v>
      </c>
      <c r="V101" s="10">
        <f t="shared" si="13"/>
        <v>0.25714291522743588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939.85294117647004</v>
      </c>
      <c r="E102">
        <v>525.73601147776003</v>
      </c>
      <c r="F102">
        <v>142.03497501784</v>
      </c>
      <c r="G102">
        <v>120.86009992862</v>
      </c>
      <c r="I102" s="9">
        <f t="shared" si="8"/>
        <v>404.87591154914003</v>
      </c>
      <c r="J102" s="9">
        <f t="shared" si="9"/>
        <v>797.81796615863004</v>
      </c>
      <c r="K102" s="9">
        <f t="shared" si="10"/>
        <v>404.87591154914003</v>
      </c>
      <c r="L102" s="10">
        <f t="shared" si="7"/>
        <v>0.50747906003991716</v>
      </c>
      <c r="M102" s="10">
        <f t="shared" si="11"/>
        <v>0.51243208181893651</v>
      </c>
      <c r="P102" s="8">
        <f t="shared" si="12"/>
        <v>107.28545505256966</v>
      </c>
      <c r="U102" s="8">
        <v>159.5</v>
      </c>
      <c r="V102" s="10">
        <f t="shared" si="13"/>
        <v>0.25964722601877654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941.39670014346996</v>
      </c>
      <c r="E103">
        <v>522.65853658537003</v>
      </c>
      <c r="F103">
        <v>142.74018558173</v>
      </c>
      <c r="G103">
        <v>120.09921484653999</v>
      </c>
      <c r="I103" s="9">
        <f t="shared" si="8"/>
        <v>402.55932173883002</v>
      </c>
      <c r="J103" s="9">
        <f t="shared" si="9"/>
        <v>798.65651456173998</v>
      </c>
      <c r="K103" s="9">
        <f t="shared" si="10"/>
        <v>402.55932173883002</v>
      </c>
      <c r="L103" s="10">
        <f t="shared" si="7"/>
        <v>0.50404562461965652</v>
      </c>
      <c r="M103" s="10">
        <f t="shared" si="11"/>
        <v>0.50904817661646606</v>
      </c>
      <c r="P103" s="8">
        <f t="shared" si="12"/>
        <v>105.9166212995013</v>
      </c>
      <c r="U103" s="8">
        <v>160</v>
      </c>
      <c r="V103" s="10">
        <f t="shared" si="13"/>
        <v>0.25954112208929048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904.95624103299997</v>
      </c>
      <c r="E104">
        <v>503.67718794835002</v>
      </c>
      <c r="F104">
        <v>142.32191291934001</v>
      </c>
      <c r="G104">
        <v>120.23269093505</v>
      </c>
      <c r="I104" s="9">
        <f t="shared" si="8"/>
        <v>383.44449701330001</v>
      </c>
      <c r="J104" s="9">
        <f t="shared" si="9"/>
        <v>762.63432811365999</v>
      </c>
      <c r="K104" s="9">
        <f t="shared" si="10"/>
        <v>383.44449701330001</v>
      </c>
      <c r="L104" s="10">
        <f t="shared" si="7"/>
        <v>0.50278945344845916</v>
      </c>
      <c r="M104" s="10">
        <f t="shared" si="11"/>
        <v>0.5078415356630589</v>
      </c>
      <c r="P104" s="8">
        <f t="shared" si="12"/>
        <v>105.42851930903996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897.58751793399995</v>
      </c>
      <c r="E105">
        <v>489.16284074606</v>
      </c>
      <c r="F105">
        <v>142.55745895788999</v>
      </c>
      <c r="G105">
        <v>120.17701641684999</v>
      </c>
      <c r="I105" s="9">
        <f t="shared" si="8"/>
        <v>368.98582432921</v>
      </c>
      <c r="J105" s="9">
        <f t="shared" si="9"/>
        <v>755.03005897611001</v>
      </c>
      <c r="K105" s="9">
        <f t="shared" si="10"/>
        <v>368.98582432921</v>
      </c>
      <c r="L105" s="10">
        <f t="shared" si="7"/>
        <v>0.48870348927510066</v>
      </c>
      <c r="M105" s="10">
        <f t="shared" si="11"/>
        <v>0.49380510170749065</v>
      </c>
      <c r="P105" s="8">
        <f t="shared" si="12"/>
        <v>99.750598852796216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928.88737446198002</v>
      </c>
      <c r="E106">
        <v>497.79411764705998</v>
      </c>
      <c r="F106">
        <v>142.08137044968001</v>
      </c>
      <c r="G106">
        <v>120.06995003569</v>
      </c>
      <c r="I106" s="9">
        <f t="shared" si="8"/>
        <v>377.72416761136998</v>
      </c>
      <c r="J106" s="9">
        <f t="shared" si="9"/>
        <v>786.80600401230004</v>
      </c>
      <c r="K106" s="9">
        <f t="shared" si="10"/>
        <v>377.72416761136998</v>
      </c>
      <c r="L106" s="10">
        <f t="shared" si="7"/>
        <v>0.48007280789060308</v>
      </c>
      <c r="M106" s="10">
        <f t="shared" si="11"/>
        <v>0.48522395054078327</v>
      </c>
      <c r="P106" s="8">
        <f t="shared" si="12"/>
        <v>96.279411377273689</v>
      </c>
      <c r="X106" s="8">
        <v>-13</v>
      </c>
    </row>
    <row r="107" spans="1:25" x14ac:dyDescent="0.2">
      <c r="A107" s="8">
        <v>52.5</v>
      </c>
      <c r="B107" s="8">
        <v>105</v>
      </c>
      <c r="D107">
        <v>931.40817790531003</v>
      </c>
      <c r="E107">
        <v>492.61549497848</v>
      </c>
      <c r="F107">
        <v>142.41256245539</v>
      </c>
      <c r="G107">
        <v>119.99286224126</v>
      </c>
      <c r="I107" s="9">
        <f t="shared" si="8"/>
        <v>372.62263273721999</v>
      </c>
      <c r="J107" s="9">
        <f t="shared" si="9"/>
        <v>788.99561544992002</v>
      </c>
      <c r="K107" s="9">
        <f t="shared" si="10"/>
        <v>372.62263273721999</v>
      </c>
      <c r="L107" s="10">
        <f t="shared" si="7"/>
        <v>0.47227465582902406</v>
      </c>
      <c r="M107" s="10">
        <f t="shared" si="11"/>
        <v>0.47747532869699444</v>
      </c>
      <c r="P107" s="8">
        <f t="shared" si="12"/>
        <v>93.144992862299489</v>
      </c>
      <c r="X107" s="8">
        <v>-13</v>
      </c>
    </row>
    <row r="108" spans="1:25" x14ac:dyDescent="0.2">
      <c r="A108" s="8">
        <v>53</v>
      </c>
      <c r="B108" s="8">
        <v>106</v>
      </c>
      <c r="D108">
        <v>953.68723098995997</v>
      </c>
      <c r="E108">
        <v>491.70516499283002</v>
      </c>
      <c r="F108">
        <v>142.31548893646999</v>
      </c>
      <c r="G108">
        <v>120.10278372591</v>
      </c>
      <c r="I108" s="9">
        <f t="shared" si="8"/>
        <v>371.60238126692002</v>
      </c>
      <c r="J108" s="9">
        <f t="shared" si="9"/>
        <v>811.37174205348992</v>
      </c>
      <c r="K108" s="9">
        <f t="shared" si="10"/>
        <v>371.60238126692002</v>
      </c>
      <c r="L108" s="10">
        <f t="shared" si="7"/>
        <v>0.45799275721192423</v>
      </c>
      <c r="M108" s="10">
        <f t="shared" si="11"/>
        <v>0.4632429602976848</v>
      </c>
      <c r="P108" s="8">
        <f t="shared" si="12"/>
        <v>87.387814370166893</v>
      </c>
      <c r="X108" s="8">
        <v>-13</v>
      </c>
    </row>
    <row r="109" spans="1:25" x14ac:dyDescent="0.2">
      <c r="A109" s="8">
        <v>53.5</v>
      </c>
      <c r="B109" s="8">
        <v>107</v>
      </c>
      <c r="D109">
        <v>946.26614060257998</v>
      </c>
      <c r="E109">
        <v>481.65566714491001</v>
      </c>
      <c r="F109">
        <v>141.91006423983001</v>
      </c>
      <c r="G109">
        <v>120.00927908637</v>
      </c>
      <c r="I109" s="9">
        <f t="shared" si="8"/>
        <v>361.64638805854003</v>
      </c>
      <c r="J109" s="9">
        <f t="shared" si="9"/>
        <v>804.35607636274995</v>
      </c>
      <c r="K109" s="9">
        <f t="shared" si="10"/>
        <v>361.64638805854003</v>
      </c>
      <c r="L109" s="10">
        <f t="shared" si="7"/>
        <v>0.44960981670441696</v>
      </c>
      <c r="M109" s="10">
        <f t="shared" si="11"/>
        <v>0.45490955000796773</v>
      </c>
      <c r="P109" s="8">
        <f t="shared" si="12"/>
        <v>84.016841307917971</v>
      </c>
      <c r="X109" s="8">
        <v>-13</v>
      </c>
    </row>
    <row r="110" spans="1:25" x14ac:dyDescent="0.2">
      <c r="A110" s="8">
        <v>54</v>
      </c>
      <c r="B110" s="8">
        <v>108</v>
      </c>
      <c r="D110">
        <v>955.72955523672999</v>
      </c>
      <c r="E110">
        <v>475.57747489240001</v>
      </c>
      <c r="F110">
        <v>142.15346181299</v>
      </c>
      <c r="G110">
        <v>119.78229835832001</v>
      </c>
      <c r="I110" s="9">
        <f t="shared" si="8"/>
        <v>355.79517653407999</v>
      </c>
      <c r="J110" s="9">
        <f t="shared" si="9"/>
        <v>813.57609342373996</v>
      </c>
      <c r="K110" s="9">
        <f t="shared" si="10"/>
        <v>355.79517653407999</v>
      </c>
      <c r="L110" s="10">
        <f t="shared" si="7"/>
        <v>0.43732255582486607</v>
      </c>
      <c r="M110" s="10">
        <f t="shared" si="11"/>
        <v>0.44267181934620703</v>
      </c>
      <c r="P110" s="8">
        <f t="shared" si="12"/>
        <v>79.066519774516848</v>
      </c>
      <c r="X110" s="8">
        <v>-13</v>
      </c>
    </row>
    <row r="111" spans="1:25" x14ac:dyDescent="0.2">
      <c r="A111" s="8">
        <v>54.5</v>
      </c>
      <c r="B111" s="8">
        <v>109</v>
      </c>
      <c r="D111">
        <v>957.03802008608</v>
      </c>
      <c r="E111">
        <v>472.84935437590002</v>
      </c>
      <c r="F111">
        <v>142.15346181299</v>
      </c>
      <c r="G111">
        <v>120.04710920770999</v>
      </c>
      <c r="I111" s="9">
        <f t="shared" si="8"/>
        <v>352.80224516819004</v>
      </c>
      <c r="J111" s="9">
        <f t="shared" si="9"/>
        <v>814.88455827308997</v>
      </c>
      <c r="K111" s="9">
        <f t="shared" si="10"/>
        <v>352.80224516819004</v>
      </c>
      <c r="L111" s="10">
        <f t="shared" si="7"/>
        <v>0.43294751580009255</v>
      </c>
      <c r="M111" s="10">
        <f t="shared" si="11"/>
        <v>0.43834630953922371</v>
      </c>
      <c r="P111" s="8">
        <f t="shared" si="12"/>
        <v>77.316794688038556</v>
      </c>
      <c r="X111" s="8">
        <v>-13</v>
      </c>
    </row>
    <row r="112" spans="1:25" x14ac:dyDescent="0.2">
      <c r="A112" s="8">
        <v>55</v>
      </c>
      <c r="B112" s="8">
        <v>110</v>
      </c>
      <c r="D112">
        <v>948.65781922525002</v>
      </c>
      <c r="E112">
        <v>461.82281205164998</v>
      </c>
      <c r="F112">
        <v>142.25767309065</v>
      </c>
      <c r="G112">
        <v>119.79229122056</v>
      </c>
      <c r="I112" s="9">
        <f t="shared" si="8"/>
        <v>342.03052083108997</v>
      </c>
      <c r="J112" s="9">
        <f t="shared" si="9"/>
        <v>806.40014613460005</v>
      </c>
      <c r="K112" s="9">
        <f t="shared" si="10"/>
        <v>342.03052083108997</v>
      </c>
      <c r="L112" s="10">
        <f t="shared" si="7"/>
        <v>0.42414491424707662</v>
      </c>
      <c r="M112" s="10">
        <f t="shared" si="11"/>
        <v>0.42959323820399797</v>
      </c>
      <c r="P112" s="8">
        <f t="shared" si="12"/>
        <v>73.776063263906195</v>
      </c>
      <c r="X112" s="8">
        <v>-13</v>
      </c>
    </row>
    <row r="113" spans="1:24" x14ac:dyDescent="0.2">
      <c r="A113" s="8">
        <v>55.5</v>
      </c>
      <c r="B113" s="8">
        <v>111</v>
      </c>
      <c r="D113">
        <v>946.46197991392</v>
      </c>
      <c r="E113">
        <v>451.41176470587999</v>
      </c>
      <c r="F113">
        <v>142.69164882227</v>
      </c>
      <c r="G113">
        <v>119.93361884367999</v>
      </c>
      <c r="I113" s="9">
        <f t="shared" si="8"/>
        <v>331.47814586219999</v>
      </c>
      <c r="J113" s="9">
        <f t="shared" si="9"/>
        <v>803.77033109164995</v>
      </c>
      <c r="K113" s="9">
        <f t="shared" si="10"/>
        <v>331.47814586219999</v>
      </c>
      <c r="L113" s="10">
        <f t="shared" si="7"/>
        <v>0.41240405752722814</v>
      </c>
      <c r="M113" s="10">
        <f t="shared" si="11"/>
        <v>0.41790191170193969</v>
      </c>
      <c r="P113" s="8">
        <f t="shared" si="12"/>
        <v>69.046769333781782</v>
      </c>
      <c r="X113" s="8">
        <v>-13</v>
      </c>
    </row>
    <row r="114" spans="1:24" x14ac:dyDescent="0.2">
      <c r="A114" s="8">
        <v>56</v>
      </c>
      <c r="B114" s="8">
        <v>112</v>
      </c>
      <c r="D114">
        <v>952.78407460544997</v>
      </c>
      <c r="E114">
        <v>449.89239598277999</v>
      </c>
      <c r="F114">
        <v>142.30406852248001</v>
      </c>
      <c r="G114">
        <v>119.60670949322</v>
      </c>
      <c r="I114" s="9">
        <f t="shared" si="8"/>
        <v>330.28568648956002</v>
      </c>
      <c r="J114" s="9">
        <f t="shared" si="9"/>
        <v>810.48000608297002</v>
      </c>
      <c r="K114" s="9">
        <f t="shared" si="10"/>
        <v>330.28568648956002</v>
      </c>
      <c r="L114" s="10">
        <f t="shared" si="7"/>
        <v>0.40751861120649063</v>
      </c>
      <c r="M114" s="10">
        <f t="shared" si="11"/>
        <v>0.41306599559899237</v>
      </c>
      <c r="P114" s="8">
        <f t="shared" si="12"/>
        <v>67.090578249029051</v>
      </c>
      <c r="X114" s="8">
        <v>-13</v>
      </c>
    </row>
    <row r="115" spans="1:24" x14ac:dyDescent="0.2">
      <c r="A115" s="8">
        <v>56.5</v>
      </c>
      <c r="B115" s="8">
        <v>113</v>
      </c>
      <c r="D115">
        <v>932.90817790531003</v>
      </c>
      <c r="E115">
        <v>435.52008608321</v>
      </c>
      <c r="F115">
        <v>142.27123483226001</v>
      </c>
      <c r="G115">
        <v>119.93576017130999</v>
      </c>
      <c r="I115" s="9">
        <f t="shared" si="8"/>
        <v>315.58432591190001</v>
      </c>
      <c r="J115" s="9">
        <f t="shared" si="9"/>
        <v>790.63694307305002</v>
      </c>
      <c r="K115" s="9">
        <f t="shared" si="10"/>
        <v>315.58432591190001</v>
      </c>
      <c r="L115" s="10">
        <f t="shared" si="7"/>
        <v>0.39915201114342813</v>
      </c>
      <c r="M115" s="10">
        <f t="shared" si="11"/>
        <v>0.40474892575372007</v>
      </c>
      <c r="P115" s="8">
        <f t="shared" si="12"/>
        <v>63.726215109504857</v>
      </c>
      <c r="X115" s="8">
        <v>-13</v>
      </c>
    </row>
    <row r="116" spans="1:24" x14ac:dyDescent="0.2">
      <c r="A116" s="8">
        <v>57</v>
      </c>
      <c r="B116" s="8">
        <v>114</v>
      </c>
      <c r="D116">
        <v>950.87052932761003</v>
      </c>
      <c r="E116">
        <v>440.99141630900999</v>
      </c>
      <c r="F116">
        <v>141.72305496074</v>
      </c>
      <c r="G116">
        <v>120.15631691649</v>
      </c>
      <c r="I116" s="9">
        <f t="shared" si="8"/>
        <v>320.83509939251996</v>
      </c>
      <c r="J116" s="9">
        <f t="shared" si="9"/>
        <v>809.14747436687003</v>
      </c>
      <c r="K116" s="9">
        <f t="shared" si="10"/>
        <v>320.83509939251996</v>
      </c>
      <c r="L116" s="10">
        <f t="shared" si="7"/>
        <v>0.39651004242899274</v>
      </c>
      <c r="M116" s="10">
        <f t="shared" si="11"/>
        <v>0.40215648725707487</v>
      </c>
      <c r="P116" s="8">
        <f t="shared" si="12"/>
        <v>62.677539953247219</v>
      </c>
      <c r="X116" s="8">
        <v>-13</v>
      </c>
    </row>
    <row r="117" spans="1:24" x14ac:dyDescent="0.2">
      <c r="A117" s="8">
        <v>57.5</v>
      </c>
      <c r="B117" s="8">
        <v>115</v>
      </c>
      <c r="D117">
        <v>968.79041487840004</v>
      </c>
      <c r="E117">
        <v>442.08082975679997</v>
      </c>
      <c r="F117">
        <v>141.88436830834999</v>
      </c>
      <c r="G117">
        <v>119.90506780871</v>
      </c>
      <c r="I117" s="9">
        <f t="shared" si="8"/>
        <v>322.17576194808998</v>
      </c>
      <c r="J117" s="9">
        <f t="shared" si="9"/>
        <v>826.90604657005008</v>
      </c>
      <c r="K117" s="9">
        <f t="shared" si="10"/>
        <v>322.17576194808998</v>
      </c>
      <c r="L117" s="10">
        <f t="shared" si="7"/>
        <v>0.38961592224951441</v>
      </c>
      <c r="M117" s="10">
        <f t="shared" si="11"/>
        <v>0.39531189729538674</v>
      </c>
      <c r="P117" s="8">
        <f t="shared" si="12"/>
        <v>59.908814115823773</v>
      </c>
      <c r="X117" s="8">
        <v>-13</v>
      </c>
    </row>
    <row r="118" spans="1:24" x14ac:dyDescent="0.2">
      <c r="A118" s="8">
        <v>58</v>
      </c>
      <c r="B118" s="8">
        <v>116</v>
      </c>
      <c r="D118">
        <v>978.43204577969004</v>
      </c>
      <c r="E118">
        <v>450.98927038626999</v>
      </c>
      <c r="F118">
        <v>141.96002855104001</v>
      </c>
      <c r="G118">
        <v>119.41470378301</v>
      </c>
      <c r="I118" s="9">
        <f t="shared" si="8"/>
        <v>331.57456660326</v>
      </c>
      <c r="J118" s="9">
        <f t="shared" si="9"/>
        <v>836.47201722864997</v>
      </c>
      <c r="K118" s="9">
        <f t="shared" si="10"/>
        <v>331.57456660326</v>
      </c>
      <c r="L118" s="10">
        <f t="shared" si="7"/>
        <v>0.39639648401128036</v>
      </c>
      <c r="M118" s="10">
        <f t="shared" si="11"/>
        <v>0.40214198927494288</v>
      </c>
      <c r="P118" s="8">
        <f t="shared" si="12"/>
        <v>62.671675330538768</v>
      </c>
      <c r="X118" s="8">
        <v>-13</v>
      </c>
    </row>
    <row r="119" spans="1:24" x14ac:dyDescent="0.2">
      <c r="A119" s="8">
        <v>58.5</v>
      </c>
      <c r="B119" s="8">
        <v>117</v>
      </c>
      <c r="D119">
        <v>970.08726752504003</v>
      </c>
      <c r="E119">
        <v>442.74248927039002</v>
      </c>
      <c r="F119">
        <v>141.73162027123999</v>
      </c>
      <c r="G119">
        <v>119.89793004996</v>
      </c>
      <c r="I119" s="9">
        <f t="shared" si="8"/>
        <v>322.84455922043003</v>
      </c>
      <c r="J119" s="9">
        <f t="shared" si="9"/>
        <v>828.35564725380004</v>
      </c>
      <c r="K119" s="9">
        <f t="shared" si="10"/>
        <v>322.84455922043003</v>
      </c>
      <c r="L119" s="10">
        <f t="shared" si="7"/>
        <v>0.38974148397579961</v>
      </c>
      <c r="M119" s="10">
        <f t="shared" si="11"/>
        <v>0.39553651945725232</v>
      </c>
      <c r="P119" s="8">
        <f t="shared" si="12"/>
        <v>59.999676707548957</v>
      </c>
      <c r="X119" s="8">
        <v>-13</v>
      </c>
    </row>
    <row r="120" spans="1:24" x14ac:dyDescent="0.2">
      <c r="A120" s="8">
        <v>59</v>
      </c>
      <c r="B120" s="8">
        <v>118</v>
      </c>
      <c r="D120">
        <v>962.55897069335003</v>
      </c>
      <c r="E120">
        <v>430.94639027877002</v>
      </c>
      <c r="F120">
        <v>141.75517487509001</v>
      </c>
      <c r="G120">
        <v>119.52748037116</v>
      </c>
      <c r="I120" s="9">
        <f t="shared" si="8"/>
        <v>311.41890990761004</v>
      </c>
      <c r="J120" s="9">
        <f t="shared" si="9"/>
        <v>820.80379581826003</v>
      </c>
      <c r="K120" s="9">
        <f t="shared" si="10"/>
        <v>311.41890990761004</v>
      </c>
      <c r="L120" s="10">
        <f t="shared" si="7"/>
        <v>0.37940724871667564</v>
      </c>
      <c r="M120" s="10">
        <f t="shared" si="11"/>
        <v>0.38525181441591855</v>
      </c>
      <c r="P120" s="8">
        <f t="shared" si="12"/>
        <v>55.839379489219041</v>
      </c>
      <c r="X120" s="8">
        <v>-13</v>
      </c>
    </row>
    <row r="121" spans="1:24" x14ac:dyDescent="0.2">
      <c r="A121" s="8">
        <v>59.5</v>
      </c>
      <c r="B121" s="8">
        <v>119</v>
      </c>
      <c r="D121">
        <v>969.02001429592997</v>
      </c>
      <c r="E121">
        <v>426.97283774124003</v>
      </c>
      <c r="F121">
        <v>141.61241970021001</v>
      </c>
      <c r="G121">
        <v>119.66167023555001</v>
      </c>
      <c r="I121" s="9">
        <f t="shared" si="8"/>
        <v>307.31116750569004</v>
      </c>
      <c r="J121" s="9">
        <f t="shared" si="9"/>
        <v>827.40759459571996</v>
      </c>
      <c r="K121" s="9">
        <f t="shared" si="10"/>
        <v>307.31116750569004</v>
      </c>
      <c r="L121" s="10">
        <f t="shared" si="7"/>
        <v>0.37141448726470233</v>
      </c>
      <c r="M121" s="10">
        <f t="shared" si="11"/>
        <v>0.37730858318173544</v>
      </c>
      <c r="P121" s="8">
        <f t="shared" si="12"/>
        <v>52.626238939702844</v>
      </c>
      <c r="X121" s="8">
        <v>-13</v>
      </c>
    </row>
    <row r="122" spans="1:24" x14ac:dyDescent="0.2">
      <c r="A122" s="8">
        <v>60</v>
      </c>
      <c r="B122" s="8">
        <v>120</v>
      </c>
      <c r="D122">
        <v>956.02001429592997</v>
      </c>
      <c r="E122">
        <v>419.07576840600001</v>
      </c>
      <c r="F122">
        <v>141.71092077087999</v>
      </c>
      <c r="G122">
        <v>120.02640970735</v>
      </c>
      <c r="I122" s="9">
        <f t="shared" si="8"/>
        <v>299.04935869865</v>
      </c>
      <c r="J122" s="9">
        <f t="shared" si="9"/>
        <v>814.30909352505</v>
      </c>
      <c r="K122" s="9">
        <f t="shared" si="10"/>
        <v>299.04935869865</v>
      </c>
      <c r="L122" s="10">
        <f t="shared" si="7"/>
        <v>0.36724305435924809</v>
      </c>
      <c r="M122" s="10">
        <f t="shared" si="11"/>
        <v>0.37318668049407139</v>
      </c>
      <c r="P122" s="8">
        <f t="shared" si="12"/>
        <v>50.958875586374099</v>
      </c>
      <c r="X122" s="8">
        <v>-13</v>
      </c>
    </row>
    <row r="123" spans="1:24" x14ac:dyDescent="0.2">
      <c r="A123" s="8">
        <v>60.5</v>
      </c>
      <c r="B123" s="8">
        <v>121</v>
      </c>
      <c r="D123">
        <v>903.88281811646004</v>
      </c>
      <c r="E123">
        <v>393.42487419123</v>
      </c>
      <c r="F123">
        <v>141.57887223412001</v>
      </c>
      <c r="G123">
        <v>119.43540328336999</v>
      </c>
      <c r="I123" s="9">
        <f t="shared" si="8"/>
        <v>273.98947090785998</v>
      </c>
      <c r="J123" s="9">
        <f t="shared" si="9"/>
        <v>762.30394588234003</v>
      </c>
      <c r="K123" s="9">
        <f t="shared" si="10"/>
        <v>273.98947090785998</v>
      </c>
      <c r="L123" s="10">
        <f t="shared" si="7"/>
        <v>0.35942286851306637</v>
      </c>
      <c r="M123" s="10">
        <f t="shared" si="11"/>
        <v>0.36541602486567987</v>
      </c>
      <c r="P123" s="8">
        <f t="shared" si="12"/>
        <v>47.81554411838632</v>
      </c>
      <c r="X123" s="8">
        <v>-13</v>
      </c>
    </row>
    <row r="124" spans="1:24" x14ac:dyDescent="0.2">
      <c r="A124" s="8">
        <v>61</v>
      </c>
      <c r="B124" s="8">
        <v>122</v>
      </c>
      <c r="D124">
        <v>885.15959741193001</v>
      </c>
      <c r="E124">
        <v>382.33213515456998</v>
      </c>
      <c r="F124">
        <v>141.73875802998</v>
      </c>
      <c r="G124">
        <v>119.80799428979</v>
      </c>
      <c r="I124" s="9">
        <f t="shared" si="8"/>
        <v>262.52414086477995</v>
      </c>
      <c r="J124" s="9">
        <f t="shared" si="9"/>
        <v>743.42083938195003</v>
      </c>
      <c r="K124" s="9">
        <f t="shared" si="10"/>
        <v>262.52414086477995</v>
      </c>
      <c r="L124" s="10">
        <f t="shared" si="7"/>
        <v>0.35312991909539676</v>
      </c>
      <c r="M124" s="10">
        <f t="shared" si="11"/>
        <v>0.35917260566580045</v>
      </c>
      <c r="P124" s="8">
        <f t="shared" si="12"/>
        <v>45.289999688503727</v>
      </c>
      <c r="X124" s="8">
        <v>-13</v>
      </c>
    </row>
    <row r="125" spans="1:24" x14ac:dyDescent="0.2">
      <c r="A125" s="8">
        <v>61.5</v>
      </c>
      <c r="B125" s="8">
        <v>123</v>
      </c>
      <c r="D125">
        <v>920.15600287562995</v>
      </c>
      <c r="E125">
        <v>388.67649173257001</v>
      </c>
      <c r="F125">
        <v>141.51177730193001</v>
      </c>
      <c r="G125">
        <v>119.90578158458</v>
      </c>
      <c r="I125" s="9">
        <f t="shared" si="8"/>
        <v>268.77071014799003</v>
      </c>
      <c r="J125" s="9">
        <f t="shared" si="9"/>
        <v>778.64422557369994</v>
      </c>
      <c r="K125" s="9">
        <f t="shared" si="10"/>
        <v>268.77071014799003</v>
      </c>
      <c r="L125" s="10">
        <f t="shared" si="7"/>
        <v>0.34517781204883596</v>
      </c>
      <c r="M125" s="10">
        <f t="shared" si="11"/>
        <v>0.35127002883702985</v>
      </c>
      <c r="P125" s="8">
        <f t="shared" si="12"/>
        <v>42.093304375780491</v>
      </c>
      <c r="X125" s="8">
        <v>-13</v>
      </c>
    </row>
    <row r="126" spans="1:24" x14ac:dyDescent="0.2">
      <c r="A126" s="8">
        <v>62</v>
      </c>
      <c r="B126" s="8">
        <v>124</v>
      </c>
      <c r="D126">
        <v>953.99712437096002</v>
      </c>
      <c r="E126">
        <v>392.51473759884999</v>
      </c>
      <c r="F126">
        <v>141.58957887222999</v>
      </c>
      <c r="G126">
        <v>119.75374732333999</v>
      </c>
      <c r="I126" s="9">
        <f t="shared" si="8"/>
        <v>272.76099027550998</v>
      </c>
      <c r="J126" s="9">
        <f t="shared" si="9"/>
        <v>812.40754549873009</v>
      </c>
      <c r="K126" s="9">
        <f t="shared" si="10"/>
        <v>272.76099027550998</v>
      </c>
      <c r="L126" s="10">
        <f t="shared" si="7"/>
        <v>0.33574403855156754</v>
      </c>
      <c r="M126" s="10">
        <f t="shared" si="11"/>
        <v>0.34188578555755161</v>
      </c>
      <c r="P126" s="8">
        <f t="shared" si="12"/>
        <v>38.297255674836762</v>
      </c>
      <c r="X126" s="8">
        <v>-13</v>
      </c>
    </row>
    <row r="127" spans="1:24" x14ac:dyDescent="0.2">
      <c r="A127" s="8">
        <v>62.5</v>
      </c>
      <c r="B127" s="8">
        <v>125</v>
      </c>
      <c r="D127">
        <v>916.70797720797998</v>
      </c>
      <c r="E127">
        <v>377.16666666666998</v>
      </c>
      <c r="F127">
        <v>141.97144896502999</v>
      </c>
      <c r="G127">
        <v>119.68379728764999</v>
      </c>
      <c r="I127" s="9">
        <f t="shared" si="8"/>
        <v>257.48286937901997</v>
      </c>
      <c r="J127" s="9">
        <f t="shared" si="9"/>
        <v>774.73652824295004</v>
      </c>
      <c r="K127" s="9">
        <f t="shared" si="10"/>
        <v>257.48286937901997</v>
      </c>
      <c r="L127" s="10">
        <f t="shared" si="7"/>
        <v>0.33234894701941275</v>
      </c>
      <c r="M127" s="10">
        <f t="shared" si="11"/>
        <v>0.33854022424318703</v>
      </c>
      <c r="P127" s="8">
        <f t="shared" si="12"/>
        <v>36.943932524200427</v>
      </c>
      <c r="X127" s="8">
        <v>-13</v>
      </c>
    </row>
    <row r="128" spans="1:24" x14ac:dyDescent="0.2">
      <c r="A128" s="8">
        <v>63</v>
      </c>
      <c r="B128" s="8">
        <v>126</v>
      </c>
      <c r="D128">
        <v>919.33262108261999</v>
      </c>
      <c r="E128">
        <v>372.42165242164998</v>
      </c>
      <c r="F128">
        <v>140.99643112063001</v>
      </c>
      <c r="G128">
        <v>119.51249107779999</v>
      </c>
      <c r="I128" s="9">
        <f t="shared" si="8"/>
        <v>252.90916134384997</v>
      </c>
      <c r="J128" s="9">
        <f t="shared" si="9"/>
        <v>778.33618996198993</v>
      </c>
      <c r="K128" s="9">
        <f t="shared" si="10"/>
        <v>252.90916134384997</v>
      </c>
      <c r="L128" s="10">
        <f t="shared" si="7"/>
        <v>0.32493563142194481</v>
      </c>
      <c r="M128" s="10">
        <f t="shared" si="11"/>
        <v>0.33117643886350928</v>
      </c>
      <c r="P128" s="8">
        <f t="shared" si="12"/>
        <v>33.965185374104344</v>
      </c>
      <c r="X128" s="8">
        <v>-13</v>
      </c>
    </row>
    <row r="129" spans="1:24" x14ac:dyDescent="0.2">
      <c r="A129" s="8">
        <v>63.5</v>
      </c>
      <c r="B129" s="8">
        <v>127</v>
      </c>
      <c r="D129">
        <v>850.44373219373006</v>
      </c>
      <c r="E129">
        <v>348.86182336181997</v>
      </c>
      <c r="F129">
        <v>141.43754461098999</v>
      </c>
      <c r="G129">
        <v>119.61384725196</v>
      </c>
      <c r="I129" s="9">
        <f t="shared" si="8"/>
        <v>229.24797610985996</v>
      </c>
      <c r="J129" s="9">
        <f t="shared" si="9"/>
        <v>709.00618758274004</v>
      </c>
      <c r="K129" s="9">
        <f t="shared" si="10"/>
        <v>229.24797610985996</v>
      </c>
      <c r="L129" s="10">
        <f t="shared" si="7"/>
        <v>0.32333705985197347</v>
      </c>
      <c r="M129" s="10">
        <f t="shared" si="11"/>
        <v>0.32962739751132814</v>
      </c>
      <c r="P129" s="8">
        <f t="shared" si="12"/>
        <v>33.338577960215744</v>
      </c>
      <c r="X129" s="8">
        <v>-13</v>
      </c>
    </row>
    <row r="130" spans="1:24" x14ac:dyDescent="0.2">
      <c r="A130" s="8">
        <v>64</v>
      </c>
      <c r="B130" s="8">
        <v>128</v>
      </c>
      <c r="D130">
        <v>868.88904899135002</v>
      </c>
      <c r="E130">
        <v>349.88112391931003</v>
      </c>
      <c r="F130">
        <v>141.06352605282001</v>
      </c>
      <c r="G130">
        <v>119.52890792290999</v>
      </c>
      <c r="I130" s="9">
        <f t="shared" si="8"/>
        <v>230.35221599640005</v>
      </c>
      <c r="J130" s="9">
        <f t="shared" si="9"/>
        <v>727.82552293852996</v>
      </c>
      <c r="K130" s="9">
        <f t="shared" si="10"/>
        <v>230.35221599640005</v>
      </c>
      <c r="L130" s="10">
        <f t="shared" ref="L130:L193" si="14">K130/J130</f>
        <v>0.3164937319955114</v>
      </c>
      <c r="M130" s="10">
        <f t="shared" si="11"/>
        <v>0.32283359987265625</v>
      </c>
      <c r="P130" s="8">
        <f t="shared" si="12"/>
        <v>30.590398279372167</v>
      </c>
      <c r="X130" s="8">
        <v>-13</v>
      </c>
    </row>
    <row r="131" spans="1:24" x14ac:dyDescent="0.2">
      <c r="A131" s="8">
        <v>64.5</v>
      </c>
      <c r="B131" s="8">
        <v>129</v>
      </c>
      <c r="D131">
        <v>896.40994236310996</v>
      </c>
      <c r="E131">
        <v>354.48342939481</v>
      </c>
      <c r="F131">
        <v>141.58600999286</v>
      </c>
      <c r="G131">
        <v>119.82012847966</v>
      </c>
      <c r="I131" s="9">
        <f t="shared" ref="I131:I194" si="15">E131-G131</f>
        <v>234.66330091514999</v>
      </c>
      <c r="J131" s="9">
        <f t="shared" ref="J131:J194" si="16">D131-F131</f>
        <v>754.82393237024996</v>
      </c>
      <c r="K131" s="9">
        <f t="shared" ref="K131:K194" si="17">I131*1</f>
        <v>234.66330091514999</v>
      </c>
      <c r="L131" s="10">
        <f t="shared" si="14"/>
        <v>0.31088481810357449</v>
      </c>
      <c r="M131" s="10">
        <f t="shared" ref="M131:M181" si="18">L131+ABS($N$2)*A131</f>
        <v>0.31727421619850954</v>
      </c>
      <c r="P131" s="8">
        <f t="shared" ref="P131:P194" si="19">(M131-$O$2)/$O$2*100</f>
        <v>28.341555133921894</v>
      </c>
      <c r="X131" s="8">
        <v>-13</v>
      </c>
    </row>
    <row r="132" spans="1:24" x14ac:dyDescent="0.2">
      <c r="A132" s="8">
        <v>65</v>
      </c>
      <c r="B132" s="8">
        <v>130</v>
      </c>
      <c r="D132">
        <v>874.19956772334001</v>
      </c>
      <c r="E132">
        <v>347.7355907781</v>
      </c>
      <c r="F132">
        <v>141.31548893646999</v>
      </c>
      <c r="G132">
        <v>119.57173447538</v>
      </c>
      <c r="I132" s="9">
        <f t="shared" si="15"/>
        <v>228.16385630272001</v>
      </c>
      <c r="J132" s="9">
        <f t="shared" si="16"/>
        <v>732.88407878687008</v>
      </c>
      <c r="K132" s="9">
        <f t="shared" si="17"/>
        <v>228.16385630272001</v>
      </c>
      <c r="L132" s="10">
        <f t="shared" si="14"/>
        <v>0.31132325412280148</v>
      </c>
      <c r="M132" s="10">
        <f t="shared" si="18"/>
        <v>0.31776218243552673</v>
      </c>
      <c r="P132" s="8">
        <f t="shared" si="19"/>
        <v>28.538943835916044</v>
      </c>
      <c r="X132" s="8">
        <v>-13</v>
      </c>
    </row>
    <row r="133" spans="1:24" x14ac:dyDescent="0.2">
      <c r="A133" s="8">
        <v>65.5</v>
      </c>
      <c r="B133" s="8">
        <v>131</v>
      </c>
      <c r="D133">
        <v>871.94812680115001</v>
      </c>
      <c r="E133">
        <v>345.94020172911002</v>
      </c>
      <c r="F133">
        <v>141.26552462526999</v>
      </c>
      <c r="G133">
        <v>119.90935046395001</v>
      </c>
      <c r="I133" s="9">
        <f t="shared" si="15"/>
        <v>226.03085126516001</v>
      </c>
      <c r="J133" s="9">
        <f t="shared" si="16"/>
        <v>730.68260217587999</v>
      </c>
      <c r="K133" s="9">
        <f t="shared" si="17"/>
        <v>226.03085126516001</v>
      </c>
      <c r="L133" s="10">
        <f t="shared" si="14"/>
        <v>0.30934204617992661</v>
      </c>
      <c r="M133" s="10">
        <f t="shared" si="18"/>
        <v>0.31583050471044205</v>
      </c>
      <c r="P133" s="8">
        <f t="shared" si="19"/>
        <v>27.757555022714115</v>
      </c>
      <c r="X133" s="8">
        <v>-13</v>
      </c>
    </row>
    <row r="134" spans="1:24" x14ac:dyDescent="0.2">
      <c r="A134" s="8">
        <v>66</v>
      </c>
      <c r="B134" s="8">
        <v>132</v>
      </c>
      <c r="D134">
        <v>885.21974063401001</v>
      </c>
      <c r="E134">
        <v>345.87824207492997</v>
      </c>
      <c r="F134">
        <v>140.92077087793999</v>
      </c>
      <c r="G134">
        <v>119.73304782298</v>
      </c>
      <c r="I134" s="9">
        <f t="shared" si="15"/>
        <v>226.14519425194999</v>
      </c>
      <c r="J134" s="9">
        <f t="shared" si="16"/>
        <v>744.29896975607005</v>
      </c>
      <c r="K134" s="9">
        <f t="shared" si="17"/>
        <v>226.14519425194999</v>
      </c>
      <c r="L134" s="10">
        <f t="shared" si="14"/>
        <v>0.30383650044022609</v>
      </c>
      <c r="M134" s="10">
        <f t="shared" si="18"/>
        <v>0.31037448918853172</v>
      </c>
      <c r="P134" s="8">
        <f t="shared" si="19"/>
        <v>25.550525641925503</v>
      </c>
      <c r="X134" s="8">
        <v>-13</v>
      </c>
    </row>
    <row r="135" spans="1:24" x14ac:dyDescent="0.2">
      <c r="A135" s="8">
        <v>66.5</v>
      </c>
      <c r="B135" s="8">
        <v>133</v>
      </c>
      <c r="D135">
        <v>887.30506058445997</v>
      </c>
      <c r="E135">
        <v>347.54597291518002</v>
      </c>
      <c r="F135">
        <v>141.41755888650999</v>
      </c>
      <c r="G135">
        <v>119.34403997145</v>
      </c>
      <c r="I135" s="9">
        <f t="shared" si="15"/>
        <v>228.20193294373001</v>
      </c>
      <c r="J135" s="9">
        <f t="shared" si="16"/>
        <v>745.88750169795003</v>
      </c>
      <c r="K135" s="9">
        <f t="shared" si="17"/>
        <v>228.20193294373001</v>
      </c>
      <c r="L135" s="10">
        <f t="shared" si="14"/>
        <v>0.30594685180305015</v>
      </c>
      <c r="M135" s="10">
        <f t="shared" si="18"/>
        <v>0.31253437076914597</v>
      </c>
      <c r="P135" s="8">
        <f t="shared" si="19"/>
        <v>26.424225888615922</v>
      </c>
      <c r="X135" s="8">
        <v>-13</v>
      </c>
    </row>
    <row r="136" spans="1:24" x14ac:dyDescent="0.2">
      <c r="A136" s="8">
        <v>67</v>
      </c>
      <c r="B136" s="8">
        <v>134</v>
      </c>
      <c r="D136">
        <v>892.38987883107995</v>
      </c>
      <c r="E136">
        <v>350.35851746257998</v>
      </c>
      <c r="F136">
        <v>141.18486795146001</v>
      </c>
      <c r="G136">
        <v>119.40756602427</v>
      </c>
      <c r="I136" s="9">
        <f t="shared" si="15"/>
        <v>230.95095143830997</v>
      </c>
      <c r="J136" s="9">
        <f t="shared" si="16"/>
        <v>751.20501087961998</v>
      </c>
      <c r="K136" s="9">
        <f t="shared" si="17"/>
        <v>230.95095143830997</v>
      </c>
      <c r="L136" s="10">
        <f t="shared" si="14"/>
        <v>0.30744064282515771</v>
      </c>
      <c r="M136" s="10">
        <f t="shared" si="18"/>
        <v>0.31407769200904373</v>
      </c>
      <c r="P136" s="8">
        <f t="shared" si="19"/>
        <v>27.048519442542041</v>
      </c>
      <c r="X136" s="8">
        <v>-13</v>
      </c>
    </row>
    <row r="137" spans="1:24" x14ac:dyDescent="0.2">
      <c r="A137" s="8">
        <v>67.5</v>
      </c>
      <c r="B137" s="8">
        <v>135</v>
      </c>
      <c r="D137">
        <v>845.09194583036003</v>
      </c>
      <c r="E137">
        <v>338.31218816821001</v>
      </c>
      <c r="F137">
        <v>141.08065667380001</v>
      </c>
      <c r="G137">
        <v>119.31834403997</v>
      </c>
      <c r="I137" s="9">
        <f t="shared" si="15"/>
        <v>218.99384412824003</v>
      </c>
      <c r="J137" s="9">
        <f t="shared" si="16"/>
        <v>704.01128915656</v>
      </c>
      <c r="K137" s="9">
        <f t="shared" si="17"/>
        <v>218.99384412824003</v>
      </c>
      <c r="L137" s="10">
        <f t="shared" si="14"/>
        <v>0.31106581314996434</v>
      </c>
      <c r="M137" s="10">
        <f t="shared" si="18"/>
        <v>0.31775239255164056</v>
      </c>
      <c r="P137" s="8">
        <f t="shared" si="19"/>
        <v>28.534983700303428</v>
      </c>
      <c r="X137" s="8">
        <v>-13</v>
      </c>
    </row>
    <row r="138" spans="1:24" x14ac:dyDescent="0.2">
      <c r="A138" s="8">
        <v>68</v>
      </c>
      <c r="B138" s="8">
        <v>136</v>
      </c>
      <c r="D138">
        <v>859.93300071275996</v>
      </c>
      <c r="E138">
        <v>339.83321454026998</v>
      </c>
      <c r="F138">
        <v>141.27052105639001</v>
      </c>
      <c r="G138">
        <v>119.50749464668</v>
      </c>
      <c r="I138" s="9">
        <f t="shared" si="15"/>
        <v>220.32571989358996</v>
      </c>
      <c r="J138" s="9">
        <f t="shared" si="16"/>
        <v>718.6624796563699</v>
      </c>
      <c r="K138" s="9">
        <f t="shared" si="17"/>
        <v>220.32571989358996</v>
      </c>
      <c r="L138" s="10">
        <f t="shared" si="14"/>
        <v>0.30657746317706641</v>
      </c>
      <c r="M138" s="10">
        <f t="shared" si="18"/>
        <v>0.31331357279653282</v>
      </c>
      <c r="P138" s="8">
        <f t="shared" si="19"/>
        <v>26.739423263166408</v>
      </c>
      <c r="X138" s="8">
        <v>-13</v>
      </c>
    </row>
    <row r="139" spans="1:24" x14ac:dyDescent="0.2">
      <c r="A139" s="8">
        <v>68.5</v>
      </c>
      <c r="B139" s="8">
        <v>137</v>
      </c>
      <c r="D139">
        <v>875.09337134710995</v>
      </c>
      <c r="E139">
        <v>342.82965074840001</v>
      </c>
      <c r="F139">
        <v>141.45753033547999</v>
      </c>
      <c r="G139">
        <v>119.34975017844</v>
      </c>
      <c r="I139" s="9">
        <f t="shared" si="15"/>
        <v>223.47990056996002</v>
      </c>
      <c r="J139" s="9">
        <f t="shared" si="16"/>
        <v>733.63584101162996</v>
      </c>
      <c r="K139" s="9">
        <f t="shared" si="17"/>
        <v>223.47990056996002</v>
      </c>
      <c r="L139" s="10">
        <f t="shared" si="14"/>
        <v>0.30461966015972947</v>
      </c>
      <c r="M139" s="10">
        <f t="shared" si="18"/>
        <v>0.31140529999698607</v>
      </c>
      <c r="P139" s="8">
        <f t="shared" si="19"/>
        <v>25.967502047354913</v>
      </c>
      <c r="X139" s="8">
        <v>-13</v>
      </c>
    </row>
    <row r="140" spans="1:24" x14ac:dyDescent="0.2">
      <c r="A140" s="8">
        <v>69</v>
      </c>
      <c r="B140" s="8">
        <v>138</v>
      </c>
      <c r="D140">
        <v>893.15324305060994</v>
      </c>
      <c r="E140">
        <v>346.82679971490001</v>
      </c>
      <c r="F140">
        <v>141.29050678087</v>
      </c>
      <c r="G140">
        <v>119.3426124197</v>
      </c>
      <c r="I140" s="9">
        <f t="shared" si="15"/>
        <v>227.4841872952</v>
      </c>
      <c r="J140" s="9">
        <f t="shared" si="16"/>
        <v>751.86273626973991</v>
      </c>
      <c r="K140" s="9">
        <f t="shared" si="17"/>
        <v>227.4841872952</v>
      </c>
      <c r="L140" s="10">
        <f t="shared" si="14"/>
        <v>0.30256079510447675</v>
      </c>
      <c r="M140" s="10">
        <f t="shared" si="18"/>
        <v>0.30939596515952356</v>
      </c>
      <c r="P140" s="8">
        <f t="shared" si="19"/>
        <v>25.154699920177464</v>
      </c>
      <c r="X140" s="8">
        <v>-13</v>
      </c>
    </row>
    <row r="141" spans="1:24" x14ac:dyDescent="0.2">
      <c r="A141" s="8">
        <v>69.5</v>
      </c>
      <c r="B141" s="8">
        <v>139</v>
      </c>
      <c r="D141">
        <v>879.85174625801994</v>
      </c>
      <c r="E141">
        <v>342.60299358518</v>
      </c>
      <c r="F141">
        <v>141.45610278372999</v>
      </c>
      <c r="G141">
        <v>119.5460385439</v>
      </c>
      <c r="I141" s="9">
        <f t="shared" si="15"/>
        <v>223.05695504127999</v>
      </c>
      <c r="J141" s="9">
        <f t="shared" si="16"/>
        <v>738.39564347428995</v>
      </c>
      <c r="K141" s="9">
        <f t="shared" si="17"/>
        <v>223.05695504127999</v>
      </c>
      <c r="L141" s="10">
        <f t="shared" si="14"/>
        <v>0.3020832490177694</v>
      </c>
      <c r="M141" s="10">
        <f t="shared" si="18"/>
        <v>0.30896794929060639</v>
      </c>
      <c r="P141" s="8">
        <f t="shared" si="19"/>
        <v>24.981561923346181</v>
      </c>
      <c r="X141" s="8">
        <v>-13</v>
      </c>
    </row>
    <row r="142" spans="1:24" x14ac:dyDescent="0.2">
      <c r="A142" s="8">
        <v>70</v>
      </c>
      <c r="B142" s="8">
        <v>140</v>
      </c>
      <c r="D142">
        <v>886.39130434782999</v>
      </c>
      <c r="E142">
        <v>343.45473984319</v>
      </c>
      <c r="F142">
        <v>141.02212705210999</v>
      </c>
      <c r="G142">
        <v>119.6266952177</v>
      </c>
      <c r="I142" s="9">
        <f t="shared" si="15"/>
        <v>223.82804462549001</v>
      </c>
      <c r="J142" s="9">
        <f t="shared" si="16"/>
        <v>745.36917729571996</v>
      </c>
      <c r="K142" s="9">
        <f t="shared" si="17"/>
        <v>223.82804462549001</v>
      </c>
      <c r="L142" s="10">
        <f t="shared" si="14"/>
        <v>0.30029152189732661</v>
      </c>
      <c r="M142" s="10">
        <f t="shared" si="18"/>
        <v>0.3072257523879538</v>
      </c>
      <c r="P142" s="8">
        <f t="shared" si="19"/>
        <v>24.276820572110637</v>
      </c>
      <c r="X142" s="8">
        <v>-13</v>
      </c>
    </row>
    <row r="143" spans="1:24" x14ac:dyDescent="0.2">
      <c r="A143" s="8">
        <v>70.5</v>
      </c>
      <c r="B143" s="8">
        <v>141</v>
      </c>
      <c r="D143">
        <v>925.83537023724</v>
      </c>
      <c r="E143">
        <v>357.18332135154998</v>
      </c>
      <c r="F143">
        <v>141.35260528193999</v>
      </c>
      <c r="G143">
        <v>119.30763740186001</v>
      </c>
      <c r="I143" s="9">
        <f t="shared" si="15"/>
        <v>237.87568394968997</v>
      </c>
      <c r="J143" s="9">
        <f t="shared" si="16"/>
        <v>784.48276495530001</v>
      </c>
      <c r="K143" s="9">
        <f t="shared" si="17"/>
        <v>237.87568394968997</v>
      </c>
      <c r="L143" s="10">
        <f t="shared" si="14"/>
        <v>0.30322614412471405</v>
      </c>
      <c r="M143" s="10">
        <f t="shared" si="18"/>
        <v>0.31020990483313143</v>
      </c>
      <c r="P143" s="8">
        <f t="shared" si="19"/>
        <v>25.483949125321427</v>
      </c>
      <c r="X143" s="8">
        <v>-13</v>
      </c>
    </row>
    <row r="144" spans="1:24" x14ac:dyDescent="0.2">
      <c r="A144" s="8">
        <v>71</v>
      </c>
      <c r="B144" s="8">
        <v>142</v>
      </c>
      <c r="D144">
        <v>909.48454349388999</v>
      </c>
      <c r="E144">
        <v>350.80445722501997</v>
      </c>
      <c r="F144">
        <v>141.21056388293999</v>
      </c>
      <c r="G144">
        <v>119.2341184868</v>
      </c>
      <c r="I144" s="9">
        <f t="shared" si="15"/>
        <v>231.57033873821996</v>
      </c>
      <c r="J144" s="9">
        <f t="shared" si="16"/>
        <v>768.27397961094994</v>
      </c>
      <c r="K144" s="9">
        <f t="shared" si="17"/>
        <v>231.57033873821996</v>
      </c>
      <c r="L144" s="10">
        <f t="shared" si="14"/>
        <v>0.30141635000509326</v>
      </c>
      <c r="M144" s="10">
        <f t="shared" si="18"/>
        <v>0.30844964093130084</v>
      </c>
      <c r="P144" s="8">
        <f t="shared" si="19"/>
        <v>24.771899437471294</v>
      </c>
    </row>
    <row r="145" spans="1:16" x14ac:dyDescent="0.2">
      <c r="A145" s="8">
        <v>71.5</v>
      </c>
      <c r="B145" s="8">
        <v>143</v>
      </c>
      <c r="D145">
        <v>919.07764198417999</v>
      </c>
      <c r="E145">
        <v>353.70237239395999</v>
      </c>
      <c r="F145">
        <v>140.85867237687</v>
      </c>
      <c r="G145">
        <v>118.96288365453</v>
      </c>
      <c r="I145" s="9">
        <f t="shared" si="15"/>
        <v>234.73948873942999</v>
      </c>
      <c r="J145" s="9">
        <f t="shared" si="16"/>
        <v>778.21896960730999</v>
      </c>
      <c r="K145" s="9">
        <f t="shared" si="17"/>
        <v>234.73948873942999</v>
      </c>
      <c r="L145" s="10">
        <f t="shared" si="14"/>
        <v>0.30163681162626987</v>
      </c>
      <c r="M145" s="10">
        <f t="shared" si="18"/>
        <v>0.30871963277026765</v>
      </c>
      <c r="P145" s="8">
        <f t="shared" si="19"/>
        <v>24.881114654836413</v>
      </c>
    </row>
    <row r="146" spans="1:16" x14ac:dyDescent="0.2">
      <c r="A146" s="8">
        <v>72</v>
      </c>
      <c r="B146" s="8">
        <v>144</v>
      </c>
      <c r="D146">
        <v>942.25215517240997</v>
      </c>
      <c r="E146">
        <v>360.13002873562999</v>
      </c>
      <c r="F146">
        <v>140.79871520342999</v>
      </c>
      <c r="G146">
        <v>119.12919343326</v>
      </c>
      <c r="I146" s="9">
        <f t="shared" si="15"/>
        <v>241.00083530236998</v>
      </c>
      <c r="J146" s="9">
        <f t="shared" si="16"/>
        <v>801.45343996897998</v>
      </c>
      <c r="K146" s="9">
        <f t="shared" si="17"/>
        <v>241.00083530236998</v>
      </c>
      <c r="L146" s="10">
        <f t="shared" si="14"/>
        <v>0.30070472379742713</v>
      </c>
      <c r="M146" s="10">
        <f t="shared" si="18"/>
        <v>0.3078370751592151</v>
      </c>
      <c r="P146" s="8">
        <f t="shared" si="19"/>
        <v>24.524108599774898</v>
      </c>
    </row>
    <row r="147" spans="1:16" x14ac:dyDescent="0.2">
      <c r="A147" s="8">
        <v>72.5</v>
      </c>
      <c r="B147" s="8">
        <v>145</v>
      </c>
      <c r="D147">
        <v>949.65660919540005</v>
      </c>
      <c r="E147">
        <v>361.82830459770003</v>
      </c>
      <c r="F147">
        <v>141.06852248394</v>
      </c>
      <c r="G147">
        <v>118.87366167024</v>
      </c>
      <c r="I147" s="9">
        <f t="shared" si="15"/>
        <v>242.95464292746004</v>
      </c>
      <c r="J147" s="9">
        <f t="shared" si="16"/>
        <v>808.58808671146005</v>
      </c>
      <c r="K147" s="9">
        <f t="shared" si="17"/>
        <v>242.95464292746004</v>
      </c>
      <c r="L147" s="10">
        <f t="shared" si="14"/>
        <v>0.30046774979774959</v>
      </c>
      <c r="M147" s="10">
        <f t="shared" si="18"/>
        <v>0.30764963137732776</v>
      </c>
      <c r="P147" s="8">
        <f t="shared" si="19"/>
        <v>24.448285147255351</v>
      </c>
    </row>
    <row r="148" spans="1:16" x14ac:dyDescent="0.2">
      <c r="A148" s="8">
        <v>73</v>
      </c>
      <c r="B148" s="8">
        <v>146</v>
      </c>
      <c r="D148">
        <v>940.07614942529005</v>
      </c>
      <c r="E148">
        <v>355.90732758620999</v>
      </c>
      <c r="F148">
        <v>141.00356887936999</v>
      </c>
      <c r="G148">
        <v>119.10492505353</v>
      </c>
      <c r="I148" s="9">
        <f t="shared" si="15"/>
        <v>236.80240253267999</v>
      </c>
      <c r="J148" s="9">
        <f t="shared" si="16"/>
        <v>799.07258054592012</v>
      </c>
      <c r="K148" s="9">
        <f t="shared" si="17"/>
        <v>236.80240253267999</v>
      </c>
      <c r="L148" s="10">
        <f t="shared" si="14"/>
        <v>0.29634655011050243</v>
      </c>
      <c r="M148" s="10">
        <f t="shared" si="18"/>
        <v>0.30357796190787079</v>
      </c>
      <c r="P148" s="8">
        <f t="shared" si="19"/>
        <v>22.801241785324972</v>
      </c>
    </row>
    <row r="149" spans="1:16" x14ac:dyDescent="0.2">
      <c r="A149" s="8">
        <v>73.5</v>
      </c>
      <c r="B149" s="8">
        <v>147</v>
      </c>
      <c r="D149">
        <v>934.50462633452003</v>
      </c>
      <c r="E149">
        <v>353.31814946618999</v>
      </c>
      <c r="F149">
        <v>140.97787294789001</v>
      </c>
      <c r="G149">
        <v>119.20271234832001</v>
      </c>
      <c r="I149" s="9">
        <f t="shared" si="15"/>
        <v>234.11543711786999</v>
      </c>
      <c r="J149" s="9">
        <f t="shared" si="16"/>
        <v>793.52675338663005</v>
      </c>
      <c r="K149" s="9">
        <f t="shared" si="17"/>
        <v>234.11543711786999</v>
      </c>
      <c r="L149" s="10">
        <f t="shared" si="14"/>
        <v>0.29503156146747067</v>
      </c>
      <c r="M149" s="10">
        <f t="shared" si="18"/>
        <v>0.30231250348262917</v>
      </c>
      <c r="P149" s="8">
        <f t="shared" si="19"/>
        <v>22.289347361003973</v>
      </c>
    </row>
    <row r="150" spans="1:16" x14ac:dyDescent="0.2">
      <c r="A150" s="8">
        <v>74</v>
      </c>
      <c r="B150" s="8">
        <v>148</v>
      </c>
      <c r="D150">
        <v>932.05978647687004</v>
      </c>
      <c r="E150">
        <v>353.04555160142002</v>
      </c>
      <c r="F150">
        <v>141.15346181299</v>
      </c>
      <c r="G150">
        <v>118.99857244825</v>
      </c>
      <c r="I150" s="9">
        <f t="shared" si="15"/>
        <v>234.04697915317001</v>
      </c>
      <c r="J150" s="9">
        <f t="shared" si="16"/>
        <v>790.90632466388001</v>
      </c>
      <c r="K150" s="9">
        <f t="shared" si="17"/>
        <v>234.04697915317001</v>
      </c>
      <c r="L150" s="10">
        <f t="shared" si="14"/>
        <v>0.2959225028989817</v>
      </c>
      <c r="M150" s="10">
        <f t="shared" si="18"/>
        <v>0.30325297513193039</v>
      </c>
      <c r="P150" s="8">
        <f t="shared" si="19"/>
        <v>22.669780399266255</v>
      </c>
    </row>
    <row r="151" spans="1:16" x14ac:dyDescent="0.2">
      <c r="A151" s="8">
        <v>74.5</v>
      </c>
      <c r="B151" s="8">
        <v>149</v>
      </c>
      <c r="D151">
        <v>935.79359430604995</v>
      </c>
      <c r="E151">
        <v>352.25693950177998</v>
      </c>
      <c r="F151">
        <v>141.01713062099</v>
      </c>
      <c r="G151">
        <v>119.00428265524999</v>
      </c>
      <c r="I151" s="9">
        <f t="shared" si="15"/>
        <v>233.25265684652999</v>
      </c>
      <c r="J151" s="9">
        <f t="shared" si="16"/>
        <v>794.77646368505998</v>
      </c>
      <c r="K151" s="9">
        <f t="shared" si="17"/>
        <v>233.25265684652999</v>
      </c>
      <c r="L151" s="10">
        <f t="shared" si="14"/>
        <v>0.29348208899522626</v>
      </c>
      <c r="M151" s="10">
        <f t="shared" si="18"/>
        <v>0.30086209144596515</v>
      </c>
      <c r="P151" s="8">
        <f t="shared" si="19"/>
        <v>21.702636790568107</v>
      </c>
    </row>
    <row r="152" spans="1:16" x14ac:dyDescent="0.2">
      <c r="A152" s="8">
        <v>75</v>
      </c>
      <c r="B152" s="8">
        <v>150</v>
      </c>
      <c r="D152">
        <v>931.24555160141995</v>
      </c>
      <c r="E152">
        <v>347.15373665480001</v>
      </c>
      <c r="F152">
        <v>141.24197002141</v>
      </c>
      <c r="G152">
        <v>118.95788722341</v>
      </c>
      <c r="I152" s="9">
        <f t="shared" si="15"/>
        <v>228.19584943139</v>
      </c>
      <c r="J152" s="9">
        <f t="shared" si="16"/>
        <v>790.00358158000995</v>
      </c>
      <c r="K152" s="9">
        <f t="shared" si="17"/>
        <v>228.19584943139</v>
      </c>
      <c r="L152" s="10">
        <f t="shared" si="14"/>
        <v>0.28885419604680462</v>
      </c>
      <c r="M152" s="10">
        <f t="shared" si="18"/>
        <v>0.29628372871533371</v>
      </c>
      <c r="P152" s="8">
        <f t="shared" si="19"/>
        <v>19.850629401323506</v>
      </c>
    </row>
    <row r="153" spans="1:16" x14ac:dyDescent="0.2">
      <c r="A153" s="8">
        <v>75.5</v>
      </c>
      <c r="B153" s="8">
        <v>151</v>
      </c>
      <c r="D153">
        <v>936.60213523131995</v>
      </c>
      <c r="E153">
        <v>345.51530249109999</v>
      </c>
      <c r="F153">
        <v>141.12633832975999</v>
      </c>
      <c r="G153">
        <v>119.62740899358</v>
      </c>
      <c r="I153" s="9">
        <f t="shared" si="15"/>
        <v>225.88789349752</v>
      </c>
      <c r="J153" s="9">
        <f t="shared" si="16"/>
        <v>795.47579690155999</v>
      </c>
      <c r="K153" s="9">
        <f t="shared" si="17"/>
        <v>225.88789349752</v>
      </c>
      <c r="L153" s="10">
        <f t="shared" si="14"/>
        <v>0.28396576536630136</v>
      </c>
      <c r="M153" s="10">
        <f t="shared" si="18"/>
        <v>0.29144482825262064</v>
      </c>
      <c r="P153" s="8">
        <f t="shared" si="19"/>
        <v>17.893231104153696</v>
      </c>
    </row>
    <row r="154" spans="1:16" x14ac:dyDescent="0.2">
      <c r="A154" s="8">
        <v>76</v>
      </c>
      <c r="B154" s="8">
        <v>152</v>
      </c>
      <c r="D154">
        <v>938.30391459074997</v>
      </c>
      <c r="E154">
        <v>342.58718861210002</v>
      </c>
      <c r="F154">
        <v>140.88722341184999</v>
      </c>
      <c r="G154">
        <v>119.40256959315001</v>
      </c>
      <c r="I154" s="9">
        <f t="shared" si="15"/>
        <v>223.18461901895</v>
      </c>
      <c r="J154" s="9">
        <f t="shared" si="16"/>
        <v>797.41669117890001</v>
      </c>
      <c r="K154" s="9">
        <f t="shared" si="17"/>
        <v>223.18461901895</v>
      </c>
      <c r="L154" s="10">
        <f t="shared" si="14"/>
        <v>0.27988455908666032</v>
      </c>
      <c r="M154" s="10">
        <f t="shared" si="18"/>
        <v>0.28741315219076979</v>
      </c>
      <c r="P154" s="8">
        <f t="shared" si="19"/>
        <v>16.26236559678955</v>
      </c>
    </row>
    <row r="155" spans="1:16" x14ac:dyDescent="0.2">
      <c r="A155" s="8">
        <v>76.5</v>
      </c>
      <c r="B155" s="8">
        <v>153</v>
      </c>
      <c r="D155">
        <v>940.82704626334998</v>
      </c>
      <c r="E155">
        <v>342.99217081850998</v>
      </c>
      <c r="F155">
        <v>141.01427551749001</v>
      </c>
      <c r="G155">
        <v>118.83654532477</v>
      </c>
      <c r="I155" s="9">
        <f t="shared" si="15"/>
        <v>224.15562549373999</v>
      </c>
      <c r="J155" s="9">
        <f t="shared" si="16"/>
        <v>799.81277074586001</v>
      </c>
      <c r="K155" s="9">
        <f t="shared" si="17"/>
        <v>224.15562549373999</v>
      </c>
      <c r="L155" s="10">
        <f t="shared" si="14"/>
        <v>0.28026012298441444</v>
      </c>
      <c r="M155" s="10">
        <f t="shared" si="18"/>
        <v>0.28783824630631411</v>
      </c>
      <c r="P155" s="8">
        <f t="shared" si="19"/>
        <v>16.434321706305557</v>
      </c>
    </row>
    <row r="156" spans="1:16" x14ac:dyDescent="0.2">
      <c r="A156" s="8">
        <v>77</v>
      </c>
      <c r="B156" s="8">
        <v>154</v>
      </c>
      <c r="D156">
        <v>938.77864768683003</v>
      </c>
      <c r="E156">
        <v>341.12811387900001</v>
      </c>
      <c r="F156">
        <v>141.10349750178</v>
      </c>
      <c r="G156">
        <v>119.10064239829001</v>
      </c>
      <c r="I156" s="9">
        <f t="shared" si="15"/>
        <v>222.02747148071001</v>
      </c>
      <c r="J156" s="9">
        <f t="shared" si="16"/>
        <v>797.67515018505003</v>
      </c>
      <c r="K156" s="9">
        <f t="shared" si="17"/>
        <v>222.02747148071001</v>
      </c>
      <c r="L156" s="10">
        <f t="shared" si="14"/>
        <v>0.27834322208633749</v>
      </c>
      <c r="M156" s="10">
        <f t="shared" si="18"/>
        <v>0.28597087562602735</v>
      </c>
      <c r="P156" s="8">
        <f t="shared" si="19"/>
        <v>15.678945930766513</v>
      </c>
    </row>
    <row r="157" spans="1:16" x14ac:dyDescent="0.2">
      <c r="A157" s="8">
        <v>77.5</v>
      </c>
      <c r="B157" s="8">
        <v>155</v>
      </c>
      <c r="D157">
        <v>983.76051318603004</v>
      </c>
      <c r="E157">
        <v>351.15538132572999</v>
      </c>
      <c r="F157">
        <v>140.93433261956</v>
      </c>
      <c r="G157">
        <v>119.1113490364</v>
      </c>
      <c r="I157" s="9">
        <f t="shared" si="15"/>
        <v>232.04403228933</v>
      </c>
      <c r="J157" s="9">
        <f t="shared" si="16"/>
        <v>842.82618056647004</v>
      </c>
      <c r="K157" s="9">
        <f t="shared" si="17"/>
        <v>232.04403228933</v>
      </c>
      <c r="L157" s="10">
        <f t="shared" si="14"/>
        <v>0.27531659272066206</v>
      </c>
      <c r="M157" s="10">
        <f t="shared" si="18"/>
        <v>0.28299377647814211</v>
      </c>
      <c r="P157" s="8">
        <f t="shared" si="19"/>
        <v>14.47467052822827</v>
      </c>
    </row>
    <row r="158" spans="1:16" x14ac:dyDescent="0.2">
      <c r="A158" s="8">
        <v>78</v>
      </c>
      <c r="B158" s="8">
        <v>156</v>
      </c>
      <c r="D158">
        <v>980.89719626168005</v>
      </c>
      <c r="E158">
        <v>346.89503953989998</v>
      </c>
      <c r="F158">
        <v>141.44325481799001</v>
      </c>
      <c r="G158">
        <v>118.99214846538</v>
      </c>
      <c r="I158" s="9">
        <f t="shared" si="15"/>
        <v>227.90289107451997</v>
      </c>
      <c r="J158" s="9">
        <f t="shared" si="16"/>
        <v>839.45394144369004</v>
      </c>
      <c r="K158" s="9">
        <f t="shared" si="17"/>
        <v>227.90289107451997</v>
      </c>
      <c r="L158" s="10">
        <f t="shared" si="14"/>
        <v>0.27148945263461788</v>
      </c>
      <c r="M158" s="10">
        <f t="shared" si="18"/>
        <v>0.27921616660988813</v>
      </c>
      <c r="P158" s="8">
        <f t="shared" si="19"/>
        <v>12.946578107135895</v>
      </c>
    </row>
    <row r="159" spans="1:16" x14ac:dyDescent="0.2">
      <c r="A159" s="8">
        <v>78.5</v>
      </c>
      <c r="B159" s="8">
        <v>157</v>
      </c>
      <c r="D159">
        <v>966.35873472321998</v>
      </c>
      <c r="E159">
        <v>337.85909417685002</v>
      </c>
      <c r="F159">
        <v>141.13704496788</v>
      </c>
      <c r="G159">
        <v>118.75446109921999</v>
      </c>
      <c r="I159" s="9">
        <f t="shared" si="15"/>
        <v>219.10463307763001</v>
      </c>
      <c r="J159" s="9">
        <f t="shared" si="16"/>
        <v>825.22168975533998</v>
      </c>
      <c r="K159" s="9">
        <f t="shared" si="17"/>
        <v>219.10463307763001</v>
      </c>
      <c r="L159" s="10">
        <f t="shared" si="14"/>
        <v>0.26551002693905162</v>
      </c>
      <c r="M159" s="10">
        <f t="shared" si="18"/>
        <v>0.27328627113211207</v>
      </c>
      <c r="P159" s="8">
        <f t="shared" si="19"/>
        <v>10.547858108649724</v>
      </c>
    </row>
    <row r="160" spans="1:16" x14ac:dyDescent="0.2">
      <c r="A160" s="8">
        <v>79</v>
      </c>
      <c r="B160" s="8">
        <v>158</v>
      </c>
      <c r="D160">
        <v>954.89267945984</v>
      </c>
      <c r="E160">
        <v>334.77967306326002</v>
      </c>
      <c r="F160">
        <v>141.03426124197</v>
      </c>
      <c r="G160">
        <v>119.00499643112001</v>
      </c>
      <c r="I160" s="9">
        <f t="shared" si="15"/>
        <v>215.77467663214003</v>
      </c>
      <c r="J160" s="9">
        <f t="shared" si="16"/>
        <v>813.85841821786994</v>
      </c>
      <c r="K160" s="9">
        <f t="shared" si="17"/>
        <v>215.77467663214003</v>
      </c>
      <c r="L160" s="10">
        <f t="shared" si="14"/>
        <v>0.2651255695119899</v>
      </c>
      <c r="M160" s="10">
        <f t="shared" si="18"/>
        <v>0.27295134392284054</v>
      </c>
      <c r="P160" s="8">
        <f t="shared" si="19"/>
        <v>10.412375687765961</v>
      </c>
    </row>
    <row r="161" spans="1:16" x14ac:dyDescent="0.2">
      <c r="A161" s="8">
        <v>79.5</v>
      </c>
      <c r="B161" s="8">
        <v>159</v>
      </c>
      <c r="D161">
        <v>967.89125799574003</v>
      </c>
      <c r="E161">
        <v>335.77967306326002</v>
      </c>
      <c r="F161">
        <v>140.83868665239001</v>
      </c>
      <c r="G161">
        <v>119.22341184868</v>
      </c>
      <c r="I161" s="9">
        <f t="shared" si="15"/>
        <v>216.55626121458002</v>
      </c>
      <c r="J161" s="9">
        <f t="shared" si="16"/>
        <v>827.05257134335</v>
      </c>
      <c r="K161" s="9">
        <f t="shared" si="17"/>
        <v>216.55626121458002</v>
      </c>
      <c r="L161" s="10">
        <f t="shared" si="14"/>
        <v>0.26184098655643612</v>
      </c>
      <c r="M161" s="10">
        <f t="shared" si="18"/>
        <v>0.26971629118507695</v>
      </c>
      <c r="P161" s="8">
        <f t="shared" si="19"/>
        <v>9.1037546964999798</v>
      </c>
    </row>
    <row r="162" spans="1:16" x14ac:dyDescent="0.2">
      <c r="A162" s="8">
        <v>80</v>
      </c>
      <c r="B162" s="4">
        <v>160</v>
      </c>
      <c r="C162" s="4" t="s">
        <v>6</v>
      </c>
      <c r="D162">
        <v>944.94598436390004</v>
      </c>
      <c r="E162">
        <v>326.47903340441002</v>
      </c>
      <c r="F162">
        <v>140.43254817987</v>
      </c>
      <c r="G162">
        <v>118.98929336188</v>
      </c>
      <c r="H162" s="4"/>
      <c r="I162" s="5">
        <f t="shared" si="15"/>
        <v>207.48974004253</v>
      </c>
      <c r="J162" s="5">
        <f t="shared" si="16"/>
        <v>804.51343618403007</v>
      </c>
      <c r="K162" s="9">
        <f t="shared" si="17"/>
        <v>207.48974004253</v>
      </c>
      <c r="L162" s="6">
        <f t="shared" si="14"/>
        <v>0.25790711591679039</v>
      </c>
      <c r="M162" s="6">
        <f t="shared" si="18"/>
        <v>0.26583195076322141</v>
      </c>
      <c r="N162" s="4"/>
      <c r="O162" s="4"/>
      <c r="P162" s="4">
        <f t="shared" si="19"/>
        <v>7.5324883755752996</v>
      </c>
    </row>
    <row r="163" spans="1:16" x14ac:dyDescent="0.2">
      <c r="A163" s="8">
        <v>80.5</v>
      </c>
      <c r="B163" s="8">
        <v>161</v>
      </c>
      <c r="D163">
        <v>969.45060412224996</v>
      </c>
      <c r="E163">
        <v>332.22814498934002</v>
      </c>
      <c r="F163">
        <v>141.03140613847</v>
      </c>
      <c r="G163">
        <v>118.68879371877</v>
      </c>
      <c r="I163" s="9">
        <f t="shared" si="15"/>
        <v>213.53935127057002</v>
      </c>
      <c r="J163" s="9">
        <f t="shared" si="16"/>
        <v>828.4191979837799</v>
      </c>
      <c r="K163" s="9">
        <f t="shared" si="17"/>
        <v>213.53935127057002</v>
      </c>
      <c r="L163" s="10">
        <f t="shared" si="14"/>
        <v>0.25776726540172606</v>
      </c>
      <c r="M163" s="10">
        <f t="shared" si="18"/>
        <v>0.26574163046594729</v>
      </c>
      <c r="P163" s="8">
        <f t="shared" si="19"/>
        <v>7.495952638284038</v>
      </c>
    </row>
    <row r="164" spans="1:16" x14ac:dyDescent="0.2">
      <c r="A164" s="8">
        <v>81</v>
      </c>
      <c r="B164" s="8">
        <v>162</v>
      </c>
      <c r="D164">
        <v>958.73134328358003</v>
      </c>
      <c r="E164">
        <v>327.40867093105999</v>
      </c>
      <c r="F164">
        <v>140.78372591006001</v>
      </c>
      <c r="G164">
        <v>118.97430406852</v>
      </c>
      <c r="I164" s="9">
        <f t="shared" si="15"/>
        <v>208.43436686254</v>
      </c>
      <c r="J164" s="9">
        <f t="shared" si="16"/>
        <v>817.94761737351996</v>
      </c>
      <c r="K164" s="9">
        <f t="shared" si="17"/>
        <v>208.43436686254</v>
      </c>
      <c r="L164" s="10">
        <f t="shared" si="14"/>
        <v>0.25482605784932238</v>
      </c>
      <c r="M164" s="10">
        <f t="shared" si="18"/>
        <v>0.2628499531313338</v>
      </c>
      <c r="P164" s="8">
        <f t="shared" si="19"/>
        <v>6.3262314724216093</v>
      </c>
    </row>
    <row r="165" spans="1:16" x14ac:dyDescent="0.2">
      <c r="A165" s="8">
        <v>81.5</v>
      </c>
      <c r="B165" s="8">
        <v>163</v>
      </c>
      <c r="D165">
        <v>968.15636105188003</v>
      </c>
      <c r="E165">
        <v>323.35323383085</v>
      </c>
      <c r="F165">
        <v>140.3119200571</v>
      </c>
      <c r="G165">
        <v>119.19057815846</v>
      </c>
      <c r="I165" s="9">
        <f t="shared" si="15"/>
        <v>204.16265567239</v>
      </c>
      <c r="J165" s="9">
        <f t="shared" si="16"/>
        <v>827.84444099478003</v>
      </c>
      <c r="K165" s="9">
        <f t="shared" si="17"/>
        <v>204.16265567239</v>
      </c>
      <c r="L165" s="10">
        <f t="shared" si="14"/>
        <v>0.24661958885301902</v>
      </c>
      <c r="M165" s="10">
        <f t="shared" si="18"/>
        <v>0.25469301435282066</v>
      </c>
      <c r="P165" s="8">
        <f t="shared" si="19"/>
        <v>3.0266434362114096</v>
      </c>
    </row>
    <row r="166" spans="1:16" x14ac:dyDescent="0.2">
      <c r="A166" s="8">
        <v>82</v>
      </c>
      <c r="B166" s="8">
        <v>164</v>
      </c>
      <c r="D166">
        <v>987.27075812273995</v>
      </c>
      <c r="E166">
        <v>325.08231046931002</v>
      </c>
      <c r="F166">
        <v>140.23768736617001</v>
      </c>
      <c r="G166">
        <v>119.09778729479</v>
      </c>
      <c r="I166" s="9">
        <f t="shared" si="15"/>
        <v>205.98452317452001</v>
      </c>
      <c r="J166" s="9">
        <f t="shared" si="16"/>
        <v>847.03307075656994</v>
      </c>
      <c r="K166" s="9">
        <f t="shared" si="17"/>
        <v>205.98452317452001</v>
      </c>
      <c r="L166" s="10">
        <f t="shared" si="14"/>
        <v>0.24318356659974874</v>
      </c>
      <c r="M166" s="10">
        <f t="shared" si="18"/>
        <v>0.25130652231734057</v>
      </c>
      <c r="P166" s="8">
        <f t="shared" si="19"/>
        <v>1.6567632754793442</v>
      </c>
    </row>
    <row r="167" spans="1:16" x14ac:dyDescent="0.2">
      <c r="A167" s="8">
        <v>82.5</v>
      </c>
      <c r="B167" s="8">
        <v>165</v>
      </c>
      <c r="D167">
        <v>981.80216606498004</v>
      </c>
      <c r="E167">
        <v>322.09963898916999</v>
      </c>
      <c r="F167">
        <v>140.79229122056</v>
      </c>
      <c r="G167">
        <v>118.9664525339</v>
      </c>
      <c r="I167" s="9">
        <f t="shared" si="15"/>
        <v>203.13318645526999</v>
      </c>
      <c r="J167" s="9">
        <f t="shared" si="16"/>
        <v>841.00987484441998</v>
      </c>
      <c r="K167" s="9">
        <f t="shared" si="17"/>
        <v>203.13318645526999</v>
      </c>
      <c r="L167" s="10">
        <f t="shared" si="14"/>
        <v>0.2415348410657461</v>
      </c>
      <c r="M167" s="10">
        <f t="shared" si="18"/>
        <v>0.24970732700112813</v>
      </c>
      <c r="P167" s="8">
        <f t="shared" si="19"/>
        <v>1.0098679295393074</v>
      </c>
    </row>
    <row r="168" spans="1:16" x14ac:dyDescent="0.2">
      <c r="A168" s="8">
        <v>83</v>
      </c>
      <c r="B168" s="8">
        <v>166</v>
      </c>
      <c r="D168">
        <v>953.43032490974997</v>
      </c>
      <c r="E168">
        <v>312.09241877255999</v>
      </c>
      <c r="F168">
        <v>140.9971448965</v>
      </c>
      <c r="G168">
        <v>118.98786581013999</v>
      </c>
      <c r="I168" s="9">
        <f t="shared" si="15"/>
        <v>193.10455296242</v>
      </c>
      <c r="J168" s="9">
        <f t="shared" si="16"/>
        <v>812.43318001324997</v>
      </c>
      <c r="K168" s="9">
        <f t="shared" si="17"/>
        <v>193.10455296242</v>
      </c>
      <c r="L168" s="10">
        <f t="shared" si="14"/>
        <v>0.23768668945705868</v>
      </c>
      <c r="M168" s="10">
        <f t="shared" si="18"/>
        <v>0.2459087056102309</v>
      </c>
      <c r="P168" s="8">
        <f t="shared" si="19"/>
        <v>-0.52672392628204368</v>
      </c>
    </row>
    <row r="169" spans="1:16" x14ac:dyDescent="0.2">
      <c r="A169" s="8">
        <v>83.5</v>
      </c>
      <c r="B169" s="8">
        <v>167</v>
      </c>
      <c r="D169">
        <v>943.90662865289005</v>
      </c>
      <c r="E169">
        <v>310.83250178190002</v>
      </c>
      <c r="F169">
        <v>140.62169878658</v>
      </c>
      <c r="G169">
        <v>118.99571734475001</v>
      </c>
      <c r="I169" s="9">
        <f t="shared" si="15"/>
        <v>191.83678443715002</v>
      </c>
      <c r="J169" s="9">
        <f t="shared" si="16"/>
        <v>803.28492986630999</v>
      </c>
      <c r="K169" s="9">
        <f t="shared" si="17"/>
        <v>191.83678443715002</v>
      </c>
      <c r="L169" s="10">
        <f t="shared" si="14"/>
        <v>0.23881536588651955</v>
      </c>
      <c r="M169" s="10">
        <f t="shared" si="18"/>
        <v>0.24708691225748197</v>
      </c>
      <c r="P169" s="8">
        <f t="shared" si="19"/>
        <v>-5.012398321349873E-2</v>
      </c>
    </row>
    <row r="170" spans="1:16" x14ac:dyDescent="0.2">
      <c r="A170" s="8">
        <v>84</v>
      </c>
      <c r="B170" s="8">
        <v>168</v>
      </c>
      <c r="D170">
        <v>901.84779516359004</v>
      </c>
      <c r="E170">
        <v>298.94096728306999</v>
      </c>
      <c r="F170">
        <v>141.04354032833999</v>
      </c>
      <c r="G170">
        <v>119.02426837973</v>
      </c>
      <c r="I170" s="9">
        <f t="shared" si="15"/>
        <v>179.91669890333998</v>
      </c>
      <c r="J170" s="9">
        <f t="shared" si="16"/>
        <v>760.80425483525005</v>
      </c>
      <c r="K170" s="9">
        <f t="shared" si="17"/>
        <v>179.91669890333998</v>
      </c>
      <c r="L170" s="10">
        <f t="shared" si="14"/>
        <v>0.23648224593893788</v>
      </c>
      <c r="M170" s="10">
        <f t="shared" si="18"/>
        <v>0.24480332252769049</v>
      </c>
      <c r="P170" s="8">
        <f t="shared" si="19"/>
        <v>-0.97386578839668281</v>
      </c>
    </row>
    <row r="171" spans="1:16" x14ac:dyDescent="0.2">
      <c r="A171" s="8">
        <v>84.5</v>
      </c>
      <c r="B171" s="8">
        <v>169</v>
      </c>
      <c r="D171">
        <v>908.38264580370003</v>
      </c>
      <c r="E171">
        <v>298.43029871977001</v>
      </c>
      <c r="F171">
        <v>140.96359743041</v>
      </c>
      <c r="G171">
        <v>118.83868665239</v>
      </c>
      <c r="I171" s="9">
        <f t="shared" si="15"/>
        <v>179.59161206738003</v>
      </c>
      <c r="J171" s="9">
        <f t="shared" si="16"/>
        <v>767.41904837329002</v>
      </c>
      <c r="K171" s="9">
        <f t="shared" si="17"/>
        <v>179.59161206738003</v>
      </c>
      <c r="L171" s="10">
        <f t="shared" si="14"/>
        <v>0.23402026891052957</v>
      </c>
      <c r="M171" s="10">
        <f t="shared" si="18"/>
        <v>0.24239087571707238</v>
      </c>
      <c r="P171" s="8">
        <f t="shared" si="19"/>
        <v>-1.9497319620251121</v>
      </c>
    </row>
    <row r="172" spans="1:16" x14ac:dyDescent="0.2">
      <c r="A172" s="8">
        <v>85</v>
      </c>
      <c r="B172" s="8">
        <v>170</v>
      </c>
      <c r="D172">
        <v>910.46017069700997</v>
      </c>
      <c r="E172">
        <v>295.06899004267001</v>
      </c>
      <c r="F172">
        <v>140.96074232691001</v>
      </c>
      <c r="G172">
        <v>119.1948608137</v>
      </c>
      <c r="I172" s="9">
        <f t="shared" si="15"/>
        <v>175.87412922896999</v>
      </c>
      <c r="J172" s="9">
        <f t="shared" si="16"/>
        <v>769.49942837009996</v>
      </c>
      <c r="K172" s="9">
        <f t="shared" si="17"/>
        <v>175.87412922896999</v>
      </c>
      <c r="L172" s="10">
        <f t="shared" si="14"/>
        <v>0.22855654305227271</v>
      </c>
      <c r="M172" s="10">
        <f t="shared" si="18"/>
        <v>0.23697668007660572</v>
      </c>
      <c r="P172" s="8">
        <f t="shared" si="19"/>
        <v>-4.1398446557778046</v>
      </c>
    </row>
    <row r="173" spans="1:16" x14ac:dyDescent="0.2">
      <c r="A173" s="8">
        <v>85.5</v>
      </c>
      <c r="B173" s="8">
        <v>171</v>
      </c>
      <c r="D173">
        <v>918.24822190611997</v>
      </c>
      <c r="E173">
        <v>296.25106685633</v>
      </c>
      <c r="F173">
        <v>141.07994289793001</v>
      </c>
      <c r="G173">
        <v>119.1142041399</v>
      </c>
      <c r="I173" s="9">
        <f t="shared" si="15"/>
        <v>177.13686271643002</v>
      </c>
      <c r="J173" s="9">
        <f t="shared" si="16"/>
        <v>777.16827900818998</v>
      </c>
      <c r="K173" s="9">
        <f t="shared" si="17"/>
        <v>177.13686271643002</v>
      </c>
      <c r="L173" s="10">
        <f t="shared" si="14"/>
        <v>0.22792600714801345</v>
      </c>
      <c r="M173" s="10">
        <f t="shared" si="18"/>
        <v>0.23639567439013665</v>
      </c>
      <c r="P173" s="8">
        <f t="shared" si="19"/>
        <v>-4.374869027554797</v>
      </c>
    </row>
    <row r="174" spans="1:16" x14ac:dyDescent="0.2">
      <c r="A174" s="8">
        <v>86</v>
      </c>
      <c r="B174" s="8">
        <v>172</v>
      </c>
      <c r="D174">
        <v>854.85277382645995</v>
      </c>
      <c r="E174">
        <v>280.42460881935</v>
      </c>
      <c r="F174">
        <v>141.36473947181</v>
      </c>
      <c r="G174">
        <v>118.82869379015</v>
      </c>
      <c r="I174" s="9">
        <f t="shared" si="15"/>
        <v>161.5959150292</v>
      </c>
      <c r="J174" s="9">
        <f t="shared" si="16"/>
        <v>713.48803435464993</v>
      </c>
      <c r="K174" s="9">
        <f t="shared" si="17"/>
        <v>161.5959150292</v>
      </c>
      <c r="L174" s="10">
        <f t="shared" si="14"/>
        <v>0.22648721106495295</v>
      </c>
      <c r="M174" s="10">
        <f t="shared" si="18"/>
        <v>0.23500640852486632</v>
      </c>
      <c r="P174" s="8">
        <f t="shared" si="19"/>
        <v>-4.9368451748119382</v>
      </c>
    </row>
    <row r="175" spans="1:16" x14ac:dyDescent="0.2">
      <c r="A175" s="8">
        <v>86.5</v>
      </c>
      <c r="B175" s="8">
        <v>173</v>
      </c>
      <c r="D175">
        <v>855.94096728306999</v>
      </c>
      <c r="E175">
        <v>276.65931721195</v>
      </c>
      <c r="F175">
        <v>141.05924339756999</v>
      </c>
      <c r="G175">
        <v>119.09136331192001</v>
      </c>
      <c r="I175" s="9">
        <f t="shared" si="15"/>
        <v>157.56795390002998</v>
      </c>
      <c r="J175" s="9">
        <f t="shared" si="16"/>
        <v>714.88172388550004</v>
      </c>
      <c r="K175" s="9">
        <f t="shared" si="17"/>
        <v>157.56795390002998</v>
      </c>
      <c r="L175" s="10">
        <f t="shared" si="14"/>
        <v>0.22041122137466623</v>
      </c>
      <c r="M175" s="10">
        <f t="shared" si="18"/>
        <v>0.22897994905236979</v>
      </c>
      <c r="P175" s="8">
        <f t="shared" si="19"/>
        <v>-7.374626567573574</v>
      </c>
    </row>
    <row r="176" spans="1:16" x14ac:dyDescent="0.2">
      <c r="A176" s="8">
        <v>87</v>
      </c>
      <c r="B176" s="8">
        <v>174</v>
      </c>
      <c r="D176">
        <v>927.32005689899995</v>
      </c>
      <c r="E176">
        <v>288.97652916073997</v>
      </c>
      <c r="F176">
        <v>141.01498929336</v>
      </c>
      <c r="G176">
        <v>119.35260528194</v>
      </c>
      <c r="I176" s="9">
        <f t="shared" si="15"/>
        <v>169.62392387879999</v>
      </c>
      <c r="J176" s="9">
        <f t="shared" si="16"/>
        <v>786.30506760563992</v>
      </c>
      <c r="K176" s="9">
        <f t="shared" si="17"/>
        <v>169.62392387879999</v>
      </c>
      <c r="L176" s="10">
        <f t="shared" si="14"/>
        <v>0.21572279114939197</v>
      </c>
      <c r="M176" s="10">
        <f t="shared" si="18"/>
        <v>0.22434104904488572</v>
      </c>
      <c r="P176" s="8">
        <f t="shared" si="19"/>
        <v>-9.2511220742199924</v>
      </c>
    </row>
    <row r="177" spans="1:16" x14ac:dyDescent="0.2">
      <c r="A177" s="8">
        <v>87.5</v>
      </c>
      <c r="B177" s="8">
        <v>175</v>
      </c>
      <c r="D177">
        <v>902.59552992068996</v>
      </c>
      <c r="E177">
        <v>280.83633741889003</v>
      </c>
      <c r="F177">
        <v>140.44539614561</v>
      </c>
      <c r="G177">
        <v>118.94789436117</v>
      </c>
      <c r="I177" s="9">
        <f t="shared" si="15"/>
        <v>161.88844305772002</v>
      </c>
      <c r="J177" s="9">
        <f t="shared" si="16"/>
        <v>762.15013377507989</v>
      </c>
      <c r="K177" s="9">
        <f t="shared" si="17"/>
        <v>161.88844305772002</v>
      </c>
      <c r="L177" s="10">
        <f t="shared" si="14"/>
        <v>0.21241017469334375</v>
      </c>
      <c r="M177" s="10">
        <f t="shared" si="18"/>
        <v>0.2210779628066277</v>
      </c>
      <c r="P177" s="8">
        <f t="shared" si="19"/>
        <v>-10.571082981765372</v>
      </c>
    </row>
    <row r="178" spans="1:16" x14ac:dyDescent="0.2">
      <c r="A178" s="8">
        <v>88</v>
      </c>
      <c r="B178" s="8">
        <v>176</v>
      </c>
      <c r="D178">
        <v>922.16798846431004</v>
      </c>
      <c r="E178">
        <v>282.04037490987997</v>
      </c>
      <c r="F178">
        <v>140.59386152747999</v>
      </c>
      <c r="G178">
        <v>119.02640970735</v>
      </c>
      <c r="I178" s="9">
        <f t="shared" si="15"/>
        <v>163.01396520252996</v>
      </c>
      <c r="J178" s="9">
        <f t="shared" si="16"/>
        <v>781.57412693683</v>
      </c>
      <c r="K178" s="9">
        <f t="shared" si="17"/>
        <v>163.01396520252996</v>
      </c>
      <c r="L178" s="10">
        <f t="shared" si="14"/>
        <v>0.2085713428634331</v>
      </c>
      <c r="M178" s="10">
        <f t="shared" si="18"/>
        <v>0.21728866119450724</v>
      </c>
      <c r="P178" s="8">
        <f t="shared" si="19"/>
        <v>-12.103904865617217</v>
      </c>
    </row>
    <row r="179" spans="1:16" x14ac:dyDescent="0.2">
      <c r="A179" s="8">
        <v>88.5</v>
      </c>
      <c r="B179" s="8">
        <v>177</v>
      </c>
      <c r="D179">
        <v>935.34823359768995</v>
      </c>
      <c r="E179">
        <v>283.89617880317002</v>
      </c>
      <c r="F179">
        <v>140.65024982156001</v>
      </c>
      <c r="G179">
        <v>119.20556745182</v>
      </c>
      <c r="I179" s="9">
        <f t="shared" si="15"/>
        <v>164.69061135135001</v>
      </c>
      <c r="J179" s="9">
        <f t="shared" si="16"/>
        <v>794.69798377612994</v>
      </c>
      <c r="K179" s="9">
        <f t="shared" si="17"/>
        <v>164.69061135135001</v>
      </c>
      <c r="L179" s="10">
        <f t="shared" si="14"/>
        <v>0.20723672981878877</v>
      </c>
      <c r="M179" s="10">
        <f t="shared" si="18"/>
        <v>0.2160035783676531</v>
      </c>
      <c r="P179" s="8">
        <f t="shared" si="19"/>
        <v>-12.623737616133459</v>
      </c>
    </row>
    <row r="180" spans="1:16" x14ac:dyDescent="0.2">
      <c r="A180" s="8">
        <v>89</v>
      </c>
      <c r="B180" s="8">
        <v>178</v>
      </c>
      <c r="D180">
        <v>941.87599134822995</v>
      </c>
      <c r="E180">
        <v>280.38644556597001</v>
      </c>
      <c r="F180">
        <v>141.26552462526999</v>
      </c>
      <c r="G180">
        <v>119.15560314061</v>
      </c>
      <c r="I180" s="9">
        <f t="shared" si="15"/>
        <v>161.23084242536001</v>
      </c>
      <c r="J180" s="9">
        <f t="shared" si="16"/>
        <v>800.61046672295993</v>
      </c>
      <c r="K180" s="9">
        <f t="shared" si="17"/>
        <v>161.23084242536001</v>
      </c>
      <c r="L180" s="10">
        <f t="shared" si="14"/>
        <v>0.20138487957234225</v>
      </c>
      <c r="M180" s="10">
        <f t="shared" si="18"/>
        <v>0.21020125833899678</v>
      </c>
      <c r="P180" s="8">
        <f t="shared" si="19"/>
        <v>-14.970851682901905</v>
      </c>
    </row>
    <row r="181" spans="1:16" x14ac:dyDescent="0.2">
      <c r="A181" s="8">
        <v>89.5</v>
      </c>
      <c r="B181" s="8">
        <v>179</v>
      </c>
      <c r="D181">
        <v>985.61604584527004</v>
      </c>
      <c r="E181">
        <v>286.97277936963002</v>
      </c>
      <c r="F181">
        <v>140.64882226981001</v>
      </c>
      <c r="G181">
        <v>119.06209850107</v>
      </c>
      <c r="I181" s="9">
        <f t="shared" si="15"/>
        <v>167.91068086856001</v>
      </c>
      <c r="J181" s="9">
        <f t="shared" si="16"/>
        <v>844.96722357546003</v>
      </c>
      <c r="K181" s="9">
        <f t="shared" si="17"/>
        <v>167.91068086856001</v>
      </c>
      <c r="L181" s="10">
        <f t="shared" si="14"/>
        <v>0.19871857296197798</v>
      </c>
      <c r="M181" s="10">
        <f t="shared" si="18"/>
        <v>0.20758448194642271</v>
      </c>
      <c r="P181" s="8">
        <f t="shared" si="19"/>
        <v>-16.029371835231473</v>
      </c>
    </row>
    <row r="182" spans="1:16" x14ac:dyDescent="0.2">
      <c r="A182" s="8">
        <v>90</v>
      </c>
      <c r="B182" s="8">
        <v>180</v>
      </c>
      <c r="D182">
        <v>972.94197707735998</v>
      </c>
      <c r="E182">
        <v>281.81518624642001</v>
      </c>
      <c r="F182">
        <v>140.10278372591</v>
      </c>
      <c r="G182">
        <v>118.85153461813</v>
      </c>
      <c r="I182" s="9">
        <f t="shared" si="15"/>
        <v>162.96365162828999</v>
      </c>
      <c r="J182" s="9">
        <f t="shared" si="16"/>
        <v>832.83919335144992</v>
      </c>
      <c r="K182" s="9">
        <f t="shared" si="17"/>
        <v>162.96365162828999</v>
      </c>
      <c r="L182" s="10">
        <f t="shared" si="14"/>
        <v>0.19567240942696718</v>
      </c>
      <c r="M182" s="10">
        <f>L182+ABS($N$2)*A182</f>
        <v>0.2045878486292021</v>
      </c>
      <c r="P182" s="8">
        <f t="shared" si="19"/>
        <v>-17.241549063832952</v>
      </c>
    </row>
    <row r="183" spans="1:16" x14ac:dyDescent="0.2">
      <c r="A183" s="8">
        <v>90.5</v>
      </c>
      <c r="B183" s="8">
        <v>181</v>
      </c>
      <c r="D183">
        <v>977.93911174785001</v>
      </c>
      <c r="E183">
        <v>279.54799426933999</v>
      </c>
      <c r="F183">
        <v>140.11420413990001</v>
      </c>
      <c r="G183">
        <v>119.36973590293</v>
      </c>
      <c r="I183" s="9">
        <f t="shared" si="15"/>
        <v>160.17825836640998</v>
      </c>
      <c r="J183" s="9">
        <f t="shared" si="16"/>
        <v>837.82490760794997</v>
      </c>
      <c r="K183" s="9">
        <f t="shared" si="17"/>
        <v>160.17825836640998</v>
      </c>
      <c r="L183" s="10">
        <f t="shared" si="14"/>
        <v>0.19118345242770396</v>
      </c>
      <c r="M183" s="10">
        <f t="shared" ref="M183:M241" si="20">L183+ABS($N$2)*A183</f>
        <v>0.20014842184772907</v>
      </c>
      <c r="P183" s="8">
        <f t="shared" si="19"/>
        <v>-19.037355051045431</v>
      </c>
    </row>
    <row r="184" spans="1:16" x14ac:dyDescent="0.2">
      <c r="A184" s="8">
        <v>91</v>
      </c>
      <c r="B184" s="8">
        <v>182</v>
      </c>
      <c r="D184">
        <v>1059.8372759857</v>
      </c>
      <c r="E184">
        <v>293.05089605734997</v>
      </c>
      <c r="F184">
        <v>141.30406852248001</v>
      </c>
      <c r="G184">
        <v>119.17630264096999</v>
      </c>
      <c r="I184" s="9">
        <f t="shared" si="15"/>
        <v>173.87459341637998</v>
      </c>
      <c r="J184" s="9">
        <f t="shared" si="16"/>
        <v>918.53320746321992</v>
      </c>
      <c r="K184" s="9">
        <f t="shared" si="17"/>
        <v>173.87459341637998</v>
      </c>
      <c r="L184" s="10">
        <f t="shared" si="14"/>
        <v>0.18929592529004163</v>
      </c>
      <c r="M184" s="10">
        <f t="shared" si="20"/>
        <v>0.19831042492785694</v>
      </c>
      <c r="P184" s="8">
        <f t="shared" si="19"/>
        <v>-19.780848757701243</v>
      </c>
    </row>
    <row r="185" spans="1:16" x14ac:dyDescent="0.2">
      <c r="A185" s="8">
        <v>91.5</v>
      </c>
      <c r="B185" s="8">
        <v>183</v>
      </c>
      <c r="D185">
        <v>1048.2279569893001</v>
      </c>
      <c r="E185">
        <v>288.26451612903003</v>
      </c>
      <c r="F185">
        <v>140.84939329050999</v>
      </c>
      <c r="G185">
        <v>119.15488936474</v>
      </c>
      <c r="I185" s="9">
        <f t="shared" si="15"/>
        <v>169.10962676429003</v>
      </c>
      <c r="J185" s="9">
        <f t="shared" si="16"/>
        <v>907.37856369879012</v>
      </c>
      <c r="K185" s="9">
        <f t="shared" si="17"/>
        <v>169.10962676429003</v>
      </c>
      <c r="L185" s="10">
        <f t="shared" si="14"/>
        <v>0.18637163531276346</v>
      </c>
      <c r="M185" s="10">
        <f t="shared" si="20"/>
        <v>0.19543566516836897</v>
      </c>
      <c r="P185" s="8">
        <f t="shared" si="19"/>
        <v>-20.943726543957482</v>
      </c>
    </row>
    <row r="186" spans="1:16" x14ac:dyDescent="0.2">
      <c r="A186" s="8">
        <v>92</v>
      </c>
      <c r="B186" s="8">
        <v>184</v>
      </c>
      <c r="D186">
        <v>1049.7874015748</v>
      </c>
      <c r="E186">
        <v>286.73872584109</v>
      </c>
      <c r="F186">
        <v>140.71805852962001</v>
      </c>
      <c r="G186">
        <v>118.95217701641999</v>
      </c>
      <c r="I186" s="9">
        <f t="shared" si="15"/>
        <v>167.78654882467001</v>
      </c>
      <c r="J186" s="9">
        <f t="shared" si="16"/>
        <v>909.06934304517995</v>
      </c>
      <c r="K186" s="9">
        <f t="shared" si="17"/>
        <v>167.78654882467001</v>
      </c>
      <c r="L186" s="10">
        <f t="shared" si="14"/>
        <v>0.18456958218679162</v>
      </c>
      <c r="M186" s="10">
        <f t="shared" si="20"/>
        <v>0.19368314226018732</v>
      </c>
      <c r="P186" s="8">
        <f t="shared" si="19"/>
        <v>-21.652644898996865</v>
      </c>
    </row>
    <row r="187" spans="1:16" x14ac:dyDescent="0.2">
      <c r="A187" s="8">
        <v>92.5</v>
      </c>
      <c r="B187" s="8">
        <v>185</v>
      </c>
      <c r="D187">
        <v>998.32569792412005</v>
      </c>
      <c r="E187">
        <v>276.54831782391</v>
      </c>
      <c r="F187">
        <v>140.63954318344</v>
      </c>
      <c r="G187">
        <v>118.90792291221</v>
      </c>
      <c r="I187" s="9">
        <f t="shared" si="15"/>
        <v>157.64039491170001</v>
      </c>
      <c r="J187" s="9">
        <f t="shared" si="16"/>
        <v>857.68615474068008</v>
      </c>
      <c r="K187" s="9">
        <f t="shared" si="17"/>
        <v>157.64039491170001</v>
      </c>
      <c r="L187" s="10">
        <f t="shared" si="14"/>
        <v>0.18379729466352679</v>
      </c>
      <c r="M187" s="10">
        <f t="shared" si="20"/>
        <v>0.19296038495471268</v>
      </c>
      <c r="P187" s="8">
        <f t="shared" si="19"/>
        <v>-21.945009647952642</v>
      </c>
    </row>
    <row r="188" spans="1:16" x14ac:dyDescent="0.2">
      <c r="A188" s="8">
        <v>93</v>
      </c>
      <c r="B188" s="8">
        <v>186</v>
      </c>
      <c r="D188">
        <v>997.34502505369005</v>
      </c>
      <c r="E188">
        <v>275.81889763779998</v>
      </c>
      <c r="F188">
        <v>141.23483226267001</v>
      </c>
      <c r="G188">
        <v>118.70521056388</v>
      </c>
      <c r="I188" s="9">
        <f t="shared" si="15"/>
        <v>157.11368707391998</v>
      </c>
      <c r="J188" s="9">
        <f t="shared" si="16"/>
        <v>856.11019279102004</v>
      </c>
      <c r="K188" s="9">
        <f t="shared" si="17"/>
        <v>157.11368707391998</v>
      </c>
      <c r="L188" s="10">
        <f t="shared" si="14"/>
        <v>0.18352040239319059</v>
      </c>
      <c r="M188" s="10">
        <f t="shared" si="20"/>
        <v>0.19273302290216668</v>
      </c>
      <c r="P188" s="8">
        <f t="shared" si="19"/>
        <v>-22.036980561163997</v>
      </c>
    </row>
    <row r="189" spans="1:16" x14ac:dyDescent="0.2">
      <c r="A189" s="8">
        <v>93.5</v>
      </c>
      <c r="B189" s="8">
        <v>187</v>
      </c>
      <c r="D189">
        <v>981.51285714285996</v>
      </c>
      <c r="E189">
        <v>272.51</v>
      </c>
      <c r="F189">
        <v>140.69521770163999</v>
      </c>
      <c r="G189">
        <v>119.24982155603</v>
      </c>
      <c r="I189" s="9">
        <f t="shared" si="15"/>
        <v>153.26017844397001</v>
      </c>
      <c r="J189" s="9">
        <f t="shared" si="16"/>
        <v>840.81763944121997</v>
      </c>
      <c r="K189" s="9">
        <f t="shared" si="17"/>
        <v>153.26017844397001</v>
      </c>
      <c r="L189" s="10">
        <f t="shared" si="14"/>
        <v>0.18227517032804133</v>
      </c>
      <c r="M189" s="10">
        <f t="shared" si="20"/>
        <v>0.19153732105480761</v>
      </c>
      <c r="P189" s="8">
        <f t="shared" si="19"/>
        <v>-22.520657540671689</v>
      </c>
    </row>
    <row r="190" spans="1:16" x14ac:dyDescent="0.2">
      <c r="A190" s="8">
        <v>94</v>
      </c>
      <c r="B190" s="8">
        <v>188</v>
      </c>
      <c r="D190">
        <v>987.05714285713998</v>
      </c>
      <c r="E190">
        <v>272.50142857142998</v>
      </c>
      <c r="F190">
        <v>140.79157744468</v>
      </c>
      <c r="G190">
        <v>119.01142041399</v>
      </c>
      <c r="I190" s="9">
        <f t="shared" si="15"/>
        <v>153.49000815744</v>
      </c>
      <c r="J190" s="9">
        <f t="shared" si="16"/>
        <v>846.26556541245998</v>
      </c>
      <c r="K190" s="9">
        <f t="shared" si="17"/>
        <v>153.49000815744</v>
      </c>
      <c r="L190" s="10">
        <f t="shared" si="14"/>
        <v>0.18137333531068436</v>
      </c>
      <c r="M190" s="10">
        <f t="shared" si="20"/>
        <v>0.19068501625524084</v>
      </c>
      <c r="P190" s="8">
        <f t="shared" si="19"/>
        <v>-22.865425939235994</v>
      </c>
    </row>
    <row r="191" spans="1:16" x14ac:dyDescent="0.2">
      <c r="A191" s="8">
        <v>94.5</v>
      </c>
      <c r="B191" s="8">
        <v>189</v>
      </c>
      <c r="D191">
        <v>946.67596566524003</v>
      </c>
      <c r="E191">
        <v>265.95493562232002</v>
      </c>
      <c r="F191">
        <v>140.71234832262999</v>
      </c>
      <c r="G191">
        <v>118.97573162027</v>
      </c>
      <c r="I191" s="9">
        <f t="shared" si="15"/>
        <v>146.97920400205004</v>
      </c>
      <c r="J191" s="9">
        <f t="shared" si="16"/>
        <v>805.96361734261006</v>
      </c>
      <c r="K191" s="9">
        <f t="shared" si="17"/>
        <v>146.97920400205004</v>
      </c>
      <c r="L191" s="10">
        <f t="shared" si="14"/>
        <v>0.182364564403867</v>
      </c>
      <c r="M191" s="10">
        <f t="shared" si="20"/>
        <v>0.19172577556621367</v>
      </c>
      <c r="P191" s="8">
        <f t="shared" si="19"/>
        <v>-22.444425234890105</v>
      </c>
    </row>
    <row r="192" spans="1:16" x14ac:dyDescent="0.2">
      <c r="A192" s="8">
        <v>95</v>
      </c>
      <c r="B192" s="8">
        <v>190</v>
      </c>
      <c r="D192">
        <v>954.43848354792999</v>
      </c>
      <c r="E192">
        <v>265.97067238913002</v>
      </c>
      <c r="F192">
        <v>140.61099214846999</v>
      </c>
      <c r="G192">
        <v>118.81299072090999</v>
      </c>
      <c r="I192" s="9">
        <f t="shared" si="15"/>
        <v>147.15768166822002</v>
      </c>
      <c r="J192" s="9">
        <f t="shared" si="16"/>
        <v>813.82749139945997</v>
      </c>
      <c r="K192" s="9">
        <f t="shared" si="17"/>
        <v>147.15768166822002</v>
      </c>
      <c r="L192" s="10">
        <f t="shared" si="14"/>
        <v>0.18082171372113182</v>
      </c>
      <c r="M192" s="10">
        <f t="shared" si="20"/>
        <v>0.19023245510126868</v>
      </c>
      <c r="P192" s="8">
        <f t="shared" si="19"/>
        <v>-23.048492823743398</v>
      </c>
    </row>
    <row r="193" spans="1:16" x14ac:dyDescent="0.2">
      <c r="A193" s="8">
        <v>95.5</v>
      </c>
      <c r="B193" s="8">
        <v>191</v>
      </c>
      <c r="D193">
        <v>959.31187410586995</v>
      </c>
      <c r="E193">
        <v>266.39699570815998</v>
      </c>
      <c r="F193">
        <v>141.46252676660001</v>
      </c>
      <c r="G193">
        <v>119.08708065667</v>
      </c>
      <c r="I193" s="9">
        <f t="shared" si="15"/>
        <v>147.30991505148998</v>
      </c>
      <c r="J193" s="9">
        <f t="shared" si="16"/>
        <v>817.84934733926991</v>
      </c>
      <c r="K193" s="9">
        <f t="shared" si="17"/>
        <v>147.30991505148998</v>
      </c>
      <c r="L193" s="10">
        <f t="shared" si="14"/>
        <v>0.18011864352614215</v>
      </c>
      <c r="M193" s="10">
        <f t="shared" si="20"/>
        <v>0.18957891512406921</v>
      </c>
      <c r="P193" s="8">
        <f t="shared" si="19"/>
        <v>-23.312858261379489</v>
      </c>
    </row>
    <row r="194" spans="1:16" x14ac:dyDescent="0.2">
      <c r="A194" s="8">
        <v>96</v>
      </c>
      <c r="B194" s="8">
        <v>192</v>
      </c>
      <c r="D194">
        <v>951.96137339055997</v>
      </c>
      <c r="E194">
        <v>264.64520743920002</v>
      </c>
      <c r="F194">
        <v>140.75660242684</v>
      </c>
      <c r="G194">
        <v>119.00499643112001</v>
      </c>
      <c r="I194" s="9">
        <f t="shared" si="15"/>
        <v>145.64021100808003</v>
      </c>
      <c r="J194" s="9">
        <f t="shared" si="16"/>
        <v>811.20477096371997</v>
      </c>
      <c r="K194" s="9">
        <f t="shared" si="17"/>
        <v>145.64021100808003</v>
      </c>
      <c r="L194" s="10">
        <f t="shared" ref="L194:L257" si="21">K194/J194</f>
        <v>0.17953569335527686</v>
      </c>
      <c r="M194" s="10">
        <f t="shared" si="20"/>
        <v>0.18904549517099412</v>
      </c>
      <c r="P194" s="8">
        <f t="shared" si="19"/>
        <v>-23.528633583866736</v>
      </c>
    </row>
    <row r="195" spans="1:16" x14ac:dyDescent="0.2">
      <c r="A195" s="8">
        <v>96.5</v>
      </c>
      <c r="B195" s="8">
        <v>193</v>
      </c>
      <c r="D195">
        <v>943.48927038627005</v>
      </c>
      <c r="E195">
        <v>263.33762517883002</v>
      </c>
      <c r="F195">
        <v>141.04568165596001</v>
      </c>
      <c r="G195">
        <v>119.01213418986001</v>
      </c>
      <c r="I195" s="9">
        <f t="shared" ref="I195:I241" si="22">E195-G195</f>
        <v>144.32549098897002</v>
      </c>
      <c r="J195" s="9">
        <f t="shared" ref="J195:J241" si="23">D195-F195</f>
        <v>802.44358873031001</v>
      </c>
      <c r="K195" s="9">
        <f t="shared" ref="K195:K258" si="24">I195*1</f>
        <v>144.32549098897002</v>
      </c>
      <c r="L195" s="10">
        <f t="shared" si="21"/>
        <v>0.17985749156190939</v>
      </c>
      <c r="M195" s="10">
        <f t="shared" si="20"/>
        <v>0.18941682359541684</v>
      </c>
      <c r="P195" s="8">
        <f t="shared" ref="P195:P241" si="25">(M195-$O$2)/$O$2*100</f>
        <v>-23.378426397077806</v>
      </c>
    </row>
    <row r="196" spans="1:16" x14ac:dyDescent="0.2">
      <c r="A196" s="8">
        <v>97</v>
      </c>
      <c r="B196" s="8">
        <v>194</v>
      </c>
      <c r="D196">
        <v>949.07510729614</v>
      </c>
      <c r="E196">
        <v>263.12160228898</v>
      </c>
      <c r="F196">
        <v>140.93861527479999</v>
      </c>
      <c r="G196">
        <v>118.65239114918</v>
      </c>
      <c r="I196" s="9">
        <f t="shared" si="22"/>
        <v>144.4692111398</v>
      </c>
      <c r="J196" s="9">
        <f t="shared" si="23"/>
        <v>808.13649202134002</v>
      </c>
      <c r="K196" s="9">
        <f t="shared" si="24"/>
        <v>144.4692111398</v>
      </c>
      <c r="L196" s="10">
        <f t="shared" si="21"/>
        <v>0.17876833006074064</v>
      </c>
      <c r="M196" s="10">
        <f t="shared" si="20"/>
        <v>0.18837719231203828</v>
      </c>
      <c r="P196" s="8">
        <f t="shared" si="25"/>
        <v>-23.798970799561484</v>
      </c>
    </row>
    <row r="197" spans="1:16" x14ac:dyDescent="0.2">
      <c r="A197" s="8">
        <v>97.5</v>
      </c>
      <c r="B197" s="8">
        <v>195</v>
      </c>
      <c r="D197">
        <v>951.65092989985999</v>
      </c>
      <c r="E197">
        <v>263.02932761086998</v>
      </c>
      <c r="F197">
        <v>140.36902212704999</v>
      </c>
      <c r="G197">
        <v>119.19700214133</v>
      </c>
      <c r="I197" s="9">
        <f t="shared" si="22"/>
        <v>143.83232546953997</v>
      </c>
      <c r="J197" s="9">
        <f t="shared" si="23"/>
        <v>811.28190777280997</v>
      </c>
      <c r="K197" s="9">
        <f t="shared" si="24"/>
        <v>143.83232546953997</v>
      </c>
      <c r="L197" s="10">
        <f t="shared" si="21"/>
        <v>0.17729019233819587</v>
      </c>
      <c r="M197" s="10">
        <f t="shared" si="20"/>
        <v>0.18694858480728371</v>
      </c>
      <c r="P197" s="8">
        <f t="shared" si="25"/>
        <v>-24.376861152685787</v>
      </c>
    </row>
    <row r="198" spans="1:16" x14ac:dyDescent="0.2">
      <c r="A198" s="8">
        <v>98</v>
      </c>
      <c r="B198" s="8">
        <v>196</v>
      </c>
      <c r="D198">
        <v>948.42203147352996</v>
      </c>
      <c r="E198">
        <v>263.42346208869998</v>
      </c>
      <c r="F198">
        <v>140.61027837258999</v>
      </c>
      <c r="G198">
        <v>118.97858672376999</v>
      </c>
      <c r="I198" s="9">
        <f t="shared" si="22"/>
        <v>144.44487536493</v>
      </c>
      <c r="J198" s="9">
        <f t="shared" si="23"/>
        <v>807.81175310094</v>
      </c>
      <c r="K198" s="9">
        <f t="shared" si="24"/>
        <v>144.44487536493</v>
      </c>
      <c r="L198" s="10">
        <f t="shared" si="21"/>
        <v>0.17881006906677294</v>
      </c>
      <c r="M198" s="10">
        <f t="shared" si="20"/>
        <v>0.18851799175365097</v>
      </c>
      <c r="P198" s="8">
        <f t="shared" si="25"/>
        <v>-23.742015590546785</v>
      </c>
    </row>
    <row r="199" spans="1:16" x14ac:dyDescent="0.2">
      <c r="A199" s="8">
        <v>98.5</v>
      </c>
      <c r="B199" s="8">
        <v>197</v>
      </c>
      <c r="D199">
        <v>942.30543633763</v>
      </c>
      <c r="E199">
        <v>261.75894134478</v>
      </c>
      <c r="F199">
        <v>140.58672376874</v>
      </c>
      <c r="G199">
        <v>119.09992862241</v>
      </c>
      <c r="I199" s="9">
        <f t="shared" si="22"/>
        <v>142.65901272236999</v>
      </c>
      <c r="J199" s="9">
        <f t="shared" si="23"/>
        <v>801.71871256888994</v>
      </c>
      <c r="K199" s="9">
        <f t="shared" si="24"/>
        <v>142.65901272236999</v>
      </c>
      <c r="L199" s="10">
        <f t="shared" si="21"/>
        <v>0.17794147808432451</v>
      </c>
      <c r="M199" s="10">
        <f t="shared" si="20"/>
        <v>0.18769893098899273</v>
      </c>
      <c r="P199" s="8">
        <f t="shared" si="25"/>
        <v>-24.073336343758093</v>
      </c>
    </row>
    <row r="200" spans="1:16" x14ac:dyDescent="0.2">
      <c r="A200" s="8">
        <v>99</v>
      </c>
      <c r="B200" s="8">
        <v>198</v>
      </c>
      <c r="D200">
        <v>955.11516452074</v>
      </c>
      <c r="E200">
        <v>264.49856938483998</v>
      </c>
      <c r="F200">
        <v>140.38187009279</v>
      </c>
      <c r="G200">
        <v>118.71234832263001</v>
      </c>
      <c r="I200" s="9">
        <f t="shared" si="22"/>
        <v>145.78622106220996</v>
      </c>
      <c r="J200" s="9">
        <f t="shared" si="23"/>
        <v>814.73329442795</v>
      </c>
      <c r="K200" s="9">
        <f t="shared" si="24"/>
        <v>145.78622106220996</v>
      </c>
      <c r="L200" s="10">
        <f t="shared" si="21"/>
        <v>0.17893735540115746</v>
      </c>
      <c r="M200" s="10">
        <f t="shared" si="20"/>
        <v>0.18874433852361588</v>
      </c>
      <c r="P200" s="8">
        <f t="shared" si="25"/>
        <v>-23.650455372370526</v>
      </c>
    </row>
    <row r="201" spans="1:16" x14ac:dyDescent="0.2">
      <c r="A201" s="8">
        <v>99.5</v>
      </c>
      <c r="B201" s="8">
        <v>199</v>
      </c>
      <c r="D201">
        <v>956.85765379113002</v>
      </c>
      <c r="E201">
        <v>264.35407725322</v>
      </c>
      <c r="F201">
        <v>140.40042826553</v>
      </c>
      <c r="G201">
        <v>119.02355460385</v>
      </c>
      <c r="I201" s="9">
        <f t="shared" si="22"/>
        <v>145.33052264936998</v>
      </c>
      <c r="J201" s="9">
        <f t="shared" si="23"/>
        <v>816.45722552560005</v>
      </c>
      <c r="K201" s="9">
        <f t="shared" si="24"/>
        <v>145.33052264936998</v>
      </c>
      <c r="L201" s="10">
        <f t="shared" si="21"/>
        <v>0.17800139199676068</v>
      </c>
      <c r="M201" s="10">
        <f t="shared" si="20"/>
        <v>0.1878579053370093</v>
      </c>
      <c r="P201" s="8">
        <f t="shared" si="25"/>
        <v>-24.009029148249706</v>
      </c>
    </row>
    <row r="202" spans="1:16" x14ac:dyDescent="0.2">
      <c r="A202" s="8">
        <v>100</v>
      </c>
      <c r="B202" s="8">
        <v>200</v>
      </c>
      <c r="D202">
        <v>954.20958512159996</v>
      </c>
      <c r="E202">
        <v>263.39699570815998</v>
      </c>
      <c r="F202">
        <v>140.43897216273999</v>
      </c>
      <c r="G202">
        <v>119.21556031406</v>
      </c>
      <c r="I202" s="9">
        <f t="shared" si="22"/>
        <v>144.18143539409999</v>
      </c>
      <c r="J202" s="9">
        <f t="shared" si="23"/>
        <v>813.77061295885994</v>
      </c>
      <c r="K202" s="9">
        <f t="shared" si="24"/>
        <v>144.18143539409999</v>
      </c>
      <c r="L202" s="10">
        <f t="shared" si="21"/>
        <v>0.17717699938789638</v>
      </c>
      <c r="M202" s="10">
        <f t="shared" si="20"/>
        <v>0.1870830429459352</v>
      </c>
      <c r="P202" s="8">
        <f t="shared" si="25"/>
        <v>-24.322471083358039</v>
      </c>
    </row>
    <row r="203" spans="1:16" x14ac:dyDescent="0.2">
      <c r="A203" s="8">
        <v>100.5</v>
      </c>
      <c r="B203" s="8">
        <v>201</v>
      </c>
      <c r="D203">
        <v>950.34048640916001</v>
      </c>
      <c r="E203">
        <v>262.25965665235998</v>
      </c>
      <c r="F203">
        <v>140.18843683084</v>
      </c>
      <c r="G203">
        <v>119.07994289793</v>
      </c>
      <c r="I203" s="9">
        <f t="shared" si="22"/>
        <v>143.17971375443</v>
      </c>
      <c r="J203" s="9">
        <f t="shared" si="23"/>
        <v>810.15204957831997</v>
      </c>
      <c r="K203" s="9">
        <f t="shared" si="24"/>
        <v>143.17971375443</v>
      </c>
      <c r="L203" s="10">
        <f t="shared" si="21"/>
        <v>0.17673190338647457</v>
      </c>
      <c r="M203" s="10">
        <f t="shared" si="20"/>
        <v>0.18668747716230358</v>
      </c>
      <c r="P203" s="8">
        <f t="shared" si="25"/>
        <v>-24.482482597805486</v>
      </c>
    </row>
    <row r="204" spans="1:16" x14ac:dyDescent="0.2">
      <c r="A204" s="8">
        <v>101</v>
      </c>
      <c r="B204" s="8">
        <v>202</v>
      </c>
      <c r="D204">
        <v>948.41773962803995</v>
      </c>
      <c r="E204">
        <v>262.58726752503998</v>
      </c>
      <c r="F204">
        <v>140.70164168451001</v>
      </c>
      <c r="G204">
        <v>118.81584582441</v>
      </c>
      <c r="I204" s="9">
        <f t="shared" si="22"/>
        <v>143.77142170062996</v>
      </c>
      <c r="J204" s="9">
        <f t="shared" si="23"/>
        <v>807.71609794352992</v>
      </c>
      <c r="K204" s="9">
        <f t="shared" si="24"/>
        <v>143.77142170062996</v>
      </c>
      <c r="L204" s="10">
        <f t="shared" si="21"/>
        <v>0.17799746973803843</v>
      </c>
      <c r="M204" s="10">
        <f t="shared" si="20"/>
        <v>0.18800257373165763</v>
      </c>
      <c r="P204" s="8">
        <f t="shared" si="25"/>
        <v>-23.950508897312336</v>
      </c>
    </row>
    <row r="205" spans="1:16" x14ac:dyDescent="0.2">
      <c r="A205" s="8">
        <v>101.5</v>
      </c>
      <c r="B205" s="8">
        <v>203</v>
      </c>
      <c r="D205">
        <v>948.20672389127003</v>
      </c>
      <c r="E205">
        <v>262.33547925608002</v>
      </c>
      <c r="F205">
        <v>140.61598857959001</v>
      </c>
      <c r="G205">
        <v>118.97573162027</v>
      </c>
      <c r="I205" s="9">
        <f t="shared" si="22"/>
        <v>143.35974763581004</v>
      </c>
      <c r="J205" s="9">
        <f t="shared" si="23"/>
        <v>807.59073531167996</v>
      </c>
      <c r="K205" s="9">
        <f t="shared" si="24"/>
        <v>143.35974763581004</v>
      </c>
      <c r="L205" s="10">
        <f t="shared" si="21"/>
        <v>0.1775153445519432</v>
      </c>
      <c r="M205" s="10">
        <f t="shared" si="20"/>
        <v>0.1875699787633526</v>
      </c>
      <c r="P205" s="8">
        <f t="shared" si="25"/>
        <v>-24.125499199520313</v>
      </c>
    </row>
    <row r="206" spans="1:16" x14ac:dyDescent="0.2">
      <c r="A206" s="8">
        <v>102</v>
      </c>
      <c r="B206" s="8">
        <v>204</v>
      </c>
      <c r="D206">
        <v>955.76895565093002</v>
      </c>
      <c r="E206">
        <v>263.97281831187001</v>
      </c>
      <c r="F206">
        <v>140.30620985011001</v>
      </c>
      <c r="G206">
        <v>118.68593861527999</v>
      </c>
      <c r="I206" s="9">
        <f t="shared" si="22"/>
        <v>145.28687969659001</v>
      </c>
      <c r="J206" s="9">
        <f t="shared" si="23"/>
        <v>815.46274580082002</v>
      </c>
      <c r="K206" s="9">
        <f t="shared" si="24"/>
        <v>145.28687969659001</v>
      </c>
      <c r="L206" s="10">
        <f t="shared" si="21"/>
        <v>0.17816495044652464</v>
      </c>
      <c r="M206" s="10">
        <f t="shared" si="20"/>
        <v>0.18826911487572423</v>
      </c>
      <c r="P206" s="8">
        <f t="shared" si="25"/>
        <v>-23.842689531003415</v>
      </c>
    </row>
    <row r="207" spans="1:16" x14ac:dyDescent="0.2">
      <c r="A207" s="8">
        <v>102.5</v>
      </c>
      <c r="B207" s="8">
        <v>205</v>
      </c>
      <c r="D207">
        <v>952.82761087268</v>
      </c>
      <c r="E207">
        <v>264.72460658083003</v>
      </c>
      <c r="F207">
        <v>140.97930049964</v>
      </c>
      <c r="G207">
        <v>118.75231977159</v>
      </c>
      <c r="I207" s="9">
        <f t="shared" si="22"/>
        <v>145.97228680924002</v>
      </c>
      <c r="J207" s="9">
        <f t="shared" si="23"/>
        <v>811.84831037304002</v>
      </c>
      <c r="K207" s="9">
        <f t="shared" si="24"/>
        <v>145.97228680924002</v>
      </c>
      <c r="L207" s="10">
        <f t="shared" si="21"/>
        <v>0.17980241498829569</v>
      </c>
      <c r="M207" s="10">
        <f t="shared" si="20"/>
        <v>0.18995610963528547</v>
      </c>
      <c r="P207" s="8">
        <f t="shared" si="25"/>
        <v>-23.160278166036395</v>
      </c>
    </row>
    <row r="208" spans="1:16" x14ac:dyDescent="0.2">
      <c r="A208" s="8">
        <v>103</v>
      </c>
      <c r="B208" s="8">
        <v>206</v>
      </c>
      <c r="D208">
        <v>965.59442060085996</v>
      </c>
      <c r="E208">
        <v>266.79327610873003</v>
      </c>
      <c r="F208">
        <v>140.22269807281</v>
      </c>
      <c r="G208">
        <v>118.8244111349</v>
      </c>
      <c r="I208" s="9">
        <f t="shared" si="22"/>
        <v>147.96886497383002</v>
      </c>
      <c r="J208" s="9">
        <f t="shared" si="23"/>
        <v>825.37172252804999</v>
      </c>
      <c r="K208" s="9">
        <f t="shared" si="24"/>
        <v>147.96886497383002</v>
      </c>
      <c r="L208" s="10">
        <f t="shared" si="21"/>
        <v>0.17927542334575358</v>
      </c>
      <c r="M208" s="10">
        <f t="shared" si="20"/>
        <v>0.18947864821053356</v>
      </c>
      <c r="P208" s="8">
        <f t="shared" si="25"/>
        <v>-23.353417534571712</v>
      </c>
    </row>
    <row r="209" spans="1:16" x14ac:dyDescent="0.2">
      <c r="A209" s="8">
        <v>103.5</v>
      </c>
      <c r="B209" s="8">
        <v>207</v>
      </c>
      <c r="D209">
        <v>951.36714285714004</v>
      </c>
      <c r="E209">
        <v>265.8</v>
      </c>
      <c r="F209">
        <v>140.34118486795001</v>
      </c>
      <c r="G209">
        <v>118.78586723769</v>
      </c>
      <c r="I209" s="9">
        <f t="shared" si="22"/>
        <v>147.01413276231</v>
      </c>
      <c r="J209" s="9">
        <f t="shared" si="23"/>
        <v>811.02595798919003</v>
      </c>
      <c r="K209" s="9">
        <f t="shared" si="24"/>
        <v>147.01413276231</v>
      </c>
      <c r="L209" s="10">
        <f t="shared" si="21"/>
        <v>0.18126933091859129</v>
      </c>
      <c r="M209" s="10">
        <f t="shared" si="20"/>
        <v>0.19152208600116147</v>
      </c>
      <c r="P209" s="8">
        <f t="shared" si="25"/>
        <v>-22.526820318413048</v>
      </c>
    </row>
    <row r="210" spans="1:16" x14ac:dyDescent="0.2">
      <c r="A210" s="8">
        <v>104</v>
      </c>
      <c r="B210" s="8">
        <v>208</v>
      </c>
      <c r="D210">
        <v>956.22024233784998</v>
      </c>
      <c r="E210">
        <v>266.6279401283</v>
      </c>
      <c r="F210">
        <v>140.59814418273001</v>
      </c>
      <c r="G210">
        <v>118.8886509636</v>
      </c>
      <c r="I210" s="9">
        <f t="shared" si="22"/>
        <v>147.73928916469998</v>
      </c>
      <c r="J210" s="9">
        <f t="shared" si="23"/>
        <v>815.62209815511994</v>
      </c>
      <c r="K210" s="9">
        <f t="shared" si="24"/>
        <v>147.73928916469998</v>
      </c>
      <c r="L210" s="10">
        <f t="shared" si="21"/>
        <v>0.18113693768091363</v>
      </c>
      <c r="M210" s="10">
        <f t="shared" si="20"/>
        <v>0.191439222981274</v>
      </c>
      <c r="P210" s="8">
        <f t="shared" si="25"/>
        <v>-22.560339489819011</v>
      </c>
    </row>
    <row r="211" spans="1:16" x14ac:dyDescent="0.2">
      <c r="A211" s="8">
        <v>104.5</v>
      </c>
      <c r="B211" s="8">
        <v>209</v>
      </c>
      <c r="D211">
        <v>930.41054882394997</v>
      </c>
      <c r="E211">
        <v>263.75980042766002</v>
      </c>
      <c r="F211">
        <v>140.48037116346001</v>
      </c>
      <c r="G211">
        <v>118.88793718772</v>
      </c>
      <c r="I211" s="9">
        <f t="shared" si="22"/>
        <v>144.87186323994001</v>
      </c>
      <c r="J211" s="9">
        <f t="shared" si="23"/>
        <v>789.93017766049002</v>
      </c>
      <c r="K211" s="9">
        <f t="shared" si="24"/>
        <v>144.87186323994001</v>
      </c>
      <c r="L211" s="10">
        <f t="shared" si="21"/>
        <v>0.18339831460674436</v>
      </c>
      <c r="M211" s="10">
        <f t="shared" si="20"/>
        <v>0.19375013012489492</v>
      </c>
      <c r="P211" s="8">
        <f t="shared" si="25"/>
        <v>-21.62554743474438</v>
      </c>
    </row>
    <row r="212" spans="1:16" x14ac:dyDescent="0.2">
      <c r="A212" s="8">
        <v>105</v>
      </c>
      <c r="B212" s="8">
        <v>210</v>
      </c>
      <c r="D212">
        <v>987.70285714286001</v>
      </c>
      <c r="E212">
        <v>270.88142857142998</v>
      </c>
      <c r="F212">
        <v>140.57958600999001</v>
      </c>
      <c r="G212">
        <v>118.76374018558001</v>
      </c>
      <c r="I212" s="9">
        <f t="shared" si="22"/>
        <v>152.11768838584999</v>
      </c>
      <c r="J212" s="9">
        <f t="shared" si="23"/>
        <v>847.12327113287006</v>
      </c>
      <c r="K212" s="9">
        <f t="shared" si="24"/>
        <v>152.11768838584999</v>
      </c>
      <c r="L212" s="10">
        <f t="shared" si="21"/>
        <v>0.17956971974388194</v>
      </c>
      <c r="M212" s="10">
        <f t="shared" si="20"/>
        <v>0.1899710654798227</v>
      </c>
      <c r="P212" s="8">
        <f t="shared" si="25"/>
        <v>-23.154228332018214</v>
      </c>
    </row>
    <row r="213" spans="1:16" x14ac:dyDescent="0.2">
      <c r="A213" s="8">
        <v>105.5</v>
      </c>
      <c r="B213" s="8">
        <v>211</v>
      </c>
      <c r="D213">
        <v>997.86857142857002</v>
      </c>
      <c r="E213">
        <v>274.33285714286001</v>
      </c>
      <c r="F213">
        <v>140.57458957886999</v>
      </c>
      <c r="G213">
        <v>118.76588151321</v>
      </c>
      <c r="I213" s="9">
        <f t="shared" si="22"/>
        <v>155.56697562965002</v>
      </c>
      <c r="J213" s="9">
        <f t="shared" si="23"/>
        <v>857.2939818497</v>
      </c>
      <c r="K213" s="9">
        <f t="shared" si="24"/>
        <v>155.56697562965002</v>
      </c>
      <c r="L213" s="10">
        <f t="shared" si="21"/>
        <v>0.18146281080149221</v>
      </c>
      <c r="M213" s="10">
        <f t="shared" si="20"/>
        <v>0.19191368675522316</v>
      </c>
      <c r="P213" s="8">
        <f t="shared" si="25"/>
        <v>-22.36841271009845</v>
      </c>
    </row>
    <row r="214" spans="1:16" x14ac:dyDescent="0.2">
      <c r="A214" s="8">
        <v>106</v>
      </c>
      <c r="B214" s="8">
        <v>212</v>
      </c>
      <c r="D214">
        <v>955.24517512508999</v>
      </c>
      <c r="E214">
        <v>267.30235882773002</v>
      </c>
      <c r="F214">
        <v>140.29264810849</v>
      </c>
      <c r="G214">
        <v>118.53176302641</v>
      </c>
      <c r="I214" s="9">
        <f t="shared" si="22"/>
        <v>148.77059580132001</v>
      </c>
      <c r="J214" s="9">
        <f t="shared" si="23"/>
        <v>814.95252701660002</v>
      </c>
      <c r="K214" s="9">
        <f t="shared" si="24"/>
        <v>148.77059580132001</v>
      </c>
      <c r="L214" s="10">
        <f t="shared" si="21"/>
        <v>0.18255124178330165</v>
      </c>
      <c r="M214" s="10">
        <f t="shared" si="20"/>
        <v>0.1930516479548228</v>
      </c>
      <c r="P214" s="8">
        <f t="shared" si="25"/>
        <v>-21.908092575079024</v>
      </c>
    </row>
    <row r="215" spans="1:16" x14ac:dyDescent="0.2">
      <c r="A215" s="8">
        <v>106.5</v>
      </c>
      <c r="B215" s="8">
        <v>213</v>
      </c>
      <c r="D215">
        <v>967.45053380782997</v>
      </c>
      <c r="E215">
        <v>270.60427046262998</v>
      </c>
      <c r="F215">
        <v>140.60813704496999</v>
      </c>
      <c r="G215">
        <v>118.96288365453</v>
      </c>
      <c r="I215" s="9">
        <f t="shared" si="22"/>
        <v>151.64138680809998</v>
      </c>
      <c r="J215" s="9">
        <f t="shared" si="23"/>
        <v>826.84239676285995</v>
      </c>
      <c r="K215" s="9">
        <f t="shared" si="24"/>
        <v>151.64138680809998</v>
      </c>
      <c r="L215" s="10">
        <f t="shared" si="21"/>
        <v>0.18339817527715749</v>
      </c>
      <c r="M215" s="10">
        <f t="shared" si="20"/>
        <v>0.19394811166646883</v>
      </c>
      <c r="P215" s="8">
        <f t="shared" si="25"/>
        <v>-21.545461321104721</v>
      </c>
    </row>
    <row r="216" spans="1:16" x14ac:dyDescent="0.2">
      <c r="A216" s="8">
        <v>107</v>
      </c>
      <c r="B216" s="8">
        <v>214</v>
      </c>
      <c r="D216">
        <v>1061.2812051650001</v>
      </c>
      <c r="E216">
        <v>287.60186513629998</v>
      </c>
      <c r="F216">
        <v>140.78943611706001</v>
      </c>
      <c r="G216">
        <v>118.48965024982</v>
      </c>
      <c r="I216" s="9">
        <f t="shared" si="22"/>
        <v>169.11221488647999</v>
      </c>
      <c r="J216" s="9">
        <f t="shared" si="23"/>
        <v>920.49176904794012</v>
      </c>
      <c r="K216" s="9">
        <f t="shared" si="24"/>
        <v>169.11221488647999</v>
      </c>
      <c r="L216" s="10">
        <f t="shared" si="21"/>
        <v>0.1837194210453309</v>
      </c>
      <c r="M216" s="10">
        <f t="shared" si="20"/>
        <v>0.19431888765243244</v>
      </c>
      <c r="P216" s="8">
        <f t="shared" si="25"/>
        <v>-21.395477602871818</v>
      </c>
    </row>
    <row r="217" spans="1:16" x14ac:dyDescent="0.2">
      <c r="A217" s="8">
        <v>107.5</v>
      </c>
      <c r="B217" s="8">
        <v>215</v>
      </c>
      <c r="D217">
        <v>1064.4064056939999</v>
      </c>
      <c r="E217">
        <v>288.75017793593997</v>
      </c>
      <c r="F217">
        <v>140.86366880799</v>
      </c>
      <c r="G217">
        <v>118.62169878658</v>
      </c>
      <c r="I217" s="9">
        <f t="shared" si="22"/>
        <v>170.12847914935998</v>
      </c>
      <c r="J217" s="9">
        <f t="shared" si="23"/>
        <v>923.54273688600983</v>
      </c>
      <c r="K217" s="9">
        <f t="shared" si="24"/>
        <v>170.12847914935998</v>
      </c>
      <c r="L217" s="10">
        <f t="shared" si="21"/>
        <v>0.18421289276010888</v>
      </c>
      <c r="M217" s="10">
        <f t="shared" si="20"/>
        <v>0.19486188958500061</v>
      </c>
      <c r="P217" s="8">
        <f t="shared" si="25"/>
        <v>-21.175826244808352</v>
      </c>
    </row>
    <row r="218" spans="1:16" x14ac:dyDescent="0.2">
      <c r="A218" s="8">
        <v>108</v>
      </c>
      <c r="B218" s="8">
        <v>216</v>
      </c>
      <c r="D218">
        <v>1022.249821556</v>
      </c>
      <c r="E218">
        <v>281.99857244825</v>
      </c>
      <c r="F218">
        <v>140.2591006424</v>
      </c>
      <c r="G218">
        <v>118.7380442541</v>
      </c>
      <c r="I218" s="9">
        <f t="shared" si="22"/>
        <v>163.26052819415</v>
      </c>
      <c r="J218" s="9">
        <f t="shared" si="23"/>
        <v>881.99072091360006</v>
      </c>
      <c r="K218" s="9">
        <f t="shared" si="24"/>
        <v>163.26052819415</v>
      </c>
      <c r="L218" s="10">
        <f t="shared" si="21"/>
        <v>0.18510458706984859</v>
      </c>
      <c r="M218" s="10">
        <f t="shared" si="20"/>
        <v>0.19580311411253051</v>
      </c>
      <c r="P218" s="8">
        <f t="shared" si="25"/>
        <v>-20.795088657491146</v>
      </c>
    </row>
    <row r="219" spans="1:16" x14ac:dyDescent="0.2">
      <c r="A219" s="8">
        <v>108.5</v>
      </c>
      <c r="B219" s="8">
        <v>217</v>
      </c>
      <c r="D219">
        <v>947.87012987012997</v>
      </c>
      <c r="E219">
        <v>272.81024531025002</v>
      </c>
      <c r="F219">
        <v>140.46181299072001</v>
      </c>
      <c r="G219">
        <v>118.81441827266001</v>
      </c>
      <c r="I219" s="9">
        <f t="shared" si="22"/>
        <v>153.99582703759</v>
      </c>
      <c r="J219" s="9">
        <f t="shared" si="23"/>
        <v>807.40831687940999</v>
      </c>
      <c r="K219" s="9">
        <f t="shared" si="24"/>
        <v>153.99582703759</v>
      </c>
      <c r="L219" s="10">
        <f t="shared" si="21"/>
        <v>0.19072856176757708</v>
      </c>
      <c r="M219" s="10">
        <f t="shared" si="20"/>
        <v>0.2014766190280492</v>
      </c>
      <c r="P219" s="8">
        <f t="shared" si="25"/>
        <v>-18.500081982690826</v>
      </c>
    </row>
    <row r="220" spans="1:16" x14ac:dyDescent="0.2">
      <c r="A220" s="8">
        <v>109</v>
      </c>
      <c r="B220" s="8">
        <v>218</v>
      </c>
      <c r="D220">
        <v>918.36240171551003</v>
      </c>
      <c r="E220">
        <v>267.06576125804003</v>
      </c>
      <c r="F220">
        <v>140.28479657387999</v>
      </c>
      <c r="G220">
        <v>118.6324054247</v>
      </c>
      <c r="I220" s="9">
        <f t="shared" si="22"/>
        <v>148.43335583334004</v>
      </c>
      <c r="J220" s="9">
        <f t="shared" si="23"/>
        <v>778.0776051416301</v>
      </c>
      <c r="K220" s="9">
        <f t="shared" si="24"/>
        <v>148.43335583334004</v>
      </c>
      <c r="L220" s="10">
        <f t="shared" si="21"/>
        <v>0.19076934595273612</v>
      </c>
      <c r="M220" s="10">
        <f t="shared" si="20"/>
        <v>0.20156693343099841</v>
      </c>
      <c r="P220" s="8">
        <f t="shared" si="25"/>
        <v>-18.463548629730813</v>
      </c>
    </row>
    <row r="221" spans="1:16" x14ac:dyDescent="0.2">
      <c r="A221" s="8">
        <v>109.5</v>
      </c>
      <c r="B221" s="8">
        <v>219</v>
      </c>
      <c r="D221">
        <v>939.04574696212001</v>
      </c>
      <c r="E221">
        <v>270.49249463902999</v>
      </c>
      <c r="F221">
        <v>140.80157030692001</v>
      </c>
      <c r="G221">
        <v>118.76374018558001</v>
      </c>
      <c r="I221" s="9">
        <f t="shared" si="22"/>
        <v>151.72875445344999</v>
      </c>
      <c r="J221" s="9">
        <f t="shared" si="23"/>
        <v>798.24417665520002</v>
      </c>
      <c r="K221" s="9">
        <f t="shared" si="24"/>
        <v>151.72875445344999</v>
      </c>
      <c r="L221" s="10">
        <f t="shared" si="21"/>
        <v>0.19007812257299928</v>
      </c>
      <c r="M221" s="10">
        <f t="shared" si="20"/>
        <v>0.20092524026905179</v>
      </c>
      <c r="P221" s="8">
        <f t="shared" si="25"/>
        <v>-18.723121876210776</v>
      </c>
    </row>
    <row r="222" spans="1:16" x14ac:dyDescent="0.2">
      <c r="A222" s="8">
        <v>110</v>
      </c>
      <c r="B222" s="8">
        <v>220</v>
      </c>
      <c r="D222">
        <v>890.23802716225998</v>
      </c>
      <c r="E222">
        <v>260.83488205860999</v>
      </c>
      <c r="F222">
        <v>140.03069236260001</v>
      </c>
      <c r="G222">
        <v>118.49393290507</v>
      </c>
      <c r="I222" s="9">
        <f t="shared" si="22"/>
        <v>142.34094915354001</v>
      </c>
      <c r="J222" s="9">
        <f t="shared" si="23"/>
        <v>750.20733479965998</v>
      </c>
      <c r="K222" s="9">
        <f t="shared" si="24"/>
        <v>142.34094915354001</v>
      </c>
      <c r="L222" s="10">
        <f t="shared" si="21"/>
        <v>0.18973548051426559</v>
      </c>
      <c r="M222" s="10">
        <f t="shared" si="20"/>
        <v>0.20063212842810829</v>
      </c>
      <c r="P222" s="8">
        <f t="shared" si="25"/>
        <v>-18.841689435672706</v>
      </c>
    </row>
    <row r="223" spans="1:16" x14ac:dyDescent="0.2">
      <c r="A223" s="8">
        <v>110.5</v>
      </c>
      <c r="B223" s="8">
        <v>221</v>
      </c>
      <c r="D223">
        <v>920.29512893982997</v>
      </c>
      <c r="E223">
        <v>269.43624641833998</v>
      </c>
      <c r="F223">
        <v>140.36830835117999</v>
      </c>
      <c r="G223">
        <v>118.38044254104</v>
      </c>
      <c r="I223" s="9">
        <f t="shared" si="22"/>
        <v>151.05580387729998</v>
      </c>
      <c r="J223" s="9">
        <f t="shared" si="23"/>
        <v>779.92682058865</v>
      </c>
      <c r="K223" s="9">
        <f t="shared" si="24"/>
        <v>151.05580387729998</v>
      </c>
      <c r="L223" s="10">
        <f t="shared" si="21"/>
        <v>0.19367945798208422</v>
      </c>
      <c r="M223" s="10">
        <f t="shared" si="20"/>
        <v>0.20462563611371709</v>
      </c>
      <c r="P223" s="8">
        <f t="shared" si="25"/>
        <v>-17.226263533904422</v>
      </c>
    </row>
    <row r="224" spans="1:16" x14ac:dyDescent="0.2">
      <c r="A224" s="8">
        <v>111</v>
      </c>
      <c r="B224" s="8">
        <v>222</v>
      </c>
      <c r="D224">
        <v>861.82449856734002</v>
      </c>
      <c r="E224">
        <v>260.32736389684999</v>
      </c>
      <c r="F224">
        <v>140.12990720913999</v>
      </c>
      <c r="G224">
        <v>119.18058529622</v>
      </c>
      <c r="I224" s="9">
        <f t="shared" si="22"/>
        <v>141.14677860063</v>
      </c>
      <c r="J224" s="9">
        <f t="shared" si="23"/>
        <v>721.6945913582</v>
      </c>
      <c r="K224" s="9">
        <f t="shared" si="24"/>
        <v>141.14677860063</v>
      </c>
      <c r="L224" s="10">
        <f t="shared" si="21"/>
        <v>0.19557688292356118</v>
      </c>
      <c r="M224" s="10">
        <f t="shared" si="20"/>
        <v>0.20657259127298425</v>
      </c>
      <c r="P224" s="8">
        <f t="shared" si="25"/>
        <v>-16.438694799481894</v>
      </c>
    </row>
    <row r="225" spans="1:16" x14ac:dyDescent="0.2">
      <c r="A225" s="8">
        <v>111.5</v>
      </c>
      <c r="B225" s="8">
        <v>223</v>
      </c>
      <c r="D225">
        <v>849.46489971347</v>
      </c>
      <c r="E225">
        <v>258.82020057307</v>
      </c>
      <c r="F225">
        <v>140.44039971449001</v>
      </c>
      <c r="G225">
        <v>118.4596716631</v>
      </c>
      <c r="I225" s="9">
        <f t="shared" si="22"/>
        <v>140.36052890997001</v>
      </c>
      <c r="J225" s="9">
        <f t="shared" si="23"/>
        <v>709.02449999897999</v>
      </c>
      <c r="K225" s="9">
        <f t="shared" si="24"/>
        <v>140.36052890997001</v>
      </c>
      <c r="L225" s="10">
        <f t="shared" si="21"/>
        <v>0.19796287562724835</v>
      </c>
      <c r="M225" s="10">
        <f t="shared" si="20"/>
        <v>0.20900811419446161</v>
      </c>
      <c r="P225" s="8">
        <f t="shared" si="25"/>
        <v>-15.453494038285639</v>
      </c>
    </row>
    <row r="226" spans="1:16" x14ac:dyDescent="0.2">
      <c r="A226" s="8">
        <v>112</v>
      </c>
      <c r="B226" s="8">
        <v>224</v>
      </c>
      <c r="D226">
        <v>872.63753581662002</v>
      </c>
      <c r="E226">
        <v>263.51575931231997</v>
      </c>
      <c r="F226">
        <v>139.93647394717999</v>
      </c>
      <c r="G226">
        <v>118.55246252677</v>
      </c>
      <c r="I226" s="9">
        <f t="shared" si="22"/>
        <v>144.96329678554997</v>
      </c>
      <c r="J226" s="9">
        <f t="shared" si="23"/>
        <v>732.70106186944008</v>
      </c>
      <c r="K226" s="9">
        <f t="shared" si="24"/>
        <v>144.96329678554997</v>
      </c>
      <c r="L226" s="10">
        <f t="shared" si="21"/>
        <v>0.19784780496384891</v>
      </c>
      <c r="M226" s="10">
        <f t="shared" si="20"/>
        <v>0.20894257374885236</v>
      </c>
      <c r="P226" s="8">
        <f t="shared" si="25"/>
        <v>-15.480006002650237</v>
      </c>
    </row>
    <row r="227" spans="1:16" x14ac:dyDescent="0.2">
      <c r="A227" s="8">
        <v>112.5</v>
      </c>
      <c r="B227" s="8">
        <v>225</v>
      </c>
      <c r="D227">
        <v>947.64705882352996</v>
      </c>
      <c r="E227">
        <v>278.51291248207002</v>
      </c>
      <c r="F227">
        <v>140.03497501784</v>
      </c>
      <c r="G227">
        <v>118.73947180585</v>
      </c>
      <c r="I227" s="9">
        <f t="shared" si="22"/>
        <v>159.77344067622002</v>
      </c>
      <c r="J227" s="9">
        <f t="shared" si="23"/>
        <v>807.61208380568996</v>
      </c>
      <c r="K227" s="9">
        <f t="shared" si="24"/>
        <v>159.77344067622002</v>
      </c>
      <c r="L227" s="10">
        <f t="shared" si="21"/>
        <v>0.19783438593851108</v>
      </c>
      <c r="M227" s="10">
        <f t="shared" si="20"/>
        <v>0.20897868494130473</v>
      </c>
      <c r="P227" s="8">
        <f t="shared" si="25"/>
        <v>-15.465398554706288</v>
      </c>
    </row>
    <row r="228" spans="1:16" x14ac:dyDescent="0.2">
      <c r="A228" s="8">
        <v>113</v>
      </c>
      <c r="B228" s="8">
        <v>226</v>
      </c>
      <c r="D228">
        <v>853.41755888651005</v>
      </c>
      <c r="E228">
        <v>261.99000713776002</v>
      </c>
      <c r="F228">
        <v>140.00499643111999</v>
      </c>
      <c r="G228">
        <v>118.89079229122</v>
      </c>
      <c r="I228" s="9">
        <f t="shared" si="22"/>
        <v>143.09921484654001</v>
      </c>
      <c r="J228" s="9">
        <f t="shared" si="23"/>
        <v>713.41256245539012</v>
      </c>
      <c r="K228" s="9">
        <f t="shared" si="24"/>
        <v>143.09921484654001</v>
      </c>
      <c r="L228" s="10">
        <f t="shared" si="21"/>
        <v>0.20058409730553076</v>
      </c>
      <c r="M228" s="10">
        <f t="shared" si="20"/>
        <v>0.2117779265261146</v>
      </c>
      <c r="P228" s="8">
        <f t="shared" si="25"/>
        <v>-14.333068854251636</v>
      </c>
    </row>
    <row r="229" spans="1:16" x14ac:dyDescent="0.2">
      <c r="A229" s="8">
        <v>113.5</v>
      </c>
      <c r="B229" s="8">
        <v>227</v>
      </c>
      <c r="D229">
        <v>842.84582441114003</v>
      </c>
      <c r="E229">
        <v>261.63668807993997</v>
      </c>
      <c r="F229">
        <v>140.21199143468999</v>
      </c>
      <c r="G229">
        <v>118.99286224126</v>
      </c>
      <c r="I229" s="9">
        <f t="shared" si="22"/>
        <v>142.64382583867996</v>
      </c>
      <c r="J229" s="9">
        <f t="shared" si="23"/>
        <v>702.63383297645009</v>
      </c>
      <c r="K229" s="9">
        <f t="shared" si="24"/>
        <v>142.64382583867996</v>
      </c>
      <c r="L229" s="10">
        <f t="shared" si="21"/>
        <v>0.20301303345217778</v>
      </c>
      <c r="M229" s="10">
        <f t="shared" si="20"/>
        <v>0.21425639289055182</v>
      </c>
      <c r="P229" s="8">
        <f t="shared" si="25"/>
        <v>-13.330496910744035</v>
      </c>
    </row>
    <row r="230" spans="1:16" x14ac:dyDescent="0.2">
      <c r="A230" s="8">
        <v>114</v>
      </c>
      <c r="B230" s="8">
        <v>228</v>
      </c>
      <c r="D230">
        <v>842.50392576730997</v>
      </c>
      <c r="E230">
        <v>264.25767309064997</v>
      </c>
      <c r="F230">
        <v>139.91934332619999</v>
      </c>
      <c r="G230">
        <v>118.83154889364999</v>
      </c>
      <c r="I230" s="9">
        <f t="shared" si="22"/>
        <v>145.42612419699998</v>
      </c>
      <c r="J230" s="9">
        <f t="shared" si="23"/>
        <v>702.58458244111</v>
      </c>
      <c r="K230" s="9">
        <f t="shared" si="24"/>
        <v>145.42612419699998</v>
      </c>
      <c r="L230" s="10">
        <f t="shared" si="21"/>
        <v>0.20698735473488628</v>
      </c>
      <c r="M230" s="10">
        <f t="shared" si="20"/>
        <v>0.21828024439105051</v>
      </c>
      <c r="P230" s="8">
        <f t="shared" si="25"/>
        <v>-11.702796540415635</v>
      </c>
    </row>
    <row r="231" spans="1:16" x14ac:dyDescent="0.2">
      <c r="A231" s="8">
        <v>114.5</v>
      </c>
      <c r="B231" s="8">
        <v>229</v>
      </c>
      <c r="D231">
        <v>872.70206699928997</v>
      </c>
      <c r="E231">
        <v>267.37348538844998</v>
      </c>
      <c r="F231">
        <v>139.92219842969001</v>
      </c>
      <c r="G231">
        <v>118.85082084226001</v>
      </c>
      <c r="I231" s="9">
        <f t="shared" si="22"/>
        <v>148.52266454618996</v>
      </c>
      <c r="J231" s="9">
        <f t="shared" si="23"/>
        <v>732.77986856960001</v>
      </c>
      <c r="K231" s="9">
        <f t="shared" si="24"/>
        <v>148.52266454618996</v>
      </c>
      <c r="L231" s="10">
        <f t="shared" si="21"/>
        <v>0.20268387672290858</v>
      </c>
      <c r="M231" s="10">
        <f t="shared" si="20"/>
        <v>0.21402629659686301</v>
      </c>
      <c r="P231" s="8">
        <f t="shared" si="25"/>
        <v>-13.423573860129981</v>
      </c>
    </row>
    <row r="232" spans="1:16" x14ac:dyDescent="0.2">
      <c r="A232" s="8">
        <v>115</v>
      </c>
      <c r="B232" s="8">
        <v>230</v>
      </c>
      <c r="D232">
        <v>878.69493941554003</v>
      </c>
      <c r="E232">
        <v>268.85744832502002</v>
      </c>
      <c r="F232">
        <v>140.19700214132999</v>
      </c>
      <c r="G232">
        <v>118.72519628837</v>
      </c>
      <c r="I232" s="9">
        <f t="shared" si="22"/>
        <v>150.13225203665002</v>
      </c>
      <c r="J232" s="9">
        <f t="shared" si="23"/>
        <v>738.49793727421002</v>
      </c>
      <c r="K232" s="9">
        <f t="shared" si="24"/>
        <v>150.13225203665002</v>
      </c>
      <c r="L232" s="10">
        <f t="shared" si="21"/>
        <v>0.20329407092291546</v>
      </c>
      <c r="M232" s="10">
        <f t="shared" si="20"/>
        <v>0.21468602101466008</v>
      </c>
      <c r="P232" s="8">
        <f t="shared" si="25"/>
        <v>-13.156706735677226</v>
      </c>
    </row>
    <row r="233" spans="1:16" x14ac:dyDescent="0.2">
      <c r="A233" s="8">
        <v>115.5</v>
      </c>
      <c r="B233" s="8">
        <v>231</v>
      </c>
      <c r="D233">
        <v>850.12972202422998</v>
      </c>
      <c r="E233">
        <v>265.88595866000998</v>
      </c>
      <c r="F233">
        <v>140.13418986438001</v>
      </c>
      <c r="G233">
        <v>118.61598857959</v>
      </c>
      <c r="I233" s="9">
        <f t="shared" si="22"/>
        <v>147.26997008041997</v>
      </c>
      <c r="J233" s="9">
        <f t="shared" si="23"/>
        <v>709.99553215984997</v>
      </c>
      <c r="K233" s="9">
        <f t="shared" si="24"/>
        <v>147.26997008041997</v>
      </c>
      <c r="L233" s="10">
        <f t="shared" si="21"/>
        <v>0.20742379833351302</v>
      </c>
      <c r="M233" s="10">
        <f t="shared" si="20"/>
        <v>0.21886527864304783</v>
      </c>
      <c r="P233" s="8">
        <f t="shared" si="25"/>
        <v>-11.466142561382656</v>
      </c>
    </row>
    <row r="234" spans="1:16" x14ac:dyDescent="0.2">
      <c r="A234" s="8">
        <v>116</v>
      </c>
      <c r="B234" s="8">
        <v>232</v>
      </c>
      <c r="D234">
        <v>834.53884533143002</v>
      </c>
      <c r="E234">
        <v>262.37491090520001</v>
      </c>
      <c r="F234">
        <v>139.76017130621</v>
      </c>
      <c r="G234">
        <v>118.45110635261</v>
      </c>
      <c r="I234" s="9">
        <f t="shared" si="22"/>
        <v>143.92380455259001</v>
      </c>
      <c r="J234" s="9">
        <f t="shared" si="23"/>
        <v>694.77867402521997</v>
      </c>
      <c r="K234" s="9">
        <f t="shared" si="24"/>
        <v>143.92380455259001</v>
      </c>
      <c r="L234" s="10">
        <f t="shared" si="21"/>
        <v>0.207150578930069</v>
      </c>
      <c r="M234" s="10">
        <f t="shared" si="20"/>
        <v>0.21864158945739401</v>
      </c>
      <c r="P234" s="8">
        <f t="shared" si="25"/>
        <v>-11.556627752071741</v>
      </c>
    </row>
    <row r="235" spans="1:16" x14ac:dyDescent="0.2">
      <c r="A235" s="8">
        <v>116.5</v>
      </c>
      <c r="B235" s="8">
        <v>233</v>
      </c>
      <c r="D235">
        <v>837.84533143264002</v>
      </c>
      <c r="E235">
        <v>267.45759087669001</v>
      </c>
      <c r="F235">
        <v>139.83797287652001</v>
      </c>
      <c r="G235">
        <v>118.62027123483</v>
      </c>
      <c r="I235" s="9">
        <f t="shared" si="22"/>
        <v>148.83731964186001</v>
      </c>
      <c r="J235" s="9">
        <f t="shared" si="23"/>
        <v>698.00735855612004</v>
      </c>
      <c r="K235" s="9">
        <f t="shared" si="24"/>
        <v>148.83731964186001</v>
      </c>
      <c r="L235" s="10">
        <f t="shared" si="21"/>
        <v>0.21323173433263087</v>
      </c>
      <c r="M235" s="10">
        <f t="shared" si="20"/>
        <v>0.22477227507774608</v>
      </c>
      <c r="P235" s="8">
        <f t="shared" si="25"/>
        <v>-9.0766855242391919</v>
      </c>
    </row>
    <row r="236" spans="1:16" x14ac:dyDescent="0.2">
      <c r="A236" s="8">
        <v>117</v>
      </c>
      <c r="B236" s="8">
        <v>234</v>
      </c>
      <c r="D236">
        <v>915.15021459228001</v>
      </c>
      <c r="E236">
        <v>280.78540772532</v>
      </c>
      <c r="F236">
        <v>139.81156316917</v>
      </c>
      <c r="G236">
        <v>118.73304782298</v>
      </c>
      <c r="I236" s="9">
        <f t="shared" si="22"/>
        <v>162.05235990234002</v>
      </c>
      <c r="J236" s="9">
        <f t="shared" si="23"/>
        <v>775.33865142311004</v>
      </c>
      <c r="K236" s="9">
        <f t="shared" si="24"/>
        <v>162.05235990234002</v>
      </c>
      <c r="L236" s="10">
        <f t="shared" si="21"/>
        <v>0.2090084888775994</v>
      </c>
      <c r="M236" s="10">
        <f t="shared" si="20"/>
        <v>0.2205985598405048</v>
      </c>
      <c r="P236" s="8">
        <f t="shared" si="25"/>
        <v>-10.7650077290872</v>
      </c>
    </row>
    <row r="237" spans="1:16" x14ac:dyDescent="0.2">
      <c r="A237" s="8">
        <v>117.5</v>
      </c>
      <c r="B237" s="8">
        <v>235</v>
      </c>
      <c r="D237">
        <v>1021.5994297933</v>
      </c>
      <c r="E237">
        <v>305.87027797577002</v>
      </c>
      <c r="F237">
        <v>140.16345467523001</v>
      </c>
      <c r="G237">
        <v>118.94932191292</v>
      </c>
      <c r="I237" s="9">
        <f t="shared" si="22"/>
        <v>186.92095606285002</v>
      </c>
      <c r="J237" s="9">
        <f t="shared" si="23"/>
        <v>881.43597511807002</v>
      </c>
      <c r="K237" s="9">
        <f t="shared" si="24"/>
        <v>186.92095606285002</v>
      </c>
      <c r="L237" s="10">
        <f t="shared" si="21"/>
        <v>0.21206413323192488</v>
      </c>
      <c r="M237" s="10">
        <f t="shared" si="20"/>
        <v>0.22370373441262048</v>
      </c>
      <c r="P237" s="8">
        <f t="shared" si="25"/>
        <v>-9.5089241483833344</v>
      </c>
    </row>
    <row r="238" spans="1:16" x14ac:dyDescent="0.2">
      <c r="A238" s="8">
        <v>118</v>
      </c>
      <c r="B238" s="8">
        <v>236</v>
      </c>
      <c r="D238">
        <v>987.28439059158995</v>
      </c>
      <c r="E238">
        <v>299.78759800428003</v>
      </c>
      <c r="F238">
        <v>140.13418986438001</v>
      </c>
      <c r="G238">
        <v>118.47680228407999</v>
      </c>
      <c r="I238" s="9">
        <f t="shared" si="22"/>
        <v>181.31079572020002</v>
      </c>
      <c r="J238" s="9">
        <f t="shared" si="23"/>
        <v>847.15020072720995</v>
      </c>
      <c r="K238" s="9">
        <f t="shared" si="24"/>
        <v>181.31079572020002</v>
      </c>
      <c r="L238" s="10">
        <f t="shared" si="21"/>
        <v>0.21402437910604208</v>
      </c>
      <c r="M238" s="10">
        <f t="shared" si="20"/>
        <v>0.22571351050452787</v>
      </c>
      <c r="P238" s="8">
        <f t="shared" si="25"/>
        <v>-8.6959435280325579</v>
      </c>
    </row>
    <row r="239" spans="1:16" x14ac:dyDescent="0.2">
      <c r="A239" s="8">
        <v>118.5</v>
      </c>
      <c r="B239" s="8">
        <v>237</v>
      </c>
      <c r="D239">
        <v>886.03129445235004</v>
      </c>
      <c r="E239">
        <v>277.98577524893</v>
      </c>
      <c r="F239">
        <v>139.83583154889001</v>
      </c>
      <c r="G239">
        <v>118.25410421127999</v>
      </c>
      <c r="I239" s="9">
        <f t="shared" si="22"/>
        <v>159.73167103765002</v>
      </c>
      <c r="J239" s="9">
        <f t="shared" si="23"/>
        <v>746.19546290346</v>
      </c>
      <c r="K239" s="9">
        <f t="shared" si="24"/>
        <v>159.73167103765002</v>
      </c>
      <c r="L239" s="10">
        <f t="shared" si="21"/>
        <v>0.21406143427371055</v>
      </c>
      <c r="M239" s="10">
        <f t="shared" si="20"/>
        <v>0.22580009588998654</v>
      </c>
      <c r="P239" s="8">
        <f t="shared" si="25"/>
        <v>-8.6609186112436003</v>
      </c>
    </row>
    <row r="240" spans="1:16" x14ac:dyDescent="0.2">
      <c r="A240" s="8">
        <v>119</v>
      </c>
      <c r="B240" s="8">
        <v>238</v>
      </c>
      <c r="D240">
        <v>905.91678520625999</v>
      </c>
      <c r="E240">
        <v>281.43172119488003</v>
      </c>
      <c r="F240">
        <v>139.92719486081</v>
      </c>
      <c r="G240">
        <v>118.51891506067</v>
      </c>
      <c r="I240" s="9">
        <f t="shared" si="22"/>
        <v>162.91280613421003</v>
      </c>
      <c r="J240" s="9">
        <f t="shared" si="23"/>
        <v>765.98959034544998</v>
      </c>
      <c r="K240" s="9">
        <f t="shared" si="24"/>
        <v>162.91280613421003</v>
      </c>
      <c r="L240" s="10">
        <f t="shared" si="21"/>
        <v>0.21268279384937694</v>
      </c>
      <c r="M240" s="10">
        <f t="shared" si="20"/>
        <v>0.22447098568344312</v>
      </c>
      <c r="P240" s="8">
        <f t="shared" si="25"/>
        <v>-9.1985610106039761</v>
      </c>
    </row>
    <row r="241" spans="1:16" x14ac:dyDescent="0.2">
      <c r="A241" s="8">
        <v>119.5</v>
      </c>
      <c r="B241" s="8">
        <v>239</v>
      </c>
      <c r="D241">
        <v>912.40113798008997</v>
      </c>
      <c r="E241">
        <v>284.18634423897998</v>
      </c>
      <c r="F241">
        <v>139.72805139185999</v>
      </c>
      <c r="G241">
        <v>118.72305496074</v>
      </c>
      <c r="I241" s="9">
        <f t="shared" si="22"/>
        <v>165.46328927823998</v>
      </c>
      <c r="J241" s="9">
        <f t="shared" si="23"/>
        <v>772.67308658823003</v>
      </c>
      <c r="K241" s="9">
        <f t="shared" si="24"/>
        <v>165.46328927823998</v>
      </c>
      <c r="L241" s="10">
        <f t="shared" si="21"/>
        <v>0.21414397906474261</v>
      </c>
      <c r="M241" s="10">
        <f t="shared" si="20"/>
        <v>0.22598170111659899</v>
      </c>
      <c r="P241" s="8">
        <f t="shared" si="25"/>
        <v>-8.5874569304201334</v>
      </c>
    </row>
    <row r="242" spans="1:16" x14ac:dyDescent="0.2">
      <c r="A242" s="8">
        <v>120</v>
      </c>
      <c r="B242" s="8">
        <v>240</v>
      </c>
      <c r="D242">
        <v>904.56756756756999</v>
      </c>
      <c r="E242">
        <v>282.89900426742997</v>
      </c>
      <c r="F242">
        <v>139.568165596</v>
      </c>
      <c r="G242">
        <v>117.98144182727</v>
      </c>
      <c r="I242" s="9">
        <f>E242-G242</f>
        <v>164.91756244015997</v>
      </c>
      <c r="J242" s="9">
        <f>D242-F242</f>
        <v>764.99940197157002</v>
      </c>
      <c r="K242" s="9">
        <f t="shared" si="24"/>
        <v>164.91756244015997</v>
      </c>
      <c r="L242" s="10">
        <f t="shared" si="21"/>
        <v>0.21557868151939924</v>
      </c>
      <c r="M242" s="10">
        <f>L242+ABS($N$2)*A242</f>
        <v>0.22746593378904581</v>
      </c>
      <c r="O242" s="11"/>
      <c r="P242" s="8">
        <f>(M242-$O$2)/$O$2*100</f>
        <v>-7.9870654720634331</v>
      </c>
    </row>
    <row r="243" spans="1:16" x14ac:dyDescent="0.2">
      <c r="A243" s="8">
        <v>120.5</v>
      </c>
      <c r="B243" s="8">
        <v>241</v>
      </c>
      <c r="D243">
        <v>881.71479374111004</v>
      </c>
      <c r="E243">
        <v>281.40611664296</v>
      </c>
      <c r="F243">
        <v>140.46966452533999</v>
      </c>
      <c r="G243">
        <v>118.88508208423001</v>
      </c>
      <c r="I243" s="9">
        <f t="shared" ref="I243:I274" si="26">E243-G243</f>
        <v>162.52103455872998</v>
      </c>
      <c r="J243" s="9">
        <f t="shared" ref="J243:J274" si="27">D243-F243</f>
        <v>741.24512921577002</v>
      </c>
      <c r="K243" s="9">
        <f t="shared" si="24"/>
        <v>162.52103455872998</v>
      </c>
      <c r="L243" s="10">
        <f t="shared" si="21"/>
        <v>0.21925410117794045</v>
      </c>
      <c r="M243" s="10">
        <f t="shared" ref="M243:M274" si="28">L243+ABS($N$2)*A243</f>
        <v>0.23119088366537721</v>
      </c>
      <c r="P243" s="8">
        <f t="shared" ref="P243:P274" si="29">(M243-$O$2)/$O$2*100</f>
        <v>-6.4802747039627882</v>
      </c>
    </row>
    <row r="244" spans="1:16" x14ac:dyDescent="0.2">
      <c r="A244" s="8">
        <v>121</v>
      </c>
      <c r="B244" s="8">
        <v>242</v>
      </c>
      <c r="D244">
        <v>924.40243902438999</v>
      </c>
      <c r="E244">
        <v>290.08608321377</v>
      </c>
      <c r="F244">
        <v>139.99643112063001</v>
      </c>
      <c r="G244">
        <v>118.32833690221</v>
      </c>
      <c r="I244" s="9">
        <f t="shared" si="26"/>
        <v>171.75774631156</v>
      </c>
      <c r="J244" s="9">
        <f t="shared" si="27"/>
        <v>784.40600790375993</v>
      </c>
      <c r="K244" s="9">
        <f t="shared" si="24"/>
        <v>171.75774631156</v>
      </c>
      <c r="L244" s="10">
        <f t="shared" si="21"/>
        <v>0.218965363065696</v>
      </c>
      <c r="M244" s="10">
        <f t="shared" si="28"/>
        <v>0.23095167577092296</v>
      </c>
      <c r="N244" s="1"/>
      <c r="P244" s="8">
        <f t="shared" si="29"/>
        <v>-6.577037414599701</v>
      </c>
    </row>
    <row r="245" spans="1:16" x14ac:dyDescent="0.2">
      <c r="A245" s="8">
        <v>121.5</v>
      </c>
      <c r="B245" s="8">
        <v>243</v>
      </c>
      <c r="D245">
        <v>895.68077474892004</v>
      </c>
      <c r="E245">
        <v>288.13916786227003</v>
      </c>
      <c r="F245">
        <v>139.93790149892999</v>
      </c>
      <c r="G245">
        <v>118.87009279086</v>
      </c>
      <c r="I245" s="9">
        <f t="shared" si="26"/>
        <v>169.26907507141004</v>
      </c>
      <c r="J245" s="9">
        <f t="shared" si="27"/>
        <v>755.74287324999</v>
      </c>
      <c r="K245" s="9">
        <f t="shared" si="24"/>
        <v>169.26907507141004</v>
      </c>
      <c r="L245" s="10">
        <f t="shared" si="21"/>
        <v>0.22397707085676746</v>
      </c>
      <c r="M245" s="10">
        <f t="shared" si="28"/>
        <v>0.23601291377978462</v>
      </c>
      <c r="P245" s="8">
        <f t="shared" si="29"/>
        <v>-4.5297006825350836</v>
      </c>
    </row>
    <row r="246" spans="1:16" x14ac:dyDescent="0.2">
      <c r="A246" s="8">
        <v>122</v>
      </c>
      <c r="B246" s="8">
        <v>244</v>
      </c>
      <c r="D246">
        <v>827.77634408602</v>
      </c>
      <c r="E246">
        <v>271.79139784946</v>
      </c>
      <c r="F246">
        <v>138.94575303355001</v>
      </c>
      <c r="G246">
        <v>118.52391149179</v>
      </c>
      <c r="I246" s="9">
        <f t="shared" si="26"/>
        <v>153.26748635767001</v>
      </c>
      <c r="J246" s="9">
        <f t="shared" si="27"/>
        <v>688.83059105247003</v>
      </c>
      <c r="K246" s="9">
        <f t="shared" si="24"/>
        <v>153.26748635767001</v>
      </c>
      <c r="L246" s="10">
        <f t="shared" si="21"/>
        <v>0.22250389043188593</v>
      </c>
      <c r="M246" s="10">
        <f t="shared" si="28"/>
        <v>0.23458926357269327</v>
      </c>
      <c r="P246" s="8">
        <f t="shared" si="29"/>
        <v>-5.1055857441516705</v>
      </c>
    </row>
    <row r="247" spans="1:16" x14ac:dyDescent="0.2">
      <c r="A247" s="8">
        <v>122.5</v>
      </c>
      <c r="B247" s="8">
        <v>245</v>
      </c>
      <c r="D247">
        <v>802.10609318996001</v>
      </c>
      <c r="E247">
        <v>267.08745519713</v>
      </c>
      <c r="F247">
        <v>139.77658815132</v>
      </c>
      <c r="G247">
        <v>118.54532476802</v>
      </c>
      <c r="I247" s="9">
        <f t="shared" si="26"/>
        <v>148.54213042910999</v>
      </c>
      <c r="J247" s="9">
        <f t="shared" si="27"/>
        <v>662.32950503864004</v>
      </c>
      <c r="K247" s="9">
        <f t="shared" si="24"/>
        <v>148.54213042910999</v>
      </c>
      <c r="L247" s="10">
        <f t="shared" si="21"/>
        <v>0.22427225315961744</v>
      </c>
      <c r="M247" s="10">
        <f t="shared" si="28"/>
        <v>0.23640715651821498</v>
      </c>
      <c r="P247" s="8">
        <f t="shared" si="29"/>
        <v>-4.3702243571133197</v>
      </c>
    </row>
    <row r="248" spans="1:16" x14ac:dyDescent="0.2">
      <c r="A248" s="8">
        <v>123</v>
      </c>
      <c r="B248" s="8">
        <v>246</v>
      </c>
      <c r="D248">
        <v>829.43664996421001</v>
      </c>
      <c r="E248">
        <v>272.2763063708</v>
      </c>
      <c r="F248">
        <v>139.82869379015</v>
      </c>
      <c r="G248">
        <v>118.40542469665</v>
      </c>
      <c r="I248" s="9">
        <f t="shared" si="26"/>
        <v>153.87088167414998</v>
      </c>
      <c r="J248" s="9">
        <f t="shared" si="27"/>
        <v>689.60795617406006</v>
      </c>
      <c r="K248" s="9">
        <f t="shared" si="24"/>
        <v>153.87088167414998</v>
      </c>
      <c r="L248" s="10">
        <f t="shared" si="21"/>
        <v>0.223128054565705</v>
      </c>
      <c r="M248" s="10">
        <f t="shared" si="28"/>
        <v>0.23531248814209274</v>
      </c>
      <c r="P248" s="8">
        <f t="shared" si="29"/>
        <v>-4.8130319808489697</v>
      </c>
    </row>
    <row r="249" spans="1:16" x14ac:dyDescent="0.2">
      <c r="A249" s="8">
        <v>123.5</v>
      </c>
      <c r="B249" s="8">
        <v>247</v>
      </c>
      <c r="D249">
        <v>892.80411639460999</v>
      </c>
      <c r="E249">
        <v>287.94393186656998</v>
      </c>
      <c r="F249">
        <v>140.47323340470999</v>
      </c>
      <c r="G249">
        <v>118.57530335475001</v>
      </c>
      <c r="I249" s="9">
        <f t="shared" si="26"/>
        <v>169.36862851181996</v>
      </c>
      <c r="J249" s="9">
        <f t="shared" si="27"/>
        <v>752.33088298990003</v>
      </c>
      <c r="K249" s="9">
        <f t="shared" si="24"/>
        <v>169.36862851181996</v>
      </c>
      <c r="L249" s="10">
        <f t="shared" si="21"/>
        <v>0.22512518406624246</v>
      </c>
      <c r="M249" s="10">
        <f t="shared" si="28"/>
        <v>0.23735914786042039</v>
      </c>
      <c r="P249" s="8">
        <f t="shared" si="29"/>
        <v>-3.9851314529479582</v>
      </c>
    </row>
    <row r="250" spans="1:16" x14ac:dyDescent="0.2">
      <c r="A250" s="8">
        <v>124</v>
      </c>
      <c r="B250" s="8">
        <v>248</v>
      </c>
      <c r="D250">
        <v>812.60686204432</v>
      </c>
      <c r="E250">
        <v>270.56611865617998</v>
      </c>
      <c r="F250">
        <v>139.64668094218001</v>
      </c>
      <c r="G250">
        <v>118.19842969308</v>
      </c>
      <c r="I250" s="9">
        <f t="shared" si="26"/>
        <v>152.36768896309997</v>
      </c>
      <c r="J250" s="9">
        <f t="shared" si="27"/>
        <v>672.96018110214004</v>
      </c>
      <c r="K250" s="9">
        <f t="shared" si="24"/>
        <v>152.36768896309997</v>
      </c>
      <c r="L250" s="10">
        <f t="shared" si="21"/>
        <v>0.22641412262098465</v>
      </c>
      <c r="M250" s="10">
        <f t="shared" si="28"/>
        <v>0.23869761663295277</v>
      </c>
      <c r="P250" s="8">
        <f t="shared" si="29"/>
        <v>-3.4437033916852724</v>
      </c>
    </row>
    <row r="251" spans="1:16" x14ac:dyDescent="0.2">
      <c r="A251" s="8">
        <v>124.5</v>
      </c>
      <c r="B251" s="8">
        <v>249</v>
      </c>
      <c r="D251">
        <v>793.59042172981003</v>
      </c>
      <c r="E251">
        <v>267.04503216582998</v>
      </c>
      <c r="F251">
        <v>139.97144896502999</v>
      </c>
      <c r="G251">
        <v>118.56388294076</v>
      </c>
      <c r="I251" s="9">
        <f t="shared" si="26"/>
        <v>148.48114922507</v>
      </c>
      <c r="J251" s="9">
        <f t="shared" si="27"/>
        <v>653.61897276477998</v>
      </c>
      <c r="K251" s="9">
        <f t="shared" si="24"/>
        <v>148.48114922507</v>
      </c>
      <c r="L251" s="10">
        <f t="shared" si="21"/>
        <v>0.2271677466720422</v>
      </c>
      <c r="M251" s="10">
        <f t="shared" si="28"/>
        <v>0.23950077090180052</v>
      </c>
      <c r="P251" s="8">
        <f t="shared" si="29"/>
        <v>-3.1188170233209576</v>
      </c>
    </row>
    <row r="252" spans="1:16" x14ac:dyDescent="0.2">
      <c r="A252" s="8">
        <v>125</v>
      </c>
      <c r="B252" s="8">
        <v>250</v>
      </c>
      <c r="D252">
        <v>770.12365975697003</v>
      </c>
      <c r="E252">
        <v>263.67691208005999</v>
      </c>
      <c r="F252">
        <v>139.92790863669001</v>
      </c>
      <c r="G252">
        <v>118.37401855816999</v>
      </c>
      <c r="I252" s="9">
        <f t="shared" si="26"/>
        <v>145.30289352188998</v>
      </c>
      <c r="J252" s="9">
        <f t="shared" si="27"/>
        <v>630.19575112027997</v>
      </c>
      <c r="K252" s="9">
        <f t="shared" si="24"/>
        <v>145.30289352188998</v>
      </c>
      <c r="L252" s="10">
        <f t="shared" si="21"/>
        <v>0.23056787238503182</v>
      </c>
      <c r="M252" s="10">
        <f t="shared" si="28"/>
        <v>0.24295042683258034</v>
      </c>
      <c r="P252" s="8">
        <f t="shared" si="29"/>
        <v>-1.7233862437954279</v>
      </c>
    </row>
    <row r="253" spans="1:16" x14ac:dyDescent="0.2">
      <c r="A253" s="8">
        <v>125.5</v>
      </c>
      <c r="B253" s="8">
        <v>251</v>
      </c>
      <c r="D253">
        <v>823.14488636364001</v>
      </c>
      <c r="E253">
        <v>275.83948863635999</v>
      </c>
      <c r="F253">
        <v>139.46395431834</v>
      </c>
      <c r="G253">
        <v>118.49250535332</v>
      </c>
      <c r="I253" s="9">
        <f t="shared" si="26"/>
        <v>157.34698328304</v>
      </c>
      <c r="J253" s="9">
        <f t="shared" si="27"/>
        <v>683.68093204529998</v>
      </c>
      <c r="K253" s="9">
        <f t="shared" si="24"/>
        <v>157.34698328304</v>
      </c>
      <c r="L253" s="10">
        <f t="shared" si="21"/>
        <v>0.23014680665777931</v>
      </c>
      <c r="M253" s="10">
        <f t="shared" si="28"/>
        <v>0.24257889132311802</v>
      </c>
      <c r="P253" s="8">
        <f t="shared" si="29"/>
        <v>-1.8736771991815813</v>
      </c>
    </row>
    <row r="254" spans="1:16" x14ac:dyDescent="0.2">
      <c r="A254" s="8">
        <v>126</v>
      </c>
      <c r="B254" s="8">
        <v>252</v>
      </c>
      <c r="D254">
        <v>857.72230113635999</v>
      </c>
      <c r="E254">
        <v>282.95738636364001</v>
      </c>
      <c r="F254">
        <v>139.74304068523</v>
      </c>
      <c r="G254">
        <v>118.51034975018</v>
      </c>
      <c r="I254" s="9">
        <f t="shared" si="26"/>
        <v>164.44703661346</v>
      </c>
      <c r="J254" s="9">
        <f t="shared" si="27"/>
        <v>717.97926045113002</v>
      </c>
      <c r="K254" s="9">
        <f t="shared" si="24"/>
        <v>164.44703661346</v>
      </c>
      <c r="L254" s="10">
        <f t="shared" si="21"/>
        <v>0.2290414858364189</v>
      </c>
      <c r="M254" s="10">
        <f t="shared" si="28"/>
        <v>0.2415231007195478</v>
      </c>
      <c r="P254" s="8">
        <f t="shared" si="29"/>
        <v>-2.3007582572692158</v>
      </c>
    </row>
    <row r="255" spans="1:16" x14ac:dyDescent="0.2">
      <c r="A255" s="8">
        <v>126.5</v>
      </c>
      <c r="B255" s="8">
        <v>253</v>
      </c>
      <c r="D255">
        <v>872.296875</v>
      </c>
      <c r="E255">
        <v>285.52556818182001</v>
      </c>
      <c r="F255">
        <v>139.61955745896</v>
      </c>
      <c r="G255">
        <v>118.56531049250999</v>
      </c>
      <c r="I255" s="9">
        <f t="shared" si="26"/>
        <v>166.96025768931003</v>
      </c>
      <c r="J255" s="9">
        <f t="shared" si="27"/>
        <v>732.67731754104</v>
      </c>
      <c r="K255" s="9">
        <f t="shared" si="24"/>
        <v>166.96025768931003</v>
      </c>
      <c r="L255" s="10">
        <f t="shared" si="21"/>
        <v>0.22787692984634803</v>
      </c>
      <c r="M255" s="10">
        <f t="shared" si="28"/>
        <v>0.24040807494726713</v>
      </c>
      <c r="P255" s="8">
        <f t="shared" si="29"/>
        <v>-2.7518007130462334</v>
      </c>
    </row>
    <row r="256" spans="1:16" x14ac:dyDescent="0.2">
      <c r="A256" s="8">
        <v>127</v>
      </c>
      <c r="B256" s="8">
        <v>254</v>
      </c>
      <c r="D256">
        <v>890.32315340908997</v>
      </c>
      <c r="E256">
        <v>291.00852272727002</v>
      </c>
      <c r="F256">
        <v>139.75374732334001</v>
      </c>
      <c r="G256">
        <v>118.31477516060001</v>
      </c>
      <c r="I256" s="9">
        <f t="shared" si="26"/>
        <v>172.69374756667003</v>
      </c>
      <c r="J256" s="9">
        <f t="shared" si="27"/>
        <v>750.56940608574996</v>
      </c>
      <c r="K256" s="9">
        <f t="shared" si="24"/>
        <v>172.69374756667003</v>
      </c>
      <c r="L256" s="10">
        <f t="shared" si="21"/>
        <v>0.23008364871581291</v>
      </c>
      <c r="M256" s="10">
        <f t="shared" si="28"/>
        <v>0.24266432403452221</v>
      </c>
      <c r="P256" s="8">
        <f t="shared" si="29"/>
        <v>-1.8391185540691781</v>
      </c>
    </row>
    <row r="257" spans="1:16" x14ac:dyDescent="0.2">
      <c r="A257" s="8">
        <v>127.5</v>
      </c>
      <c r="B257" s="8">
        <v>255</v>
      </c>
      <c r="D257">
        <v>916.37784090908997</v>
      </c>
      <c r="E257">
        <v>295.76775568182001</v>
      </c>
      <c r="F257">
        <v>140.28336902212999</v>
      </c>
      <c r="G257">
        <v>118.44396859386001</v>
      </c>
      <c r="I257" s="9">
        <f t="shared" si="26"/>
        <v>177.32378708796</v>
      </c>
      <c r="J257" s="9">
        <f t="shared" si="27"/>
        <v>776.09447188696004</v>
      </c>
      <c r="K257" s="9">
        <f t="shared" si="24"/>
        <v>177.32378708796</v>
      </c>
      <c r="L257" s="10">
        <f t="shared" si="21"/>
        <v>0.22848221899690019</v>
      </c>
      <c r="M257" s="10">
        <f t="shared" si="28"/>
        <v>0.24111242453339968</v>
      </c>
      <c r="P257" s="8">
        <f t="shared" si="29"/>
        <v>-2.4668821264516425</v>
      </c>
    </row>
    <row r="258" spans="1:16" x14ac:dyDescent="0.2">
      <c r="A258" s="8">
        <v>128</v>
      </c>
      <c r="B258" s="8">
        <v>256</v>
      </c>
      <c r="D258">
        <v>893.81605113635999</v>
      </c>
      <c r="E258">
        <v>291.6328125</v>
      </c>
      <c r="F258">
        <v>139.5182012848</v>
      </c>
      <c r="G258">
        <v>118.25553176303001</v>
      </c>
      <c r="I258" s="9">
        <f t="shared" si="26"/>
        <v>173.37728073696999</v>
      </c>
      <c r="J258" s="9">
        <f t="shared" si="27"/>
        <v>754.29784985155993</v>
      </c>
      <c r="K258" s="9">
        <f t="shared" si="24"/>
        <v>173.37728073696999</v>
      </c>
      <c r="L258" s="10">
        <f t="shared" ref="L258:L321" si="30">K258/J258</f>
        <v>0.22985254534543526</v>
      </c>
      <c r="M258" s="10">
        <f t="shared" si="28"/>
        <v>0.24253228109972494</v>
      </c>
      <c r="P258" s="8">
        <f t="shared" si="29"/>
        <v>-1.8925316419632323</v>
      </c>
    </row>
    <row r="259" spans="1:16" x14ac:dyDescent="0.2">
      <c r="A259" s="8">
        <v>128.5</v>
      </c>
      <c r="B259" s="8">
        <v>257</v>
      </c>
      <c r="D259">
        <v>768.03568879372006</v>
      </c>
      <c r="E259">
        <v>267.70735189150997</v>
      </c>
      <c r="F259">
        <v>139.67808708065999</v>
      </c>
      <c r="G259">
        <v>118.31049250535</v>
      </c>
      <c r="I259" s="9">
        <f t="shared" si="26"/>
        <v>149.39685938615997</v>
      </c>
      <c r="J259" s="9">
        <f t="shared" si="27"/>
        <v>628.35760171306003</v>
      </c>
      <c r="K259" s="9">
        <f t="shared" ref="K259:K322" si="31">I259*1</f>
        <v>149.39685938615997</v>
      </c>
      <c r="L259" s="10">
        <f t="shared" si="30"/>
        <v>0.23775770195007867</v>
      </c>
      <c r="M259" s="10">
        <f t="shared" si="28"/>
        <v>0.25048696792215852</v>
      </c>
      <c r="P259" s="8">
        <f t="shared" si="29"/>
        <v>1.3252428422882161</v>
      </c>
    </row>
    <row r="260" spans="1:16" x14ac:dyDescent="0.2">
      <c r="A260" s="8">
        <v>129</v>
      </c>
      <c r="B260" s="8">
        <v>258</v>
      </c>
      <c r="D260">
        <v>820.80014275517999</v>
      </c>
      <c r="E260">
        <v>277.76516773732999</v>
      </c>
      <c r="F260">
        <v>139.11063526052999</v>
      </c>
      <c r="G260">
        <v>118.31905781585</v>
      </c>
      <c r="I260" s="9">
        <f t="shared" si="26"/>
        <v>159.44610992148</v>
      </c>
      <c r="J260" s="9">
        <f t="shared" si="27"/>
        <v>681.68950749465</v>
      </c>
      <c r="K260" s="9">
        <f t="shared" si="31"/>
        <v>159.44610992148</v>
      </c>
      <c r="L260" s="10">
        <f t="shared" si="30"/>
        <v>0.23389843641202201</v>
      </c>
      <c r="M260" s="10">
        <f t="shared" si="28"/>
        <v>0.24667723260189209</v>
      </c>
      <c r="P260" s="8">
        <f t="shared" si="29"/>
        <v>-0.21584474279844429</v>
      </c>
    </row>
    <row r="261" spans="1:16" x14ac:dyDescent="0.2">
      <c r="A261" s="8">
        <v>129.5</v>
      </c>
      <c r="B261" s="8">
        <v>259</v>
      </c>
      <c r="D261">
        <v>883.46561604584997</v>
      </c>
      <c r="E261">
        <v>293.91833810887999</v>
      </c>
      <c r="F261">
        <v>139.72947894360999</v>
      </c>
      <c r="G261">
        <v>118.1698786581</v>
      </c>
      <c r="I261" s="9">
        <f t="shared" si="26"/>
        <v>175.74845945077999</v>
      </c>
      <c r="J261" s="9">
        <f t="shared" si="27"/>
        <v>743.73613710224004</v>
      </c>
      <c r="K261" s="9">
        <f t="shared" si="31"/>
        <v>175.74845945077999</v>
      </c>
      <c r="L261" s="10">
        <f t="shared" si="30"/>
        <v>0.23630485421285932</v>
      </c>
      <c r="M261" s="10">
        <f t="shared" si="28"/>
        <v>0.24913318062051959</v>
      </c>
      <c r="P261" s="8">
        <f t="shared" si="29"/>
        <v>0.7776182363725952</v>
      </c>
    </row>
    <row r="262" spans="1:16" x14ac:dyDescent="0.2">
      <c r="A262" s="8">
        <v>130</v>
      </c>
      <c r="B262" s="8">
        <v>260</v>
      </c>
      <c r="D262">
        <v>817.17191977077005</v>
      </c>
      <c r="E262">
        <v>277.70272206304003</v>
      </c>
      <c r="F262">
        <v>139.52676659529001</v>
      </c>
      <c r="G262">
        <v>118.23840114204</v>
      </c>
      <c r="I262" s="9">
        <f t="shared" si="26"/>
        <v>159.46432092100002</v>
      </c>
      <c r="J262" s="9">
        <f t="shared" si="27"/>
        <v>677.64515317548</v>
      </c>
      <c r="K262" s="9">
        <f t="shared" si="31"/>
        <v>159.46432092100002</v>
      </c>
      <c r="L262" s="10">
        <f t="shared" si="30"/>
        <v>0.23532127422994473</v>
      </c>
      <c r="M262" s="10">
        <f t="shared" si="28"/>
        <v>0.24819913085539519</v>
      </c>
      <c r="P262" s="8">
        <f t="shared" si="29"/>
        <v>0.39978293394910375</v>
      </c>
    </row>
    <row r="263" spans="1:16" x14ac:dyDescent="0.2">
      <c r="A263" s="8">
        <v>130.5</v>
      </c>
      <c r="B263" s="8">
        <v>261</v>
      </c>
      <c r="D263">
        <v>830.15687679082998</v>
      </c>
      <c r="E263">
        <v>282.92335243552998</v>
      </c>
      <c r="F263">
        <v>139.63026409707001</v>
      </c>
      <c r="G263">
        <v>117.93932905068</v>
      </c>
      <c r="I263" s="9">
        <f t="shared" si="26"/>
        <v>164.98402338484999</v>
      </c>
      <c r="J263" s="9">
        <f t="shared" si="27"/>
        <v>690.52661269375994</v>
      </c>
      <c r="K263" s="9">
        <f t="shared" si="31"/>
        <v>164.98402338484999</v>
      </c>
      <c r="L263" s="10">
        <f t="shared" si="30"/>
        <v>0.23892493113515725</v>
      </c>
      <c r="M263" s="10">
        <f t="shared" si="28"/>
        <v>0.25185231797839791</v>
      </c>
      <c r="P263" s="8">
        <f t="shared" si="29"/>
        <v>1.8775447331242294</v>
      </c>
    </row>
    <row r="264" spans="1:16" x14ac:dyDescent="0.2">
      <c r="A264" s="8">
        <v>131</v>
      </c>
      <c r="B264" s="8">
        <v>262</v>
      </c>
      <c r="D264">
        <v>823.79512893982997</v>
      </c>
      <c r="E264">
        <v>282.22779369628</v>
      </c>
      <c r="F264">
        <v>139.51748750892</v>
      </c>
      <c r="G264">
        <v>118.29122055675001</v>
      </c>
      <c r="I264" s="9">
        <f t="shared" si="26"/>
        <v>163.93657313953</v>
      </c>
      <c r="J264" s="9">
        <f t="shared" si="27"/>
        <v>684.27764143090997</v>
      </c>
      <c r="K264" s="9">
        <f t="shared" si="31"/>
        <v>163.93657313953</v>
      </c>
      <c r="L264" s="10">
        <f t="shared" si="30"/>
        <v>0.23957610655920039</v>
      </c>
      <c r="M264" s="10">
        <f t="shared" si="28"/>
        <v>0.25255302362023124</v>
      </c>
      <c r="P264" s="8">
        <f t="shared" si="29"/>
        <v>2.1609892967623168</v>
      </c>
    </row>
    <row r="265" spans="1:16" x14ac:dyDescent="0.2">
      <c r="A265" s="8">
        <v>131.5</v>
      </c>
      <c r="B265" s="8">
        <v>263</v>
      </c>
      <c r="D265">
        <v>851.81805157592999</v>
      </c>
      <c r="E265">
        <v>287.99641833811</v>
      </c>
      <c r="F265">
        <v>139.19771591719999</v>
      </c>
      <c r="G265">
        <v>117.88436830835001</v>
      </c>
      <c r="I265" s="9">
        <f t="shared" si="26"/>
        <v>170.11205002975998</v>
      </c>
      <c r="J265" s="9">
        <f t="shared" si="27"/>
        <v>712.62033565873003</v>
      </c>
      <c r="K265" s="9">
        <f t="shared" si="31"/>
        <v>170.11205002975998</v>
      </c>
      <c r="L265" s="10">
        <f t="shared" si="30"/>
        <v>0.23871343760140143</v>
      </c>
      <c r="M265" s="10">
        <f t="shared" si="28"/>
        <v>0.25173988488022248</v>
      </c>
      <c r="P265" s="8">
        <f t="shared" si="29"/>
        <v>1.8320640796968739</v>
      </c>
    </row>
    <row r="266" spans="1:16" x14ac:dyDescent="0.2">
      <c r="A266" s="8">
        <v>132</v>
      </c>
      <c r="B266" s="8">
        <v>264</v>
      </c>
      <c r="D266">
        <v>826.27865329512997</v>
      </c>
      <c r="E266">
        <v>283.08739255014001</v>
      </c>
      <c r="F266">
        <v>139.31834403996999</v>
      </c>
      <c r="G266">
        <v>118.41755888650999</v>
      </c>
      <c r="I266" s="9">
        <f t="shared" si="26"/>
        <v>164.66983366363002</v>
      </c>
      <c r="J266" s="9">
        <f t="shared" si="27"/>
        <v>686.96030925515993</v>
      </c>
      <c r="K266" s="9">
        <f t="shared" si="31"/>
        <v>164.66983366363002</v>
      </c>
      <c r="L266" s="10">
        <f t="shared" si="30"/>
        <v>0.23970792991253612</v>
      </c>
      <c r="M266" s="10">
        <f t="shared" si="28"/>
        <v>0.25278390740914736</v>
      </c>
      <c r="P266" s="8">
        <f t="shared" si="29"/>
        <v>2.2543847982302534</v>
      </c>
    </row>
    <row r="267" spans="1:16" x14ac:dyDescent="0.2">
      <c r="A267" s="8">
        <v>132.5</v>
      </c>
      <c r="B267" s="8">
        <v>265</v>
      </c>
      <c r="D267">
        <v>841.63968481375002</v>
      </c>
      <c r="E267">
        <v>286.30730659026</v>
      </c>
      <c r="F267">
        <v>140.13490364026001</v>
      </c>
      <c r="G267">
        <v>118.14989293362</v>
      </c>
      <c r="I267" s="9">
        <f t="shared" si="26"/>
        <v>168.15741365664002</v>
      </c>
      <c r="J267" s="9">
        <f t="shared" si="27"/>
        <v>701.50478117349007</v>
      </c>
      <c r="K267" s="9">
        <f t="shared" si="31"/>
        <v>168.15741365664002</v>
      </c>
      <c r="L267" s="10">
        <f t="shared" si="30"/>
        <v>0.23970957599938694</v>
      </c>
      <c r="M267" s="10">
        <f t="shared" si="28"/>
        <v>0.25283508371378838</v>
      </c>
      <c r="P267" s="8">
        <f t="shared" si="29"/>
        <v>2.2750862803813479</v>
      </c>
    </row>
    <row r="268" spans="1:16" x14ac:dyDescent="0.2">
      <c r="A268" s="8">
        <v>133</v>
      </c>
      <c r="B268" s="8">
        <v>266</v>
      </c>
      <c r="D268">
        <v>818.05945558738995</v>
      </c>
      <c r="E268">
        <v>280.69627507163</v>
      </c>
      <c r="F268">
        <v>139.37259100642001</v>
      </c>
      <c r="G268">
        <v>117.89293361884</v>
      </c>
      <c r="I268" s="9">
        <f t="shared" si="26"/>
        <v>162.80334145278999</v>
      </c>
      <c r="J268" s="9">
        <f t="shared" si="27"/>
        <v>678.68686458097</v>
      </c>
      <c r="K268" s="9">
        <f t="shared" si="31"/>
        <v>162.80334145278999</v>
      </c>
      <c r="L268" s="10">
        <f t="shared" si="30"/>
        <v>0.23987990625589442</v>
      </c>
      <c r="M268" s="10">
        <f t="shared" si="28"/>
        <v>0.25305494418808605</v>
      </c>
      <c r="P268" s="8">
        <f t="shared" si="29"/>
        <v>2.3640227074315381</v>
      </c>
    </row>
    <row r="269" spans="1:16" x14ac:dyDescent="0.2">
      <c r="A269" s="8">
        <v>133.5</v>
      </c>
      <c r="B269" s="8">
        <v>267</v>
      </c>
      <c r="D269">
        <v>827.28581661890996</v>
      </c>
      <c r="E269">
        <v>284.09240687678999</v>
      </c>
      <c r="F269">
        <v>139.35046395431999</v>
      </c>
      <c r="G269">
        <v>118.1698786581</v>
      </c>
      <c r="I269" s="9">
        <f t="shared" si="26"/>
        <v>165.92252821868999</v>
      </c>
      <c r="J269" s="9">
        <f t="shared" si="27"/>
        <v>687.93535266459003</v>
      </c>
      <c r="K269" s="9">
        <f t="shared" si="31"/>
        <v>165.92252821868999</v>
      </c>
      <c r="L269" s="10">
        <f t="shared" si="30"/>
        <v>0.24118912856567096</v>
      </c>
      <c r="M269" s="10">
        <f t="shared" si="28"/>
        <v>0.25441369671565278</v>
      </c>
      <c r="P269" s="8">
        <f t="shared" si="29"/>
        <v>2.913655811941215</v>
      </c>
    </row>
    <row r="270" spans="1:16" x14ac:dyDescent="0.2">
      <c r="A270" s="8">
        <v>134</v>
      </c>
      <c r="B270" s="8">
        <v>268</v>
      </c>
      <c r="D270">
        <v>916.73947180585003</v>
      </c>
      <c r="E270">
        <v>306.29835831549002</v>
      </c>
      <c r="F270">
        <v>139.81798715203001</v>
      </c>
      <c r="G270">
        <v>118.04211277659</v>
      </c>
      <c r="I270" s="9">
        <f t="shared" si="26"/>
        <v>188.25624553890003</v>
      </c>
      <c r="J270" s="9">
        <f t="shared" si="27"/>
        <v>776.92148465382002</v>
      </c>
      <c r="K270" s="9">
        <f t="shared" si="31"/>
        <v>188.25624553890003</v>
      </c>
      <c r="L270" s="10">
        <f t="shared" si="30"/>
        <v>0.24231051561507927</v>
      </c>
      <c r="M270" s="10">
        <f t="shared" si="28"/>
        <v>0.25558461398285126</v>
      </c>
      <c r="P270" s="8">
        <f t="shared" si="29"/>
        <v>3.3873071057841111</v>
      </c>
    </row>
    <row r="271" spans="1:16" x14ac:dyDescent="0.2">
      <c r="A271" s="8">
        <v>134.5</v>
      </c>
      <c r="B271" s="8">
        <v>269</v>
      </c>
      <c r="D271">
        <v>901.91149179158003</v>
      </c>
      <c r="E271">
        <v>304.43397573162002</v>
      </c>
      <c r="F271">
        <v>139.29122055675001</v>
      </c>
      <c r="G271">
        <v>118.05924339757</v>
      </c>
      <c r="I271" s="9">
        <f t="shared" si="26"/>
        <v>186.37473233405001</v>
      </c>
      <c r="J271" s="9">
        <f t="shared" si="27"/>
        <v>762.62027123483006</v>
      </c>
      <c r="K271" s="9">
        <f t="shared" si="31"/>
        <v>186.37473233405001</v>
      </c>
      <c r="L271" s="10">
        <f t="shared" si="30"/>
        <v>0.24438733058101536</v>
      </c>
      <c r="M271" s="10">
        <f t="shared" si="28"/>
        <v>0.25771095916657755</v>
      </c>
      <c r="P271" s="8">
        <f t="shared" si="29"/>
        <v>4.247441442890822</v>
      </c>
    </row>
    <row r="272" spans="1:16" x14ac:dyDescent="0.2">
      <c r="A272" s="8">
        <v>135</v>
      </c>
      <c r="B272" s="8">
        <v>270</v>
      </c>
      <c r="D272">
        <v>907.97136721545996</v>
      </c>
      <c r="E272">
        <v>307.54402290623</v>
      </c>
      <c r="F272">
        <v>139.46324054247</v>
      </c>
      <c r="G272">
        <v>117.86152748037</v>
      </c>
      <c r="I272" s="9">
        <f t="shared" si="26"/>
        <v>189.68249542586</v>
      </c>
      <c r="J272" s="9">
        <f t="shared" si="27"/>
        <v>768.50812667298999</v>
      </c>
      <c r="K272" s="9">
        <f t="shared" si="31"/>
        <v>189.68249542586</v>
      </c>
      <c r="L272" s="10">
        <f t="shared" si="30"/>
        <v>0.24681911464883222</v>
      </c>
      <c r="M272" s="10">
        <f t="shared" si="28"/>
        <v>0.2601922734521846</v>
      </c>
      <c r="P272" s="8">
        <f t="shared" si="29"/>
        <v>5.2511654076254057</v>
      </c>
    </row>
    <row r="273" spans="1:16" x14ac:dyDescent="0.2">
      <c r="A273" s="8">
        <v>135.5</v>
      </c>
      <c r="B273" s="8">
        <v>271</v>
      </c>
      <c r="D273">
        <v>903.66785969935995</v>
      </c>
      <c r="E273">
        <v>304.17823908374999</v>
      </c>
      <c r="F273">
        <v>140.16630977873001</v>
      </c>
      <c r="G273">
        <v>118.35688793719</v>
      </c>
      <c r="I273" s="9">
        <f t="shared" si="26"/>
        <v>185.82135114656</v>
      </c>
      <c r="J273" s="9">
        <f t="shared" si="27"/>
        <v>763.50154992062994</v>
      </c>
      <c r="K273" s="9">
        <f t="shared" si="31"/>
        <v>185.82135114656</v>
      </c>
      <c r="L273" s="10">
        <f t="shared" si="30"/>
        <v>0.24338045045995929</v>
      </c>
      <c r="M273" s="10">
        <f t="shared" si="28"/>
        <v>0.25680313948110189</v>
      </c>
      <c r="P273" s="8">
        <f t="shared" si="29"/>
        <v>3.8802165495126744</v>
      </c>
    </row>
    <row r="274" spans="1:16" x14ac:dyDescent="0.2">
      <c r="A274" s="8">
        <v>136</v>
      </c>
      <c r="B274" s="8">
        <v>272</v>
      </c>
      <c r="D274">
        <v>849.55659025787998</v>
      </c>
      <c r="E274">
        <v>291.28510028653</v>
      </c>
      <c r="F274">
        <v>139.11705924340001</v>
      </c>
      <c r="G274">
        <v>118.52319771592001</v>
      </c>
      <c r="I274" s="9">
        <f t="shared" si="26"/>
        <v>172.76190257061</v>
      </c>
      <c r="J274" s="9">
        <f t="shared" si="27"/>
        <v>710.43953101447994</v>
      </c>
      <c r="K274" s="9">
        <f t="shared" si="31"/>
        <v>172.76190257061</v>
      </c>
      <c r="L274" s="10">
        <f t="shared" si="30"/>
        <v>0.24317608329580526</v>
      </c>
      <c r="M274" s="10">
        <f t="shared" si="28"/>
        <v>0.25664830253473803</v>
      </c>
      <c r="P274" s="8">
        <f t="shared" si="29"/>
        <v>3.817582986890955</v>
      </c>
    </row>
    <row r="275" spans="1:16" x14ac:dyDescent="0.2">
      <c r="A275" s="8">
        <v>136.5</v>
      </c>
      <c r="B275" s="8">
        <v>273</v>
      </c>
      <c r="D275">
        <v>862.83524355300995</v>
      </c>
      <c r="E275">
        <v>295.52507163323997</v>
      </c>
      <c r="F275">
        <v>139.47822983583001</v>
      </c>
      <c r="G275">
        <v>118.41755888650999</v>
      </c>
      <c r="I275" s="9">
        <f>E275-G275</f>
        <v>177.10751274672998</v>
      </c>
      <c r="J275" s="9">
        <f>D275-F275</f>
        <v>723.35701371717994</v>
      </c>
      <c r="K275" s="9">
        <f t="shared" si="31"/>
        <v>177.10751274672998</v>
      </c>
      <c r="L275" s="10">
        <f t="shared" si="30"/>
        <v>0.24484108039073491</v>
      </c>
      <c r="M275" s="10">
        <f>L275+ABS($N$2)*A275</f>
        <v>0.2583628298474579</v>
      </c>
      <c r="O275" s="11"/>
      <c r="P275" s="8">
        <f>(M275-$O$2)/$O$2*100</f>
        <v>4.5111316284117526</v>
      </c>
    </row>
    <row r="276" spans="1:16" x14ac:dyDescent="0.2">
      <c r="A276" s="8">
        <v>137</v>
      </c>
      <c r="B276" s="8">
        <v>274</v>
      </c>
      <c r="D276">
        <v>868.93481375357999</v>
      </c>
      <c r="E276">
        <v>296.20845272205997</v>
      </c>
      <c r="F276">
        <v>139.69807280513999</v>
      </c>
      <c r="G276">
        <v>118.32619557459</v>
      </c>
      <c r="I276" s="9">
        <f t="shared" ref="I276:I291" si="32">E276-G276</f>
        <v>177.88225714746997</v>
      </c>
      <c r="J276" s="9">
        <f t="shared" ref="J276:J291" si="33">D276-F276</f>
        <v>729.23674094844</v>
      </c>
      <c r="K276" s="9">
        <f t="shared" si="31"/>
        <v>177.88225714746997</v>
      </c>
      <c r="L276" s="10">
        <f t="shared" si="30"/>
        <v>0.2439293677333339</v>
      </c>
      <c r="M276" s="10">
        <f t="shared" ref="M276:M291" si="34">L276+ABS($N$2)*A276</f>
        <v>0.25750064740784706</v>
      </c>
      <c r="P276" s="8">
        <f t="shared" ref="P276:P291" si="35">(M276-$O$2)/$O$2*100</f>
        <v>4.162367595725339</v>
      </c>
    </row>
    <row r="277" spans="1:16" x14ac:dyDescent="0.2">
      <c r="A277" s="8">
        <v>137.5</v>
      </c>
      <c r="B277" s="8">
        <v>275</v>
      </c>
      <c r="D277">
        <v>879.44269340973995</v>
      </c>
      <c r="E277">
        <v>300.61532951289001</v>
      </c>
      <c r="F277">
        <v>139.61527480371001</v>
      </c>
      <c r="G277">
        <v>118.29478943612</v>
      </c>
      <c r="I277" s="9">
        <f t="shared" si="32"/>
        <v>182.32054007677002</v>
      </c>
      <c r="J277" s="9">
        <f t="shared" si="33"/>
        <v>739.82741860602994</v>
      </c>
      <c r="K277" s="9">
        <f t="shared" si="31"/>
        <v>182.32054007677002</v>
      </c>
      <c r="L277" s="10">
        <f t="shared" si="30"/>
        <v>0.24643658168319205</v>
      </c>
      <c r="M277" s="10">
        <f t="shared" si="34"/>
        <v>0.2600573915754954</v>
      </c>
      <c r="N277" s="1"/>
      <c r="P277" s="8">
        <f t="shared" si="35"/>
        <v>5.1966039307392968</v>
      </c>
    </row>
    <row r="278" spans="1:16" x14ac:dyDescent="0.2">
      <c r="A278" s="8">
        <v>138</v>
      </c>
      <c r="B278" s="8">
        <v>276</v>
      </c>
      <c r="D278">
        <v>870.08614501077</v>
      </c>
      <c r="E278">
        <v>296.37688442210998</v>
      </c>
      <c r="F278">
        <v>139.69521770163999</v>
      </c>
      <c r="G278">
        <v>118.29264810849</v>
      </c>
      <c r="I278" s="9">
        <f t="shared" si="32"/>
        <v>178.08423631361998</v>
      </c>
      <c r="J278" s="9">
        <f t="shared" si="33"/>
        <v>730.39092730913001</v>
      </c>
      <c r="K278" s="9">
        <f t="shared" si="31"/>
        <v>178.08423631361998</v>
      </c>
      <c r="L278" s="10">
        <f t="shared" si="30"/>
        <v>0.24382043869261777</v>
      </c>
      <c r="M278" s="10">
        <f t="shared" si="34"/>
        <v>0.25749077880271132</v>
      </c>
      <c r="P278" s="8">
        <f t="shared" si="35"/>
        <v>4.1583756163413863</v>
      </c>
    </row>
    <row r="279" spans="1:16" x14ac:dyDescent="0.2">
      <c r="A279" s="8">
        <v>138.5</v>
      </c>
      <c r="B279" s="8">
        <v>277</v>
      </c>
      <c r="D279">
        <v>846.29217516152005</v>
      </c>
      <c r="E279">
        <v>291.01866475232998</v>
      </c>
      <c r="F279">
        <v>139.64882226981001</v>
      </c>
      <c r="G279">
        <v>118.13418986438001</v>
      </c>
      <c r="I279" s="9">
        <f t="shared" si="32"/>
        <v>172.88447488794998</v>
      </c>
      <c r="J279" s="9">
        <f t="shared" si="33"/>
        <v>706.64335289171004</v>
      </c>
      <c r="K279" s="9">
        <f t="shared" si="31"/>
        <v>172.88447488794998</v>
      </c>
      <c r="L279" s="10">
        <f t="shared" si="30"/>
        <v>0.24465591331253031</v>
      </c>
      <c r="M279" s="10">
        <f t="shared" si="34"/>
        <v>0.25837578364041408</v>
      </c>
      <c r="P279" s="8">
        <f t="shared" si="35"/>
        <v>4.5163716064748911</v>
      </c>
    </row>
    <row r="280" spans="1:16" x14ac:dyDescent="0.2">
      <c r="A280" s="8">
        <v>139</v>
      </c>
      <c r="B280" s="8">
        <v>278</v>
      </c>
      <c r="D280">
        <v>850.89088298636</v>
      </c>
      <c r="E280">
        <v>292.68198133524999</v>
      </c>
      <c r="F280">
        <v>139.12491077801999</v>
      </c>
      <c r="G280">
        <v>118.46466809422</v>
      </c>
      <c r="I280" s="9">
        <f t="shared" si="32"/>
        <v>174.21731324102998</v>
      </c>
      <c r="J280" s="9">
        <f t="shared" si="33"/>
        <v>711.76597220834003</v>
      </c>
      <c r="K280" s="9">
        <f t="shared" si="31"/>
        <v>174.21731324102998</v>
      </c>
      <c r="L280" s="10">
        <f t="shared" si="30"/>
        <v>0.24476769056618386</v>
      </c>
      <c r="M280" s="10">
        <f t="shared" si="34"/>
        <v>0.2585370911118578</v>
      </c>
      <c r="P280" s="8">
        <f t="shared" si="35"/>
        <v>4.5816225808145585</v>
      </c>
    </row>
    <row r="281" spans="1:16" x14ac:dyDescent="0.2">
      <c r="A281" s="8">
        <v>139.5</v>
      </c>
      <c r="B281" s="8">
        <v>279</v>
      </c>
      <c r="D281">
        <v>890.69633883704</v>
      </c>
      <c r="E281">
        <v>302.10122038765002</v>
      </c>
      <c r="F281">
        <v>139.79942897929999</v>
      </c>
      <c r="G281">
        <v>118.35617416130999</v>
      </c>
      <c r="I281" s="9">
        <f t="shared" si="32"/>
        <v>183.74504622634004</v>
      </c>
      <c r="J281" s="9">
        <f t="shared" si="33"/>
        <v>750.89690985773996</v>
      </c>
      <c r="K281" s="9">
        <f t="shared" si="31"/>
        <v>183.74504622634004</v>
      </c>
      <c r="L281" s="10">
        <f t="shared" si="30"/>
        <v>0.24470076226728804</v>
      </c>
      <c r="M281" s="10">
        <f t="shared" si="34"/>
        <v>0.25851969303075217</v>
      </c>
      <c r="P281" s="8">
        <f t="shared" si="35"/>
        <v>4.5745848302775132</v>
      </c>
    </row>
    <row r="282" spans="1:16" x14ac:dyDescent="0.2">
      <c r="A282" s="8">
        <v>140</v>
      </c>
      <c r="B282" s="8">
        <v>280</v>
      </c>
      <c r="D282">
        <v>896.33524766691005</v>
      </c>
      <c r="E282">
        <v>304.43933955492002</v>
      </c>
      <c r="F282">
        <v>139.40042826553</v>
      </c>
      <c r="G282">
        <v>118.23625981441999</v>
      </c>
      <c r="I282" s="9">
        <f t="shared" si="32"/>
        <v>186.20307974050002</v>
      </c>
      <c r="J282" s="9">
        <f t="shared" si="33"/>
        <v>756.93481940138008</v>
      </c>
      <c r="K282" s="9">
        <f t="shared" si="31"/>
        <v>186.20307974050002</v>
      </c>
      <c r="L282" s="10">
        <f t="shared" si="30"/>
        <v>0.24599618747590213</v>
      </c>
      <c r="M282" s="10">
        <f t="shared" si="34"/>
        <v>0.25986464845715646</v>
      </c>
      <c r="P282" s="8">
        <f t="shared" si="35"/>
        <v>5.1186368275647212</v>
      </c>
    </row>
    <row r="283" spans="1:16" x14ac:dyDescent="0.2">
      <c r="A283" s="8">
        <v>140.5</v>
      </c>
      <c r="B283" s="8">
        <v>281</v>
      </c>
      <c r="D283">
        <v>911.87221823403002</v>
      </c>
      <c r="E283">
        <v>307.91529073941001</v>
      </c>
      <c r="F283">
        <v>139.93219129193</v>
      </c>
      <c r="G283">
        <v>117.96502498216</v>
      </c>
      <c r="I283" s="9">
        <f t="shared" si="32"/>
        <v>189.95026575725001</v>
      </c>
      <c r="J283" s="9">
        <f t="shared" si="33"/>
        <v>771.94002694210008</v>
      </c>
      <c r="K283" s="9">
        <f t="shared" si="31"/>
        <v>189.95026575725001</v>
      </c>
      <c r="L283" s="10">
        <f t="shared" si="30"/>
        <v>0.24606868296453471</v>
      </c>
      <c r="M283" s="10">
        <f t="shared" si="34"/>
        <v>0.25998667416357923</v>
      </c>
      <c r="P283" s="8">
        <f t="shared" si="35"/>
        <v>5.1679978160379108</v>
      </c>
    </row>
    <row r="284" spans="1:16" x14ac:dyDescent="0.2">
      <c r="A284" s="8">
        <v>141</v>
      </c>
      <c r="B284" s="8">
        <v>282</v>
      </c>
      <c r="D284">
        <v>949.20172290022003</v>
      </c>
      <c r="E284">
        <v>316.27853553481998</v>
      </c>
      <c r="F284">
        <v>139.24197002141</v>
      </c>
      <c r="G284">
        <v>118.18344039970999</v>
      </c>
      <c r="I284" s="9">
        <f t="shared" si="32"/>
        <v>198.09509513511</v>
      </c>
      <c r="J284" s="9">
        <f t="shared" si="33"/>
        <v>809.95975287881004</v>
      </c>
      <c r="K284" s="9">
        <f t="shared" si="31"/>
        <v>198.09509513511</v>
      </c>
      <c r="L284" s="10">
        <f t="shared" si="30"/>
        <v>0.24457399819068532</v>
      </c>
      <c r="M284" s="10">
        <f t="shared" si="34"/>
        <v>0.25854151960752003</v>
      </c>
      <c r="P284" s="8">
        <f t="shared" si="35"/>
        <v>4.5834139650215864</v>
      </c>
    </row>
    <row r="285" spans="1:16" x14ac:dyDescent="0.2">
      <c r="A285" s="8">
        <v>141.5</v>
      </c>
      <c r="B285" s="8">
        <v>283</v>
      </c>
      <c r="D285">
        <v>949.31730078965995</v>
      </c>
      <c r="E285">
        <v>317.36611629576998</v>
      </c>
      <c r="F285">
        <v>139.48037116346001</v>
      </c>
      <c r="G285">
        <v>118.23840114204</v>
      </c>
      <c r="I285" s="9">
        <f t="shared" si="32"/>
        <v>199.12771515372998</v>
      </c>
      <c r="J285" s="9">
        <f t="shared" si="33"/>
        <v>809.83692962619989</v>
      </c>
      <c r="K285" s="9">
        <f t="shared" si="31"/>
        <v>199.12771515372998</v>
      </c>
      <c r="L285" s="10">
        <f t="shared" si="30"/>
        <v>0.24588618753857305</v>
      </c>
      <c r="M285" s="10">
        <f t="shared" si="34"/>
        <v>0.25990323917319796</v>
      </c>
      <c r="P285" s="8">
        <f t="shared" si="35"/>
        <v>5.1342472751133492</v>
      </c>
    </row>
    <row r="286" spans="1:16" x14ac:dyDescent="0.2">
      <c r="A286" s="8">
        <v>142</v>
      </c>
      <c r="B286" s="8">
        <v>284</v>
      </c>
      <c r="D286">
        <v>945.63101220388</v>
      </c>
      <c r="E286">
        <v>317.14142139268</v>
      </c>
      <c r="F286">
        <v>139.11349036403001</v>
      </c>
      <c r="G286">
        <v>118.63954318344</v>
      </c>
      <c r="I286" s="9">
        <f t="shared" si="32"/>
        <v>198.50187820924</v>
      </c>
      <c r="J286" s="9">
        <f t="shared" si="33"/>
        <v>806.51752183985002</v>
      </c>
      <c r="K286" s="9">
        <f t="shared" si="31"/>
        <v>198.50187820924</v>
      </c>
      <c r="L286" s="10">
        <f t="shared" si="30"/>
        <v>0.24612221412922566</v>
      </c>
      <c r="M286" s="10">
        <f t="shared" si="34"/>
        <v>0.2601887959816408</v>
      </c>
      <c r="P286" s="8">
        <f t="shared" si="35"/>
        <v>5.2497587254724367</v>
      </c>
    </row>
    <row r="287" spans="1:16" x14ac:dyDescent="0.2">
      <c r="A287" s="8">
        <v>142.5</v>
      </c>
      <c r="B287" s="8">
        <v>285</v>
      </c>
      <c r="D287">
        <v>950.34529791815999</v>
      </c>
      <c r="E287">
        <v>319.04594400574001</v>
      </c>
      <c r="F287">
        <v>139.62883654532999</v>
      </c>
      <c r="G287">
        <v>117.72376873662</v>
      </c>
      <c r="I287" s="9">
        <f t="shared" si="32"/>
        <v>201.32217526912001</v>
      </c>
      <c r="J287" s="9">
        <f t="shared" si="33"/>
        <v>810.71646137283005</v>
      </c>
      <c r="K287" s="9">
        <f t="shared" si="31"/>
        <v>201.32217526912001</v>
      </c>
      <c r="L287" s="10">
        <f t="shared" si="30"/>
        <v>0.24832624581004595</v>
      </c>
      <c r="M287" s="10">
        <f t="shared" si="34"/>
        <v>0.26244235788025128</v>
      </c>
      <c r="P287" s="8">
        <f t="shared" si="35"/>
        <v>6.1613538816236133</v>
      </c>
    </row>
    <row r="288" spans="1:16" x14ac:dyDescent="0.2">
      <c r="A288" s="8">
        <v>143</v>
      </c>
      <c r="B288" s="8">
        <v>286</v>
      </c>
      <c r="D288">
        <v>942.50035893755</v>
      </c>
      <c r="E288">
        <v>315.57501794688</v>
      </c>
      <c r="F288">
        <v>139.6017130621</v>
      </c>
      <c r="G288">
        <v>118.13347608850999</v>
      </c>
      <c r="I288" s="9">
        <f t="shared" si="32"/>
        <v>197.44154185836999</v>
      </c>
      <c r="J288" s="9">
        <f t="shared" si="33"/>
        <v>802.89864587545003</v>
      </c>
      <c r="K288" s="9">
        <f t="shared" si="31"/>
        <v>197.44154185836999</v>
      </c>
      <c r="L288" s="10">
        <f t="shared" si="30"/>
        <v>0.24591091649318611</v>
      </c>
      <c r="M288" s="10">
        <f t="shared" si="34"/>
        <v>0.26007655878118163</v>
      </c>
      <c r="P288" s="8">
        <f t="shared" si="35"/>
        <v>5.2043573152242288</v>
      </c>
    </row>
    <row r="289" spans="1:16" x14ac:dyDescent="0.2">
      <c r="A289" s="8">
        <v>143.5</v>
      </c>
      <c r="B289" s="8">
        <v>287</v>
      </c>
      <c r="D289">
        <v>950.54414931802</v>
      </c>
      <c r="E289">
        <v>318.94687724336001</v>
      </c>
      <c r="F289">
        <v>139.25553176303001</v>
      </c>
      <c r="G289">
        <v>117.95360456816999</v>
      </c>
      <c r="I289" s="9">
        <f t="shared" si="32"/>
        <v>200.99327267519001</v>
      </c>
      <c r="J289" s="9">
        <f t="shared" si="33"/>
        <v>811.28861755498997</v>
      </c>
      <c r="K289" s="9">
        <f t="shared" si="31"/>
        <v>200.99327267519001</v>
      </c>
      <c r="L289" s="10">
        <f t="shared" si="30"/>
        <v>0.24774570766311346</v>
      </c>
      <c r="M289" s="10">
        <f t="shared" si="34"/>
        <v>0.26196088016889918</v>
      </c>
      <c r="P289" s="8">
        <f t="shared" si="35"/>
        <v>5.9665898728187274</v>
      </c>
    </row>
    <row r="290" spans="1:16" x14ac:dyDescent="0.2">
      <c r="A290" s="8">
        <v>144</v>
      </c>
      <c r="B290" s="8">
        <v>288</v>
      </c>
      <c r="D290">
        <v>950.66116295765005</v>
      </c>
      <c r="E290">
        <v>321.54773869347002</v>
      </c>
      <c r="F290">
        <v>139.12205567452</v>
      </c>
      <c r="G290">
        <v>118.12276945039</v>
      </c>
      <c r="I290" s="9">
        <f t="shared" si="32"/>
        <v>203.42496924308003</v>
      </c>
      <c r="J290" s="9">
        <f t="shared" si="33"/>
        <v>811.53910728313008</v>
      </c>
      <c r="K290" s="9">
        <f t="shared" si="31"/>
        <v>203.42496924308003</v>
      </c>
      <c r="L290" s="10">
        <f t="shared" si="30"/>
        <v>0.25066563942199405</v>
      </c>
      <c r="M290" s="10">
        <f t="shared" si="34"/>
        <v>0.26493034214556993</v>
      </c>
      <c r="P290" s="8">
        <f t="shared" si="35"/>
        <v>7.1677759400739598</v>
      </c>
    </row>
    <row r="291" spans="1:16" x14ac:dyDescent="0.2">
      <c r="A291" s="8">
        <v>144.5</v>
      </c>
      <c r="B291" s="8">
        <v>289</v>
      </c>
      <c r="D291">
        <v>952.98851399856005</v>
      </c>
      <c r="E291">
        <v>323.81765972721001</v>
      </c>
      <c r="F291">
        <v>139.78729478944001</v>
      </c>
      <c r="G291">
        <v>118.22626695218</v>
      </c>
      <c r="I291" s="9">
        <f t="shared" si="32"/>
        <v>205.59139277503002</v>
      </c>
      <c r="J291" s="9">
        <f t="shared" si="33"/>
        <v>813.20121920912004</v>
      </c>
      <c r="K291" s="9">
        <f t="shared" si="31"/>
        <v>205.59139277503002</v>
      </c>
      <c r="L291" s="10">
        <f t="shared" si="30"/>
        <v>0.25281736908237573</v>
      </c>
      <c r="M291" s="10">
        <f t="shared" si="34"/>
        <v>0.26713160202374181</v>
      </c>
      <c r="P291" s="8">
        <f t="shared" si="35"/>
        <v>8.0582142473637202</v>
      </c>
    </row>
    <row r="292" spans="1:16" x14ac:dyDescent="0.2">
      <c r="A292" s="8">
        <v>145</v>
      </c>
      <c r="B292" s="8">
        <v>290</v>
      </c>
      <c r="D292">
        <v>948.38262742282996</v>
      </c>
      <c r="E292">
        <v>322.13496051687002</v>
      </c>
      <c r="F292">
        <v>139.58244111349001</v>
      </c>
      <c r="G292">
        <v>118.06352605282</v>
      </c>
      <c r="I292" s="9">
        <f>E292-G292</f>
        <v>204.07143446405001</v>
      </c>
      <c r="J292" s="9">
        <f>D292-F292</f>
        <v>808.80018630934001</v>
      </c>
      <c r="K292" s="9">
        <f t="shared" si="31"/>
        <v>204.07143446405001</v>
      </c>
      <c r="L292" s="10">
        <f t="shared" si="30"/>
        <v>0.25231378270973748</v>
      </c>
      <c r="M292" s="10">
        <f>L292+ABS($N$2)*A292</f>
        <v>0.26667754586889375</v>
      </c>
      <c r="O292" s="11"/>
      <c r="P292" s="8">
        <f>(M292-$O$2)/$O$2*100</f>
        <v>7.8745426155193341</v>
      </c>
    </row>
    <row r="293" spans="1:16" x14ac:dyDescent="0.2">
      <c r="A293" s="8">
        <v>145.5</v>
      </c>
      <c r="B293" s="8">
        <v>291</v>
      </c>
      <c r="D293">
        <v>955.15290739411</v>
      </c>
      <c r="E293">
        <v>324.27135678392</v>
      </c>
      <c r="F293">
        <v>139.46680942184</v>
      </c>
      <c r="G293">
        <v>117.90578158458</v>
      </c>
      <c r="I293" s="9">
        <f t="shared" ref="I293:I301" si="36">E293-G293</f>
        <v>206.36557519934001</v>
      </c>
      <c r="J293" s="9">
        <f t="shared" ref="J293:J301" si="37">D293-F293</f>
        <v>815.68609797226998</v>
      </c>
      <c r="K293" s="9">
        <f t="shared" si="31"/>
        <v>206.36557519934001</v>
      </c>
      <c r="L293" s="10">
        <f t="shared" si="30"/>
        <v>0.25299631281242652</v>
      </c>
      <c r="M293" s="10">
        <f t="shared" ref="M293:M301" si="38">L293+ABS($N$2)*A293</f>
        <v>0.26740960618937298</v>
      </c>
      <c r="P293" s="8">
        <f t="shared" ref="P293:P301" si="39">(M293-$O$2)/$O$2*100</f>
        <v>8.1706705552803065</v>
      </c>
    </row>
    <row r="294" spans="1:16" x14ac:dyDescent="0.2">
      <c r="A294" s="8">
        <v>146</v>
      </c>
      <c r="B294" s="8">
        <v>292</v>
      </c>
      <c r="D294">
        <v>956.75089734385995</v>
      </c>
      <c r="E294">
        <v>322.39626704953002</v>
      </c>
      <c r="F294">
        <v>139.10563882941</v>
      </c>
      <c r="G294">
        <v>117.9136331192</v>
      </c>
      <c r="I294" s="9">
        <f t="shared" si="36"/>
        <v>204.48263393033002</v>
      </c>
      <c r="J294" s="9">
        <f t="shared" si="37"/>
        <v>817.64525851445001</v>
      </c>
      <c r="K294" s="9">
        <f t="shared" si="31"/>
        <v>204.48263393033002</v>
      </c>
      <c r="L294" s="10">
        <f t="shared" si="30"/>
        <v>0.25008722523732002</v>
      </c>
      <c r="M294" s="10">
        <f t="shared" si="38"/>
        <v>0.26455004883205668</v>
      </c>
      <c r="N294" s="1"/>
      <c r="P294" s="8">
        <f t="shared" si="39"/>
        <v>7.0139423388184934</v>
      </c>
    </row>
    <row r="295" spans="1:16" x14ac:dyDescent="0.2">
      <c r="A295" s="8">
        <v>146.5</v>
      </c>
      <c r="B295" s="8">
        <v>293</v>
      </c>
      <c r="D295">
        <v>951.72577171572004</v>
      </c>
      <c r="E295">
        <v>322.08614501077</v>
      </c>
      <c r="F295">
        <v>139.29550321199</v>
      </c>
      <c r="G295">
        <v>118.18700927909001</v>
      </c>
      <c r="I295" s="9">
        <f t="shared" si="36"/>
        <v>203.89913573167999</v>
      </c>
      <c r="J295" s="9">
        <f t="shared" si="37"/>
        <v>812.43026850373008</v>
      </c>
      <c r="K295" s="9">
        <f t="shared" si="31"/>
        <v>203.89913573167999</v>
      </c>
      <c r="L295" s="10">
        <f t="shared" si="30"/>
        <v>0.25097432190359587</v>
      </c>
      <c r="M295" s="10">
        <f t="shared" si="38"/>
        <v>0.26548667571612272</v>
      </c>
      <c r="P295" s="8">
        <f t="shared" si="39"/>
        <v>7.392820119438599</v>
      </c>
    </row>
    <row r="296" spans="1:16" x14ac:dyDescent="0.2">
      <c r="A296" s="8">
        <v>147</v>
      </c>
      <c r="B296" s="8">
        <v>294</v>
      </c>
      <c r="D296">
        <v>950.47307968413998</v>
      </c>
      <c r="E296">
        <v>322.91816223977003</v>
      </c>
      <c r="F296">
        <v>139.47394718058999</v>
      </c>
      <c r="G296">
        <v>117.8551034975</v>
      </c>
      <c r="I296" s="9">
        <f t="shared" si="36"/>
        <v>205.06305874227002</v>
      </c>
      <c r="J296" s="9">
        <f t="shared" si="37"/>
        <v>810.99913250354996</v>
      </c>
      <c r="K296" s="9">
        <f t="shared" si="31"/>
        <v>205.06305874227002</v>
      </c>
      <c r="L296" s="10">
        <f t="shared" si="30"/>
        <v>0.25285237742393318</v>
      </c>
      <c r="M296" s="10">
        <f t="shared" si="38"/>
        <v>0.26741426145425023</v>
      </c>
      <c r="P296" s="8">
        <f t="shared" si="39"/>
        <v>8.1725536705900392</v>
      </c>
    </row>
    <row r="297" spans="1:16" x14ac:dyDescent="0.2">
      <c r="A297" s="8">
        <v>147.5</v>
      </c>
      <c r="B297" s="8">
        <v>295</v>
      </c>
      <c r="D297">
        <v>946.42785355347996</v>
      </c>
      <c r="E297">
        <v>320.89088298636</v>
      </c>
      <c r="F297">
        <v>139.26124197002</v>
      </c>
      <c r="G297">
        <v>117.88151320484999</v>
      </c>
      <c r="I297" s="9">
        <f t="shared" si="36"/>
        <v>203.00936978151</v>
      </c>
      <c r="J297" s="9">
        <f t="shared" si="37"/>
        <v>807.16661158345994</v>
      </c>
      <c r="K297" s="9">
        <f t="shared" si="31"/>
        <v>203.00936978151</v>
      </c>
      <c r="L297" s="10">
        <f t="shared" si="30"/>
        <v>0.25150863138808005</v>
      </c>
      <c r="M297" s="10">
        <f t="shared" si="38"/>
        <v>0.2661200456361873</v>
      </c>
      <c r="P297" s="8">
        <f t="shared" si="39"/>
        <v>7.6490265061097293</v>
      </c>
    </row>
    <row r="298" spans="1:16" x14ac:dyDescent="0.2">
      <c r="A298" s="8">
        <v>148</v>
      </c>
      <c r="B298" s="8">
        <v>296</v>
      </c>
      <c r="D298">
        <v>964.32569792412005</v>
      </c>
      <c r="E298">
        <v>327.55833929850002</v>
      </c>
      <c r="F298">
        <v>139.19414703782999</v>
      </c>
      <c r="G298">
        <v>117.97002141327999</v>
      </c>
      <c r="I298" s="9">
        <f t="shared" si="36"/>
        <v>209.58831788522002</v>
      </c>
      <c r="J298" s="9">
        <f t="shared" si="37"/>
        <v>825.13155088629003</v>
      </c>
      <c r="K298" s="9">
        <f t="shared" si="31"/>
        <v>209.58831788522002</v>
      </c>
      <c r="L298" s="10">
        <f t="shared" si="30"/>
        <v>0.25400594324637943</v>
      </c>
      <c r="M298" s="10">
        <f t="shared" si="38"/>
        <v>0.26866688771227687</v>
      </c>
      <c r="P298" s="8">
        <f t="shared" si="39"/>
        <v>8.6792573160452324</v>
      </c>
    </row>
    <row r="299" spans="1:16" x14ac:dyDescent="0.2">
      <c r="A299" s="8">
        <v>148.5</v>
      </c>
      <c r="B299" s="8">
        <v>297</v>
      </c>
      <c r="D299">
        <v>956.52401433692</v>
      </c>
      <c r="E299">
        <v>327.03440860214999</v>
      </c>
      <c r="F299">
        <v>139.42612419700001</v>
      </c>
      <c r="G299">
        <v>117.98144182727</v>
      </c>
      <c r="I299" s="9">
        <f t="shared" si="36"/>
        <v>209.05296677487999</v>
      </c>
      <c r="J299" s="9">
        <f t="shared" si="37"/>
        <v>817.09789013991997</v>
      </c>
      <c r="K299" s="9">
        <f t="shared" si="31"/>
        <v>209.05296677487999</v>
      </c>
      <c r="L299" s="10">
        <f t="shared" si="30"/>
        <v>0.25584812945616803</v>
      </c>
      <c r="M299" s="10">
        <f t="shared" si="38"/>
        <v>0.27055860413985566</v>
      </c>
      <c r="P299" s="8">
        <f t="shared" si="39"/>
        <v>9.4444812636349251</v>
      </c>
    </row>
    <row r="300" spans="1:16" x14ac:dyDescent="0.2">
      <c r="A300" s="8">
        <v>149</v>
      </c>
      <c r="B300" s="8">
        <v>298</v>
      </c>
      <c r="D300">
        <v>1009.8015703069</v>
      </c>
      <c r="E300">
        <v>343.42541042112998</v>
      </c>
      <c r="F300">
        <v>139.46895074947</v>
      </c>
      <c r="G300">
        <v>117.78872234119</v>
      </c>
      <c r="I300" s="9">
        <f t="shared" si="36"/>
        <v>225.63668807993997</v>
      </c>
      <c r="J300" s="9">
        <f t="shared" si="37"/>
        <v>870.33261955743001</v>
      </c>
      <c r="K300" s="9">
        <f t="shared" si="31"/>
        <v>225.63668807993997</v>
      </c>
      <c r="L300" s="10">
        <f t="shared" si="30"/>
        <v>0.2592533969307938</v>
      </c>
      <c r="M300" s="10">
        <f t="shared" si="38"/>
        <v>0.27401340183227163</v>
      </c>
      <c r="P300" s="8">
        <f t="shared" si="39"/>
        <v>10.841991952749137</v>
      </c>
    </row>
    <row r="301" spans="1:16" x14ac:dyDescent="0.2">
      <c r="A301" s="8">
        <v>149.5</v>
      </c>
      <c r="B301" s="8">
        <v>299</v>
      </c>
      <c r="D301">
        <v>1025.7510760401999</v>
      </c>
      <c r="E301">
        <v>345.93974175035999</v>
      </c>
      <c r="F301">
        <v>140.00428265524999</v>
      </c>
      <c r="G301">
        <v>117.68165596003</v>
      </c>
      <c r="I301" s="9">
        <f t="shared" si="36"/>
        <v>228.25808579032997</v>
      </c>
      <c r="J301" s="9">
        <f t="shared" si="37"/>
        <v>885.74679338494991</v>
      </c>
      <c r="K301" s="9">
        <f t="shared" si="31"/>
        <v>228.25808579032997</v>
      </c>
      <c r="L301" s="10">
        <f t="shared" si="30"/>
        <v>0.25770128381500995</v>
      </c>
      <c r="M301" s="10">
        <f t="shared" si="38"/>
        <v>0.27251081893427798</v>
      </c>
      <c r="P301" s="8">
        <f t="shared" si="39"/>
        <v>10.234177589020684</v>
      </c>
    </row>
    <row r="302" spans="1:16" x14ac:dyDescent="0.2">
      <c r="A302" s="8">
        <v>150</v>
      </c>
      <c r="B302" s="8">
        <v>300</v>
      </c>
      <c r="D302">
        <v>1045.3012912482</v>
      </c>
      <c r="E302">
        <v>352.51434720229997</v>
      </c>
      <c r="F302">
        <v>139.61313347609001</v>
      </c>
      <c r="G302">
        <v>117.51677373305</v>
      </c>
      <c r="I302" s="9">
        <f>E302-G302</f>
        <v>234.99757346924997</v>
      </c>
      <c r="J302" s="9">
        <f>D302-F302</f>
        <v>905.68815777210989</v>
      </c>
      <c r="K302" s="9">
        <f t="shared" si="31"/>
        <v>234.99757346924997</v>
      </c>
      <c r="L302" s="10">
        <f t="shared" si="30"/>
        <v>0.25946852838102391</v>
      </c>
      <c r="M302" s="10">
        <f>L302+ABS($N$2)*A302</f>
        <v>0.27432759371808213</v>
      </c>
      <c r="O302" s="11"/>
      <c r="P302" s="8">
        <f>(M302-$O$2)/$O$2*100</f>
        <v>10.969086665072528</v>
      </c>
    </row>
    <row r="303" spans="1:16" x14ac:dyDescent="0.2">
      <c r="A303" s="8">
        <v>150.5</v>
      </c>
      <c r="B303" s="8">
        <v>301</v>
      </c>
      <c r="D303">
        <v>1034.6549497848</v>
      </c>
      <c r="E303">
        <v>350.24677187947998</v>
      </c>
      <c r="F303">
        <v>139.94503925767</v>
      </c>
      <c r="G303">
        <v>117.77516059957</v>
      </c>
      <c r="I303" s="9">
        <f t="shared" ref="I303:I309" si="40">E303-G303</f>
        <v>232.47161127990998</v>
      </c>
      <c r="J303" s="9">
        <f t="shared" ref="J303:J309" si="41">D303-F303</f>
        <v>894.70991052712998</v>
      </c>
      <c r="K303" s="9">
        <f t="shared" si="31"/>
        <v>232.47161127990998</v>
      </c>
      <c r="L303" s="10">
        <f t="shared" si="30"/>
        <v>0.25982903346062897</v>
      </c>
      <c r="M303" s="10">
        <f t="shared" ref="M303:M309" si="42">L303+ABS($N$2)*A303</f>
        <v>0.27473762901547738</v>
      </c>
      <c r="P303" s="8">
        <f t="shared" ref="P303:P309" si="43">(M303-$O$2)/$O$2*100</f>
        <v>11.134951286402428</v>
      </c>
    </row>
    <row r="304" spans="1:16" x14ac:dyDescent="0.2">
      <c r="A304" s="8">
        <v>151</v>
      </c>
      <c r="B304" s="8">
        <v>302</v>
      </c>
      <c r="D304">
        <v>1037.9634146342</v>
      </c>
      <c r="E304">
        <v>347.26685796269999</v>
      </c>
      <c r="F304">
        <v>139.56031406138999</v>
      </c>
      <c r="G304">
        <v>117.68165596003</v>
      </c>
      <c r="I304" s="9">
        <f t="shared" si="40"/>
        <v>229.58520200266997</v>
      </c>
      <c r="J304" s="9">
        <f t="shared" si="41"/>
        <v>898.40310057280999</v>
      </c>
      <c r="K304" s="9">
        <f t="shared" si="31"/>
        <v>229.58520200266997</v>
      </c>
      <c r="L304" s="10">
        <f t="shared" si="30"/>
        <v>0.25554809623462948</v>
      </c>
      <c r="M304" s="10">
        <f t="shared" si="42"/>
        <v>0.27050622200726809</v>
      </c>
      <c r="N304" s="1"/>
      <c r="P304" s="8">
        <f t="shared" si="43"/>
        <v>9.4232920083652392</v>
      </c>
    </row>
    <row r="305" spans="1:16" x14ac:dyDescent="0.2">
      <c r="A305" s="8">
        <v>151.5</v>
      </c>
      <c r="B305" s="8">
        <v>303</v>
      </c>
      <c r="D305">
        <v>1021.09390681</v>
      </c>
      <c r="E305">
        <v>345.50967741936</v>
      </c>
      <c r="F305">
        <v>139.61241970021001</v>
      </c>
      <c r="G305">
        <v>117.8551034975</v>
      </c>
      <c r="I305" s="9">
        <f t="shared" si="40"/>
        <v>227.65457392185999</v>
      </c>
      <c r="J305" s="9">
        <f t="shared" si="41"/>
        <v>881.48148710979001</v>
      </c>
      <c r="K305" s="9">
        <f t="shared" si="31"/>
        <v>227.65457392185999</v>
      </c>
      <c r="L305" s="10">
        <f t="shared" si="30"/>
        <v>0.25826359061526749</v>
      </c>
      <c r="M305" s="10">
        <f t="shared" si="42"/>
        <v>0.27327124660569629</v>
      </c>
      <c r="P305" s="8">
        <f t="shared" si="43"/>
        <v>10.541780491916617</v>
      </c>
    </row>
    <row r="306" spans="1:16" x14ac:dyDescent="0.2">
      <c r="A306" s="8">
        <v>152</v>
      </c>
      <c r="B306" s="8">
        <v>304</v>
      </c>
      <c r="D306">
        <v>927.88188976378001</v>
      </c>
      <c r="E306">
        <v>318.66141732284001</v>
      </c>
      <c r="F306">
        <v>139.20057102070001</v>
      </c>
      <c r="G306">
        <v>117.73518915061</v>
      </c>
      <c r="I306" s="9">
        <f t="shared" si="40"/>
        <v>200.92622817223003</v>
      </c>
      <c r="J306" s="9">
        <f t="shared" si="41"/>
        <v>788.68131874308006</v>
      </c>
      <c r="K306" s="9">
        <f t="shared" si="31"/>
        <v>200.92622817223003</v>
      </c>
      <c r="L306" s="10">
        <f t="shared" si="30"/>
        <v>0.25476225111106443</v>
      </c>
      <c r="M306" s="10">
        <f t="shared" si="42"/>
        <v>0.26981943731928343</v>
      </c>
      <c r="P306" s="8">
        <f t="shared" si="43"/>
        <v>9.14547865197523</v>
      </c>
    </row>
    <row r="307" spans="1:16" x14ac:dyDescent="0.2">
      <c r="A307" s="8">
        <v>152.5</v>
      </c>
      <c r="B307" s="8">
        <v>305</v>
      </c>
      <c r="D307">
        <v>894.25730577334002</v>
      </c>
      <c r="E307">
        <v>308.06343549537002</v>
      </c>
      <c r="F307">
        <v>139.40542469664999</v>
      </c>
      <c r="G307">
        <v>117.73947180585</v>
      </c>
      <c r="I307" s="9">
        <f t="shared" si="40"/>
        <v>190.32396368952001</v>
      </c>
      <c r="J307" s="9">
        <f t="shared" si="41"/>
        <v>754.85188107669001</v>
      </c>
      <c r="K307" s="9">
        <f t="shared" si="31"/>
        <v>190.32396368952001</v>
      </c>
      <c r="L307" s="10">
        <f t="shared" si="30"/>
        <v>0.2521341848125882</v>
      </c>
      <c r="M307" s="10">
        <f t="shared" si="42"/>
        <v>0.26724090123859739</v>
      </c>
      <c r="P307" s="8">
        <f t="shared" si="43"/>
        <v>8.1024272041477836</v>
      </c>
    </row>
    <row r="308" spans="1:16" x14ac:dyDescent="0.2">
      <c r="A308" s="8">
        <v>153</v>
      </c>
      <c r="B308" s="8">
        <v>306</v>
      </c>
      <c r="D308">
        <v>973.09305654975003</v>
      </c>
      <c r="E308">
        <v>327.70365068003002</v>
      </c>
      <c r="F308">
        <v>138.94575303355001</v>
      </c>
      <c r="G308">
        <v>117.67880085653</v>
      </c>
      <c r="I308" s="9">
        <f t="shared" si="40"/>
        <v>210.02484982350001</v>
      </c>
      <c r="J308" s="9">
        <f t="shared" si="41"/>
        <v>834.14730351620005</v>
      </c>
      <c r="K308" s="9">
        <f t="shared" si="31"/>
        <v>210.02484982350001</v>
      </c>
      <c r="L308" s="10">
        <f t="shared" si="30"/>
        <v>0.25178388629703352</v>
      </c>
      <c r="M308" s="10">
        <f t="shared" si="42"/>
        <v>0.26694013294083291</v>
      </c>
      <c r="P308" s="8">
        <f t="shared" si="43"/>
        <v>7.980762508123683</v>
      </c>
    </row>
    <row r="309" spans="1:16" x14ac:dyDescent="0.2">
      <c r="A309" s="8">
        <v>153.5</v>
      </c>
      <c r="B309" s="8">
        <v>307</v>
      </c>
      <c r="D309">
        <v>999.47602004295004</v>
      </c>
      <c r="E309">
        <v>339.88976377953003</v>
      </c>
      <c r="F309">
        <v>139.49107780156999</v>
      </c>
      <c r="G309">
        <v>117.90364025696</v>
      </c>
      <c r="I309" s="9">
        <f t="shared" si="40"/>
        <v>221.98612352257004</v>
      </c>
      <c r="J309" s="9">
        <f t="shared" si="41"/>
        <v>859.98494224138005</v>
      </c>
      <c r="K309" s="9">
        <f t="shared" si="31"/>
        <v>221.98612352257004</v>
      </c>
      <c r="L309" s="10">
        <f t="shared" si="30"/>
        <v>0.25812791901217164</v>
      </c>
      <c r="M309" s="10">
        <f t="shared" si="42"/>
        <v>0.27333369587376122</v>
      </c>
      <c r="P309" s="8">
        <f t="shared" si="43"/>
        <v>10.567042034680663</v>
      </c>
    </row>
    <row r="310" spans="1:16" x14ac:dyDescent="0.2">
      <c r="A310" s="8">
        <v>154</v>
      </c>
      <c r="B310" s="8">
        <v>308</v>
      </c>
      <c r="D310">
        <v>984.25125268431998</v>
      </c>
      <c r="E310">
        <v>334.73514674301998</v>
      </c>
      <c r="F310">
        <v>138.96002855104001</v>
      </c>
      <c r="G310">
        <v>117.90078515346001</v>
      </c>
      <c r="I310" s="9">
        <f>E310-G310</f>
        <v>216.83436158955999</v>
      </c>
      <c r="J310" s="9">
        <f>D310-F310</f>
        <v>845.29122413327991</v>
      </c>
      <c r="K310" s="9">
        <f t="shared" si="31"/>
        <v>216.83436158955999</v>
      </c>
      <c r="L310" s="10">
        <f t="shared" si="30"/>
        <v>0.25652030377091789</v>
      </c>
      <c r="M310" s="10">
        <f>L310+ABS($N$2)*A310</f>
        <v>0.27177561085029767</v>
      </c>
      <c r="O310" s="11"/>
      <c r="P310" s="8">
        <f>(M310-$O$2)/$O$2*100</f>
        <v>9.9367763379022271</v>
      </c>
    </row>
    <row r="311" spans="1:16" x14ac:dyDescent="0.2">
      <c r="A311" s="8">
        <v>154.5</v>
      </c>
      <c r="B311" s="8">
        <v>309</v>
      </c>
      <c r="D311">
        <v>972.63135289906995</v>
      </c>
      <c r="E311">
        <v>329.07730851824999</v>
      </c>
      <c r="F311">
        <v>139.06638115632001</v>
      </c>
      <c r="G311">
        <v>117.71734475375</v>
      </c>
      <c r="I311" s="9">
        <f t="shared" ref="I311:I319" si="44">E311-G311</f>
        <v>211.35996376449998</v>
      </c>
      <c r="J311" s="9">
        <f t="shared" ref="J311:J319" si="45">D311-F311</f>
        <v>833.56497174275</v>
      </c>
      <c r="K311" s="9">
        <f t="shared" si="31"/>
        <v>211.35996376449998</v>
      </c>
      <c r="L311" s="10">
        <f t="shared" si="30"/>
        <v>0.25356147502528292</v>
      </c>
      <c r="M311" s="10">
        <f t="shared" ref="M311:M319" si="46">L311+ABS($N$2)*A311</f>
        <v>0.26886631232245289</v>
      </c>
      <c r="P311" s="8">
        <f t="shared" ref="P311:P319" si="47">(M311-$O$2)/$O$2*100</f>
        <v>8.7599271697403509</v>
      </c>
    </row>
    <row r="312" spans="1:16" x14ac:dyDescent="0.2">
      <c r="A312" s="8">
        <v>155</v>
      </c>
      <c r="B312" s="8">
        <v>310</v>
      </c>
      <c r="D312">
        <v>946.53533190578003</v>
      </c>
      <c r="E312">
        <v>322.49892933618997</v>
      </c>
      <c r="F312">
        <v>138.89007851535001</v>
      </c>
      <c r="G312">
        <v>117.96216987866001</v>
      </c>
      <c r="I312" s="9">
        <f t="shared" si="44"/>
        <v>204.53675945752997</v>
      </c>
      <c r="J312" s="9">
        <f t="shared" si="45"/>
        <v>807.64525339043007</v>
      </c>
      <c r="K312" s="9">
        <f t="shared" si="31"/>
        <v>204.53675945752997</v>
      </c>
      <c r="L312" s="10">
        <f t="shared" si="30"/>
        <v>0.25325074170732886</v>
      </c>
      <c r="M312" s="10">
        <f t="shared" si="46"/>
        <v>0.26860510922228903</v>
      </c>
      <c r="N312" s="1"/>
      <c r="P312" s="8">
        <f t="shared" si="47"/>
        <v>8.6542671117548711</v>
      </c>
    </row>
    <row r="313" spans="1:16" x14ac:dyDescent="0.2">
      <c r="A313" s="8">
        <v>155.5</v>
      </c>
      <c r="B313" s="8">
        <v>311</v>
      </c>
      <c r="D313">
        <v>958.75517487509001</v>
      </c>
      <c r="E313">
        <v>325.02926481085001</v>
      </c>
      <c r="F313">
        <v>138.63454675232001</v>
      </c>
      <c r="G313">
        <v>117.68451106353</v>
      </c>
      <c r="I313" s="9">
        <f t="shared" si="44"/>
        <v>207.34475374732</v>
      </c>
      <c r="J313" s="9">
        <f t="shared" si="45"/>
        <v>820.12062812276997</v>
      </c>
      <c r="K313" s="9">
        <f t="shared" si="31"/>
        <v>207.34475374732</v>
      </c>
      <c r="L313" s="10">
        <f t="shared" si="30"/>
        <v>0.25282226374664607</v>
      </c>
      <c r="M313" s="10">
        <f t="shared" si="46"/>
        <v>0.26822616147939643</v>
      </c>
      <c r="P313" s="8">
        <f t="shared" si="47"/>
        <v>8.5009778113507792</v>
      </c>
    </row>
    <row r="314" spans="1:16" x14ac:dyDescent="0.2">
      <c r="A314" s="8">
        <v>156</v>
      </c>
      <c r="B314" s="8">
        <v>312</v>
      </c>
      <c r="D314">
        <v>1010.0344332855</v>
      </c>
      <c r="E314">
        <v>339.85939741750002</v>
      </c>
      <c r="F314">
        <v>138.75089221984001</v>
      </c>
      <c r="G314">
        <v>117.79728765167999</v>
      </c>
      <c r="I314" s="9">
        <f t="shared" si="44"/>
        <v>222.06210976582003</v>
      </c>
      <c r="J314" s="9">
        <f t="shared" si="45"/>
        <v>871.28354106565996</v>
      </c>
      <c r="K314" s="9">
        <f t="shared" si="31"/>
        <v>222.06210976582003</v>
      </c>
      <c r="L314" s="10">
        <f t="shared" si="30"/>
        <v>0.2548677890715319</v>
      </c>
      <c r="M314" s="10">
        <f t="shared" si="46"/>
        <v>0.27032121702207246</v>
      </c>
      <c r="P314" s="8">
        <f t="shared" si="47"/>
        <v>9.3484550808896056</v>
      </c>
    </row>
    <row r="315" spans="1:16" x14ac:dyDescent="0.2">
      <c r="A315" s="8">
        <v>156.5</v>
      </c>
      <c r="B315" s="8">
        <v>313</v>
      </c>
      <c r="D315">
        <v>964.63845050215002</v>
      </c>
      <c r="E315">
        <v>324.88235294117999</v>
      </c>
      <c r="F315">
        <v>138.78586723769001</v>
      </c>
      <c r="G315">
        <v>117.95431834404</v>
      </c>
      <c r="I315" s="9">
        <f t="shared" si="44"/>
        <v>206.92803459713997</v>
      </c>
      <c r="J315" s="9">
        <f t="shared" si="45"/>
        <v>825.85258326446001</v>
      </c>
      <c r="K315" s="9">
        <f t="shared" si="31"/>
        <v>206.92803459713997</v>
      </c>
      <c r="L315" s="10">
        <f t="shared" si="30"/>
        <v>0.25056291981213807</v>
      </c>
      <c r="M315" s="10">
        <f t="shared" si="46"/>
        <v>0.26606587798046882</v>
      </c>
      <c r="P315" s="8">
        <f t="shared" si="47"/>
        <v>7.6271149834648568</v>
      </c>
    </row>
    <row r="316" spans="1:16" x14ac:dyDescent="0.2">
      <c r="A316" s="8">
        <v>157</v>
      </c>
      <c r="B316" s="8">
        <v>314</v>
      </c>
      <c r="D316">
        <v>902.17288378766</v>
      </c>
      <c r="E316">
        <v>312.25394548063002</v>
      </c>
      <c r="F316">
        <v>138.79229122056</v>
      </c>
      <c r="G316">
        <v>117.76302640970999</v>
      </c>
      <c r="I316" s="9">
        <f t="shared" si="44"/>
        <v>194.49091907092003</v>
      </c>
      <c r="J316" s="9">
        <f t="shared" si="45"/>
        <v>763.38059256709994</v>
      </c>
      <c r="K316" s="9">
        <f t="shared" si="31"/>
        <v>194.49091907092003</v>
      </c>
      <c r="L316" s="10">
        <f t="shared" si="30"/>
        <v>0.25477582344199379</v>
      </c>
      <c r="M316" s="10">
        <f t="shared" si="46"/>
        <v>0.27032831182811473</v>
      </c>
      <c r="P316" s="8">
        <f t="shared" si="47"/>
        <v>9.3513250223924143</v>
      </c>
    </row>
    <row r="317" spans="1:16" x14ac:dyDescent="0.2">
      <c r="A317" s="8">
        <v>157.5</v>
      </c>
      <c r="B317" s="8">
        <v>315</v>
      </c>
      <c r="D317">
        <v>900.80344332854997</v>
      </c>
      <c r="E317">
        <v>312.22022955524</v>
      </c>
      <c r="F317">
        <v>139.13062098501001</v>
      </c>
      <c r="G317">
        <v>117.7408993576</v>
      </c>
      <c r="I317" s="9">
        <f t="shared" si="44"/>
        <v>194.47933019764</v>
      </c>
      <c r="J317" s="9">
        <f t="shared" si="45"/>
        <v>761.67282234354002</v>
      </c>
      <c r="K317" s="9">
        <f t="shared" si="31"/>
        <v>194.47933019764</v>
      </c>
      <c r="L317" s="10">
        <f t="shared" si="30"/>
        <v>0.25533184917804941</v>
      </c>
      <c r="M317" s="10">
        <f t="shared" si="46"/>
        <v>0.27093386778196055</v>
      </c>
      <c r="P317" s="8">
        <f t="shared" si="47"/>
        <v>9.596280297259602</v>
      </c>
    </row>
    <row r="318" spans="1:16" x14ac:dyDescent="0.2">
      <c r="A318" s="8">
        <v>158</v>
      </c>
      <c r="B318" s="8">
        <v>316</v>
      </c>
      <c r="D318">
        <v>926.27618364419004</v>
      </c>
      <c r="E318">
        <v>318.33931133429002</v>
      </c>
      <c r="F318">
        <v>138.70735189151</v>
      </c>
      <c r="G318">
        <v>118.12633832976</v>
      </c>
      <c r="I318" s="9">
        <f t="shared" si="44"/>
        <v>200.21297300453</v>
      </c>
      <c r="J318" s="9">
        <f t="shared" si="45"/>
        <v>787.56883175268001</v>
      </c>
      <c r="K318" s="9">
        <f t="shared" si="31"/>
        <v>200.21297300453</v>
      </c>
      <c r="L318" s="10">
        <f t="shared" si="30"/>
        <v>0.25421647598593999</v>
      </c>
      <c r="M318" s="10">
        <f t="shared" si="46"/>
        <v>0.26986802480764133</v>
      </c>
      <c r="P318" s="8">
        <f t="shared" si="47"/>
        <v>9.1651329242026414</v>
      </c>
    </row>
    <row r="319" spans="1:16" x14ac:dyDescent="0.2">
      <c r="A319" s="8">
        <v>158.5</v>
      </c>
      <c r="B319" s="8">
        <v>317</v>
      </c>
      <c r="D319">
        <v>956.28397711015998</v>
      </c>
      <c r="E319">
        <v>328.12374821173</v>
      </c>
      <c r="F319">
        <v>139.55817273375999</v>
      </c>
      <c r="G319">
        <v>118.10849393290999</v>
      </c>
      <c r="I319" s="9">
        <f t="shared" si="44"/>
        <v>210.01525427882001</v>
      </c>
      <c r="J319" s="9">
        <f t="shared" si="45"/>
        <v>816.72580437639999</v>
      </c>
      <c r="K319" s="9">
        <f t="shared" si="31"/>
        <v>210.01525427882001</v>
      </c>
      <c r="L319" s="10">
        <f t="shared" si="30"/>
        <v>0.25714291522743588</v>
      </c>
      <c r="M319" s="10">
        <f t="shared" si="46"/>
        <v>0.2728439942669274</v>
      </c>
      <c r="P319" s="8">
        <f t="shared" si="47"/>
        <v>10.368951352980549</v>
      </c>
    </row>
    <row r="320" spans="1:16" x14ac:dyDescent="0.2">
      <c r="A320" s="8">
        <v>159</v>
      </c>
      <c r="B320" s="8">
        <v>318</v>
      </c>
      <c r="D320">
        <v>979.09707351891996</v>
      </c>
      <c r="E320">
        <v>335.77016416844998</v>
      </c>
      <c r="F320">
        <v>139.33690221270999</v>
      </c>
      <c r="G320">
        <v>117.72876516773999</v>
      </c>
      <c r="I320" s="9">
        <f>E320-G320</f>
        <v>218.04139900070999</v>
      </c>
      <c r="J320" s="9">
        <f>D320-F320</f>
        <v>839.76017130620994</v>
      </c>
      <c r="K320" s="9">
        <f t="shared" si="31"/>
        <v>218.04139900070999</v>
      </c>
      <c r="L320" s="10">
        <f t="shared" si="30"/>
        <v>0.25964722601877654</v>
      </c>
      <c r="M320" s="10">
        <f>L320+ABS($N$2)*A320</f>
        <v>0.27539783527605827</v>
      </c>
      <c r="O320" s="11"/>
      <c r="P320" s="8">
        <f>(M320-$O$2)/$O$2*100</f>
        <v>11.402013322540554</v>
      </c>
    </row>
    <row r="321" spans="1:16" x14ac:dyDescent="0.2">
      <c r="A321" s="8">
        <v>159.5</v>
      </c>
      <c r="B321" s="8">
        <v>319</v>
      </c>
      <c r="D321">
        <v>927.94218415418004</v>
      </c>
      <c r="E321">
        <v>322.54532476802001</v>
      </c>
      <c r="F321">
        <v>138.41113490364</v>
      </c>
      <c r="G321">
        <v>117.6295503212</v>
      </c>
      <c r="I321" s="9">
        <f t="shared" ref="I321:I322" si="48">E321-G321</f>
        <v>204.91577444682002</v>
      </c>
      <c r="J321" s="9">
        <f t="shared" ref="J321:J322" si="49">D321-F321</f>
        <v>789.53104925054004</v>
      </c>
      <c r="K321" s="9">
        <f t="shared" si="31"/>
        <v>204.91577444682002</v>
      </c>
      <c r="L321" s="10">
        <f t="shared" si="30"/>
        <v>0.25954112208929048</v>
      </c>
      <c r="M321" s="10">
        <f t="shared" ref="M321:M322" si="50">L321+ABS($N$2)*A321</f>
        <v>0.27534126156436239</v>
      </c>
      <c r="P321" s="8">
        <f t="shared" ref="P321:P322" si="51">(M321-$O$2)/$O$2*100</f>
        <v>11.379128518897375</v>
      </c>
    </row>
    <row r="322" spans="1:16" x14ac:dyDescent="0.2">
      <c r="A322" s="8">
        <v>160</v>
      </c>
      <c r="D322">
        <v>894.65431218817002</v>
      </c>
      <c r="E322">
        <v>313.30149679259</v>
      </c>
      <c r="F322">
        <v>139.20413990007</v>
      </c>
      <c r="G322">
        <v>117.57387580300001</v>
      </c>
      <c r="I322" s="9">
        <f t="shared" si="48"/>
        <v>195.72762098958998</v>
      </c>
      <c r="J322" s="9">
        <f t="shared" si="49"/>
        <v>755.45017228810002</v>
      </c>
      <c r="K322" s="9">
        <f t="shared" si="31"/>
        <v>195.72762098958998</v>
      </c>
      <c r="L322" s="10">
        <f t="shared" ref="L322" si="52">K322/J322</f>
        <v>0.25908740002900799</v>
      </c>
      <c r="M322" s="10">
        <f t="shared" si="50"/>
        <v>0.2749370697218701</v>
      </c>
      <c r="P322" s="8">
        <f t="shared" si="51"/>
        <v>11.215627651226962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F672A-27DE-F64B-B8CD-F3F6444488DE}">
  <dimension ref="A1:Y798"/>
  <sheetViews>
    <sheetView tabSelected="1" topLeftCell="F1" zoomScale="75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442.72515010006998</v>
      </c>
      <c r="E2">
        <v>213.75450300200001</v>
      </c>
      <c r="F2">
        <v>150.24309764309999</v>
      </c>
      <c r="G2">
        <v>125.00808080808</v>
      </c>
      <c r="H2" s="4"/>
      <c r="I2" s="5">
        <f>E2-G2</f>
        <v>88.746422193920012</v>
      </c>
      <c r="J2" s="5">
        <f>D2-F2</f>
        <v>292.48205245697</v>
      </c>
      <c r="K2" s="9">
        <f>I2*1</f>
        <v>88.746422193920012</v>
      </c>
      <c r="L2" s="6">
        <f t="shared" ref="L2:L65" si="0">K2/J2</f>
        <v>0.30342518950620534</v>
      </c>
      <c r="M2" s="6">
        <f>L2+ABS($N$2)*A2</f>
        <v>0.30342518950620534</v>
      </c>
      <c r="N2" s="4">
        <f>LINEST(V64:V103,U64:U103)</f>
        <v>-6.8121810934521852E-5</v>
      </c>
      <c r="O2" s="7">
        <f>AVERAGE(M62:M81)</f>
        <v>0.36608606014752282</v>
      </c>
      <c r="P2" s="4">
        <f>(M2-$O$2)/$O$2*100</f>
        <v>-17.116431752705044</v>
      </c>
    </row>
    <row r="3" spans="1:16" x14ac:dyDescent="0.2">
      <c r="A3" s="8">
        <v>0.5</v>
      </c>
      <c r="B3" s="8">
        <v>1</v>
      </c>
      <c r="D3">
        <v>442.38892595062998</v>
      </c>
      <c r="E3">
        <v>223.85456971313999</v>
      </c>
      <c r="F3">
        <v>150.09225589226</v>
      </c>
      <c r="G3">
        <v>124.61750841751</v>
      </c>
      <c r="I3" s="9">
        <f t="shared" ref="I3:I66" si="1">E3-G3</f>
        <v>99.237061295629999</v>
      </c>
      <c r="J3" s="9">
        <f t="shared" ref="J3:J66" si="2">D3-F3</f>
        <v>292.29667005836995</v>
      </c>
      <c r="K3" s="9">
        <f t="shared" ref="K3:K66" si="3">I3*1</f>
        <v>99.237061295629999</v>
      </c>
      <c r="L3" s="10">
        <f t="shared" si="0"/>
        <v>0.33950801176015083</v>
      </c>
      <c r="M3" s="10">
        <f t="shared" ref="M3:M66" si="4">L3+ABS($N$2)*A3</f>
        <v>0.33954207266561809</v>
      </c>
      <c r="P3" s="8">
        <f t="shared" ref="P3:P66" si="5">(M3-$O$2)/$O$2*100</f>
        <v>-7.2507506762776535</v>
      </c>
    </row>
    <row r="4" spans="1:16" ht="16" x14ac:dyDescent="0.2">
      <c r="A4" s="8">
        <v>1</v>
      </c>
      <c r="B4" s="8">
        <v>2</v>
      </c>
      <c r="D4">
        <v>448.68845897264998</v>
      </c>
      <c r="E4">
        <v>237.15610406938001</v>
      </c>
      <c r="F4">
        <v>150.08686868686999</v>
      </c>
      <c r="G4">
        <v>124.85656565657</v>
      </c>
      <c r="I4" s="9">
        <f t="shared" si="1"/>
        <v>112.29953841281001</v>
      </c>
      <c r="J4" s="9">
        <f t="shared" si="2"/>
        <v>298.60159028577999</v>
      </c>
      <c r="K4" s="9">
        <f t="shared" si="3"/>
        <v>112.29953841281001</v>
      </c>
      <c r="L4" s="10">
        <f t="shared" si="0"/>
        <v>0.37608486379905909</v>
      </c>
      <c r="M4" s="10">
        <f t="shared" si="4"/>
        <v>0.37615298560999361</v>
      </c>
      <c r="N4" s="1" t="s">
        <v>7</v>
      </c>
      <c r="P4" s="8">
        <f t="shared" si="5"/>
        <v>2.7498794841885235</v>
      </c>
    </row>
    <row r="5" spans="1:16" x14ac:dyDescent="0.2">
      <c r="A5" s="8">
        <v>1.5</v>
      </c>
      <c r="B5" s="8">
        <v>3</v>
      </c>
      <c r="D5">
        <v>449.40293529018999</v>
      </c>
      <c r="E5">
        <v>233.44362908606001</v>
      </c>
      <c r="F5">
        <v>150.11447811447999</v>
      </c>
      <c r="G5">
        <v>124.87676767677</v>
      </c>
      <c r="I5" s="9">
        <f t="shared" si="1"/>
        <v>108.56686140929001</v>
      </c>
      <c r="J5" s="9">
        <f t="shared" si="2"/>
        <v>299.28845717570999</v>
      </c>
      <c r="K5" s="9">
        <f t="shared" si="3"/>
        <v>108.56686140929001</v>
      </c>
      <c r="L5" s="10">
        <f t="shared" si="0"/>
        <v>0.36274991168654136</v>
      </c>
      <c r="M5" s="10">
        <f t="shared" si="4"/>
        <v>0.36285209440294314</v>
      </c>
      <c r="N5" s="8">
        <f>RSQ(V64:V83,U64:U83)</f>
        <v>0.49202074966686304</v>
      </c>
      <c r="P5" s="8">
        <f t="shared" si="5"/>
        <v>-0.88338948040700593</v>
      </c>
    </row>
    <row r="6" spans="1:16" x14ac:dyDescent="0.2">
      <c r="A6" s="8">
        <v>2</v>
      </c>
      <c r="B6" s="8">
        <v>4</v>
      </c>
      <c r="D6">
        <v>444.56304202801999</v>
      </c>
      <c r="E6">
        <v>225.5436957972</v>
      </c>
      <c r="F6">
        <v>150.07744107744</v>
      </c>
      <c r="G6">
        <v>124.99191919192</v>
      </c>
      <c r="I6" s="9">
        <f t="shared" si="1"/>
        <v>100.55177660528</v>
      </c>
      <c r="J6" s="9">
        <f t="shared" si="2"/>
        <v>294.48560095057996</v>
      </c>
      <c r="K6" s="9">
        <f t="shared" si="3"/>
        <v>100.55177660528</v>
      </c>
      <c r="L6" s="10">
        <f t="shared" si="0"/>
        <v>0.3414488731561256</v>
      </c>
      <c r="M6" s="10">
        <f t="shared" si="4"/>
        <v>0.34158511677799464</v>
      </c>
      <c r="P6" s="8">
        <f t="shared" si="5"/>
        <v>-6.6926731270933848</v>
      </c>
    </row>
    <row r="7" spans="1:16" x14ac:dyDescent="0.2">
      <c r="A7" s="8">
        <v>2.5</v>
      </c>
      <c r="B7" s="8">
        <v>5</v>
      </c>
      <c r="D7">
        <v>447.62975316877998</v>
      </c>
      <c r="E7">
        <v>222.70113408939</v>
      </c>
      <c r="F7">
        <v>150.84377104377</v>
      </c>
      <c r="G7">
        <v>125.0734006734</v>
      </c>
      <c r="I7" s="9">
        <f t="shared" si="1"/>
        <v>97.627733415989994</v>
      </c>
      <c r="J7" s="9">
        <f t="shared" si="2"/>
        <v>296.78598212500998</v>
      </c>
      <c r="K7" s="9">
        <f t="shared" si="3"/>
        <v>97.627733415989994</v>
      </c>
      <c r="L7" s="10">
        <f t="shared" si="0"/>
        <v>0.32894994809717115</v>
      </c>
      <c r="M7" s="10">
        <f t="shared" si="4"/>
        <v>0.32912025262450745</v>
      </c>
      <c r="P7" s="8">
        <f t="shared" si="5"/>
        <v>-10.097573097462151</v>
      </c>
    </row>
    <row r="8" spans="1:16" x14ac:dyDescent="0.2">
      <c r="A8" s="8">
        <v>3</v>
      </c>
      <c r="B8" s="8">
        <v>6</v>
      </c>
      <c r="D8">
        <v>431.50100066711002</v>
      </c>
      <c r="E8">
        <v>215.17478318879</v>
      </c>
      <c r="F8">
        <v>150.22962962963001</v>
      </c>
      <c r="G8">
        <v>125.14747474748</v>
      </c>
      <c r="I8" s="9">
        <f t="shared" si="1"/>
        <v>90.027308441309998</v>
      </c>
      <c r="J8" s="9">
        <f t="shared" si="2"/>
        <v>281.27137103747998</v>
      </c>
      <c r="K8" s="9">
        <f t="shared" si="3"/>
        <v>90.027308441309998</v>
      </c>
      <c r="L8" s="10">
        <f t="shared" si="0"/>
        <v>0.3200727756587558</v>
      </c>
      <c r="M8" s="10">
        <f t="shared" si="4"/>
        <v>0.32027714109155936</v>
      </c>
      <c r="P8" s="8">
        <f t="shared" si="5"/>
        <v>-12.513155796618888</v>
      </c>
    </row>
    <row r="9" spans="1:16" x14ac:dyDescent="0.2">
      <c r="A9" s="8">
        <v>3.5</v>
      </c>
      <c r="B9" s="8">
        <v>7</v>
      </c>
      <c r="D9">
        <v>419.46697798532</v>
      </c>
      <c r="E9">
        <v>210.29352901934999</v>
      </c>
      <c r="F9">
        <v>150.91043771043999</v>
      </c>
      <c r="G9">
        <v>125.05252525253</v>
      </c>
      <c r="I9" s="9">
        <f t="shared" si="1"/>
        <v>85.241003766819986</v>
      </c>
      <c r="J9" s="9">
        <f t="shared" si="2"/>
        <v>268.55654027488004</v>
      </c>
      <c r="K9" s="9">
        <f t="shared" si="3"/>
        <v>85.241003766819986</v>
      </c>
      <c r="L9" s="10">
        <f t="shared" si="0"/>
        <v>0.31740431150763215</v>
      </c>
      <c r="M9" s="10">
        <f t="shared" si="4"/>
        <v>0.31764273784590297</v>
      </c>
      <c r="P9" s="8">
        <f t="shared" si="5"/>
        <v>-13.232768896498953</v>
      </c>
    </row>
    <row r="10" spans="1:16" x14ac:dyDescent="0.2">
      <c r="A10" s="8">
        <v>4</v>
      </c>
      <c r="B10" s="8">
        <v>8</v>
      </c>
      <c r="D10">
        <v>415.82254836558002</v>
      </c>
      <c r="E10">
        <v>206.94729819880001</v>
      </c>
      <c r="F10">
        <v>150.45117845118</v>
      </c>
      <c r="G10">
        <v>125.27407407407</v>
      </c>
      <c r="I10" s="9">
        <f t="shared" si="1"/>
        <v>81.673224124730012</v>
      </c>
      <c r="J10" s="9">
        <f t="shared" si="2"/>
        <v>265.37136991440002</v>
      </c>
      <c r="K10" s="9">
        <f t="shared" si="3"/>
        <v>81.673224124730012</v>
      </c>
      <c r="L10" s="10">
        <f t="shared" si="0"/>
        <v>0.30776953878285768</v>
      </c>
      <c r="M10" s="10">
        <f t="shared" si="4"/>
        <v>0.30804202602659575</v>
      </c>
      <c r="P10" s="8">
        <f t="shared" si="5"/>
        <v>-15.855297548761319</v>
      </c>
    </row>
    <row r="11" spans="1:16" x14ac:dyDescent="0.2">
      <c r="A11" s="8">
        <v>4.5</v>
      </c>
      <c r="B11" s="8">
        <v>9</v>
      </c>
      <c r="D11">
        <v>424.84727755644002</v>
      </c>
      <c r="E11">
        <v>217.03984063745</v>
      </c>
      <c r="F11">
        <v>150.48148148147999</v>
      </c>
      <c r="G11">
        <v>125.15892255892</v>
      </c>
      <c r="I11" s="9">
        <f t="shared" si="1"/>
        <v>91.880918078530001</v>
      </c>
      <c r="J11" s="9">
        <f t="shared" si="2"/>
        <v>274.36579607496003</v>
      </c>
      <c r="K11" s="9">
        <f t="shared" si="3"/>
        <v>91.880918078530001</v>
      </c>
      <c r="L11" s="10">
        <f t="shared" si="0"/>
        <v>0.33488473925309198</v>
      </c>
      <c r="M11" s="10">
        <f t="shared" si="4"/>
        <v>0.33519128740229731</v>
      </c>
      <c r="P11" s="8">
        <f t="shared" si="5"/>
        <v>-8.439210368396914</v>
      </c>
    </row>
    <row r="12" spans="1:16" x14ac:dyDescent="0.2">
      <c r="A12" s="8">
        <v>5</v>
      </c>
      <c r="B12" s="8">
        <v>10</v>
      </c>
      <c r="D12">
        <v>424.94555112882</v>
      </c>
      <c r="E12">
        <v>217.46281540505001</v>
      </c>
      <c r="F12">
        <v>150.86127946127999</v>
      </c>
      <c r="G12">
        <v>124.85185185185</v>
      </c>
      <c r="I12" s="9">
        <f t="shared" si="1"/>
        <v>92.610963553200008</v>
      </c>
      <c r="J12" s="9">
        <f t="shared" si="2"/>
        <v>274.08427166754001</v>
      </c>
      <c r="K12" s="9">
        <f t="shared" si="3"/>
        <v>92.610963553200008</v>
      </c>
      <c r="L12" s="10">
        <f t="shared" si="0"/>
        <v>0.33789229491262335</v>
      </c>
      <c r="M12" s="10">
        <f t="shared" si="4"/>
        <v>0.33823290396729594</v>
      </c>
      <c r="P12" s="8">
        <f t="shared" si="5"/>
        <v>-7.6083629540558873</v>
      </c>
    </row>
    <row r="13" spans="1:16" x14ac:dyDescent="0.2">
      <c r="A13" s="8">
        <v>5.5</v>
      </c>
      <c r="B13" s="8">
        <v>11</v>
      </c>
      <c r="D13">
        <v>408.85458167331001</v>
      </c>
      <c r="E13">
        <v>213.28950863214001</v>
      </c>
      <c r="F13">
        <v>150.77912457913001</v>
      </c>
      <c r="G13">
        <v>125.21952861953</v>
      </c>
      <c r="I13" s="9">
        <f t="shared" si="1"/>
        <v>88.069980012610017</v>
      </c>
      <c r="J13" s="9">
        <f t="shared" si="2"/>
        <v>258.07545709418002</v>
      </c>
      <c r="K13" s="9">
        <f t="shared" si="3"/>
        <v>88.069980012610017</v>
      </c>
      <c r="L13" s="10">
        <f t="shared" si="0"/>
        <v>0.3412567045477341</v>
      </c>
      <c r="M13" s="10">
        <f t="shared" si="4"/>
        <v>0.34163137450787395</v>
      </c>
      <c r="P13" s="8">
        <f t="shared" si="5"/>
        <v>-6.680037374215857</v>
      </c>
    </row>
    <row r="14" spans="1:16" x14ac:dyDescent="0.2">
      <c r="A14" s="8">
        <v>6</v>
      </c>
      <c r="B14" s="8">
        <v>12</v>
      </c>
      <c r="D14">
        <v>407.20916334661001</v>
      </c>
      <c r="E14">
        <v>211.13413014608</v>
      </c>
      <c r="F14">
        <v>150.46868686869001</v>
      </c>
      <c r="G14">
        <v>125.31851851851999</v>
      </c>
      <c r="I14" s="9">
        <f t="shared" si="1"/>
        <v>85.815611627560003</v>
      </c>
      <c r="J14" s="9">
        <f t="shared" si="2"/>
        <v>256.74047647791997</v>
      </c>
      <c r="K14" s="9">
        <f t="shared" si="3"/>
        <v>85.815611627560003</v>
      </c>
      <c r="L14" s="10">
        <f t="shared" si="0"/>
        <v>0.33425041818421747</v>
      </c>
      <c r="M14" s="10">
        <f t="shared" si="4"/>
        <v>0.33465914904982458</v>
      </c>
      <c r="P14" s="8">
        <f t="shared" si="5"/>
        <v>-8.58456918163834</v>
      </c>
    </row>
    <row r="15" spans="1:16" x14ac:dyDescent="0.2">
      <c r="A15" s="8">
        <v>6.5</v>
      </c>
      <c r="B15" s="8">
        <v>13</v>
      </c>
      <c r="D15">
        <v>408.62483399733998</v>
      </c>
      <c r="E15">
        <v>211.41168658698999</v>
      </c>
      <c r="F15">
        <v>150.86127946127999</v>
      </c>
      <c r="G15">
        <v>125.20404040404</v>
      </c>
      <c r="I15" s="9">
        <f t="shared" si="1"/>
        <v>86.207646182949986</v>
      </c>
      <c r="J15" s="9">
        <f t="shared" si="2"/>
        <v>257.76355453605998</v>
      </c>
      <c r="K15" s="9">
        <f t="shared" si="3"/>
        <v>86.207646182949986</v>
      </c>
      <c r="L15" s="10">
        <f t="shared" si="0"/>
        <v>0.33444466708302595</v>
      </c>
      <c r="M15" s="10">
        <f t="shared" si="4"/>
        <v>0.33488745885410032</v>
      </c>
      <c r="P15" s="8">
        <f t="shared" si="5"/>
        <v>-8.5222041180290518</v>
      </c>
    </row>
    <row r="16" spans="1:16" x14ac:dyDescent="0.2">
      <c r="A16" s="8">
        <v>7</v>
      </c>
      <c r="B16" s="8">
        <v>14</v>
      </c>
      <c r="D16">
        <v>399.0796812749</v>
      </c>
      <c r="E16">
        <v>209.14342629481999</v>
      </c>
      <c r="F16">
        <v>150.68552188551999</v>
      </c>
      <c r="G16">
        <v>125.17171717172</v>
      </c>
      <c r="I16" s="9">
        <f t="shared" si="1"/>
        <v>83.971709123099984</v>
      </c>
      <c r="J16" s="9">
        <f t="shared" si="2"/>
        <v>248.39415938938001</v>
      </c>
      <c r="K16" s="9">
        <f t="shared" si="3"/>
        <v>83.971709123099984</v>
      </c>
      <c r="L16" s="10">
        <f t="shared" si="0"/>
        <v>0.33805830752834587</v>
      </c>
      <c r="M16" s="10">
        <f t="shared" si="4"/>
        <v>0.3385351602048875</v>
      </c>
      <c r="P16" s="8">
        <f t="shared" si="5"/>
        <v>-7.5257986964958601</v>
      </c>
    </row>
    <row r="17" spans="1:16" x14ac:dyDescent="0.2">
      <c r="A17" s="8">
        <v>7.5</v>
      </c>
      <c r="B17" s="8">
        <v>15</v>
      </c>
      <c r="D17">
        <v>398.03718459495002</v>
      </c>
      <c r="E17">
        <v>208.65272244356001</v>
      </c>
      <c r="F17">
        <v>150.83434343434001</v>
      </c>
      <c r="G17">
        <v>125.16363636363999</v>
      </c>
      <c r="I17" s="9">
        <f t="shared" si="1"/>
        <v>83.489086079920014</v>
      </c>
      <c r="J17" s="9">
        <f t="shared" si="2"/>
        <v>247.20284116061001</v>
      </c>
      <c r="K17" s="9">
        <f t="shared" si="3"/>
        <v>83.489086079920014</v>
      </c>
      <c r="L17" s="10">
        <f t="shared" si="0"/>
        <v>0.33773513964459806</v>
      </c>
      <c r="M17" s="10">
        <f t="shared" si="4"/>
        <v>0.33824605322660695</v>
      </c>
      <c r="P17" s="8">
        <f t="shared" si="5"/>
        <v>-7.6047711048317703</v>
      </c>
    </row>
    <row r="18" spans="1:16" x14ac:dyDescent="0.2">
      <c r="A18" s="8">
        <v>8</v>
      </c>
      <c r="B18" s="8">
        <v>16</v>
      </c>
      <c r="D18">
        <v>396.77689243027999</v>
      </c>
      <c r="E18">
        <v>208.41102257636001</v>
      </c>
      <c r="F18">
        <v>151.06195286195</v>
      </c>
      <c r="G18">
        <v>125.29360269359999</v>
      </c>
      <c r="I18" s="9">
        <f t="shared" si="1"/>
        <v>83.117419882760018</v>
      </c>
      <c r="J18" s="9">
        <f t="shared" si="2"/>
        <v>245.71493956832998</v>
      </c>
      <c r="K18" s="9">
        <f t="shared" si="3"/>
        <v>83.117419882760018</v>
      </c>
      <c r="L18" s="10">
        <f t="shared" si="0"/>
        <v>0.33826766914856715</v>
      </c>
      <c r="M18" s="10">
        <f t="shared" si="4"/>
        <v>0.33881264363604335</v>
      </c>
      <c r="P18" s="8">
        <f t="shared" si="5"/>
        <v>-7.4500013741274422</v>
      </c>
    </row>
    <row r="19" spans="1:16" x14ac:dyDescent="0.2">
      <c r="A19" s="8">
        <v>8.5</v>
      </c>
      <c r="B19" s="8">
        <v>17</v>
      </c>
      <c r="D19">
        <v>395.40172642762002</v>
      </c>
      <c r="E19">
        <v>207.64276228419999</v>
      </c>
      <c r="F19">
        <v>151.29764309763999</v>
      </c>
      <c r="G19">
        <v>125.13602693603001</v>
      </c>
      <c r="I19" s="9">
        <f t="shared" si="1"/>
        <v>82.506735348169983</v>
      </c>
      <c r="J19" s="9">
        <f t="shared" si="2"/>
        <v>244.10408332998003</v>
      </c>
      <c r="K19" s="9">
        <f t="shared" si="3"/>
        <v>82.506735348169983</v>
      </c>
      <c r="L19" s="10">
        <f t="shared" si="0"/>
        <v>0.33799817775533619</v>
      </c>
      <c r="M19" s="10">
        <f t="shared" si="4"/>
        <v>0.33857721314827965</v>
      </c>
      <c r="P19" s="8">
        <f t="shared" si="5"/>
        <v>-7.5143115223119503</v>
      </c>
    </row>
    <row r="20" spans="1:16" x14ac:dyDescent="0.2">
      <c r="A20" s="8">
        <v>9</v>
      </c>
      <c r="B20" s="8">
        <v>18</v>
      </c>
      <c r="D20">
        <v>396.08432934926998</v>
      </c>
      <c r="E20">
        <v>208.02523240372</v>
      </c>
      <c r="F20">
        <v>151.28148148148</v>
      </c>
      <c r="G20">
        <v>125.18451178450999</v>
      </c>
      <c r="I20" s="9">
        <f t="shared" si="1"/>
        <v>82.840720619210003</v>
      </c>
      <c r="J20" s="9">
        <f t="shared" si="2"/>
        <v>244.80284786778998</v>
      </c>
      <c r="K20" s="9">
        <f t="shared" si="3"/>
        <v>82.840720619210003</v>
      </c>
      <c r="L20" s="10">
        <f t="shared" si="0"/>
        <v>0.33839769978472461</v>
      </c>
      <c r="M20" s="10">
        <f t="shared" si="4"/>
        <v>0.33901079608313534</v>
      </c>
      <c r="P20" s="8">
        <f t="shared" si="5"/>
        <v>-7.395874088589137</v>
      </c>
    </row>
    <row r="21" spans="1:16" x14ac:dyDescent="0.2">
      <c r="A21" s="8">
        <v>9.5</v>
      </c>
      <c r="B21" s="8">
        <v>19</v>
      </c>
      <c r="D21">
        <v>393.81009296149</v>
      </c>
      <c r="E21">
        <v>207.86122177954999</v>
      </c>
      <c r="F21">
        <v>151.05050505051</v>
      </c>
      <c r="G21">
        <v>125.44377104377</v>
      </c>
      <c r="I21" s="9">
        <f t="shared" si="1"/>
        <v>82.417450735779994</v>
      </c>
      <c r="J21" s="9">
        <f t="shared" si="2"/>
        <v>242.75958791098</v>
      </c>
      <c r="K21" s="9">
        <f t="shared" si="3"/>
        <v>82.417450735779994</v>
      </c>
      <c r="L21" s="10">
        <f t="shared" si="0"/>
        <v>0.33950235063837103</v>
      </c>
      <c r="M21" s="10">
        <f t="shared" si="4"/>
        <v>0.34014950784224901</v>
      </c>
      <c r="P21" s="8">
        <f t="shared" si="5"/>
        <v>-7.0848237965745202</v>
      </c>
    </row>
    <row r="22" spans="1:16" x14ac:dyDescent="0.2">
      <c r="A22" s="8">
        <v>10</v>
      </c>
      <c r="B22" s="8">
        <v>20</v>
      </c>
      <c r="D22">
        <v>387.81108144192001</v>
      </c>
      <c r="E22">
        <v>203.37049399199</v>
      </c>
      <c r="F22">
        <v>151.08013468013999</v>
      </c>
      <c r="G22">
        <v>125.16835016835</v>
      </c>
      <c r="I22" s="9">
        <f t="shared" si="1"/>
        <v>78.20214382364</v>
      </c>
      <c r="J22" s="9">
        <f t="shared" si="2"/>
        <v>236.73094676178002</v>
      </c>
      <c r="K22" s="9">
        <f t="shared" si="3"/>
        <v>78.20214382364</v>
      </c>
      <c r="L22" s="10">
        <f t="shared" si="0"/>
        <v>0.33034187077507038</v>
      </c>
      <c r="M22" s="10">
        <f t="shared" si="4"/>
        <v>0.33102308888441562</v>
      </c>
      <c r="P22" s="8">
        <f t="shared" si="5"/>
        <v>-9.5777946991419913</v>
      </c>
    </row>
    <row r="23" spans="1:16" x14ac:dyDescent="0.2">
      <c r="A23" s="8">
        <v>10.5</v>
      </c>
      <c r="B23" s="8">
        <v>21</v>
      </c>
      <c r="D23">
        <v>390.90120160214002</v>
      </c>
      <c r="E23">
        <v>204.97596795728001</v>
      </c>
      <c r="F23">
        <v>151.11245791246</v>
      </c>
      <c r="G23">
        <v>125.42962962963</v>
      </c>
      <c r="I23" s="9">
        <f t="shared" si="1"/>
        <v>79.546338327650005</v>
      </c>
      <c r="J23" s="9">
        <f t="shared" si="2"/>
        <v>239.78874368968002</v>
      </c>
      <c r="K23" s="9">
        <f t="shared" si="3"/>
        <v>79.546338327650005</v>
      </c>
      <c r="L23" s="10">
        <f t="shared" si="0"/>
        <v>0.33173508107033595</v>
      </c>
      <c r="M23" s="10">
        <f t="shared" si="4"/>
        <v>0.33245036008514844</v>
      </c>
      <c r="P23" s="8">
        <f t="shared" si="5"/>
        <v>-9.1879215638039025</v>
      </c>
    </row>
    <row r="24" spans="1:16" x14ac:dyDescent="0.2">
      <c r="A24" s="8">
        <v>11</v>
      </c>
      <c r="B24" s="8">
        <v>22</v>
      </c>
      <c r="D24">
        <v>389.43724966622</v>
      </c>
      <c r="E24">
        <v>204.46128170895</v>
      </c>
      <c r="F24">
        <v>151.367003367</v>
      </c>
      <c r="G24">
        <v>125.26666666667001</v>
      </c>
      <c r="I24" s="9">
        <f t="shared" si="1"/>
        <v>79.194615042279992</v>
      </c>
      <c r="J24" s="9">
        <f t="shared" si="2"/>
        <v>238.07024629922</v>
      </c>
      <c r="K24" s="9">
        <f t="shared" si="3"/>
        <v>79.194615042279992</v>
      </c>
      <c r="L24" s="10">
        <f t="shared" si="0"/>
        <v>0.33265230020698922</v>
      </c>
      <c r="M24" s="10">
        <f t="shared" si="4"/>
        <v>0.33340164012726897</v>
      </c>
      <c r="P24" s="8">
        <f t="shared" si="5"/>
        <v>-8.9280700846907166</v>
      </c>
    </row>
    <row r="25" spans="1:16" x14ac:dyDescent="0.2">
      <c r="A25" s="8">
        <v>11.5</v>
      </c>
      <c r="B25" s="8">
        <v>23</v>
      </c>
      <c r="D25">
        <v>390.15554072096</v>
      </c>
      <c r="E25">
        <v>204.02603471295001</v>
      </c>
      <c r="F25">
        <v>151.32525252524999</v>
      </c>
      <c r="G25">
        <v>125.11313131313</v>
      </c>
      <c r="I25" s="9">
        <f t="shared" si="1"/>
        <v>78.91290339982001</v>
      </c>
      <c r="J25" s="9">
        <f t="shared" si="2"/>
        <v>238.83028819571001</v>
      </c>
      <c r="K25" s="9">
        <f t="shared" si="3"/>
        <v>78.91290339982001</v>
      </c>
      <c r="L25" s="10">
        <f t="shared" si="0"/>
        <v>0.33041413631404515</v>
      </c>
      <c r="M25" s="10">
        <f t="shared" si="4"/>
        <v>0.33119753713979216</v>
      </c>
      <c r="P25" s="8">
        <f t="shared" si="5"/>
        <v>-9.5301424461973561</v>
      </c>
    </row>
    <row r="26" spans="1:16" x14ac:dyDescent="0.2">
      <c r="A26" s="8">
        <v>12</v>
      </c>
      <c r="B26" s="8">
        <v>24</v>
      </c>
      <c r="D26">
        <v>389.99198931909001</v>
      </c>
      <c r="E26">
        <v>204.20293724966999</v>
      </c>
      <c r="F26">
        <v>150.53265993266001</v>
      </c>
      <c r="G26">
        <v>125.26801346801</v>
      </c>
      <c r="I26" s="9">
        <f t="shared" si="1"/>
        <v>78.93492378165999</v>
      </c>
      <c r="J26" s="9">
        <f t="shared" si="2"/>
        <v>239.45932938643</v>
      </c>
      <c r="K26" s="9">
        <f t="shared" si="3"/>
        <v>78.93492378165999</v>
      </c>
      <c r="L26" s="10">
        <f t="shared" si="0"/>
        <v>0.32963812261529357</v>
      </c>
      <c r="M26" s="10">
        <f t="shared" si="4"/>
        <v>0.33045558434650785</v>
      </c>
      <c r="P26" s="8">
        <f t="shared" si="5"/>
        <v>-9.7328141330092848</v>
      </c>
    </row>
    <row r="27" spans="1:16" x14ac:dyDescent="0.2">
      <c r="A27" s="8">
        <v>12.5</v>
      </c>
      <c r="B27" s="8">
        <v>25</v>
      </c>
      <c r="D27">
        <v>388.8518024032</v>
      </c>
      <c r="E27">
        <v>204.00600801068001</v>
      </c>
      <c r="F27">
        <v>151.76902356901999</v>
      </c>
      <c r="G27">
        <v>125.29225589226</v>
      </c>
      <c r="I27" s="9">
        <f t="shared" si="1"/>
        <v>78.713752118420004</v>
      </c>
      <c r="J27" s="9">
        <f t="shared" si="2"/>
        <v>237.08277883418</v>
      </c>
      <c r="K27" s="9">
        <f t="shared" si="3"/>
        <v>78.713752118420004</v>
      </c>
      <c r="L27" s="10">
        <f t="shared" si="0"/>
        <v>0.33200957279766757</v>
      </c>
      <c r="M27" s="10">
        <f t="shared" si="4"/>
        <v>0.33286109543434911</v>
      </c>
      <c r="P27" s="8">
        <f t="shared" si="5"/>
        <v>-9.0757251723228531</v>
      </c>
    </row>
    <row r="28" spans="1:16" x14ac:dyDescent="0.2">
      <c r="A28" s="8">
        <v>13</v>
      </c>
      <c r="B28" s="8">
        <v>26</v>
      </c>
      <c r="D28">
        <v>390.87116154873002</v>
      </c>
      <c r="E28">
        <v>204.82443257676999</v>
      </c>
      <c r="F28">
        <v>151.09562289562001</v>
      </c>
      <c r="G28">
        <v>125.47474747475</v>
      </c>
      <c r="I28" s="9">
        <f t="shared" si="1"/>
        <v>79.34968510201999</v>
      </c>
      <c r="J28" s="9">
        <f t="shared" si="2"/>
        <v>239.77553865311</v>
      </c>
      <c r="K28" s="9">
        <f t="shared" si="3"/>
        <v>79.34968510201999</v>
      </c>
      <c r="L28" s="10">
        <f t="shared" si="0"/>
        <v>0.33093319505296748</v>
      </c>
      <c r="M28" s="10">
        <f t="shared" si="4"/>
        <v>0.33181877859511627</v>
      </c>
      <c r="P28" s="8">
        <f t="shared" si="5"/>
        <v>-9.3604442459780515</v>
      </c>
    </row>
    <row r="29" spans="1:16" x14ac:dyDescent="0.2">
      <c r="A29" s="8">
        <v>13.5</v>
      </c>
      <c r="B29" s="8">
        <v>27</v>
      </c>
      <c r="D29">
        <v>388.32510013350998</v>
      </c>
      <c r="E29">
        <v>204.53404539386</v>
      </c>
      <c r="F29">
        <v>151.10572390572</v>
      </c>
      <c r="G29">
        <v>125.45454545455</v>
      </c>
      <c r="I29" s="9">
        <f t="shared" si="1"/>
        <v>79.079499939309997</v>
      </c>
      <c r="J29" s="9">
        <f t="shared" si="2"/>
        <v>237.21937622778998</v>
      </c>
      <c r="K29" s="9">
        <f t="shared" si="3"/>
        <v>79.079499939309997</v>
      </c>
      <c r="L29" s="10">
        <f t="shared" si="0"/>
        <v>0.33336020521095161</v>
      </c>
      <c r="M29" s="10">
        <f t="shared" si="4"/>
        <v>0.33427984965856766</v>
      </c>
      <c r="P29" s="8">
        <f t="shared" si="5"/>
        <v>-8.6881785327029686</v>
      </c>
    </row>
    <row r="30" spans="1:16" x14ac:dyDescent="0.2">
      <c r="A30" s="8">
        <v>14</v>
      </c>
      <c r="B30" s="8">
        <v>28</v>
      </c>
      <c r="D30">
        <v>388.10814419226</v>
      </c>
      <c r="E30">
        <v>204.11415220294001</v>
      </c>
      <c r="F30">
        <v>151.05454545455001</v>
      </c>
      <c r="G30">
        <v>125.18518518518999</v>
      </c>
      <c r="I30" s="9">
        <f t="shared" si="1"/>
        <v>78.928967017750011</v>
      </c>
      <c r="J30" s="9">
        <f t="shared" si="2"/>
        <v>237.05359873770999</v>
      </c>
      <c r="K30" s="9">
        <f t="shared" si="3"/>
        <v>78.928967017750011</v>
      </c>
      <c r="L30" s="10">
        <f t="shared" si="0"/>
        <v>0.33295831591690644</v>
      </c>
      <c r="M30" s="10">
        <f t="shared" si="4"/>
        <v>0.33391202126998976</v>
      </c>
      <c r="P30" s="8">
        <f t="shared" si="5"/>
        <v>-8.7886544668124742</v>
      </c>
    </row>
    <row r="31" spans="1:16" x14ac:dyDescent="0.2">
      <c r="A31" s="8">
        <v>14.5</v>
      </c>
      <c r="B31" s="8">
        <v>29</v>
      </c>
      <c r="D31">
        <v>389.44592790386997</v>
      </c>
      <c r="E31">
        <v>204.74833110814001</v>
      </c>
      <c r="F31">
        <v>151.67609427609</v>
      </c>
      <c r="G31">
        <v>125.32861952862</v>
      </c>
      <c r="I31" s="9">
        <f t="shared" si="1"/>
        <v>79.419711579520012</v>
      </c>
      <c r="J31" s="9">
        <f t="shared" si="2"/>
        <v>237.76983362777997</v>
      </c>
      <c r="K31" s="9">
        <f t="shared" si="3"/>
        <v>79.419711579520012</v>
      </c>
      <c r="L31" s="10">
        <f t="shared" si="0"/>
        <v>0.33401929238781686</v>
      </c>
      <c r="M31" s="10">
        <f t="shared" si="4"/>
        <v>0.33500705864636743</v>
      </c>
      <c r="P31" s="8">
        <f t="shared" si="5"/>
        <v>-8.4895342610509097</v>
      </c>
    </row>
    <row r="32" spans="1:16" x14ac:dyDescent="0.2">
      <c r="A32" s="8">
        <v>15</v>
      </c>
      <c r="B32" s="8">
        <v>30</v>
      </c>
      <c r="D32">
        <v>386.57943925234002</v>
      </c>
      <c r="E32">
        <v>203.83711615486999</v>
      </c>
      <c r="F32">
        <v>151.30976430976</v>
      </c>
      <c r="G32">
        <v>125.42760942760999</v>
      </c>
      <c r="I32" s="9">
        <f t="shared" si="1"/>
        <v>78.409506727259995</v>
      </c>
      <c r="J32" s="9">
        <f t="shared" si="2"/>
        <v>235.26967494258002</v>
      </c>
      <c r="K32" s="9">
        <f t="shared" si="3"/>
        <v>78.409506727259995</v>
      </c>
      <c r="L32" s="10">
        <f t="shared" si="0"/>
        <v>0.33327502469834513</v>
      </c>
      <c r="M32" s="10">
        <f t="shared" si="4"/>
        <v>0.33429685186236296</v>
      </c>
      <c r="P32" s="8">
        <f t="shared" si="5"/>
        <v>-8.6835342138812006</v>
      </c>
    </row>
    <row r="33" spans="1:16" x14ac:dyDescent="0.2">
      <c r="A33" s="8">
        <v>15.5</v>
      </c>
      <c r="B33" s="8">
        <v>31</v>
      </c>
      <c r="D33">
        <v>389.38851802403002</v>
      </c>
      <c r="E33">
        <v>205.06141522029</v>
      </c>
      <c r="F33">
        <v>151.62558922559001</v>
      </c>
      <c r="G33">
        <v>125.30168350168</v>
      </c>
      <c r="I33" s="9">
        <f t="shared" si="1"/>
        <v>79.759731718609999</v>
      </c>
      <c r="J33" s="9">
        <f t="shared" si="2"/>
        <v>237.76292879844002</v>
      </c>
      <c r="K33" s="9">
        <f t="shared" si="3"/>
        <v>79.759731718609999</v>
      </c>
      <c r="L33" s="10">
        <f t="shared" si="0"/>
        <v>0.33545907312668211</v>
      </c>
      <c r="M33" s="10">
        <f t="shared" si="4"/>
        <v>0.33651496119616719</v>
      </c>
      <c r="P33" s="8">
        <f t="shared" si="5"/>
        <v>-8.0776358814206883</v>
      </c>
    </row>
    <row r="34" spans="1:16" x14ac:dyDescent="0.2">
      <c r="A34" s="8">
        <v>16</v>
      </c>
      <c r="B34" s="8">
        <v>32</v>
      </c>
      <c r="D34">
        <v>388.85246995994999</v>
      </c>
      <c r="E34">
        <v>204.42990654206</v>
      </c>
      <c r="F34">
        <v>151.44040404040001</v>
      </c>
      <c r="G34">
        <v>125.64579124578999</v>
      </c>
      <c r="I34" s="9">
        <f t="shared" si="1"/>
        <v>78.784115296270002</v>
      </c>
      <c r="J34" s="9">
        <f t="shared" si="2"/>
        <v>237.41206591954997</v>
      </c>
      <c r="K34" s="9">
        <f t="shared" si="3"/>
        <v>78.784115296270002</v>
      </c>
      <c r="L34" s="10">
        <f t="shared" si="0"/>
        <v>0.33184545608969584</v>
      </c>
      <c r="M34" s="10">
        <f t="shared" si="4"/>
        <v>0.33293540506464819</v>
      </c>
      <c r="P34" s="8">
        <f t="shared" si="5"/>
        <v>-9.0554267675518165</v>
      </c>
    </row>
    <row r="35" spans="1:16" x14ac:dyDescent="0.2">
      <c r="A35" s="8">
        <v>16.5</v>
      </c>
      <c r="B35" s="8">
        <v>33</v>
      </c>
      <c r="D35">
        <v>386.2917222964</v>
      </c>
      <c r="E35">
        <v>205.55340453938999</v>
      </c>
      <c r="F35">
        <v>151.48013468014</v>
      </c>
      <c r="G35">
        <v>125.46936026936</v>
      </c>
      <c r="I35" s="9">
        <f t="shared" si="1"/>
        <v>80.084044270029992</v>
      </c>
      <c r="J35" s="9">
        <f t="shared" si="2"/>
        <v>234.81158761626</v>
      </c>
      <c r="K35" s="9">
        <f t="shared" si="3"/>
        <v>80.084044270029992</v>
      </c>
      <c r="L35" s="10">
        <f t="shared" si="0"/>
        <v>0.34105661088969363</v>
      </c>
      <c r="M35" s="10">
        <f t="shared" si="4"/>
        <v>0.34218062077011324</v>
      </c>
      <c r="P35" s="8">
        <f t="shared" si="5"/>
        <v>-6.5300053675292444</v>
      </c>
    </row>
    <row r="36" spans="1:16" x14ac:dyDescent="0.2">
      <c r="A36" s="8">
        <v>17</v>
      </c>
      <c r="B36" s="8">
        <v>34</v>
      </c>
      <c r="D36">
        <v>386.41588785047003</v>
      </c>
      <c r="E36">
        <v>205.80173564752999</v>
      </c>
      <c r="F36">
        <v>151.84107744107999</v>
      </c>
      <c r="G36">
        <v>125.10168350168</v>
      </c>
      <c r="I36" s="9">
        <f t="shared" si="1"/>
        <v>80.700052145849995</v>
      </c>
      <c r="J36" s="9">
        <f t="shared" si="2"/>
        <v>234.57481040939004</v>
      </c>
      <c r="K36" s="9">
        <f t="shared" si="3"/>
        <v>80.700052145849995</v>
      </c>
      <c r="L36" s="10">
        <f t="shared" si="0"/>
        <v>0.34402693113130434</v>
      </c>
      <c r="M36" s="10">
        <f t="shared" si="4"/>
        <v>0.3451850019171912</v>
      </c>
      <c r="P36" s="8">
        <f t="shared" si="5"/>
        <v>-5.7093291730116826</v>
      </c>
    </row>
    <row r="37" spans="1:16" x14ac:dyDescent="0.2">
      <c r="A37" s="8">
        <v>17.5</v>
      </c>
      <c r="B37" s="8">
        <v>35</v>
      </c>
      <c r="D37">
        <v>387.62082777035999</v>
      </c>
      <c r="E37">
        <v>206.36114819759999</v>
      </c>
      <c r="F37">
        <v>151.74343434343001</v>
      </c>
      <c r="G37">
        <v>125.53804713805</v>
      </c>
      <c r="I37" s="9">
        <f t="shared" si="1"/>
        <v>80.823101059549984</v>
      </c>
      <c r="J37" s="9">
        <f t="shared" si="2"/>
        <v>235.87739342692998</v>
      </c>
      <c r="K37" s="9">
        <f t="shared" si="3"/>
        <v>80.823101059549984</v>
      </c>
      <c r="L37" s="10">
        <f t="shared" si="0"/>
        <v>0.34264877988227954</v>
      </c>
      <c r="M37" s="10">
        <f t="shared" si="4"/>
        <v>0.34384091157363367</v>
      </c>
      <c r="P37" s="8">
        <f t="shared" si="5"/>
        <v>-6.0764806408976497</v>
      </c>
    </row>
    <row r="38" spans="1:16" x14ac:dyDescent="0.2">
      <c r="A38" s="8">
        <v>18</v>
      </c>
      <c r="B38" s="8">
        <v>36</v>
      </c>
      <c r="D38">
        <v>388.10146862482998</v>
      </c>
      <c r="E38">
        <v>206.84979973297999</v>
      </c>
      <c r="F38">
        <v>151.73400673400999</v>
      </c>
      <c r="G38">
        <v>125.54410774410999</v>
      </c>
      <c r="I38" s="9">
        <f t="shared" si="1"/>
        <v>81.305691988869995</v>
      </c>
      <c r="J38" s="9">
        <f t="shared" si="2"/>
        <v>236.36746189081998</v>
      </c>
      <c r="K38" s="9">
        <f t="shared" si="3"/>
        <v>81.305691988869995</v>
      </c>
      <c r="L38" s="10">
        <f t="shared" si="0"/>
        <v>0.34398005266234888</v>
      </c>
      <c r="M38" s="10">
        <f t="shared" si="4"/>
        <v>0.34520624525917026</v>
      </c>
      <c r="P38" s="8">
        <f t="shared" si="5"/>
        <v>-5.703526345673624</v>
      </c>
    </row>
    <row r="39" spans="1:16" x14ac:dyDescent="0.2">
      <c r="A39" s="8">
        <v>18.5</v>
      </c>
      <c r="B39" s="8">
        <v>37</v>
      </c>
      <c r="D39">
        <v>387.55740987984001</v>
      </c>
      <c r="E39">
        <v>207.09546061415</v>
      </c>
      <c r="F39">
        <v>152.16767676768001</v>
      </c>
      <c r="G39">
        <v>125.58518518519</v>
      </c>
      <c r="I39" s="9">
        <f t="shared" si="1"/>
        <v>81.51027542896</v>
      </c>
      <c r="J39" s="9">
        <f t="shared" si="2"/>
        <v>235.38973311216</v>
      </c>
      <c r="K39" s="9">
        <f t="shared" si="3"/>
        <v>81.51027542896</v>
      </c>
      <c r="L39" s="10">
        <f t="shared" si="0"/>
        <v>0.34627795508023057</v>
      </c>
      <c r="M39" s="10">
        <f t="shared" si="4"/>
        <v>0.34753820858251921</v>
      </c>
      <c r="P39" s="8">
        <f t="shared" si="5"/>
        <v>-5.066527678636362</v>
      </c>
    </row>
    <row r="40" spans="1:16" x14ac:dyDescent="0.2">
      <c r="A40" s="8">
        <v>19</v>
      </c>
      <c r="B40" s="8">
        <v>38</v>
      </c>
      <c r="D40">
        <v>388.67623497996999</v>
      </c>
      <c r="E40">
        <v>208.13618157542999</v>
      </c>
      <c r="F40">
        <v>152.04107744108001</v>
      </c>
      <c r="G40">
        <v>125.35420875421001</v>
      </c>
      <c r="I40" s="9">
        <f t="shared" si="1"/>
        <v>82.781972821219981</v>
      </c>
      <c r="J40" s="9">
        <f t="shared" si="2"/>
        <v>236.63515753888998</v>
      </c>
      <c r="K40" s="9">
        <f t="shared" si="3"/>
        <v>82.781972821219981</v>
      </c>
      <c r="L40" s="10">
        <f t="shared" si="0"/>
        <v>0.34982955906547875</v>
      </c>
      <c r="M40" s="10">
        <f t="shared" si="4"/>
        <v>0.35112387347323465</v>
      </c>
      <c r="P40" s="8">
        <f t="shared" si="5"/>
        <v>-4.0870681249809975</v>
      </c>
    </row>
    <row r="41" spans="1:16" x14ac:dyDescent="0.2">
      <c r="A41" s="8">
        <v>19.5</v>
      </c>
      <c r="B41" s="8">
        <v>39</v>
      </c>
      <c r="D41">
        <v>389.32977303070999</v>
      </c>
      <c r="E41">
        <v>208.74632843792</v>
      </c>
      <c r="F41">
        <v>151.51717171716999</v>
      </c>
      <c r="G41">
        <v>125.52659932660001</v>
      </c>
      <c r="I41" s="9">
        <f t="shared" si="1"/>
        <v>83.219729111319992</v>
      </c>
      <c r="J41" s="9">
        <f t="shared" si="2"/>
        <v>237.81260131354</v>
      </c>
      <c r="K41" s="9">
        <f t="shared" si="3"/>
        <v>83.219729111319992</v>
      </c>
      <c r="L41" s="10">
        <f t="shared" si="0"/>
        <v>0.34993826505265946</v>
      </c>
      <c r="M41" s="10">
        <f t="shared" si="4"/>
        <v>0.35126664036588262</v>
      </c>
      <c r="P41" s="8">
        <f t="shared" si="5"/>
        <v>-4.0480699471780959</v>
      </c>
    </row>
    <row r="42" spans="1:16" x14ac:dyDescent="0.2">
      <c r="A42" s="8">
        <v>20</v>
      </c>
      <c r="B42" s="8">
        <v>40</v>
      </c>
      <c r="D42">
        <v>387.65086782377</v>
      </c>
      <c r="E42">
        <v>208.47129506008</v>
      </c>
      <c r="F42">
        <v>151.70101010101001</v>
      </c>
      <c r="G42">
        <v>125.54276094276</v>
      </c>
      <c r="I42" s="9">
        <f t="shared" si="1"/>
        <v>82.928534117319998</v>
      </c>
      <c r="J42" s="9">
        <f t="shared" si="2"/>
        <v>235.94985772275999</v>
      </c>
      <c r="K42" s="9">
        <f t="shared" si="3"/>
        <v>82.928534117319998</v>
      </c>
      <c r="L42" s="10">
        <f t="shared" si="0"/>
        <v>0.35146676890460621</v>
      </c>
      <c r="M42" s="10">
        <f t="shared" si="4"/>
        <v>0.35282920512329663</v>
      </c>
      <c r="P42" s="8">
        <f t="shared" si="5"/>
        <v>-3.6212400490977541</v>
      </c>
    </row>
    <row r="43" spans="1:16" x14ac:dyDescent="0.2">
      <c r="A43" s="8">
        <v>20.5</v>
      </c>
      <c r="B43" s="8">
        <v>41</v>
      </c>
      <c r="D43">
        <v>392.98596256684999</v>
      </c>
      <c r="E43">
        <v>210.05548128341999</v>
      </c>
      <c r="F43">
        <v>152.15757575757999</v>
      </c>
      <c r="G43">
        <v>125.72592592593</v>
      </c>
      <c r="I43" s="9">
        <f t="shared" si="1"/>
        <v>84.329555357489994</v>
      </c>
      <c r="J43" s="9">
        <f t="shared" si="2"/>
        <v>240.82838680927</v>
      </c>
      <c r="K43" s="9">
        <f t="shared" si="3"/>
        <v>84.329555357489994</v>
      </c>
      <c r="L43" s="10">
        <f t="shared" si="0"/>
        <v>0.35016451538280191</v>
      </c>
      <c r="M43" s="10">
        <f t="shared" si="4"/>
        <v>0.35156101250695959</v>
      </c>
      <c r="P43" s="8">
        <f t="shared" si="5"/>
        <v>-3.9676593079534426</v>
      </c>
    </row>
    <row r="44" spans="1:16" x14ac:dyDescent="0.2">
      <c r="A44" s="8">
        <v>21</v>
      </c>
      <c r="B44" s="8">
        <v>42</v>
      </c>
      <c r="D44">
        <v>390.99398395722</v>
      </c>
      <c r="E44">
        <v>209.99064171123001</v>
      </c>
      <c r="F44">
        <v>152.17171717171999</v>
      </c>
      <c r="G44">
        <v>125.41548821549</v>
      </c>
      <c r="I44" s="9">
        <f t="shared" si="1"/>
        <v>84.575153495740011</v>
      </c>
      <c r="J44" s="9">
        <f t="shared" si="2"/>
        <v>238.82226678550001</v>
      </c>
      <c r="K44" s="9">
        <f t="shared" si="3"/>
        <v>84.575153495740011</v>
      </c>
      <c r="L44" s="10">
        <f t="shared" si="0"/>
        <v>0.35413428837312649</v>
      </c>
      <c r="M44" s="10">
        <f t="shared" si="4"/>
        <v>0.35556484640275143</v>
      </c>
      <c r="P44" s="8">
        <f t="shared" si="5"/>
        <v>-2.8739727867626588</v>
      </c>
    </row>
    <row r="45" spans="1:16" x14ac:dyDescent="0.2">
      <c r="A45" s="8">
        <v>21.5</v>
      </c>
      <c r="B45" s="8">
        <v>43</v>
      </c>
      <c r="D45">
        <v>392.52005347594002</v>
      </c>
      <c r="E45">
        <v>210.82219251337</v>
      </c>
      <c r="F45">
        <v>152.19595959596001</v>
      </c>
      <c r="G45">
        <v>125.31784511785</v>
      </c>
      <c r="I45" s="9">
        <f t="shared" si="1"/>
        <v>85.50434739552</v>
      </c>
      <c r="J45" s="9">
        <f t="shared" si="2"/>
        <v>240.32409387998001</v>
      </c>
      <c r="K45" s="9">
        <f t="shared" si="3"/>
        <v>85.50434739552</v>
      </c>
      <c r="L45" s="10">
        <f t="shared" si="0"/>
        <v>0.35578766163255204</v>
      </c>
      <c r="M45" s="10">
        <f t="shared" si="4"/>
        <v>0.35725228056764424</v>
      </c>
      <c r="P45" s="8">
        <f t="shared" si="5"/>
        <v>-2.4130335845945079</v>
      </c>
    </row>
    <row r="46" spans="1:16" x14ac:dyDescent="0.2">
      <c r="A46" s="8">
        <v>22</v>
      </c>
      <c r="B46" s="8">
        <v>44</v>
      </c>
      <c r="D46">
        <v>390.63770053475997</v>
      </c>
      <c r="E46">
        <v>209.84224598930999</v>
      </c>
      <c r="F46">
        <v>151.18720538721001</v>
      </c>
      <c r="G46">
        <v>125.94814814815</v>
      </c>
      <c r="I46" s="9">
        <f t="shared" si="1"/>
        <v>83.89409784115999</v>
      </c>
      <c r="J46" s="9">
        <f t="shared" si="2"/>
        <v>239.45049514754996</v>
      </c>
      <c r="K46" s="9">
        <f t="shared" si="3"/>
        <v>83.89409784115999</v>
      </c>
      <c r="L46" s="10">
        <f t="shared" si="0"/>
        <v>0.35036092863146617</v>
      </c>
      <c r="M46" s="10">
        <f t="shared" si="4"/>
        <v>0.35185960847202563</v>
      </c>
      <c r="P46" s="8">
        <f t="shared" si="5"/>
        <v>-3.8860948897546961</v>
      </c>
    </row>
    <row r="47" spans="1:16" x14ac:dyDescent="0.2">
      <c r="A47" s="8">
        <v>22.5</v>
      </c>
      <c r="B47" s="8">
        <v>45</v>
      </c>
      <c r="D47">
        <v>385.14371657753998</v>
      </c>
      <c r="E47">
        <v>208.52406417111999</v>
      </c>
      <c r="F47">
        <v>152.46801346801001</v>
      </c>
      <c r="G47">
        <v>125.80404040403999</v>
      </c>
      <c r="I47" s="9">
        <f t="shared" si="1"/>
        <v>82.720023767079994</v>
      </c>
      <c r="J47" s="9">
        <f t="shared" si="2"/>
        <v>232.67570310952996</v>
      </c>
      <c r="K47" s="9">
        <f t="shared" si="3"/>
        <v>82.720023767079994</v>
      </c>
      <c r="L47" s="10">
        <f t="shared" si="0"/>
        <v>0.35551638035940647</v>
      </c>
      <c r="M47" s="10">
        <f t="shared" si="4"/>
        <v>0.35704912110543319</v>
      </c>
      <c r="P47" s="8">
        <f t="shared" si="5"/>
        <v>-2.4685285854500956</v>
      </c>
    </row>
    <row r="48" spans="1:16" x14ac:dyDescent="0.2">
      <c r="A48" s="8">
        <v>23</v>
      </c>
      <c r="B48" s="8">
        <v>46</v>
      </c>
      <c r="D48">
        <v>381.13235294117999</v>
      </c>
      <c r="E48">
        <v>207.49131016043</v>
      </c>
      <c r="F48">
        <v>151.79730639731</v>
      </c>
      <c r="G48">
        <v>125.71515151515</v>
      </c>
      <c r="I48" s="9">
        <f t="shared" si="1"/>
        <v>81.776158645280006</v>
      </c>
      <c r="J48" s="9">
        <f t="shared" si="2"/>
        <v>229.33504654386999</v>
      </c>
      <c r="K48" s="9">
        <f t="shared" si="3"/>
        <v>81.776158645280006</v>
      </c>
      <c r="L48" s="10">
        <f t="shared" si="0"/>
        <v>0.35657942332698317</v>
      </c>
      <c r="M48" s="10">
        <f t="shared" si="4"/>
        <v>0.35814622497847715</v>
      </c>
      <c r="P48" s="8">
        <f t="shared" si="5"/>
        <v>-2.1688438958440899</v>
      </c>
    </row>
    <row r="49" spans="1:25" x14ac:dyDescent="0.2">
      <c r="A49" s="8">
        <v>23.5</v>
      </c>
      <c r="B49" s="8">
        <v>47</v>
      </c>
      <c r="D49">
        <v>386.72058823528999</v>
      </c>
      <c r="E49">
        <v>210.13368983957</v>
      </c>
      <c r="F49">
        <v>152.17912457912999</v>
      </c>
      <c r="G49">
        <v>125.95084175084</v>
      </c>
      <c r="I49" s="9">
        <f t="shared" si="1"/>
        <v>84.182848088729997</v>
      </c>
      <c r="J49" s="9">
        <f t="shared" si="2"/>
        <v>234.54146365616</v>
      </c>
      <c r="K49" s="9">
        <f t="shared" si="3"/>
        <v>84.182848088729997</v>
      </c>
      <c r="L49" s="10">
        <f t="shared" si="0"/>
        <v>0.3589252270214483</v>
      </c>
      <c r="M49" s="10">
        <f t="shared" si="4"/>
        <v>0.36052608957840959</v>
      </c>
      <c r="P49" s="8">
        <f t="shared" si="5"/>
        <v>-1.5187605250177261</v>
      </c>
    </row>
    <row r="50" spans="1:25" x14ac:dyDescent="0.2">
      <c r="A50" s="8">
        <v>24</v>
      </c>
      <c r="B50" s="8">
        <v>48</v>
      </c>
      <c r="D50">
        <v>388.30815508020999</v>
      </c>
      <c r="E50">
        <v>210.31885026737999</v>
      </c>
      <c r="F50">
        <v>152.01548821549</v>
      </c>
      <c r="G50">
        <v>125.88215488215999</v>
      </c>
      <c r="I50" s="9">
        <f t="shared" si="1"/>
        <v>84.436695385219991</v>
      </c>
      <c r="J50" s="9">
        <f t="shared" si="2"/>
        <v>236.29266686471999</v>
      </c>
      <c r="K50" s="9">
        <f t="shared" si="3"/>
        <v>84.436695385219991</v>
      </c>
      <c r="L50" s="10">
        <f t="shared" si="0"/>
        <v>0.35733946594949084</v>
      </c>
      <c r="M50" s="10">
        <f t="shared" si="4"/>
        <v>0.35897438941191939</v>
      </c>
      <c r="P50" s="8">
        <f t="shared" si="5"/>
        <v>-1.9426226534650388</v>
      </c>
    </row>
    <row r="51" spans="1:25" x14ac:dyDescent="0.2">
      <c r="A51" s="8">
        <v>24.5</v>
      </c>
      <c r="B51" s="8">
        <v>49</v>
      </c>
      <c r="D51">
        <v>388.51270053475997</v>
      </c>
      <c r="E51">
        <v>210.69385026737999</v>
      </c>
      <c r="F51">
        <v>152.32053872053999</v>
      </c>
      <c r="G51">
        <v>125.7265993266</v>
      </c>
      <c r="I51" s="9">
        <f t="shared" si="1"/>
        <v>84.967250940779991</v>
      </c>
      <c r="J51" s="9">
        <f t="shared" si="2"/>
        <v>236.19216181421999</v>
      </c>
      <c r="K51" s="9">
        <f t="shared" si="3"/>
        <v>84.967250940779991</v>
      </c>
      <c r="L51" s="10">
        <f t="shared" si="0"/>
        <v>0.35973780962135438</v>
      </c>
      <c r="M51" s="10">
        <f t="shared" si="4"/>
        <v>0.36140679398925019</v>
      </c>
      <c r="P51" s="8">
        <f t="shared" si="5"/>
        <v>-1.2781874721990274</v>
      </c>
    </row>
    <row r="52" spans="1:25" x14ac:dyDescent="0.2">
      <c r="A52" s="8">
        <v>25</v>
      </c>
      <c r="B52" s="8">
        <v>50</v>
      </c>
      <c r="D52">
        <v>387.29077540106999</v>
      </c>
      <c r="E52">
        <v>210.28743315508001</v>
      </c>
      <c r="F52">
        <v>152.97777777778001</v>
      </c>
      <c r="G52">
        <v>126.29158249158</v>
      </c>
      <c r="I52" s="9">
        <f t="shared" si="1"/>
        <v>83.995850663500008</v>
      </c>
      <c r="J52" s="9">
        <f t="shared" si="2"/>
        <v>234.31299762328999</v>
      </c>
      <c r="K52" s="9">
        <f t="shared" si="3"/>
        <v>83.995850663500008</v>
      </c>
      <c r="L52" s="10">
        <f t="shared" si="0"/>
        <v>0.35847712894929512</v>
      </c>
      <c r="M52" s="10">
        <f t="shared" si="4"/>
        <v>0.36018017422265819</v>
      </c>
      <c r="P52" s="8">
        <f t="shared" si="5"/>
        <v>-1.6132506991620266</v>
      </c>
    </row>
    <row r="53" spans="1:25" x14ac:dyDescent="0.2">
      <c r="A53" s="8">
        <v>25.5</v>
      </c>
      <c r="B53" s="8">
        <v>51</v>
      </c>
      <c r="D53">
        <v>386.29077540106999</v>
      </c>
      <c r="E53">
        <v>210.83489304813</v>
      </c>
      <c r="F53">
        <v>153.01279461280001</v>
      </c>
      <c r="G53">
        <v>125.79797979798001</v>
      </c>
      <c r="I53" s="9">
        <f t="shared" si="1"/>
        <v>85.036913250149993</v>
      </c>
      <c r="J53" s="9">
        <f t="shared" si="2"/>
        <v>233.27798078826999</v>
      </c>
      <c r="K53" s="9">
        <f t="shared" si="3"/>
        <v>85.036913250149993</v>
      </c>
      <c r="L53" s="10">
        <f t="shared" si="0"/>
        <v>0.36453038972131713</v>
      </c>
      <c r="M53" s="10">
        <f t="shared" si="4"/>
        <v>0.36626749590014746</v>
      </c>
      <c r="P53" s="8">
        <f t="shared" si="5"/>
        <v>4.9560956391380522E-2</v>
      </c>
      <c r="S53" s="11"/>
      <c r="U53" s="12"/>
    </row>
    <row r="54" spans="1:25" x14ac:dyDescent="0.2">
      <c r="A54" s="8">
        <v>26</v>
      </c>
      <c r="B54" s="8">
        <v>52</v>
      </c>
      <c r="D54">
        <v>390.58288770054003</v>
      </c>
      <c r="E54">
        <v>211.92513368984001</v>
      </c>
      <c r="F54">
        <v>152.55016835017</v>
      </c>
      <c r="G54">
        <v>126.03434343434</v>
      </c>
      <c r="I54" s="9">
        <f t="shared" si="1"/>
        <v>85.890790255500008</v>
      </c>
      <c r="J54" s="9">
        <f t="shared" si="2"/>
        <v>238.03271935037003</v>
      </c>
      <c r="K54" s="9">
        <f t="shared" si="3"/>
        <v>85.890790255500008</v>
      </c>
      <c r="L54" s="10">
        <f t="shared" si="0"/>
        <v>0.36083606694873682</v>
      </c>
      <c r="M54" s="10">
        <f t="shared" si="4"/>
        <v>0.36260723403303441</v>
      </c>
      <c r="P54" s="8">
        <f t="shared" si="5"/>
        <v>-0.95027549344177054</v>
      </c>
      <c r="S54" s="11"/>
    </row>
    <row r="55" spans="1:25" x14ac:dyDescent="0.2">
      <c r="A55" s="8">
        <v>26.5</v>
      </c>
      <c r="B55" s="8">
        <v>53</v>
      </c>
      <c r="D55">
        <v>388.15106951872002</v>
      </c>
      <c r="E55">
        <v>211.76069518717</v>
      </c>
      <c r="F55">
        <v>152.64242424241999</v>
      </c>
      <c r="G55">
        <v>125.99124579124999</v>
      </c>
      <c r="I55" s="9">
        <f t="shared" si="1"/>
        <v>85.769449395920006</v>
      </c>
      <c r="J55" s="9">
        <f t="shared" si="2"/>
        <v>235.50864527630003</v>
      </c>
      <c r="K55" s="9">
        <f t="shared" si="3"/>
        <v>85.769449395920006</v>
      </c>
      <c r="L55" s="10">
        <f t="shared" si="0"/>
        <v>0.36418811417854668</v>
      </c>
      <c r="M55" s="10">
        <f t="shared" si="4"/>
        <v>0.36599334216831153</v>
      </c>
      <c r="P55" s="8">
        <f t="shared" si="5"/>
        <v>-2.5326825931018704E-2</v>
      </c>
      <c r="S55" s="11"/>
    </row>
    <row r="56" spans="1:25" x14ac:dyDescent="0.2">
      <c r="A56" s="8">
        <v>27</v>
      </c>
      <c r="B56" s="8">
        <v>54</v>
      </c>
      <c r="D56">
        <v>388.96256684491999</v>
      </c>
      <c r="E56">
        <v>211.92112299465001</v>
      </c>
      <c r="F56">
        <v>152.48956228956001</v>
      </c>
      <c r="G56">
        <v>125.9696969697</v>
      </c>
      <c r="I56" s="9">
        <f t="shared" si="1"/>
        <v>85.95142602495001</v>
      </c>
      <c r="J56" s="9">
        <f t="shared" si="2"/>
        <v>236.47300455535998</v>
      </c>
      <c r="K56" s="9">
        <f t="shared" si="3"/>
        <v>85.95142602495001</v>
      </c>
      <c r="L56" s="10">
        <f t="shared" si="0"/>
        <v>0.36347246564809549</v>
      </c>
      <c r="M56" s="10">
        <f t="shared" si="4"/>
        <v>0.36531175454332759</v>
      </c>
      <c r="P56" s="8">
        <f t="shared" si="5"/>
        <v>-0.21150917461407853</v>
      </c>
      <c r="S56" s="11"/>
    </row>
    <row r="57" spans="1:25" x14ac:dyDescent="0.2">
      <c r="A57" s="8">
        <v>27.5</v>
      </c>
      <c r="B57" s="8">
        <v>55</v>
      </c>
      <c r="D57">
        <v>389.96323529412001</v>
      </c>
      <c r="E57">
        <v>212.49064171123001</v>
      </c>
      <c r="F57">
        <v>152.42962962963</v>
      </c>
      <c r="G57">
        <v>125.632996633</v>
      </c>
      <c r="I57" s="9">
        <f t="shared" si="1"/>
        <v>86.857645078230007</v>
      </c>
      <c r="J57" s="9">
        <f t="shared" si="2"/>
        <v>237.53360566449001</v>
      </c>
      <c r="K57" s="9">
        <f t="shared" si="3"/>
        <v>86.857645078230007</v>
      </c>
      <c r="L57" s="10">
        <f t="shared" si="0"/>
        <v>0.36566465968151957</v>
      </c>
      <c r="M57" s="10">
        <f t="shared" si="4"/>
        <v>0.36753800948221893</v>
      </c>
      <c r="P57" s="8">
        <f t="shared" si="5"/>
        <v>0.39661420981476747</v>
      </c>
      <c r="S57" s="11"/>
    </row>
    <row r="58" spans="1:25" x14ac:dyDescent="0.2">
      <c r="A58" s="8">
        <v>28</v>
      </c>
      <c r="B58" s="8">
        <v>56</v>
      </c>
      <c r="D58">
        <v>385.79612299464998</v>
      </c>
      <c r="E58">
        <v>210.88235294117999</v>
      </c>
      <c r="F58">
        <v>152.53131313130999</v>
      </c>
      <c r="G58">
        <v>125.96430976431</v>
      </c>
      <c r="I58" s="9">
        <f t="shared" si="1"/>
        <v>84.918043176869986</v>
      </c>
      <c r="J58" s="9">
        <f t="shared" si="2"/>
        <v>233.26480986333999</v>
      </c>
      <c r="K58" s="9">
        <f t="shared" si="3"/>
        <v>84.918043176869986</v>
      </c>
      <c r="L58" s="10">
        <f t="shared" si="0"/>
        <v>0.36404137952321175</v>
      </c>
      <c r="M58" s="10">
        <f t="shared" si="4"/>
        <v>0.36594879022937837</v>
      </c>
      <c r="P58" s="8">
        <f t="shared" si="5"/>
        <v>-3.7496625271426262E-2</v>
      </c>
      <c r="S58" s="11"/>
    </row>
    <row r="59" spans="1:25" x14ac:dyDescent="0.2">
      <c r="A59" s="8">
        <v>28.5</v>
      </c>
      <c r="B59" s="8">
        <v>57</v>
      </c>
      <c r="D59">
        <v>386.44786096257002</v>
      </c>
      <c r="E59">
        <v>211.18716577539999</v>
      </c>
      <c r="F59">
        <v>153.1696969697</v>
      </c>
      <c r="G59">
        <v>125.91582491583</v>
      </c>
      <c r="I59" s="9">
        <f t="shared" si="1"/>
        <v>85.271340859569989</v>
      </c>
      <c r="J59" s="9">
        <f t="shared" si="2"/>
        <v>233.27816399287002</v>
      </c>
      <c r="K59" s="9">
        <f t="shared" si="3"/>
        <v>85.271340859569989</v>
      </c>
      <c r="L59" s="10">
        <f t="shared" si="0"/>
        <v>0.36553503079772287</v>
      </c>
      <c r="M59" s="10">
        <f t="shared" si="4"/>
        <v>0.36747650240935675</v>
      </c>
      <c r="P59" s="8">
        <f t="shared" si="5"/>
        <v>0.37981294924849757</v>
      </c>
      <c r="R59" s="1"/>
      <c r="S59" s="11"/>
    </row>
    <row r="60" spans="1:25" x14ac:dyDescent="0.2">
      <c r="A60" s="8">
        <v>29</v>
      </c>
      <c r="B60" s="8">
        <v>58</v>
      </c>
      <c r="D60">
        <v>386.56283422460001</v>
      </c>
      <c r="E60">
        <v>211.69117647058999</v>
      </c>
      <c r="F60">
        <v>152.19393939394001</v>
      </c>
      <c r="G60">
        <v>126.56161616161999</v>
      </c>
      <c r="I60" s="9">
        <f t="shared" si="1"/>
        <v>85.129560308969999</v>
      </c>
      <c r="J60" s="9">
        <f t="shared" si="2"/>
        <v>234.36889483066</v>
      </c>
      <c r="K60" s="9">
        <f t="shared" si="3"/>
        <v>85.129560308969999</v>
      </c>
      <c r="L60" s="10">
        <f t="shared" si="0"/>
        <v>0.36322891896759246</v>
      </c>
      <c r="M60" s="10">
        <f t="shared" si="4"/>
        <v>0.3652044514846936</v>
      </c>
      <c r="P60" s="8">
        <f t="shared" si="5"/>
        <v>-0.24082005812347773</v>
      </c>
      <c r="S60" s="11"/>
    </row>
    <row r="61" spans="1:25" x14ac:dyDescent="0.2">
      <c r="A61" s="8">
        <v>29.5</v>
      </c>
      <c r="B61" s="8">
        <v>59</v>
      </c>
      <c r="C61" s="2"/>
      <c r="D61">
        <v>390.08422459893001</v>
      </c>
      <c r="E61">
        <v>212.95588235293999</v>
      </c>
      <c r="F61">
        <v>152.84713804713999</v>
      </c>
      <c r="G61">
        <v>126.32525252524999</v>
      </c>
      <c r="I61" s="9">
        <f t="shared" si="1"/>
        <v>86.630629827690001</v>
      </c>
      <c r="J61" s="9">
        <f t="shared" si="2"/>
        <v>237.23708655179001</v>
      </c>
      <c r="K61" s="9">
        <f t="shared" si="3"/>
        <v>86.630629827690001</v>
      </c>
      <c r="L61" s="10">
        <f t="shared" si="0"/>
        <v>0.36516478551838105</v>
      </c>
      <c r="M61" s="10">
        <f t="shared" si="4"/>
        <v>0.36717437894094945</v>
      </c>
      <c r="P61" s="8">
        <f t="shared" si="5"/>
        <v>0.29728495889411127</v>
      </c>
      <c r="S61" s="11"/>
    </row>
    <row r="62" spans="1:25" x14ac:dyDescent="0.2">
      <c r="A62" s="8">
        <v>30</v>
      </c>
      <c r="B62" s="8">
        <v>60</v>
      </c>
      <c r="D62">
        <v>385.78743315508001</v>
      </c>
      <c r="E62">
        <v>211.47393048128001</v>
      </c>
      <c r="F62">
        <v>153.22760942760999</v>
      </c>
      <c r="G62">
        <v>126.19663299663</v>
      </c>
      <c r="I62" s="9">
        <f t="shared" si="1"/>
        <v>85.277297484650006</v>
      </c>
      <c r="J62" s="9">
        <f t="shared" si="2"/>
        <v>232.55982372747002</v>
      </c>
      <c r="K62" s="9">
        <f t="shared" si="3"/>
        <v>85.277297484650006</v>
      </c>
      <c r="L62" s="10">
        <f t="shared" si="0"/>
        <v>0.36668972360670493</v>
      </c>
      <c r="M62" s="10">
        <f t="shared" si="4"/>
        <v>0.36873337793474059</v>
      </c>
      <c r="P62" s="8">
        <f t="shared" si="5"/>
        <v>0.72314083364741499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389.52272727272998</v>
      </c>
      <c r="E63">
        <v>213.59826203208999</v>
      </c>
      <c r="F63">
        <v>153.21077441077</v>
      </c>
      <c r="G63">
        <v>126.26195286194999</v>
      </c>
      <c r="I63" s="9">
        <f t="shared" si="1"/>
        <v>87.336309170139998</v>
      </c>
      <c r="J63" s="9">
        <f t="shared" si="2"/>
        <v>236.31195286195998</v>
      </c>
      <c r="K63" s="9">
        <f t="shared" si="3"/>
        <v>87.336309170139998</v>
      </c>
      <c r="L63" s="10">
        <f t="shared" si="0"/>
        <v>0.36958058241411473</v>
      </c>
      <c r="M63" s="10">
        <f t="shared" si="4"/>
        <v>0.37165829764761765</v>
      </c>
      <c r="P63" s="8">
        <f t="shared" si="5"/>
        <v>1.5221113575997329</v>
      </c>
    </row>
    <row r="64" spans="1:25" x14ac:dyDescent="0.2">
      <c r="A64" s="8">
        <v>31</v>
      </c>
      <c r="B64" s="8">
        <v>62</v>
      </c>
      <c r="D64">
        <v>385.62834224598998</v>
      </c>
      <c r="E64">
        <v>211.41310160428</v>
      </c>
      <c r="F64">
        <v>153.15488215488</v>
      </c>
      <c r="G64">
        <v>126.05117845117999</v>
      </c>
      <c r="I64" s="9">
        <f t="shared" si="1"/>
        <v>85.361923153100008</v>
      </c>
      <c r="J64" s="9">
        <f t="shared" si="2"/>
        <v>232.47346009110998</v>
      </c>
      <c r="K64" s="9">
        <f t="shared" si="3"/>
        <v>85.361923153100008</v>
      </c>
      <c r="L64" s="10">
        <f t="shared" si="0"/>
        <v>0.36718997136122694</v>
      </c>
      <c r="M64" s="10">
        <f t="shared" si="4"/>
        <v>0.36930174750019712</v>
      </c>
      <c r="P64" s="8">
        <f t="shared" si="5"/>
        <v>0.87839655827880081</v>
      </c>
      <c r="U64" s="8">
        <v>30.5</v>
      </c>
      <c r="V64" s="10">
        <f>L62</f>
        <v>0.36668972360670493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384.32152406416998</v>
      </c>
      <c r="E65">
        <v>211.08489304813</v>
      </c>
      <c r="F65">
        <v>152.85387205386999</v>
      </c>
      <c r="G65">
        <v>126.70437710438</v>
      </c>
      <c r="I65" s="9">
        <f t="shared" si="1"/>
        <v>84.380515943749998</v>
      </c>
      <c r="J65" s="9">
        <f t="shared" si="2"/>
        <v>231.46765201029999</v>
      </c>
      <c r="K65" s="9">
        <f t="shared" si="3"/>
        <v>84.380515943749998</v>
      </c>
      <c r="L65" s="10">
        <f t="shared" si="0"/>
        <v>0.36454560804027675</v>
      </c>
      <c r="M65" s="10">
        <f t="shared" si="4"/>
        <v>0.36669144508471418</v>
      </c>
      <c r="P65" s="8">
        <f t="shared" si="5"/>
        <v>0.16536683667971755</v>
      </c>
      <c r="U65" s="8">
        <v>31</v>
      </c>
      <c r="V65" s="10">
        <f t="shared" ref="V65:V83" si="6">L63</f>
        <v>0.36958058241411473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388.59692513368998</v>
      </c>
      <c r="E66">
        <v>213.19117647058999</v>
      </c>
      <c r="F66">
        <v>152.99797979798001</v>
      </c>
      <c r="G66">
        <v>126.1595959596</v>
      </c>
      <c r="I66" s="9">
        <f t="shared" si="1"/>
        <v>87.031580510989997</v>
      </c>
      <c r="J66" s="9">
        <f t="shared" si="2"/>
        <v>235.59894533570997</v>
      </c>
      <c r="K66" s="9">
        <f t="shared" si="3"/>
        <v>87.031580510989997</v>
      </c>
      <c r="L66" s="10">
        <f t="shared" ref="L66:L129" si="7">K66/J66</f>
        <v>0.3694056456278989</v>
      </c>
      <c r="M66" s="10">
        <f t="shared" si="4"/>
        <v>0.3715855435778036</v>
      </c>
      <c r="P66" s="8">
        <f t="shared" si="5"/>
        <v>1.5022378694410377</v>
      </c>
      <c r="U66" s="8">
        <v>31.5</v>
      </c>
      <c r="V66" s="10">
        <f t="shared" si="6"/>
        <v>0.36718997136122694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387.02677376170999</v>
      </c>
      <c r="E67">
        <v>211.22690763052</v>
      </c>
      <c r="F67">
        <v>153.42356902357</v>
      </c>
      <c r="G67">
        <v>126.38047138047</v>
      </c>
      <c r="I67" s="9">
        <f t="shared" ref="I67:I130" si="8">E67-G67</f>
        <v>84.846436250050004</v>
      </c>
      <c r="J67" s="9">
        <f t="shared" ref="J67:J130" si="9">D67-F67</f>
        <v>233.60320473813999</v>
      </c>
      <c r="K67" s="9">
        <f t="shared" ref="K67:K130" si="10">I67*1</f>
        <v>84.846436250050004</v>
      </c>
      <c r="L67" s="10">
        <f t="shared" si="7"/>
        <v>0.36320750113492462</v>
      </c>
      <c r="M67" s="10">
        <f t="shared" ref="M67:M130" si="11">L67+ABS($N$2)*A67</f>
        <v>0.36542145999029657</v>
      </c>
      <c r="P67" s="8">
        <f t="shared" ref="P67:P130" si="12">(M67-$O$2)/$O$2*100</f>
        <v>-0.18154205515458066</v>
      </c>
      <c r="U67" s="8">
        <v>32</v>
      </c>
      <c r="V67" s="10">
        <f t="shared" si="6"/>
        <v>0.36454560804027675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390.80589022757999</v>
      </c>
      <c r="E68">
        <v>213.72155287818001</v>
      </c>
      <c r="F68">
        <v>153.62289562289999</v>
      </c>
      <c r="G68">
        <v>126.14545454546</v>
      </c>
      <c r="I68" s="9">
        <f t="shared" si="8"/>
        <v>87.576098332720008</v>
      </c>
      <c r="J68" s="9">
        <f t="shared" si="9"/>
        <v>237.18299460468</v>
      </c>
      <c r="K68" s="9">
        <f t="shared" si="10"/>
        <v>87.576098332720008</v>
      </c>
      <c r="L68" s="10">
        <f t="shared" si="7"/>
        <v>0.36923430568319499</v>
      </c>
      <c r="M68" s="10">
        <f t="shared" si="11"/>
        <v>0.3714823254440342</v>
      </c>
      <c r="P68" s="8">
        <f t="shared" si="12"/>
        <v>1.4740428232467613</v>
      </c>
      <c r="U68" s="8">
        <v>32.5</v>
      </c>
      <c r="V68" s="10">
        <f t="shared" si="6"/>
        <v>0.3694056456278989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386.96916890080001</v>
      </c>
      <c r="E69">
        <v>210.6327077748</v>
      </c>
      <c r="F69">
        <v>153.14074074074</v>
      </c>
      <c r="G69">
        <v>126.54814814815001</v>
      </c>
      <c r="I69" s="9">
        <f t="shared" si="8"/>
        <v>84.084559626649991</v>
      </c>
      <c r="J69" s="9">
        <f t="shared" si="9"/>
        <v>233.82842816006001</v>
      </c>
      <c r="K69" s="9">
        <f t="shared" si="10"/>
        <v>84.084559626649991</v>
      </c>
      <c r="L69" s="10">
        <f t="shared" si="7"/>
        <v>0.35959938784300643</v>
      </c>
      <c r="M69" s="10">
        <f t="shared" si="11"/>
        <v>0.36188146850931291</v>
      </c>
      <c r="P69" s="8">
        <f t="shared" si="12"/>
        <v>-1.1485254687150808</v>
      </c>
      <c r="U69" s="8">
        <v>33</v>
      </c>
      <c r="V69" s="10">
        <f t="shared" si="6"/>
        <v>0.36320750113492462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388.19168900803999</v>
      </c>
      <c r="E70">
        <v>211.41152815013001</v>
      </c>
      <c r="F70">
        <v>153.24983164983001</v>
      </c>
      <c r="G70">
        <v>126.82356902357</v>
      </c>
      <c r="I70" s="9">
        <f t="shared" si="8"/>
        <v>84.587959126560008</v>
      </c>
      <c r="J70" s="9">
        <f t="shared" si="9"/>
        <v>234.94185735820997</v>
      </c>
      <c r="K70" s="9">
        <f t="shared" si="10"/>
        <v>84.587959126560008</v>
      </c>
      <c r="L70" s="10">
        <f t="shared" si="7"/>
        <v>0.36003784118208815</v>
      </c>
      <c r="M70" s="10">
        <f t="shared" si="11"/>
        <v>0.36235398275386188</v>
      </c>
      <c r="P70" s="8">
        <f t="shared" si="12"/>
        <v>-1.0194535656880819</v>
      </c>
      <c r="U70" s="8">
        <v>33.5</v>
      </c>
      <c r="V70" s="10">
        <f t="shared" si="6"/>
        <v>0.36923430568319499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392.21782841823</v>
      </c>
      <c r="E71">
        <v>213.44504021448</v>
      </c>
      <c r="F71">
        <v>153.67744107743999</v>
      </c>
      <c r="G71">
        <v>126.66734006734001</v>
      </c>
      <c r="I71" s="9">
        <f t="shared" si="8"/>
        <v>86.777700147139996</v>
      </c>
      <c r="J71" s="9">
        <f t="shared" si="9"/>
        <v>238.54038734079001</v>
      </c>
      <c r="K71" s="9">
        <f t="shared" si="10"/>
        <v>86.777700147139996</v>
      </c>
      <c r="L71" s="10">
        <f t="shared" si="7"/>
        <v>0.3637861961847379</v>
      </c>
      <c r="M71" s="10">
        <f t="shared" si="11"/>
        <v>0.36613639866197889</v>
      </c>
      <c r="P71" s="8">
        <f t="shared" si="12"/>
        <v>1.3750459232396582E-2</v>
      </c>
      <c r="U71" s="8">
        <v>34</v>
      </c>
      <c r="V71" s="10">
        <f t="shared" si="6"/>
        <v>0.35959938784300643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394.53230148048999</v>
      </c>
      <c r="E72">
        <v>214.18775235531999</v>
      </c>
      <c r="F72">
        <v>153.74141414140999</v>
      </c>
      <c r="G72">
        <v>126.68484848484999</v>
      </c>
      <c r="I72" s="9">
        <f t="shared" si="8"/>
        <v>87.502903870469993</v>
      </c>
      <c r="J72" s="9">
        <f t="shared" si="9"/>
        <v>240.79088733908</v>
      </c>
      <c r="K72" s="9">
        <f t="shared" si="10"/>
        <v>87.502903870469993</v>
      </c>
      <c r="L72" s="10">
        <f t="shared" si="7"/>
        <v>0.36339790445329034</v>
      </c>
      <c r="M72" s="10">
        <f t="shared" si="11"/>
        <v>0.3657821678359986</v>
      </c>
      <c r="P72" s="8">
        <f t="shared" si="12"/>
        <v>-8.3011167210727099E-2</v>
      </c>
      <c r="U72" s="8">
        <v>34.5</v>
      </c>
      <c r="V72" s="10">
        <f t="shared" si="6"/>
        <v>0.36003784118208815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389.71782841823</v>
      </c>
      <c r="E73">
        <v>212.55026809652</v>
      </c>
      <c r="F73">
        <v>154.35151515152</v>
      </c>
      <c r="G73">
        <v>126.51919191919001</v>
      </c>
      <c r="I73" s="9">
        <f t="shared" si="8"/>
        <v>86.031076177329993</v>
      </c>
      <c r="J73" s="9">
        <f t="shared" si="9"/>
        <v>235.36631326670999</v>
      </c>
      <c r="K73" s="9">
        <f t="shared" si="10"/>
        <v>86.031076177329993</v>
      </c>
      <c r="L73" s="10">
        <f t="shared" si="7"/>
        <v>0.3655199207706592</v>
      </c>
      <c r="M73" s="10">
        <f t="shared" si="11"/>
        <v>0.36793824505883471</v>
      </c>
      <c r="P73" s="8">
        <f t="shared" si="12"/>
        <v>0.50594248537229558</v>
      </c>
      <c r="U73" s="8">
        <v>35</v>
      </c>
      <c r="V73" s="10">
        <f t="shared" si="6"/>
        <v>0.3637861961847379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389.60120643431998</v>
      </c>
      <c r="E74">
        <v>212.73123324397</v>
      </c>
      <c r="F74">
        <v>153.28484848484999</v>
      </c>
      <c r="G74">
        <v>126.61750841751</v>
      </c>
      <c r="I74" s="9">
        <f t="shared" si="8"/>
        <v>86.11372482646</v>
      </c>
      <c r="J74" s="9">
        <f t="shared" si="9"/>
        <v>236.31635794946999</v>
      </c>
      <c r="K74" s="9">
        <f t="shared" si="10"/>
        <v>86.11372482646</v>
      </c>
      <c r="L74" s="10">
        <f t="shared" si="7"/>
        <v>0.36440018614738956</v>
      </c>
      <c r="M74" s="10">
        <f t="shared" si="11"/>
        <v>0.36685257134103233</v>
      </c>
      <c r="P74" s="8">
        <f t="shared" si="12"/>
        <v>0.2093800548430137</v>
      </c>
      <c r="U74" s="8">
        <v>35.5</v>
      </c>
      <c r="V74" s="10">
        <f t="shared" si="6"/>
        <v>0.36339790445329034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386.78287255562998</v>
      </c>
      <c r="E75">
        <v>211.64733648011</v>
      </c>
      <c r="F75">
        <v>153.59663299663001</v>
      </c>
      <c r="G75">
        <v>126.65656565657</v>
      </c>
      <c r="I75" s="9">
        <f t="shared" si="8"/>
        <v>84.990770823540004</v>
      </c>
      <c r="J75" s="9">
        <f t="shared" si="9"/>
        <v>233.18623955899997</v>
      </c>
      <c r="K75" s="9">
        <f t="shared" si="10"/>
        <v>84.990770823540004</v>
      </c>
      <c r="L75" s="10">
        <f t="shared" si="7"/>
        <v>0.36447592698554554</v>
      </c>
      <c r="M75" s="10">
        <f t="shared" si="11"/>
        <v>0.36696237308465557</v>
      </c>
      <c r="P75" s="8">
        <f t="shared" si="12"/>
        <v>0.23937347867865277</v>
      </c>
      <c r="U75" s="8">
        <v>36</v>
      </c>
      <c r="V75" s="10">
        <f t="shared" si="6"/>
        <v>0.3655199207706592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391.01078894134002</v>
      </c>
      <c r="E76">
        <v>212.96628455832999</v>
      </c>
      <c r="F76">
        <v>153.56632996632999</v>
      </c>
      <c r="G76">
        <v>126.67676767677</v>
      </c>
      <c r="I76" s="9">
        <f t="shared" si="8"/>
        <v>86.28951688155999</v>
      </c>
      <c r="J76" s="9">
        <f t="shared" si="9"/>
        <v>237.44445897501004</v>
      </c>
      <c r="K76" s="9">
        <f t="shared" si="10"/>
        <v>86.28951688155999</v>
      </c>
      <c r="L76" s="10">
        <f t="shared" si="7"/>
        <v>0.3634092673884699</v>
      </c>
      <c r="M76" s="10">
        <f t="shared" si="11"/>
        <v>0.36592977439304719</v>
      </c>
      <c r="P76" s="8">
        <f t="shared" si="12"/>
        <v>-4.2690987581621632E-2</v>
      </c>
      <c r="U76" s="8">
        <v>36.5</v>
      </c>
      <c r="V76" s="10">
        <f t="shared" si="6"/>
        <v>0.36440018614738956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390.64261631826997</v>
      </c>
      <c r="E77">
        <v>212.49763991908</v>
      </c>
      <c r="F77">
        <v>154.05521885522001</v>
      </c>
      <c r="G77">
        <v>126.68282828283</v>
      </c>
      <c r="I77" s="9">
        <f t="shared" si="8"/>
        <v>85.814811636249999</v>
      </c>
      <c r="J77" s="9">
        <f t="shared" si="9"/>
        <v>236.58739746304997</v>
      </c>
      <c r="K77" s="9">
        <f t="shared" si="10"/>
        <v>85.814811636249999</v>
      </c>
      <c r="L77" s="10">
        <f t="shared" si="7"/>
        <v>0.36271928495114575</v>
      </c>
      <c r="M77" s="10">
        <f t="shared" si="11"/>
        <v>0.3652738528611903</v>
      </c>
      <c r="P77" s="8">
        <f t="shared" si="12"/>
        <v>-0.22186239104685515</v>
      </c>
      <c r="U77" s="8">
        <v>37</v>
      </c>
      <c r="V77" s="10">
        <f t="shared" si="6"/>
        <v>0.36447592698554554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390.8084962913</v>
      </c>
      <c r="E78">
        <v>212.31490222522001</v>
      </c>
      <c r="F78">
        <v>154.29292929293001</v>
      </c>
      <c r="G78">
        <v>126.70235690235999</v>
      </c>
      <c r="I78" s="9">
        <f t="shared" si="8"/>
        <v>85.612545322860015</v>
      </c>
      <c r="J78" s="9">
        <f t="shared" si="9"/>
        <v>236.51556699836999</v>
      </c>
      <c r="K78" s="9">
        <f t="shared" si="10"/>
        <v>85.612545322860015</v>
      </c>
      <c r="L78" s="10">
        <f t="shared" si="7"/>
        <v>0.36197425145994738</v>
      </c>
      <c r="M78" s="10">
        <f t="shared" si="11"/>
        <v>0.36456288027545919</v>
      </c>
      <c r="P78" s="8">
        <f t="shared" si="12"/>
        <v>-0.41607153013415177</v>
      </c>
      <c r="U78" s="8">
        <v>37.5</v>
      </c>
      <c r="V78" s="10">
        <f t="shared" si="6"/>
        <v>0.3634092673884699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382.18004045853002</v>
      </c>
      <c r="E79">
        <v>208.36210384355999</v>
      </c>
      <c r="F79">
        <v>153.81548821549001</v>
      </c>
      <c r="G79">
        <v>126.43973063973</v>
      </c>
      <c r="I79" s="9">
        <f t="shared" si="8"/>
        <v>81.922373203829991</v>
      </c>
      <c r="J79" s="9">
        <f t="shared" si="9"/>
        <v>228.36455224304001</v>
      </c>
      <c r="K79" s="9">
        <f t="shared" si="10"/>
        <v>81.922373203829991</v>
      </c>
      <c r="L79" s="10">
        <f t="shared" si="7"/>
        <v>0.35873506811443756</v>
      </c>
      <c r="M79" s="10">
        <f t="shared" si="11"/>
        <v>0.36135775783541663</v>
      </c>
      <c r="P79" s="8">
        <f t="shared" si="12"/>
        <v>-1.2915821788463657</v>
      </c>
      <c r="U79" s="8">
        <v>38</v>
      </c>
      <c r="V79" s="10">
        <f t="shared" si="6"/>
        <v>0.36271928495114575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391.31085637221997</v>
      </c>
      <c r="E80">
        <v>211.50977747809</v>
      </c>
      <c r="F80">
        <v>153.68552188551999</v>
      </c>
      <c r="G80">
        <v>126.8936026936</v>
      </c>
      <c r="I80" s="9">
        <f t="shared" si="8"/>
        <v>84.616174784489999</v>
      </c>
      <c r="J80" s="9">
        <f t="shared" si="9"/>
        <v>237.62533448669998</v>
      </c>
      <c r="K80" s="9">
        <f t="shared" si="10"/>
        <v>84.616174784489999</v>
      </c>
      <c r="L80" s="10">
        <f t="shared" si="7"/>
        <v>0.35609071300108369</v>
      </c>
      <c r="M80" s="10">
        <f t="shared" si="11"/>
        <v>0.35874746362753002</v>
      </c>
      <c r="P80" s="8">
        <f t="shared" si="12"/>
        <v>-2.0046096584599655</v>
      </c>
      <c r="U80" s="8">
        <v>38.5</v>
      </c>
      <c r="V80" s="10">
        <f t="shared" si="6"/>
        <v>0.36197425145994738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392.15306810519002</v>
      </c>
      <c r="E81">
        <v>212.87795010114999</v>
      </c>
      <c r="F81">
        <v>153.88282828282999</v>
      </c>
      <c r="G81">
        <v>127.01077441077</v>
      </c>
      <c r="I81" s="9">
        <f t="shared" si="8"/>
        <v>85.867175690379995</v>
      </c>
      <c r="J81" s="9">
        <f t="shared" si="9"/>
        <v>238.27023982236003</v>
      </c>
      <c r="K81" s="9">
        <f t="shared" si="10"/>
        <v>85.867175690379995</v>
      </c>
      <c r="L81" s="10">
        <f t="shared" si="7"/>
        <v>0.36037725800082043</v>
      </c>
      <c r="M81" s="10">
        <f t="shared" si="11"/>
        <v>0.36306806953273407</v>
      </c>
      <c r="P81" s="8">
        <f t="shared" si="12"/>
        <v>-0.82439375418243921</v>
      </c>
      <c r="U81" s="8">
        <v>39</v>
      </c>
      <c r="V81" s="10">
        <f t="shared" si="6"/>
        <v>0.35873506811443756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378.00741739717</v>
      </c>
      <c r="E82">
        <v>206.97235333782999</v>
      </c>
      <c r="F82">
        <v>153.89831649832001</v>
      </c>
      <c r="G82">
        <v>126.76026936027</v>
      </c>
      <c r="H82" s="13"/>
      <c r="I82" s="14">
        <f t="shared" si="8"/>
        <v>80.212083977559985</v>
      </c>
      <c r="J82" s="14">
        <f t="shared" si="9"/>
        <v>224.10910089884999</v>
      </c>
      <c r="K82" s="9">
        <f t="shared" si="10"/>
        <v>80.212083977559985</v>
      </c>
      <c r="L82" s="15">
        <f t="shared" si="7"/>
        <v>0.35791533523559638</v>
      </c>
      <c r="M82" s="15">
        <f t="shared" si="11"/>
        <v>0.36064020767297728</v>
      </c>
      <c r="N82" s="13"/>
      <c r="O82" s="13"/>
      <c r="P82" s="13">
        <f t="shared" si="12"/>
        <v>-1.4875880475620982</v>
      </c>
      <c r="U82" s="8">
        <v>39.5</v>
      </c>
      <c r="V82" s="10">
        <f t="shared" si="6"/>
        <v>0.35609071300108369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387.95222072678001</v>
      </c>
      <c r="E83">
        <v>212.88156123822</v>
      </c>
      <c r="F83">
        <v>153.66666666667001</v>
      </c>
      <c r="G83">
        <v>126.92592592593</v>
      </c>
      <c r="I83" s="9">
        <f t="shared" si="8"/>
        <v>85.955635312289999</v>
      </c>
      <c r="J83" s="9">
        <f t="shared" si="9"/>
        <v>234.28555406011</v>
      </c>
      <c r="K83" s="9">
        <f t="shared" si="10"/>
        <v>85.955635312289999</v>
      </c>
      <c r="L83" s="10">
        <f t="shared" si="7"/>
        <v>0.36688406016803154</v>
      </c>
      <c r="M83" s="10">
        <f t="shared" si="11"/>
        <v>0.3696429935108797</v>
      </c>
      <c r="P83" s="8">
        <f t="shared" si="12"/>
        <v>0.97161125499384926</v>
      </c>
      <c r="U83" s="8">
        <v>40</v>
      </c>
      <c r="V83" s="10">
        <f t="shared" si="6"/>
        <v>0.36037725800082043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390.93943472409001</v>
      </c>
      <c r="E84">
        <v>213.66083445491</v>
      </c>
      <c r="F84">
        <v>153.97777777778001</v>
      </c>
      <c r="G84">
        <v>126.57508417507999</v>
      </c>
      <c r="I84" s="9">
        <f t="shared" si="8"/>
        <v>87.085750279830009</v>
      </c>
      <c r="J84" s="9">
        <f t="shared" si="9"/>
        <v>236.96165694631</v>
      </c>
      <c r="K84" s="9">
        <f t="shared" si="10"/>
        <v>87.085750279830009</v>
      </c>
      <c r="L84" s="10">
        <f t="shared" si="7"/>
        <v>0.36750988072117347</v>
      </c>
      <c r="M84" s="10">
        <f t="shared" si="11"/>
        <v>0.37030287496948888</v>
      </c>
      <c r="P84" s="8">
        <f t="shared" si="12"/>
        <v>1.1518643513131315</v>
      </c>
      <c r="U84" s="8">
        <v>150.5</v>
      </c>
      <c r="V84" s="10">
        <f>L302</f>
        <v>0.34885877175929597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391.24899057874001</v>
      </c>
      <c r="E85">
        <v>213.85060565276001</v>
      </c>
      <c r="F85">
        <v>154.46262626263001</v>
      </c>
      <c r="G85">
        <v>126.88754208754</v>
      </c>
      <c r="I85" s="9">
        <f t="shared" si="8"/>
        <v>86.963063565220011</v>
      </c>
      <c r="J85" s="9">
        <f t="shared" si="9"/>
        <v>236.78636431611</v>
      </c>
      <c r="K85" s="9">
        <f t="shared" si="10"/>
        <v>86.963063565220011</v>
      </c>
      <c r="L85" s="10">
        <f t="shared" si="7"/>
        <v>0.36726381528086749</v>
      </c>
      <c r="M85" s="10">
        <f t="shared" si="11"/>
        <v>0.37009087043465017</v>
      </c>
      <c r="P85" s="8">
        <f t="shared" si="12"/>
        <v>1.0939532320661205</v>
      </c>
      <c r="U85" s="8">
        <v>151</v>
      </c>
      <c r="V85" s="10">
        <f t="shared" ref="V85:V103" si="13">L303</f>
        <v>0.3451592565038758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391.63728129205998</v>
      </c>
      <c r="E86">
        <v>214.2200538358</v>
      </c>
      <c r="F86">
        <v>153.92659932660001</v>
      </c>
      <c r="G86">
        <v>126.89292929293001</v>
      </c>
      <c r="I86" s="9">
        <f t="shared" si="8"/>
        <v>87.327124542869996</v>
      </c>
      <c r="J86" s="9">
        <f t="shared" si="9"/>
        <v>237.71068196545997</v>
      </c>
      <c r="K86" s="9">
        <f t="shared" si="10"/>
        <v>87.327124542869996</v>
      </c>
      <c r="L86" s="10">
        <f t="shared" si="7"/>
        <v>0.36736727109116146</v>
      </c>
      <c r="M86" s="10">
        <f t="shared" si="11"/>
        <v>0.3702283871504114</v>
      </c>
      <c r="P86" s="8">
        <f t="shared" si="12"/>
        <v>1.131517272528578</v>
      </c>
      <c r="U86" s="8">
        <v>151.5</v>
      </c>
      <c r="V86" s="10">
        <f t="shared" si="13"/>
        <v>0.35462290600130297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394.43075898801999</v>
      </c>
      <c r="E87">
        <v>215.70173102530001</v>
      </c>
      <c r="F87">
        <v>154.21077441077</v>
      </c>
      <c r="G87">
        <v>127.01077441077</v>
      </c>
      <c r="I87" s="9">
        <f t="shared" si="8"/>
        <v>88.690956614530009</v>
      </c>
      <c r="J87" s="9">
        <f t="shared" si="9"/>
        <v>240.21998457724999</v>
      </c>
      <c r="K87" s="9">
        <f t="shared" si="10"/>
        <v>88.690956614530009</v>
      </c>
      <c r="L87" s="10">
        <f t="shared" si="7"/>
        <v>0.36920723631971075</v>
      </c>
      <c r="M87" s="10">
        <f t="shared" si="11"/>
        <v>0.37210241328442795</v>
      </c>
      <c r="P87" s="8">
        <f t="shared" si="12"/>
        <v>1.6434259022265691</v>
      </c>
      <c r="U87" s="8">
        <v>152</v>
      </c>
      <c r="V87" s="10">
        <f t="shared" si="13"/>
        <v>0.35432762231572917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396.38482023967998</v>
      </c>
      <c r="E88">
        <v>219.72237017309999</v>
      </c>
      <c r="F88">
        <v>154.47070707071001</v>
      </c>
      <c r="G88">
        <v>126.78181818182</v>
      </c>
      <c r="I88" s="9">
        <f t="shared" si="8"/>
        <v>92.940551991279989</v>
      </c>
      <c r="J88" s="9">
        <f t="shared" si="9"/>
        <v>241.91411316896998</v>
      </c>
      <c r="K88" s="9">
        <f t="shared" si="10"/>
        <v>92.940551991279989</v>
      </c>
      <c r="L88" s="10">
        <f t="shared" si="7"/>
        <v>0.38418821776786422</v>
      </c>
      <c r="M88" s="10">
        <f t="shared" si="11"/>
        <v>0.38711745563804867</v>
      </c>
      <c r="P88" s="8">
        <f t="shared" si="12"/>
        <v>5.7449320747287578</v>
      </c>
      <c r="U88" s="8">
        <v>152.5</v>
      </c>
      <c r="V88" s="10">
        <f t="shared" si="13"/>
        <v>0.36899748875712574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407.42210386151999</v>
      </c>
      <c r="E89">
        <v>298.64846870839</v>
      </c>
      <c r="F89">
        <v>154.23973063973</v>
      </c>
      <c r="G89">
        <v>126.91515151515</v>
      </c>
      <c r="I89" s="9">
        <f t="shared" si="8"/>
        <v>171.73331719324</v>
      </c>
      <c r="J89" s="9">
        <f t="shared" si="9"/>
        <v>253.18237322178999</v>
      </c>
      <c r="K89" s="9">
        <f t="shared" si="10"/>
        <v>171.73331719324</v>
      </c>
      <c r="L89" s="10">
        <f t="shared" si="7"/>
        <v>0.67829886815540708</v>
      </c>
      <c r="M89" s="10">
        <f t="shared" si="11"/>
        <v>0.68126216693105879</v>
      </c>
      <c r="P89" s="8">
        <f t="shared" si="12"/>
        <v>86.093446621957824</v>
      </c>
      <c r="U89" s="8">
        <v>153</v>
      </c>
      <c r="V89" s="10">
        <f t="shared" si="13"/>
        <v>0.35708219612072961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413.86109238031003</v>
      </c>
      <c r="E90">
        <v>358.08900876602002</v>
      </c>
      <c r="F90">
        <v>154.3595959596</v>
      </c>
      <c r="G90">
        <v>127.37575757576001</v>
      </c>
      <c r="I90" s="9">
        <f t="shared" si="8"/>
        <v>230.71325119026</v>
      </c>
      <c r="J90" s="9">
        <f t="shared" si="9"/>
        <v>259.50149642071005</v>
      </c>
      <c r="K90" s="9">
        <f t="shared" si="10"/>
        <v>230.71325119026</v>
      </c>
      <c r="L90" s="10">
        <f t="shared" si="7"/>
        <v>0.88906327852623301</v>
      </c>
      <c r="M90" s="10">
        <f t="shared" si="11"/>
        <v>0.89206063820735193</v>
      </c>
      <c r="P90" s="8">
        <f t="shared" si="12"/>
        <v>143.6751177709076</v>
      </c>
      <c r="U90" s="8">
        <v>153.5</v>
      </c>
      <c r="V90" s="10">
        <f t="shared" si="13"/>
        <v>0.35934784602899578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418.89096989966998</v>
      </c>
      <c r="E91">
        <v>389.37859531773</v>
      </c>
      <c r="F91">
        <v>154.40471380471001</v>
      </c>
      <c r="G91">
        <v>127.24915824916</v>
      </c>
      <c r="I91" s="9">
        <f t="shared" si="8"/>
        <v>262.12943706856998</v>
      </c>
      <c r="J91" s="9">
        <f t="shared" si="9"/>
        <v>264.48625609495997</v>
      </c>
      <c r="K91" s="9">
        <f t="shared" si="10"/>
        <v>262.12943706856998</v>
      </c>
      <c r="L91" s="10">
        <f t="shared" si="7"/>
        <v>0.99108906806278885</v>
      </c>
      <c r="M91" s="10">
        <f t="shared" si="11"/>
        <v>0.99412048864937508</v>
      </c>
      <c r="P91" s="8">
        <f t="shared" si="12"/>
        <v>171.55376750722803</v>
      </c>
      <c r="U91" s="8">
        <v>154</v>
      </c>
      <c r="V91" s="10">
        <f t="shared" si="13"/>
        <v>0.35983307845737256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419.65217391303997</v>
      </c>
      <c r="E92">
        <v>393.88227424748999</v>
      </c>
      <c r="F92">
        <v>153.96565656566</v>
      </c>
      <c r="G92">
        <v>127.18249158249</v>
      </c>
      <c r="I92" s="9">
        <f t="shared" si="8"/>
        <v>266.69978266499999</v>
      </c>
      <c r="J92" s="9">
        <f t="shared" si="9"/>
        <v>265.68651734738</v>
      </c>
      <c r="K92" s="9">
        <f t="shared" si="10"/>
        <v>266.69978266499999</v>
      </c>
      <c r="L92" s="10">
        <f t="shared" si="7"/>
        <v>1.0038137626543358</v>
      </c>
      <c r="M92" s="10">
        <f t="shared" si="11"/>
        <v>1.0068792441463892</v>
      </c>
      <c r="P92" s="8">
        <f t="shared" si="12"/>
        <v>175.03894678225222</v>
      </c>
      <c r="U92" s="8">
        <v>154.5</v>
      </c>
      <c r="V92" s="10">
        <f t="shared" si="13"/>
        <v>0.35506907531610243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422.99465240642002</v>
      </c>
      <c r="E93">
        <v>387.74197860963</v>
      </c>
      <c r="F93">
        <v>155.04511784511999</v>
      </c>
      <c r="G93">
        <v>127.16228956229</v>
      </c>
      <c r="I93" s="9">
        <f t="shared" si="8"/>
        <v>260.57968904734003</v>
      </c>
      <c r="J93" s="9">
        <f t="shared" si="9"/>
        <v>267.94953456130003</v>
      </c>
      <c r="K93" s="9">
        <f t="shared" si="10"/>
        <v>260.57968904734003</v>
      </c>
      <c r="L93" s="10">
        <f t="shared" si="7"/>
        <v>0.97249539721714284</v>
      </c>
      <c r="M93" s="10">
        <f t="shared" si="11"/>
        <v>0.97559493961466359</v>
      </c>
      <c r="P93" s="8">
        <f t="shared" si="12"/>
        <v>166.49333198361205</v>
      </c>
      <c r="U93" s="8">
        <v>155</v>
      </c>
      <c r="V93" s="10">
        <f t="shared" si="13"/>
        <v>0.35217968576680686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422.68983957219001</v>
      </c>
      <c r="E94">
        <v>379.13034759357998</v>
      </c>
      <c r="F94">
        <v>154.5063973064</v>
      </c>
      <c r="G94">
        <v>127.06599326599</v>
      </c>
      <c r="I94" s="9">
        <f t="shared" si="8"/>
        <v>252.06435432758997</v>
      </c>
      <c r="J94" s="9">
        <f t="shared" si="9"/>
        <v>268.18344226579001</v>
      </c>
      <c r="K94" s="9">
        <f t="shared" si="10"/>
        <v>252.06435432758997</v>
      </c>
      <c r="L94" s="10">
        <f t="shared" si="7"/>
        <v>0.93989529032062757</v>
      </c>
      <c r="M94" s="10">
        <f t="shared" si="11"/>
        <v>0.94302889362361553</v>
      </c>
      <c r="P94" s="8">
        <f t="shared" si="12"/>
        <v>157.59759692668993</v>
      </c>
      <c r="U94" s="8">
        <v>155.5</v>
      </c>
      <c r="V94" s="10">
        <f t="shared" si="13"/>
        <v>0.34862044549862126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421.25200534759</v>
      </c>
      <c r="E95">
        <v>366.68649732620003</v>
      </c>
      <c r="F95">
        <v>154.97373737373999</v>
      </c>
      <c r="G95">
        <v>127.04175084175</v>
      </c>
      <c r="I95" s="9">
        <f t="shared" si="8"/>
        <v>239.64474648445002</v>
      </c>
      <c r="J95" s="9">
        <f t="shared" si="9"/>
        <v>266.27826797385001</v>
      </c>
      <c r="K95" s="9">
        <f t="shared" si="10"/>
        <v>239.64474648445002</v>
      </c>
      <c r="L95" s="10">
        <f t="shared" si="7"/>
        <v>0.8999786137559842</v>
      </c>
      <c r="M95" s="10">
        <f t="shared" si="11"/>
        <v>0.90314627796443947</v>
      </c>
      <c r="P95" s="8">
        <f t="shared" si="12"/>
        <v>146.70326906206037</v>
      </c>
      <c r="U95" s="8">
        <v>156</v>
      </c>
      <c r="V95" s="10">
        <f t="shared" si="13"/>
        <v>0.35492969317842105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418.52272727272998</v>
      </c>
      <c r="E96">
        <v>347.38034759357998</v>
      </c>
      <c r="F96">
        <v>154.83703703704001</v>
      </c>
      <c r="G96">
        <v>127.15084175084</v>
      </c>
      <c r="I96" s="9">
        <f t="shared" si="8"/>
        <v>220.22950584273997</v>
      </c>
      <c r="J96" s="9">
        <f t="shared" si="9"/>
        <v>263.68569023569</v>
      </c>
      <c r="K96" s="9">
        <f t="shared" si="10"/>
        <v>220.22950584273997</v>
      </c>
      <c r="L96" s="10">
        <f t="shared" si="7"/>
        <v>0.83519703191285188</v>
      </c>
      <c r="M96" s="10">
        <f t="shared" si="11"/>
        <v>0.83839875702677447</v>
      </c>
      <c r="P96" s="8">
        <f t="shared" si="12"/>
        <v>129.01684830307997</v>
      </c>
      <c r="U96" s="8">
        <v>156.5</v>
      </c>
      <c r="V96" s="10">
        <f t="shared" si="13"/>
        <v>0.35058179820775814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411.49131016042998</v>
      </c>
      <c r="E97">
        <v>329.87901069519</v>
      </c>
      <c r="F97">
        <v>155.12390572391001</v>
      </c>
      <c r="G97">
        <v>126.67070707070999</v>
      </c>
      <c r="I97" s="9">
        <f t="shared" si="8"/>
        <v>203.20830362448001</v>
      </c>
      <c r="J97" s="9">
        <f t="shared" si="9"/>
        <v>256.36740443651996</v>
      </c>
      <c r="K97" s="9">
        <f t="shared" si="10"/>
        <v>203.20830362448001</v>
      </c>
      <c r="L97" s="10">
        <f t="shared" si="7"/>
        <v>0.79264485308153565</v>
      </c>
      <c r="M97" s="10">
        <f t="shared" si="11"/>
        <v>0.79588063910092544</v>
      </c>
      <c r="P97" s="8">
        <f t="shared" si="12"/>
        <v>117.4026071301942</v>
      </c>
      <c r="U97" s="8">
        <v>157</v>
      </c>
      <c r="V97" s="10">
        <f t="shared" si="13"/>
        <v>0.35400481427315311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407.97119892833001</v>
      </c>
      <c r="E98">
        <v>312.60281312793001</v>
      </c>
      <c r="F98">
        <v>154.53333333333001</v>
      </c>
      <c r="G98">
        <v>127.01279461279999</v>
      </c>
      <c r="I98" s="9">
        <f t="shared" si="8"/>
        <v>185.59001851513</v>
      </c>
      <c r="J98" s="9">
        <f t="shared" si="9"/>
        <v>253.43786559500001</v>
      </c>
      <c r="K98" s="9">
        <f t="shared" si="10"/>
        <v>185.59001851513</v>
      </c>
      <c r="L98" s="10">
        <f t="shared" si="7"/>
        <v>0.73229001546164951</v>
      </c>
      <c r="M98" s="10">
        <f t="shared" si="11"/>
        <v>0.73555986238650661</v>
      </c>
      <c r="P98" s="8">
        <f t="shared" si="12"/>
        <v>100.92539499867759</v>
      </c>
      <c r="U98" s="8">
        <v>157.5</v>
      </c>
      <c r="V98" s="10">
        <f t="shared" si="13"/>
        <v>0.34643279047477404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406.15338245144</v>
      </c>
      <c r="E99">
        <v>304.28667113195002</v>
      </c>
      <c r="F99">
        <v>154.84915824916001</v>
      </c>
      <c r="G99">
        <v>127.42020202019999</v>
      </c>
      <c r="I99" s="9">
        <f t="shared" si="8"/>
        <v>176.86646911175001</v>
      </c>
      <c r="J99" s="9">
        <f t="shared" si="9"/>
        <v>251.30422420227998</v>
      </c>
      <c r="K99" s="9">
        <f t="shared" si="10"/>
        <v>176.86646911175001</v>
      </c>
      <c r="L99" s="10">
        <f t="shared" si="7"/>
        <v>0.70379425444670007</v>
      </c>
      <c r="M99" s="10">
        <f t="shared" si="11"/>
        <v>0.70709816227702438</v>
      </c>
      <c r="P99" s="8">
        <f t="shared" si="12"/>
        <v>93.150802298258199</v>
      </c>
      <c r="U99" s="8">
        <v>158</v>
      </c>
      <c r="V99" s="10">
        <f t="shared" si="13"/>
        <v>0.35358619893234483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400.48292029471003</v>
      </c>
      <c r="E100">
        <v>288.94373744139</v>
      </c>
      <c r="F100">
        <v>154.79461279461</v>
      </c>
      <c r="G100">
        <v>126.93131313131001</v>
      </c>
      <c r="I100" s="9">
        <f t="shared" si="8"/>
        <v>162.01242431008001</v>
      </c>
      <c r="J100" s="9">
        <f t="shared" si="9"/>
        <v>245.68830750010002</v>
      </c>
      <c r="K100" s="9">
        <f t="shared" si="10"/>
        <v>162.01242431008001</v>
      </c>
      <c r="L100" s="10">
        <f t="shared" si="7"/>
        <v>0.65942260728062552</v>
      </c>
      <c r="M100" s="10">
        <f t="shared" si="11"/>
        <v>0.66276057601641714</v>
      </c>
      <c r="P100" s="8">
        <f t="shared" si="12"/>
        <v>81.039555493957479</v>
      </c>
      <c r="U100" s="8">
        <v>158.5</v>
      </c>
      <c r="V100" s="10">
        <f t="shared" si="13"/>
        <v>0.35822585464773971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399.11453449431002</v>
      </c>
      <c r="E101">
        <v>280.82116543871001</v>
      </c>
      <c r="F101">
        <v>154.86868686868999</v>
      </c>
      <c r="G101">
        <v>126.86262626263</v>
      </c>
      <c r="I101" s="9">
        <f t="shared" si="8"/>
        <v>153.95853917608002</v>
      </c>
      <c r="J101" s="9">
        <f t="shared" si="9"/>
        <v>244.24584762562003</v>
      </c>
      <c r="K101" s="9">
        <f t="shared" si="10"/>
        <v>153.95853917608002</v>
      </c>
      <c r="L101" s="10">
        <f t="shared" si="7"/>
        <v>0.63034250396783664</v>
      </c>
      <c r="M101" s="10">
        <f t="shared" si="11"/>
        <v>0.63371453360909547</v>
      </c>
      <c r="P101" s="8">
        <f t="shared" si="12"/>
        <v>73.105343960304197</v>
      </c>
      <c r="U101" s="8">
        <v>159</v>
      </c>
      <c r="V101" s="10">
        <f t="shared" si="13"/>
        <v>0.36709484376385149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398.06630944406999</v>
      </c>
      <c r="E102">
        <v>277.86738111186003</v>
      </c>
      <c r="F102">
        <v>154.31043771044</v>
      </c>
      <c r="G102">
        <v>127.232996633</v>
      </c>
      <c r="I102" s="9">
        <f t="shared" si="8"/>
        <v>150.63438447886003</v>
      </c>
      <c r="J102" s="9">
        <f t="shared" si="9"/>
        <v>243.75587173362999</v>
      </c>
      <c r="K102" s="9">
        <f t="shared" si="10"/>
        <v>150.63438447886003</v>
      </c>
      <c r="L102" s="10">
        <f t="shared" si="7"/>
        <v>0.61797233193819978</v>
      </c>
      <c r="M102" s="10">
        <f t="shared" si="11"/>
        <v>0.62137842248492592</v>
      </c>
      <c r="P102" s="8">
        <f t="shared" si="12"/>
        <v>69.735614143441339</v>
      </c>
      <c r="U102" s="8">
        <v>159.5</v>
      </c>
      <c r="V102" s="10">
        <f t="shared" si="13"/>
        <v>0.36168671152961668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399.73275284661997</v>
      </c>
      <c r="E103">
        <v>277.45077026121999</v>
      </c>
      <c r="F103">
        <v>154.23636363636001</v>
      </c>
      <c r="G103">
        <v>126.91380471380999</v>
      </c>
      <c r="I103" s="9">
        <f t="shared" si="8"/>
        <v>150.53696554740998</v>
      </c>
      <c r="J103" s="9">
        <f t="shared" si="9"/>
        <v>245.49638921025996</v>
      </c>
      <c r="K103" s="9">
        <f t="shared" si="10"/>
        <v>150.53696554740998</v>
      </c>
      <c r="L103" s="10">
        <f t="shared" si="7"/>
        <v>0.61319421451237632</v>
      </c>
      <c r="M103" s="10">
        <f t="shared" si="11"/>
        <v>0.61663436596456966</v>
      </c>
      <c r="P103" s="8">
        <f t="shared" si="12"/>
        <v>68.439728548003885</v>
      </c>
      <c r="U103" s="8">
        <v>160</v>
      </c>
      <c r="V103" s="10">
        <f t="shared" si="13"/>
        <v>0.36063645256349769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395.49497655726998</v>
      </c>
      <c r="E104">
        <v>271.37977227059997</v>
      </c>
      <c r="F104">
        <v>155.09158249158</v>
      </c>
      <c r="G104">
        <v>127.05925925926</v>
      </c>
      <c r="I104" s="9">
        <f t="shared" si="8"/>
        <v>144.32051301133998</v>
      </c>
      <c r="J104" s="9">
        <f t="shared" si="9"/>
        <v>240.40339406568998</v>
      </c>
      <c r="K104" s="9">
        <f t="shared" si="10"/>
        <v>144.32051301133998</v>
      </c>
      <c r="L104" s="10">
        <f t="shared" si="7"/>
        <v>0.6003264370381749</v>
      </c>
      <c r="M104" s="10">
        <f t="shared" si="11"/>
        <v>0.60380064939583555</v>
      </c>
      <c r="P104" s="8">
        <f t="shared" si="12"/>
        <v>64.934072920591447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391.46885465506</v>
      </c>
      <c r="E105">
        <v>263.20361687876999</v>
      </c>
      <c r="F105">
        <v>154.50505050505001</v>
      </c>
      <c r="G105">
        <v>126.90774410774</v>
      </c>
      <c r="I105" s="9">
        <f t="shared" si="8"/>
        <v>136.29587277102999</v>
      </c>
      <c r="J105" s="9">
        <f t="shared" si="9"/>
        <v>236.96380415000999</v>
      </c>
      <c r="K105" s="9">
        <f t="shared" si="10"/>
        <v>136.29587277102999</v>
      </c>
      <c r="L105" s="10">
        <f t="shared" si="7"/>
        <v>0.57517591456604</v>
      </c>
      <c r="M105" s="10">
        <f t="shared" si="11"/>
        <v>0.57868418782916786</v>
      </c>
      <c r="P105" s="8">
        <f t="shared" si="12"/>
        <v>58.073264957418402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390.74681848627</v>
      </c>
      <c r="E106">
        <v>258.66778298727002</v>
      </c>
      <c r="F106">
        <v>154.63905723906001</v>
      </c>
      <c r="G106">
        <v>127.2430976431</v>
      </c>
      <c r="I106" s="9">
        <f t="shared" si="8"/>
        <v>131.42468534417003</v>
      </c>
      <c r="J106" s="9">
        <f t="shared" si="9"/>
        <v>236.10776124720999</v>
      </c>
      <c r="K106" s="9">
        <f t="shared" si="10"/>
        <v>131.42468534417003</v>
      </c>
      <c r="L106" s="10">
        <f t="shared" si="7"/>
        <v>0.55663009402967278</v>
      </c>
      <c r="M106" s="10">
        <f t="shared" si="11"/>
        <v>0.56017242819826796</v>
      </c>
      <c r="P106" s="8">
        <f t="shared" si="12"/>
        <v>53.016596144779058</v>
      </c>
      <c r="X106" s="8">
        <v>-13</v>
      </c>
    </row>
    <row r="107" spans="1:25" x14ac:dyDescent="0.2">
      <c r="A107" s="8">
        <v>52.5</v>
      </c>
      <c r="B107" s="8">
        <v>105</v>
      </c>
      <c r="D107">
        <v>390.60482250502002</v>
      </c>
      <c r="E107">
        <v>255.34427327528999</v>
      </c>
      <c r="F107">
        <v>154.75690235690001</v>
      </c>
      <c r="G107">
        <v>127.17104377104</v>
      </c>
      <c r="I107" s="9">
        <f t="shared" si="8"/>
        <v>128.17322950425</v>
      </c>
      <c r="J107" s="9">
        <f t="shared" si="9"/>
        <v>235.84792014812001</v>
      </c>
      <c r="K107" s="9">
        <f t="shared" si="10"/>
        <v>128.17322950425</v>
      </c>
      <c r="L107" s="10">
        <f t="shared" si="7"/>
        <v>0.54345711178522638</v>
      </c>
      <c r="M107" s="10">
        <f t="shared" si="11"/>
        <v>0.54703350685928875</v>
      </c>
      <c r="P107" s="8">
        <f t="shared" si="12"/>
        <v>49.42757083917617</v>
      </c>
      <c r="X107" s="8">
        <v>-13</v>
      </c>
    </row>
    <row r="108" spans="1:25" x14ac:dyDescent="0.2">
      <c r="A108" s="8">
        <v>53</v>
      </c>
      <c r="B108" s="8">
        <v>106</v>
      </c>
      <c r="D108">
        <v>384.97722705961002</v>
      </c>
      <c r="E108">
        <v>249.23978566644001</v>
      </c>
      <c r="F108">
        <v>154.04444444443999</v>
      </c>
      <c r="G108">
        <v>126.99191919192</v>
      </c>
      <c r="I108" s="9">
        <f t="shared" si="8"/>
        <v>122.24786647452001</v>
      </c>
      <c r="J108" s="9">
        <f t="shared" si="9"/>
        <v>230.93278261517003</v>
      </c>
      <c r="K108" s="9">
        <f t="shared" si="10"/>
        <v>122.24786647452001</v>
      </c>
      <c r="L108" s="10">
        <f t="shared" si="7"/>
        <v>0.52936558027898428</v>
      </c>
      <c r="M108" s="10">
        <f t="shared" si="11"/>
        <v>0.53297603625851397</v>
      </c>
      <c r="P108" s="8">
        <f t="shared" si="12"/>
        <v>45.587634788316983</v>
      </c>
      <c r="X108" s="8">
        <v>-13</v>
      </c>
    </row>
    <row r="109" spans="1:25" x14ac:dyDescent="0.2">
      <c r="A109" s="8">
        <v>53.5</v>
      </c>
      <c r="B109" s="8">
        <v>107</v>
      </c>
      <c r="D109">
        <v>387.49363697254</v>
      </c>
      <c r="E109">
        <v>247.62424648359001</v>
      </c>
      <c r="F109">
        <v>155.16094276094</v>
      </c>
      <c r="G109">
        <v>127.367003367</v>
      </c>
      <c r="I109" s="9">
        <f t="shared" si="8"/>
        <v>120.25724311659002</v>
      </c>
      <c r="J109" s="9">
        <f t="shared" si="9"/>
        <v>232.3326942116</v>
      </c>
      <c r="K109" s="9">
        <f t="shared" si="10"/>
        <v>120.25724311659002</v>
      </c>
      <c r="L109" s="10">
        <f t="shared" si="7"/>
        <v>0.51760792222838936</v>
      </c>
      <c r="M109" s="10">
        <f t="shared" si="11"/>
        <v>0.52125243911338626</v>
      </c>
      <c r="P109" s="8">
        <f t="shared" si="12"/>
        <v>42.385219175877815</v>
      </c>
      <c r="X109" s="8">
        <v>-13</v>
      </c>
    </row>
    <row r="110" spans="1:25" x14ac:dyDescent="0.2">
      <c r="A110" s="8">
        <v>54</v>
      </c>
      <c r="B110" s="8">
        <v>108</v>
      </c>
      <c r="D110">
        <v>385.91627595444999</v>
      </c>
      <c r="E110">
        <v>242.90354989952999</v>
      </c>
      <c r="F110">
        <v>154.2962962963</v>
      </c>
      <c r="G110">
        <v>127.29225589226</v>
      </c>
      <c r="I110" s="9">
        <f t="shared" si="8"/>
        <v>115.61129400726999</v>
      </c>
      <c r="J110" s="9">
        <f t="shared" si="9"/>
        <v>231.61997965814999</v>
      </c>
      <c r="K110" s="9">
        <f t="shared" si="10"/>
        <v>115.61129400726999</v>
      </c>
      <c r="L110" s="10">
        <f t="shared" si="7"/>
        <v>0.49914214731346468</v>
      </c>
      <c r="M110" s="10">
        <f t="shared" si="11"/>
        <v>0.50282072510392883</v>
      </c>
      <c r="P110" s="8">
        <f t="shared" si="12"/>
        <v>37.350415610281814</v>
      </c>
      <c r="X110" s="8">
        <v>-13</v>
      </c>
    </row>
    <row r="111" spans="1:25" x14ac:dyDescent="0.2">
      <c r="A111" s="8">
        <v>54.5</v>
      </c>
      <c r="B111" s="8">
        <v>109</v>
      </c>
      <c r="D111">
        <v>386.93302076356002</v>
      </c>
      <c r="E111">
        <v>242.81647689216001</v>
      </c>
      <c r="F111">
        <v>154.49023569024001</v>
      </c>
      <c r="G111">
        <v>126.95488215488</v>
      </c>
      <c r="I111" s="9">
        <f t="shared" si="8"/>
        <v>115.86159473728002</v>
      </c>
      <c r="J111" s="9">
        <f t="shared" si="9"/>
        <v>232.44278507332001</v>
      </c>
      <c r="K111" s="9">
        <f t="shared" si="10"/>
        <v>115.86159473728002</v>
      </c>
      <c r="L111" s="10">
        <f t="shared" si="7"/>
        <v>0.49845210166765769</v>
      </c>
      <c r="M111" s="10">
        <f t="shared" si="11"/>
        <v>0.50216474036358916</v>
      </c>
      <c r="P111" s="8">
        <f t="shared" si="12"/>
        <v>37.171226940799187</v>
      </c>
      <c r="X111" s="8">
        <v>-13</v>
      </c>
    </row>
    <row r="112" spans="1:25" x14ac:dyDescent="0.2">
      <c r="A112" s="8">
        <v>55</v>
      </c>
      <c r="B112" s="8">
        <v>110</v>
      </c>
      <c r="D112">
        <v>369.81848626926001</v>
      </c>
      <c r="E112">
        <v>227.89819156062001</v>
      </c>
      <c r="F112">
        <v>154.72861952861999</v>
      </c>
      <c r="G112">
        <v>126.84848484849</v>
      </c>
      <c r="I112" s="9">
        <f t="shared" si="8"/>
        <v>101.04970671213</v>
      </c>
      <c r="J112" s="9">
        <f t="shared" si="9"/>
        <v>215.08986674064002</v>
      </c>
      <c r="K112" s="9">
        <f t="shared" si="10"/>
        <v>101.04970671213</v>
      </c>
      <c r="L112" s="10">
        <f t="shared" si="7"/>
        <v>0.46980226564544719</v>
      </c>
      <c r="M112" s="10">
        <f t="shared" si="11"/>
        <v>0.47354896524684592</v>
      </c>
      <c r="P112" s="8">
        <f t="shared" si="12"/>
        <v>29.354547140095544</v>
      </c>
      <c r="X112" s="8">
        <v>-13</v>
      </c>
    </row>
    <row r="113" spans="1:24" x14ac:dyDescent="0.2">
      <c r="A113" s="8">
        <v>55.5</v>
      </c>
      <c r="B113" s="8">
        <v>111</v>
      </c>
      <c r="D113">
        <v>392.12541918175998</v>
      </c>
      <c r="E113">
        <v>243.06572769952999</v>
      </c>
      <c r="F113">
        <v>154.56835016835001</v>
      </c>
      <c r="G113">
        <v>126.9367003367</v>
      </c>
      <c r="I113" s="9">
        <f t="shared" si="8"/>
        <v>116.12902736282999</v>
      </c>
      <c r="J113" s="9">
        <f t="shared" si="9"/>
        <v>237.55706901340997</v>
      </c>
      <c r="K113" s="9">
        <f t="shared" si="10"/>
        <v>116.12902736282999</v>
      </c>
      <c r="L113" s="10">
        <f t="shared" si="7"/>
        <v>0.48884686044124648</v>
      </c>
      <c r="M113" s="10">
        <f t="shared" si="11"/>
        <v>0.49262762094811247</v>
      </c>
      <c r="P113" s="8">
        <f t="shared" si="12"/>
        <v>34.566069177721985</v>
      </c>
      <c r="X113" s="8">
        <v>-13</v>
      </c>
    </row>
    <row r="114" spans="1:24" x14ac:dyDescent="0.2">
      <c r="A114" s="8">
        <v>56</v>
      </c>
      <c r="B114" s="8">
        <v>112</v>
      </c>
      <c r="D114">
        <v>395.75720992622001</v>
      </c>
      <c r="E114">
        <v>247.02749832327001</v>
      </c>
      <c r="F114">
        <v>154.15757575757999</v>
      </c>
      <c r="G114">
        <v>127.02289562289999</v>
      </c>
      <c r="I114" s="9">
        <f t="shared" si="8"/>
        <v>120.00460270037001</v>
      </c>
      <c r="J114" s="9">
        <f t="shared" si="9"/>
        <v>241.59963416864002</v>
      </c>
      <c r="K114" s="9">
        <f t="shared" si="10"/>
        <v>120.00460270037001</v>
      </c>
      <c r="L114" s="10">
        <f t="shared" si="7"/>
        <v>0.49670854475137605</v>
      </c>
      <c r="M114" s="10">
        <f t="shared" si="11"/>
        <v>0.50052336616370929</v>
      </c>
      <c r="P114" s="8">
        <f t="shared" si="12"/>
        <v>36.722869470094508</v>
      </c>
      <c r="X114" s="8">
        <v>-13</v>
      </c>
    </row>
    <row r="115" spans="1:24" x14ac:dyDescent="0.2">
      <c r="A115" s="8">
        <v>56.5</v>
      </c>
      <c r="B115" s="8">
        <v>113</v>
      </c>
      <c r="D115">
        <v>392.39416058393999</v>
      </c>
      <c r="E115">
        <v>241.88785666888</v>
      </c>
      <c r="F115">
        <v>154.73670033670001</v>
      </c>
      <c r="G115">
        <v>126.8531986532</v>
      </c>
      <c r="I115" s="9">
        <f t="shared" si="8"/>
        <v>115.03465801568001</v>
      </c>
      <c r="J115" s="9">
        <f t="shared" si="9"/>
        <v>237.65746024723998</v>
      </c>
      <c r="K115" s="9">
        <f t="shared" si="10"/>
        <v>115.03465801568001</v>
      </c>
      <c r="L115" s="10">
        <f t="shared" si="7"/>
        <v>0.48403554382852981</v>
      </c>
      <c r="M115" s="10">
        <f t="shared" si="11"/>
        <v>0.48788442614633032</v>
      </c>
      <c r="P115" s="8">
        <f t="shared" si="12"/>
        <v>33.270418969169718</v>
      </c>
      <c r="X115" s="8">
        <v>-13</v>
      </c>
    </row>
    <row r="116" spans="1:24" x14ac:dyDescent="0.2">
      <c r="A116" s="8">
        <v>57</v>
      </c>
      <c r="B116" s="8">
        <v>114</v>
      </c>
      <c r="D116">
        <v>391.18911745189001</v>
      </c>
      <c r="E116">
        <v>239.9601857996</v>
      </c>
      <c r="F116">
        <v>153.97171717172</v>
      </c>
      <c r="G116">
        <v>126.89696969697</v>
      </c>
      <c r="I116" s="9">
        <f t="shared" si="8"/>
        <v>113.06321610262999</v>
      </c>
      <c r="J116" s="9">
        <f t="shared" si="9"/>
        <v>237.21740028017001</v>
      </c>
      <c r="K116" s="9">
        <f t="shared" si="10"/>
        <v>113.06321610262999</v>
      </c>
      <c r="L116" s="10">
        <f t="shared" si="7"/>
        <v>0.47662277711961509</v>
      </c>
      <c r="M116" s="10">
        <f t="shared" si="11"/>
        <v>0.48050572034288286</v>
      </c>
      <c r="P116" s="8">
        <f t="shared" si="12"/>
        <v>31.254853066312332</v>
      </c>
      <c r="X116" s="8">
        <v>-13</v>
      </c>
    </row>
    <row r="117" spans="1:24" x14ac:dyDescent="0.2">
      <c r="A117" s="8">
        <v>57.5</v>
      </c>
      <c r="B117" s="8">
        <v>115</v>
      </c>
      <c r="D117">
        <v>393.00796284007998</v>
      </c>
      <c r="E117">
        <v>241.22295952223001</v>
      </c>
      <c r="F117">
        <v>154.64444444444001</v>
      </c>
      <c r="G117">
        <v>127.25656565657</v>
      </c>
      <c r="I117" s="9">
        <f t="shared" si="8"/>
        <v>113.96639386566001</v>
      </c>
      <c r="J117" s="9">
        <f t="shared" si="9"/>
        <v>238.36351839563997</v>
      </c>
      <c r="K117" s="9">
        <f t="shared" si="10"/>
        <v>113.96639386566001</v>
      </c>
      <c r="L117" s="10">
        <f t="shared" si="7"/>
        <v>0.47812011935692517</v>
      </c>
      <c r="M117" s="10">
        <f t="shared" si="11"/>
        <v>0.48203712348566019</v>
      </c>
      <c r="P117" s="8">
        <f t="shared" si="12"/>
        <v>31.673170863542911</v>
      </c>
      <c r="X117" s="8">
        <v>-13</v>
      </c>
    </row>
    <row r="118" spans="1:24" x14ac:dyDescent="0.2">
      <c r="A118" s="8">
        <v>58</v>
      </c>
      <c r="B118" s="8">
        <v>116</v>
      </c>
      <c r="D118">
        <v>391.65029860649997</v>
      </c>
      <c r="E118">
        <v>238.15328467153</v>
      </c>
      <c r="F118">
        <v>154.82356902357</v>
      </c>
      <c r="G118">
        <v>126.83636363636001</v>
      </c>
      <c r="I118" s="9">
        <f t="shared" si="8"/>
        <v>111.31692103517</v>
      </c>
      <c r="J118" s="9">
        <f t="shared" si="9"/>
        <v>236.82672958292997</v>
      </c>
      <c r="K118" s="9">
        <f t="shared" si="10"/>
        <v>111.31692103517</v>
      </c>
      <c r="L118" s="10">
        <f t="shared" si="7"/>
        <v>0.47003529217841089</v>
      </c>
      <c r="M118" s="10">
        <f t="shared" si="11"/>
        <v>0.47398635721261317</v>
      </c>
      <c r="P118" s="8">
        <f t="shared" si="12"/>
        <v>29.474025047992665</v>
      </c>
      <c r="X118" s="8">
        <v>-13</v>
      </c>
    </row>
    <row r="119" spans="1:24" x14ac:dyDescent="0.2">
      <c r="A119" s="8">
        <v>58.5</v>
      </c>
      <c r="B119" s="8">
        <v>117</v>
      </c>
      <c r="D119">
        <v>385.59588586595999</v>
      </c>
      <c r="E119">
        <v>232.25414731254</v>
      </c>
      <c r="F119">
        <v>155.00202020201999</v>
      </c>
      <c r="G119">
        <v>126.89898989899</v>
      </c>
      <c r="I119" s="9">
        <f t="shared" si="8"/>
        <v>105.35515741355</v>
      </c>
      <c r="J119" s="9">
        <f t="shared" si="9"/>
        <v>230.59386566393999</v>
      </c>
      <c r="K119" s="9">
        <f t="shared" si="10"/>
        <v>105.35515741355</v>
      </c>
      <c r="L119" s="10">
        <f t="shared" si="7"/>
        <v>0.45688621035171501</v>
      </c>
      <c r="M119" s="10">
        <f t="shared" si="11"/>
        <v>0.46087133629138455</v>
      </c>
      <c r="P119" s="8">
        <f t="shared" si="12"/>
        <v>25.891528376050655</v>
      </c>
      <c r="X119" s="8">
        <v>-13</v>
      </c>
    </row>
    <row r="120" spans="1:24" x14ac:dyDescent="0.2">
      <c r="A120" s="8">
        <v>59</v>
      </c>
      <c r="B120" s="8">
        <v>118</v>
      </c>
      <c r="D120">
        <v>386.03006012024002</v>
      </c>
      <c r="E120">
        <v>232.12825651303001</v>
      </c>
      <c r="F120">
        <v>155.23703703704001</v>
      </c>
      <c r="G120">
        <v>126.84377104377</v>
      </c>
      <c r="I120" s="9">
        <f t="shared" si="8"/>
        <v>105.28448546926001</v>
      </c>
      <c r="J120" s="9">
        <f t="shared" si="9"/>
        <v>230.79302308320001</v>
      </c>
      <c r="K120" s="9">
        <f t="shared" si="10"/>
        <v>105.28448546926001</v>
      </c>
      <c r="L120" s="10">
        <f t="shared" si="7"/>
        <v>0.45618573760483805</v>
      </c>
      <c r="M120" s="10">
        <f t="shared" si="11"/>
        <v>0.46020492444997485</v>
      </c>
      <c r="P120" s="8">
        <f t="shared" si="12"/>
        <v>25.709491441581978</v>
      </c>
      <c r="X120" s="8">
        <v>-13</v>
      </c>
    </row>
    <row r="121" spans="1:24" x14ac:dyDescent="0.2">
      <c r="A121" s="8">
        <v>59.5</v>
      </c>
      <c r="B121" s="8">
        <v>119</v>
      </c>
      <c r="D121">
        <v>388.63126252504998</v>
      </c>
      <c r="E121">
        <v>229.78089512358</v>
      </c>
      <c r="F121">
        <v>154.84781144780999</v>
      </c>
      <c r="G121">
        <v>127.43771043771</v>
      </c>
      <c r="I121" s="9">
        <f t="shared" si="8"/>
        <v>102.34318468587</v>
      </c>
      <c r="J121" s="9">
        <f t="shared" si="9"/>
        <v>233.78345107723999</v>
      </c>
      <c r="K121" s="9">
        <f t="shared" si="10"/>
        <v>102.34318468587</v>
      </c>
      <c r="L121" s="10">
        <f t="shared" si="7"/>
        <v>0.43776915865638716</v>
      </c>
      <c r="M121" s="10">
        <f t="shared" si="11"/>
        <v>0.44182240640699122</v>
      </c>
      <c r="P121" s="8">
        <f t="shared" si="12"/>
        <v>20.688126237024349</v>
      </c>
      <c r="X121" s="8">
        <v>-13</v>
      </c>
    </row>
    <row r="122" spans="1:24" x14ac:dyDescent="0.2">
      <c r="A122" s="8">
        <v>60</v>
      </c>
      <c r="B122" s="8">
        <v>120</v>
      </c>
      <c r="D122">
        <v>389.60988643955</v>
      </c>
      <c r="E122">
        <v>229.70607882432</v>
      </c>
      <c r="F122">
        <v>153.84309764310001</v>
      </c>
      <c r="G122">
        <v>126.84915824916</v>
      </c>
      <c r="I122" s="9">
        <f t="shared" si="8"/>
        <v>102.85692057516</v>
      </c>
      <c r="J122" s="9">
        <f t="shared" si="9"/>
        <v>235.76678879644999</v>
      </c>
      <c r="K122" s="9">
        <f t="shared" si="10"/>
        <v>102.85692057516</v>
      </c>
      <c r="L122" s="10">
        <f t="shared" si="7"/>
        <v>0.43626551941529751</v>
      </c>
      <c r="M122" s="10">
        <f t="shared" si="11"/>
        <v>0.44035282807136883</v>
      </c>
      <c r="P122" s="8">
        <f t="shared" si="12"/>
        <v>20.286696492600264</v>
      </c>
      <c r="X122" s="8">
        <v>-13</v>
      </c>
    </row>
    <row r="123" spans="1:24" x14ac:dyDescent="0.2">
      <c r="A123" s="8">
        <v>60.5</v>
      </c>
      <c r="B123" s="8">
        <v>121</v>
      </c>
      <c r="D123">
        <v>388.81345769487001</v>
      </c>
      <c r="E123">
        <v>224.89940039973001</v>
      </c>
      <c r="F123">
        <v>154.13804713805001</v>
      </c>
      <c r="G123">
        <v>127.08282828282999</v>
      </c>
      <c r="I123" s="9">
        <f t="shared" si="8"/>
        <v>97.816572116900019</v>
      </c>
      <c r="J123" s="9">
        <f t="shared" si="9"/>
        <v>234.67541055682</v>
      </c>
      <c r="K123" s="9">
        <f t="shared" si="10"/>
        <v>97.816572116900019</v>
      </c>
      <c r="L123" s="10">
        <f t="shared" si="7"/>
        <v>0.41681645249840316</v>
      </c>
      <c r="M123" s="10">
        <f t="shared" si="11"/>
        <v>0.42093782205994174</v>
      </c>
      <c r="P123" s="8">
        <f t="shared" si="12"/>
        <v>14.983297066901462</v>
      </c>
      <c r="X123" s="8">
        <v>-13</v>
      </c>
    </row>
    <row r="124" spans="1:24" x14ac:dyDescent="0.2">
      <c r="A124" s="8">
        <v>61</v>
      </c>
      <c r="B124" s="8">
        <v>122</v>
      </c>
      <c r="D124">
        <v>384.56495669553999</v>
      </c>
      <c r="E124">
        <v>223.41572285142999</v>
      </c>
      <c r="F124">
        <v>154.13939393939</v>
      </c>
      <c r="G124">
        <v>127.18047138047</v>
      </c>
      <c r="I124" s="9">
        <f t="shared" si="8"/>
        <v>96.235251470959994</v>
      </c>
      <c r="J124" s="9">
        <f t="shared" si="9"/>
        <v>230.42556275614999</v>
      </c>
      <c r="K124" s="9">
        <f t="shared" si="10"/>
        <v>96.235251470959994</v>
      </c>
      <c r="L124" s="10">
        <f t="shared" si="7"/>
        <v>0.41764138631095304</v>
      </c>
      <c r="M124" s="10">
        <f t="shared" si="11"/>
        <v>0.42179681677795888</v>
      </c>
      <c r="P124" s="8">
        <f t="shared" si="12"/>
        <v>15.21793990407232</v>
      </c>
      <c r="X124" s="8">
        <v>-13</v>
      </c>
    </row>
    <row r="125" spans="1:24" x14ac:dyDescent="0.2">
      <c r="A125" s="8">
        <v>61.5</v>
      </c>
      <c r="B125" s="8">
        <v>123</v>
      </c>
      <c r="D125">
        <v>378.78880746169</v>
      </c>
      <c r="E125">
        <v>220.14057295136999</v>
      </c>
      <c r="F125">
        <v>154.33265993265999</v>
      </c>
      <c r="G125">
        <v>127.0835016835</v>
      </c>
      <c r="I125" s="9">
        <f t="shared" si="8"/>
        <v>93.057071267869986</v>
      </c>
      <c r="J125" s="9">
        <f t="shared" si="9"/>
        <v>224.45614752903001</v>
      </c>
      <c r="K125" s="9">
        <f t="shared" si="10"/>
        <v>93.057071267869986</v>
      </c>
      <c r="L125" s="10">
        <f t="shared" si="7"/>
        <v>0.41458909587599718</v>
      </c>
      <c r="M125" s="10">
        <f t="shared" si="11"/>
        <v>0.41877858724847028</v>
      </c>
      <c r="P125" s="8">
        <f t="shared" si="12"/>
        <v>14.393480887994968</v>
      </c>
      <c r="X125" s="8">
        <v>-13</v>
      </c>
    </row>
    <row r="126" spans="1:24" x14ac:dyDescent="0.2">
      <c r="A126" s="8">
        <v>62</v>
      </c>
      <c r="B126" s="8">
        <v>124</v>
      </c>
      <c r="D126">
        <v>379.00999333777997</v>
      </c>
      <c r="E126">
        <v>219.74350433045001</v>
      </c>
      <c r="F126">
        <v>154.23434343433999</v>
      </c>
      <c r="G126">
        <v>127.00538720538999</v>
      </c>
      <c r="I126" s="9">
        <f t="shared" si="8"/>
        <v>92.738117125060015</v>
      </c>
      <c r="J126" s="9">
        <f t="shared" si="9"/>
        <v>224.77564990343998</v>
      </c>
      <c r="K126" s="9">
        <f t="shared" si="10"/>
        <v>92.738117125060015</v>
      </c>
      <c r="L126" s="10">
        <f t="shared" si="7"/>
        <v>0.41258079852020813</v>
      </c>
      <c r="M126" s="10">
        <f t="shared" si="11"/>
        <v>0.41680435079814848</v>
      </c>
      <c r="P126" s="8">
        <f t="shared" si="12"/>
        <v>13.85419882696095</v>
      </c>
      <c r="X126" s="8">
        <v>-13</v>
      </c>
    </row>
    <row r="127" spans="1:24" x14ac:dyDescent="0.2">
      <c r="A127" s="8">
        <v>62.5</v>
      </c>
      <c r="B127" s="8">
        <v>125</v>
      </c>
      <c r="D127">
        <v>378.41305796135998</v>
      </c>
      <c r="E127">
        <v>220.55496335775999</v>
      </c>
      <c r="F127">
        <v>154.35353535354</v>
      </c>
      <c r="G127">
        <v>126.8632996633</v>
      </c>
      <c r="I127" s="9">
        <f t="shared" si="8"/>
        <v>93.69166369445999</v>
      </c>
      <c r="J127" s="9">
        <f t="shared" si="9"/>
        <v>224.05952260781999</v>
      </c>
      <c r="K127" s="9">
        <f t="shared" si="10"/>
        <v>93.69166369445999</v>
      </c>
      <c r="L127" s="10">
        <f t="shared" si="7"/>
        <v>0.41815524108944979</v>
      </c>
      <c r="M127" s="10">
        <f t="shared" si="11"/>
        <v>0.42241285427285741</v>
      </c>
      <c r="P127" s="8">
        <f t="shared" si="12"/>
        <v>15.386216591431099</v>
      </c>
      <c r="X127" s="8">
        <v>-13</v>
      </c>
    </row>
    <row r="128" spans="1:24" x14ac:dyDescent="0.2">
      <c r="A128" s="8">
        <v>63</v>
      </c>
      <c r="B128" s="8">
        <v>126</v>
      </c>
      <c r="D128">
        <v>390.79879275654002</v>
      </c>
      <c r="E128">
        <v>225.24346076459</v>
      </c>
      <c r="F128">
        <v>154.01683501683999</v>
      </c>
      <c r="G128">
        <v>126.36632996633</v>
      </c>
      <c r="I128" s="9">
        <f t="shared" si="8"/>
        <v>98.877130798259998</v>
      </c>
      <c r="J128" s="9">
        <f t="shared" si="9"/>
        <v>236.78195773970003</v>
      </c>
      <c r="K128" s="9">
        <f t="shared" si="10"/>
        <v>98.877130798259998</v>
      </c>
      <c r="L128" s="10">
        <f t="shared" si="7"/>
        <v>0.41758726780592781</v>
      </c>
      <c r="M128" s="10">
        <f t="shared" si="11"/>
        <v>0.42187894189480268</v>
      </c>
      <c r="P128" s="8">
        <f t="shared" si="12"/>
        <v>15.240373185692141</v>
      </c>
      <c r="X128" s="8">
        <v>-13</v>
      </c>
    </row>
    <row r="129" spans="1:24" x14ac:dyDescent="0.2">
      <c r="A129" s="8">
        <v>63.5</v>
      </c>
      <c r="B129" s="8">
        <v>127</v>
      </c>
      <c r="D129">
        <v>385.54057679409999</v>
      </c>
      <c r="E129">
        <v>218.00938967136</v>
      </c>
      <c r="F129">
        <v>154.2101010101</v>
      </c>
      <c r="G129">
        <v>126.67003367002999</v>
      </c>
      <c r="I129" s="9">
        <f t="shared" si="8"/>
        <v>91.339356001330003</v>
      </c>
      <c r="J129" s="9">
        <f t="shared" si="9"/>
        <v>231.33047578399999</v>
      </c>
      <c r="K129" s="9">
        <f t="shared" si="10"/>
        <v>91.339356001330003</v>
      </c>
      <c r="L129" s="10">
        <f t="shared" si="7"/>
        <v>0.39484359201602226</v>
      </c>
      <c r="M129" s="10">
        <f t="shared" si="11"/>
        <v>0.39916932701036439</v>
      </c>
      <c r="P129" s="8">
        <f t="shared" si="12"/>
        <v>9.0370190139198172</v>
      </c>
      <c r="X129" s="8">
        <v>-13</v>
      </c>
    </row>
    <row r="130" spans="1:24" x14ac:dyDescent="0.2">
      <c r="A130" s="8">
        <v>64</v>
      </c>
      <c r="B130" s="8">
        <v>128</v>
      </c>
      <c r="D130">
        <v>387.81757209926002</v>
      </c>
      <c r="E130">
        <v>215.36552649229</v>
      </c>
      <c r="F130">
        <v>154.86195286194999</v>
      </c>
      <c r="G130">
        <v>126.89225589226</v>
      </c>
      <c r="I130" s="9">
        <f t="shared" si="8"/>
        <v>88.473270600030006</v>
      </c>
      <c r="J130" s="9">
        <f t="shared" si="9"/>
        <v>232.95561923731003</v>
      </c>
      <c r="K130" s="9">
        <f t="shared" si="10"/>
        <v>88.473270600030006</v>
      </c>
      <c r="L130" s="10">
        <f t="shared" ref="L130:L193" si="14">K130/J130</f>
        <v>0.37978594759675227</v>
      </c>
      <c r="M130" s="10">
        <f t="shared" si="11"/>
        <v>0.38414574349656166</v>
      </c>
      <c r="P130" s="8">
        <f t="shared" si="12"/>
        <v>4.9331797396932515</v>
      </c>
      <c r="X130" s="8">
        <v>-13</v>
      </c>
    </row>
    <row r="131" spans="1:24" x14ac:dyDescent="0.2">
      <c r="A131" s="8">
        <v>64.5</v>
      </c>
      <c r="B131" s="8">
        <v>129</v>
      </c>
      <c r="D131">
        <v>388.59691482226998</v>
      </c>
      <c r="E131">
        <v>213.49899396378001</v>
      </c>
      <c r="F131">
        <v>154.36767676768</v>
      </c>
      <c r="G131">
        <v>126.92861952862</v>
      </c>
      <c r="I131" s="9">
        <f t="shared" ref="I131:I194" si="15">E131-G131</f>
        <v>86.570374435160005</v>
      </c>
      <c r="J131" s="9">
        <f t="shared" ref="J131:J194" si="16">D131-F131</f>
        <v>234.22923805458998</v>
      </c>
      <c r="K131" s="9">
        <f t="shared" ref="K131:K194" si="17">I131*1</f>
        <v>86.570374435160005</v>
      </c>
      <c r="L131" s="10">
        <f t="shared" si="14"/>
        <v>0.36959678968423115</v>
      </c>
      <c r="M131" s="10">
        <f t="shared" ref="M131:M181" si="18">L131+ABS($N$2)*A131</f>
        <v>0.37399064648950781</v>
      </c>
      <c r="P131" s="8">
        <f t="shared" ref="P131:P194" si="19">(M131-$O$2)/$O$2*100</f>
        <v>2.1592153328099006</v>
      </c>
      <c r="X131" s="8">
        <v>-13</v>
      </c>
    </row>
    <row r="132" spans="1:24" x14ac:dyDescent="0.2">
      <c r="A132" s="8">
        <v>65</v>
      </c>
      <c r="B132" s="8">
        <v>130</v>
      </c>
      <c r="D132">
        <v>386.71361502347003</v>
      </c>
      <c r="E132">
        <v>210.92555331992</v>
      </c>
      <c r="F132">
        <v>154.09629629630001</v>
      </c>
      <c r="G132">
        <v>126.75016835017</v>
      </c>
      <c r="I132" s="9">
        <f t="shared" si="15"/>
        <v>84.175384969749999</v>
      </c>
      <c r="J132" s="9">
        <f t="shared" si="16"/>
        <v>232.61731872717002</v>
      </c>
      <c r="K132" s="9">
        <f t="shared" si="17"/>
        <v>84.175384969749999</v>
      </c>
      <c r="L132" s="10">
        <f t="shared" si="14"/>
        <v>0.36186207213778793</v>
      </c>
      <c r="M132" s="10">
        <f t="shared" si="18"/>
        <v>0.36628998984853184</v>
      </c>
      <c r="P132" s="8">
        <f t="shared" si="19"/>
        <v>5.5705399142169466E-2</v>
      </c>
      <c r="X132" s="8">
        <v>-13</v>
      </c>
    </row>
    <row r="133" spans="1:24" x14ac:dyDescent="0.2">
      <c r="A133" s="8">
        <v>65.5</v>
      </c>
      <c r="B133" s="8">
        <v>131</v>
      </c>
      <c r="D133">
        <v>367.98260869565001</v>
      </c>
      <c r="E133">
        <v>205.24816053512001</v>
      </c>
      <c r="F133">
        <v>154.04040404040001</v>
      </c>
      <c r="G133">
        <v>126.48888888889</v>
      </c>
      <c r="I133" s="9">
        <f t="shared" si="15"/>
        <v>78.759271646230005</v>
      </c>
      <c r="J133" s="9">
        <f t="shared" si="16"/>
        <v>213.94220465525001</v>
      </c>
      <c r="K133" s="9">
        <f t="shared" si="17"/>
        <v>78.759271646230005</v>
      </c>
      <c r="L133" s="10">
        <f t="shared" si="14"/>
        <v>0.3681334020706386</v>
      </c>
      <c r="M133" s="10">
        <f t="shared" si="18"/>
        <v>0.37259538068684978</v>
      </c>
      <c r="P133" s="8">
        <f t="shared" si="19"/>
        <v>1.7780847860483613</v>
      </c>
      <c r="X133" s="8">
        <v>-13</v>
      </c>
    </row>
    <row r="134" spans="1:24" x14ac:dyDescent="0.2">
      <c r="A134" s="8">
        <v>66</v>
      </c>
      <c r="B134" s="8">
        <v>132</v>
      </c>
      <c r="D134">
        <v>371.93913043478</v>
      </c>
      <c r="E134">
        <v>206.28762541806</v>
      </c>
      <c r="F134">
        <v>153.79865319864999</v>
      </c>
      <c r="G134">
        <v>126.82962962963001</v>
      </c>
      <c r="I134" s="9">
        <f t="shared" si="15"/>
        <v>79.457995788429997</v>
      </c>
      <c r="J134" s="9">
        <f t="shared" si="16"/>
        <v>218.14047723613001</v>
      </c>
      <c r="K134" s="9">
        <f t="shared" si="17"/>
        <v>79.457995788429997</v>
      </c>
      <c r="L134" s="10">
        <f t="shared" si="14"/>
        <v>0.36425149882852453</v>
      </c>
      <c r="M134" s="10">
        <f t="shared" si="18"/>
        <v>0.36874753835020296</v>
      </c>
      <c r="P134" s="8">
        <f t="shared" si="19"/>
        <v>0.7270088900974927</v>
      </c>
      <c r="X134" s="8">
        <v>-13</v>
      </c>
    </row>
    <row r="135" spans="1:24" x14ac:dyDescent="0.2">
      <c r="A135" s="8">
        <v>66.5</v>
      </c>
      <c r="B135" s="8">
        <v>133</v>
      </c>
      <c r="D135">
        <v>376.42119382965001</v>
      </c>
      <c r="E135">
        <v>206.33668678738999</v>
      </c>
      <c r="F135">
        <v>153.71649831650001</v>
      </c>
      <c r="G135">
        <v>126.82962962963001</v>
      </c>
      <c r="I135" s="9">
        <f t="shared" si="15"/>
        <v>79.507057157759988</v>
      </c>
      <c r="J135" s="9">
        <f t="shared" si="16"/>
        <v>222.70469551315</v>
      </c>
      <c r="K135" s="9">
        <f t="shared" si="17"/>
        <v>79.507057157759988</v>
      </c>
      <c r="L135" s="10">
        <f t="shared" si="14"/>
        <v>0.35700664943126603</v>
      </c>
      <c r="M135" s="10">
        <f t="shared" si="18"/>
        <v>0.36153674985841172</v>
      </c>
      <c r="P135" s="8">
        <f t="shared" si="19"/>
        <v>-1.2426887511854037</v>
      </c>
      <c r="X135" s="8">
        <v>-13</v>
      </c>
    </row>
    <row r="136" spans="1:24" x14ac:dyDescent="0.2">
      <c r="A136" s="8">
        <v>67</v>
      </c>
      <c r="B136" s="8">
        <v>134</v>
      </c>
      <c r="D136">
        <v>368.73351278600001</v>
      </c>
      <c r="E136">
        <v>202.53364737550999</v>
      </c>
      <c r="F136">
        <v>154.19461279461001</v>
      </c>
      <c r="G136">
        <v>126.72727272727001</v>
      </c>
      <c r="I136" s="9">
        <f t="shared" si="15"/>
        <v>75.806374648239981</v>
      </c>
      <c r="J136" s="9">
        <f t="shared" si="16"/>
        <v>214.53889999139</v>
      </c>
      <c r="K136" s="9">
        <f t="shared" si="17"/>
        <v>75.806374648239981</v>
      </c>
      <c r="L136" s="10">
        <f t="shared" si="14"/>
        <v>0.35334559211071881</v>
      </c>
      <c r="M136" s="10">
        <f t="shared" si="18"/>
        <v>0.35790975344333176</v>
      </c>
      <c r="P136" s="8">
        <f t="shared" si="19"/>
        <v>-2.2334384163374672</v>
      </c>
      <c r="X136" s="8">
        <v>-13</v>
      </c>
    </row>
    <row r="137" spans="1:24" x14ac:dyDescent="0.2">
      <c r="A137" s="8">
        <v>67.5</v>
      </c>
      <c r="B137" s="8">
        <v>135</v>
      </c>
      <c r="D137">
        <v>370.53297442799999</v>
      </c>
      <c r="E137">
        <v>203.45356662180001</v>
      </c>
      <c r="F137">
        <v>153.71447811447999</v>
      </c>
      <c r="G137">
        <v>126.35353535354</v>
      </c>
      <c r="I137" s="9">
        <f t="shared" si="15"/>
        <v>77.100031268260011</v>
      </c>
      <c r="J137" s="9">
        <f t="shared" si="16"/>
        <v>216.81849631352</v>
      </c>
      <c r="K137" s="9">
        <f t="shared" si="17"/>
        <v>77.100031268260011</v>
      </c>
      <c r="L137" s="10">
        <f t="shared" si="14"/>
        <v>0.35559711269638733</v>
      </c>
      <c r="M137" s="10">
        <f t="shared" si="18"/>
        <v>0.36019533493446754</v>
      </c>
      <c r="P137" s="8">
        <f t="shared" si="19"/>
        <v>-1.6091094019481316</v>
      </c>
      <c r="X137" s="8">
        <v>-13</v>
      </c>
    </row>
    <row r="138" spans="1:24" x14ac:dyDescent="0.2">
      <c r="A138" s="8">
        <v>68</v>
      </c>
      <c r="B138" s="8">
        <v>136</v>
      </c>
      <c r="D138">
        <v>386.98318762609</v>
      </c>
      <c r="E138">
        <v>208.92938802959</v>
      </c>
      <c r="F138">
        <v>154.07138047138</v>
      </c>
      <c r="G138">
        <v>126.39057239057</v>
      </c>
      <c r="I138" s="9">
        <f t="shared" si="15"/>
        <v>82.538815639020001</v>
      </c>
      <c r="J138" s="9">
        <f t="shared" si="16"/>
        <v>232.91180715471</v>
      </c>
      <c r="K138" s="9">
        <f t="shared" si="17"/>
        <v>82.538815639020001</v>
      </c>
      <c r="L138" s="10">
        <f t="shared" si="14"/>
        <v>0.3543779795765965</v>
      </c>
      <c r="M138" s="10">
        <f t="shared" si="18"/>
        <v>0.35901026272014397</v>
      </c>
      <c r="P138" s="8">
        <f t="shared" si="19"/>
        <v>-1.9328235072724413</v>
      </c>
      <c r="X138" s="8">
        <v>-13</v>
      </c>
    </row>
    <row r="139" spans="1:24" x14ac:dyDescent="0.2">
      <c r="A139" s="8">
        <v>68.5</v>
      </c>
      <c r="B139" s="8">
        <v>137</v>
      </c>
      <c r="D139">
        <v>379.70141223940999</v>
      </c>
      <c r="E139">
        <v>207.88702084734001</v>
      </c>
      <c r="F139">
        <v>153.98720538721</v>
      </c>
      <c r="G139">
        <v>126.19663299663</v>
      </c>
      <c r="I139" s="9">
        <f t="shared" si="15"/>
        <v>81.69038785071001</v>
      </c>
      <c r="J139" s="9">
        <f t="shared" si="16"/>
        <v>225.71420685219999</v>
      </c>
      <c r="K139" s="9">
        <f t="shared" si="17"/>
        <v>81.69038785071001</v>
      </c>
      <c r="L139" s="10">
        <f t="shared" si="14"/>
        <v>0.36191956629562855</v>
      </c>
      <c r="M139" s="10">
        <f t="shared" si="18"/>
        <v>0.36658591034464327</v>
      </c>
      <c r="P139" s="8">
        <f t="shared" si="19"/>
        <v>0.13653898673962858</v>
      </c>
      <c r="X139" s="8">
        <v>-13</v>
      </c>
    </row>
    <row r="140" spans="1:24" x14ac:dyDescent="0.2">
      <c r="A140" s="8">
        <v>69</v>
      </c>
      <c r="B140" s="8">
        <v>138</v>
      </c>
      <c r="D140">
        <v>379.57648630595003</v>
      </c>
      <c r="E140">
        <v>208.13493653974999</v>
      </c>
      <c r="F140">
        <v>153.88956228955999</v>
      </c>
      <c r="G140">
        <v>125.9265993266</v>
      </c>
      <c r="I140" s="9">
        <f t="shared" si="15"/>
        <v>82.208337213149989</v>
      </c>
      <c r="J140" s="9">
        <f t="shared" si="16"/>
        <v>225.68692401639004</v>
      </c>
      <c r="K140" s="9">
        <f t="shared" si="17"/>
        <v>82.208337213149989</v>
      </c>
      <c r="L140" s="10">
        <f t="shared" si="14"/>
        <v>0.36425830859026542</v>
      </c>
      <c r="M140" s="10">
        <f t="shared" si="18"/>
        <v>0.36895871354474741</v>
      </c>
      <c r="P140" s="8">
        <f t="shared" si="19"/>
        <v>0.78469346690419939</v>
      </c>
      <c r="X140" s="8">
        <v>-13</v>
      </c>
    </row>
    <row r="141" spans="1:24" x14ac:dyDescent="0.2">
      <c r="A141" s="8">
        <v>69.5</v>
      </c>
      <c r="B141" s="8">
        <v>139</v>
      </c>
      <c r="D141">
        <v>389.12024048095998</v>
      </c>
      <c r="E141">
        <v>210.64662658651</v>
      </c>
      <c r="F141">
        <v>154.03164983164999</v>
      </c>
      <c r="G141">
        <v>126.28686868686999</v>
      </c>
      <c r="I141" s="9">
        <f t="shared" si="15"/>
        <v>84.359757899640002</v>
      </c>
      <c r="J141" s="9">
        <f t="shared" si="16"/>
        <v>235.08859064930999</v>
      </c>
      <c r="K141" s="9">
        <f t="shared" si="17"/>
        <v>84.359757899640002</v>
      </c>
      <c r="L141" s="10">
        <f t="shared" si="14"/>
        <v>0.35884241624248986</v>
      </c>
      <c r="M141" s="10">
        <f t="shared" si="18"/>
        <v>0.3635768821024391</v>
      </c>
      <c r="P141" s="8">
        <f t="shared" si="19"/>
        <v>-0.68540660741700576</v>
      </c>
      <c r="X141" s="8">
        <v>-13</v>
      </c>
    </row>
    <row r="142" spans="1:24" x14ac:dyDescent="0.2">
      <c r="A142" s="8">
        <v>70</v>
      </c>
      <c r="B142" s="8">
        <v>140</v>
      </c>
      <c r="D142">
        <v>395.81003344482002</v>
      </c>
      <c r="E142">
        <v>214.25418060201</v>
      </c>
      <c r="F142">
        <v>153.74208754208999</v>
      </c>
      <c r="G142">
        <v>126.2430976431</v>
      </c>
      <c r="I142" s="9">
        <f t="shared" si="15"/>
        <v>88.011082958909995</v>
      </c>
      <c r="J142" s="9">
        <f t="shared" si="16"/>
        <v>242.06794590273003</v>
      </c>
      <c r="K142" s="9">
        <f t="shared" si="17"/>
        <v>88.011082958909995</v>
      </c>
      <c r="L142" s="10">
        <f t="shared" si="14"/>
        <v>0.36358007926532915</v>
      </c>
      <c r="M142" s="10">
        <f t="shared" si="18"/>
        <v>0.36834860603074565</v>
      </c>
      <c r="P142" s="8">
        <f t="shared" si="19"/>
        <v>0.61803661202261784</v>
      </c>
      <c r="X142" s="8">
        <v>-13</v>
      </c>
    </row>
    <row r="143" spans="1:24" x14ac:dyDescent="0.2">
      <c r="A143" s="8">
        <v>70.5</v>
      </c>
      <c r="B143" s="8">
        <v>141</v>
      </c>
      <c r="D143">
        <v>397.95585284280997</v>
      </c>
      <c r="E143">
        <v>214.69297658862999</v>
      </c>
      <c r="F143">
        <v>154.1468013468</v>
      </c>
      <c r="G143">
        <v>126.07946127946001</v>
      </c>
      <c r="I143" s="9">
        <f t="shared" si="15"/>
        <v>88.613515309169983</v>
      </c>
      <c r="J143" s="9">
        <f t="shared" si="16"/>
        <v>243.80905149600997</v>
      </c>
      <c r="K143" s="9">
        <f t="shared" si="17"/>
        <v>88.613515309169983</v>
      </c>
      <c r="L143" s="10">
        <f t="shared" si="14"/>
        <v>0.36345457547797472</v>
      </c>
      <c r="M143" s="10">
        <f t="shared" si="18"/>
        <v>0.36825716314885854</v>
      </c>
      <c r="P143" s="8">
        <f t="shared" si="19"/>
        <v>0.59305809143916066</v>
      </c>
      <c r="X143" s="8">
        <v>-13</v>
      </c>
    </row>
    <row r="144" spans="1:24" x14ac:dyDescent="0.2">
      <c r="A144" s="8">
        <v>71</v>
      </c>
      <c r="B144" s="8">
        <v>142</v>
      </c>
      <c r="D144">
        <v>400.05787348587</v>
      </c>
      <c r="E144">
        <v>215.46500672948</v>
      </c>
      <c r="F144">
        <v>153.54612794613001</v>
      </c>
      <c r="G144">
        <v>126.10370370370001</v>
      </c>
      <c r="I144" s="9">
        <f t="shared" si="15"/>
        <v>89.361303025779989</v>
      </c>
      <c r="J144" s="9">
        <f t="shared" si="16"/>
        <v>246.51174553973999</v>
      </c>
      <c r="K144" s="9">
        <f t="shared" si="17"/>
        <v>89.361303025779989</v>
      </c>
      <c r="L144" s="10">
        <f t="shared" si="14"/>
        <v>0.36250322608410607</v>
      </c>
      <c r="M144" s="10">
        <f t="shared" si="18"/>
        <v>0.36733987466045714</v>
      </c>
      <c r="P144" s="8">
        <f t="shared" si="19"/>
        <v>0.34249173880837541</v>
      </c>
    </row>
    <row r="145" spans="1:16" x14ac:dyDescent="0.2">
      <c r="A145" s="8">
        <v>71.5</v>
      </c>
      <c r="B145" s="8">
        <v>143</v>
      </c>
      <c r="D145">
        <v>402.10565275908999</v>
      </c>
      <c r="E145">
        <v>219.12449528937</v>
      </c>
      <c r="F145">
        <v>153.77171717172001</v>
      </c>
      <c r="G145">
        <v>126.37373737374</v>
      </c>
      <c r="I145" s="9">
        <f t="shared" si="15"/>
        <v>92.750757915630004</v>
      </c>
      <c r="J145" s="9">
        <f t="shared" si="16"/>
        <v>248.33393558736998</v>
      </c>
      <c r="K145" s="9">
        <f t="shared" si="17"/>
        <v>92.750757915630004</v>
      </c>
      <c r="L145" s="10">
        <f t="shared" si="14"/>
        <v>0.37349207910812499</v>
      </c>
      <c r="M145" s="10">
        <f t="shared" si="18"/>
        <v>0.37836278858994332</v>
      </c>
      <c r="P145" s="8">
        <f t="shared" si="19"/>
        <v>3.3535088545773397</v>
      </c>
    </row>
    <row r="146" spans="1:16" x14ac:dyDescent="0.2">
      <c r="A146" s="8">
        <v>72</v>
      </c>
      <c r="B146" s="8">
        <v>144</v>
      </c>
      <c r="D146">
        <v>400.18236877523998</v>
      </c>
      <c r="E146">
        <v>216.49125168237001</v>
      </c>
      <c r="F146">
        <v>153.9569023569</v>
      </c>
      <c r="G146">
        <v>125.94208754208999</v>
      </c>
      <c r="I146" s="9">
        <f t="shared" si="15"/>
        <v>90.549164140280013</v>
      </c>
      <c r="J146" s="9">
        <f t="shared" si="16"/>
        <v>246.22546641833998</v>
      </c>
      <c r="K146" s="9">
        <f t="shared" si="17"/>
        <v>90.549164140280013</v>
      </c>
      <c r="L146" s="10">
        <f t="shared" si="14"/>
        <v>0.36774898006055928</v>
      </c>
      <c r="M146" s="10">
        <f t="shared" si="18"/>
        <v>0.37265375044784488</v>
      </c>
      <c r="P146" s="8">
        <f t="shared" si="19"/>
        <v>1.7940290590894006</v>
      </c>
    </row>
    <row r="147" spans="1:16" x14ac:dyDescent="0.2">
      <c r="A147" s="8">
        <v>72.5</v>
      </c>
      <c r="B147" s="8">
        <v>145</v>
      </c>
      <c r="D147">
        <v>398.44549125167998</v>
      </c>
      <c r="E147">
        <v>217.32705248990999</v>
      </c>
      <c r="F147">
        <v>153.92255892256</v>
      </c>
      <c r="G147">
        <v>126.12794612795</v>
      </c>
      <c r="I147" s="9">
        <f t="shared" si="15"/>
        <v>91.199106361959991</v>
      </c>
      <c r="J147" s="9">
        <f t="shared" si="16"/>
        <v>244.52293232911998</v>
      </c>
      <c r="K147" s="9">
        <f t="shared" si="17"/>
        <v>91.199106361959991</v>
      </c>
      <c r="L147" s="10">
        <f t="shared" si="14"/>
        <v>0.37296749835802284</v>
      </c>
      <c r="M147" s="10">
        <f t="shared" si="18"/>
        <v>0.3779063296507757</v>
      </c>
      <c r="P147" s="8">
        <f t="shared" si="19"/>
        <v>3.2288226157777293</v>
      </c>
    </row>
    <row r="148" spans="1:16" x14ac:dyDescent="0.2">
      <c r="A148" s="8">
        <v>73</v>
      </c>
      <c r="B148" s="8">
        <v>146</v>
      </c>
      <c r="D148">
        <v>399.38829071331998</v>
      </c>
      <c r="E148">
        <v>217.94683714670001</v>
      </c>
      <c r="F148">
        <v>153.57845117845</v>
      </c>
      <c r="G148">
        <v>126.30168350168</v>
      </c>
      <c r="I148" s="9">
        <f t="shared" si="15"/>
        <v>91.645153645020002</v>
      </c>
      <c r="J148" s="9">
        <f t="shared" si="16"/>
        <v>245.80983953486998</v>
      </c>
      <c r="K148" s="9">
        <f t="shared" si="17"/>
        <v>91.645153645020002</v>
      </c>
      <c r="L148" s="10">
        <f t="shared" si="14"/>
        <v>0.37282947590069698</v>
      </c>
      <c r="M148" s="10">
        <f t="shared" si="18"/>
        <v>0.3778023680989171</v>
      </c>
      <c r="P148" s="8">
        <f t="shared" si="19"/>
        <v>3.2004244976366816</v>
      </c>
    </row>
    <row r="149" spans="1:16" x14ac:dyDescent="0.2">
      <c r="A149" s="8">
        <v>73.5</v>
      </c>
      <c r="B149" s="8">
        <v>147</v>
      </c>
      <c r="D149">
        <v>389.28924515697997</v>
      </c>
      <c r="E149">
        <v>213.56847027388</v>
      </c>
      <c r="F149">
        <v>153.24511784512001</v>
      </c>
      <c r="G149">
        <v>126.05185185185</v>
      </c>
      <c r="I149" s="9">
        <f t="shared" si="15"/>
        <v>87.516618422029993</v>
      </c>
      <c r="J149" s="9">
        <f t="shared" si="16"/>
        <v>236.04412731185997</v>
      </c>
      <c r="K149" s="9">
        <f t="shared" si="17"/>
        <v>87.516618422029993</v>
      </c>
      <c r="L149" s="10">
        <f t="shared" si="14"/>
        <v>0.37076380344088633</v>
      </c>
      <c r="M149" s="10">
        <f t="shared" si="18"/>
        <v>0.3757707565445737</v>
      </c>
      <c r="P149" s="8">
        <f t="shared" si="19"/>
        <v>2.6454698638752356</v>
      </c>
    </row>
    <row r="150" spans="1:16" x14ac:dyDescent="0.2">
      <c r="A150" s="8">
        <v>74</v>
      </c>
      <c r="B150" s="8">
        <v>148</v>
      </c>
      <c r="D150">
        <v>384.47895791582999</v>
      </c>
      <c r="E150">
        <v>211.56847027388</v>
      </c>
      <c r="F150">
        <v>153.17373737374001</v>
      </c>
      <c r="G150">
        <v>125.75353535354</v>
      </c>
      <c r="I150" s="9">
        <f t="shared" si="15"/>
        <v>85.814934920339994</v>
      </c>
      <c r="J150" s="9">
        <f t="shared" si="16"/>
        <v>231.30522054208998</v>
      </c>
      <c r="K150" s="9">
        <f t="shared" si="17"/>
        <v>85.814934920339994</v>
      </c>
      <c r="L150" s="10">
        <f t="shared" si="14"/>
        <v>0.37100301808676422</v>
      </c>
      <c r="M150" s="10">
        <f t="shared" si="18"/>
        <v>0.37604403209591886</v>
      </c>
      <c r="P150" s="8">
        <f t="shared" si="19"/>
        <v>2.7201177625783521</v>
      </c>
    </row>
    <row r="151" spans="1:16" x14ac:dyDescent="0.2">
      <c r="A151" s="8">
        <v>74.5</v>
      </c>
      <c r="B151" s="8">
        <v>149</v>
      </c>
      <c r="D151">
        <v>393.36617842876001</v>
      </c>
      <c r="E151">
        <v>214.37816245006999</v>
      </c>
      <c r="F151">
        <v>153.99326599327</v>
      </c>
      <c r="G151">
        <v>126.07003367003</v>
      </c>
      <c r="I151" s="9">
        <f t="shared" si="15"/>
        <v>88.308128780039993</v>
      </c>
      <c r="J151" s="9">
        <f t="shared" si="16"/>
        <v>239.37291243549001</v>
      </c>
      <c r="K151" s="9">
        <f t="shared" si="17"/>
        <v>88.308128780039993</v>
      </c>
      <c r="L151" s="10">
        <f t="shared" si="14"/>
        <v>0.36891446021002339</v>
      </c>
      <c r="M151" s="10">
        <f t="shared" si="18"/>
        <v>0.37398953512464528</v>
      </c>
      <c r="P151" s="8">
        <f t="shared" si="19"/>
        <v>2.1589117525910635</v>
      </c>
    </row>
    <row r="152" spans="1:16" x14ac:dyDescent="0.2">
      <c r="A152" s="8">
        <v>75</v>
      </c>
      <c r="B152" s="8">
        <v>150</v>
      </c>
      <c r="D152">
        <v>398.38415446072003</v>
      </c>
      <c r="E152">
        <v>216.41810918774999</v>
      </c>
      <c r="F152">
        <v>153.59932659933</v>
      </c>
      <c r="G152">
        <v>126.04175084175</v>
      </c>
      <c r="I152" s="9">
        <f t="shared" si="15"/>
        <v>90.376358345999989</v>
      </c>
      <c r="J152" s="9">
        <f t="shared" si="16"/>
        <v>244.78482786139003</v>
      </c>
      <c r="K152" s="9">
        <f t="shared" si="17"/>
        <v>90.376358345999989</v>
      </c>
      <c r="L152" s="10">
        <f t="shared" si="14"/>
        <v>0.36920735298666391</v>
      </c>
      <c r="M152" s="10">
        <f t="shared" si="18"/>
        <v>0.37431648880675306</v>
      </c>
      <c r="P152" s="8">
        <f t="shared" si="19"/>
        <v>2.2482223594948132</v>
      </c>
    </row>
    <row r="153" spans="1:16" x14ac:dyDescent="0.2">
      <c r="A153" s="8">
        <v>75.5</v>
      </c>
      <c r="B153" s="8">
        <v>151</v>
      </c>
      <c r="D153">
        <v>400.41478029294001</v>
      </c>
      <c r="E153">
        <v>214.89280958722</v>
      </c>
      <c r="F153">
        <v>153.81952861952999</v>
      </c>
      <c r="G153">
        <v>126.10235690236</v>
      </c>
      <c r="I153" s="9">
        <f t="shared" si="15"/>
        <v>88.79045268486</v>
      </c>
      <c r="J153" s="9">
        <f t="shared" si="16"/>
        <v>246.59525167341002</v>
      </c>
      <c r="K153" s="9">
        <f t="shared" si="17"/>
        <v>88.79045268486</v>
      </c>
      <c r="L153" s="10">
        <f t="shared" si="14"/>
        <v>0.36006554093123333</v>
      </c>
      <c r="M153" s="10">
        <f t="shared" si="18"/>
        <v>0.36520873765678974</v>
      </c>
      <c r="P153" s="8">
        <f t="shared" si="19"/>
        <v>-0.23964924815207156</v>
      </c>
    </row>
    <row r="154" spans="1:16" x14ac:dyDescent="0.2">
      <c r="A154" s="8">
        <v>76</v>
      </c>
      <c r="B154" s="8">
        <v>152</v>
      </c>
      <c r="D154">
        <v>398.10186418108998</v>
      </c>
      <c r="E154">
        <v>213.08455392810001</v>
      </c>
      <c r="F154">
        <v>153.44511784512</v>
      </c>
      <c r="G154">
        <v>125.64242424242001</v>
      </c>
      <c r="I154" s="9">
        <f t="shared" si="15"/>
        <v>87.442129685680001</v>
      </c>
      <c r="J154" s="9">
        <f t="shared" si="16"/>
        <v>244.65674633596998</v>
      </c>
      <c r="K154" s="9">
        <f t="shared" si="17"/>
        <v>87.442129685680001</v>
      </c>
      <c r="L154" s="10">
        <f t="shared" si="14"/>
        <v>0.35740739217385753</v>
      </c>
      <c r="M154" s="10">
        <f t="shared" si="18"/>
        <v>0.3625846498048812</v>
      </c>
      <c r="P154" s="8">
        <f t="shared" si="19"/>
        <v>-0.95644459699739615</v>
      </c>
    </row>
    <row r="155" spans="1:16" x14ac:dyDescent="0.2">
      <c r="A155" s="8">
        <v>76.5</v>
      </c>
      <c r="B155" s="8">
        <v>153</v>
      </c>
      <c r="D155">
        <v>398.72170439413998</v>
      </c>
      <c r="E155">
        <v>212.88415446072</v>
      </c>
      <c r="F155">
        <v>153.42020202020001</v>
      </c>
      <c r="G155">
        <v>126.24915824916</v>
      </c>
      <c r="I155" s="9">
        <f t="shared" si="15"/>
        <v>86.634996211559994</v>
      </c>
      <c r="J155" s="9">
        <f t="shared" si="16"/>
        <v>245.30150237393997</v>
      </c>
      <c r="K155" s="9">
        <f t="shared" si="17"/>
        <v>86.634996211559994</v>
      </c>
      <c r="L155" s="10">
        <f t="shared" si="14"/>
        <v>0.35317760133198356</v>
      </c>
      <c r="M155" s="10">
        <f t="shared" si="18"/>
        <v>0.35838891986847449</v>
      </c>
      <c r="P155" s="8">
        <f t="shared" si="19"/>
        <v>-2.1025494048985616</v>
      </c>
    </row>
    <row r="156" spans="1:16" x14ac:dyDescent="0.2">
      <c r="A156" s="8">
        <v>77</v>
      </c>
      <c r="B156" s="8">
        <v>154</v>
      </c>
      <c r="D156">
        <v>394.62240107310998</v>
      </c>
      <c r="E156">
        <v>211.89403085178</v>
      </c>
      <c r="F156">
        <v>153.09225589226</v>
      </c>
      <c r="G156">
        <v>126.1164983165</v>
      </c>
      <c r="I156" s="9">
        <f t="shared" si="15"/>
        <v>85.777532535280002</v>
      </c>
      <c r="J156" s="9">
        <f t="shared" si="16"/>
        <v>241.53014518084998</v>
      </c>
      <c r="K156" s="9">
        <f t="shared" si="17"/>
        <v>85.777532535280002</v>
      </c>
      <c r="L156" s="10">
        <f t="shared" si="14"/>
        <v>0.35514213959111629</v>
      </c>
      <c r="M156" s="10">
        <f t="shared" si="18"/>
        <v>0.36038751903307448</v>
      </c>
      <c r="P156" s="8">
        <f t="shared" si="19"/>
        <v>-1.5566124293702914</v>
      </c>
    </row>
    <row r="157" spans="1:16" x14ac:dyDescent="0.2">
      <c r="A157" s="8">
        <v>77.5</v>
      </c>
      <c r="B157" s="8">
        <v>155</v>
      </c>
      <c r="D157">
        <v>395.41113346746999</v>
      </c>
      <c r="E157">
        <v>213.17572099262</v>
      </c>
      <c r="F157">
        <v>152.97171717172</v>
      </c>
      <c r="G157">
        <v>125.55622895623</v>
      </c>
      <c r="I157" s="9">
        <f t="shared" si="15"/>
        <v>87.61949203639</v>
      </c>
      <c r="J157" s="9">
        <f t="shared" si="16"/>
        <v>242.43941629574999</v>
      </c>
      <c r="K157" s="9">
        <f t="shared" si="17"/>
        <v>87.61949203639</v>
      </c>
      <c r="L157" s="10">
        <f t="shared" si="14"/>
        <v>0.36140778333463586</v>
      </c>
      <c r="M157" s="10">
        <f t="shared" si="18"/>
        <v>0.3666872236820613</v>
      </c>
      <c r="P157" s="8">
        <f t="shared" si="19"/>
        <v>0.16421371911736601</v>
      </c>
    </row>
    <row r="158" spans="1:16" x14ac:dyDescent="0.2">
      <c r="A158" s="8">
        <v>78</v>
      </c>
      <c r="B158" s="8">
        <v>156</v>
      </c>
      <c r="D158">
        <v>394.77665995976002</v>
      </c>
      <c r="E158">
        <v>211.49832327297</v>
      </c>
      <c r="F158">
        <v>153.41616161616</v>
      </c>
      <c r="G158">
        <v>125.94141414140999</v>
      </c>
      <c r="I158" s="9">
        <f t="shared" si="15"/>
        <v>85.556909131560005</v>
      </c>
      <c r="J158" s="9">
        <f t="shared" si="16"/>
        <v>241.36049834360003</v>
      </c>
      <c r="K158" s="9">
        <f t="shared" si="17"/>
        <v>85.556909131560005</v>
      </c>
      <c r="L158" s="10">
        <f t="shared" si="14"/>
        <v>0.35447767848805756</v>
      </c>
      <c r="M158" s="10">
        <f t="shared" si="18"/>
        <v>0.35979117974095026</v>
      </c>
      <c r="P158" s="8">
        <f t="shared" si="19"/>
        <v>-1.7195083593283744</v>
      </c>
    </row>
    <row r="159" spans="1:16" x14ac:dyDescent="0.2">
      <c r="A159" s="8">
        <v>78.5</v>
      </c>
      <c r="B159" s="8">
        <v>157</v>
      </c>
      <c r="D159">
        <v>395.31187122735997</v>
      </c>
      <c r="E159">
        <v>210.39168343393999</v>
      </c>
      <c r="F159">
        <v>152.94276094276</v>
      </c>
      <c r="G159">
        <v>126.00134680135</v>
      </c>
      <c r="I159" s="9">
        <f t="shared" si="15"/>
        <v>84.390336632589992</v>
      </c>
      <c r="J159" s="9">
        <f t="shared" si="16"/>
        <v>242.36911028459997</v>
      </c>
      <c r="K159" s="9">
        <f t="shared" si="17"/>
        <v>84.390336632589992</v>
      </c>
      <c r="L159" s="10">
        <f t="shared" si="14"/>
        <v>0.34818932385193524</v>
      </c>
      <c r="M159" s="10">
        <f t="shared" si="18"/>
        <v>0.3535368860102952</v>
      </c>
      <c r="P159" s="8">
        <f t="shared" si="19"/>
        <v>-3.4279300698231001</v>
      </c>
    </row>
    <row r="160" spans="1:16" x14ac:dyDescent="0.2">
      <c r="A160" s="8">
        <v>79</v>
      </c>
      <c r="B160" s="8">
        <v>158</v>
      </c>
      <c r="D160">
        <v>392.93925233645001</v>
      </c>
      <c r="E160">
        <v>209.95527369825999</v>
      </c>
      <c r="F160">
        <v>153.45589225589001</v>
      </c>
      <c r="G160">
        <v>125.92457912458001</v>
      </c>
      <c r="I160" s="9">
        <f t="shared" si="15"/>
        <v>84.03069457367998</v>
      </c>
      <c r="J160" s="9">
        <f t="shared" si="16"/>
        <v>239.48336008056</v>
      </c>
      <c r="K160" s="9">
        <f t="shared" si="17"/>
        <v>84.03069457367998</v>
      </c>
      <c r="L160" s="10">
        <f t="shared" si="14"/>
        <v>0.35088322856925352</v>
      </c>
      <c r="M160" s="10">
        <f t="shared" si="18"/>
        <v>0.35626485163308075</v>
      </c>
      <c r="P160" s="8">
        <f t="shared" si="19"/>
        <v>-2.6827594884340553</v>
      </c>
    </row>
    <row r="161" spans="1:16" x14ac:dyDescent="0.2">
      <c r="A161" s="8">
        <v>79.5</v>
      </c>
      <c r="B161" s="8">
        <v>159</v>
      </c>
      <c r="D161">
        <v>386.85514018691998</v>
      </c>
      <c r="E161">
        <v>206.78237650200001</v>
      </c>
      <c r="F161">
        <v>152.73400673400999</v>
      </c>
      <c r="G161">
        <v>125.78383838384001</v>
      </c>
      <c r="I161" s="9">
        <f t="shared" si="15"/>
        <v>80.998538118159999</v>
      </c>
      <c r="J161" s="9">
        <f t="shared" si="16"/>
        <v>234.12113345290999</v>
      </c>
      <c r="K161" s="9">
        <f t="shared" si="17"/>
        <v>80.998538118159999</v>
      </c>
      <c r="L161" s="10">
        <f t="shared" si="14"/>
        <v>0.34596850324258172</v>
      </c>
      <c r="M161" s="10">
        <f t="shared" si="18"/>
        <v>0.3513841872118762</v>
      </c>
      <c r="P161" s="8">
        <f t="shared" si="19"/>
        <v>-4.0159608726216351</v>
      </c>
    </row>
    <row r="162" spans="1:16" x14ac:dyDescent="0.2">
      <c r="A162" s="8">
        <v>80</v>
      </c>
      <c r="B162" s="4">
        <v>160</v>
      </c>
      <c r="C162" s="4" t="s">
        <v>6</v>
      </c>
      <c r="D162">
        <v>391.62676529926</v>
      </c>
      <c r="E162">
        <v>208.55682582380999</v>
      </c>
      <c r="F162">
        <v>152.65656565657</v>
      </c>
      <c r="G162">
        <v>125.76430976431</v>
      </c>
      <c r="H162" s="4"/>
      <c r="I162" s="5">
        <f t="shared" si="15"/>
        <v>82.792516059499988</v>
      </c>
      <c r="J162" s="5">
        <f t="shared" si="16"/>
        <v>238.97019964269001</v>
      </c>
      <c r="K162" s="9">
        <f t="shared" si="17"/>
        <v>82.792516059499988</v>
      </c>
      <c r="L162" s="6">
        <f t="shared" si="14"/>
        <v>0.34645539980839435</v>
      </c>
      <c r="M162" s="6">
        <f t="shared" si="18"/>
        <v>0.35190514468315609</v>
      </c>
      <c r="N162" s="4"/>
      <c r="O162" s="4"/>
      <c r="P162" s="4">
        <f t="shared" si="19"/>
        <v>-3.873656226804211</v>
      </c>
    </row>
    <row r="163" spans="1:16" x14ac:dyDescent="0.2">
      <c r="A163" s="8">
        <v>80.5</v>
      </c>
      <c r="B163" s="8">
        <v>161</v>
      </c>
      <c r="D163">
        <v>395.57229320779999</v>
      </c>
      <c r="E163">
        <v>211.24882313383</v>
      </c>
      <c r="F163">
        <v>152.88754208754</v>
      </c>
      <c r="G163">
        <v>125.82356902357</v>
      </c>
      <c r="I163" s="9">
        <f t="shared" si="15"/>
        <v>85.425254110259999</v>
      </c>
      <c r="J163" s="9">
        <f t="shared" si="16"/>
        <v>242.68475112025999</v>
      </c>
      <c r="K163" s="9">
        <f t="shared" si="17"/>
        <v>85.425254110259999</v>
      </c>
      <c r="L163" s="10">
        <f t="shared" si="14"/>
        <v>0.35200091359645574</v>
      </c>
      <c r="M163" s="10">
        <f t="shared" si="18"/>
        <v>0.35748471937668475</v>
      </c>
      <c r="P163" s="8">
        <f t="shared" si="19"/>
        <v>-2.3495406428127761</v>
      </c>
    </row>
    <row r="164" spans="1:16" x14ac:dyDescent="0.2">
      <c r="A164" s="8">
        <v>81</v>
      </c>
      <c r="B164" s="8">
        <v>162</v>
      </c>
      <c r="D164">
        <v>392.70501672240999</v>
      </c>
      <c r="E164">
        <v>210.68762541806001</v>
      </c>
      <c r="F164">
        <v>152.86397306397001</v>
      </c>
      <c r="G164">
        <v>125.80336700337</v>
      </c>
      <c r="I164" s="9">
        <f t="shared" si="15"/>
        <v>84.884258414690009</v>
      </c>
      <c r="J164" s="9">
        <f t="shared" si="16"/>
        <v>239.84104365843999</v>
      </c>
      <c r="K164" s="9">
        <f t="shared" si="17"/>
        <v>84.884258414690009</v>
      </c>
      <c r="L164" s="10">
        <f t="shared" si="14"/>
        <v>0.35391881689597099</v>
      </c>
      <c r="M164" s="10">
        <f t="shared" si="18"/>
        <v>0.35943668358166725</v>
      </c>
      <c r="P164" s="8">
        <f t="shared" si="19"/>
        <v>-1.8163424641670458</v>
      </c>
    </row>
    <row r="165" spans="1:16" x14ac:dyDescent="0.2">
      <c r="A165" s="8">
        <v>81.5</v>
      </c>
      <c r="B165" s="8">
        <v>163</v>
      </c>
      <c r="D165">
        <v>393.75518394648998</v>
      </c>
      <c r="E165">
        <v>206.59866220736001</v>
      </c>
      <c r="F165">
        <v>153.38181818181999</v>
      </c>
      <c r="G165">
        <v>125.57104377104</v>
      </c>
      <c r="I165" s="9">
        <f t="shared" si="15"/>
        <v>81.027618436320012</v>
      </c>
      <c r="J165" s="9">
        <f t="shared" si="16"/>
        <v>240.37336576466998</v>
      </c>
      <c r="K165" s="9">
        <f t="shared" si="17"/>
        <v>81.027618436320012</v>
      </c>
      <c r="L165" s="10">
        <f t="shared" si="14"/>
        <v>0.33709066800540438</v>
      </c>
      <c r="M165" s="10">
        <f t="shared" si="18"/>
        <v>0.3426425955965679</v>
      </c>
      <c r="P165" s="8">
        <f t="shared" si="19"/>
        <v>-6.4038124099857372</v>
      </c>
    </row>
    <row r="166" spans="1:16" x14ac:dyDescent="0.2">
      <c r="A166" s="8">
        <v>82</v>
      </c>
      <c r="B166" s="8">
        <v>164</v>
      </c>
      <c r="D166">
        <v>396.41778074865999</v>
      </c>
      <c r="E166">
        <v>201.80949197861</v>
      </c>
      <c r="F166">
        <v>152.53063973063999</v>
      </c>
      <c r="G166">
        <v>126.03905723906</v>
      </c>
      <c r="I166" s="9">
        <f t="shared" si="15"/>
        <v>75.770434739549998</v>
      </c>
      <c r="J166" s="9">
        <f t="shared" si="16"/>
        <v>243.88714101802</v>
      </c>
      <c r="K166" s="9">
        <f t="shared" si="17"/>
        <v>75.770434739549998</v>
      </c>
      <c r="L166" s="10">
        <f t="shared" si="14"/>
        <v>0.31067826874050558</v>
      </c>
      <c r="M166" s="10">
        <f t="shared" si="18"/>
        <v>0.31626425723713636</v>
      </c>
      <c r="P166" s="8">
        <f t="shared" si="19"/>
        <v>-13.609314402823646</v>
      </c>
    </row>
    <row r="167" spans="1:16" x14ac:dyDescent="0.2">
      <c r="A167" s="8">
        <v>82.5</v>
      </c>
      <c r="B167" s="8">
        <v>165</v>
      </c>
      <c r="D167">
        <v>394.87901069519</v>
      </c>
      <c r="E167">
        <v>199.84024064171001</v>
      </c>
      <c r="F167">
        <v>153.65993265993001</v>
      </c>
      <c r="G167">
        <v>125.51178451179</v>
      </c>
      <c r="I167" s="9">
        <f t="shared" si="15"/>
        <v>74.328456129920013</v>
      </c>
      <c r="J167" s="9">
        <f t="shared" si="16"/>
        <v>241.21907803526</v>
      </c>
      <c r="K167" s="9">
        <f t="shared" si="17"/>
        <v>74.328456129920013</v>
      </c>
      <c r="L167" s="10">
        <f t="shared" si="14"/>
        <v>0.3081367225815162</v>
      </c>
      <c r="M167" s="10">
        <f t="shared" si="18"/>
        <v>0.31375677198361424</v>
      </c>
      <c r="P167" s="8">
        <f t="shared" si="19"/>
        <v>-14.294258607613001</v>
      </c>
    </row>
    <row r="168" spans="1:16" x14ac:dyDescent="0.2">
      <c r="A168" s="8">
        <v>83</v>
      </c>
      <c r="B168" s="8">
        <v>166</v>
      </c>
      <c r="D168">
        <v>394.80213903742998</v>
      </c>
      <c r="E168">
        <v>196.18516042780999</v>
      </c>
      <c r="F168">
        <v>152.99528619528999</v>
      </c>
      <c r="G168">
        <v>125.84579124579</v>
      </c>
      <c r="I168" s="9">
        <f t="shared" si="15"/>
        <v>70.339369182019993</v>
      </c>
      <c r="J168" s="9">
        <f t="shared" si="16"/>
        <v>241.80685284213999</v>
      </c>
      <c r="K168" s="9">
        <f t="shared" si="17"/>
        <v>70.339369182019993</v>
      </c>
      <c r="L168" s="10">
        <f t="shared" si="14"/>
        <v>0.29089071858496918</v>
      </c>
      <c r="M168" s="10">
        <f t="shared" si="18"/>
        <v>0.29654482889253447</v>
      </c>
      <c r="P168" s="8">
        <f t="shared" si="19"/>
        <v>-18.995869776348517</v>
      </c>
    </row>
    <row r="169" spans="1:16" x14ac:dyDescent="0.2">
      <c r="A169" s="8">
        <v>83.5</v>
      </c>
      <c r="B169" s="8">
        <v>167</v>
      </c>
      <c r="D169">
        <v>398.21204013378002</v>
      </c>
      <c r="E169">
        <v>196.85685618728999</v>
      </c>
      <c r="F169">
        <v>153.34141414141001</v>
      </c>
      <c r="G169">
        <v>125.71043771044</v>
      </c>
      <c r="I169" s="9">
        <f t="shared" si="15"/>
        <v>71.146418476849988</v>
      </c>
      <c r="J169" s="9">
        <f t="shared" si="16"/>
        <v>244.87062599237001</v>
      </c>
      <c r="K169" s="9">
        <f t="shared" si="17"/>
        <v>71.146418476849988</v>
      </c>
      <c r="L169" s="10">
        <f t="shared" si="14"/>
        <v>0.2905469702154756</v>
      </c>
      <c r="M169" s="10">
        <f t="shared" si="18"/>
        <v>0.29623514142850815</v>
      </c>
      <c r="P169" s="8">
        <f t="shared" si="19"/>
        <v>-19.080463946337272</v>
      </c>
    </row>
    <row r="170" spans="1:16" x14ac:dyDescent="0.2">
      <c r="A170" s="8">
        <v>84</v>
      </c>
      <c r="B170" s="8">
        <v>168</v>
      </c>
      <c r="D170">
        <v>401.26005361929998</v>
      </c>
      <c r="E170">
        <v>195.57640750670001</v>
      </c>
      <c r="F170">
        <v>153.0430976431</v>
      </c>
      <c r="G170">
        <v>125.94612794613001</v>
      </c>
      <c r="I170" s="9">
        <f t="shared" si="15"/>
        <v>69.630279560570003</v>
      </c>
      <c r="J170" s="9">
        <f t="shared" si="16"/>
        <v>248.21695597619998</v>
      </c>
      <c r="K170" s="9">
        <f t="shared" si="17"/>
        <v>69.630279560570003</v>
      </c>
      <c r="L170" s="10">
        <f t="shared" si="14"/>
        <v>0.28052184947126024</v>
      </c>
      <c r="M170" s="10">
        <f t="shared" si="18"/>
        <v>0.28624408158976006</v>
      </c>
      <c r="P170" s="8">
        <f t="shared" si="19"/>
        <v>-21.809619990880996</v>
      </c>
    </row>
    <row r="171" spans="1:16" x14ac:dyDescent="0.2">
      <c r="A171" s="8">
        <v>84.5</v>
      </c>
      <c r="B171" s="8">
        <v>169</v>
      </c>
      <c r="D171">
        <v>399.96045576408</v>
      </c>
      <c r="E171">
        <v>195.39812332439999</v>
      </c>
      <c r="F171">
        <v>153.18855218855001</v>
      </c>
      <c r="G171">
        <v>125.94747474748</v>
      </c>
      <c r="I171" s="9">
        <f t="shared" si="15"/>
        <v>69.450648576919988</v>
      </c>
      <c r="J171" s="9">
        <f t="shared" si="16"/>
        <v>246.77190357552999</v>
      </c>
      <c r="K171" s="9">
        <f t="shared" si="17"/>
        <v>69.450648576919988</v>
      </c>
      <c r="L171" s="10">
        <f t="shared" si="14"/>
        <v>0.28143661239644763</v>
      </c>
      <c r="M171" s="10">
        <f t="shared" si="18"/>
        <v>0.2871929054204147</v>
      </c>
      <c r="P171" s="8">
        <f t="shared" si="19"/>
        <v>-21.550439450034318</v>
      </c>
    </row>
    <row r="172" spans="1:16" x14ac:dyDescent="0.2">
      <c r="A172" s="8">
        <v>85</v>
      </c>
      <c r="B172" s="8">
        <v>170</v>
      </c>
      <c r="D172">
        <v>399.38404825737001</v>
      </c>
      <c r="E172">
        <v>193.91420911527999</v>
      </c>
      <c r="F172">
        <v>152.83367003366999</v>
      </c>
      <c r="G172">
        <v>125.9037037037</v>
      </c>
      <c r="I172" s="9">
        <f t="shared" si="15"/>
        <v>68.010505411579985</v>
      </c>
      <c r="J172" s="9">
        <f t="shared" si="16"/>
        <v>246.55037822370002</v>
      </c>
      <c r="K172" s="9">
        <f t="shared" si="17"/>
        <v>68.010505411579985</v>
      </c>
      <c r="L172" s="10">
        <f t="shared" si="14"/>
        <v>0.27584831100876556</v>
      </c>
      <c r="M172" s="10">
        <f t="shared" si="18"/>
        <v>0.28163866493819989</v>
      </c>
      <c r="P172" s="8">
        <f t="shared" si="19"/>
        <v>-23.067634745582204</v>
      </c>
    </row>
    <row r="173" spans="1:16" x14ac:dyDescent="0.2">
      <c r="A173" s="8">
        <v>85.5</v>
      </c>
      <c r="B173" s="8">
        <v>171</v>
      </c>
      <c r="D173">
        <v>395.55227882038002</v>
      </c>
      <c r="E173">
        <v>193.24731903484999</v>
      </c>
      <c r="F173">
        <v>152.98720538721</v>
      </c>
      <c r="G173">
        <v>125.78451178451</v>
      </c>
      <c r="I173" s="9">
        <f t="shared" si="15"/>
        <v>67.462807250339992</v>
      </c>
      <c r="J173" s="9">
        <f t="shared" si="16"/>
        <v>242.56507343317003</v>
      </c>
      <c r="K173" s="9">
        <f t="shared" si="17"/>
        <v>67.462807250339992</v>
      </c>
      <c r="L173" s="10">
        <f t="shared" si="14"/>
        <v>0.27812251077823419</v>
      </c>
      <c r="M173" s="10">
        <f t="shared" si="18"/>
        <v>0.28394692561313578</v>
      </c>
      <c r="P173" s="8">
        <f t="shared" si="19"/>
        <v>-22.437110689570421</v>
      </c>
    </row>
    <row r="174" spans="1:16" x14ac:dyDescent="0.2">
      <c r="A174" s="8">
        <v>86</v>
      </c>
      <c r="B174" s="8">
        <v>172</v>
      </c>
      <c r="D174">
        <v>394.76876675603</v>
      </c>
      <c r="E174">
        <v>191.87131367292</v>
      </c>
      <c r="F174">
        <v>153.26936026935999</v>
      </c>
      <c r="G174">
        <v>125.75622895623</v>
      </c>
      <c r="I174" s="9">
        <f t="shared" si="15"/>
        <v>66.115084716689992</v>
      </c>
      <c r="J174" s="9">
        <f t="shared" si="16"/>
        <v>241.49940648667001</v>
      </c>
      <c r="K174" s="9">
        <f t="shared" si="17"/>
        <v>66.115084716689992</v>
      </c>
      <c r="L174" s="10">
        <f t="shared" si="14"/>
        <v>0.27376913955413523</v>
      </c>
      <c r="M174" s="10">
        <f t="shared" si="18"/>
        <v>0.27962761529450408</v>
      </c>
      <c r="P174" s="8">
        <f t="shared" si="19"/>
        <v>-23.616972691661168</v>
      </c>
    </row>
    <row r="175" spans="1:16" x14ac:dyDescent="0.2">
      <c r="A175" s="8">
        <v>86.5</v>
      </c>
      <c r="B175" s="8">
        <v>173</v>
      </c>
      <c r="D175">
        <v>396.11764705882001</v>
      </c>
      <c r="E175">
        <v>190.53141711230001</v>
      </c>
      <c r="F175">
        <v>153.35084175084</v>
      </c>
      <c r="G175">
        <v>125.87542087542001</v>
      </c>
      <c r="I175" s="9">
        <f t="shared" si="15"/>
        <v>64.65599623688</v>
      </c>
      <c r="J175" s="9">
        <f t="shared" si="16"/>
        <v>242.76680530798001</v>
      </c>
      <c r="K175" s="9">
        <f t="shared" si="17"/>
        <v>64.65599623688</v>
      </c>
      <c r="L175" s="10">
        <f t="shared" si="14"/>
        <v>0.26632964154574507</v>
      </c>
      <c r="M175" s="10">
        <f t="shared" si="18"/>
        <v>0.27222217819158123</v>
      </c>
      <c r="P175" s="8">
        <f t="shared" si="19"/>
        <v>-25.639840511304087</v>
      </c>
    </row>
    <row r="176" spans="1:16" x14ac:dyDescent="0.2">
      <c r="A176" s="8">
        <v>87</v>
      </c>
      <c r="B176" s="8">
        <v>174</v>
      </c>
      <c r="D176">
        <v>397.79144385027001</v>
      </c>
      <c r="E176">
        <v>190.66778074865999</v>
      </c>
      <c r="F176">
        <v>152.91111111110999</v>
      </c>
      <c r="G176">
        <v>126.03164983165</v>
      </c>
      <c r="I176" s="9">
        <f t="shared" si="15"/>
        <v>64.636130917009993</v>
      </c>
      <c r="J176" s="9">
        <f t="shared" si="16"/>
        <v>244.88033273916002</v>
      </c>
      <c r="K176" s="9">
        <f t="shared" si="17"/>
        <v>64.636130917009993</v>
      </c>
      <c r="L176" s="10">
        <f t="shared" si="14"/>
        <v>0.26394986560990452</v>
      </c>
      <c r="M176" s="10">
        <f t="shared" si="18"/>
        <v>0.26987646316120795</v>
      </c>
      <c r="P176" s="8">
        <f t="shared" si="19"/>
        <v>-26.280595592070615</v>
      </c>
    </row>
    <row r="177" spans="1:16" x14ac:dyDescent="0.2">
      <c r="A177" s="8">
        <v>87.5</v>
      </c>
      <c r="B177" s="8">
        <v>175</v>
      </c>
      <c r="D177">
        <v>397.57085561497001</v>
      </c>
      <c r="E177">
        <v>191.00802139037</v>
      </c>
      <c r="F177">
        <v>152.81616161616</v>
      </c>
      <c r="G177">
        <v>125.72592592593</v>
      </c>
      <c r="I177" s="9">
        <f t="shared" si="15"/>
        <v>65.282095464440005</v>
      </c>
      <c r="J177" s="9">
        <f t="shared" si="16"/>
        <v>244.75469399881001</v>
      </c>
      <c r="K177" s="9">
        <f t="shared" si="17"/>
        <v>65.282095464440005</v>
      </c>
      <c r="L177" s="10">
        <f t="shared" si="14"/>
        <v>0.26672459023301676</v>
      </c>
      <c r="M177" s="10">
        <f t="shared" si="18"/>
        <v>0.27268524868978744</v>
      </c>
      <c r="P177" s="8">
        <f t="shared" si="19"/>
        <v>-25.513348260269009</v>
      </c>
    </row>
    <row r="178" spans="1:16" x14ac:dyDescent="0.2">
      <c r="A178" s="8">
        <v>88</v>
      </c>
      <c r="B178" s="8">
        <v>176</v>
      </c>
      <c r="D178">
        <v>390.15775401069999</v>
      </c>
      <c r="E178">
        <v>189.11430481283</v>
      </c>
      <c r="F178">
        <v>152.57643097643</v>
      </c>
      <c r="G178">
        <v>125.98922558923</v>
      </c>
      <c r="I178" s="9">
        <f t="shared" si="15"/>
        <v>63.125079223599997</v>
      </c>
      <c r="J178" s="9">
        <f t="shared" si="16"/>
        <v>237.58132303426999</v>
      </c>
      <c r="K178" s="9">
        <f t="shared" si="17"/>
        <v>63.125079223599997</v>
      </c>
      <c r="L178" s="10">
        <f t="shared" si="14"/>
        <v>0.26569882858382138</v>
      </c>
      <c r="M178" s="10">
        <f t="shared" si="18"/>
        <v>0.27169354794605932</v>
      </c>
      <c r="P178" s="8">
        <f t="shared" si="19"/>
        <v>-25.784241050704271</v>
      </c>
    </row>
    <row r="179" spans="1:16" x14ac:dyDescent="0.2">
      <c r="A179" s="8">
        <v>88.5</v>
      </c>
      <c r="B179" s="8">
        <v>177</v>
      </c>
      <c r="D179">
        <v>387.69451871657998</v>
      </c>
      <c r="E179">
        <v>188.67713903743001</v>
      </c>
      <c r="F179">
        <v>153.29562289562</v>
      </c>
      <c r="G179">
        <v>125.93939393939</v>
      </c>
      <c r="I179" s="9">
        <f t="shared" si="15"/>
        <v>62.737745098040008</v>
      </c>
      <c r="J179" s="9">
        <f t="shared" si="16"/>
        <v>234.39889582095998</v>
      </c>
      <c r="K179" s="9">
        <f t="shared" si="17"/>
        <v>62.737745098040008</v>
      </c>
      <c r="L179" s="10">
        <f t="shared" si="14"/>
        <v>0.26765375697827837</v>
      </c>
      <c r="M179" s="10">
        <f t="shared" si="18"/>
        <v>0.27368253724598357</v>
      </c>
      <c r="P179" s="8">
        <f t="shared" si="19"/>
        <v>-25.240929104020822</v>
      </c>
    </row>
    <row r="180" spans="1:16" x14ac:dyDescent="0.2">
      <c r="A180" s="8">
        <v>89</v>
      </c>
      <c r="B180" s="8">
        <v>178</v>
      </c>
      <c r="D180">
        <v>389.35628342246002</v>
      </c>
      <c r="E180">
        <v>189.43449197861</v>
      </c>
      <c r="F180">
        <v>152.55622895623</v>
      </c>
      <c r="G180">
        <v>125.35420875421001</v>
      </c>
      <c r="I180" s="9">
        <f t="shared" si="15"/>
        <v>64.080283224399992</v>
      </c>
      <c r="J180" s="9">
        <f t="shared" si="16"/>
        <v>236.80005446623002</v>
      </c>
      <c r="K180" s="9">
        <f t="shared" si="17"/>
        <v>64.080283224399992</v>
      </c>
      <c r="L180" s="10">
        <f t="shared" si="14"/>
        <v>0.27060924191442048</v>
      </c>
      <c r="M180" s="10">
        <f t="shared" si="18"/>
        <v>0.27667208308759295</v>
      </c>
      <c r="P180" s="8">
        <f t="shared" si="19"/>
        <v>-24.424305318781723</v>
      </c>
    </row>
    <row r="181" spans="1:16" x14ac:dyDescent="0.2">
      <c r="A181" s="8">
        <v>89.5</v>
      </c>
      <c r="B181" s="8">
        <v>179</v>
      </c>
      <c r="D181">
        <v>387.17580213904</v>
      </c>
      <c r="E181">
        <v>189.71256684491999</v>
      </c>
      <c r="F181">
        <v>153.13468013468</v>
      </c>
      <c r="G181">
        <v>125.71784511785</v>
      </c>
      <c r="I181" s="9">
        <f t="shared" si="15"/>
        <v>63.994721727069987</v>
      </c>
      <c r="J181" s="9">
        <f t="shared" si="16"/>
        <v>234.04112200436001</v>
      </c>
      <c r="K181" s="9">
        <f t="shared" si="17"/>
        <v>63.994721727069987</v>
      </c>
      <c r="L181" s="10">
        <f t="shared" si="14"/>
        <v>0.27343366490046911</v>
      </c>
      <c r="M181" s="10">
        <f t="shared" si="18"/>
        <v>0.27953056697910883</v>
      </c>
      <c r="P181" s="8">
        <f t="shared" si="19"/>
        <v>-23.643482391417596</v>
      </c>
    </row>
    <row r="182" spans="1:16" x14ac:dyDescent="0.2">
      <c r="A182" s="8">
        <v>90</v>
      </c>
      <c r="B182" s="8">
        <v>180</v>
      </c>
      <c r="D182">
        <v>387.26737967913999</v>
      </c>
      <c r="E182">
        <v>190.03877005347999</v>
      </c>
      <c r="F182">
        <v>152.99663299663001</v>
      </c>
      <c r="G182">
        <v>125.76430976431</v>
      </c>
      <c r="I182" s="9">
        <f t="shared" si="15"/>
        <v>64.274460289169994</v>
      </c>
      <c r="J182" s="9">
        <f t="shared" si="16"/>
        <v>234.27074668250998</v>
      </c>
      <c r="K182" s="9">
        <f t="shared" si="17"/>
        <v>64.274460289169994</v>
      </c>
      <c r="L182" s="10">
        <f t="shared" si="14"/>
        <v>0.27435973632796956</v>
      </c>
      <c r="M182" s="10">
        <f>L182+ABS($N$2)*A182</f>
        <v>0.28049069931207654</v>
      </c>
      <c r="P182" s="8">
        <f t="shared" si="19"/>
        <v>-23.381212822185489</v>
      </c>
    </row>
    <row r="183" spans="1:16" x14ac:dyDescent="0.2">
      <c r="A183" s="8">
        <v>90.5</v>
      </c>
      <c r="B183" s="8">
        <v>181</v>
      </c>
      <c r="D183">
        <v>388.64237967913999</v>
      </c>
      <c r="E183">
        <v>189.89037433154999</v>
      </c>
      <c r="F183">
        <v>152.93939393938999</v>
      </c>
      <c r="G183">
        <v>125.71986531987</v>
      </c>
      <c r="I183" s="9">
        <f t="shared" si="15"/>
        <v>64.170509011679997</v>
      </c>
      <c r="J183" s="9">
        <f t="shared" si="16"/>
        <v>235.70298573975001</v>
      </c>
      <c r="K183" s="9">
        <f t="shared" si="17"/>
        <v>64.170509011679997</v>
      </c>
      <c r="L183" s="10">
        <f t="shared" si="14"/>
        <v>0.27225157462592969</v>
      </c>
      <c r="M183" s="10">
        <f t="shared" ref="M183:M241" si="20">L183+ABS($N$2)*A183</f>
        <v>0.27841659851550393</v>
      </c>
      <c r="P183" s="8">
        <f t="shared" si="19"/>
        <v>-23.947773809439905</v>
      </c>
    </row>
    <row r="184" spans="1:16" x14ac:dyDescent="0.2">
      <c r="A184" s="8">
        <v>91</v>
      </c>
      <c r="B184" s="8">
        <v>182</v>
      </c>
      <c r="D184">
        <v>390.59826203209002</v>
      </c>
      <c r="E184">
        <v>190.74732620321001</v>
      </c>
      <c r="F184">
        <v>152.75690235690001</v>
      </c>
      <c r="G184">
        <v>125.7494949495</v>
      </c>
      <c r="I184" s="9">
        <f t="shared" si="15"/>
        <v>64.997831253710004</v>
      </c>
      <c r="J184" s="9">
        <f t="shared" si="16"/>
        <v>237.84135967519001</v>
      </c>
      <c r="K184" s="9">
        <f t="shared" si="17"/>
        <v>64.997831253710004</v>
      </c>
      <c r="L184" s="10">
        <f t="shared" si="14"/>
        <v>0.27328228926404902</v>
      </c>
      <c r="M184" s="10">
        <f t="shared" si="20"/>
        <v>0.27948137405909051</v>
      </c>
      <c r="P184" s="8">
        <f t="shared" si="19"/>
        <v>-23.656919920286761</v>
      </c>
    </row>
    <row r="185" spans="1:16" x14ac:dyDescent="0.2">
      <c r="A185" s="8">
        <v>91.5</v>
      </c>
      <c r="B185" s="8">
        <v>183</v>
      </c>
      <c r="D185">
        <v>390.70320855615</v>
      </c>
      <c r="E185">
        <v>191.17446524063999</v>
      </c>
      <c r="F185">
        <v>153.18316498317</v>
      </c>
      <c r="G185">
        <v>125.74074074073999</v>
      </c>
      <c r="I185" s="9">
        <f t="shared" si="15"/>
        <v>65.433724499899995</v>
      </c>
      <c r="J185" s="9">
        <f t="shared" si="16"/>
        <v>237.52004357298</v>
      </c>
      <c r="K185" s="9">
        <f t="shared" si="17"/>
        <v>65.433724499899995</v>
      </c>
      <c r="L185" s="10">
        <f t="shared" si="14"/>
        <v>0.27548716948510893</v>
      </c>
      <c r="M185" s="10">
        <f t="shared" si="20"/>
        <v>0.28172031518561769</v>
      </c>
      <c r="P185" s="8">
        <f t="shared" si="19"/>
        <v>-23.045331179206336</v>
      </c>
    </row>
    <row r="186" spans="1:16" x14ac:dyDescent="0.2">
      <c r="A186" s="8">
        <v>92</v>
      </c>
      <c r="B186" s="8">
        <v>184</v>
      </c>
      <c r="D186">
        <v>390.48796791443999</v>
      </c>
      <c r="E186">
        <v>191.43983957219001</v>
      </c>
      <c r="F186">
        <v>153.21683501684001</v>
      </c>
      <c r="G186">
        <v>125.9898989899</v>
      </c>
      <c r="I186" s="9">
        <f t="shared" si="15"/>
        <v>65.449940582290012</v>
      </c>
      <c r="J186" s="9">
        <f t="shared" si="16"/>
        <v>237.27113289759998</v>
      </c>
      <c r="K186" s="9">
        <f t="shared" si="17"/>
        <v>65.449940582290012</v>
      </c>
      <c r="L186" s="10">
        <f t="shared" si="14"/>
        <v>0.27584451501960205</v>
      </c>
      <c r="M186" s="10">
        <f t="shared" si="20"/>
        <v>0.28211172162557807</v>
      </c>
      <c r="P186" s="8">
        <f t="shared" si="19"/>
        <v>-22.938414668973014</v>
      </c>
    </row>
    <row r="187" spans="1:16" x14ac:dyDescent="0.2">
      <c r="A187" s="8">
        <v>92.5</v>
      </c>
      <c r="B187" s="8">
        <v>185</v>
      </c>
      <c r="D187">
        <v>391.80013368983998</v>
      </c>
      <c r="E187">
        <v>192.04077540106999</v>
      </c>
      <c r="F187">
        <v>153.0430976431</v>
      </c>
      <c r="G187">
        <v>125.63771043771</v>
      </c>
      <c r="I187" s="9">
        <f t="shared" si="15"/>
        <v>66.403064963359995</v>
      </c>
      <c r="J187" s="9">
        <f t="shared" si="16"/>
        <v>238.75703604673998</v>
      </c>
      <c r="K187" s="9">
        <f t="shared" si="17"/>
        <v>66.403064963359995</v>
      </c>
      <c r="L187" s="10">
        <f t="shared" si="14"/>
        <v>0.27811982449958322</v>
      </c>
      <c r="M187" s="10">
        <f t="shared" si="20"/>
        <v>0.2844210920110265</v>
      </c>
      <c r="P187" s="8">
        <f t="shared" si="19"/>
        <v>-22.30758748464433</v>
      </c>
    </row>
    <row r="188" spans="1:16" x14ac:dyDescent="0.2">
      <c r="A188" s="8">
        <v>93</v>
      </c>
      <c r="B188" s="8">
        <v>186</v>
      </c>
      <c r="D188">
        <v>391.72010688043002</v>
      </c>
      <c r="E188">
        <v>194.07615230460999</v>
      </c>
      <c r="F188">
        <v>152.74410774411001</v>
      </c>
      <c r="G188">
        <v>125.57104377104</v>
      </c>
      <c r="I188" s="9">
        <f t="shared" si="15"/>
        <v>68.505108533569995</v>
      </c>
      <c r="J188" s="9">
        <f t="shared" si="16"/>
        <v>238.97599913632001</v>
      </c>
      <c r="K188" s="9">
        <f t="shared" si="17"/>
        <v>68.505108533569995</v>
      </c>
      <c r="L188" s="10">
        <f t="shared" si="14"/>
        <v>0.28666104036034329</v>
      </c>
      <c r="M188" s="10">
        <f t="shared" si="20"/>
        <v>0.29299636877725382</v>
      </c>
      <c r="P188" s="8">
        <f t="shared" si="19"/>
        <v>-19.965166480476153</v>
      </c>
    </row>
    <row r="189" spans="1:16" x14ac:dyDescent="0.2">
      <c r="A189" s="8">
        <v>93.5</v>
      </c>
      <c r="B189" s="8">
        <v>187</v>
      </c>
      <c r="D189">
        <v>390.73279893120002</v>
      </c>
      <c r="E189">
        <v>194.21376085503999</v>
      </c>
      <c r="F189">
        <v>152.53131313130999</v>
      </c>
      <c r="G189">
        <v>125.79057239057001</v>
      </c>
      <c r="I189" s="9">
        <f t="shared" si="15"/>
        <v>68.423188464469987</v>
      </c>
      <c r="J189" s="9">
        <f t="shared" si="16"/>
        <v>238.20148579989004</v>
      </c>
      <c r="K189" s="9">
        <f t="shared" si="17"/>
        <v>68.423188464469987</v>
      </c>
      <c r="L189" s="10">
        <f t="shared" si="14"/>
        <v>0.28724920936031195</v>
      </c>
      <c r="M189" s="10">
        <f t="shared" si="20"/>
        <v>0.29361859868268975</v>
      </c>
      <c r="P189" s="8">
        <f t="shared" si="19"/>
        <v>-19.795198275408421</v>
      </c>
    </row>
    <row r="190" spans="1:16" x14ac:dyDescent="0.2">
      <c r="A190" s="8">
        <v>94</v>
      </c>
      <c r="B190" s="8">
        <v>188</v>
      </c>
      <c r="D190">
        <v>389.95190380762</v>
      </c>
      <c r="E190">
        <v>194.81028724115001</v>
      </c>
      <c r="F190">
        <v>152.85993265993</v>
      </c>
      <c r="G190">
        <v>125.71919191919</v>
      </c>
      <c r="I190" s="9">
        <f t="shared" si="15"/>
        <v>69.091095321960012</v>
      </c>
      <c r="J190" s="9">
        <f t="shared" si="16"/>
        <v>237.09197114769</v>
      </c>
      <c r="K190" s="9">
        <f t="shared" si="17"/>
        <v>69.091095321960012</v>
      </c>
      <c r="L190" s="10">
        <f t="shared" si="14"/>
        <v>0.29141052304517556</v>
      </c>
      <c r="M190" s="10">
        <f t="shared" si="20"/>
        <v>0.29781397327302062</v>
      </c>
      <c r="P190" s="8">
        <f t="shared" si="19"/>
        <v>-18.649190533775144</v>
      </c>
    </row>
    <row r="191" spans="1:16" x14ac:dyDescent="0.2">
      <c r="A191" s="8">
        <v>94.5</v>
      </c>
      <c r="B191" s="8">
        <v>189</v>
      </c>
      <c r="D191">
        <v>392.29604822505001</v>
      </c>
      <c r="E191">
        <v>194.76423308774</v>
      </c>
      <c r="F191">
        <v>153.33670033670001</v>
      </c>
      <c r="G191">
        <v>125.74410774411</v>
      </c>
      <c r="I191" s="9">
        <f t="shared" si="15"/>
        <v>69.020125343629999</v>
      </c>
      <c r="J191" s="9">
        <f t="shared" si="16"/>
        <v>238.95934788835001</v>
      </c>
      <c r="K191" s="9">
        <f t="shared" si="17"/>
        <v>69.020125343629999</v>
      </c>
      <c r="L191" s="10">
        <f t="shared" si="14"/>
        <v>0.28883626421628239</v>
      </c>
      <c r="M191" s="10">
        <f t="shared" si="20"/>
        <v>0.2952737753495947</v>
      </c>
      <c r="P191" s="8">
        <f t="shared" si="19"/>
        <v>-19.34307052538211</v>
      </c>
    </row>
    <row r="192" spans="1:16" x14ac:dyDescent="0.2">
      <c r="A192" s="8">
        <v>95</v>
      </c>
      <c r="B192" s="8">
        <v>190</v>
      </c>
      <c r="D192">
        <v>374.02545210984999</v>
      </c>
      <c r="E192">
        <v>190.6034829203</v>
      </c>
      <c r="F192">
        <v>152.74814814814999</v>
      </c>
      <c r="G192">
        <v>125.4404040404</v>
      </c>
      <c r="I192" s="9">
        <f t="shared" si="15"/>
        <v>65.163078879899999</v>
      </c>
      <c r="J192" s="9">
        <f t="shared" si="16"/>
        <v>221.2773039617</v>
      </c>
      <c r="K192" s="9">
        <f t="shared" si="17"/>
        <v>65.163078879899999</v>
      </c>
      <c r="L192" s="10">
        <f t="shared" si="14"/>
        <v>0.29448604856094424</v>
      </c>
      <c r="M192" s="10">
        <f t="shared" si="20"/>
        <v>0.30095762059972381</v>
      </c>
      <c r="P192" s="8">
        <f t="shared" si="19"/>
        <v>-17.790472415571905</v>
      </c>
    </row>
    <row r="193" spans="1:16" x14ac:dyDescent="0.2">
      <c r="A193" s="8">
        <v>95.5</v>
      </c>
      <c r="B193" s="8">
        <v>191</v>
      </c>
      <c r="D193">
        <v>379.64768921633998</v>
      </c>
      <c r="E193">
        <v>191.77494976557</v>
      </c>
      <c r="F193">
        <v>152.63030303030001</v>
      </c>
      <c r="G193">
        <v>125.4962962963</v>
      </c>
      <c r="I193" s="9">
        <f t="shared" si="15"/>
        <v>66.278653469269997</v>
      </c>
      <c r="J193" s="9">
        <f t="shared" si="16"/>
        <v>227.01738618603997</v>
      </c>
      <c r="K193" s="9">
        <f t="shared" si="17"/>
        <v>66.278653469269997</v>
      </c>
      <c r="L193" s="10">
        <f t="shared" si="14"/>
        <v>0.29195408590844607</v>
      </c>
      <c r="M193" s="10">
        <f t="shared" si="20"/>
        <v>0.2984597188526929</v>
      </c>
      <c r="P193" s="8">
        <f t="shared" si="19"/>
        <v>-18.47279879151321</v>
      </c>
    </row>
    <row r="194" spans="1:16" x14ac:dyDescent="0.2">
      <c r="A194" s="8">
        <v>96</v>
      </c>
      <c r="B194" s="8">
        <v>192</v>
      </c>
      <c r="D194">
        <v>384.04889484260002</v>
      </c>
      <c r="E194">
        <v>192.11051574012001</v>
      </c>
      <c r="F194">
        <v>153.59191919192</v>
      </c>
      <c r="G194">
        <v>125.47407407407</v>
      </c>
      <c r="I194" s="9">
        <f t="shared" si="15"/>
        <v>66.636441666050004</v>
      </c>
      <c r="J194" s="9">
        <f t="shared" si="16"/>
        <v>230.45697565068002</v>
      </c>
      <c r="K194" s="9">
        <f t="shared" si="17"/>
        <v>66.636441666050004</v>
      </c>
      <c r="L194" s="10">
        <f t="shared" ref="L194:L257" si="21">K194/J194</f>
        <v>0.28914916321324802</v>
      </c>
      <c r="M194" s="10">
        <f t="shared" si="20"/>
        <v>0.29568885706296211</v>
      </c>
      <c r="P194" s="8">
        <f t="shared" si="19"/>
        <v>-19.229686881874862</v>
      </c>
    </row>
    <row r="195" spans="1:16" x14ac:dyDescent="0.2">
      <c r="A195" s="8">
        <v>96.5</v>
      </c>
      <c r="B195" s="8">
        <v>193</v>
      </c>
      <c r="D195">
        <v>382.65438713998998</v>
      </c>
      <c r="E195">
        <v>191.98258539853001</v>
      </c>
      <c r="F195">
        <v>153.21750841751</v>
      </c>
      <c r="G195">
        <v>125.46868686869</v>
      </c>
      <c r="I195" s="9">
        <f t="shared" ref="I195:I241" si="22">E195-G195</f>
        <v>66.513898529840006</v>
      </c>
      <c r="J195" s="9">
        <f t="shared" ref="J195:J241" si="23">D195-F195</f>
        <v>229.43687872247997</v>
      </c>
      <c r="K195" s="9">
        <f t="shared" ref="K195:K258" si="24">I195*1</f>
        <v>66.513898529840006</v>
      </c>
      <c r="L195" s="10">
        <f t="shared" si="21"/>
        <v>0.28990064239103097</v>
      </c>
      <c r="M195" s="10">
        <f t="shared" si="20"/>
        <v>0.29647439714621232</v>
      </c>
      <c r="P195" s="8">
        <f t="shared" ref="P195:P241" si="25">(M195-$O$2)/$O$2*100</f>
        <v>-19.015108899054738</v>
      </c>
    </row>
    <row r="196" spans="1:16" x14ac:dyDescent="0.2">
      <c r="A196" s="8">
        <v>97</v>
      </c>
      <c r="B196" s="8">
        <v>194</v>
      </c>
      <c r="D196">
        <v>381.78566644339998</v>
      </c>
      <c r="E196">
        <v>191.35365036838999</v>
      </c>
      <c r="F196">
        <v>153.44646464646999</v>
      </c>
      <c r="G196">
        <v>125.75353535354</v>
      </c>
      <c r="I196" s="9">
        <f t="shared" si="22"/>
        <v>65.60011501484999</v>
      </c>
      <c r="J196" s="9">
        <f t="shared" si="23"/>
        <v>228.33920179692998</v>
      </c>
      <c r="K196" s="9">
        <f t="shared" si="24"/>
        <v>65.60011501484999</v>
      </c>
      <c r="L196" s="10">
        <f t="shared" si="21"/>
        <v>0.28729238999963946</v>
      </c>
      <c r="M196" s="10">
        <f t="shared" si="20"/>
        <v>0.29390020566028807</v>
      </c>
      <c r="P196" s="8">
        <f t="shared" si="25"/>
        <v>-19.718274565861861</v>
      </c>
    </row>
    <row r="197" spans="1:16" x14ac:dyDescent="0.2">
      <c r="A197" s="8">
        <v>97.5</v>
      </c>
      <c r="B197" s="8">
        <v>195</v>
      </c>
      <c r="D197">
        <v>377.78566644339998</v>
      </c>
      <c r="E197">
        <v>188.96651038178001</v>
      </c>
      <c r="F197">
        <v>152.41010101009999</v>
      </c>
      <c r="G197">
        <v>125.32188552189</v>
      </c>
      <c r="I197" s="9">
        <f t="shared" si="22"/>
        <v>63.644624859890016</v>
      </c>
      <c r="J197" s="9">
        <f t="shared" si="23"/>
        <v>225.37556543329998</v>
      </c>
      <c r="K197" s="9">
        <f t="shared" si="24"/>
        <v>63.644624859890016</v>
      </c>
      <c r="L197" s="10">
        <f t="shared" si="21"/>
        <v>0.28239363365557779</v>
      </c>
      <c r="M197" s="10">
        <f t="shared" si="20"/>
        <v>0.28903551022169366</v>
      </c>
      <c r="P197" s="8">
        <f t="shared" si="25"/>
        <v>-21.047113865734158</v>
      </c>
    </row>
    <row r="198" spans="1:16" x14ac:dyDescent="0.2">
      <c r="A198" s="8">
        <v>98</v>
      </c>
      <c r="B198" s="8">
        <v>196</v>
      </c>
      <c r="D198">
        <v>370.42665773610003</v>
      </c>
      <c r="E198">
        <v>187.34628265238001</v>
      </c>
      <c r="F198">
        <v>152.74882154881999</v>
      </c>
      <c r="G198">
        <v>125.56565656566001</v>
      </c>
      <c r="I198" s="9">
        <f t="shared" si="22"/>
        <v>61.780626086720005</v>
      </c>
      <c r="J198" s="9">
        <f t="shared" si="23"/>
        <v>217.67783618728004</v>
      </c>
      <c r="K198" s="9">
        <f t="shared" si="24"/>
        <v>61.780626086720005</v>
      </c>
      <c r="L198" s="10">
        <f t="shared" si="21"/>
        <v>0.283816796274871</v>
      </c>
      <c r="M198" s="10">
        <f t="shared" si="20"/>
        <v>0.29049273374645412</v>
      </c>
      <c r="P198" s="8">
        <f t="shared" si="25"/>
        <v>-20.649058959143822</v>
      </c>
    </row>
    <row r="199" spans="1:16" x14ac:dyDescent="0.2">
      <c r="A199" s="8">
        <v>98.5</v>
      </c>
      <c r="B199" s="8">
        <v>197</v>
      </c>
      <c r="D199">
        <v>378.16744809109002</v>
      </c>
      <c r="E199">
        <v>189.43804420629999</v>
      </c>
      <c r="F199">
        <v>153.16902356902</v>
      </c>
      <c r="G199">
        <v>125.67138047138</v>
      </c>
      <c r="I199" s="9">
        <f t="shared" si="22"/>
        <v>63.766663734919987</v>
      </c>
      <c r="J199" s="9">
        <f t="shared" si="23"/>
        <v>224.99842452207002</v>
      </c>
      <c r="K199" s="9">
        <f t="shared" si="24"/>
        <v>63.766663734919987</v>
      </c>
      <c r="L199" s="10">
        <f t="shared" si="21"/>
        <v>0.28340937884507333</v>
      </c>
      <c r="M199" s="10">
        <f t="shared" si="20"/>
        <v>0.29011937722212372</v>
      </c>
      <c r="P199" s="8">
        <f t="shared" si="25"/>
        <v>-20.751044957785766</v>
      </c>
    </row>
    <row r="200" spans="1:16" x14ac:dyDescent="0.2">
      <c r="A200" s="8">
        <v>99</v>
      </c>
      <c r="B200" s="8">
        <v>198</v>
      </c>
      <c r="D200">
        <v>378.95914266577</v>
      </c>
      <c r="E200">
        <v>189.28064300067001</v>
      </c>
      <c r="F200">
        <v>152.65252525253001</v>
      </c>
      <c r="G200">
        <v>126.09090909091</v>
      </c>
      <c r="I200" s="9">
        <f t="shared" si="22"/>
        <v>63.189733909760008</v>
      </c>
      <c r="J200" s="9">
        <f t="shared" si="23"/>
        <v>226.30661741323999</v>
      </c>
      <c r="K200" s="9">
        <f t="shared" si="24"/>
        <v>63.189733909760008</v>
      </c>
      <c r="L200" s="10">
        <f t="shared" si="21"/>
        <v>0.27922176837796309</v>
      </c>
      <c r="M200" s="10">
        <f t="shared" si="20"/>
        <v>0.28596582766048073</v>
      </c>
      <c r="P200" s="8">
        <f t="shared" si="25"/>
        <v>-21.885627782373302</v>
      </c>
    </row>
    <row r="201" spans="1:16" x14ac:dyDescent="0.2">
      <c r="A201" s="8">
        <v>99.5</v>
      </c>
      <c r="B201" s="8">
        <v>199</v>
      </c>
      <c r="D201">
        <v>382.58137977227</v>
      </c>
      <c r="E201">
        <v>190.22906898861001</v>
      </c>
      <c r="F201">
        <v>153.18114478115001</v>
      </c>
      <c r="G201">
        <v>125.47003367003001</v>
      </c>
      <c r="I201" s="9">
        <f t="shared" si="22"/>
        <v>64.759035318580004</v>
      </c>
      <c r="J201" s="9">
        <f t="shared" si="23"/>
        <v>229.40023499111999</v>
      </c>
      <c r="K201" s="9">
        <f t="shared" si="24"/>
        <v>64.759035318580004</v>
      </c>
      <c r="L201" s="10">
        <f t="shared" si="21"/>
        <v>0.28229716208044342</v>
      </c>
      <c r="M201" s="10">
        <f t="shared" si="20"/>
        <v>0.28907528226842832</v>
      </c>
      <c r="P201" s="8">
        <f t="shared" si="25"/>
        <v>-21.036249740856348</v>
      </c>
    </row>
    <row r="202" spans="1:16" x14ac:dyDescent="0.2">
      <c r="A202" s="8">
        <v>100</v>
      </c>
      <c r="B202" s="8">
        <v>200</v>
      </c>
      <c r="D202">
        <v>378.04822505022997</v>
      </c>
      <c r="E202">
        <v>189.43067649029001</v>
      </c>
      <c r="F202">
        <v>152.94612794612999</v>
      </c>
      <c r="G202">
        <v>125.45050505051</v>
      </c>
      <c r="I202" s="9">
        <f t="shared" si="22"/>
        <v>63.980171439780008</v>
      </c>
      <c r="J202" s="9">
        <f t="shared" si="23"/>
        <v>225.10209710409998</v>
      </c>
      <c r="K202" s="9">
        <f t="shared" si="24"/>
        <v>63.980171439780008</v>
      </c>
      <c r="L202" s="10">
        <f t="shared" si="21"/>
        <v>0.2842273451152787</v>
      </c>
      <c r="M202" s="10">
        <f t="shared" si="20"/>
        <v>0.29103952620873086</v>
      </c>
      <c r="P202" s="8">
        <f t="shared" si="25"/>
        <v>-20.499697231997914</v>
      </c>
    </row>
    <row r="203" spans="1:16" x14ac:dyDescent="0.2">
      <c r="A203" s="8">
        <v>100.5</v>
      </c>
      <c r="B203" s="8">
        <v>201</v>
      </c>
      <c r="D203">
        <v>378.48158070997999</v>
      </c>
      <c r="E203">
        <v>189.88278633624</v>
      </c>
      <c r="F203">
        <v>153.00269360268999</v>
      </c>
      <c r="G203">
        <v>125.36430976430999</v>
      </c>
      <c r="I203" s="9">
        <f t="shared" si="22"/>
        <v>64.518476571930009</v>
      </c>
      <c r="J203" s="9">
        <f t="shared" si="23"/>
        <v>225.47888710729001</v>
      </c>
      <c r="K203" s="9">
        <f t="shared" si="24"/>
        <v>64.518476571930009</v>
      </c>
      <c r="L203" s="10">
        <f t="shared" si="21"/>
        <v>0.28613976855948409</v>
      </c>
      <c r="M203" s="10">
        <f t="shared" si="20"/>
        <v>0.29298601055840351</v>
      </c>
      <c r="P203" s="8">
        <f t="shared" si="25"/>
        <v>-19.967995929607905</v>
      </c>
    </row>
    <row r="204" spans="1:16" x14ac:dyDescent="0.2">
      <c r="A204" s="8">
        <v>101</v>
      </c>
      <c r="B204" s="8">
        <v>202</v>
      </c>
      <c r="D204">
        <v>374.87120701280998</v>
      </c>
      <c r="E204">
        <v>187.98516520566</v>
      </c>
      <c r="F204">
        <v>153.61818181818001</v>
      </c>
      <c r="G204">
        <v>125.48888888889</v>
      </c>
      <c r="I204" s="9">
        <f t="shared" si="22"/>
        <v>62.496276316769993</v>
      </c>
      <c r="J204" s="9">
        <f t="shared" si="23"/>
        <v>221.25302519462997</v>
      </c>
      <c r="K204" s="9">
        <f t="shared" si="24"/>
        <v>62.496276316769993</v>
      </c>
      <c r="L204" s="10">
        <f t="shared" si="21"/>
        <v>0.28246518329769188</v>
      </c>
      <c r="M204" s="10">
        <f t="shared" si="20"/>
        <v>0.28934548620207856</v>
      </c>
      <c r="P204" s="8">
        <f t="shared" si="25"/>
        <v>-20.962440884670634</v>
      </c>
    </row>
    <row r="205" spans="1:16" x14ac:dyDescent="0.2">
      <c r="A205" s="8">
        <v>101.5</v>
      </c>
      <c r="B205" s="8">
        <v>203</v>
      </c>
      <c r="D205">
        <v>376.57518543493001</v>
      </c>
      <c r="E205">
        <v>188.33648010789</v>
      </c>
      <c r="F205">
        <v>152.98316498317001</v>
      </c>
      <c r="G205">
        <v>125.44242424242</v>
      </c>
      <c r="I205" s="9">
        <f t="shared" si="22"/>
        <v>62.894055865469994</v>
      </c>
      <c r="J205" s="9">
        <f t="shared" si="23"/>
        <v>223.59202045175999</v>
      </c>
      <c r="K205" s="9">
        <f t="shared" si="24"/>
        <v>62.894055865469994</v>
      </c>
      <c r="L205" s="10">
        <f t="shared" si="21"/>
        <v>0.28128935790461002</v>
      </c>
      <c r="M205" s="10">
        <f t="shared" si="20"/>
        <v>0.28820372171446396</v>
      </c>
      <c r="P205" s="8">
        <f t="shared" si="25"/>
        <v>-21.274325059433945</v>
      </c>
    </row>
    <row r="206" spans="1:16" x14ac:dyDescent="0.2">
      <c r="A206" s="8">
        <v>102</v>
      </c>
      <c r="B206" s="8">
        <v>204</v>
      </c>
      <c r="D206">
        <v>375.64801078893998</v>
      </c>
      <c r="E206">
        <v>188.22993931221001</v>
      </c>
      <c r="F206">
        <v>152.84107744107999</v>
      </c>
      <c r="G206">
        <v>124.79461279461</v>
      </c>
      <c r="I206" s="9">
        <f t="shared" si="22"/>
        <v>63.435326517600004</v>
      </c>
      <c r="J206" s="9">
        <f t="shared" si="23"/>
        <v>222.80693334786</v>
      </c>
      <c r="K206" s="9">
        <f t="shared" si="24"/>
        <v>63.435326517600004</v>
      </c>
      <c r="L206" s="10">
        <f t="shared" si="21"/>
        <v>0.2847098407775347</v>
      </c>
      <c r="M206" s="10">
        <f t="shared" si="20"/>
        <v>0.29165826549285595</v>
      </c>
      <c r="P206" s="8">
        <f t="shared" si="25"/>
        <v>-20.330682524397261</v>
      </c>
    </row>
    <row r="207" spans="1:16" x14ac:dyDescent="0.2">
      <c r="A207" s="8">
        <v>102.5</v>
      </c>
      <c r="B207" s="8">
        <v>205</v>
      </c>
      <c r="D207">
        <v>374.51112609575</v>
      </c>
      <c r="E207">
        <v>187.00337154416999</v>
      </c>
      <c r="F207">
        <v>153.55488215488</v>
      </c>
      <c r="G207">
        <v>125.23501683502001</v>
      </c>
      <c r="I207" s="9">
        <f t="shared" si="22"/>
        <v>61.768354709149989</v>
      </c>
      <c r="J207" s="9">
        <f t="shared" si="23"/>
        <v>220.95624394087</v>
      </c>
      <c r="K207" s="9">
        <f t="shared" si="24"/>
        <v>61.768354709149989</v>
      </c>
      <c r="L207" s="10">
        <f t="shared" si="21"/>
        <v>0.27955016616629214</v>
      </c>
      <c r="M207" s="10">
        <f t="shared" si="20"/>
        <v>0.28653265178708065</v>
      </c>
      <c r="P207" s="8">
        <f t="shared" si="25"/>
        <v>-21.730794209532121</v>
      </c>
    </row>
    <row r="208" spans="1:16" x14ac:dyDescent="0.2">
      <c r="A208" s="8">
        <v>103</v>
      </c>
      <c r="B208" s="8">
        <v>206</v>
      </c>
      <c r="D208">
        <v>375.26972353337999</v>
      </c>
      <c r="E208">
        <v>187.66756574511001</v>
      </c>
      <c r="F208">
        <v>152.99191919192</v>
      </c>
      <c r="G208">
        <v>125.10909090909</v>
      </c>
      <c r="I208" s="9">
        <f t="shared" si="22"/>
        <v>62.558474836020011</v>
      </c>
      <c r="J208" s="9">
        <f t="shared" si="23"/>
        <v>222.27780434145998</v>
      </c>
      <c r="K208" s="9">
        <f t="shared" si="24"/>
        <v>62.558474836020011</v>
      </c>
      <c r="L208" s="10">
        <f t="shared" si="21"/>
        <v>0.28144274243378153</v>
      </c>
      <c r="M208" s="10">
        <f t="shared" si="20"/>
        <v>0.28845928896003731</v>
      </c>
      <c r="P208" s="8">
        <f t="shared" si="25"/>
        <v>-21.20451435823697</v>
      </c>
    </row>
    <row r="209" spans="1:16" x14ac:dyDescent="0.2">
      <c r="A209" s="8">
        <v>103.5</v>
      </c>
      <c r="B209" s="8">
        <v>207</v>
      </c>
      <c r="D209">
        <v>366.07687120701002</v>
      </c>
      <c r="E209">
        <v>185.66014834794001</v>
      </c>
      <c r="F209">
        <v>153.03030303029999</v>
      </c>
      <c r="G209">
        <v>125.62895622896001</v>
      </c>
      <c r="I209" s="9">
        <f t="shared" si="22"/>
        <v>60.031192118980002</v>
      </c>
      <c r="J209" s="9">
        <f t="shared" si="23"/>
        <v>213.04656817671002</v>
      </c>
      <c r="K209" s="9">
        <f t="shared" si="24"/>
        <v>60.031192118980002</v>
      </c>
      <c r="L209" s="10">
        <f t="shared" si="21"/>
        <v>0.28177497827229742</v>
      </c>
      <c r="M209" s="10">
        <f t="shared" si="20"/>
        <v>0.28882558570402045</v>
      </c>
      <c r="P209" s="8">
        <f t="shared" si="25"/>
        <v>-21.104456807879675</v>
      </c>
    </row>
    <row r="210" spans="1:16" x14ac:dyDescent="0.2">
      <c r="A210" s="8">
        <v>104</v>
      </c>
      <c r="B210" s="8">
        <v>208</v>
      </c>
      <c r="D210">
        <v>367.76158495635002</v>
      </c>
      <c r="E210">
        <v>186.71255876427</v>
      </c>
      <c r="F210">
        <v>152.74478114478001</v>
      </c>
      <c r="G210">
        <v>125.39595959595999</v>
      </c>
      <c r="I210" s="9">
        <f t="shared" si="22"/>
        <v>61.316599168310006</v>
      </c>
      <c r="J210" s="9">
        <f t="shared" si="23"/>
        <v>215.01680381157001</v>
      </c>
      <c r="K210" s="9">
        <f t="shared" si="24"/>
        <v>61.316599168310006</v>
      </c>
      <c r="L210" s="10">
        <f t="shared" si="21"/>
        <v>0.28517119630354476</v>
      </c>
      <c r="M210" s="10">
        <f t="shared" si="20"/>
        <v>0.29225586464073505</v>
      </c>
      <c r="P210" s="8">
        <f t="shared" si="25"/>
        <v>-20.167442452475843</v>
      </c>
    </row>
    <row r="211" spans="1:16" x14ac:dyDescent="0.2">
      <c r="A211" s="8">
        <v>104.5</v>
      </c>
      <c r="B211" s="8">
        <v>209</v>
      </c>
      <c r="D211">
        <v>372.45265278711003</v>
      </c>
      <c r="E211">
        <v>188.19946272665999</v>
      </c>
      <c r="F211">
        <v>152.46936026936001</v>
      </c>
      <c r="G211">
        <v>125.30101010100999</v>
      </c>
      <c r="I211" s="9">
        <f t="shared" si="22"/>
        <v>62.898452625649995</v>
      </c>
      <c r="J211" s="9">
        <f t="shared" si="23"/>
        <v>219.98329251775002</v>
      </c>
      <c r="K211" s="9">
        <f t="shared" si="24"/>
        <v>62.898452625649995</v>
      </c>
      <c r="L211" s="10">
        <f t="shared" si="21"/>
        <v>0.28592377132720131</v>
      </c>
      <c r="M211" s="10">
        <f t="shared" si="20"/>
        <v>0.29304250056985887</v>
      </c>
      <c r="P211" s="8">
        <f t="shared" si="25"/>
        <v>-19.952565128601009</v>
      </c>
    </row>
    <row r="212" spans="1:16" x14ac:dyDescent="0.2">
      <c r="A212" s="8">
        <v>105</v>
      </c>
      <c r="B212" s="8">
        <v>210</v>
      </c>
      <c r="D212">
        <v>371.99597044997</v>
      </c>
      <c r="E212">
        <v>187.86769644056</v>
      </c>
      <c r="F212">
        <v>152.70774410774001</v>
      </c>
      <c r="G212">
        <v>125.58787878788</v>
      </c>
      <c r="I212" s="9">
        <f t="shared" si="22"/>
        <v>62.279817652679995</v>
      </c>
      <c r="J212" s="9">
        <f t="shared" si="23"/>
        <v>219.28822634222999</v>
      </c>
      <c r="K212" s="9">
        <f t="shared" si="24"/>
        <v>62.279817652679995</v>
      </c>
      <c r="L212" s="10">
        <f t="shared" si="21"/>
        <v>0.28400894426262363</v>
      </c>
      <c r="M212" s="10">
        <f t="shared" si="20"/>
        <v>0.29116173441074844</v>
      </c>
      <c r="P212" s="8">
        <f t="shared" si="25"/>
        <v>-20.466314862298198</v>
      </c>
    </row>
    <row r="213" spans="1:16" x14ac:dyDescent="0.2">
      <c r="A213" s="8">
        <v>105.5</v>
      </c>
      <c r="B213" s="8">
        <v>211</v>
      </c>
      <c r="D213">
        <v>368.98589657487997</v>
      </c>
      <c r="E213">
        <v>187.46004029549999</v>
      </c>
      <c r="F213">
        <v>152.34478114478</v>
      </c>
      <c r="G213">
        <v>125.41885521886</v>
      </c>
      <c r="I213" s="9">
        <f t="shared" si="22"/>
        <v>62.041185076639991</v>
      </c>
      <c r="J213" s="9">
        <f t="shared" si="23"/>
        <v>216.64111543009997</v>
      </c>
      <c r="K213" s="9">
        <f t="shared" si="24"/>
        <v>62.041185076639991</v>
      </c>
      <c r="L213" s="10">
        <f t="shared" si="21"/>
        <v>0.28637770329731244</v>
      </c>
      <c r="M213" s="10">
        <f t="shared" si="20"/>
        <v>0.29356455435090451</v>
      </c>
      <c r="P213" s="8">
        <f t="shared" si="25"/>
        <v>-19.809961015012181</v>
      </c>
    </row>
    <row r="214" spans="1:16" x14ac:dyDescent="0.2">
      <c r="A214" s="8">
        <v>106</v>
      </c>
      <c r="B214" s="8">
        <v>212</v>
      </c>
      <c r="D214">
        <v>371.57219610477</v>
      </c>
      <c r="E214">
        <v>188.12760241773</v>
      </c>
      <c r="F214">
        <v>153.12121212120999</v>
      </c>
      <c r="G214">
        <v>125.37912457913001</v>
      </c>
      <c r="I214" s="9">
        <f t="shared" si="22"/>
        <v>62.748477838599996</v>
      </c>
      <c r="J214" s="9">
        <f t="shared" si="23"/>
        <v>218.45098398356001</v>
      </c>
      <c r="K214" s="9">
        <f t="shared" si="24"/>
        <v>62.748477838599996</v>
      </c>
      <c r="L214" s="10">
        <f t="shared" si="21"/>
        <v>0.28724282534393281</v>
      </c>
      <c r="M214" s="10">
        <f t="shared" si="20"/>
        <v>0.29446373730299213</v>
      </c>
      <c r="P214" s="8">
        <f t="shared" si="25"/>
        <v>-19.564340367308393</v>
      </c>
    </row>
    <row r="215" spans="1:16" x14ac:dyDescent="0.2">
      <c r="A215" s="8">
        <v>106.5</v>
      </c>
      <c r="B215" s="8">
        <v>213</v>
      </c>
      <c r="D215">
        <v>371.59368703828</v>
      </c>
      <c r="E215">
        <v>188.56950973808</v>
      </c>
      <c r="F215">
        <v>152.55555555556001</v>
      </c>
      <c r="G215">
        <v>125.06127946127999</v>
      </c>
      <c r="I215" s="9">
        <f t="shared" si="22"/>
        <v>63.508230276800006</v>
      </c>
      <c r="J215" s="9">
        <f t="shared" si="23"/>
        <v>219.03813148271999</v>
      </c>
      <c r="K215" s="9">
        <f t="shared" si="24"/>
        <v>63.508230276800006</v>
      </c>
      <c r="L215" s="10">
        <f t="shared" si="21"/>
        <v>0.28994143552493823</v>
      </c>
      <c r="M215" s="10">
        <f t="shared" si="20"/>
        <v>0.29719640838946482</v>
      </c>
      <c r="P215" s="8">
        <f t="shared" si="25"/>
        <v>-18.817884442335043</v>
      </c>
    </row>
    <row r="216" spans="1:16" x14ac:dyDescent="0.2">
      <c r="A216" s="8">
        <v>107</v>
      </c>
      <c r="B216" s="8">
        <v>214</v>
      </c>
      <c r="D216">
        <v>372.28676964405997</v>
      </c>
      <c r="E216">
        <v>188.80456682337001</v>
      </c>
      <c r="F216">
        <v>152.50505050505001</v>
      </c>
      <c r="G216">
        <v>125.07205387205001</v>
      </c>
      <c r="I216" s="9">
        <f t="shared" si="22"/>
        <v>63.732512951320004</v>
      </c>
      <c r="J216" s="9">
        <f t="shared" si="23"/>
        <v>219.78171913900997</v>
      </c>
      <c r="K216" s="9">
        <f t="shared" si="24"/>
        <v>63.732512951320004</v>
      </c>
      <c r="L216" s="10">
        <f t="shared" si="21"/>
        <v>0.28998095565450449</v>
      </c>
      <c r="M216" s="10">
        <f t="shared" si="20"/>
        <v>0.29726998942449834</v>
      </c>
      <c r="P216" s="8">
        <f t="shared" si="25"/>
        <v>-18.797785060511032</v>
      </c>
    </row>
    <row r="217" spans="1:16" x14ac:dyDescent="0.2">
      <c r="A217" s="8">
        <v>107.5</v>
      </c>
      <c r="B217" s="8">
        <v>215</v>
      </c>
      <c r="D217">
        <v>361.26662189388998</v>
      </c>
      <c r="E217">
        <v>186.22028206850001</v>
      </c>
      <c r="F217">
        <v>152.57239057238999</v>
      </c>
      <c r="G217">
        <v>125.61885521886001</v>
      </c>
      <c r="I217" s="9">
        <f t="shared" si="22"/>
        <v>60.601426849640006</v>
      </c>
      <c r="J217" s="9">
        <f t="shared" si="23"/>
        <v>208.69423132149998</v>
      </c>
      <c r="K217" s="9">
        <f t="shared" si="24"/>
        <v>60.601426849640006</v>
      </c>
      <c r="L217" s="10">
        <f t="shared" si="21"/>
        <v>0.29038381399379276</v>
      </c>
      <c r="M217" s="10">
        <f t="shared" si="20"/>
        <v>0.29770690866925387</v>
      </c>
      <c r="P217" s="8">
        <f t="shared" si="25"/>
        <v>-18.678436280997424</v>
      </c>
    </row>
    <row r="218" spans="1:16" x14ac:dyDescent="0.2">
      <c r="A218" s="8">
        <v>108</v>
      </c>
      <c r="B218" s="8">
        <v>216</v>
      </c>
      <c r="D218">
        <v>364.29147078576</v>
      </c>
      <c r="E218">
        <v>187.03290799193999</v>
      </c>
      <c r="F218">
        <v>151.71515151515001</v>
      </c>
      <c r="G218">
        <v>125.1468013468</v>
      </c>
      <c r="I218" s="9">
        <f t="shared" si="22"/>
        <v>61.886106645139989</v>
      </c>
      <c r="J218" s="9">
        <f t="shared" si="23"/>
        <v>212.57631927060999</v>
      </c>
      <c r="K218" s="9">
        <f t="shared" si="24"/>
        <v>61.886106645139989</v>
      </c>
      <c r="L218" s="10">
        <f t="shared" si="21"/>
        <v>0.29112418004734986</v>
      </c>
      <c r="M218" s="10">
        <f t="shared" si="20"/>
        <v>0.29848133562827822</v>
      </c>
      <c r="P218" s="8">
        <f t="shared" si="25"/>
        <v>-18.466893957120824</v>
      </c>
    </row>
    <row r="219" spans="1:16" x14ac:dyDescent="0.2">
      <c r="A219" s="8">
        <v>108.5</v>
      </c>
      <c r="B219" s="8">
        <v>217</v>
      </c>
      <c r="D219">
        <v>366.59301544661002</v>
      </c>
      <c r="E219">
        <v>188.56883814641</v>
      </c>
      <c r="F219">
        <v>152.22154882154999</v>
      </c>
      <c r="G219">
        <v>125.46397306397</v>
      </c>
      <c r="I219" s="9">
        <f t="shared" si="22"/>
        <v>63.10486508244</v>
      </c>
      <c r="J219" s="9">
        <f t="shared" si="23"/>
        <v>214.37146662506004</v>
      </c>
      <c r="K219" s="9">
        <f t="shared" si="24"/>
        <v>63.10486508244</v>
      </c>
      <c r="L219" s="10">
        <f t="shared" si="21"/>
        <v>0.29437156948136045</v>
      </c>
      <c r="M219" s="10">
        <f t="shared" si="20"/>
        <v>0.30176278596775608</v>
      </c>
      <c r="P219" s="8">
        <f t="shared" si="25"/>
        <v>-17.570533593616265</v>
      </c>
    </row>
    <row r="220" spans="1:16" x14ac:dyDescent="0.2">
      <c r="A220" s="8">
        <v>109</v>
      </c>
      <c r="B220" s="8">
        <v>218</v>
      </c>
      <c r="D220">
        <v>367.49697783748002</v>
      </c>
      <c r="E220">
        <v>188.98253861652</v>
      </c>
      <c r="F220">
        <v>151.98653198653</v>
      </c>
      <c r="G220">
        <v>125.10909090909</v>
      </c>
      <c r="I220" s="9">
        <f t="shared" si="22"/>
        <v>63.873447707430003</v>
      </c>
      <c r="J220" s="9">
        <f t="shared" si="23"/>
        <v>215.51044585095002</v>
      </c>
      <c r="K220" s="9">
        <f t="shared" si="24"/>
        <v>63.873447707430003</v>
      </c>
      <c r="L220" s="10">
        <f t="shared" si="21"/>
        <v>0.29638214266238283</v>
      </c>
      <c r="M220" s="10">
        <f t="shared" si="20"/>
        <v>0.30380742005424571</v>
      </c>
      <c r="P220" s="8">
        <f t="shared" si="25"/>
        <v>-17.012021727399425</v>
      </c>
    </row>
    <row r="221" spans="1:16" x14ac:dyDescent="0.2">
      <c r="A221" s="8">
        <v>109.5</v>
      </c>
      <c r="B221" s="8">
        <v>219</v>
      </c>
      <c r="D221">
        <v>369.63666890530999</v>
      </c>
      <c r="E221">
        <v>189.96574882472001</v>
      </c>
      <c r="F221">
        <v>152.63703703703999</v>
      </c>
      <c r="G221">
        <v>125.11784511785</v>
      </c>
      <c r="I221" s="9">
        <f t="shared" si="22"/>
        <v>64.847903706870014</v>
      </c>
      <c r="J221" s="9">
        <f t="shared" si="23"/>
        <v>216.99963186827</v>
      </c>
      <c r="K221" s="9">
        <f t="shared" si="24"/>
        <v>64.847903706870014</v>
      </c>
      <c r="L221" s="10">
        <f t="shared" si="21"/>
        <v>0.29883877289817729</v>
      </c>
      <c r="M221" s="10">
        <f t="shared" si="20"/>
        <v>0.30629811119550743</v>
      </c>
      <c r="P221" s="8">
        <f t="shared" si="25"/>
        <v>-16.33166499918693</v>
      </c>
    </row>
    <row r="222" spans="1:16" x14ac:dyDescent="0.2">
      <c r="A222" s="8">
        <v>110</v>
      </c>
      <c r="B222" s="8">
        <v>220</v>
      </c>
      <c r="D222">
        <v>370.11484217596001</v>
      </c>
      <c r="E222">
        <v>190.67024848892001</v>
      </c>
      <c r="F222">
        <v>152.30235690236</v>
      </c>
      <c r="G222">
        <v>125.17508417508</v>
      </c>
      <c r="I222" s="9">
        <f t="shared" si="22"/>
        <v>65.495164313840007</v>
      </c>
      <c r="J222" s="9">
        <f t="shared" si="23"/>
        <v>217.8124852736</v>
      </c>
      <c r="K222" s="9">
        <f t="shared" si="24"/>
        <v>65.495164313840007</v>
      </c>
      <c r="L222" s="10">
        <f t="shared" si="21"/>
        <v>0.30069517930328837</v>
      </c>
      <c r="M222" s="10">
        <f t="shared" si="20"/>
        <v>0.30818857850608578</v>
      </c>
      <c r="P222" s="8">
        <f t="shared" si="25"/>
        <v>-15.815265300761771</v>
      </c>
    </row>
    <row r="223" spans="1:16" x14ac:dyDescent="0.2">
      <c r="A223" s="8">
        <v>110.5</v>
      </c>
      <c r="B223" s="8">
        <v>221</v>
      </c>
      <c r="D223">
        <v>368.77098723976002</v>
      </c>
      <c r="E223">
        <v>190.52518468771001</v>
      </c>
      <c r="F223">
        <v>151.87138047138001</v>
      </c>
      <c r="G223">
        <v>125.14814814815</v>
      </c>
      <c r="I223" s="9">
        <f t="shared" si="22"/>
        <v>65.377036539560009</v>
      </c>
      <c r="J223" s="9">
        <f t="shared" si="23"/>
        <v>216.89960676838001</v>
      </c>
      <c r="K223" s="9">
        <f t="shared" si="24"/>
        <v>65.377036539560009</v>
      </c>
      <c r="L223" s="10">
        <f t="shared" si="21"/>
        <v>0.3014161137201784</v>
      </c>
      <c r="M223" s="10">
        <f t="shared" si="20"/>
        <v>0.30894357382844306</v>
      </c>
      <c r="P223" s="8">
        <f t="shared" si="25"/>
        <v>-15.609030919137668</v>
      </c>
    </row>
    <row r="224" spans="1:16" x14ac:dyDescent="0.2">
      <c r="A224" s="8">
        <v>111</v>
      </c>
      <c r="B224" s="8">
        <v>222</v>
      </c>
      <c r="D224">
        <v>371.92478173271002</v>
      </c>
      <c r="E224">
        <v>192.61517797178999</v>
      </c>
      <c r="F224">
        <v>152.93063973064</v>
      </c>
      <c r="G224">
        <v>124.72188552189</v>
      </c>
      <c r="I224" s="9">
        <f t="shared" si="22"/>
        <v>67.893292449899988</v>
      </c>
      <c r="J224" s="9">
        <f t="shared" si="23"/>
        <v>218.99414200207002</v>
      </c>
      <c r="K224" s="9">
        <f t="shared" si="24"/>
        <v>67.893292449899988</v>
      </c>
      <c r="L224" s="10">
        <f t="shared" si="21"/>
        <v>0.31002332678496136</v>
      </c>
      <c r="M224" s="10">
        <f t="shared" si="20"/>
        <v>0.31758484779869328</v>
      </c>
      <c r="P224" s="8">
        <f t="shared" si="25"/>
        <v>-13.248582131011725</v>
      </c>
    </row>
    <row r="225" spans="1:16" x14ac:dyDescent="0.2">
      <c r="A225" s="8">
        <v>111.5</v>
      </c>
      <c r="B225" s="8">
        <v>223</v>
      </c>
      <c r="D225">
        <v>372.20886501006999</v>
      </c>
      <c r="E225">
        <v>192.13767629281</v>
      </c>
      <c r="F225">
        <v>152.71178451179</v>
      </c>
      <c r="G225">
        <v>125.17643097643</v>
      </c>
      <c r="I225" s="9">
        <f t="shared" si="22"/>
        <v>66.961245316380001</v>
      </c>
      <c r="J225" s="9">
        <f t="shared" si="23"/>
        <v>219.49708049827998</v>
      </c>
      <c r="K225" s="9">
        <f t="shared" si="24"/>
        <v>66.961245316380001</v>
      </c>
      <c r="L225" s="10">
        <f t="shared" si="21"/>
        <v>0.30506667862903408</v>
      </c>
      <c r="M225" s="10">
        <f t="shared" si="20"/>
        <v>0.31266226054823326</v>
      </c>
      <c r="P225" s="8">
        <f t="shared" si="25"/>
        <v>-14.593235147429869</v>
      </c>
    </row>
    <row r="226" spans="1:16" x14ac:dyDescent="0.2">
      <c r="A226" s="8">
        <v>112</v>
      </c>
      <c r="B226" s="8">
        <v>224</v>
      </c>
      <c r="D226">
        <v>351.64271323036002</v>
      </c>
      <c r="E226">
        <v>185.69173942243</v>
      </c>
      <c r="F226">
        <v>152.25050505050999</v>
      </c>
      <c r="G226">
        <v>125.12929292929</v>
      </c>
      <c r="I226" s="9">
        <f t="shared" si="22"/>
        <v>60.562446493140001</v>
      </c>
      <c r="J226" s="9">
        <f t="shared" si="23"/>
        <v>199.39220817985003</v>
      </c>
      <c r="K226" s="9">
        <f t="shared" si="24"/>
        <v>60.562446493140001</v>
      </c>
      <c r="L226" s="10">
        <f t="shared" si="21"/>
        <v>0.30373527153334501</v>
      </c>
      <c r="M226" s="10">
        <f t="shared" si="20"/>
        <v>0.31136491435801145</v>
      </c>
      <c r="P226" s="8">
        <f t="shared" si="25"/>
        <v>-14.947617991097564</v>
      </c>
    </row>
    <row r="227" spans="1:16" x14ac:dyDescent="0.2">
      <c r="A227" s="8">
        <v>112.5</v>
      </c>
      <c r="B227" s="8">
        <v>225</v>
      </c>
      <c r="D227">
        <v>363.55473472129</v>
      </c>
      <c r="E227">
        <v>190.14842175957</v>
      </c>
      <c r="F227">
        <v>152.88821548822</v>
      </c>
      <c r="G227">
        <v>125.22558922559</v>
      </c>
      <c r="I227" s="9">
        <f t="shared" si="22"/>
        <v>64.922832533979999</v>
      </c>
      <c r="J227" s="9">
        <f t="shared" si="23"/>
        <v>210.66651923307001</v>
      </c>
      <c r="K227" s="9">
        <f t="shared" si="24"/>
        <v>64.922832533979999</v>
      </c>
      <c r="L227" s="10">
        <f t="shared" si="21"/>
        <v>0.30817821821109076</v>
      </c>
      <c r="M227" s="10">
        <f t="shared" si="20"/>
        <v>0.31584192194122446</v>
      </c>
      <c r="P227" s="8">
        <f t="shared" si="25"/>
        <v>-13.724679433587644</v>
      </c>
    </row>
    <row r="228" spans="1:16" x14ac:dyDescent="0.2">
      <c r="A228" s="8">
        <v>113</v>
      </c>
      <c r="B228" s="8">
        <v>226</v>
      </c>
      <c r="D228">
        <v>370.28206850235</v>
      </c>
      <c r="E228">
        <v>192.64405641370001</v>
      </c>
      <c r="F228">
        <v>152.26195286194999</v>
      </c>
      <c r="G228">
        <v>125.40538720539</v>
      </c>
      <c r="I228" s="9">
        <f t="shared" si="22"/>
        <v>67.238669208310014</v>
      </c>
      <c r="J228" s="9">
        <f t="shared" si="23"/>
        <v>218.02011564040001</v>
      </c>
      <c r="K228" s="9">
        <f t="shared" si="24"/>
        <v>67.238669208310014</v>
      </c>
      <c r="L228" s="10">
        <f t="shared" si="21"/>
        <v>0.30840580471580309</v>
      </c>
      <c r="M228" s="10">
        <f t="shared" si="20"/>
        <v>0.31610356935140405</v>
      </c>
      <c r="P228" s="8">
        <f t="shared" si="25"/>
        <v>-13.653207875759371</v>
      </c>
    </row>
    <row r="229" spans="1:16" x14ac:dyDescent="0.2">
      <c r="A229" s="8">
        <v>113.5</v>
      </c>
      <c r="B229" s="8">
        <v>227</v>
      </c>
      <c r="D229">
        <v>367.04163868367999</v>
      </c>
      <c r="E229">
        <v>191.41705842848</v>
      </c>
      <c r="F229">
        <v>153.13939393939</v>
      </c>
      <c r="G229">
        <v>124.68754208754</v>
      </c>
      <c r="I229" s="9">
        <f t="shared" si="22"/>
        <v>66.729516340940009</v>
      </c>
      <c r="J229" s="9">
        <f t="shared" si="23"/>
        <v>213.90224474428999</v>
      </c>
      <c r="K229" s="9">
        <f t="shared" si="24"/>
        <v>66.729516340940009</v>
      </c>
      <c r="L229" s="10">
        <f t="shared" si="21"/>
        <v>0.31196267444837705</v>
      </c>
      <c r="M229" s="10">
        <f t="shared" si="20"/>
        <v>0.31969449998944527</v>
      </c>
      <c r="P229" s="8">
        <f t="shared" si="25"/>
        <v>-12.67230993154533</v>
      </c>
    </row>
    <row r="230" spans="1:16" x14ac:dyDescent="0.2">
      <c r="A230" s="8">
        <v>114</v>
      </c>
      <c r="B230" s="8">
        <v>228</v>
      </c>
      <c r="D230">
        <v>369.73404969777999</v>
      </c>
      <c r="E230">
        <v>194.09939556750001</v>
      </c>
      <c r="F230">
        <v>151.86127946127999</v>
      </c>
      <c r="G230">
        <v>124.59191919192</v>
      </c>
      <c r="I230" s="9">
        <f t="shared" si="22"/>
        <v>69.507476375580012</v>
      </c>
      <c r="J230" s="9">
        <f t="shared" si="23"/>
        <v>217.8727702365</v>
      </c>
      <c r="K230" s="9">
        <f t="shared" si="24"/>
        <v>69.507476375580012</v>
      </c>
      <c r="L230" s="10">
        <f t="shared" si="21"/>
        <v>0.31902782665373891</v>
      </c>
      <c r="M230" s="10">
        <f t="shared" si="20"/>
        <v>0.32679371310027439</v>
      </c>
      <c r="P230" s="8">
        <f t="shared" si="25"/>
        <v>-10.733090200543193</v>
      </c>
    </row>
    <row r="231" spans="1:16" x14ac:dyDescent="0.2">
      <c r="A231" s="8">
        <v>114.5</v>
      </c>
      <c r="B231" s="8">
        <v>229</v>
      </c>
      <c r="D231">
        <v>370.22364002685998</v>
      </c>
      <c r="E231">
        <v>193.78844862323999</v>
      </c>
      <c r="F231">
        <v>152.39326599327001</v>
      </c>
      <c r="G231">
        <v>125.09427609428</v>
      </c>
      <c r="I231" s="9">
        <f t="shared" si="22"/>
        <v>68.694172528959982</v>
      </c>
      <c r="J231" s="9">
        <f t="shared" si="23"/>
        <v>217.83037403358998</v>
      </c>
      <c r="K231" s="9">
        <f t="shared" si="24"/>
        <v>68.694172528959982</v>
      </c>
      <c r="L231" s="10">
        <f t="shared" si="21"/>
        <v>0.31535626210864043</v>
      </c>
      <c r="M231" s="10">
        <f t="shared" si="20"/>
        <v>0.32315620946064316</v>
      </c>
      <c r="P231" s="8">
        <f t="shared" si="25"/>
        <v>-11.726710017196526</v>
      </c>
    </row>
    <row r="232" spans="1:16" x14ac:dyDescent="0.2">
      <c r="A232" s="8">
        <v>115</v>
      </c>
      <c r="B232" s="8">
        <v>230</v>
      </c>
      <c r="D232">
        <v>369.44056413701003</v>
      </c>
      <c r="E232">
        <v>193.74210879784999</v>
      </c>
      <c r="F232">
        <v>152.51380471381</v>
      </c>
      <c r="G232">
        <v>125.06464646465</v>
      </c>
      <c r="I232" s="9">
        <f t="shared" si="22"/>
        <v>68.677462333199998</v>
      </c>
      <c r="J232" s="9">
        <f t="shared" si="23"/>
        <v>216.92675942320002</v>
      </c>
      <c r="K232" s="9">
        <f t="shared" si="24"/>
        <v>68.677462333199998</v>
      </c>
      <c r="L232" s="10">
        <f t="shared" si="21"/>
        <v>0.31659285611332943</v>
      </c>
      <c r="M232" s="10">
        <f t="shared" si="20"/>
        <v>0.32442686437079943</v>
      </c>
      <c r="P232" s="8">
        <f t="shared" si="25"/>
        <v>-11.379618158619822</v>
      </c>
    </row>
    <row r="233" spans="1:16" x14ac:dyDescent="0.2">
      <c r="A233" s="8">
        <v>115.5</v>
      </c>
      <c r="B233" s="8">
        <v>231</v>
      </c>
      <c r="D233">
        <v>358.71323035594003</v>
      </c>
      <c r="E233">
        <v>190.59368703828</v>
      </c>
      <c r="F233">
        <v>152.86936026935999</v>
      </c>
      <c r="G233">
        <v>125.30976430976</v>
      </c>
      <c r="I233" s="9">
        <f t="shared" si="22"/>
        <v>65.283922728519997</v>
      </c>
      <c r="J233" s="9">
        <f t="shared" si="23"/>
        <v>205.84387008658004</v>
      </c>
      <c r="K233" s="9">
        <f t="shared" si="24"/>
        <v>65.283922728519997</v>
      </c>
      <c r="L233" s="10">
        <f t="shared" si="21"/>
        <v>0.3171526200953223</v>
      </c>
      <c r="M233" s="10">
        <f t="shared" si="20"/>
        <v>0.32502068925825955</v>
      </c>
      <c r="P233" s="8">
        <f t="shared" si="25"/>
        <v>-11.217409062971431</v>
      </c>
    </row>
    <row r="234" spans="1:16" x14ac:dyDescent="0.2">
      <c r="A234" s="8">
        <v>116</v>
      </c>
      <c r="B234" s="8">
        <v>232</v>
      </c>
      <c r="D234">
        <v>354.46004029549999</v>
      </c>
      <c r="E234">
        <v>188.73404969777999</v>
      </c>
      <c r="F234">
        <v>151.90774410774</v>
      </c>
      <c r="G234">
        <v>124.73063973063999</v>
      </c>
      <c r="I234" s="9">
        <f t="shared" si="22"/>
        <v>64.003409967140001</v>
      </c>
      <c r="J234" s="9">
        <f t="shared" si="23"/>
        <v>202.55229618775999</v>
      </c>
      <c r="K234" s="9">
        <f t="shared" si="24"/>
        <v>64.003409967140001</v>
      </c>
      <c r="L234" s="10">
        <f t="shared" si="21"/>
        <v>0.31598461815417156</v>
      </c>
      <c r="M234" s="10">
        <f t="shared" si="20"/>
        <v>0.32388674822257607</v>
      </c>
      <c r="P234" s="8">
        <f t="shared" si="25"/>
        <v>-11.527156185062486</v>
      </c>
    </row>
    <row r="235" spans="1:16" x14ac:dyDescent="0.2">
      <c r="A235" s="8">
        <v>116.5</v>
      </c>
      <c r="B235" s="8">
        <v>233</v>
      </c>
      <c r="D235">
        <v>367.35419440746</v>
      </c>
      <c r="E235">
        <v>195.02862849534</v>
      </c>
      <c r="F235">
        <v>152.94949494950001</v>
      </c>
      <c r="G235">
        <v>124.75353535354</v>
      </c>
      <c r="I235" s="9">
        <f t="shared" si="22"/>
        <v>70.275093141799999</v>
      </c>
      <c r="J235" s="9">
        <f t="shared" si="23"/>
        <v>214.40469945795999</v>
      </c>
      <c r="K235" s="9">
        <f t="shared" si="24"/>
        <v>70.275093141799999</v>
      </c>
      <c r="L235" s="10">
        <f t="shared" si="21"/>
        <v>0.32776843660359872</v>
      </c>
      <c r="M235" s="10">
        <f t="shared" si="20"/>
        <v>0.33570462757747049</v>
      </c>
      <c r="P235" s="8">
        <f t="shared" si="25"/>
        <v>-8.2989864617651463</v>
      </c>
    </row>
    <row r="236" spans="1:16" x14ac:dyDescent="0.2">
      <c r="A236" s="8">
        <v>117</v>
      </c>
      <c r="B236" s="8">
        <v>234</v>
      </c>
      <c r="D236">
        <v>369.70905459388001</v>
      </c>
      <c r="E236">
        <v>196.27230359520999</v>
      </c>
      <c r="F236">
        <v>152.22895622895999</v>
      </c>
      <c r="G236">
        <v>125.08956228956001</v>
      </c>
      <c r="I236" s="9">
        <f t="shared" si="22"/>
        <v>71.182741305649984</v>
      </c>
      <c r="J236" s="9">
        <f t="shared" si="23"/>
        <v>217.48009836492002</v>
      </c>
      <c r="K236" s="9">
        <f t="shared" si="24"/>
        <v>71.182741305649984</v>
      </c>
      <c r="L236" s="10">
        <f t="shared" si="21"/>
        <v>0.32730692068296352</v>
      </c>
      <c r="M236" s="10">
        <f t="shared" si="20"/>
        <v>0.33527717256230255</v>
      </c>
      <c r="P236" s="8">
        <f t="shared" si="25"/>
        <v>-8.4157499940874878</v>
      </c>
    </row>
    <row r="237" spans="1:16" x14ac:dyDescent="0.2">
      <c r="A237" s="8">
        <v>117.5</v>
      </c>
      <c r="B237" s="8">
        <v>235</v>
      </c>
      <c r="D237">
        <v>367.05858854860003</v>
      </c>
      <c r="E237">
        <v>195.12183754993001</v>
      </c>
      <c r="F237">
        <v>152.53737373736999</v>
      </c>
      <c r="G237">
        <v>125.11245791246</v>
      </c>
      <c r="I237" s="9">
        <f t="shared" si="22"/>
        <v>70.009379637470005</v>
      </c>
      <c r="J237" s="9">
        <f t="shared" si="23"/>
        <v>214.52121481123004</v>
      </c>
      <c r="K237" s="9">
        <f t="shared" si="24"/>
        <v>70.009379637470005</v>
      </c>
      <c r="L237" s="10">
        <f t="shared" si="21"/>
        <v>0.32635177690502742</v>
      </c>
      <c r="M237" s="10">
        <f t="shared" si="20"/>
        <v>0.33435608968983377</v>
      </c>
      <c r="P237" s="8">
        <f t="shared" si="25"/>
        <v>-8.6673528199633516</v>
      </c>
    </row>
    <row r="238" spans="1:16" x14ac:dyDescent="0.2">
      <c r="A238" s="8">
        <v>118</v>
      </c>
      <c r="B238" s="8">
        <v>236</v>
      </c>
      <c r="D238">
        <v>367.24167776297998</v>
      </c>
      <c r="E238">
        <v>195.71571238349</v>
      </c>
      <c r="F238">
        <v>152.03703703703999</v>
      </c>
      <c r="G238">
        <v>124.96565656566</v>
      </c>
      <c r="I238" s="9">
        <f t="shared" si="22"/>
        <v>70.750055817830003</v>
      </c>
      <c r="J238" s="9">
        <f t="shared" si="23"/>
        <v>215.20464072593998</v>
      </c>
      <c r="K238" s="9">
        <f t="shared" si="24"/>
        <v>70.750055817830003</v>
      </c>
      <c r="L238" s="10">
        <f t="shared" si="21"/>
        <v>0.32875711034470295</v>
      </c>
      <c r="M238" s="10">
        <f t="shared" si="20"/>
        <v>0.33679548403497656</v>
      </c>
      <c r="P238" s="8">
        <f t="shared" si="25"/>
        <v>-8.0010083150237818</v>
      </c>
    </row>
    <row r="239" spans="1:16" x14ac:dyDescent="0.2">
      <c r="A239" s="8">
        <v>118.5</v>
      </c>
      <c r="B239" s="8">
        <v>237</v>
      </c>
      <c r="D239">
        <v>369.56391478029002</v>
      </c>
      <c r="E239">
        <v>197.09920106525001</v>
      </c>
      <c r="F239">
        <v>151.73737373737001</v>
      </c>
      <c r="G239">
        <v>124.72323232322999</v>
      </c>
      <c r="I239" s="9">
        <f t="shared" si="22"/>
        <v>72.375968742020021</v>
      </c>
      <c r="J239" s="9">
        <f t="shared" si="23"/>
        <v>217.82654104292001</v>
      </c>
      <c r="K239" s="9">
        <f t="shared" si="24"/>
        <v>72.375968742020021</v>
      </c>
      <c r="L239" s="10">
        <f t="shared" si="21"/>
        <v>0.33226423371318758</v>
      </c>
      <c r="M239" s="10">
        <f t="shared" si="20"/>
        <v>0.34033666830892845</v>
      </c>
      <c r="P239" s="8">
        <f t="shared" si="25"/>
        <v>-7.0336990783582571</v>
      </c>
    </row>
    <row r="240" spans="1:16" x14ac:dyDescent="0.2">
      <c r="A240" s="8">
        <v>119</v>
      </c>
      <c r="B240" s="8">
        <v>238</v>
      </c>
      <c r="D240">
        <v>371.37483355526001</v>
      </c>
      <c r="E240">
        <v>198.74167776298</v>
      </c>
      <c r="F240">
        <v>152.33265993265999</v>
      </c>
      <c r="G240">
        <v>124.96363636364001</v>
      </c>
      <c r="I240" s="9">
        <f t="shared" si="22"/>
        <v>73.778041399339997</v>
      </c>
      <c r="J240" s="9">
        <f t="shared" si="23"/>
        <v>219.04217362260002</v>
      </c>
      <c r="K240" s="9">
        <f t="shared" si="24"/>
        <v>73.778041399339997</v>
      </c>
      <c r="L240" s="10">
        <f t="shared" si="21"/>
        <v>0.33682117091504171</v>
      </c>
      <c r="M240" s="10">
        <f t="shared" si="20"/>
        <v>0.34492766641624983</v>
      </c>
      <c r="P240" s="8">
        <f t="shared" si="25"/>
        <v>-5.7796228905156131</v>
      </c>
    </row>
    <row r="241" spans="1:16" x14ac:dyDescent="0.2">
      <c r="A241" s="8">
        <v>119.5</v>
      </c>
      <c r="B241" s="8">
        <v>239</v>
      </c>
      <c r="D241">
        <v>373.71637816244998</v>
      </c>
      <c r="E241">
        <v>199.73102529959999</v>
      </c>
      <c r="F241">
        <v>152.83232323231999</v>
      </c>
      <c r="G241">
        <v>124.84915824916</v>
      </c>
      <c r="I241" s="9">
        <f t="shared" si="22"/>
        <v>74.881867050439993</v>
      </c>
      <c r="J241" s="9">
        <f t="shared" si="23"/>
        <v>220.88405493012999</v>
      </c>
      <c r="K241" s="9">
        <f t="shared" si="24"/>
        <v>74.881867050439993</v>
      </c>
      <c r="L241" s="10">
        <f t="shared" si="21"/>
        <v>0.33900983515594468</v>
      </c>
      <c r="M241" s="10">
        <f t="shared" si="20"/>
        <v>0.34715039156262006</v>
      </c>
      <c r="P241" s="8">
        <f t="shared" si="25"/>
        <v>-5.1724637035543477</v>
      </c>
    </row>
    <row r="242" spans="1:16" x14ac:dyDescent="0.2">
      <c r="A242" s="8">
        <v>120</v>
      </c>
      <c r="B242" s="8">
        <v>240</v>
      </c>
      <c r="D242">
        <v>370.05592543275998</v>
      </c>
      <c r="E242">
        <v>199.05459387483</v>
      </c>
      <c r="F242">
        <v>152.13670033669999</v>
      </c>
      <c r="G242">
        <v>124.69562289562001</v>
      </c>
      <c r="I242" s="9">
        <f>E242-G242</f>
        <v>74.35897097921</v>
      </c>
      <c r="J242" s="9">
        <f>D242-F242</f>
        <v>217.91922509605999</v>
      </c>
      <c r="K242" s="9">
        <f t="shared" si="24"/>
        <v>74.35897097921</v>
      </c>
      <c r="L242" s="10">
        <f t="shared" si="21"/>
        <v>0.34122262937761527</v>
      </c>
      <c r="M242" s="10">
        <f>L242+ABS($N$2)*A242</f>
        <v>0.34939724668975791</v>
      </c>
      <c r="O242" s="11"/>
      <c r="P242" s="8">
        <f>(M242-$O$2)/$O$2*100</f>
        <v>-4.5587131755412278</v>
      </c>
    </row>
    <row r="243" spans="1:16" x14ac:dyDescent="0.2">
      <c r="A243" s="8">
        <v>120.5</v>
      </c>
      <c r="B243" s="8">
        <v>241</v>
      </c>
      <c r="D243">
        <v>375.75970548862</v>
      </c>
      <c r="E243">
        <v>199.45046854083</v>
      </c>
      <c r="F243">
        <v>151.88888888888999</v>
      </c>
      <c r="G243">
        <v>124.72794612795001</v>
      </c>
      <c r="I243" s="9">
        <f t="shared" ref="I243:I274" si="26">E243-G243</f>
        <v>74.722522412879997</v>
      </c>
      <c r="J243" s="9">
        <f t="shared" ref="J243:J274" si="27">D243-F243</f>
        <v>223.87081659973001</v>
      </c>
      <c r="K243" s="9">
        <f t="shared" si="24"/>
        <v>74.722522412879997</v>
      </c>
      <c r="L243" s="10">
        <f t="shared" si="21"/>
        <v>0.33377518136488593</v>
      </c>
      <c r="M243" s="10">
        <f t="shared" ref="M243:M274" si="28">L243+ABS($N$2)*A243</f>
        <v>0.34198385958249583</v>
      </c>
      <c r="P243" s="8">
        <f t="shared" ref="P243:P274" si="29">(M243-$O$2)/$O$2*100</f>
        <v>-6.5837526168886216</v>
      </c>
    </row>
    <row r="244" spans="1:16" x14ac:dyDescent="0.2">
      <c r="A244" s="8">
        <v>121</v>
      </c>
      <c r="B244" s="8">
        <v>242</v>
      </c>
      <c r="D244">
        <v>365.67670682731</v>
      </c>
      <c r="E244">
        <v>196.61579651941</v>
      </c>
      <c r="F244">
        <v>151.55757575758</v>
      </c>
      <c r="G244">
        <v>124.99932659933</v>
      </c>
      <c r="I244" s="9">
        <f t="shared" si="26"/>
        <v>71.616469920079993</v>
      </c>
      <c r="J244" s="9">
        <f t="shared" si="27"/>
        <v>214.11913106973</v>
      </c>
      <c r="K244" s="9">
        <f t="shared" si="24"/>
        <v>71.616469920079993</v>
      </c>
      <c r="L244" s="10">
        <f t="shared" si="21"/>
        <v>0.33447020619917134</v>
      </c>
      <c r="M244" s="10">
        <f t="shared" si="28"/>
        <v>0.3427129453222485</v>
      </c>
      <c r="N244" s="1"/>
      <c r="P244" s="8">
        <f t="shared" si="29"/>
        <v>-6.3845956920226863</v>
      </c>
    </row>
    <row r="245" spans="1:16" x14ac:dyDescent="0.2">
      <c r="A245" s="8">
        <v>121.5</v>
      </c>
      <c r="B245" s="8">
        <v>243</v>
      </c>
      <c r="D245">
        <v>362.30254350735999</v>
      </c>
      <c r="E245">
        <v>194.88821954484999</v>
      </c>
      <c r="F245">
        <v>152.51986531987001</v>
      </c>
      <c r="G245">
        <v>124.94949494949999</v>
      </c>
      <c r="I245" s="9">
        <f t="shared" si="26"/>
        <v>69.938724595349996</v>
      </c>
      <c r="J245" s="9">
        <f t="shared" si="27"/>
        <v>209.78267818748998</v>
      </c>
      <c r="K245" s="9">
        <f t="shared" si="24"/>
        <v>69.938724595349996</v>
      </c>
      <c r="L245" s="10">
        <f t="shared" si="21"/>
        <v>0.33338655602844081</v>
      </c>
      <c r="M245" s="10">
        <f t="shared" si="28"/>
        <v>0.34166335605698522</v>
      </c>
      <c r="P245" s="8">
        <f t="shared" si="29"/>
        <v>-6.6713013002177428</v>
      </c>
    </row>
    <row r="246" spans="1:16" x14ac:dyDescent="0.2">
      <c r="A246" s="8">
        <v>122</v>
      </c>
      <c r="B246" s="8">
        <v>244</v>
      </c>
      <c r="D246">
        <v>369.97255689423997</v>
      </c>
      <c r="E246">
        <v>197.38152610442</v>
      </c>
      <c r="F246">
        <v>152.02693602694001</v>
      </c>
      <c r="G246">
        <v>124.55286195286</v>
      </c>
      <c r="I246" s="9">
        <f t="shared" si="26"/>
        <v>72.828664151560005</v>
      </c>
      <c r="J246" s="9">
        <f t="shared" si="27"/>
        <v>217.94562086729997</v>
      </c>
      <c r="K246" s="9">
        <f t="shared" si="24"/>
        <v>72.828664151560005</v>
      </c>
      <c r="L246" s="10">
        <f t="shared" si="21"/>
        <v>0.33415979574053023</v>
      </c>
      <c r="M246" s="10">
        <f t="shared" si="28"/>
        <v>0.34247065667454191</v>
      </c>
      <c r="P246" s="8">
        <f t="shared" si="29"/>
        <v>-6.4507792138997431</v>
      </c>
    </row>
    <row r="247" spans="1:16" x14ac:dyDescent="0.2">
      <c r="A247" s="8">
        <v>122.5</v>
      </c>
      <c r="B247" s="8">
        <v>245</v>
      </c>
      <c r="D247">
        <v>363.52811244980001</v>
      </c>
      <c r="E247">
        <v>196.52945113788999</v>
      </c>
      <c r="F247">
        <v>151.92861952862</v>
      </c>
      <c r="G247">
        <v>124.62356902357</v>
      </c>
      <c r="I247" s="9">
        <f t="shared" si="26"/>
        <v>71.905882114319994</v>
      </c>
      <c r="J247" s="9">
        <f t="shared" si="27"/>
        <v>211.59949292118</v>
      </c>
      <c r="K247" s="9">
        <f t="shared" si="24"/>
        <v>71.905882114319994</v>
      </c>
      <c r="L247" s="10">
        <f t="shared" si="21"/>
        <v>0.3398206731105195</v>
      </c>
      <c r="M247" s="10">
        <f t="shared" si="28"/>
        <v>0.34816559494999844</v>
      </c>
      <c r="P247" s="8">
        <f t="shared" si="29"/>
        <v>-4.8951509353573632</v>
      </c>
    </row>
    <row r="248" spans="1:16" x14ac:dyDescent="0.2">
      <c r="A248" s="8">
        <v>123</v>
      </c>
      <c r="B248" s="8">
        <v>246</v>
      </c>
      <c r="D248">
        <v>371.37684069611998</v>
      </c>
      <c r="E248">
        <v>200.13922356091001</v>
      </c>
      <c r="F248">
        <v>151.87070707071001</v>
      </c>
      <c r="G248">
        <v>124.96767676768</v>
      </c>
      <c r="I248" s="9">
        <f t="shared" si="26"/>
        <v>75.171546793230007</v>
      </c>
      <c r="J248" s="9">
        <f t="shared" si="27"/>
        <v>219.50613362540997</v>
      </c>
      <c r="K248" s="9">
        <f t="shared" si="24"/>
        <v>75.171546793230007</v>
      </c>
      <c r="L248" s="10">
        <f t="shared" si="21"/>
        <v>0.3424576140615333</v>
      </c>
      <c r="M248" s="10">
        <f t="shared" si="28"/>
        <v>0.35083659680647949</v>
      </c>
      <c r="P248" s="8">
        <f t="shared" si="29"/>
        <v>-4.1655405657615594</v>
      </c>
    </row>
    <row r="249" spans="1:16" x14ac:dyDescent="0.2">
      <c r="A249" s="8">
        <v>123.5</v>
      </c>
      <c r="B249" s="8">
        <v>247</v>
      </c>
      <c r="D249">
        <v>374.34337349397998</v>
      </c>
      <c r="E249">
        <v>199.95448460508999</v>
      </c>
      <c r="F249">
        <v>152.31380471380999</v>
      </c>
      <c r="G249">
        <v>124.62828282828001</v>
      </c>
      <c r="I249" s="9">
        <f t="shared" si="26"/>
        <v>75.326201776809981</v>
      </c>
      <c r="J249" s="9">
        <f t="shared" si="27"/>
        <v>222.02956878017</v>
      </c>
      <c r="K249" s="9">
        <f t="shared" si="24"/>
        <v>75.326201776809981</v>
      </c>
      <c r="L249" s="10">
        <f t="shared" si="21"/>
        <v>0.33926202798416438</v>
      </c>
      <c r="M249" s="10">
        <f t="shared" si="28"/>
        <v>0.34767507163457784</v>
      </c>
      <c r="P249" s="8">
        <f t="shared" si="29"/>
        <v>-5.0291421928291529</v>
      </c>
    </row>
    <row r="250" spans="1:16" x14ac:dyDescent="0.2">
      <c r="A250" s="8">
        <v>124</v>
      </c>
      <c r="B250" s="8">
        <v>248</v>
      </c>
      <c r="D250">
        <v>376.54041416166001</v>
      </c>
      <c r="E250">
        <v>202.06880427522</v>
      </c>
      <c r="F250">
        <v>151.81481481482001</v>
      </c>
      <c r="G250">
        <v>124.61346801347</v>
      </c>
      <c r="I250" s="9">
        <f t="shared" si="26"/>
        <v>77.455336261750006</v>
      </c>
      <c r="J250" s="9">
        <f t="shared" si="27"/>
        <v>224.72559934684</v>
      </c>
      <c r="K250" s="9">
        <f t="shared" si="24"/>
        <v>77.455336261750006</v>
      </c>
      <c r="L250" s="10">
        <f t="shared" si="21"/>
        <v>0.34466627961777491</v>
      </c>
      <c r="M250" s="10">
        <f t="shared" si="28"/>
        <v>0.35311338417365562</v>
      </c>
      <c r="P250" s="8">
        <f t="shared" si="29"/>
        <v>-3.5436137526349838</v>
      </c>
    </row>
    <row r="251" spans="1:16" x14ac:dyDescent="0.2">
      <c r="A251" s="8">
        <v>124.5</v>
      </c>
      <c r="B251" s="8">
        <v>249</v>
      </c>
      <c r="D251">
        <v>373.42531815136999</v>
      </c>
      <c r="E251">
        <v>200.10046885465999</v>
      </c>
      <c r="F251">
        <v>151.94410774411</v>
      </c>
      <c r="G251">
        <v>124.41683501684</v>
      </c>
      <c r="I251" s="9">
        <f t="shared" si="26"/>
        <v>75.683633837819997</v>
      </c>
      <c r="J251" s="9">
        <f t="shared" si="27"/>
        <v>221.48121040725999</v>
      </c>
      <c r="K251" s="9">
        <f t="shared" si="24"/>
        <v>75.683633837819997</v>
      </c>
      <c r="L251" s="10">
        <f t="shared" si="21"/>
        <v>0.34171582184625421</v>
      </c>
      <c r="M251" s="10">
        <f t="shared" si="28"/>
        <v>0.35019698730760218</v>
      </c>
      <c r="P251" s="8">
        <f t="shared" si="29"/>
        <v>-4.3402561773364896</v>
      </c>
    </row>
    <row r="252" spans="1:16" x14ac:dyDescent="0.2">
      <c r="A252" s="8">
        <v>125</v>
      </c>
      <c r="B252" s="8">
        <v>250</v>
      </c>
      <c r="D252">
        <v>369.38580040187998</v>
      </c>
      <c r="E252">
        <v>197.84929671802001</v>
      </c>
      <c r="F252">
        <v>152.12323232323001</v>
      </c>
      <c r="G252">
        <v>124.8303030303</v>
      </c>
      <c r="I252" s="9">
        <f t="shared" si="26"/>
        <v>73.018993687720013</v>
      </c>
      <c r="J252" s="9">
        <f t="shared" si="27"/>
        <v>217.26256807864996</v>
      </c>
      <c r="K252" s="9">
        <f t="shared" si="24"/>
        <v>73.018993687720013</v>
      </c>
      <c r="L252" s="10">
        <f t="shared" si="21"/>
        <v>0.33608639690426023</v>
      </c>
      <c r="M252" s="10">
        <f t="shared" si="28"/>
        <v>0.34460162327107546</v>
      </c>
      <c r="P252" s="8">
        <f t="shared" si="29"/>
        <v>-5.8686847753202365</v>
      </c>
    </row>
    <row r="253" spans="1:16" x14ac:dyDescent="0.2">
      <c r="A253" s="8">
        <v>125.5</v>
      </c>
      <c r="B253" s="8">
        <v>251</v>
      </c>
      <c r="D253">
        <v>368.82533333332998</v>
      </c>
      <c r="E253">
        <v>199.19466666667</v>
      </c>
      <c r="F253">
        <v>151.47811447811</v>
      </c>
      <c r="G253">
        <v>124.43771043771</v>
      </c>
      <c r="I253" s="9">
        <f t="shared" si="26"/>
        <v>74.756956228960007</v>
      </c>
      <c r="J253" s="9">
        <f t="shared" si="27"/>
        <v>217.34721885521998</v>
      </c>
      <c r="K253" s="9">
        <f t="shared" si="24"/>
        <v>74.756956228960007</v>
      </c>
      <c r="L253" s="10">
        <f t="shared" si="21"/>
        <v>0.34395174975189052</v>
      </c>
      <c r="M253" s="10">
        <f t="shared" si="28"/>
        <v>0.35250103702417301</v>
      </c>
      <c r="P253" s="8">
        <f t="shared" si="29"/>
        <v>-3.7108823859273437</v>
      </c>
    </row>
    <row r="254" spans="1:16" x14ac:dyDescent="0.2">
      <c r="A254" s="8">
        <v>126</v>
      </c>
      <c r="B254" s="8">
        <v>252</v>
      </c>
      <c r="D254">
        <v>365.42733333333001</v>
      </c>
      <c r="E254">
        <v>198.05133333333001</v>
      </c>
      <c r="F254">
        <v>151.59326599326999</v>
      </c>
      <c r="G254">
        <v>124.72121212121</v>
      </c>
      <c r="I254" s="9">
        <f t="shared" si="26"/>
        <v>73.330121212120005</v>
      </c>
      <c r="J254" s="9">
        <f t="shared" si="27"/>
        <v>213.83406734006002</v>
      </c>
      <c r="K254" s="9">
        <f t="shared" si="24"/>
        <v>73.330121212120005</v>
      </c>
      <c r="L254" s="10">
        <f t="shared" si="21"/>
        <v>0.34293002104058196</v>
      </c>
      <c r="M254" s="10">
        <f t="shared" si="28"/>
        <v>0.35151336921833171</v>
      </c>
      <c r="P254" s="8">
        <f t="shared" si="29"/>
        <v>-3.9806735398006445</v>
      </c>
    </row>
    <row r="255" spans="1:16" x14ac:dyDescent="0.2">
      <c r="A255" s="8">
        <v>126.5</v>
      </c>
      <c r="B255" s="8">
        <v>253</v>
      </c>
      <c r="D255">
        <v>367.65466666666998</v>
      </c>
      <c r="E255">
        <v>198.55666666667</v>
      </c>
      <c r="F255">
        <v>151.27744107743999</v>
      </c>
      <c r="G255">
        <v>125.16902356902</v>
      </c>
      <c r="I255" s="9">
        <f t="shared" si="26"/>
        <v>73.387643097649999</v>
      </c>
      <c r="J255" s="9">
        <f t="shared" si="27"/>
        <v>216.37722558922999</v>
      </c>
      <c r="K255" s="9">
        <f t="shared" si="24"/>
        <v>73.387643097649999</v>
      </c>
      <c r="L255" s="10">
        <f t="shared" si="21"/>
        <v>0.33916528367439613</v>
      </c>
      <c r="M255" s="10">
        <f t="shared" si="28"/>
        <v>0.34778269275761314</v>
      </c>
      <c r="P255" s="8">
        <f t="shared" si="29"/>
        <v>-4.9997444269071352</v>
      </c>
    </row>
    <row r="256" spans="1:16" x14ac:dyDescent="0.2">
      <c r="A256" s="8">
        <v>127</v>
      </c>
      <c r="B256" s="8">
        <v>254</v>
      </c>
      <c r="D256">
        <v>372.46693386774001</v>
      </c>
      <c r="E256">
        <v>201.99198396794</v>
      </c>
      <c r="F256">
        <v>151.70639730639999</v>
      </c>
      <c r="G256">
        <v>124.78047138047</v>
      </c>
      <c r="I256" s="9">
        <f t="shared" si="26"/>
        <v>77.211512587469997</v>
      </c>
      <c r="J256" s="9">
        <f t="shared" si="27"/>
        <v>220.76053656134002</v>
      </c>
      <c r="K256" s="9">
        <f t="shared" si="24"/>
        <v>77.211512587469997</v>
      </c>
      <c r="L256" s="10">
        <f t="shared" si="21"/>
        <v>0.34975233250538951</v>
      </c>
      <c r="M256" s="10">
        <f t="shared" si="28"/>
        <v>0.35840380249407378</v>
      </c>
      <c r="P256" s="8">
        <f t="shared" si="29"/>
        <v>-2.0984840696620077</v>
      </c>
    </row>
    <row r="257" spans="1:16" x14ac:dyDescent="0.2">
      <c r="A257" s="8">
        <v>127.5</v>
      </c>
      <c r="B257" s="8">
        <v>255</v>
      </c>
      <c r="D257">
        <v>374.91115564462001</v>
      </c>
      <c r="E257">
        <v>203.42084168337001</v>
      </c>
      <c r="F257">
        <v>151.50235690235999</v>
      </c>
      <c r="G257">
        <v>124.52727272727</v>
      </c>
      <c r="I257" s="9">
        <f t="shared" si="26"/>
        <v>78.893568956100012</v>
      </c>
      <c r="J257" s="9">
        <f t="shared" si="27"/>
        <v>223.40879874226002</v>
      </c>
      <c r="K257" s="9">
        <f t="shared" si="24"/>
        <v>78.893568956100012</v>
      </c>
      <c r="L257" s="10">
        <f t="shared" si="21"/>
        <v>0.35313546019786418</v>
      </c>
      <c r="M257" s="10">
        <f t="shared" si="28"/>
        <v>0.36182099109201571</v>
      </c>
      <c r="P257" s="8">
        <f t="shared" si="29"/>
        <v>-1.1650454687590128</v>
      </c>
    </row>
    <row r="258" spans="1:16" x14ac:dyDescent="0.2">
      <c r="A258" s="8">
        <v>128</v>
      </c>
      <c r="B258" s="8">
        <v>256</v>
      </c>
      <c r="D258">
        <v>366.90412782956003</v>
      </c>
      <c r="E258">
        <v>199.19906790945001</v>
      </c>
      <c r="F258">
        <v>151.82154882155001</v>
      </c>
      <c r="G258">
        <v>124.5037037037</v>
      </c>
      <c r="I258" s="9">
        <f t="shared" si="26"/>
        <v>74.69536420575001</v>
      </c>
      <c r="J258" s="9">
        <f t="shared" si="27"/>
        <v>215.08257900801001</v>
      </c>
      <c r="K258" s="9">
        <f t="shared" si="24"/>
        <v>74.69536420575001</v>
      </c>
      <c r="L258" s="10">
        <f t="shared" ref="L258:L321" si="30">K258/J258</f>
        <v>0.34728690975464005</v>
      </c>
      <c r="M258" s="10">
        <f t="shared" si="28"/>
        <v>0.35600650155425884</v>
      </c>
      <c r="P258" s="8">
        <f t="shared" si="29"/>
        <v>-2.7533303478428519</v>
      </c>
    </row>
    <row r="259" spans="1:16" x14ac:dyDescent="0.2">
      <c r="A259" s="8">
        <v>128.5</v>
      </c>
      <c r="B259" s="8">
        <v>257</v>
      </c>
      <c r="D259">
        <v>366.87083888148999</v>
      </c>
      <c r="E259">
        <v>199.22902796272001</v>
      </c>
      <c r="F259">
        <v>151.78922558923</v>
      </c>
      <c r="G259">
        <v>124.20336700337</v>
      </c>
      <c r="I259" s="9">
        <f t="shared" si="26"/>
        <v>75.025660959350006</v>
      </c>
      <c r="J259" s="9">
        <f t="shared" si="27"/>
        <v>215.08161329225999</v>
      </c>
      <c r="K259" s="9">
        <f t="shared" ref="K259:K322" si="31">I259*1</f>
        <v>75.025660959350006</v>
      </c>
      <c r="L259" s="10">
        <f t="shared" si="30"/>
        <v>0.34882415010251322</v>
      </c>
      <c r="M259" s="10">
        <f t="shared" si="28"/>
        <v>0.35757780280759927</v>
      </c>
      <c r="P259" s="8">
        <f t="shared" si="29"/>
        <v>-2.3241139901625738</v>
      </c>
    </row>
    <row r="260" spans="1:16" x14ac:dyDescent="0.2">
      <c r="A260" s="8">
        <v>129</v>
      </c>
      <c r="B260" s="8">
        <v>258</v>
      </c>
      <c r="D260">
        <v>368.11850865512997</v>
      </c>
      <c r="E260">
        <v>200.05525965379999</v>
      </c>
      <c r="F260">
        <v>151.96565656566</v>
      </c>
      <c r="G260">
        <v>124.53265993266</v>
      </c>
      <c r="I260" s="9">
        <f t="shared" si="26"/>
        <v>75.522599721139997</v>
      </c>
      <c r="J260" s="9">
        <f t="shared" si="27"/>
        <v>216.15285208946997</v>
      </c>
      <c r="K260" s="9">
        <f t="shared" si="31"/>
        <v>75.522599721139997</v>
      </c>
      <c r="L260" s="10">
        <f t="shared" si="30"/>
        <v>0.34939441691881856</v>
      </c>
      <c r="M260" s="10">
        <f t="shared" si="28"/>
        <v>0.35818213052937187</v>
      </c>
      <c r="P260" s="8">
        <f t="shared" si="29"/>
        <v>-2.1590359422497216</v>
      </c>
    </row>
    <row r="261" spans="1:16" x14ac:dyDescent="0.2">
      <c r="A261" s="8">
        <v>129.5</v>
      </c>
      <c r="B261" s="8">
        <v>259</v>
      </c>
      <c r="D261">
        <v>370.65246338216002</v>
      </c>
      <c r="E261">
        <v>200.26964047935999</v>
      </c>
      <c r="F261">
        <v>151.62222222221999</v>
      </c>
      <c r="G261">
        <v>124.82962962963001</v>
      </c>
      <c r="I261" s="9">
        <f t="shared" si="26"/>
        <v>75.440010849729987</v>
      </c>
      <c r="J261" s="9">
        <f t="shared" si="27"/>
        <v>219.03024115994003</v>
      </c>
      <c r="K261" s="9">
        <f t="shared" si="31"/>
        <v>75.440010849729987</v>
      </c>
      <c r="L261" s="10">
        <f t="shared" si="30"/>
        <v>0.34442737427587572</v>
      </c>
      <c r="M261" s="10">
        <f t="shared" si="28"/>
        <v>0.35324914879189628</v>
      </c>
      <c r="P261" s="8">
        <f t="shared" si="29"/>
        <v>-3.506528314804886</v>
      </c>
    </row>
    <row r="262" spans="1:16" x14ac:dyDescent="0.2">
      <c r="A262" s="8">
        <v>130</v>
      </c>
      <c r="B262" s="8">
        <v>260</v>
      </c>
      <c r="D262">
        <v>370.71837549933002</v>
      </c>
      <c r="E262">
        <v>200.55259653795</v>
      </c>
      <c r="F262">
        <v>151.81077441076999</v>
      </c>
      <c r="G262">
        <v>124.56632996633</v>
      </c>
      <c r="I262" s="9">
        <f t="shared" si="26"/>
        <v>75.986266571619993</v>
      </c>
      <c r="J262" s="9">
        <f t="shared" si="27"/>
        <v>218.90760108856003</v>
      </c>
      <c r="K262" s="9">
        <f t="shared" si="31"/>
        <v>75.986266571619993</v>
      </c>
      <c r="L262" s="10">
        <f t="shared" si="30"/>
        <v>0.34711570632432914</v>
      </c>
      <c r="M262" s="10">
        <f t="shared" si="28"/>
        <v>0.35597154174581697</v>
      </c>
      <c r="P262" s="8">
        <f t="shared" si="29"/>
        <v>-2.7628799626049605</v>
      </c>
    </row>
    <row r="263" spans="1:16" x14ac:dyDescent="0.2">
      <c r="A263" s="8">
        <v>130.5</v>
      </c>
      <c r="B263" s="8">
        <v>261</v>
      </c>
      <c r="D263">
        <v>373.02427511799999</v>
      </c>
      <c r="E263">
        <v>201.55293324343</v>
      </c>
      <c r="F263">
        <v>151.86329966330001</v>
      </c>
      <c r="G263">
        <v>124.57171717172</v>
      </c>
      <c r="I263" s="9">
        <f t="shared" si="26"/>
        <v>76.981216071710008</v>
      </c>
      <c r="J263" s="9">
        <f t="shared" si="27"/>
        <v>221.16097545469998</v>
      </c>
      <c r="K263" s="9">
        <f t="shared" si="31"/>
        <v>76.981216071710008</v>
      </c>
      <c r="L263" s="10">
        <f t="shared" si="30"/>
        <v>0.3480777560934476</v>
      </c>
      <c r="M263" s="10">
        <f t="shared" si="28"/>
        <v>0.35696765242040268</v>
      </c>
      <c r="P263" s="8">
        <f t="shared" si="29"/>
        <v>-2.4907825562780688</v>
      </c>
    </row>
    <row r="264" spans="1:16" x14ac:dyDescent="0.2">
      <c r="A264" s="8">
        <v>131</v>
      </c>
      <c r="B264" s="8">
        <v>262</v>
      </c>
      <c r="D264">
        <v>377.69386378962002</v>
      </c>
      <c r="E264">
        <v>204.43223196224</v>
      </c>
      <c r="F264">
        <v>151.05319865320001</v>
      </c>
      <c r="G264">
        <v>124.31717171717</v>
      </c>
      <c r="I264" s="9">
        <f t="shared" si="26"/>
        <v>80.115060245069998</v>
      </c>
      <c r="J264" s="9">
        <f t="shared" si="27"/>
        <v>226.64066513642001</v>
      </c>
      <c r="K264" s="9">
        <f t="shared" si="31"/>
        <v>80.115060245069998</v>
      </c>
      <c r="L264" s="10">
        <f t="shared" si="30"/>
        <v>0.35348934489248424</v>
      </c>
      <c r="M264" s="10">
        <f t="shared" si="28"/>
        <v>0.36241330212490658</v>
      </c>
      <c r="P264" s="8">
        <f t="shared" si="29"/>
        <v>-1.0032498973427773</v>
      </c>
    </row>
    <row r="265" spans="1:16" x14ac:dyDescent="0.2">
      <c r="A265" s="8">
        <v>131.5</v>
      </c>
      <c r="B265" s="8">
        <v>263</v>
      </c>
      <c r="D265">
        <v>363.66442953019998</v>
      </c>
      <c r="E265">
        <v>197.96308724831999</v>
      </c>
      <c r="F265">
        <v>151.76969696969999</v>
      </c>
      <c r="G265">
        <v>124.80336700337</v>
      </c>
      <c r="I265" s="9">
        <f t="shared" si="26"/>
        <v>73.159720244949995</v>
      </c>
      <c r="J265" s="9">
        <f t="shared" si="27"/>
        <v>211.89473256049999</v>
      </c>
      <c r="K265" s="9">
        <f t="shared" si="31"/>
        <v>73.159720244949995</v>
      </c>
      <c r="L265" s="10">
        <f t="shared" si="30"/>
        <v>0.34526445920056792</v>
      </c>
      <c r="M265" s="10">
        <f t="shared" si="28"/>
        <v>0.35422247733845752</v>
      </c>
      <c r="P265" s="8">
        <f t="shared" si="29"/>
        <v>-3.2406540703255935</v>
      </c>
    </row>
    <row r="266" spans="1:16" x14ac:dyDescent="0.2">
      <c r="A266" s="8">
        <v>132</v>
      </c>
      <c r="B266" s="8">
        <v>264</v>
      </c>
      <c r="D266">
        <v>368.10268456376002</v>
      </c>
      <c r="E266">
        <v>199.49395973154</v>
      </c>
      <c r="F266">
        <v>151.09494949494999</v>
      </c>
      <c r="G266">
        <v>124.41548821549</v>
      </c>
      <c r="I266" s="9">
        <f t="shared" si="26"/>
        <v>75.078471516050001</v>
      </c>
      <c r="J266" s="9">
        <f t="shared" si="27"/>
        <v>217.00773506881004</v>
      </c>
      <c r="K266" s="9">
        <f t="shared" si="31"/>
        <v>75.078471516050001</v>
      </c>
      <c r="L266" s="10">
        <f t="shared" si="30"/>
        <v>0.34597140738897486</v>
      </c>
      <c r="M266" s="10">
        <f t="shared" si="28"/>
        <v>0.35496348643233172</v>
      </c>
      <c r="P266" s="8">
        <f t="shared" si="29"/>
        <v>-3.0382401642687515</v>
      </c>
    </row>
    <row r="267" spans="1:16" x14ac:dyDescent="0.2">
      <c r="A267" s="8">
        <v>132.5</v>
      </c>
      <c r="B267" s="8">
        <v>265</v>
      </c>
      <c r="D267">
        <v>360.90585070612002</v>
      </c>
      <c r="E267">
        <v>195.80497646268</v>
      </c>
      <c r="F267">
        <v>151.53333333333001</v>
      </c>
      <c r="G267">
        <v>124.58451178451</v>
      </c>
      <c r="I267" s="9">
        <f t="shared" si="26"/>
        <v>71.220464678170003</v>
      </c>
      <c r="J267" s="9">
        <f t="shared" si="27"/>
        <v>209.37251737279001</v>
      </c>
      <c r="K267" s="9">
        <f t="shared" si="31"/>
        <v>71.220464678170003</v>
      </c>
      <c r="L267" s="10">
        <f t="shared" si="30"/>
        <v>0.34016147664385771</v>
      </c>
      <c r="M267" s="10">
        <f t="shared" si="28"/>
        <v>0.34918761659268183</v>
      </c>
      <c r="P267" s="8">
        <f t="shared" si="29"/>
        <v>-4.6159756938112784</v>
      </c>
    </row>
    <row r="268" spans="1:16" x14ac:dyDescent="0.2">
      <c r="A268" s="8">
        <v>133</v>
      </c>
      <c r="B268" s="8">
        <v>266</v>
      </c>
      <c r="D268">
        <v>360.21519838601</v>
      </c>
      <c r="E268">
        <v>196.43241425689001</v>
      </c>
      <c r="F268">
        <v>151.40202020202</v>
      </c>
      <c r="G268">
        <v>124.12525252525</v>
      </c>
      <c r="I268" s="9">
        <f t="shared" si="26"/>
        <v>72.307161731640008</v>
      </c>
      <c r="J268" s="9">
        <f t="shared" si="27"/>
        <v>208.81317818399</v>
      </c>
      <c r="K268" s="9">
        <f t="shared" si="31"/>
        <v>72.307161731640008</v>
      </c>
      <c r="L268" s="10">
        <f t="shared" si="30"/>
        <v>0.3462768124142459</v>
      </c>
      <c r="M268" s="10">
        <f t="shared" si="28"/>
        <v>0.35533701326853728</v>
      </c>
      <c r="P268" s="8">
        <f t="shared" si="29"/>
        <v>-2.9362076432667115</v>
      </c>
    </row>
    <row r="269" spans="1:16" x14ac:dyDescent="0.2">
      <c r="A269" s="8">
        <v>133.5</v>
      </c>
      <c r="B269" s="8">
        <v>267</v>
      </c>
      <c r="D269">
        <v>360.10759919301</v>
      </c>
      <c r="E269">
        <v>194.54808338938</v>
      </c>
      <c r="F269">
        <v>151.17306397306001</v>
      </c>
      <c r="G269">
        <v>124.49831649831999</v>
      </c>
      <c r="I269" s="9">
        <f t="shared" si="26"/>
        <v>70.049766891060003</v>
      </c>
      <c r="J269" s="9">
        <f t="shared" si="27"/>
        <v>208.93453521994999</v>
      </c>
      <c r="K269" s="9">
        <f t="shared" si="31"/>
        <v>70.049766891060003</v>
      </c>
      <c r="L269" s="10">
        <f t="shared" si="30"/>
        <v>0.33527136534569102</v>
      </c>
      <c r="M269" s="10">
        <f t="shared" si="28"/>
        <v>0.34436562710544971</v>
      </c>
      <c r="P269" s="8">
        <f t="shared" si="29"/>
        <v>-5.933149443964175</v>
      </c>
    </row>
    <row r="270" spans="1:16" x14ac:dyDescent="0.2">
      <c r="A270" s="8">
        <v>134</v>
      </c>
      <c r="B270" s="8">
        <v>268</v>
      </c>
      <c r="D270">
        <v>360.96839273705001</v>
      </c>
      <c r="E270">
        <v>195.94418291862999</v>
      </c>
      <c r="F270">
        <v>151.42558922558999</v>
      </c>
      <c r="G270">
        <v>124.1595959596</v>
      </c>
      <c r="I270" s="9">
        <f t="shared" si="26"/>
        <v>71.784586959029994</v>
      </c>
      <c r="J270" s="9">
        <f t="shared" si="27"/>
        <v>209.54280351146002</v>
      </c>
      <c r="K270" s="9">
        <f t="shared" si="31"/>
        <v>71.784586959029994</v>
      </c>
      <c r="L270" s="10">
        <f t="shared" si="30"/>
        <v>0.34257720024779592</v>
      </c>
      <c r="M270" s="10">
        <f t="shared" si="28"/>
        <v>0.35170552291302187</v>
      </c>
      <c r="P270" s="8">
        <f t="shared" si="29"/>
        <v>-3.9281848723510469</v>
      </c>
    </row>
    <row r="271" spans="1:16" x14ac:dyDescent="0.2">
      <c r="A271" s="8">
        <v>134.5</v>
      </c>
      <c r="B271" s="8">
        <v>269</v>
      </c>
      <c r="D271">
        <v>360.08406186953999</v>
      </c>
      <c r="E271">
        <v>196.59852051109999</v>
      </c>
      <c r="F271">
        <v>151.4303030303</v>
      </c>
      <c r="G271">
        <v>124.25723905724</v>
      </c>
      <c r="I271" s="9">
        <f t="shared" si="26"/>
        <v>72.341281453859992</v>
      </c>
      <c r="J271" s="9">
        <f t="shared" si="27"/>
        <v>208.65375883924</v>
      </c>
      <c r="K271" s="9">
        <f t="shared" si="31"/>
        <v>72.341281453859992</v>
      </c>
      <c r="L271" s="10">
        <f t="shared" si="30"/>
        <v>0.34670490412586469</v>
      </c>
      <c r="M271" s="10">
        <f t="shared" si="28"/>
        <v>0.3558672876965579</v>
      </c>
      <c r="P271" s="8">
        <f t="shared" si="29"/>
        <v>-2.7913579792814369</v>
      </c>
    </row>
    <row r="272" spans="1:16" x14ac:dyDescent="0.2">
      <c r="A272" s="8">
        <v>135</v>
      </c>
      <c r="B272" s="8">
        <v>270</v>
      </c>
      <c r="D272">
        <v>363.57498318762998</v>
      </c>
      <c r="E272">
        <v>198.47410894417999</v>
      </c>
      <c r="F272">
        <v>151.36767676768</v>
      </c>
      <c r="G272">
        <v>124.70841750842</v>
      </c>
      <c r="I272" s="9">
        <f t="shared" si="26"/>
        <v>73.76569143575999</v>
      </c>
      <c r="J272" s="9">
        <f t="shared" si="27"/>
        <v>212.20730641994999</v>
      </c>
      <c r="K272" s="9">
        <f t="shared" si="31"/>
        <v>73.76569143575999</v>
      </c>
      <c r="L272" s="10">
        <f t="shared" si="30"/>
        <v>0.34761145919161029</v>
      </c>
      <c r="M272" s="10">
        <f t="shared" si="28"/>
        <v>0.35680790366777076</v>
      </c>
      <c r="P272" s="8">
        <f t="shared" si="29"/>
        <v>-2.5344194957910187</v>
      </c>
    </row>
    <row r="273" spans="1:16" x14ac:dyDescent="0.2">
      <c r="A273" s="8">
        <v>135.5</v>
      </c>
      <c r="B273" s="8">
        <v>271</v>
      </c>
      <c r="D273">
        <v>350.38601210490998</v>
      </c>
      <c r="E273">
        <v>192.48957632817999</v>
      </c>
      <c r="F273">
        <v>151.18787878788001</v>
      </c>
      <c r="G273">
        <v>124.86734006734</v>
      </c>
      <c r="I273" s="9">
        <f t="shared" si="26"/>
        <v>67.622236260839998</v>
      </c>
      <c r="J273" s="9">
        <f t="shared" si="27"/>
        <v>199.19813331702997</v>
      </c>
      <c r="K273" s="9">
        <f t="shared" si="31"/>
        <v>67.622236260839998</v>
      </c>
      <c r="L273" s="10">
        <f t="shared" si="30"/>
        <v>0.33947223869421067</v>
      </c>
      <c r="M273" s="10">
        <f t="shared" si="28"/>
        <v>0.3487027440758384</v>
      </c>
      <c r="P273" s="8">
        <f t="shared" si="29"/>
        <v>-4.7484233801962876</v>
      </c>
    </row>
    <row r="274" spans="1:16" x14ac:dyDescent="0.2">
      <c r="A274" s="8">
        <v>136</v>
      </c>
      <c r="B274" s="8">
        <v>272</v>
      </c>
      <c r="D274">
        <v>367.82754010694998</v>
      </c>
      <c r="E274">
        <v>201.22459893048</v>
      </c>
      <c r="F274">
        <v>151.35757575758001</v>
      </c>
      <c r="G274">
        <v>124.34478114478</v>
      </c>
      <c r="I274" s="9">
        <f t="shared" si="26"/>
        <v>76.879817785699998</v>
      </c>
      <c r="J274" s="9">
        <f t="shared" si="27"/>
        <v>216.46996434936997</v>
      </c>
      <c r="K274" s="9">
        <f t="shared" si="31"/>
        <v>76.879817785699998</v>
      </c>
      <c r="L274" s="10">
        <f t="shared" si="30"/>
        <v>0.35515235574031151</v>
      </c>
      <c r="M274" s="10">
        <f t="shared" si="28"/>
        <v>0.3644169220274065</v>
      </c>
      <c r="P274" s="8">
        <f t="shared" si="29"/>
        <v>-0.45594145798496194</v>
      </c>
    </row>
    <row r="275" spans="1:16" x14ac:dyDescent="0.2">
      <c r="A275" s="8">
        <v>136.5</v>
      </c>
      <c r="B275" s="8">
        <v>273</v>
      </c>
      <c r="D275">
        <v>368.50133689839998</v>
      </c>
      <c r="E275">
        <v>201.56550802139</v>
      </c>
      <c r="F275">
        <v>151.37037037037001</v>
      </c>
      <c r="G275">
        <v>124.4</v>
      </c>
      <c r="I275" s="9">
        <f>E275-G275</f>
        <v>77.165508021389996</v>
      </c>
      <c r="J275" s="9">
        <f>D275-F275</f>
        <v>217.13096652802997</v>
      </c>
      <c r="K275" s="9">
        <f t="shared" si="31"/>
        <v>77.165508021389996</v>
      </c>
      <c r="L275" s="10">
        <f t="shared" si="30"/>
        <v>0.35538693192999032</v>
      </c>
      <c r="M275" s="10">
        <f>L275+ABS($N$2)*A275</f>
        <v>0.36468555912255257</v>
      </c>
      <c r="O275" s="11"/>
      <c r="P275" s="8">
        <f>(M275-$O$2)/$O$2*100</f>
        <v>-0.38256059911319273</v>
      </c>
    </row>
    <row r="276" spans="1:16" x14ac:dyDescent="0.2">
      <c r="A276" s="8">
        <v>137</v>
      </c>
      <c r="B276" s="8">
        <v>274</v>
      </c>
      <c r="D276">
        <v>367.83556149732999</v>
      </c>
      <c r="E276">
        <v>201.34224598930999</v>
      </c>
      <c r="F276">
        <v>151.05387205387001</v>
      </c>
      <c r="G276">
        <v>124.12255892256</v>
      </c>
      <c r="I276" s="9">
        <f t="shared" ref="I276:I291" si="32">E276-G276</f>
        <v>77.219687066749984</v>
      </c>
      <c r="J276" s="9">
        <f t="shared" ref="J276:J291" si="33">D276-F276</f>
        <v>216.78168944345998</v>
      </c>
      <c r="K276" s="9">
        <f t="shared" si="31"/>
        <v>77.219687066749984</v>
      </c>
      <c r="L276" s="10">
        <f t="shared" si="30"/>
        <v>0.35620945322916708</v>
      </c>
      <c r="M276" s="10">
        <f t="shared" ref="M276:M291" si="34">L276+ABS($N$2)*A276</f>
        <v>0.36554214132719659</v>
      </c>
      <c r="P276" s="8">
        <f t="shared" ref="P276:P291" si="35">(M276-$O$2)/$O$2*100</f>
        <v>-0.14857676364596983</v>
      </c>
    </row>
    <row r="277" spans="1:16" x14ac:dyDescent="0.2">
      <c r="A277" s="8">
        <v>137.5</v>
      </c>
      <c r="B277" s="8">
        <v>275</v>
      </c>
      <c r="D277">
        <v>363.00468854655003</v>
      </c>
      <c r="E277">
        <v>198.70127260549</v>
      </c>
      <c r="F277">
        <v>152.01010101009999</v>
      </c>
      <c r="G277">
        <v>124.31380471381</v>
      </c>
      <c r="I277" s="9">
        <f t="shared" si="32"/>
        <v>74.387467891680004</v>
      </c>
      <c r="J277" s="9">
        <f t="shared" si="33"/>
        <v>210.99458753645004</v>
      </c>
      <c r="K277" s="9">
        <f t="shared" si="31"/>
        <v>74.387467891680004</v>
      </c>
      <c r="L277" s="10">
        <f t="shared" si="30"/>
        <v>0.35255628478540624</v>
      </c>
      <c r="M277" s="10">
        <f t="shared" si="34"/>
        <v>0.361923033788903</v>
      </c>
      <c r="N277" s="1"/>
      <c r="P277" s="8">
        <f t="shared" si="35"/>
        <v>-1.137171504684507</v>
      </c>
    </row>
    <row r="278" spans="1:16" x14ac:dyDescent="0.2">
      <c r="A278" s="8">
        <v>138</v>
      </c>
      <c r="B278" s="8">
        <v>276</v>
      </c>
      <c r="D278">
        <v>363.49497655726998</v>
      </c>
      <c r="E278">
        <v>198.59075686537</v>
      </c>
      <c r="F278">
        <v>150.95892255891999</v>
      </c>
      <c r="G278">
        <v>124.26531986532</v>
      </c>
      <c r="I278" s="9">
        <f t="shared" si="32"/>
        <v>74.325437000050002</v>
      </c>
      <c r="J278" s="9">
        <f t="shared" si="33"/>
        <v>212.53605399834998</v>
      </c>
      <c r="K278" s="9">
        <f t="shared" si="31"/>
        <v>74.325437000050002</v>
      </c>
      <c r="L278" s="10">
        <f t="shared" si="30"/>
        <v>0.349707428936396</v>
      </c>
      <c r="M278" s="10">
        <f t="shared" si="34"/>
        <v>0.35910823884536003</v>
      </c>
      <c r="P278" s="8">
        <f t="shared" si="35"/>
        <v>-1.9060603671581804</v>
      </c>
    </row>
    <row r="279" spans="1:16" x14ac:dyDescent="0.2">
      <c r="A279" s="8">
        <v>138.5</v>
      </c>
      <c r="B279" s="8">
        <v>277</v>
      </c>
      <c r="D279">
        <v>362.88613529806003</v>
      </c>
      <c r="E279">
        <v>199.72538513060999</v>
      </c>
      <c r="F279">
        <v>151.02962962962999</v>
      </c>
      <c r="G279">
        <v>124.09696969697001</v>
      </c>
      <c r="I279" s="9">
        <f t="shared" si="32"/>
        <v>75.628415433639987</v>
      </c>
      <c r="J279" s="9">
        <f t="shared" si="33"/>
        <v>211.85650566843003</v>
      </c>
      <c r="K279" s="9">
        <f t="shared" si="31"/>
        <v>75.628415433639987</v>
      </c>
      <c r="L279" s="10">
        <f t="shared" si="30"/>
        <v>0.35697943376826785</v>
      </c>
      <c r="M279" s="10">
        <f t="shared" si="34"/>
        <v>0.36641430458269914</v>
      </c>
      <c r="P279" s="8">
        <f t="shared" si="35"/>
        <v>8.9663188771526375E-2</v>
      </c>
    </row>
    <row r="280" spans="1:16" x14ac:dyDescent="0.2">
      <c r="A280" s="8">
        <v>139</v>
      </c>
      <c r="B280" s="8">
        <v>278</v>
      </c>
      <c r="D280">
        <v>361.03478260870003</v>
      </c>
      <c r="E280">
        <v>197.52642140468001</v>
      </c>
      <c r="F280">
        <v>151.10437710438001</v>
      </c>
      <c r="G280">
        <v>124.03164983165</v>
      </c>
      <c r="I280" s="9">
        <f t="shared" si="32"/>
        <v>73.494771573030008</v>
      </c>
      <c r="J280" s="9">
        <f t="shared" si="33"/>
        <v>209.93040550432002</v>
      </c>
      <c r="K280" s="9">
        <f t="shared" si="31"/>
        <v>73.494771573030008</v>
      </c>
      <c r="L280" s="10">
        <f t="shared" si="30"/>
        <v>0.35009112375347462</v>
      </c>
      <c r="M280" s="10">
        <f t="shared" si="34"/>
        <v>0.35956005547337316</v>
      </c>
      <c r="P280" s="8">
        <f t="shared" si="35"/>
        <v>-1.7826422212088193</v>
      </c>
    </row>
    <row r="281" spans="1:16" x14ac:dyDescent="0.2">
      <c r="A281" s="8">
        <v>139.5</v>
      </c>
      <c r="B281" s="8">
        <v>279</v>
      </c>
      <c r="D281">
        <v>349.99130434783001</v>
      </c>
      <c r="E281">
        <v>193.36254180602</v>
      </c>
      <c r="F281">
        <v>150.74747474748</v>
      </c>
      <c r="G281">
        <v>124.13131313130999</v>
      </c>
      <c r="I281" s="9">
        <f t="shared" si="32"/>
        <v>69.23122867471001</v>
      </c>
      <c r="J281" s="9">
        <f t="shared" si="33"/>
        <v>199.24382960035001</v>
      </c>
      <c r="K281" s="9">
        <f t="shared" si="31"/>
        <v>69.23122867471001</v>
      </c>
      <c r="L281" s="10">
        <f t="shared" si="30"/>
        <v>0.347469875546843</v>
      </c>
      <c r="M281" s="10">
        <f t="shared" si="34"/>
        <v>0.3569728681722088</v>
      </c>
      <c r="P281" s="8">
        <f t="shared" si="35"/>
        <v>-2.4893578224862334</v>
      </c>
    </row>
    <row r="282" spans="1:16" x14ac:dyDescent="0.2">
      <c r="A282" s="8">
        <v>140</v>
      </c>
      <c r="B282" s="8">
        <v>280</v>
      </c>
      <c r="D282">
        <v>352.97725752508001</v>
      </c>
      <c r="E282">
        <v>194.90836120400999</v>
      </c>
      <c r="F282">
        <v>150.35892255892</v>
      </c>
      <c r="G282">
        <v>124.08552188552</v>
      </c>
      <c r="I282" s="9">
        <f t="shared" si="32"/>
        <v>70.822839318489997</v>
      </c>
      <c r="J282" s="9">
        <f t="shared" si="33"/>
        <v>202.61833496616001</v>
      </c>
      <c r="K282" s="9">
        <f t="shared" si="31"/>
        <v>70.822839318489997</v>
      </c>
      <c r="L282" s="10">
        <f t="shared" si="30"/>
        <v>0.34953815670392496</v>
      </c>
      <c r="M282" s="10">
        <f t="shared" si="34"/>
        <v>0.35907521023475802</v>
      </c>
      <c r="P282" s="8">
        <f t="shared" si="35"/>
        <v>-1.9150824562780704</v>
      </c>
    </row>
    <row r="283" spans="1:16" x14ac:dyDescent="0.2">
      <c r="A283" s="8">
        <v>140.5</v>
      </c>
      <c r="B283" s="8">
        <v>281</v>
      </c>
      <c r="D283">
        <v>366.23714094856001</v>
      </c>
      <c r="E283">
        <v>200.91583166333001</v>
      </c>
      <c r="F283">
        <v>151.18114478115001</v>
      </c>
      <c r="G283">
        <v>124.32188552189</v>
      </c>
      <c r="I283" s="9">
        <f t="shared" si="32"/>
        <v>76.593946141440014</v>
      </c>
      <c r="J283" s="9">
        <f t="shared" si="33"/>
        <v>215.05599616741</v>
      </c>
      <c r="K283" s="9">
        <f t="shared" si="31"/>
        <v>76.593946141440014</v>
      </c>
      <c r="L283" s="10">
        <f t="shared" si="30"/>
        <v>0.35615815186020472</v>
      </c>
      <c r="M283" s="10">
        <f t="shared" si="34"/>
        <v>0.36572926629650504</v>
      </c>
      <c r="P283" s="8">
        <f t="shared" si="35"/>
        <v>-9.7461741884954559E-2</v>
      </c>
    </row>
    <row r="284" spans="1:16" x14ac:dyDescent="0.2">
      <c r="A284" s="8">
        <v>141</v>
      </c>
      <c r="B284" s="8">
        <v>282</v>
      </c>
      <c r="D284">
        <v>364.87866666666997</v>
      </c>
      <c r="E284">
        <v>198.61866666667001</v>
      </c>
      <c r="F284">
        <v>150.67744107743999</v>
      </c>
      <c r="G284">
        <v>124.19191919191999</v>
      </c>
      <c r="I284" s="9">
        <f t="shared" si="32"/>
        <v>74.426747474750016</v>
      </c>
      <c r="J284" s="9">
        <f t="shared" si="33"/>
        <v>214.20122558922998</v>
      </c>
      <c r="K284" s="9">
        <f t="shared" si="31"/>
        <v>74.426747474750016</v>
      </c>
      <c r="L284" s="10">
        <f t="shared" si="30"/>
        <v>0.3474618189976042</v>
      </c>
      <c r="M284" s="10">
        <f t="shared" si="34"/>
        <v>0.35706699433937178</v>
      </c>
      <c r="P284" s="8">
        <f t="shared" si="35"/>
        <v>-2.4636463361966303</v>
      </c>
    </row>
    <row r="285" spans="1:16" x14ac:dyDescent="0.2">
      <c r="A285" s="8">
        <v>141.5</v>
      </c>
      <c r="B285" s="8">
        <v>283</v>
      </c>
      <c r="D285">
        <v>360.84866666667</v>
      </c>
      <c r="E285">
        <v>197.76866666666999</v>
      </c>
      <c r="F285">
        <v>151.15420875421</v>
      </c>
      <c r="G285">
        <v>124.18249158249</v>
      </c>
      <c r="I285" s="9">
        <f t="shared" si="32"/>
        <v>73.586175084179985</v>
      </c>
      <c r="J285" s="9">
        <f t="shared" si="33"/>
        <v>209.69445791246</v>
      </c>
      <c r="K285" s="9">
        <f t="shared" si="31"/>
        <v>73.586175084179985</v>
      </c>
      <c r="L285" s="10">
        <f t="shared" si="30"/>
        <v>0.35092093428096038</v>
      </c>
      <c r="M285" s="10">
        <f t="shared" si="34"/>
        <v>0.36056017052819522</v>
      </c>
      <c r="P285" s="8">
        <f t="shared" si="35"/>
        <v>-1.5094509791224529</v>
      </c>
    </row>
    <row r="286" spans="1:16" x14ac:dyDescent="0.2">
      <c r="A286" s="8">
        <v>142</v>
      </c>
      <c r="B286" s="8">
        <v>284</v>
      </c>
      <c r="D286">
        <v>369.40842245989001</v>
      </c>
      <c r="E286">
        <v>201.21390374332</v>
      </c>
      <c r="F286">
        <v>151.367003367</v>
      </c>
      <c r="G286">
        <v>124.05925925926</v>
      </c>
      <c r="I286" s="9">
        <f t="shared" si="32"/>
        <v>77.15464448406</v>
      </c>
      <c r="J286" s="9">
        <f t="shared" si="33"/>
        <v>218.04141909289001</v>
      </c>
      <c r="K286" s="9">
        <f t="shared" si="31"/>
        <v>77.15464448406</v>
      </c>
      <c r="L286" s="10">
        <f t="shared" si="30"/>
        <v>0.35385315691414837</v>
      </c>
      <c r="M286" s="10">
        <f t="shared" si="34"/>
        <v>0.36352645406685047</v>
      </c>
      <c r="P286" s="8">
        <f t="shared" si="35"/>
        <v>-0.69918152022529823</v>
      </c>
    </row>
    <row r="287" spans="1:16" x14ac:dyDescent="0.2">
      <c r="A287" s="8">
        <v>142.5</v>
      </c>
      <c r="B287" s="8">
        <v>285</v>
      </c>
      <c r="D287">
        <v>369.56283422460001</v>
      </c>
      <c r="E287">
        <v>202.19184491978999</v>
      </c>
      <c r="F287">
        <v>151.04579124579001</v>
      </c>
      <c r="G287">
        <v>123.89090909091</v>
      </c>
      <c r="I287" s="9">
        <f t="shared" si="32"/>
        <v>78.300935828879986</v>
      </c>
      <c r="J287" s="9">
        <f t="shared" si="33"/>
        <v>218.51704297881</v>
      </c>
      <c r="K287" s="9">
        <f t="shared" si="31"/>
        <v>78.300935828879986</v>
      </c>
      <c r="L287" s="10">
        <f t="shared" si="30"/>
        <v>0.35832873610903188</v>
      </c>
      <c r="M287" s="10">
        <f t="shared" si="34"/>
        <v>0.36803609416720123</v>
      </c>
      <c r="P287" s="8">
        <f t="shared" si="35"/>
        <v>0.53267092958759577</v>
      </c>
    </row>
    <row r="288" spans="1:16" x14ac:dyDescent="0.2">
      <c r="A288" s="8">
        <v>143</v>
      </c>
      <c r="B288" s="8">
        <v>286</v>
      </c>
      <c r="D288">
        <v>370.02204408818</v>
      </c>
      <c r="E288">
        <v>202.5704742819</v>
      </c>
      <c r="F288">
        <v>150.79595959596</v>
      </c>
      <c r="G288">
        <v>124.18451178450999</v>
      </c>
      <c r="I288" s="9">
        <f t="shared" si="32"/>
        <v>78.385962497390011</v>
      </c>
      <c r="J288" s="9">
        <f t="shared" si="33"/>
        <v>219.22608449222</v>
      </c>
      <c r="K288" s="9">
        <f t="shared" si="31"/>
        <v>78.385962497390011</v>
      </c>
      <c r="L288" s="10">
        <f t="shared" si="30"/>
        <v>0.35755764501724618</v>
      </c>
      <c r="M288" s="10">
        <f t="shared" si="34"/>
        <v>0.3672990639808828</v>
      </c>
      <c r="P288" s="8">
        <f t="shared" si="35"/>
        <v>0.33134390117754681</v>
      </c>
    </row>
    <row r="289" spans="1:16" x14ac:dyDescent="0.2">
      <c r="A289" s="8">
        <v>143.5</v>
      </c>
      <c r="B289" s="8">
        <v>287</v>
      </c>
      <c r="D289">
        <v>371.66867067468002</v>
      </c>
      <c r="E289">
        <v>203.39679358717001</v>
      </c>
      <c r="F289">
        <v>150.72457912458</v>
      </c>
      <c r="G289">
        <v>124.1265993266</v>
      </c>
      <c r="I289" s="9">
        <f t="shared" si="32"/>
        <v>79.270194260570008</v>
      </c>
      <c r="J289" s="9">
        <f t="shared" si="33"/>
        <v>220.94409155010001</v>
      </c>
      <c r="K289" s="9">
        <f t="shared" si="31"/>
        <v>79.270194260570008</v>
      </c>
      <c r="L289" s="10">
        <f t="shared" si="30"/>
        <v>0.35877942562041837</v>
      </c>
      <c r="M289" s="10">
        <f t="shared" si="34"/>
        <v>0.36855490548952224</v>
      </c>
      <c r="P289" s="8">
        <f t="shared" si="35"/>
        <v>0.67438933375516885</v>
      </c>
    </row>
    <row r="290" spans="1:16" x14ac:dyDescent="0.2">
      <c r="A290" s="8">
        <v>144</v>
      </c>
      <c r="B290" s="8">
        <v>288</v>
      </c>
      <c r="D290">
        <v>366.83233132932997</v>
      </c>
      <c r="E290">
        <v>202.13961255845001</v>
      </c>
      <c r="F290">
        <v>150.77306397306</v>
      </c>
      <c r="G290">
        <v>124.28148148148</v>
      </c>
      <c r="I290" s="9">
        <f t="shared" si="32"/>
        <v>77.858131076970011</v>
      </c>
      <c r="J290" s="9">
        <f t="shared" si="33"/>
        <v>216.05926735626997</v>
      </c>
      <c r="K290" s="9">
        <f t="shared" si="31"/>
        <v>77.858131076970011</v>
      </c>
      <c r="L290" s="10">
        <f t="shared" si="30"/>
        <v>0.36035543408830595</v>
      </c>
      <c r="M290" s="10">
        <f t="shared" si="34"/>
        <v>0.37016497486287708</v>
      </c>
      <c r="P290" s="8">
        <f t="shared" si="35"/>
        <v>1.1141955838773463</v>
      </c>
    </row>
    <row r="291" spans="1:16" x14ac:dyDescent="0.2">
      <c r="A291" s="8">
        <v>144.5</v>
      </c>
      <c r="B291" s="8">
        <v>289</v>
      </c>
      <c r="D291">
        <v>367.66800267201</v>
      </c>
      <c r="E291">
        <v>201.8496993988</v>
      </c>
      <c r="F291">
        <v>151.01683501683999</v>
      </c>
      <c r="G291">
        <v>123.89292929293001</v>
      </c>
      <c r="I291" s="9">
        <f t="shared" si="32"/>
        <v>77.956770105869992</v>
      </c>
      <c r="J291" s="9">
        <f t="shared" si="33"/>
        <v>216.65116765517001</v>
      </c>
      <c r="K291" s="9">
        <f t="shared" si="31"/>
        <v>77.956770105869992</v>
      </c>
      <c r="L291" s="10">
        <f t="shared" si="30"/>
        <v>0.35982621718406271</v>
      </c>
      <c r="M291" s="10">
        <f t="shared" si="34"/>
        <v>0.36966981886410111</v>
      </c>
      <c r="P291" s="8">
        <f t="shared" si="35"/>
        <v>0.97893886348311954</v>
      </c>
    </row>
    <row r="292" spans="1:16" x14ac:dyDescent="0.2">
      <c r="A292" s="8">
        <v>145</v>
      </c>
      <c r="B292" s="8">
        <v>290</v>
      </c>
      <c r="D292">
        <v>365.96793587174</v>
      </c>
      <c r="E292">
        <v>201.89979959920001</v>
      </c>
      <c r="F292">
        <v>150.72929292929001</v>
      </c>
      <c r="G292">
        <v>123.99124579124999</v>
      </c>
      <c r="I292" s="9">
        <f>E292-G292</f>
        <v>77.908553807950014</v>
      </c>
      <c r="J292" s="9">
        <f>D292-F292</f>
        <v>215.23864294244999</v>
      </c>
      <c r="K292" s="9">
        <f t="shared" si="31"/>
        <v>77.908553807950014</v>
      </c>
      <c r="L292" s="10">
        <f t="shared" si="30"/>
        <v>0.36196359883564694</v>
      </c>
      <c r="M292" s="10">
        <f>L292+ABS($N$2)*A292</f>
        <v>0.37184126142115259</v>
      </c>
      <c r="O292" s="11"/>
      <c r="P292" s="8">
        <f>(M292-$O$2)/$O$2*100</f>
        <v>1.5720897078983511</v>
      </c>
    </row>
    <row r="293" spans="1:16" x14ac:dyDescent="0.2">
      <c r="A293" s="8">
        <v>145.5</v>
      </c>
      <c r="B293" s="8">
        <v>291</v>
      </c>
      <c r="D293">
        <v>364.73947895792003</v>
      </c>
      <c r="E293">
        <v>200.47561790246999</v>
      </c>
      <c r="F293">
        <v>150.82356902357</v>
      </c>
      <c r="G293">
        <v>124.17777777777999</v>
      </c>
      <c r="I293" s="9">
        <f t="shared" ref="I293:I301" si="36">E293-G293</f>
        <v>76.297840124689998</v>
      </c>
      <c r="J293" s="9">
        <f t="shared" ref="J293:J301" si="37">D293-F293</f>
        <v>213.91590993435003</v>
      </c>
      <c r="K293" s="9">
        <f t="shared" si="31"/>
        <v>76.297840124689998</v>
      </c>
      <c r="L293" s="10">
        <f t="shared" si="30"/>
        <v>0.35667211544997057</v>
      </c>
      <c r="M293" s="10">
        <f t="shared" ref="M293:M301" si="38">L293+ABS($N$2)*A293</f>
        <v>0.36658383894094348</v>
      </c>
      <c r="P293" s="8">
        <f t="shared" ref="P293:P301" si="39">(M293-$O$2)/$O$2*100</f>
        <v>0.13597316249082941</v>
      </c>
    </row>
    <row r="294" spans="1:16" x14ac:dyDescent="0.2">
      <c r="A294" s="8">
        <v>146</v>
      </c>
      <c r="B294" s="8">
        <v>292</v>
      </c>
      <c r="D294">
        <v>365.52171008684002</v>
      </c>
      <c r="E294">
        <v>200.44288577154001</v>
      </c>
      <c r="F294">
        <v>150.84646464647</v>
      </c>
      <c r="G294">
        <v>124.0303030303</v>
      </c>
      <c r="I294" s="9">
        <f t="shared" si="36"/>
        <v>76.412582741240001</v>
      </c>
      <c r="J294" s="9">
        <f t="shared" si="37"/>
        <v>214.67524544037002</v>
      </c>
      <c r="K294" s="9">
        <f t="shared" si="31"/>
        <v>76.412582741240001</v>
      </c>
      <c r="L294" s="10">
        <f t="shared" si="30"/>
        <v>0.35594501165932052</v>
      </c>
      <c r="M294" s="10">
        <f t="shared" si="38"/>
        <v>0.36589079605576069</v>
      </c>
      <c r="N294" s="1"/>
      <c r="P294" s="8">
        <f t="shared" si="39"/>
        <v>-5.3338302934408395E-2</v>
      </c>
    </row>
    <row r="295" spans="1:16" x14ac:dyDescent="0.2">
      <c r="A295" s="8">
        <v>146.5</v>
      </c>
      <c r="B295" s="8">
        <v>293</v>
      </c>
      <c r="D295">
        <v>357.50700466977997</v>
      </c>
      <c r="E295">
        <v>197.51967978651999</v>
      </c>
      <c r="F295">
        <v>151.29831649831999</v>
      </c>
      <c r="G295">
        <v>124.04175084175</v>
      </c>
      <c r="I295" s="9">
        <f t="shared" si="36"/>
        <v>73.477928944769985</v>
      </c>
      <c r="J295" s="9">
        <f t="shared" si="37"/>
        <v>206.20868817145998</v>
      </c>
      <c r="K295" s="9">
        <f t="shared" si="31"/>
        <v>73.477928944769985</v>
      </c>
      <c r="L295" s="10">
        <f t="shared" si="30"/>
        <v>0.35632799760441708</v>
      </c>
      <c r="M295" s="10">
        <f t="shared" si="38"/>
        <v>0.36630784290632451</v>
      </c>
      <c r="P295" s="8">
        <f t="shared" si="39"/>
        <v>6.0582137083373067E-2</v>
      </c>
    </row>
    <row r="296" spans="1:16" x14ac:dyDescent="0.2">
      <c r="A296" s="8">
        <v>147</v>
      </c>
      <c r="B296" s="8">
        <v>294</v>
      </c>
      <c r="D296">
        <v>355.00933955970999</v>
      </c>
      <c r="E296">
        <v>197.24416277518</v>
      </c>
      <c r="F296">
        <v>150.35084175084</v>
      </c>
      <c r="G296">
        <v>124.02626262626001</v>
      </c>
      <c r="I296" s="9">
        <f t="shared" si="36"/>
        <v>73.217900148919995</v>
      </c>
      <c r="J296" s="9">
        <f t="shared" si="37"/>
        <v>204.65849780886998</v>
      </c>
      <c r="K296" s="9">
        <f t="shared" si="31"/>
        <v>73.217900148919995</v>
      </c>
      <c r="L296" s="10">
        <f t="shared" si="30"/>
        <v>0.35775646226670732</v>
      </c>
      <c r="M296" s="10">
        <f t="shared" si="38"/>
        <v>0.36777036847408201</v>
      </c>
      <c r="P296" s="8">
        <f t="shared" si="39"/>
        <v>0.46008534875118184</v>
      </c>
    </row>
    <row r="297" spans="1:16" x14ac:dyDescent="0.2">
      <c r="A297" s="8">
        <v>147.5</v>
      </c>
      <c r="B297" s="8">
        <v>295</v>
      </c>
      <c r="D297">
        <v>362.97598398933002</v>
      </c>
      <c r="E297">
        <v>200.97998665777001</v>
      </c>
      <c r="F297">
        <v>150.66464646464999</v>
      </c>
      <c r="G297">
        <v>123.72996632997</v>
      </c>
      <c r="I297" s="9">
        <f t="shared" si="36"/>
        <v>77.250020327800016</v>
      </c>
      <c r="J297" s="9">
        <f t="shared" si="37"/>
        <v>212.31133752468003</v>
      </c>
      <c r="K297" s="9">
        <f t="shared" si="31"/>
        <v>77.250020327800016</v>
      </c>
      <c r="L297" s="10">
        <f t="shared" si="30"/>
        <v>0.36385254423268903</v>
      </c>
      <c r="M297" s="10">
        <f t="shared" si="38"/>
        <v>0.37390051134553098</v>
      </c>
      <c r="P297" s="8">
        <f t="shared" si="39"/>
        <v>2.1345940336704303</v>
      </c>
    </row>
    <row r="298" spans="1:16" x14ac:dyDescent="0.2">
      <c r="A298" s="8">
        <v>148</v>
      </c>
      <c r="B298" s="8">
        <v>296</v>
      </c>
      <c r="D298">
        <v>368.10850636303002</v>
      </c>
      <c r="E298">
        <v>201.68854655057001</v>
      </c>
      <c r="F298">
        <v>150.22222222222001</v>
      </c>
      <c r="G298">
        <v>123.82491582492</v>
      </c>
      <c r="I298" s="9">
        <f t="shared" si="36"/>
        <v>77.863630725650012</v>
      </c>
      <c r="J298" s="9">
        <f t="shared" si="37"/>
        <v>217.88628414081001</v>
      </c>
      <c r="K298" s="9">
        <f t="shared" si="31"/>
        <v>77.863630725650012</v>
      </c>
      <c r="L298" s="10">
        <f t="shared" si="30"/>
        <v>0.35735902804845798</v>
      </c>
      <c r="M298" s="10">
        <f t="shared" si="38"/>
        <v>0.36744105606676719</v>
      </c>
      <c r="P298" s="8">
        <f t="shared" si="39"/>
        <v>0.37013043290923064</v>
      </c>
    </row>
    <row r="299" spans="1:16" x14ac:dyDescent="0.2">
      <c r="A299" s="8">
        <v>148.5</v>
      </c>
      <c r="B299" s="8">
        <v>297</v>
      </c>
      <c r="D299">
        <v>368.43469524446999</v>
      </c>
      <c r="E299">
        <v>202.30609511052</v>
      </c>
      <c r="F299">
        <v>150.59124579125</v>
      </c>
      <c r="G299">
        <v>123.80875420875</v>
      </c>
      <c r="I299" s="9">
        <f t="shared" si="36"/>
        <v>78.497340901770002</v>
      </c>
      <c r="J299" s="9">
        <f t="shared" si="37"/>
        <v>217.84344945321999</v>
      </c>
      <c r="K299" s="9">
        <f t="shared" si="31"/>
        <v>78.497340901770002</v>
      </c>
      <c r="L299" s="10">
        <f t="shared" si="30"/>
        <v>0.36033831220904639</v>
      </c>
      <c r="M299" s="10">
        <f t="shared" si="38"/>
        <v>0.37045440113282291</v>
      </c>
      <c r="P299" s="8">
        <f t="shared" si="39"/>
        <v>1.1932552098650699</v>
      </c>
    </row>
    <row r="300" spans="1:16" x14ac:dyDescent="0.2">
      <c r="A300" s="8">
        <v>149</v>
      </c>
      <c r="B300" s="8">
        <v>298</v>
      </c>
      <c r="D300">
        <v>368.52176825184</v>
      </c>
      <c r="E300">
        <v>202.73677160080001</v>
      </c>
      <c r="F300">
        <v>150.35757575758001</v>
      </c>
      <c r="G300">
        <v>123.88552188552001</v>
      </c>
      <c r="I300" s="9">
        <f t="shared" si="36"/>
        <v>78.851249715280005</v>
      </c>
      <c r="J300" s="9">
        <f t="shared" si="37"/>
        <v>218.16419249425999</v>
      </c>
      <c r="K300" s="9">
        <f t="shared" si="31"/>
        <v>78.851249715280005</v>
      </c>
      <c r="L300" s="10">
        <f t="shared" si="30"/>
        <v>0.3614307591625267</v>
      </c>
      <c r="M300" s="10">
        <f t="shared" si="38"/>
        <v>0.37158090899177049</v>
      </c>
      <c r="P300" s="8">
        <f t="shared" si="39"/>
        <v>1.5009718867835045</v>
      </c>
    </row>
    <row r="301" spans="1:16" x14ac:dyDescent="0.2">
      <c r="A301" s="8">
        <v>149.5</v>
      </c>
      <c r="B301" s="8">
        <v>299</v>
      </c>
      <c r="D301">
        <v>369.87742799732001</v>
      </c>
      <c r="E301">
        <v>202.48894842599</v>
      </c>
      <c r="F301">
        <v>150.61616161616001</v>
      </c>
      <c r="G301">
        <v>124.05993265993</v>
      </c>
      <c r="I301" s="9">
        <f t="shared" si="36"/>
        <v>78.429015766060004</v>
      </c>
      <c r="J301" s="9">
        <f t="shared" si="37"/>
        <v>219.26126638116</v>
      </c>
      <c r="K301" s="9">
        <f t="shared" si="31"/>
        <v>78.429015766060004</v>
      </c>
      <c r="L301" s="10">
        <f t="shared" si="30"/>
        <v>0.35769662859522283</v>
      </c>
      <c r="M301" s="10">
        <f t="shared" si="38"/>
        <v>0.36788083932993387</v>
      </c>
      <c r="P301" s="8">
        <f t="shared" si="39"/>
        <v>0.49026154715855802</v>
      </c>
    </row>
    <row r="302" spans="1:16" x14ac:dyDescent="0.2">
      <c r="A302" s="8">
        <v>150</v>
      </c>
      <c r="B302" s="8">
        <v>300</v>
      </c>
      <c r="D302">
        <v>366.41030789825999</v>
      </c>
      <c r="E302">
        <v>199.00401606425999</v>
      </c>
      <c r="F302">
        <v>150.09562289562001</v>
      </c>
      <c r="G302">
        <v>123.54074074074001</v>
      </c>
      <c r="I302" s="9">
        <f>E302-G302</f>
        <v>75.46327532351998</v>
      </c>
      <c r="J302" s="9">
        <f>D302-F302</f>
        <v>216.31468500263998</v>
      </c>
      <c r="K302" s="9">
        <f t="shared" si="31"/>
        <v>75.46327532351998</v>
      </c>
      <c r="L302" s="10">
        <f t="shared" si="30"/>
        <v>0.34885877175929597</v>
      </c>
      <c r="M302" s="10">
        <f>L302+ABS($N$2)*A302</f>
        <v>0.35907704339947427</v>
      </c>
      <c r="O302" s="11"/>
      <c r="P302" s="8">
        <f>(M302-$O$2)/$O$2*100</f>
        <v>-1.9145817093456392</v>
      </c>
    </row>
    <row r="303" spans="1:16" x14ac:dyDescent="0.2">
      <c r="A303" s="8">
        <v>150.5</v>
      </c>
      <c r="B303" s="8">
        <v>301</v>
      </c>
      <c r="D303">
        <v>358.98259705488999</v>
      </c>
      <c r="E303">
        <v>195.87148594377999</v>
      </c>
      <c r="F303">
        <v>150.49023569024001</v>
      </c>
      <c r="G303">
        <v>123.90841750842</v>
      </c>
      <c r="I303" s="9">
        <f t="shared" ref="I303:I309" si="40">E303-G303</f>
        <v>71.963068435359986</v>
      </c>
      <c r="J303" s="9">
        <f t="shared" ref="J303:J309" si="41">D303-F303</f>
        <v>208.49236136464998</v>
      </c>
      <c r="K303" s="9">
        <f t="shared" si="31"/>
        <v>71.963068435359986</v>
      </c>
      <c r="L303" s="10">
        <f t="shared" si="30"/>
        <v>0.3451592565038758</v>
      </c>
      <c r="M303" s="10">
        <f t="shared" ref="M303:M309" si="42">L303+ABS($N$2)*A303</f>
        <v>0.35541158904952136</v>
      </c>
      <c r="P303" s="8">
        <f t="shared" ref="P303:P309" si="43">(M303-$O$2)/$O$2*100</f>
        <v>-2.9158365368241377</v>
      </c>
    </row>
    <row r="304" spans="1:16" x14ac:dyDescent="0.2">
      <c r="A304" s="8">
        <v>151</v>
      </c>
      <c r="B304" s="8">
        <v>302</v>
      </c>
      <c r="D304">
        <v>367.48301132578001</v>
      </c>
      <c r="E304">
        <v>200.26049300465999</v>
      </c>
      <c r="F304">
        <v>150.44242424242</v>
      </c>
      <c r="G304">
        <v>123.29292929293</v>
      </c>
      <c r="I304" s="9">
        <f t="shared" si="40"/>
        <v>76.967563711729994</v>
      </c>
      <c r="J304" s="9">
        <f t="shared" si="41"/>
        <v>217.04058708336001</v>
      </c>
      <c r="K304" s="9">
        <f t="shared" si="31"/>
        <v>76.967563711729994</v>
      </c>
      <c r="L304" s="10">
        <f t="shared" si="30"/>
        <v>0.35462290600130297</v>
      </c>
      <c r="M304" s="10">
        <f t="shared" si="42"/>
        <v>0.36490929945241579</v>
      </c>
      <c r="N304" s="1"/>
      <c r="P304" s="8">
        <f t="shared" si="43"/>
        <v>-0.32144373228328432</v>
      </c>
    </row>
    <row r="305" spans="1:16" x14ac:dyDescent="0.2">
      <c r="A305" s="8">
        <v>151.5</v>
      </c>
      <c r="B305" s="8">
        <v>303</v>
      </c>
      <c r="D305">
        <v>357.88852023889001</v>
      </c>
      <c r="E305">
        <v>196.84870603849001</v>
      </c>
      <c r="F305">
        <v>150.61144781145001</v>
      </c>
      <c r="G305">
        <v>123.40471380471</v>
      </c>
      <c r="I305" s="9">
        <f t="shared" si="40"/>
        <v>73.443992233780008</v>
      </c>
      <c r="J305" s="9">
        <f t="shared" si="41"/>
        <v>207.27707242744</v>
      </c>
      <c r="K305" s="9">
        <f t="shared" si="31"/>
        <v>73.443992233780008</v>
      </c>
      <c r="L305" s="10">
        <f t="shared" si="30"/>
        <v>0.35432762231572917</v>
      </c>
      <c r="M305" s="10">
        <f t="shared" si="42"/>
        <v>0.36464807667230925</v>
      </c>
      <c r="P305" s="8">
        <f t="shared" si="43"/>
        <v>-0.39279929823989973</v>
      </c>
    </row>
    <row r="306" spans="1:16" x14ac:dyDescent="0.2">
      <c r="A306" s="8">
        <v>152</v>
      </c>
      <c r="B306" s="8">
        <v>304</v>
      </c>
      <c r="D306">
        <v>366.22681787859</v>
      </c>
      <c r="E306">
        <v>203.02868579053001</v>
      </c>
      <c r="F306">
        <v>150.13198653199001</v>
      </c>
      <c r="G306">
        <v>123.29023569024</v>
      </c>
      <c r="I306" s="9">
        <f t="shared" si="40"/>
        <v>79.738450100290009</v>
      </c>
      <c r="J306" s="9">
        <f t="shared" si="41"/>
        <v>216.09483134659999</v>
      </c>
      <c r="K306" s="9">
        <f t="shared" si="31"/>
        <v>79.738450100290009</v>
      </c>
      <c r="L306" s="10">
        <f t="shared" si="30"/>
        <v>0.36899748875712574</v>
      </c>
      <c r="M306" s="10">
        <f t="shared" si="42"/>
        <v>0.37935200401917307</v>
      </c>
      <c r="P306" s="8">
        <f t="shared" si="43"/>
        <v>3.6237227569671555</v>
      </c>
    </row>
    <row r="307" spans="1:16" x14ac:dyDescent="0.2">
      <c r="A307" s="8">
        <v>152.5</v>
      </c>
      <c r="B307" s="8">
        <v>305</v>
      </c>
      <c r="D307">
        <v>364.57076101468999</v>
      </c>
      <c r="E307">
        <v>200.31575433911999</v>
      </c>
      <c r="F307">
        <v>150.98047138046999</v>
      </c>
      <c r="G307">
        <v>124.04646464647</v>
      </c>
      <c r="I307" s="9">
        <f t="shared" si="40"/>
        <v>76.269289692649991</v>
      </c>
      <c r="J307" s="9">
        <f t="shared" si="41"/>
        <v>213.59028963422</v>
      </c>
      <c r="K307" s="9">
        <f t="shared" si="31"/>
        <v>76.269289692649991</v>
      </c>
      <c r="L307" s="10">
        <f t="shared" si="30"/>
        <v>0.35708219612072961</v>
      </c>
      <c r="M307" s="10">
        <f t="shared" si="42"/>
        <v>0.36747077228824421</v>
      </c>
      <c r="P307" s="8">
        <f t="shared" si="43"/>
        <v>0.37824771043272926</v>
      </c>
    </row>
    <row r="308" spans="1:16" x14ac:dyDescent="0.2">
      <c r="A308" s="8">
        <v>153</v>
      </c>
      <c r="B308" s="8">
        <v>306</v>
      </c>
      <c r="D308">
        <v>364.58544726302</v>
      </c>
      <c r="E308">
        <v>200.74566088117999</v>
      </c>
      <c r="F308">
        <v>150.55892255891999</v>
      </c>
      <c r="G308">
        <v>123.83569023569</v>
      </c>
      <c r="I308" s="9">
        <f t="shared" si="40"/>
        <v>76.909970645489992</v>
      </c>
      <c r="J308" s="9">
        <f t="shared" si="41"/>
        <v>214.02652470410001</v>
      </c>
      <c r="K308" s="9">
        <f t="shared" si="31"/>
        <v>76.909970645489992</v>
      </c>
      <c r="L308" s="10">
        <f t="shared" si="30"/>
        <v>0.35934784602899578</v>
      </c>
      <c r="M308" s="10">
        <f t="shared" si="42"/>
        <v>0.36977048310197763</v>
      </c>
      <c r="P308" s="8">
        <f t="shared" si="43"/>
        <v>1.0064362879510054</v>
      </c>
    </row>
    <row r="309" spans="1:16" x14ac:dyDescent="0.2">
      <c r="A309" s="8">
        <v>153.5</v>
      </c>
      <c r="B309" s="8">
        <v>307</v>
      </c>
      <c r="D309">
        <v>366.95193591455001</v>
      </c>
      <c r="E309">
        <v>201.37116154872999</v>
      </c>
      <c r="F309">
        <v>150.03097643097999</v>
      </c>
      <c r="G309">
        <v>123.31582491583001</v>
      </c>
      <c r="I309" s="9">
        <f t="shared" si="40"/>
        <v>78.05533663289998</v>
      </c>
      <c r="J309" s="9">
        <f t="shared" si="41"/>
        <v>216.92095948357002</v>
      </c>
      <c r="K309" s="9">
        <f t="shared" si="31"/>
        <v>78.05533663289998</v>
      </c>
      <c r="L309" s="10">
        <f t="shared" si="30"/>
        <v>0.35983307845737256</v>
      </c>
      <c r="M309" s="10">
        <f t="shared" si="42"/>
        <v>0.37028977643582167</v>
      </c>
      <c r="P309" s="8">
        <f t="shared" si="43"/>
        <v>1.148286358296426</v>
      </c>
    </row>
    <row r="310" spans="1:16" x14ac:dyDescent="0.2">
      <c r="A310" s="8">
        <v>154</v>
      </c>
      <c r="B310" s="8">
        <v>308</v>
      </c>
      <c r="D310">
        <v>362.44793057409998</v>
      </c>
      <c r="E310">
        <v>198.91989319091999</v>
      </c>
      <c r="F310">
        <v>150.81548821549001</v>
      </c>
      <c r="G310">
        <v>123.77575757576</v>
      </c>
      <c r="I310" s="9">
        <f>E310-G310</f>
        <v>75.144135615159996</v>
      </c>
      <c r="J310" s="9">
        <f>D310-F310</f>
        <v>211.63244235860998</v>
      </c>
      <c r="K310" s="9">
        <f t="shared" si="31"/>
        <v>75.144135615159996</v>
      </c>
      <c r="L310" s="10">
        <f t="shared" si="30"/>
        <v>0.35506907531610243</v>
      </c>
      <c r="M310" s="10">
        <f>L310+ABS($N$2)*A310</f>
        <v>0.36555983420001881</v>
      </c>
      <c r="O310" s="11"/>
      <c r="P310" s="8">
        <f>(M310-$O$2)/$O$2*100</f>
        <v>-0.14374378180145839</v>
      </c>
    </row>
    <row r="311" spans="1:16" x14ac:dyDescent="0.2">
      <c r="A311" s="8">
        <v>154.5</v>
      </c>
      <c r="B311" s="8">
        <v>309</v>
      </c>
      <c r="D311">
        <v>355.30307076102002</v>
      </c>
      <c r="E311">
        <v>196.20427236315001</v>
      </c>
      <c r="F311">
        <v>150.21885521886</v>
      </c>
      <c r="G311">
        <v>123.97777777778001</v>
      </c>
      <c r="I311" s="9">
        <f t="shared" ref="I311:I319" si="44">E311-G311</f>
        <v>72.226494585370006</v>
      </c>
      <c r="J311" s="9">
        <f t="shared" ref="J311:J319" si="45">D311-F311</f>
        <v>205.08421554216002</v>
      </c>
      <c r="K311" s="9">
        <f t="shared" si="31"/>
        <v>72.226494585370006</v>
      </c>
      <c r="L311" s="10">
        <f t="shared" si="30"/>
        <v>0.35217968576680686</v>
      </c>
      <c r="M311" s="10">
        <f t="shared" ref="M311:M319" si="46">L311+ABS($N$2)*A311</f>
        <v>0.36270450555619049</v>
      </c>
      <c r="P311" s="8">
        <f t="shared" ref="P311:P319" si="47">(M311-$O$2)/$O$2*100</f>
        <v>-0.92370482229496809</v>
      </c>
    </row>
    <row r="312" spans="1:16" x14ac:dyDescent="0.2">
      <c r="A312" s="8">
        <v>155</v>
      </c>
      <c r="B312" s="8">
        <v>310</v>
      </c>
      <c r="D312">
        <v>363.22830440587001</v>
      </c>
      <c r="E312">
        <v>198.03404539386</v>
      </c>
      <c r="F312">
        <v>150.28013468014001</v>
      </c>
      <c r="G312">
        <v>123.79595959596</v>
      </c>
      <c r="I312" s="9">
        <f t="shared" si="44"/>
        <v>74.238085797899998</v>
      </c>
      <c r="J312" s="9">
        <f t="shared" si="45"/>
        <v>212.94816972573</v>
      </c>
      <c r="K312" s="9">
        <f t="shared" si="31"/>
        <v>74.238085797899998</v>
      </c>
      <c r="L312" s="10">
        <f t="shared" si="30"/>
        <v>0.34862044549862126</v>
      </c>
      <c r="M312" s="10">
        <f t="shared" si="46"/>
        <v>0.35917932619347215</v>
      </c>
      <c r="N312" s="1"/>
      <c r="P312" s="8">
        <f t="shared" si="47"/>
        <v>-1.8866421603891288</v>
      </c>
    </row>
    <row r="313" spans="1:16" x14ac:dyDescent="0.2">
      <c r="A313" s="8">
        <v>155.5</v>
      </c>
      <c r="B313" s="8">
        <v>311</v>
      </c>
      <c r="D313">
        <v>367.14152202936998</v>
      </c>
      <c r="E313">
        <v>200.57543391188</v>
      </c>
      <c r="F313">
        <v>150.98922558922999</v>
      </c>
      <c r="G313">
        <v>123.85656565657</v>
      </c>
      <c r="I313" s="9">
        <f t="shared" si="44"/>
        <v>76.718868255309999</v>
      </c>
      <c r="J313" s="9">
        <f t="shared" si="45"/>
        <v>216.15229644013999</v>
      </c>
      <c r="K313" s="9">
        <f t="shared" si="31"/>
        <v>76.718868255309999</v>
      </c>
      <c r="L313" s="10">
        <f t="shared" si="30"/>
        <v>0.35492969317842105</v>
      </c>
      <c r="M313" s="10">
        <f t="shared" si="46"/>
        <v>0.3655226347787392</v>
      </c>
      <c r="P313" s="8">
        <f t="shared" si="47"/>
        <v>-0.15390516878915733</v>
      </c>
    </row>
    <row r="314" spans="1:16" x14ac:dyDescent="0.2">
      <c r="A314" s="8">
        <v>156</v>
      </c>
      <c r="B314" s="8">
        <v>312</v>
      </c>
      <c r="D314">
        <v>356.54873164218998</v>
      </c>
      <c r="E314">
        <v>195.57009345794</v>
      </c>
      <c r="F314">
        <v>150.30841750842001</v>
      </c>
      <c r="G314">
        <v>123.26599326599001</v>
      </c>
      <c r="I314" s="9">
        <f t="shared" si="44"/>
        <v>72.304100191949999</v>
      </c>
      <c r="J314" s="9">
        <f t="shared" si="45"/>
        <v>206.24031413376997</v>
      </c>
      <c r="K314" s="9">
        <f t="shared" si="31"/>
        <v>72.304100191949999</v>
      </c>
      <c r="L314" s="10">
        <f t="shared" si="30"/>
        <v>0.35058179820775814</v>
      </c>
      <c r="M314" s="10">
        <f t="shared" si="46"/>
        <v>0.36120880071354355</v>
      </c>
      <c r="P314" s="8">
        <f t="shared" si="47"/>
        <v>-1.3322712785113588</v>
      </c>
    </row>
    <row r="315" spans="1:16" x14ac:dyDescent="0.2">
      <c r="A315" s="8">
        <v>156.5</v>
      </c>
      <c r="B315" s="8">
        <v>313</v>
      </c>
      <c r="D315">
        <v>355.43335565975002</v>
      </c>
      <c r="E315">
        <v>196.14266577360999</v>
      </c>
      <c r="F315">
        <v>150.10437710438001</v>
      </c>
      <c r="G315">
        <v>123.45521885522</v>
      </c>
      <c r="I315" s="9">
        <f t="shared" si="44"/>
        <v>72.687446918389995</v>
      </c>
      <c r="J315" s="9">
        <f t="shared" si="45"/>
        <v>205.32897855537001</v>
      </c>
      <c r="K315" s="9">
        <f t="shared" si="31"/>
        <v>72.687446918389995</v>
      </c>
      <c r="L315" s="10">
        <f t="shared" si="30"/>
        <v>0.35400481427315311</v>
      </c>
      <c r="M315" s="10">
        <f t="shared" si="46"/>
        <v>0.36466587768440578</v>
      </c>
      <c r="P315" s="8">
        <f t="shared" si="47"/>
        <v>-0.38793677709135976</v>
      </c>
    </row>
    <row r="316" spans="1:16" x14ac:dyDescent="0.2">
      <c r="A316" s="8">
        <v>157</v>
      </c>
      <c r="B316" s="8">
        <v>314</v>
      </c>
      <c r="D316">
        <v>362.32441471572002</v>
      </c>
      <c r="E316">
        <v>197.27090301003</v>
      </c>
      <c r="F316">
        <v>150.18383838384</v>
      </c>
      <c r="G316">
        <v>123.77845117845</v>
      </c>
      <c r="I316" s="9">
        <f t="shared" si="44"/>
        <v>73.492451831579999</v>
      </c>
      <c r="J316" s="9">
        <f t="shared" si="45"/>
        <v>212.14057633188003</v>
      </c>
      <c r="K316" s="9">
        <f t="shared" si="31"/>
        <v>73.492451831579999</v>
      </c>
      <c r="L316" s="10">
        <f t="shared" si="30"/>
        <v>0.34643279047477404</v>
      </c>
      <c r="M316" s="10">
        <f t="shared" si="46"/>
        <v>0.35712791479149397</v>
      </c>
      <c r="P316" s="8">
        <f t="shared" si="47"/>
        <v>-2.4470053168424264</v>
      </c>
    </row>
    <row r="317" spans="1:16" x14ac:dyDescent="0.2">
      <c r="A317" s="8">
        <v>157.5</v>
      </c>
      <c r="B317" s="8">
        <v>315</v>
      </c>
      <c r="D317">
        <v>355.77458193979999</v>
      </c>
      <c r="E317">
        <v>196.13177257525001</v>
      </c>
      <c r="F317">
        <v>150.47138047138</v>
      </c>
      <c r="G317">
        <v>123.53939393939</v>
      </c>
      <c r="I317" s="9">
        <f t="shared" si="44"/>
        <v>72.592378635860015</v>
      </c>
      <c r="J317" s="9">
        <f t="shared" si="45"/>
        <v>205.30320146841999</v>
      </c>
      <c r="K317" s="9">
        <f t="shared" si="31"/>
        <v>72.592378635860015</v>
      </c>
      <c r="L317" s="10">
        <f t="shared" si="30"/>
        <v>0.35358619893234483</v>
      </c>
      <c r="M317" s="10">
        <f t="shared" si="46"/>
        <v>0.36431538415453202</v>
      </c>
      <c r="P317" s="8">
        <f t="shared" si="47"/>
        <v>-0.48367752442615958</v>
      </c>
    </row>
    <row r="318" spans="1:16" x14ac:dyDescent="0.2">
      <c r="A318" s="8">
        <v>158</v>
      </c>
      <c r="B318" s="8">
        <v>316</v>
      </c>
      <c r="D318">
        <v>356.90322580645</v>
      </c>
      <c r="E318">
        <v>197.71438172043</v>
      </c>
      <c r="F318">
        <v>150.26599326599001</v>
      </c>
      <c r="G318">
        <v>123.69158249157999</v>
      </c>
      <c r="I318" s="9">
        <f t="shared" si="44"/>
        <v>74.022799228850005</v>
      </c>
      <c r="J318" s="9">
        <f t="shared" si="45"/>
        <v>206.63723254045999</v>
      </c>
      <c r="K318" s="9">
        <f t="shared" si="31"/>
        <v>74.022799228850005</v>
      </c>
      <c r="L318" s="10">
        <f t="shared" si="30"/>
        <v>0.35822585464773971</v>
      </c>
      <c r="M318" s="10">
        <f t="shared" si="46"/>
        <v>0.36898910077539415</v>
      </c>
      <c r="P318" s="8">
        <f t="shared" si="47"/>
        <v>0.79299403716751371</v>
      </c>
    </row>
    <row r="319" spans="1:16" x14ac:dyDescent="0.2">
      <c r="A319" s="8">
        <v>158.5</v>
      </c>
      <c r="B319" s="8">
        <v>317</v>
      </c>
      <c r="D319">
        <v>356.36230922362</v>
      </c>
      <c r="E319">
        <v>199.31320504313001</v>
      </c>
      <c r="F319">
        <v>150.23367003366999</v>
      </c>
      <c r="G319">
        <v>123.64444444444</v>
      </c>
      <c r="I319" s="9">
        <f t="shared" si="44"/>
        <v>75.668760598690014</v>
      </c>
      <c r="J319" s="9">
        <f t="shared" si="45"/>
        <v>206.12863918995001</v>
      </c>
      <c r="K319" s="9">
        <f t="shared" si="31"/>
        <v>75.668760598690014</v>
      </c>
      <c r="L319" s="10">
        <f t="shared" si="30"/>
        <v>0.36709484376385149</v>
      </c>
      <c r="M319" s="10">
        <f t="shared" si="46"/>
        <v>0.37789215079697319</v>
      </c>
      <c r="P319" s="8">
        <f t="shared" si="47"/>
        <v>3.2249495227140956</v>
      </c>
    </row>
    <row r="320" spans="1:16" x14ac:dyDescent="0.2">
      <c r="A320" s="8">
        <v>159</v>
      </c>
      <c r="B320" s="8">
        <v>318</v>
      </c>
      <c r="D320">
        <v>353.97611147975999</v>
      </c>
      <c r="E320">
        <v>197.16788321167999</v>
      </c>
      <c r="F320">
        <v>149.95016835017</v>
      </c>
      <c r="G320">
        <v>123.37441077440999</v>
      </c>
      <c r="I320" s="9">
        <f>E320-G320</f>
        <v>73.793472437269997</v>
      </c>
      <c r="J320" s="9">
        <f>D320-F320</f>
        <v>204.02594312958999</v>
      </c>
      <c r="K320" s="9">
        <f t="shared" si="31"/>
        <v>73.793472437269997</v>
      </c>
      <c r="L320" s="10">
        <f t="shared" si="30"/>
        <v>0.36168671152961668</v>
      </c>
      <c r="M320" s="10">
        <f>L320+ABS($N$2)*A320</f>
        <v>0.37251807946820564</v>
      </c>
      <c r="O320" s="11"/>
      <c r="P320" s="8">
        <f>(M320-$O$2)/$O$2*100</f>
        <v>1.756969199562227</v>
      </c>
    </row>
    <row r="321" spans="1:16" x14ac:dyDescent="0.2">
      <c r="A321" s="8">
        <v>159.5</v>
      </c>
      <c r="B321" s="8">
        <v>319</v>
      </c>
      <c r="D321">
        <v>355.69194630873</v>
      </c>
      <c r="E321">
        <v>197.54496644295</v>
      </c>
      <c r="F321">
        <v>150.13265993266</v>
      </c>
      <c r="G321">
        <v>123.4127946128</v>
      </c>
      <c r="I321" s="9">
        <f t="shared" ref="I321:I322" si="48">E321-G321</f>
        <v>74.13217183015</v>
      </c>
      <c r="J321" s="9">
        <f t="shared" ref="J321:J322" si="49">D321-F321</f>
        <v>205.55928637606999</v>
      </c>
      <c r="K321" s="9">
        <f t="shared" si="31"/>
        <v>74.13217183015</v>
      </c>
      <c r="L321" s="10">
        <f t="shared" si="30"/>
        <v>0.36063645256349769</v>
      </c>
      <c r="M321" s="10">
        <f t="shared" ref="M321:M322" si="50">L321+ABS($N$2)*A321</f>
        <v>0.37150188140755391</v>
      </c>
      <c r="P321" s="8">
        <f t="shared" ref="P321:P322" si="51">(M321-$O$2)/$O$2*100</f>
        <v>1.4793847265991678</v>
      </c>
    </row>
    <row r="322" spans="1:16" x14ac:dyDescent="0.2">
      <c r="A322" s="8">
        <v>160</v>
      </c>
      <c r="D322">
        <v>357.78053691274999</v>
      </c>
      <c r="E322">
        <v>199.03288590604001</v>
      </c>
      <c r="F322">
        <v>150.17239057238999</v>
      </c>
      <c r="G322">
        <v>123.71178451179</v>
      </c>
      <c r="I322" s="9">
        <f t="shared" si="48"/>
        <v>75.321101394250007</v>
      </c>
      <c r="J322" s="9">
        <f t="shared" si="49"/>
        <v>207.60814634036001</v>
      </c>
      <c r="K322" s="9">
        <f t="shared" si="31"/>
        <v>75.321101394250007</v>
      </c>
      <c r="L322" s="10">
        <f t="shared" ref="L322" si="52">K322/J322</f>
        <v>0.36280417084773725</v>
      </c>
      <c r="M322" s="10">
        <f t="shared" si="50"/>
        <v>0.37370366059726073</v>
      </c>
      <c r="P322" s="8">
        <f t="shared" si="51"/>
        <v>2.0808223199398053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240816E001</vt:lpstr>
      <vt:lpstr>240816E003</vt:lpstr>
      <vt:lpstr>240816E004</vt:lpstr>
      <vt:lpstr>240816E005</vt:lpstr>
      <vt:lpstr>240816E006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Breanna Walsh</cp:lastModifiedBy>
  <dcterms:created xsi:type="dcterms:W3CDTF">2024-07-26T18:06:04Z</dcterms:created>
  <dcterms:modified xsi:type="dcterms:W3CDTF">2024-08-17T01:40:14Z</dcterms:modified>
</cp:coreProperties>
</file>