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21/"/>
    </mc:Choice>
  </mc:AlternateContent>
  <xr:revisionPtr revIDLastSave="0" documentId="13_ncr:1_{6B6512CD-6D74-F746-90B9-2D0EE8AFBEFE}" xr6:coauthVersionLast="47" xr6:coauthVersionMax="47" xr10:uidLastSave="{00000000-0000-0000-0000-000000000000}"/>
  <bookViews>
    <workbookView xWindow="740" yWindow="500" windowWidth="28060" windowHeight="15620" activeTab="3" xr2:uid="{703F31A7-3FB6-4B05-8EA8-379C6E25ED1D}"/>
  </bookViews>
  <sheets>
    <sheet name="240821E013" sheetId="1" r:id="rId1"/>
    <sheet name="240821E014" sheetId="16" r:id="rId2"/>
    <sheet name="240821E015" sheetId="17" r:id="rId3"/>
    <sheet name="240821E016" sheetId="18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8" l="1"/>
  <c r="I322" i="18"/>
  <c r="K322" i="18" s="1"/>
  <c r="L322" i="18" s="1"/>
  <c r="J321" i="18"/>
  <c r="I321" i="18"/>
  <c r="K321" i="18" s="1"/>
  <c r="L321" i="18" s="1"/>
  <c r="J320" i="18"/>
  <c r="I320" i="18"/>
  <c r="K320" i="18" s="1"/>
  <c r="L320" i="18" s="1"/>
  <c r="J319" i="18"/>
  <c r="I319" i="18"/>
  <c r="K319" i="18" s="1"/>
  <c r="J318" i="18"/>
  <c r="I318" i="18"/>
  <c r="K318" i="18" s="1"/>
  <c r="L318" i="18" s="1"/>
  <c r="J317" i="18"/>
  <c r="I317" i="18"/>
  <c r="K317" i="18" s="1"/>
  <c r="L317" i="18" s="1"/>
  <c r="J316" i="18"/>
  <c r="I316" i="18"/>
  <c r="K316" i="18" s="1"/>
  <c r="L316" i="18" s="1"/>
  <c r="J315" i="18"/>
  <c r="I315" i="18"/>
  <c r="K315" i="18" s="1"/>
  <c r="L315" i="18" s="1"/>
  <c r="V97" i="18" s="1"/>
  <c r="J314" i="18"/>
  <c r="I314" i="18"/>
  <c r="K314" i="18" s="1"/>
  <c r="L314" i="18" s="1"/>
  <c r="J313" i="18"/>
  <c r="I313" i="18"/>
  <c r="K313" i="18" s="1"/>
  <c r="J312" i="18"/>
  <c r="I312" i="18"/>
  <c r="K312" i="18" s="1"/>
  <c r="J311" i="18"/>
  <c r="I311" i="18"/>
  <c r="K311" i="18" s="1"/>
  <c r="J310" i="18"/>
  <c r="I310" i="18"/>
  <c r="K310" i="18" s="1"/>
  <c r="L310" i="18" s="1"/>
  <c r="J309" i="18"/>
  <c r="I309" i="18"/>
  <c r="K309" i="18" s="1"/>
  <c r="L309" i="18" s="1"/>
  <c r="V91" i="18" s="1"/>
  <c r="J308" i="18"/>
  <c r="I308" i="18"/>
  <c r="K308" i="18" s="1"/>
  <c r="L308" i="18" s="1"/>
  <c r="V90" i="18" s="1"/>
  <c r="J307" i="18"/>
  <c r="I307" i="18"/>
  <c r="K307" i="18" s="1"/>
  <c r="L307" i="18" s="1"/>
  <c r="J306" i="18"/>
  <c r="I306" i="18"/>
  <c r="K306" i="18" s="1"/>
  <c r="J305" i="18"/>
  <c r="I305" i="18"/>
  <c r="K305" i="18" s="1"/>
  <c r="L305" i="18" s="1"/>
  <c r="V87" i="18" s="1"/>
  <c r="J304" i="18"/>
  <c r="I304" i="18"/>
  <c r="K304" i="18" s="1"/>
  <c r="L304" i="18" s="1"/>
  <c r="J303" i="18"/>
  <c r="I303" i="18"/>
  <c r="K303" i="18" s="1"/>
  <c r="L303" i="18" s="1"/>
  <c r="J302" i="18"/>
  <c r="I302" i="18"/>
  <c r="K302" i="18" s="1"/>
  <c r="L302" i="18" s="1"/>
  <c r="V84" i="18" s="1"/>
  <c r="J301" i="18"/>
  <c r="I301" i="18"/>
  <c r="K301" i="18" s="1"/>
  <c r="J300" i="18"/>
  <c r="I300" i="18"/>
  <c r="K300" i="18" s="1"/>
  <c r="L300" i="18" s="1"/>
  <c r="J299" i="18"/>
  <c r="I299" i="18"/>
  <c r="K299" i="18" s="1"/>
  <c r="J298" i="18"/>
  <c r="I298" i="18"/>
  <c r="K298" i="18" s="1"/>
  <c r="L298" i="18" s="1"/>
  <c r="J297" i="18"/>
  <c r="I297" i="18"/>
  <c r="K297" i="18" s="1"/>
  <c r="L297" i="18" s="1"/>
  <c r="J296" i="18"/>
  <c r="I296" i="18"/>
  <c r="K296" i="18" s="1"/>
  <c r="L296" i="18" s="1"/>
  <c r="J295" i="18"/>
  <c r="I295" i="18"/>
  <c r="K295" i="18" s="1"/>
  <c r="L295" i="18" s="1"/>
  <c r="J294" i="18"/>
  <c r="I294" i="18"/>
  <c r="K294" i="18" s="1"/>
  <c r="J293" i="18"/>
  <c r="I293" i="18"/>
  <c r="K293" i="18" s="1"/>
  <c r="L293" i="18" s="1"/>
  <c r="J292" i="18"/>
  <c r="I292" i="18"/>
  <c r="K292" i="18" s="1"/>
  <c r="L292" i="18" s="1"/>
  <c r="J291" i="18"/>
  <c r="I291" i="18"/>
  <c r="K291" i="18" s="1"/>
  <c r="L291" i="18" s="1"/>
  <c r="J290" i="18"/>
  <c r="I290" i="18"/>
  <c r="K290" i="18" s="1"/>
  <c r="L290" i="18" s="1"/>
  <c r="J289" i="18"/>
  <c r="I289" i="18"/>
  <c r="K289" i="18" s="1"/>
  <c r="L289" i="18" s="1"/>
  <c r="J288" i="18"/>
  <c r="I288" i="18"/>
  <c r="K288" i="18" s="1"/>
  <c r="L288" i="18" s="1"/>
  <c r="J287" i="18"/>
  <c r="I287" i="18"/>
  <c r="K287" i="18" s="1"/>
  <c r="J286" i="18"/>
  <c r="I286" i="18"/>
  <c r="K286" i="18" s="1"/>
  <c r="L286" i="18" s="1"/>
  <c r="J285" i="18"/>
  <c r="I285" i="18"/>
  <c r="K285" i="18" s="1"/>
  <c r="L285" i="18" s="1"/>
  <c r="J284" i="18"/>
  <c r="I284" i="18"/>
  <c r="K284" i="18" s="1"/>
  <c r="L284" i="18" s="1"/>
  <c r="J283" i="18"/>
  <c r="I283" i="18"/>
  <c r="K283" i="18" s="1"/>
  <c r="L283" i="18" s="1"/>
  <c r="J282" i="18"/>
  <c r="I282" i="18"/>
  <c r="K282" i="18" s="1"/>
  <c r="L282" i="18" s="1"/>
  <c r="J281" i="18"/>
  <c r="I281" i="18"/>
  <c r="K281" i="18" s="1"/>
  <c r="K280" i="18"/>
  <c r="J280" i="18"/>
  <c r="I280" i="18"/>
  <c r="J279" i="18"/>
  <c r="I279" i="18"/>
  <c r="K279" i="18" s="1"/>
  <c r="L279" i="18" s="1"/>
  <c r="J278" i="18"/>
  <c r="I278" i="18"/>
  <c r="K278" i="18" s="1"/>
  <c r="L278" i="18" s="1"/>
  <c r="J277" i="18"/>
  <c r="I277" i="18"/>
  <c r="K277" i="18" s="1"/>
  <c r="L277" i="18" s="1"/>
  <c r="K276" i="18"/>
  <c r="L276" i="18" s="1"/>
  <c r="J276" i="18"/>
  <c r="I276" i="18"/>
  <c r="J275" i="18"/>
  <c r="I275" i="18"/>
  <c r="K275" i="18" s="1"/>
  <c r="L275" i="18" s="1"/>
  <c r="J274" i="18"/>
  <c r="I274" i="18"/>
  <c r="K274" i="18" s="1"/>
  <c r="L274" i="18" s="1"/>
  <c r="J273" i="18"/>
  <c r="I273" i="18"/>
  <c r="K273" i="18" s="1"/>
  <c r="L273" i="18" s="1"/>
  <c r="J272" i="18"/>
  <c r="I272" i="18"/>
  <c r="K272" i="18" s="1"/>
  <c r="L272" i="18" s="1"/>
  <c r="J271" i="18"/>
  <c r="I271" i="18"/>
  <c r="K271" i="18" s="1"/>
  <c r="L271" i="18" s="1"/>
  <c r="J270" i="18"/>
  <c r="I270" i="18"/>
  <c r="K270" i="18" s="1"/>
  <c r="L270" i="18" s="1"/>
  <c r="J269" i="18"/>
  <c r="I269" i="18"/>
  <c r="K269" i="18" s="1"/>
  <c r="J268" i="18"/>
  <c r="I268" i="18"/>
  <c r="K268" i="18" s="1"/>
  <c r="L268" i="18" s="1"/>
  <c r="J267" i="18"/>
  <c r="I267" i="18"/>
  <c r="K267" i="18" s="1"/>
  <c r="J266" i="18"/>
  <c r="I266" i="18"/>
  <c r="K266" i="18" s="1"/>
  <c r="L266" i="18" s="1"/>
  <c r="J265" i="18"/>
  <c r="I265" i="18"/>
  <c r="K265" i="18" s="1"/>
  <c r="J264" i="18"/>
  <c r="I264" i="18"/>
  <c r="K264" i="18" s="1"/>
  <c r="L264" i="18" s="1"/>
  <c r="J263" i="18"/>
  <c r="I263" i="18"/>
  <c r="K263" i="18" s="1"/>
  <c r="L263" i="18" s="1"/>
  <c r="J262" i="18"/>
  <c r="I262" i="18"/>
  <c r="K262" i="18" s="1"/>
  <c r="J261" i="18"/>
  <c r="I261" i="18"/>
  <c r="K261" i="18" s="1"/>
  <c r="L261" i="18" s="1"/>
  <c r="J260" i="18"/>
  <c r="I260" i="18"/>
  <c r="K260" i="18" s="1"/>
  <c r="L260" i="18" s="1"/>
  <c r="J259" i="18"/>
  <c r="I259" i="18"/>
  <c r="K259" i="18" s="1"/>
  <c r="L259" i="18" s="1"/>
  <c r="J258" i="18"/>
  <c r="I258" i="18"/>
  <c r="K258" i="18" s="1"/>
  <c r="L258" i="18" s="1"/>
  <c r="J257" i="18"/>
  <c r="I257" i="18"/>
  <c r="K257" i="18" s="1"/>
  <c r="L257" i="18" s="1"/>
  <c r="J256" i="18"/>
  <c r="I256" i="18"/>
  <c r="K256" i="18" s="1"/>
  <c r="L256" i="18" s="1"/>
  <c r="J255" i="18"/>
  <c r="I255" i="18"/>
  <c r="K255" i="18" s="1"/>
  <c r="J254" i="18"/>
  <c r="I254" i="18"/>
  <c r="K254" i="18" s="1"/>
  <c r="L254" i="18" s="1"/>
  <c r="J253" i="18"/>
  <c r="I253" i="18"/>
  <c r="K253" i="18" s="1"/>
  <c r="L253" i="18" s="1"/>
  <c r="J252" i="18"/>
  <c r="I252" i="18"/>
  <c r="K252" i="18" s="1"/>
  <c r="L252" i="18" s="1"/>
  <c r="J251" i="18"/>
  <c r="I251" i="18"/>
  <c r="K251" i="18" s="1"/>
  <c r="J250" i="18"/>
  <c r="I250" i="18"/>
  <c r="K250" i="18" s="1"/>
  <c r="L250" i="18" s="1"/>
  <c r="J249" i="18"/>
  <c r="I249" i="18"/>
  <c r="K249" i="18" s="1"/>
  <c r="L249" i="18" s="1"/>
  <c r="J248" i="18"/>
  <c r="I248" i="18"/>
  <c r="K248" i="18" s="1"/>
  <c r="J247" i="18"/>
  <c r="I247" i="18"/>
  <c r="K247" i="18" s="1"/>
  <c r="L247" i="18" s="1"/>
  <c r="J246" i="18"/>
  <c r="I246" i="18"/>
  <c r="K246" i="18" s="1"/>
  <c r="L246" i="18" s="1"/>
  <c r="J245" i="18"/>
  <c r="I245" i="18"/>
  <c r="K245" i="18" s="1"/>
  <c r="J244" i="18"/>
  <c r="I244" i="18"/>
  <c r="K244" i="18" s="1"/>
  <c r="L244" i="18" s="1"/>
  <c r="J243" i="18"/>
  <c r="I243" i="18"/>
  <c r="K243" i="18" s="1"/>
  <c r="L243" i="18" s="1"/>
  <c r="J242" i="18"/>
  <c r="I242" i="18"/>
  <c r="K242" i="18" s="1"/>
  <c r="L242" i="18" s="1"/>
  <c r="J241" i="18"/>
  <c r="I241" i="18"/>
  <c r="K241" i="18" s="1"/>
  <c r="L241" i="18" s="1"/>
  <c r="J240" i="18"/>
  <c r="I240" i="18"/>
  <c r="K240" i="18" s="1"/>
  <c r="L240" i="18" s="1"/>
  <c r="J239" i="18"/>
  <c r="I239" i="18"/>
  <c r="K239" i="18" s="1"/>
  <c r="L239" i="18" s="1"/>
  <c r="J238" i="18"/>
  <c r="I238" i="18"/>
  <c r="K238" i="18" s="1"/>
  <c r="L238" i="18" s="1"/>
  <c r="J237" i="18"/>
  <c r="I237" i="18"/>
  <c r="K237" i="18" s="1"/>
  <c r="J236" i="18"/>
  <c r="I236" i="18"/>
  <c r="K236" i="18" s="1"/>
  <c r="L236" i="18" s="1"/>
  <c r="J235" i="18"/>
  <c r="I235" i="18"/>
  <c r="K235" i="18" s="1"/>
  <c r="L235" i="18" s="1"/>
  <c r="J234" i="18"/>
  <c r="I234" i="18"/>
  <c r="K234" i="18" s="1"/>
  <c r="L234" i="18" s="1"/>
  <c r="J233" i="18"/>
  <c r="I233" i="18"/>
  <c r="K233" i="18" s="1"/>
  <c r="J232" i="18"/>
  <c r="I232" i="18"/>
  <c r="K232" i="18" s="1"/>
  <c r="L232" i="18" s="1"/>
  <c r="J231" i="18"/>
  <c r="I231" i="18"/>
  <c r="K231" i="18" s="1"/>
  <c r="L231" i="18" s="1"/>
  <c r="J230" i="18"/>
  <c r="I230" i="18"/>
  <c r="K230" i="18" s="1"/>
  <c r="J229" i="18"/>
  <c r="I229" i="18"/>
  <c r="K229" i="18" s="1"/>
  <c r="L229" i="18" s="1"/>
  <c r="J228" i="18"/>
  <c r="I228" i="18"/>
  <c r="K228" i="18" s="1"/>
  <c r="L228" i="18" s="1"/>
  <c r="J227" i="18"/>
  <c r="I227" i="18"/>
  <c r="K227" i="18" s="1"/>
  <c r="J226" i="18"/>
  <c r="I226" i="18"/>
  <c r="K226" i="18" s="1"/>
  <c r="J225" i="18"/>
  <c r="I225" i="18"/>
  <c r="K225" i="18" s="1"/>
  <c r="L225" i="18" s="1"/>
  <c r="J224" i="18"/>
  <c r="I224" i="18"/>
  <c r="K224" i="18" s="1"/>
  <c r="L224" i="18" s="1"/>
  <c r="J223" i="18"/>
  <c r="I223" i="18"/>
  <c r="K223" i="18" s="1"/>
  <c r="J222" i="18"/>
  <c r="I222" i="18"/>
  <c r="K222" i="18" s="1"/>
  <c r="J221" i="18"/>
  <c r="I221" i="18"/>
  <c r="K221" i="18" s="1"/>
  <c r="L221" i="18" s="1"/>
  <c r="J220" i="18"/>
  <c r="I220" i="18"/>
  <c r="K220" i="18" s="1"/>
  <c r="L220" i="18" s="1"/>
  <c r="J219" i="18"/>
  <c r="I219" i="18"/>
  <c r="K219" i="18" s="1"/>
  <c r="L219" i="18" s="1"/>
  <c r="J218" i="18"/>
  <c r="I218" i="18"/>
  <c r="K218" i="18" s="1"/>
  <c r="L218" i="18" s="1"/>
  <c r="J217" i="18"/>
  <c r="I217" i="18"/>
  <c r="K217" i="18" s="1"/>
  <c r="L217" i="18" s="1"/>
  <c r="J216" i="18"/>
  <c r="I216" i="18"/>
  <c r="K216" i="18" s="1"/>
  <c r="L216" i="18" s="1"/>
  <c r="J215" i="18"/>
  <c r="I215" i="18"/>
  <c r="K215" i="18" s="1"/>
  <c r="L215" i="18" s="1"/>
  <c r="J214" i="18"/>
  <c r="I214" i="18"/>
  <c r="K214" i="18" s="1"/>
  <c r="L214" i="18" s="1"/>
  <c r="J213" i="18"/>
  <c r="I213" i="18"/>
  <c r="K213" i="18" s="1"/>
  <c r="J212" i="18"/>
  <c r="I212" i="18"/>
  <c r="K212" i="18" s="1"/>
  <c r="L212" i="18" s="1"/>
  <c r="J211" i="18"/>
  <c r="I211" i="18"/>
  <c r="K211" i="18" s="1"/>
  <c r="L211" i="18" s="1"/>
  <c r="J210" i="18"/>
  <c r="I210" i="18"/>
  <c r="K210" i="18" s="1"/>
  <c r="L210" i="18" s="1"/>
  <c r="J209" i="18"/>
  <c r="I209" i="18"/>
  <c r="K209" i="18" s="1"/>
  <c r="L209" i="18" s="1"/>
  <c r="J208" i="18"/>
  <c r="I208" i="18"/>
  <c r="K208" i="18" s="1"/>
  <c r="L208" i="18" s="1"/>
  <c r="J207" i="18"/>
  <c r="I207" i="18"/>
  <c r="K207" i="18" s="1"/>
  <c r="J206" i="18"/>
  <c r="I206" i="18"/>
  <c r="K206" i="18" s="1"/>
  <c r="L206" i="18" s="1"/>
  <c r="J205" i="18"/>
  <c r="I205" i="18"/>
  <c r="K205" i="18" s="1"/>
  <c r="L205" i="18" s="1"/>
  <c r="J204" i="18"/>
  <c r="I204" i="18"/>
  <c r="K204" i="18" s="1"/>
  <c r="L204" i="18" s="1"/>
  <c r="K203" i="18"/>
  <c r="J203" i="18"/>
  <c r="I203" i="18"/>
  <c r="J202" i="18"/>
  <c r="I202" i="18"/>
  <c r="K202" i="18" s="1"/>
  <c r="L202" i="18" s="1"/>
  <c r="J201" i="18"/>
  <c r="I201" i="18"/>
  <c r="K201" i="18" s="1"/>
  <c r="L201" i="18" s="1"/>
  <c r="J200" i="18"/>
  <c r="I200" i="18"/>
  <c r="K200" i="18" s="1"/>
  <c r="L200" i="18" s="1"/>
  <c r="J199" i="18"/>
  <c r="I199" i="18"/>
  <c r="K199" i="18" s="1"/>
  <c r="L199" i="18" s="1"/>
  <c r="J198" i="18"/>
  <c r="I198" i="18"/>
  <c r="K198" i="18" s="1"/>
  <c r="L198" i="18" s="1"/>
  <c r="J197" i="18"/>
  <c r="I197" i="18"/>
  <c r="K197" i="18" s="1"/>
  <c r="J196" i="18"/>
  <c r="I196" i="18"/>
  <c r="K196" i="18" s="1"/>
  <c r="L196" i="18" s="1"/>
  <c r="J195" i="18"/>
  <c r="I195" i="18"/>
  <c r="K195" i="18" s="1"/>
  <c r="L195" i="18" s="1"/>
  <c r="J194" i="18"/>
  <c r="I194" i="18"/>
  <c r="K194" i="18" s="1"/>
  <c r="J193" i="18"/>
  <c r="I193" i="18"/>
  <c r="K193" i="18" s="1"/>
  <c r="L193" i="18" s="1"/>
  <c r="J192" i="18"/>
  <c r="I192" i="18"/>
  <c r="K192" i="18" s="1"/>
  <c r="J191" i="18"/>
  <c r="I191" i="18"/>
  <c r="K191" i="18" s="1"/>
  <c r="J190" i="18"/>
  <c r="I190" i="18"/>
  <c r="K190" i="18" s="1"/>
  <c r="J189" i="18"/>
  <c r="I189" i="18"/>
  <c r="K189" i="18" s="1"/>
  <c r="L189" i="18" s="1"/>
  <c r="K188" i="18"/>
  <c r="J188" i="18"/>
  <c r="I188" i="18"/>
  <c r="J187" i="18"/>
  <c r="I187" i="18"/>
  <c r="K187" i="18" s="1"/>
  <c r="L187" i="18" s="1"/>
  <c r="J186" i="18"/>
  <c r="I186" i="18"/>
  <c r="K186" i="18" s="1"/>
  <c r="L186" i="18" s="1"/>
  <c r="J185" i="18"/>
  <c r="I185" i="18"/>
  <c r="K185" i="18" s="1"/>
  <c r="J184" i="18"/>
  <c r="I184" i="18"/>
  <c r="K184" i="18" s="1"/>
  <c r="L184" i="18" s="1"/>
  <c r="J183" i="18"/>
  <c r="I183" i="18"/>
  <c r="K183" i="18" s="1"/>
  <c r="L183" i="18" s="1"/>
  <c r="J182" i="18"/>
  <c r="I182" i="18"/>
  <c r="K182" i="18" s="1"/>
  <c r="J181" i="18"/>
  <c r="I181" i="18"/>
  <c r="K181" i="18" s="1"/>
  <c r="J180" i="18"/>
  <c r="I180" i="18"/>
  <c r="K180" i="18" s="1"/>
  <c r="L180" i="18" s="1"/>
  <c r="J179" i="18"/>
  <c r="I179" i="18"/>
  <c r="K179" i="18" s="1"/>
  <c r="J178" i="18"/>
  <c r="I178" i="18"/>
  <c r="K178" i="18" s="1"/>
  <c r="J177" i="18"/>
  <c r="I177" i="18"/>
  <c r="K177" i="18" s="1"/>
  <c r="L177" i="18" s="1"/>
  <c r="J176" i="18"/>
  <c r="I176" i="18"/>
  <c r="K176" i="18" s="1"/>
  <c r="J175" i="18"/>
  <c r="I175" i="18"/>
  <c r="K175" i="18" s="1"/>
  <c r="J174" i="18"/>
  <c r="I174" i="18"/>
  <c r="K174" i="18" s="1"/>
  <c r="J173" i="18"/>
  <c r="I173" i="18"/>
  <c r="K173" i="18" s="1"/>
  <c r="L173" i="18" s="1"/>
  <c r="J172" i="18"/>
  <c r="I172" i="18"/>
  <c r="K172" i="18" s="1"/>
  <c r="L172" i="18" s="1"/>
  <c r="J171" i="18"/>
  <c r="I171" i="18"/>
  <c r="K171" i="18" s="1"/>
  <c r="L171" i="18" s="1"/>
  <c r="J170" i="18"/>
  <c r="I170" i="18"/>
  <c r="K170" i="18" s="1"/>
  <c r="J169" i="18"/>
  <c r="I169" i="18"/>
  <c r="K169" i="18" s="1"/>
  <c r="L169" i="18" s="1"/>
  <c r="J168" i="18"/>
  <c r="I168" i="18"/>
  <c r="K168" i="18" s="1"/>
  <c r="L168" i="18" s="1"/>
  <c r="J167" i="18"/>
  <c r="I167" i="18"/>
  <c r="K167" i="18" s="1"/>
  <c r="L167" i="18" s="1"/>
  <c r="J166" i="18"/>
  <c r="I166" i="18"/>
  <c r="K166" i="18" s="1"/>
  <c r="L166" i="18" s="1"/>
  <c r="J165" i="18"/>
  <c r="I165" i="18"/>
  <c r="K165" i="18" s="1"/>
  <c r="L165" i="18" s="1"/>
  <c r="J164" i="18"/>
  <c r="I164" i="18"/>
  <c r="K164" i="18" s="1"/>
  <c r="L164" i="18" s="1"/>
  <c r="J163" i="18"/>
  <c r="I163" i="18"/>
  <c r="K163" i="18" s="1"/>
  <c r="L163" i="18" s="1"/>
  <c r="J162" i="18"/>
  <c r="I162" i="18"/>
  <c r="K162" i="18" s="1"/>
  <c r="J161" i="18"/>
  <c r="I161" i="18"/>
  <c r="K161" i="18" s="1"/>
  <c r="L161" i="18" s="1"/>
  <c r="J160" i="18"/>
  <c r="I160" i="18"/>
  <c r="K160" i="18" s="1"/>
  <c r="J159" i="18"/>
  <c r="I159" i="18"/>
  <c r="K159" i="18" s="1"/>
  <c r="J158" i="18"/>
  <c r="I158" i="18"/>
  <c r="K158" i="18" s="1"/>
  <c r="J157" i="18"/>
  <c r="I157" i="18"/>
  <c r="K157" i="18" s="1"/>
  <c r="L157" i="18" s="1"/>
  <c r="J156" i="18"/>
  <c r="I156" i="18"/>
  <c r="K156" i="18" s="1"/>
  <c r="J155" i="18"/>
  <c r="I155" i="18"/>
  <c r="K155" i="18" s="1"/>
  <c r="J154" i="18"/>
  <c r="I154" i="18"/>
  <c r="K154" i="18" s="1"/>
  <c r="L154" i="18" s="1"/>
  <c r="J153" i="18"/>
  <c r="I153" i="18"/>
  <c r="K153" i="18" s="1"/>
  <c r="J152" i="18"/>
  <c r="I152" i="18"/>
  <c r="K152" i="18" s="1"/>
  <c r="L152" i="18" s="1"/>
  <c r="J151" i="18"/>
  <c r="I151" i="18"/>
  <c r="K151" i="18" s="1"/>
  <c r="J150" i="18"/>
  <c r="I150" i="18"/>
  <c r="K150" i="18" s="1"/>
  <c r="J149" i="18"/>
  <c r="I149" i="18"/>
  <c r="K149" i="18" s="1"/>
  <c r="L149" i="18" s="1"/>
  <c r="J148" i="18"/>
  <c r="I148" i="18"/>
  <c r="K148" i="18" s="1"/>
  <c r="L148" i="18" s="1"/>
  <c r="K147" i="18"/>
  <c r="J147" i="18"/>
  <c r="I147" i="18"/>
  <c r="J146" i="18"/>
  <c r="I146" i="18"/>
  <c r="K146" i="18" s="1"/>
  <c r="L146" i="18" s="1"/>
  <c r="J145" i="18"/>
  <c r="I145" i="18"/>
  <c r="K145" i="18" s="1"/>
  <c r="L145" i="18" s="1"/>
  <c r="K144" i="18"/>
  <c r="J144" i="18"/>
  <c r="I144" i="18"/>
  <c r="J143" i="18"/>
  <c r="I143" i="18"/>
  <c r="K143" i="18" s="1"/>
  <c r="L143" i="18" s="1"/>
  <c r="J142" i="18"/>
  <c r="I142" i="18"/>
  <c r="K142" i="18" s="1"/>
  <c r="J141" i="18"/>
  <c r="I141" i="18"/>
  <c r="K141" i="18" s="1"/>
  <c r="L141" i="18" s="1"/>
  <c r="J140" i="18"/>
  <c r="I140" i="18"/>
  <c r="K140" i="18" s="1"/>
  <c r="L140" i="18" s="1"/>
  <c r="J139" i="18"/>
  <c r="I139" i="18"/>
  <c r="K139" i="18" s="1"/>
  <c r="J138" i="18"/>
  <c r="I138" i="18"/>
  <c r="K138" i="18" s="1"/>
  <c r="L138" i="18" s="1"/>
  <c r="J137" i="18"/>
  <c r="I137" i="18"/>
  <c r="K137" i="18" s="1"/>
  <c r="L137" i="18" s="1"/>
  <c r="J136" i="18"/>
  <c r="I136" i="18"/>
  <c r="K136" i="18" s="1"/>
  <c r="L136" i="18" s="1"/>
  <c r="J135" i="18"/>
  <c r="I135" i="18"/>
  <c r="K135" i="18" s="1"/>
  <c r="L135" i="18" s="1"/>
  <c r="J134" i="18"/>
  <c r="I134" i="18"/>
  <c r="K134" i="18" s="1"/>
  <c r="J133" i="18"/>
  <c r="I133" i="18"/>
  <c r="K133" i="18" s="1"/>
  <c r="L133" i="18" s="1"/>
  <c r="J132" i="18"/>
  <c r="I132" i="18"/>
  <c r="K132" i="18" s="1"/>
  <c r="L132" i="18" s="1"/>
  <c r="J131" i="18"/>
  <c r="I131" i="18"/>
  <c r="K131" i="18" s="1"/>
  <c r="J130" i="18"/>
  <c r="I130" i="18"/>
  <c r="K130" i="18" s="1"/>
  <c r="L130" i="18" s="1"/>
  <c r="J129" i="18"/>
  <c r="I129" i="18"/>
  <c r="K129" i="18" s="1"/>
  <c r="L129" i="18" s="1"/>
  <c r="J128" i="18"/>
  <c r="I128" i="18"/>
  <c r="K128" i="18" s="1"/>
  <c r="L128" i="18" s="1"/>
  <c r="J127" i="18"/>
  <c r="I127" i="18"/>
  <c r="K127" i="18" s="1"/>
  <c r="L127" i="18" s="1"/>
  <c r="J126" i="18"/>
  <c r="I126" i="18"/>
  <c r="K126" i="18" s="1"/>
  <c r="J125" i="18"/>
  <c r="I125" i="18"/>
  <c r="K125" i="18" s="1"/>
  <c r="L125" i="18" s="1"/>
  <c r="J124" i="18"/>
  <c r="I124" i="18"/>
  <c r="K124" i="18" s="1"/>
  <c r="L124" i="18" s="1"/>
  <c r="J123" i="18"/>
  <c r="I123" i="18"/>
  <c r="K123" i="18" s="1"/>
  <c r="J122" i="18"/>
  <c r="I122" i="18"/>
  <c r="K122" i="18" s="1"/>
  <c r="L122" i="18" s="1"/>
  <c r="J121" i="18"/>
  <c r="I121" i="18"/>
  <c r="K121" i="18" s="1"/>
  <c r="L121" i="18" s="1"/>
  <c r="J120" i="18"/>
  <c r="I120" i="18"/>
  <c r="K120" i="18" s="1"/>
  <c r="L120" i="18" s="1"/>
  <c r="J119" i="18"/>
  <c r="I119" i="18"/>
  <c r="K119" i="18" s="1"/>
  <c r="L119" i="18" s="1"/>
  <c r="J118" i="18"/>
  <c r="I118" i="18"/>
  <c r="K118" i="18" s="1"/>
  <c r="J117" i="18"/>
  <c r="I117" i="18"/>
  <c r="K117" i="18" s="1"/>
  <c r="L117" i="18" s="1"/>
  <c r="J116" i="18"/>
  <c r="I116" i="18"/>
  <c r="K116" i="18" s="1"/>
  <c r="L116" i="18" s="1"/>
  <c r="J115" i="18"/>
  <c r="I115" i="18"/>
  <c r="K115" i="18" s="1"/>
  <c r="J114" i="18"/>
  <c r="I114" i="18"/>
  <c r="K114" i="18" s="1"/>
  <c r="L114" i="18" s="1"/>
  <c r="L113" i="18"/>
  <c r="J113" i="18"/>
  <c r="I113" i="18"/>
  <c r="K113" i="18" s="1"/>
  <c r="J112" i="18"/>
  <c r="I112" i="18"/>
  <c r="K112" i="18" s="1"/>
  <c r="L112" i="18" s="1"/>
  <c r="J111" i="18"/>
  <c r="I111" i="18"/>
  <c r="K111" i="18" s="1"/>
  <c r="L111" i="18" s="1"/>
  <c r="K110" i="18"/>
  <c r="J110" i="18"/>
  <c r="I110" i="18"/>
  <c r="J109" i="18"/>
  <c r="I109" i="18"/>
  <c r="K109" i="18" s="1"/>
  <c r="J108" i="18"/>
  <c r="I108" i="18"/>
  <c r="K108" i="18" s="1"/>
  <c r="L108" i="18" s="1"/>
  <c r="J107" i="18"/>
  <c r="I107" i="18"/>
  <c r="K107" i="18" s="1"/>
  <c r="L107" i="18" s="1"/>
  <c r="J106" i="18"/>
  <c r="I106" i="18"/>
  <c r="K106" i="18" s="1"/>
  <c r="L106" i="18" s="1"/>
  <c r="J105" i="18"/>
  <c r="I105" i="18"/>
  <c r="K105" i="18" s="1"/>
  <c r="L105" i="18" s="1"/>
  <c r="J104" i="18"/>
  <c r="I104" i="18"/>
  <c r="K104" i="18" s="1"/>
  <c r="V103" i="18"/>
  <c r="J103" i="18"/>
  <c r="I103" i="18"/>
  <c r="K103" i="18" s="1"/>
  <c r="J102" i="18"/>
  <c r="I102" i="18"/>
  <c r="K102" i="18" s="1"/>
  <c r="L102" i="18" s="1"/>
  <c r="J101" i="18"/>
  <c r="I101" i="18"/>
  <c r="K101" i="18" s="1"/>
  <c r="L101" i="18" s="1"/>
  <c r="V100" i="18"/>
  <c r="J100" i="18"/>
  <c r="I100" i="18"/>
  <c r="K100" i="18" s="1"/>
  <c r="V99" i="18"/>
  <c r="J99" i="18"/>
  <c r="I99" i="18"/>
  <c r="K99" i="18" s="1"/>
  <c r="J98" i="18"/>
  <c r="I98" i="18"/>
  <c r="K98" i="18" s="1"/>
  <c r="L98" i="18" s="1"/>
  <c r="J97" i="18"/>
  <c r="I97" i="18"/>
  <c r="K97" i="18" s="1"/>
  <c r="V96" i="18"/>
  <c r="J96" i="18"/>
  <c r="I96" i="18"/>
  <c r="K96" i="18" s="1"/>
  <c r="J95" i="18"/>
  <c r="I95" i="18"/>
  <c r="K95" i="18" s="1"/>
  <c r="L95" i="18" s="1"/>
  <c r="J94" i="18"/>
  <c r="I94" i="18"/>
  <c r="K94" i="18" s="1"/>
  <c r="L94" i="18" s="1"/>
  <c r="J93" i="18"/>
  <c r="I93" i="18"/>
  <c r="K93" i="18" s="1"/>
  <c r="J92" i="18"/>
  <c r="I92" i="18"/>
  <c r="K92" i="18" s="1"/>
  <c r="L92" i="18" s="1"/>
  <c r="J91" i="18"/>
  <c r="I91" i="18"/>
  <c r="K91" i="18" s="1"/>
  <c r="L91" i="18" s="1"/>
  <c r="J90" i="18"/>
  <c r="I90" i="18"/>
  <c r="K90" i="18" s="1"/>
  <c r="V89" i="18"/>
  <c r="J89" i="18"/>
  <c r="I89" i="18"/>
  <c r="K89" i="18" s="1"/>
  <c r="L89" i="18" s="1"/>
  <c r="J88" i="18"/>
  <c r="I88" i="18"/>
  <c r="K88" i="18" s="1"/>
  <c r="J87" i="18"/>
  <c r="I87" i="18"/>
  <c r="K87" i="18" s="1"/>
  <c r="L87" i="18" s="1"/>
  <c r="J86" i="18"/>
  <c r="I86" i="18"/>
  <c r="K86" i="18" s="1"/>
  <c r="L86" i="18" s="1"/>
  <c r="V85" i="18"/>
  <c r="J85" i="18"/>
  <c r="I85" i="18"/>
  <c r="K85" i="18" s="1"/>
  <c r="L85" i="18" s="1"/>
  <c r="J84" i="18"/>
  <c r="I84" i="18"/>
  <c r="K84" i="18" s="1"/>
  <c r="L84" i="18" s="1"/>
  <c r="J83" i="18"/>
  <c r="I83" i="18"/>
  <c r="K83" i="18" s="1"/>
  <c r="J82" i="18"/>
  <c r="I82" i="18"/>
  <c r="K82" i="18" s="1"/>
  <c r="J81" i="18"/>
  <c r="I81" i="18"/>
  <c r="K81" i="18" s="1"/>
  <c r="L81" i="18" s="1"/>
  <c r="J80" i="18"/>
  <c r="I80" i="18"/>
  <c r="K80" i="18" s="1"/>
  <c r="L80" i="18" s="1"/>
  <c r="V82" i="18" s="1"/>
  <c r="K79" i="18"/>
  <c r="L79" i="18" s="1"/>
  <c r="J79" i="18"/>
  <c r="I79" i="18"/>
  <c r="J78" i="18"/>
  <c r="I78" i="18"/>
  <c r="K78" i="18" s="1"/>
  <c r="J77" i="18"/>
  <c r="I77" i="18"/>
  <c r="K77" i="18" s="1"/>
  <c r="J76" i="18"/>
  <c r="I76" i="18"/>
  <c r="K76" i="18" s="1"/>
  <c r="J75" i="18"/>
  <c r="I75" i="18"/>
  <c r="K75" i="18" s="1"/>
  <c r="J74" i="18"/>
  <c r="I74" i="18"/>
  <c r="K74" i="18" s="1"/>
  <c r="J73" i="18"/>
  <c r="I73" i="18"/>
  <c r="K73" i="18" s="1"/>
  <c r="L73" i="18" s="1"/>
  <c r="J72" i="18"/>
  <c r="I72" i="18"/>
  <c r="K72" i="18" s="1"/>
  <c r="J71" i="18"/>
  <c r="I71" i="18"/>
  <c r="K71" i="18" s="1"/>
  <c r="L71" i="18" s="1"/>
  <c r="J70" i="18"/>
  <c r="I70" i="18"/>
  <c r="K70" i="18" s="1"/>
  <c r="L70" i="18" s="1"/>
  <c r="V72" i="18" s="1"/>
  <c r="J69" i="18"/>
  <c r="I69" i="18"/>
  <c r="K69" i="18" s="1"/>
  <c r="L69" i="18" s="1"/>
  <c r="V71" i="18" s="1"/>
  <c r="J68" i="18"/>
  <c r="I68" i="18"/>
  <c r="K68" i="18" s="1"/>
  <c r="L68" i="18" s="1"/>
  <c r="J67" i="18"/>
  <c r="I67" i="18"/>
  <c r="K67" i="18" s="1"/>
  <c r="L67" i="18" s="1"/>
  <c r="J66" i="18"/>
  <c r="I66" i="18"/>
  <c r="K66" i="18" s="1"/>
  <c r="J65" i="18"/>
  <c r="I65" i="18"/>
  <c r="K65" i="18" s="1"/>
  <c r="L65" i="18" s="1"/>
  <c r="J64" i="18"/>
  <c r="I64" i="18"/>
  <c r="K64" i="18" s="1"/>
  <c r="L64" i="18" s="1"/>
  <c r="J63" i="18"/>
  <c r="I63" i="18"/>
  <c r="K63" i="18" s="1"/>
  <c r="J62" i="18"/>
  <c r="I62" i="18"/>
  <c r="K62" i="18" s="1"/>
  <c r="L62" i="18" s="1"/>
  <c r="J61" i="18"/>
  <c r="I61" i="18"/>
  <c r="K61" i="18" s="1"/>
  <c r="L61" i="18" s="1"/>
  <c r="K60" i="18"/>
  <c r="J60" i="18"/>
  <c r="I60" i="18"/>
  <c r="J59" i="18"/>
  <c r="I59" i="18"/>
  <c r="K59" i="18" s="1"/>
  <c r="L59" i="18" s="1"/>
  <c r="J58" i="18"/>
  <c r="I58" i="18"/>
  <c r="K58" i="18" s="1"/>
  <c r="L58" i="18" s="1"/>
  <c r="J57" i="18"/>
  <c r="I57" i="18"/>
  <c r="K57" i="18" s="1"/>
  <c r="L57" i="18" s="1"/>
  <c r="J56" i="18"/>
  <c r="I56" i="18"/>
  <c r="K56" i="18" s="1"/>
  <c r="J55" i="18"/>
  <c r="I55" i="18"/>
  <c r="K55" i="18" s="1"/>
  <c r="L55" i="18" s="1"/>
  <c r="J54" i="18"/>
  <c r="I54" i="18"/>
  <c r="K54" i="18" s="1"/>
  <c r="J53" i="18"/>
  <c r="I53" i="18"/>
  <c r="K53" i="18" s="1"/>
  <c r="L53" i="18" s="1"/>
  <c r="J52" i="18"/>
  <c r="I52" i="18"/>
  <c r="K52" i="18" s="1"/>
  <c r="J51" i="18"/>
  <c r="I51" i="18"/>
  <c r="K51" i="18" s="1"/>
  <c r="L51" i="18" s="1"/>
  <c r="J50" i="18"/>
  <c r="I50" i="18"/>
  <c r="K50" i="18" s="1"/>
  <c r="L50" i="18" s="1"/>
  <c r="J49" i="18"/>
  <c r="I49" i="18"/>
  <c r="K49" i="18" s="1"/>
  <c r="J48" i="18"/>
  <c r="I48" i="18"/>
  <c r="K48" i="18" s="1"/>
  <c r="J47" i="18"/>
  <c r="I47" i="18"/>
  <c r="K47" i="18" s="1"/>
  <c r="J46" i="18"/>
  <c r="I46" i="18"/>
  <c r="K46" i="18" s="1"/>
  <c r="L46" i="18" s="1"/>
  <c r="J45" i="18"/>
  <c r="I45" i="18"/>
  <c r="K45" i="18" s="1"/>
  <c r="L45" i="18" s="1"/>
  <c r="J44" i="18"/>
  <c r="I44" i="18"/>
  <c r="K44" i="18" s="1"/>
  <c r="L44" i="18" s="1"/>
  <c r="J43" i="18"/>
  <c r="I43" i="18"/>
  <c r="K43" i="18" s="1"/>
  <c r="L43" i="18" s="1"/>
  <c r="K42" i="18"/>
  <c r="L42" i="18" s="1"/>
  <c r="J42" i="18"/>
  <c r="I42" i="18"/>
  <c r="J41" i="18"/>
  <c r="I41" i="18"/>
  <c r="K41" i="18" s="1"/>
  <c r="L41" i="18" s="1"/>
  <c r="J40" i="18"/>
  <c r="I40" i="18"/>
  <c r="K40" i="18" s="1"/>
  <c r="L40" i="18" s="1"/>
  <c r="J39" i="18"/>
  <c r="I39" i="18"/>
  <c r="K39" i="18" s="1"/>
  <c r="L39" i="18" s="1"/>
  <c r="J38" i="18"/>
  <c r="I38" i="18"/>
  <c r="K38" i="18" s="1"/>
  <c r="L38" i="18" s="1"/>
  <c r="J37" i="18"/>
  <c r="I37" i="18"/>
  <c r="K37" i="18" s="1"/>
  <c r="L37" i="18" s="1"/>
  <c r="J36" i="18"/>
  <c r="I36" i="18"/>
  <c r="K36" i="18" s="1"/>
  <c r="J35" i="18"/>
  <c r="I35" i="18"/>
  <c r="K35" i="18" s="1"/>
  <c r="J34" i="18"/>
  <c r="I34" i="18"/>
  <c r="K34" i="18" s="1"/>
  <c r="L34" i="18" s="1"/>
  <c r="J33" i="18"/>
  <c r="I33" i="18"/>
  <c r="K33" i="18" s="1"/>
  <c r="L33" i="18" s="1"/>
  <c r="J32" i="18"/>
  <c r="I32" i="18"/>
  <c r="K32" i="18" s="1"/>
  <c r="L32" i="18" s="1"/>
  <c r="J31" i="18"/>
  <c r="I31" i="18"/>
  <c r="K31" i="18" s="1"/>
  <c r="J30" i="18"/>
  <c r="I30" i="18"/>
  <c r="K30" i="18" s="1"/>
  <c r="L30" i="18" s="1"/>
  <c r="J29" i="18"/>
  <c r="I29" i="18"/>
  <c r="K29" i="18" s="1"/>
  <c r="J28" i="18"/>
  <c r="I28" i="18"/>
  <c r="K28" i="18" s="1"/>
  <c r="L28" i="18" s="1"/>
  <c r="J27" i="18"/>
  <c r="I27" i="18"/>
  <c r="K27" i="18" s="1"/>
  <c r="J26" i="18"/>
  <c r="I26" i="18"/>
  <c r="K26" i="18" s="1"/>
  <c r="L26" i="18" s="1"/>
  <c r="J25" i="18"/>
  <c r="I25" i="18"/>
  <c r="K25" i="18" s="1"/>
  <c r="L25" i="18" s="1"/>
  <c r="J24" i="18"/>
  <c r="I24" i="18"/>
  <c r="K24" i="18" s="1"/>
  <c r="J23" i="18"/>
  <c r="I23" i="18"/>
  <c r="K23" i="18" s="1"/>
  <c r="L23" i="18" s="1"/>
  <c r="J22" i="18"/>
  <c r="I22" i="18"/>
  <c r="K22" i="18" s="1"/>
  <c r="L22" i="18" s="1"/>
  <c r="J21" i="18"/>
  <c r="I21" i="18"/>
  <c r="K21" i="18" s="1"/>
  <c r="L21" i="18" s="1"/>
  <c r="J20" i="18"/>
  <c r="I20" i="18"/>
  <c r="K20" i="18" s="1"/>
  <c r="J19" i="18"/>
  <c r="I19" i="18"/>
  <c r="K19" i="18" s="1"/>
  <c r="L19" i="18" s="1"/>
  <c r="J18" i="18"/>
  <c r="I18" i="18"/>
  <c r="K18" i="18" s="1"/>
  <c r="L18" i="18" s="1"/>
  <c r="J17" i="18"/>
  <c r="I17" i="18"/>
  <c r="K17" i="18" s="1"/>
  <c r="J16" i="18"/>
  <c r="I16" i="18"/>
  <c r="K16" i="18" s="1"/>
  <c r="L16" i="18" s="1"/>
  <c r="J15" i="18"/>
  <c r="I15" i="18"/>
  <c r="K15" i="18" s="1"/>
  <c r="L15" i="18" s="1"/>
  <c r="J14" i="18"/>
  <c r="I14" i="18"/>
  <c r="K14" i="18" s="1"/>
  <c r="L14" i="18" s="1"/>
  <c r="J13" i="18"/>
  <c r="I13" i="18"/>
  <c r="K13" i="18" s="1"/>
  <c r="J12" i="18"/>
  <c r="I12" i="18"/>
  <c r="K12" i="18" s="1"/>
  <c r="L12" i="18" s="1"/>
  <c r="J11" i="18"/>
  <c r="I11" i="18"/>
  <c r="K11" i="18" s="1"/>
  <c r="J10" i="18"/>
  <c r="I10" i="18"/>
  <c r="K10" i="18" s="1"/>
  <c r="J9" i="18"/>
  <c r="I9" i="18"/>
  <c r="K9" i="18" s="1"/>
  <c r="L9" i="18" s="1"/>
  <c r="J8" i="18"/>
  <c r="I8" i="18"/>
  <c r="K8" i="18" s="1"/>
  <c r="J7" i="18"/>
  <c r="I7" i="18"/>
  <c r="K7" i="18" s="1"/>
  <c r="L7" i="18" s="1"/>
  <c r="J6" i="18"/>
  <c r="I6" i="18"/>
  <c r="K6" i="18" s="1"/>
  <c r="L6" i="18" s="1"/>
  <c r="J5" i="18"/>
  <c r="I5" i="18"/>
  <c r="K5" i="18" s="1"/>
  <c r="L5" i="18" s="1"/>
  <c r="J4" i="18"/>
  <c r="I4" i="18"/>
  <c r="K4" i="18" s="1"/>
  <c r="L4" i="18" s="1"/>
  <c r="J3" i="18"/>
  <c r="I3" i="18"/>
  <c r="K3" i="18" s="1"/>
  <c r="J2" i="18"/>
  <c r="I2" i="18"/>
  <c r="K2" i="18" s="1"/>
  <c r="L2" i="18" s="1"/>
  <c r="J322" i="17"/>
  <c r="I322" i="17"/>
  <c r="K322" i="17" s="1"/>
  <c r="L322" i="17" s="1"/>
  <c r="J321" i="17"/>
  <c r="I321" i="17"/>
  <c r="K321" i="17" s="1"/>
  <c r="L321" i="17" s="1"/>
  <c r="J320" i="17"/>
  <c r="I320" i="17"/>
  <c r="K320" i="17" s="1"/>
  <c r="L320" i="17" s="1"/>
  <c r="V102" i="17" s="1"/>
  <c r="J319" i="17"/>
  <c r="I319" i="17"/>
  <c r="K319" i="17" s="1"/>
  <c r="J318" i="17"/>
  <c r="I318" i="17"/>
  <c r="K318" i="17" s="1"/>
  <c r="J317" i="17"/>
  <c r="I317" i="17"/>
  <c r="K317" i="17" s="1"/>
  <c r="L317" i="17" s="1"/>
  <c r="J316" i="17"/>
  <c r="I316" i="17"/>
  <c r="K316" i="17" s="1"/>
  <c r="L316" i="17" s="1"/>
  <c r="V98" i="17" s="1"/>
  <c r="J315" i="17"/>
  <c r="I315" i="17"/>
  <c r="K315" i="17" s="1"/>
  <c r="J314" i="17"/>
  <c r="I314" i="17"/>
  <c r="K314" i="17" s="1"/>
  <c r="L314" i="17" s="1"/>
  <c r="J313" i="17"/>
  <c r="I313" i="17"/>
  <c r="K313" i="17" s="1"/>
  <c r="L313" i="17" s="1"/>
  <c r="V95" i="17" s="1"/>
  <c r="J312" i="17"/>
  <c r="I312" i="17"/>
  <c r="K312" i="17" s="1"/>
  <c r="J311" i="17"/>
  <c r="I311" i="17"/>
  <c r="K311" i="17" s="1"/>
  <c r="J310" i="17"/>
  <c r="I310" i="17"/>
  <c r="K310" i="17" s="1"/>
  <c r="J309" i="17"/>
  <c r="I309" i="17"/>
  <c r="K309" i="17" s="1"/>
  <c r="J308" i="17"/>
  <c r="I308" i="17"/>
  <c r="K308" i="17" s="1"/>
  <c r="L308" i="17" s="1"/>
  <c r="V90" i="17" s="1"/>
  <c r="J307" i="17"/>
  <c r="I307" i="17"/>
  <c r="K307" i="17" s="1"/>
  <c r="L307" i="17" s="1"/>
  <c r="J306" i="17"/>
  <c r="I306" i="17"/>
  <c r="K306" i="17" s="1"/>
  <c r="L306" i="17" s="1"/>
  <c r="V88" i="17" s="1"/>
  <c r="J305" i="17"/>
  <c r="I305" i="17"/>
  <c r="K305" i="17" s="1"/>
  <c r="L305" i="17" s="1"/>
  <c r="V87" i="17" s="1"/>
  <c r="J304" i="17"/>
  <c r="I304" i="17"/>
  <c r="K304" i="17" s="1"/>
  <c r="L304" i="17" s="1"/>
  <c r="V86" i="17" s="1"/>
  <c r="J303" i="17"/>
  <c r="I303" i="17"/>
  <c r="K303" i="17" s="1"/>
  <c r="L303" i="17" s="1"/>
  <c r="J302" i="17"/>
  <c r="I302" i="17"/>
  <c r="K302" i="17" s="1"/>
  <c r="J301" i="17"/>
  <c r="I301" i="17"/>
  <c r="K301" i="17" s="1"/>
  <c r="J300" i="17"/>
  <c r="I300" i="17"/>
  <c r="K300" i="17" s="1"/>
  <c r="L300" i="17" s="1"/>
  <c r="J299" i="17"/>
  <c r="I299" i="17"/>
  <c r="K299" i="17" s="1"/>
  <c r="L299" i="17" s="1"/>
  <c r="J298" i="17"/>
  <c r="I298" i="17"/>
  <c r="K298" i="17" s="1"/>
  <c r="L298" i="17" s="1"/>
  <c r="J297" i="17"/>
  <c r="I297" i="17"/>
  <c r="K297" i="17" s="1"/>
  <c r="L297" i="17" s="1"/>
  <c r="J296" i="17"/>
  <c r="I296" i="17"/>
  <c r="K296" i="17" s="1"/>
  <c r="L296" i="17" s="1"/>
  <c r="J295" i="17"/>
  <c r="I295" i="17"/>
  <c r="K295" i="17" s="1"/>
  <c r="L295" i="17" s="1"/>
  <c r="J294" i="17"/>
  <c r="I294" i="17"/>
  <c r="K294" i="17" s="1"/>
  <c r="J293" i="17"/>
  <c r="I293" i="17"/>
  <c r="K293" i="17" s="1"/>
  <c r="L293" i="17" s="1"/>
  <c r="J292" i="17"/>
  <c r="I292" i="17"/>
  <c r="K292" i="17" s="1"/>
  <c r="L292" i="17" s="1"/>
  <c r="J291" i="17"/>
  <c r="I291" i="17"/>
  <c r="K291" i="17" s="1"/>
  <c r="L291" i="17" s="1"/>
  <c r="J290" i="17"/>
  <c r="I290" i="17"/>
  <c r="K290" i="17" s="1"/>
  <c r="L290" i="17" s="1"/>
  <c r="J289" i="17"/>
  <c r="I289" i="17"/>
  <c r="K289" i="17" s="1"/>
  <c r="L289" i="17" s="1"/>
  <c r="J288" i="17"/>
  <c r="I288" i="17"/>
  <c r="K288" i="17" s="1"/>
  <c r="L288" i="17" s="1"/>
  <c r="J287" i="17"/>
  <c r="I287" i="17"/>
  <c r="K287" i="17" s="1"/>
  <c r="J286" i="17"/>
  <c r="I286" i="17"/>
  <c r="K286" i="17" s="1"/>
  <c r="L286" i="17" s="1"/>
  <c r="J285" i="17"/>
  <c r="I285" i="17"/>
  <c r="K285" i="17" s="1"/>
  <c r="L285" i="17" s="1"/>
  <c r="J284" i="17"/>
  <c r="I284" i="17"/>
  <c r="K284" i="17" s="1"/>
  <c r="L284" i="17" s="1"/>
  <c r="J283" i="17"/>
  <c r="I283" i="17"/>
  <c r="K283" i="17" s="1"/>
  <c r="J282" i="17"/>
  <c r="I282" i="17"/>
  <c r="K282" i="17" s="1"/>
  <c r="L282" i="17" s="1"/>
  <c r="J281" i="17"/>
  <c r="I281" i="17"/>
  <c r="K281" i="17" s="1"/>
  <c r="L281" i="17" s="1"/>
  <c r="K280" i="17"/>
  <c r="J280" i="17"/>
  <c r="I280" i="17"/>
  <c r="J279" i="17"/>
  <c r="I279" i="17"/>
  <c r="K279" i="17" s="1"/>
  <c r="J278" i="17"/>
  <c r="I278" i="17"/>
  <c r="K278" i="17" s="1"/>
  <c r="J277" i="17"/>
  <c r="I277" i="17"/>
  <c r="K277" i="17" s="1"/>
  <c r="K276" i="17"/>
  <c r="L276" i="17" s="1"/>
  <c r="J276" i="17"/>
  <c r="I276" i="17"/>
  <c r="J275" i="17"/>
  <c r="I275" i="17"/>
  <c r="K275" i="17" s="1"/>
  <c r="L275" i="17" s="1"/>
  <c r="J274" i="17"/>
  <c r="I274" i="17"/>
  <c r="K274" i="17" s="1"/>
  <c r="L274" i="17" s="1"/>
  <c r="J273" i="17"/>
  <c r="I273" i="17"/>
  <c r="K273" i="17" s="1"/>
  <c r="L273" i="17" s="1"/>
  <c r="J272" i="17"/>
  <c r="I272" i="17"/>
  <c r="K272" i="17" s="1"/>
  <c r="L272" i="17" s="1"/>
  <c r="J271" i="17"/>
  <c r="I271" i="17"/>
  <c r="K271" i="17" s="1"/>
  <c r="L271" i="17" s="1"/>
  <c r="J270" i="17"/>
  <c r="I270" i="17"/>
  <c r="K270" i="17" s="1"/>
  <c r="L270" i="17" s="1"/>
  <c r="J269" i="17"/>
  <c r="I269" i="17"/>
  <c r="K269" i="17" s="1"/>
  <c r="J268" i="17"/>
  <c r="I268" i="17"/>
  <c r="K268" i="17" s="1"/>
  <c r="L268" i="17" s="1"/>
  <c r="J267" i="17"/>
  <c r="I267" i="17"/>
  <c r="K267" i="17" s="1"/>
  <c r="L267" i="17" s="1"/>
  <c r="J266" i="17"/>
  <c r="I266" i="17"/>
  <c r="K266" i="17" s="1"/>
  <c r="L266" i="17" s="1"/>
  <c r="J265" i="17"/>
  <c r="I265" i="17"/>
  <c r="K265" i="17" s="1"/>
  <c r="L265" i="17" s="1"/>
  <c r="J264" i="17"/>
  <c r="I264" i="17"/>
  <c r="K264" i="17" s="1"/>
  <c r="L264" i="17" s="1"/>
  <c r="J263" i="17"/>
  <c r="I263" i="17"/>
  <c r="K263" i="17" s="1"/>
  <c r="L263" i="17" s="1"/>
  <c r="J262" i="17"/>
  <c r="I262" i="17"/>
  <c r="K262" i="17" s="1"/>
  <c r="J261" i="17"/>
  <c r="I261" i="17"/>
  <c r="K261" i="17" s="1"/>
  <c r="L261" i="17" s="1"/>
  <c r="J260" i="17"/>
  <c r="I260" i="17"/>
  <c r="K260" i="17" s="1"/>
  <c r="L260" i="17" s="1"/>
  <c r="J259" i="17"/>
  <c r="I259" i="17"/>
  <c r="K259" i="17" s="1"/>
  <c r="L259" i="17" s="1"/>
  <c r="J258" i="17"/>
  <c r="I258" i="17"/>
  <c r="K258" i="17" s="1"/>
  <c r="L258" i="17" s="1"/>
  <c r="J257" i="17"/>
  <c r="I257" i="17"/>
  <c r="K257" i="17" s="1"/>
  <c r="L257" i="17" s="1"/>
  <c r="J256" i="17"/>
  <c r="I256" i="17"/>
  <c r="K256" i="17" s="1"/>
  <c r="L256" i="17" s="1"/>
  <c r="J255" i="17"/>
  <c r="I255" i="17"/>
  <c r="K255" i="17" s="1"/>
  <c r="J254" i="17"/>
  <c r="I254" i="17"/>
  <c r="K254" i="17" s="1"/>
  <c r="L254" i="17" s="1"/>
  <c r="J253" i="17"/>
  <c r="I253" i="17"/>
  <c r="K253" i="17" s="1"/>
  <c r="L253" i="17" s="1"/>
  <c r="J252" i="17"/>
  <c r="I252" i="17"/>
  <c r="K252" i="17" s="1"/>
  <c r="L252" i="17" s="1"/>
  <c r="J251" i="17"/>
  <c r="I251" i="17"/>
  <c r="K251" i="17" s="1"/>
  <c r="J250" i="17"/>
  <c r="I250" i="17"/>
  <c r="K250" i="17" s="1"/>
  <c r="L250" i="17" s="1"/>
  <c r="J249" i="17"/>
  <c r="I249" i="17"/>
  <c r="K249" i="17" s="1"/>
  <c r="L249" i="17" s="1"/>
  <c r="K248" i="17"/>
  <c r="J248" i="17"/>
  <c r="I248" i="17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J236" i="17"/>
  <c r="I236" i="17"/>
  <c r="K236" i="17" s="1"/>
  <c r="J235" i="17"/>
  <c r="I235" i="17"/>
  <c r="K235" i="17" s="1"/>
  <c r="J234" i="17"/>
  <c r="I234" i="17"/>
  <c r="K234" i="17" s="1"/>
  <c r="L234" i="17" s="1"/>
  <c r="J233" i="17"/>
  <c r="I233" i="17"/>
  <c r="K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J228" i="17"/>
  <c r="I228" i="17"/>
  <c r="K228" i="17" s="1"/>
  <c r="J227" i="17"/>
  <c r="I227" i="17"/>
  <c r="K227" i="17" s="1"/>
  <c r="J226" i="17"/>
  <c r="I226" i="17"/>
  <c r="K226" i="17" s="1"/>
  <c r="J225" i="17"/>
  <c r="I225" i="17"/>
  <c r="K225" i="17" s="1"/>
  <c r="L225" i="17" s="1"/>
  <c r="J224" i="17"/>
  <c r="I224" i="17"/>
  <c r="K224" i="17" s="1"/>
  <c r="L224" i="17" s="1"/>
  <c r="J223" i="17"/>
  <c r="I223" i="17"/>
  <c r="K223" i="17" s="1"/>
  <c r="J222" i="17"/>
  <c r="I222" i="17"/>
  <c r="K222" i="17" s="1"/>
  <c r="J221" i="17"/>
  <c r="I221" i="17"/>
  <c r="K221" i="17" s="1"/>
  <c r="L221" i="17" s="1"/>
  <c r="J220" i="17"/>
  <c r="I220" i="17"/>
  <c r="K220" i="17" s="1"/>
  <c r="L220" i="17" s="1"/>
  <c r="J219" i="17"/>
  <c r="I219" i="17"/>
  <c r="K219" i="17" s="1"/>
  <c r="L219" i="17" s="1"/>
  <c r="J218" i="17"/>
  <c r="I218" i="17"/>
  <c r="K218" i="17" s="1"/>
  <c r="J217" i="17"/>
  <c r="I217" i="17"/>
  <c r="K217" i="17" s="1"/>
  <c r="L217" i="17" s="1"/>
  <c r="J216" i="17"/>
  <c r="I216" i="17"/>
  <c r="K216" i="17" s="1"/>
  <c r="J215" i="17"/>
  <c r="I215" i="17"/>
  <c r="K215" i="17" s="1"/>
  <c r="J214" i="17"/>
  <c r="I214" i="17"/>
  <c r="K214" i="17" s="1"/>
  <c r="L214" i="17" s="1"/>
  <c r="J213" i="17"/>
  <c r="I213" i="17"/>
  <c r="K213" i="17" s="1"/>
  <c r="L213" i="17" s="1"/>
  <c r="J212" i="17"/>
  <c r="I212" i="17"/>
  <c r="K212" i="17" s="1"/>
  <c r="J211" i="17"/>
  <c r="I211" i="17"/>
  <c r="K211" i="17" s="1"/>
  <c r="J210" i="17"/>
  <c r="I210" i="17"/>
  <c r="K210" i="17" s="1"/>
  <c r="L210" i="17" s="1"/>
  <c r="J209" i="17"/>
  <c r="I209" i="17"/>
  <c r="K209" i="17" s="1"/>
  <c r="L209" i="17" s="1"/>
  <c r="J208" i="17"/>
  <c r="I208" i="17"/>
  <c r="K208" i="17" s="1"/>
  <c r="J207" i="17"/>
  <c r="I207" i="17"/>
  <c r="K207" i="17" s="1"/>
  <c r="J206" i="17"/>
  <c r="I206" i="17"/>
  <c r="K206" i="17" s="1"/>
  <c r="L206" i="17" s="1"/>
  <c r="J205" i="17"/>
  <c r="I205" i="17"/>
  <c r="K205" i="17" s="1"/>
  <c r="L205" i="17" s="1"/>
  <c r="J204" i="17"/>
  <c r="I204" i="17"/>
  <c r="K204" i="17" s="1"/>
  <c r="K203" i="17"/>
  <c r="L203" i="17" s="1"/>
  <c r="J203" i="17"/>
  <c r="I203" i="17"/>
  <c r="J202" i="17"/>
  <c r="I202" i="17"/>
  <c r="K202" i="17" s="1"/>
  <c r="L202" i="17" s="1"/>
  <c r="J201" i="17"/>
  <c r="I201" i="17"/>
  <c r="K201" i="17" s="1"/>
  <c r="L201" i="17" s="1"/>
  <c r="K200" i="17"/>
  <c r="J200" i="17"/>
  <c r="I200" i="17"/>
  <c r="J199" i="17"/>
  <c r="I199" i="17"/>
  <c r="K199" i="17" s="1"/>
  <c r="L199" i="17" s="1"/>
  <c r="J198" i="17"/>
  <c r="I198" i="17"/>
  <c r="K198" i="17" s="1"/>
  <c r="L198" i="17" s="1"/>
  <c r="J197" i="17"/>
  <c r="I197" i="17"/>
  <c r="K197" i="17" s="1"/>
  <c r="J196" i="17"/>
  <c r="I196" i="17"/>
  <c r="K196" i="17" s="1"/>
  <c r="J195" i="17"/>
  <c r="I195" i="17"/>
  <c r="K195" i="17" s="1"/>
  <c r="L195" i="17" s="1"/>
  <c r="J194" i="17"/>
  <c r="I194" i="17"/>
  <c r="K194" i="17" s="1"/>
  <c r="L194" i="17" s="1"/>
  <c r="J193" i="17"/>
  <c r="I193" i="17"/>
  <c r="K193" i="17" s="1"/>
  <c r="J192" i="17"/>
  <c r="I192" i="17"/>
  <c r="K192" i="17" s="1"/>
  <c r="J191" i="17"/>
  <c r="I191" i="17"/>
  <c r="K191" i="17" s="1"/>
  <c r="L191" i="17" s="1"/>
  <c r="J190" i="17"/>
  <c r="I190" i="17"/>
  <c r="K190" i="17" s="1"/>
  <c r="L190" i="17" s="1"/>
  <c r="J189" i="17"/>
  <c r="I189" i="17"/>
  <c r="K189" i="17" s="1"/>
  <c r="J188" i="17"/>
  <c r="I188" i="17"/>
  <c r="K188" i="17" s="1"/>
  <c r="J187" i="17"/>
  <c r="I187" i="17"/>
  <c r="K187" i="17" s="1"/>
  <c r="L187" i="17" s="1"/>
  <c r="J186" i="17"/>
  <c r="I186" i="17"/>
  <c r="K186" i="17" s="1"/>
  <c r="L186" i="17" s="1"/>
  <c r="J185" i="17"/>
  <c r="I185" i="17"/>
  <c r="K185" i="17" s="1"/>
  <c r="L185" i="17" s="1"/>
  <c r="K184" i="17"/>
  <c r="J184" i="17"/>
  <c r="I184" i="17"/>
  <c r="J183" i="17"/>
  <c r="I183" i="17"/>
  <c r="K183" i="17" s="1"/>
  <c r="L183" i="17" s="1"/>
  <c r="J182" i="17"/>
  <c r="I182" i="17"/>
  <c r="K182" i="17" s="1"/>
  <c r="J181" i="17"/>
  <c r="I181" i="17"/>
  <c r="K181" i="17" s="1"/>
  <c r="J180" i="17"/>
  <c r="I180" i="17"/>
  <c r="K180" i="17" s="1"/>
  <c r="L180" i="17" s="1"/>
  <c r="J179" i="17"/>
  <c r="I179" i="17"/>
  <c r="K179" i="17" s="1"/>
  <c r="L179" i="17" s="1"/>
  <c r="J178" i="17"/>
  <c r="I178" i="17"/>
  <c r="K178" i="17" s="1"/>
  <c r="L178" i="17" s="1"/>
  <c r="J177" i="17"/>
  <c r="I177" i="17"/>
  <c r="K177" i="17" s="1"/>
  <c r="J176" i="17"/>
  <c r="I176" i="17"/>
  <c r="K176" i="17" s="1"/>
  <c r="L176" i="17" s="1"/>
  <c r="J175" i="17"/>
  <c r="I175" i="17"/>
  <c r="K175" i="17" s="1"/>
  <c r="L175" i="17" s="1"/>
  <c r="J174" i="17"/>
  <c r="I174" i="17"/>
  <c r="K174" i="17" s="1"/>
  <c r="L174" i="17" s="1"/>
  <c r="J173" i="17"/>
  <c r="I173" i="17"/>
  <c r="K173" i="17" s="1"/>
  <c r="J172" i="17"/>
  <c r="I172" i="17"/>
  <c r="K172" i="17" s="1"/>
  <c r="L172" i="17" s="1"/>
  <c r="J171" i="17"/>
  <c r="I171" i="17"/>
  <c r="K171" i="17" s="1"/>
  <c r="L171" i="17" s="1"/>
  <c r="J170" i="17"/>
  <c r="I170" i="17"/>
  <c r="K170" i="17" s="1"/>
  <c r="L170" i="17" s="1"/>
  <c r="J169" i="17"/>
  <c r="I169" i="17"/>
  <c r="K169" i="17" s="1"/>
  <c r="J168" i="17"/>
  <c r="I168" i="17"/>
  <c r="K168" i="17" s="1"/>
  <c r="L168" i="17" s="1"/>
  <c r="J167" i="17"/>
  <c r="I167" i="17"/>
  <c r="K167" i="17" s="1"/>
  <c r="L167" i="17" s="1"/>
  <c r="J166" i="17"/>
  <c r="I166" i="17"/>
  <c r="K166" i="17" s="1"/>
  <c r="L166" i="17" s="1"/>
  <c r="J165" i="17"/>
  <c r="I165" i="17"/>
  <c r="K165" i="17" s="1"/>
  <c r="J164" i="17"/>
  <c r="I164" i="17"/>
  <c r="K164" i="17" s="1"/>
  <c r="L164" i="17" s="1"/>
  <c r="J163" i="17"/>
  <c r="I163" i="17"/>
  <c r="K163" i="17" s="1"/>
  <c r="J162" i="17"/>
  <c r="I162" i="17"/>
  <c r="K162" i="17" s="1"/>
  <c r="L162" i="17" s="1"/>
  <c r="J161" i="17"/>
  <c r="I161" i="17"/>
  <c r="K161" i="17" s="1"/>
  <c r="J160" i="17"/>
  <c r="I160" i="17"/>
  <c r="K160" i="17" s="1"/>
  <c r="L160" i="17" s="1"/>
  <c r="J159" i="17"/>
  <c r="I159" i="17"/>
  <c r="K159" i="17" s="1"/>
  <c r="J158" i="17"/>
  <c r="I158" i="17"/>
  <c r="K158" i="17" s="1"/>
  <c r="J157" i="17"/>
  <c r="I157" i="17"/>
  <c r="K157" i="17" s="1"/>
  <c r="J156" i="17"/>
  <c r="I156" i="17"/>
  <c r="K156" i="17" s="1"/>
  <c r="L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L152" i="17" s="1"/>
  <c r="J151" i="17"/>
  <c r="I151" i="17"/>
  <c r="K151" i="17" s="1"/>
  <c r="L151" i="17" s="1"/>
  <c r="J150" i="17"/>
  <c r="I150" i="17"/>
  <c r="K150" i="17" s="1"/>
  <c r="J149" i="17"/>
  <c r="I149" i="17"/>
  <c r="K149" i="17" s="1"/>
  <c r="L149" i="17" s="1"/>
  <c r="J148" i="17"/>
  <c r="I148" i="17"/>
  <c r="K148" i="17" s="1"/>
  <c r="L148" i="17" s="1"/>
  <c r="J147" i="17"/>
  <c r="L147" i="17" s="1"/>
  <c r="I147" i="17"/>
  <c r="K147" i="17" s="1"/>
  <c r="J146" i="17"/>
  <c r="I146" i="17"/>
  <c r="K146" i="17" s="1"/>
  <c r="J145" i="17"/>
  <c r="I145" i="17"/>
  <c r="K145" i="17" s="1"/>
  <c r="L145" i="17" s="1"/>
  <c r="J144" i="17"/>
  <c r="I144" i="17"/>
  <c r="K144" i="17" s="1"/>
  <c r="J143" i="17"/>
  <c r="I143" i="17"/>
  <c r="K143" i="17" s="1"/>
  <c r="J142" i="17"/>
  <c r="I142" i="17"/>
  <c r="K142" i="17" s="1"/>
  <c r="J141" i="17"/>
  <c r="I141" i="17"/>
  <c r="K141" i="17" s="1"/>
  <c r="J140" i="17"/>
  <c r="I140" i="17"/>
  <c r="K140" i="17" s="1"/>
  <c r="L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L136" i="17" s="1"/>
  <c r="J135" i="17"/>
  <c r="I135" i="17"/>
  <c r="K135" i="17" s="1"/>
  <c r="J134" i="17"/>
  <c r="I134" i="17"/>
  <c r="K134" i="17" s="1"/>
  <c r="L134" i="17" s="1"/>
  <c r="J133" i="17"/>
  <c r="I133" i="17"/>
  <c r="K133" i="17" s="1"/>
  <c r="L133" i="17" s="1"/>
  <c r="K132" i="17"/>
  <c r="J132" i="17"/>
  <c r="I132" i="17"/>
  <c r="J131" i="17"/>
  <c r="I131" i="17"/>
  <c r="K131" i="17" s="1"/>
  <c r="J130" i="17"/>
  <c r="I130" i="17"/>
  <c r="K130" i="17" s="1"/>
  <c r="L130" i="17" s="1"/>
  <c r="J129" i="17"/>
  <c r="I129" i="17"/>
  <c r="K129" i="17" s="1"/>
  <c r="J128" i="17"/>
  <c r="I128" i="17"/>
  <c r="K128" i="17" s="1"/>
  <c r="L128" i="17" s="1"/>
  <c r="J127" i="17"/>
  <c r="I127" i="17"/>
  <c r="K127" i="17" s="1"/>
  <c r="L127" i="17" s="1"/>
  <c r="J126" i="17"/>
  <c r="I126" i="17"/>
  <c r="K126" i="17" s="1"/>
  <c r="J125" i="17"/>
  <c r="I125" i="17"/>
  <c r="K125" i="17" s="1"/>
  <c r="L125" i="17" s="1"/>
  <c r="J124" i="17"/>
  <c r="I124" i="17"/>
  <c r="K124" i="17" s="1"/>
  <c r="L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L119" i="17" s="1"/>
  <c r="J118" i="17"/>
  <c r="I118" i="17"/>
  <c r="K118" i="17" s="1"/>
  <c r="J117" i="17"/>
  <c r="I117" i="17"/>
  <c r="K117" i="17" s="1"/>
  <c r="J116" i="17"/>
  <c r="I116" i="17"/>
  <c r="K116" i="17" s="1"/>
  <c r="J115" i="17"/>
  <c r="I115" i="17"/>
  <c r="K115" i="17" s="1"/>
  <c r="L115" i="17" s="1"/>
  <c r="J114" i="17"/>
  <c r="I114" i="17"/>
  <c r="K114" i="17" s="1"/>
  <c r="J113" i="17"/>
  <c r="I113" i="17"/>
  <c r="K113" i="17" s="1"/>
  <c r="J112" i="17"/>
  <c r="I112" i="17"/>
  <c r="K112" i="17" s="1"/>
  <c r="L112" i="17" s="1"/>
  <c r="J111" i="17"/>
  <c r="I111" i="17"/>
  <c r="K111" i="17" s="1"/>
  <c r="L111" i="17" s="1"/>
  <c r="J110" i="17"/>
  <c r="I110" i="17"/>
  <c r="K110" i="17" s="1"/>
  <c r="J109" i="17"/>
  <c r="I109" i="17"/>
  <c r="K109" i="17" s="1"/>
  <c r="J108" i="17"/>
  <c r="I108" i="17"/>
  <c r="K108" i="17" s="1"/>
  <c r="L108" i="17" s="1"/>
  <c r="J107" i="17"/>
  <c r="I107" i="17"/>
  <c r="K107" i="17" s="1"/>
  <c r="L107" i="17" s="1"/>
  <c r="J106" i="17"/>
  <c r="I106" i="17"/>
  <c r="K106" i="17" s="1"/>
  <c r="J105" i="17"/>
  <c r="I105" i="17"/>
  <c r="K105" i="17" s="1"/>
  <c r="J104" i="17"/>
  <c r="I104" i="17"/>
  <c r="K104" i="17" s="1"/>
  <c r="L104" i="17" s="1"/>
  <c r="V103" i="17"/>
  <c r="J103" i="17"/>
  <c r="I103" i="17"/>
  <c r="K103" i="17" s="1"/>
  <c r="L103" i="17" s="1"/>
  <c r="J102" i="17"/>
  <c r="I102" i="17"/>
  <c r="K102" i="17" s="1"/>
  <c r="J101" i="17"/>
  <c r="I101" i="17"/>
  <c r="K101" i="17" s="1"/>
  <c r="J100" i="17"/>
  <c r="I100" i="17"/>
  <c r="K100" i="17" s="1"/>
  <c r="V99" i="17"/>
  <c r="J99" i="17"/>
  <c r="I99" i="17"/>
  <c r="K99" i="17" s="1"/>
  <c r="L99" i="17" s="1"/>
  <c r="J98" i="17"/>
  <c r="I98" i="17"/>
  <c r="K98" i="17" s="1"/>
  <c r="J97" i="17"/>
  <c r="I97" i="17"/>
  <c r="K97" i="17" s="1"/>
  <c r="V96" i="17"/>
  <c r="J96" i="17"/>
  <c r="I96" i="17"/>
  <c r="K96" i="17" s="1"/>
  <c r="L96" i="17" s="1"/>
  <c r="J95" i="17"/>
  <c r="I95" i="17"/>
  <c r="K95" i="17" s="1"/>
  <c r="J94" i="17"/>
  <c r="I94" i="17"/>
  <c r="K94" i="17" s="1"/>
  <c r="L94" i="17" s="1"/>
  <c r="J93" i="17"/>
  <c r="I93" i="17"/>
  <c r="K93" i="17" s="1"/>
  <c r="L93" i="17" s="1"/>
  <c r="J92" i="17"/>
  <c r="I92" i="17"/>
  <c r="K92" i="17" s="1"/>
  <c r="J91" i="17"/>
  <c r="I91" i="17"/>
  <c r="K91" i="17" s="1"/>
  <c r="J90" i="17"/>
  <c r="I90" i="17"/>
  <c r="K90" i="17" s="1"/>
  <c r="V89" i="17"/>
  <c r="J89" i="17"/>
  <c r="I89" i="17"/>
  <c r="K89" i="17" s="1"/>
  <c r="L89" i="17" s="1"/>
  <c r="J88" i="17"/>
  <c r="I88" i="17"/>
  <c r="K88" i="17" s="1"/>
  <c r="L88" i="17" s="1"/>
  <c r="J87" i="17"/>
  <c r="I87" i="17"/>
  <c r="K87" i="17" s="1"/>
  <c r="J86" i="17"/>
  <c r="I86" i="17"/>
  <c r="K86" i="17" s="1"/>
  <c r="V85" i="17"/>
  <c r="K85" i="17"/>
  <c r="L85" i="17" s="1"/>
  <c r="J85" i="17"/>
  <c r="I85" i="17"/>
  <c r="J84" i="17"/>
  <c r="I84" i="17"/>
  <c r="K84" i="17" s="1"/>
  <c r="L84" i="17" s="1"/>
  <c r="J83" i="17"/>
  <c r="I83" i="17"/>
  <c r="K83" i="17" s="1"/>
  <c r="L83" i="17" s="1"/>
  <c r="J82" i="17"/>
  <c r="I82" i="17"/>
  <c r="K82" i="17" s="1"/>
  <c r="L82" i="17" s="1"/>
  <c r="J81" i="17"/>
  <c r="I81" i="17"/>
  <c r="K81" i="17" s="1"/>
  <c r="L81" i="17" s="1"/>
  <c r="J80" i="17"/>
  <c r="I80" i="17"/>
  <c r="K80" i="17" s="1"/>
  <c r="L80" i="17" s="1"/>
  <c r="J79" i="17"/>
  <c r="I79" i="17"/>
  <c r="K79" i="17" s="1"/>
  <c r="L79" i="17" s="1"/>
  <c r="J78" i="17"/>
  <c r="I78" i="17"/>
  <c r="K78" i="17" s="1"/>
  <c r="J77" i="17"/>
  <c r="I77" i="17"/>
  <c r="K77" i="17" s="1"/>
  <c r="L77" i="17" s="1"/>
  <c r="J76" i="17"/>
  <c r="I76" i="17"/>
  <c r="K76" i="17" s="1"/>
  <c r="J75" i="17"/>
  <c r="I75" i="17"/>
  <c r="K75" i="17" s="1"/>
  <c r="L75" i="17" s="1"/>
  <c r="J74" i="17"/>
  <c r="I74" i="17"/>
  <c r="K74" i="17" s="1"/>
  <c r="L74" i="17" s="1"/>
  <c r="J73" i="17"/>
  <c r="I73" i="17"/>
  <c r="K73" i="17" s="1"/>
  <c r="L73" i="17" s="1"/>
  <c r="J72" i="17"/>
  <c r="I72" i="17"/>
  <c r="K72" i="17" s="1"/>
  <c r="L72" i="17" s="1"/>
  <c r="J71" i="17"/>
  <c r="I71" i="17"/>
  <c r="K71" i="17" s="1"/>
  <c r="L71" i="17" s="1"/>
  <c r="J70" i="17"/>
  <c r="I70" i="17"/>
  <c r="K70" i="17" s="1"/>
  <c r="L70" i="17" s="1"/>
  <c r="J69" i="17"/>
  <c r="I69" i="17"/>
  <c r="K69" i="17" s="1"/>
  <c r="L69" i="17" s="1"/>
  <c r="V71" i="17" s="1"/>
  <c r="J68" i="17"/>
  <c r="I68" i="17"/>
  <c r="K68" i="17" s="1"/>
  <c r="L68" i="17" s="1"/>
  <c r="J67" i="17"/>
  <c r="I67" i="17"/>
  <c r="K67" i="17" s="1"/>
  <c r="L67" i="17" s="1"/>
  <c r="J66" i="17"/>
  <c r="I66" i="17"/>
  <c r="K66" i="17" s="1"/>
  <c r="L66" i="17" s="1"/>
  <c r="J65" i="17"/>
  <c r="I65" i="17"/>
  <c r="K65" i="17" s="1"/>
  <c r="L65" i="17" s="1"/>
  <c r="J64" i="17"/>
  <c r="I64" i="17"/>
  <c r="K64" i="17" s="1"/>
  <c r="L64" i="17" s="1"/>
  <c r="J63" i="17"/>
  <c r="I63" i="17"/>
  <c r="K63" i="17" s="1"/>
  <c r="L63" i="17" s="1"/>
  <c r="J62" i="17"/>
  <c r="I62" i="17"/>
  <c r="K62" i="17" s="1"/>
  <c r="L62" i="17" s="1"/>
  <c r="J61" i="17"/>
  <c r="I61" i="17"/>
  <c r="K61" i="17" s="1"/>
  <c r="L61" i="17" s="1"/>
  <c r="J60" i="17"/>
  <c r="I60" i="17"/>
  <c r="K60" i="17" s="1"/>
  <c r="J59" i="17"/>
  <c r="I59" i="17"/>
  <c r="K59" i="17" s="1"/>
  <c r="J58" i="17"/>
  <c r="I58" i="17"/>
  <c r="K58" i="17" s="1"/>
  <c r="J57" i="17"/>
  <c r="I57" i="17"/>
  <c r="K57" i="17" s="1"/>
  <c r="J56" i="17"/>
  <c r="I56" i="17"/>
  <c r="K56" i="17" s="1"/>
  <c r="L56" i="17" s="1"/>
  <c r="J55" i="17"/>
  <c r="I55" i="17"/>
  <c r="K55" i="17" s="1"/>
  <c r="J54" i="17"/>
  <c r="I54" i="17"/>
  <c r="K54" i="17" s="1"/>
  <c r="J53" i="17"/>
  <c r="I53" i="17"/>
  <c r="K53" i="17" s="1"/>
  <c r="L53" i="17" s="1"/>
  <c r="J52" i="17"/>
  <c r="I52" i="17"/>
  <c r="K52" i="17" s="1"/>
  <c r="L52" i="17" s="1"/>
  <c r="J51" i="17"/>
  <c r="I51" i="17"/>
  <c r="K51" i="17" s="1"/>
  <c r="L51" i="17" s="1"/>
  <c r="J50" i="17"/>
  <c r="I50" i="17"/>
  <c r="K50" i="17" s="1"/>
  <c r="L50" i="17" s="1"/>
  <c r="J49" i="17"/>
  <c r="I49" i="17"/>
  <c r="K49" i="17" s="1"/>
  <c r="L49" i="17" s="1"/>
  <c r="J48" i="17"/>
  <c r="I48" i="17"/>
  <c r="K48" i="17" s="1"/>
  <c r="L48" i="17" s="1"/>
  <c r="J47" i="17"/>
  <c r="I47" i="17"/>
  <c r="K47" i="17" s="1"/>
  <c r="L47" i="17" s="1"/>
  <c r="J46" i="17"/>
  <c r="I46" i="17"/>
  <c r="K46" i="17" s="1"/>
  <c r="L46" i="17" s="1"/>
  <c r="J45" i="17"/>
  <c r="I45" i="17"/>
  <c r="K45" i="17" s="1"/>
  <c r="L45" i="17" s="1"/>
  <c r="J44" i="17"/>
  <c r="I44" i="17"/>
  <c r="K44" i="17" s="1"/>
  <c r="J43" i="17"/>
  <c r="I43" i="17"/>
  <c r="K43" i="17" s="1"/>
  <c r="L43" i="17" s="1"/>
  <c r="J42" i="17"/>
  <c r="I42" i="17"/>
  <c r="K42" i="17" s="1"/>
  <c r="J41" i="17"/>
  <c r="I41" i="17"/>
  <c r="K41" i="17" s="1"/>
  <c r="L41" i="17" s="1"/>
  <c r="J40" i="17"/>
  <c r="I40" i="17"/>
  <c r="K40" i="17" s="1"/>
  <c r="L40" i="17" s="1"/>
  <c r="J39" i="17"/>
  <c r="I39" i="17"/>
  <c r="K39" i="17" s="1"/>
  <c r="L39" i="17" s="1"/>
  <c r="J38" i="17"/>
  <c r="I38" i="17"/>
  <c r="K38" i="17" s="1"/>
  <c r="J37" i="17"/>
  <c r="I37" i="17"/>
  <c r="K37" i="17" s="1"/>
  <c r="L37" i="17" s="1"/>
  <c r="J36" i="17"/>
  <c r="I36" i="17"/>
  <c r="K36" i="17" s="1"/>
  <c r="L36" i="17" s="1"/>
  <c r="J35" i="17"/>
  <c r="I35" i="17"/>
  <c r="K35" i="17" s="1"/>
  <c r="L35" i="17" s="1"/>
  <c r="J34" i="17"/>
  <c r="I34" i="17"/>
  <c r="K34" i="17" s="1"/>
  <c r="L34" i="17" s="1"/>
  <c r="J33" i="17"/>
  <c r="I33" i="17"/>
  <c r="K33" i="17" s="1"/>
  <c r="L33" i="17" s="1"/>
  <c r="J32" i="17"/>
  <c r="I32" i="17"/>
  <c r="K32" i="17" s="1"/>
  <c r="J31" i="17"/>
  <c r="I31" i="17"/>
  <c r="K31" i="17" s="1"/>
  <c r="J30" i="17"/>
  <c r="I30" i="17"/>
  <c r="K30" i="17" s="1"/>
  <c r="J29" i="17"/>
  <c r="I29" i="17"/>
  <c r="K29" i="17" s="1"/>
  <c r="L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J21" i="17"/>
  <c r="I21" i="17"/>
  <c r="K21" i="17" s="1"/>
  <c r="L21" i="17" s="1"/>
  <c r="J20" i="17"/>
  <c r="I20" i="17"/>
  <c r="K20" i="17" s="1"/>
  <c r="J19" i="17"/>
  <c r="I19" i="17"/>
  <c r="K19" i="17" s="1"/>
  <c r="J18" i="17"/>
  <c r="I18" i="17"/>
  <c r="K18" i="17" s="1"/>
  <c r="J17" i="17"/>
  <c r="I17" i="17"/>
  <c r="K17" i="17" s="1"/>
  <c r="L17" i="17" s="1"/>
  <c r="J16" i="17"/>
  <c r="I16" i="17"/>
  <c r="K16" i="17" s="1"/>
  <c r="J15" i="17"/>
  <c r="I15" i="17"/>
  <c r="K15" i="17" s="1"/>
  <c r="J14" i="17"/>
  <c r="I14" i="17"/>
  <c r="K14" i="17" s="1"/>
  <c r="L14" i="17" s="1"/>
  <c r="J13" i="17"/>
  <c r="I13" i="17"/>
  <c r="K13" i="17" s="1"/>
  <c r="J12" i="17"/>
  <c r="I12" i="17"/>
  <c r="K12" i="17" s="1"/>
  <c r="J11" i="17"/>
  <c r="I11" i="17"/>
  <c r="K11" i="17" s="1"/>
  <c r="L11" i="17" s="1"/>
  <c r="J10" i="17"/>
  <c r="I10" i="17"/>
  <c r="K10" i="17" s="1"/>
  <c r="J9" i="17"/>
  <c r="I9" i="17"/>
  <c r="K9" i="17" s="1"/>
  <c r="J8" i="17"/>
  <c r="I8" i="17"/>
  <c r="K8" i="17" s="1"/>
  <c r="L8" i="17" s="1"/>
  <c r="J7" i="17"/>
  <c r="I7" i="17"/>
  <c r="K7" i="17" s="1"/>
  <c r="L7" i="17" s="1"/>
  <c r="J6" i="17"/>
  <c r="I6" i="17"/>
  <c r="K6" i="17" s="1"/>
  <c r="J5" i="17"/>
  <c r="I5" i="17"/>
  <c r="K5" i="17" s="1"/>
  <c r="L5" i="17" s="1"/>
  <c r="J4" i="17"/>
  <c r="I4" i="17"/>
  <c r="K4" i="17" s="1"/>
  <c r="L4" i="17" s="1"/>
  <c r="J3" i="17"/>
  <c r="I3" i="17"/>
  <c r="K3" i="17" s="1"/>
  <c r="J2" i="17"/>
  <c r="I2" i="17"/>
  <c r="K2" i="17" s="1"/>
  <c r="L2" i="17" s="1"/>
  <c r="J322" i="16"/>
  <c r="I322" i="16"/>
  <c r="K322" i="16" s="1"/>
  <c r="L322" i="16" s="1"/>
  <c r="J321" i="16"/>
  <c r="I321" i="16"/>
  <c r="K321" i="16" s="1"/>
  <c r="J320" i="16"/>
  <c r="I320" i="16"/>
  <c r="K320" i="16" s="1"/>
  <c r="L320" i="16" s="1"/>
  <c r="J319" i="16"/>
  <c r="I319" i="16"/>
  <c r="K319" i="16" s="1"/>
  <c r="L319" i="16" s="1"/>
  <c r="V101" i="16" s="1"/>
  <c r="J318" i="16"/>
  <c r="I318" i="16"/>
  <c r="K318" i="16" s="1"/>
  <c r="L318" i="16" s="1"/>
  <c r="V100" i="16" s="1"/>
  <c r="J317" i="16"/>
  <c r="I317" i="16"/>
  <c r="K317" i="16" s="1"/>
  <c r="L317" i="16" s="1"/>
  <c r="V99" i="16" s="1"/>
  <c r="J316" i="16"/>
  <c r="I316" i="16"/>
  <c r="K316" i="16" s="1"/>
  <c r="J315" i="16"/>
  <c r="I315" i="16"/>
  <c r="K315" i="16" s="1"/>
  <c r="L315" i="16" s="1"/>
  <c r="J314" i="16"/>
  <c r="I314" i="16"/>
  <c r="K314" i="16" s="1"/>
  <c r="L314" i="16" s="1"/>
  <c r="J313" i="16"/>
  <c r="I313" i="16"/>
  <c r="K313" i="16" s="1"/>
  <c r="L313" i="16" s="1"/>
  <c r="J312" i="16"/>
  <c r="I312" i="16"/>
  <c r="K312" i="16" s="1"/>
  <c r="J311" i="16"/>
  <c r="I311" i="16"/>
  <c r="K311" i="16" s="1"/>
  <c r="L311" i="16" s="1"/>
  <c r="J310" i="16"/>
  <c r="I310" i="16"/>
  <c r="K310" i="16" s="1"/>
  <c r="L310" i="16" s="1"/>
  <c r="J309" i="16"/>
  <c r="I309" i="16"/>
  <c r="K309" i="16" s="1"/>
  <c r="L309" i="16" s="1"/>
  <c r="J308" i="16"/>
  <c r="I308" i="16"/>
  <c r="K308" i="16" s="1"/>
  <c r="L308" i="16" s="1"/>
  <c r="J307" i="16"/>
  <c r="I307" i="16"/>
  <c r="K307" i="16" s="1"/>
  <c r="J306" i="16"/>
  <c r="I306" i="16"/>
  <c r="K306" i="16" s="1"/>
  <c r="L306" i="16" s="1"/>
  <c r="J305" i="16"/>
  <c r="I305" i="16"/>
  <c r="K305" i="16" s="1"/>
  <c r="L305" i="16" s="1"/>
  <c r="V87" i="16" s="1"/>
  <c r="J304" i="16"/>
  <c r="I304" i="16"/>
  <c r="K304" i="16" s="1"/>
  <c r="J303" i="16"/>
  <c r="I303" i="16"/>
  <c r="K303" i="16" s="1"/>
  <c r="J302" i="16"/>
  <c r="I302" i="16"/>
  <c r="K302" i="16" s="1"/>
  <c r="J301" i="16"/>
  <c r="L301" i="16" s="1"/>
  <c r="I301" i="16"/>
  <c r="K301" i="16" s="1"/>
  <c r="J300" i="16"/>
  <c r="I300" i="16"/>
  <c r="K300" i="16" s="1"/>
  <c r="L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L295" i="16" s="1"/>
  <c r="J294" i="16"/>
  <c r="I294" i="16"/>
  <c r="K294" i="16" s="1"/>
  <c r="L294" i="16" s="1"/>
  <c r="J293" i="16"/>
  <c r="I293" i="16"/>
  <c r="K293" i="16" s="1"/>
  <c r="L293" i="16" s="1"/>
  <c r="J292" i="16"/>
  <c r="I292" i="16"/>
  <c r="K292" i="16" s="1"/>
  <c r="L292" i="16" s="1"/>
  <c r="J291" i="16"/>
  <c r="I291" i="16"/>
  <c r="K291" i="16" s="1"/>
  <c r="L291" i="16" s="1"/>
  <c r="J290" i="16"/>
  <c r="I290" i="16"/>
  <c r="K290" i="16" s="1"/>
  <c r="J289" i="16"/>
  <c r="I289" i="16"/>
  <c r="K289" i="16" s="1"/>
  <c r="L289" i="16" s="1"/>
  <c r="J288" i="16"/>
  <c r="I288" i="16"/>
  <c r="K288" i="16" s="1"/>
  <c r="L288" i="16" s="1"/>
  <c r="J287" i="16"/>
  <c r="I287" i="16"/>
  <c r="K287" i="16" s="1"/>
  <c r="L287" i="16" s="1"/>
  <c r="J286" i="16"/>
  <c r="I286" i="16"/>
  <c r="K286" i="16" s="1"/>
  <c r="J285" i="16"/>
  <c r="I285" i="16"/>
  <c r="K285" i="16" s="1"/>
  <c r="L285" i="16" s="1"/>
  <c r="K284" i="16"/>
  <c r="J284" i="16"/>
  <c r="I284" i="16"/>
  <c r="J283" i="16"/>
  <c r="I283" i="16"/>
  <c r="K283" i="16" s="1"/>
  <c r="J282" i="16"/>
  <c r="I282" i="16"/>
  <c r="K282" i="16" s="1"/>
  <c r="J281" i="16"/>
  <c r="L281" i="16" s="1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L278" i="16" s="1"/>
  <c r="J277" i="16"/>
  <c r="I277" i="16"/>
  <c r="K277" i="16" s="1"/>
  <c r="J276" i="16"/>
  <c r="I276" i="16"/>
  <c r="K276" i="16" s="1"/>
  <c r="L276" i="16" s="1"/>
  <c r="J275" i="16"/>
  <c r="I275" i="16"/>
  <c r="K275" i="16" s="1"/>
  <c r="L275" i="16" s="1"/>
  <c r="J274" i="16"/>
  <c r="I274" i="16"/>
  <c r="K274" i="16" s="1"/>
  <c r="L274" i="16" s="1"/>
  <c r="J273" i="16"/>
  <c r="I273" i="16"/>
  <c r="K273" i="16" s="1"/>
  <c r="J272" i="16"/>
  <c r="I272" i="16"/>
  <c r="K272" i="16" s="1"/>
  <c r="L272" i="16" s="1"/>
  <c r="J271" i="16"/>
  <c r="I271" i="16"/>
  <c r="K271" i="16" s="1"/>
  <c r="L271" i="16" s="1"/>
  <c r="J270" i="16"/>
  <c r="I270" i="16"/>
  <c r="K270" i="16" s="1"/>
  <c r="J269" i="16"/>
  <c r="I269" i="16"/>
  <c r="K269" i="16" s="1"/>
  <c r="L269" i="16" s="1"/>
  <c r="J268" i="16"/>
  <c r="I268" i="16"/>
  <c r="K268" i="16" s="1"/>
  <c r="L268" i="16" s="1"/>
  <c r="J267" i="16"/>
  <c r="I267" i="16"/>
  <c r="K267" i="16" s="1"/>
  <c r="J266" i="16"/>
  <c r="I266" i="16"/>
  <c r="K266" i="16" s="1"/>
  <c r="L266" i="16" s="1"/>
  <c r="J265" i="16"/>
  <c r="I265" i="16"/>
  <c r="K265" i="16" s="1"/>
  <c r="L265" i="16" s="1"/>
  <c r="J264" i="16"/>
  <c r="I264" i="16"/>
  <c r="K264" i="16" s="1"/>
  <c r="J263" i="16"/>
  <c r="I263" i="16"/>
  <c r="K263" i="16" s="1"/>
  <c r="L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L259" i="16" s="1"/>
  <c r="J258" i="16"/>
  <c r="I258" i="16"/>
  <c r="K258" i="16" s="1"/>
  <c r="J257" i="16"/>
  <c r="I257" i="16"/>
  <c r="K257" i="16" s="1"/>
  <c r="L257" i="16" s="1"/>
  <c r="J256" i="16"/>
  <c r="I256" i="16"/>
  <c r="K256" i="16" s="1"/>
  <c r="L256" i="16" s="1"/>
  <c r="J255" i="16"/>
  <c r="I255" i="16"/>
  <c r="K255" i="16" s="1"/>
  <c r="L255" i="16" s="1"/>
  <c r="J254" i="16"/>
  <c r="I254" i="16"/>
  <c r="K254" i="16" s="1"/>
  <c r="L254" i="16" s="1"/>
  <c r="J253" i="16"/>
  <c r="I253" i="16"/>
  <c r="K253" i="16" s="1"/>
  <c r="L253" i="16" s="1"/>
  <c r="J252" i="16"/>
  <c r="I252" i="16"/>
  <c r="K252" i="16" s="1"/>
  <c r="L252" i="16" s="1"/>
  <c r="J251" i="16"/>
  <c r="I251" i="16"/>
  <c r="K251" i="16" s="1"/>
  <c r="J250" i="16"/>
  <c r="I250" i="16"/>
  <c r="K250" i="16" s="1"/>
  <c r="L249" i="16"/>
  <c r="J249" i="16"/>
  <c r="I249" i="16"/>
  <c r="K249" i="16" s="1"/>
  <c r="J248" i="16"/>
  <c r="I248" i="16"/>
  <c r="K248" i="16" s="1"/>
  <c r="J247" i="16"/>
  <c r="I247" i="16"/>
  <c r="K247" i="16" s="1"/>
  <c r="L247" i="16" s="1"/>
  <c r="J246" i="16"/>
  <c r="I246" i="16"/>
  <c r="K246" i="16" s="1"/>
  <c r="J245" i="16"/>
  <c r="I245" i="16"/>
  <c r="K245" i="16" s="1"/>
  <c r="L245" i="16" s="1"/>
  <c r="J244" i="16"/>
  <c r="I244" i="16"/>
  <c r="K244" i="16" s="1"/>
  <c r="J243" i="16"/>
  <c r="I243" i="16"/>
  <c r="K243" i="16" s="1"/>
  <c r="J242" i="16"/>
  <c r="I242" i="16"/>
  <c r="K242" i="16" s="1"/>
  <c r="J241" i="16"/>
  <c r="I241" i="16"/>
  <c r="K241" i="16" s="1"/>
  <c r="L241" i="16" s="1"/>
  <c r="J240" i="16"/>
  <c r="I240" i="16"/>
  <c r="K240" i="16" s="1"/>
  <c r="J239" i="16"/>
  <c r="I239" i="16"/>
  <c r="K239" i="16" s="1"/>
  <c r="J238" i="16"/>
  <c r="I238" i="16"/>
  <c r="K238" i="16" s="1"/>
  <c r="J237" i="16"/>
  <c r="I237" i="16"/>
  <c r="K237" i="16" s="1"/>
  <c r="L237" i="16" s="1"/>
  <c r="J236" i="16"/>
  <c r="I236" i="16"/>
  <c r="K236" i="16" s="1"/>
  <c r="J235" i="16"/>
  <c r="I235" i="16"/>
  <c r="K235" i="16" s="1"/>
  <c r="J234" i="16"/>
  <c r="I234" i="16"/>
  <c r="K234" i="16" s="1"/>
  <c r="J233" i="16"/>
  <c r="I233" i="16"/>
  <c r="K233" i="16" s="1"/>
  <c r="L233" i="16" s="1"/>
  <c r="K232" i="16"/>
  <c r="J232" i="16"/>
  <c r="I232" i="16"/>
  <c r="J231" i="16"/>
  <c r="I231" i="16"/>
  <c r="K231" i="16" s="1"/>
  <c r="L231" i="16" s="1"/>
  <c r="J230" i="16"/>
  <c r="I230" i="16"/>
  <c r="K230" i="16" s="1"/>
  <c r="L230" i="16" s="1"/>
  <c r="J229" i="16"/>
  <c r="I229" i="16"/>
  <c r="K229" i="16" s="1"/>
  <c r="J228" i="16"/>
  <c r="I228" i="16"/>
  <c r="K228" i="16" s="1"/>
  <c r="L228" i="16" s="1"/>
  <c r="J227" i="16"/>
  <c r="I227" i="16"/>
  <c r="K227" i="16" s="1"/>
  <c r="L227" i="16" s="1"/>
  <c r="J226" i="16"/>
  <c r="I226" i="16"/>
  <c r="K226" i="16" s="1"/>
  <c r="L226" i="16" s="1"/>
  <c r="J225" i="16"/>
  <c r="I225" i="16"/>
  <c r="K225" i="16" s="1"/>
  <c r="L225" i="16" s="1"/>
  <c r="J224" i="16"/>
  <c r="I224" i="16"/>
  <c r="K224" i="16" s="1"/>
  <c r="L224" i="16" s="1"/>
  <c r="J223" i="16"/>
  <c r="I223" i="16"/>
  <c r="K223" i="16" s="1"/>
  <c r="L223" i="16" s="1"/>
  <c r="J222" i="16"/>
  <c r="I222" i="16"/>
  <c r="K222" i="16" s="1"/>
  <c r="L222" i="16" s="1"/>
  <c r="J221" i="16"/>
  <c r="I221" i="16"/>
  <c r="K221" i="16" s="1"/>
  <c r="L221" i="16" s="1"/>
  <c r="J220" i="16"/>
  <c r="I220" i="16"/>
  <c r="K220" i="16" s="1"/>
  <c r="L220" i="16" s="1"/>
  <c r="J219" i="16"/>
  <c r="I219" i="16"/>
  <c r="K219" i="16" s="1"/>
  <c r="J218" i="16"/>
  <c r="I218" i="16"/>
  <c r="K218" i="16" s="1"/>
  <c r="L218" i="16" s="1"/>
  <c r="J217" i="16"/>
  <c r="I217" i="16"/>
  <c r="K217" i="16" s="1"/>
  <c r="J216" i="16"/>
  <c r="I216" i="16"/>
  <c r="K216" i="16" s="1"/>
  <c r="J215" i="16"/>
  <c r="I215" i="16"/>
  <c r="K215" i="16" s="1"/>
  <c r="L215" i="16" s="1"/>
  <c r="J214" i="16"/>
  <c r="I214" i="16"/>
  <c r="K214" i="16" s="1"/>
  <c r="J213" i="16"/>
  <c r="I213" i="16"/>
  <c r="K213" i="16" s="1"/>
  <c r="K212" i="16"/>
  <c r="L212" i="16" s="1"/>
  <c r="J212" i="16"/>
  <c r="I212" i="16"/>
  <c r="J211" i="16"/>
  <c r="I211" i="16"/>
  <c r="K211" i="16" s="1"/>
  <c r="L211" i="16" s="1"/>
  <c r="J210" i="16"/>
  <c r="I210" i="16"/>
  <c r="K210" i="16" s="1"/>
  <c r="J209" i="16"/>
  <c r="I209" i="16"/>
  <c r="K209" i="16" s="1"/>
  <c r="L209" i="16" s="1"/>
  <c r="J208" i="16"/>
  <c r="I208" i="16"/>
  <c r="K208" i="16" s="1"/>
  <c r="L208" i="16" s="1"/>
  <c r="J207" i="16"/>
  <c r="I207" i="16"/>
  <c r="K207" i="16" s="1"/>
  <c r="L207" i="16" s="1"/>
  <c r="J206" i="16"/>
  <c r="I206" i="16"/>
  <c r="K206" i="16" s="1"/>
  <c r="L206" i="16" s="1"/>
  <c r="J205" i="16"/>
  <c r="I205" i="16"/>
  <c r="K205" i="16" s="1"/>
  <c r="L205" i="16" s="1"/>
  <c r="J204" i="16"/>
  <c r="I204" i="16"/>
  <c r="K204" i="16" s="1"/>
  <c r="J203" i="16"/>
  <c r="I203" i="16"/>
  <c r="K203" i="16" s="1"/>
  <c r="J202" i="16"/>
  <c r="I202" i="16"/>
  <c r="K202" i="16" s="1"/>
  <c r="J201" i="16"/>
  <c r="I201" i="16"/>
  <c r="K201" i="16" s="1"/>
  <c r="J200" i="16"/>
  <c r="I200" i="16"/>
  <c r="K200" i="16" s="1"/>
  <c r="J199" i="16"/>
  <c r="I199" i="16"/>
  <c r="K199" i="16" s="1"/>
  <c r="L199" i="16" s="1"/>
  <c r="J198" i="16"/>
  <c r="I198" i="16"/>
  <c r="K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J193" i="16"/>
  <c r="I193" i="16"/>
  <c r="K193" i="16" s="1"/>
  <c r="L193" i="16" s="1"/>
  <c r="K192" i="16"/>
  <c r="J192" i="16"/>
  <c r="I192" i="16"/>
  <c r="J191" i="16"/>
  <c r="I191" i="16"/>
  <c r="K191" i="16" s="1"/>
  <c r="J190" i="16"/>
  <c r="I190" i="16"/>
  <c r="K190" i="16" s="1"/>
  <c r="L190" i="16" s="1"/>
  <c r="J189" i="16"/>
  <c r="I189" i="16"/>
  <c r="K189" i="16" s="1"/>
  <c r="J188" i="16"/>
  <c r="I188" i="16"/>
  <c r="K188" i="16" s="1"/>
  <c r="J187" i="16"/>
  <c r="I187" i="16"/>
  <c r="K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J183" i="16"/>
  <c r="I183" i="16"/>
  <c r="K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J179" i="16"/>
  <c r="I179" i="16"/>
  <c r="K179" i="16" s="1"/>
  <c r="J178" i="16"/>
  <c r="I178" i="16"/>
  <c r="K178" i="16" s="1"/>
  <c r="L178" i="16" s="1"/>
  <c r="J177" i="16"/>
  <c r="I177" i="16"/>
  <c r="K177" i="16" s="1"/>
  <c r="J176" i="16"/>
  <c r="I176" i="16"/>
  <c r="K176" i="16" s="1"/>
  <c r="L176" i="16" s="1"/>
  <c r="J175" i="16"/>
  <c r="I175" i="16"/>
  <c r="K175" i="16" s="1"/>
  <c r="L175" i="16" s="1"/>
  <c r="J174" i="16"/>
  <c r="I174" i="16"/>
  <c r="K174" i="16" s="1"/>
  <c r="L174" i="16" s="1"/>
  <c r="J173" i="16"/>
  <c r="I173" i="16"/>
  <c r="K173" i="16" s="1"/>
  <c r="J172" i="16"/>
  <c r="I172" i="16"/>
  <c r="K172" i="16" s="1"/>
  <c r="L172" i="16" s="1"/>
  <c r="J171" i="16"/>
  <c r="I171" i="16"/>
  <c r="K171" i="16" s="1"/>
  <c r="L171" i="16" s="1"/>
  <c r="K170" i="16"/>
  <c r="J170" i="16"/>
  <c r="I170" i="16"/>
  <c r="J169" i="16"/>
  <c r="I169" i="16"/>
  <c r="K169" i="16" s="1"/>
  <c r="J168" i="16"/>
  <c r="I168" i="16"/>
  <c r="K168" i="16" s="1"/>
  <c r="J167" i="16"/>
  <c r="I167" i="16"/>
  <c r="K167" i="16" s="1"/>
  <c r="L167" i="16" s="1"/>
  <c r="J166" i="16"/>
  <c r="I166" i="16"/>
  <c r="K166" i="16" s="1"/>
  <c r="L166" i="16" s="1"/>
  <c r="J165" i="16"/>
  <c r="I165" i="16"/>
  <c r="K165" i="16" s="1"/>
  <c r="J164" i="16"/>
  <c r="I164" i="16"/>
  <c r="K164" i="16" s="1"/>
  <c r="J163" i="16"/>
  <c r="I163" i="16"/>
  <c r="K163" i="16" s="1"/>
  <c r="J162" i="16"/>
  <c r="I162" i="16"/>
  <c r="K162" i="16" s="1"/>
  <c r="L162" i="16" s="1"/>
  <c r="J161" i="16"/>
  <c r="I161" i="16"/>
  <c r="K161" i="16" s="1"/>
  <c r="J160" i="16"/>
  <c r="I160" i="16"/>
  <c r="K160" i="16" s="1"/>
  <c r="L160" i="16" s="1"/>
  <c r="J159" i="16"/>
  <c r="I159" i="16"/>
  <c r="K159" i="16" s="1"/>
  <c r="L159" i="16" s="1"/>
  <c r="J158" i="16"/>
  <c r="I158" i="16"/>
  <c r="K158" i="16" s="1"/>
  <c r="L158" i="16" s="1"/>
  <c r="J157" i="16"/>
  <c r="I157" i="16"/>
  <c r="K157" i="16" s="1"/>
  <c r="L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L153" i="16" s="1"/>
  <c r="J152" i="16"/>
  <c r="I152" i="16"/>
  <c r="K152" i="16" s="1"/>
  <c r="L152" i="16" s="1"/>
  <c r="J151" i="16"/>
  <c r="I151" i="16"/>
  <c r="K151" i="16" s="1"/>
  <c r="J150" i="16"/>
  <c r="I150" i="16"/>
  <c r="K150" i="16" s="1"/>
  <c r="L150" i="16" s="1"/>
  <c r="J149" i="16"/>
  <c r="I149" i="16"/>
  <c r="K149" i="16" s="1"/>
  <c r="J148" i="16"/>
  <c r="I148" i="16"/>
  <c r="K148" i="16" s="1"/>
  <c r="L148" i="16" s="1"/>
  <c r="J147" i="16"/>
  <c r="I147" i="16"/>
  <c r="K147" i="16" s="1"/>
  <c r="J146" i="16"/>
  <c r="I146" i="16"/>
  <c r="K146" i="16" s="1"/>
  <c r="J145" i="16"/>
  <c r="I145" i="16"/>
  <c r="K145" i="16" s="1"/>
  <c r="L145" i="16" s="1"/>
  <c r="J144" i="16"/>
  <c r="I144" i="16"/>
  <c r="K144" i="16" s="1"/>
  <c r="J143" i="16"/>
  <c r="I143" i="16"/>
  <c r="K143" i="16" s="1"/>
  <c r="L143" i="16" s="1"/>
  <c r="J142" i="16"/>
  <c r="I142" i="16"/>
  <c r="K142" i="16" s="1"/>
  <c r="L142" i="16" s="1"/>
  <c r="J141" i="16"/>
  <c r="I141" i="16"/>
  <c r="K141" i="16" s="1"/>
  <c r="L141" i="16" s="1"/>
  <c r="J140" i="16"/>
  <c r="I140" i="16"/>
  <c r="K140" i="16" s="1"/>
  <c r="J139" i="16"/>
  <c r="I139" i="16"/>
  <c r="K139" i="16" s="1"/>
  <c r="J138" i="16"/>
  <c r="I138" i="16"/>
  <c r="K138" i="16" s="1"/>
  <c r="J137" i="16"/>
  <c r="I137" i="16"/>
  <c r="K137" i="16" s="1"/>
  <c r="J136" i="16"/>
  <c r="I136" i="16"/>
  <c r="K136" i="16" s="1"/>
  <c r="L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J129" i="16"/>
  <c r="I129" i="16"/>
  <c r="K129" i="16" s="1"/>
  <c r="K128" i="16"/>
  <c r="L128" i="16" s="1"/>
  <c r="J128" i="16"/>
  <c r="I128" i="16"/>
  <c r="J127" i="16"/>
  <c r="I127" i="16"/>
  <c r="K127" i="16" s="1"/>
  <c r="L127" i="16" s="1"/>
  <c r="J126" i="16"/>
  <c r="I126" i="16"/>
  <c r="K126" i="16" s="1"/>
  <c r="L126" i="16" s="1"/>
  <c r="K125" i="16"/>
  <c r="J125" i="16"/>
  <c r="I125" i="16"/>
  <c r="J124" i="16"/>
  <c r="I124" i="16"/>
  <c r="K124" i="16" s="1"/>
  <c r="J123" i="16"/>
  <c r="I123" i="16"/>
  <c r="K123" i="16" s="1"/>
  <c r="J122" i="16"/>
  <c r="I122" i="16"/>
  <c r="K122" i="16" s="1"/>
  <c r="J121" i="16"/>
  <c r="I121" i="16"/>
  <c r="K121" i="16" s="1"/>
  <c r="L121" i="16" s="1"/>
  <c r="J120" i="16"/>
  <c r="I120" i="16"/>
  <c r="K120" i="16" s="1"/>
  <c r="J119" i="16"/>
  <c r="I119" i="16"/>
  <c r="K119" i="16" s="1"/>
  <c r="L119" i="16" s="1"/>
  <c r="K118" i="16"/>
  <c r="J118" i="16"/>
  <c r="I118" i="16"/>
  <c r="J117" i="16"/>
  <c r="I117" i="16"/>
  <c r="K117" i="16" s="1"/>
  <c r="J116" i="16"/>
  <c r="I116" i="16"/>
  <c r="K116" i="16" s="1"/>
  <c r="J115" i="16"/>
  <c r="I115" i="16"/>
  <c r="K115" i="16" s="1"/>
  <c r="K114" i="16"/>
  <c r="L114" i="16" s="1"/>
  <c r="J114" i="16"/>
  <c r="I114" i="16"/>
  <c r="J113" i="16"/>
  <c r="I113" i="16"/>
  <c r="K113" i="16" s="1"/>
  <c r="J112" i="16"/>
  <c r="I112" i="16"/>
  <c r="K112" i="16" s="1"/>
  <c r="L112" i="16" s="1"/>
  <c r="J111" i="16"/>
  <c r="I111" i="16"/>
  <c r="K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J106" i="16"/>
  <c r="I106" i="16"/>
  <c r="K106" i="16" s="1"/>
  <c r="L106" i="16" s="1"/>
  <c r="J105" i="16"/>
  <c r="I105" i="16"/>
  <c r="K105" i="16" s="1"/>
  <c r="L105" i="16" s="1"/>
  <c r="J104" i="16"/>
  <c r="I104" i="16"/>
  <c r="K104" i="16" s="1"/>
  <c r="J103" i="16"/>
  <c r="I103" i="16"/>
  <c r="K103" i="16" s="1"/>
  <c r="L103" i="16" s="1"/>
  <c r="J102" i="16"/>
  <c r="I102" i="16"/>
  <c r="K102" i="16" s="1"/>
  <c r="L102" i="16" s="1"/>
  <c r="J101" i="16"/>
  <c r="I101" i="16"/>
  <c r="K101" i="16" s="1"/>
  <c r="L101" i="16" s="1"/>
  <c r="K100" i="16"/>
  <c r="J100" i="16"/>
  <c r="I100" i="16"/>
  <c r="J99" i="16"/>
  <c r="I99" i="16"/>
  <c r="K99" i="16" s="1"/>
  <c r="J98" i="16"/>
  <c r="I98" i="16"/>
  <c r="K98" i="16" s="1"/>
  <c r="L98" i="16" s="1"/>
  <c r="J97" i="16"/>
  <c r="I97" i="16"/>
  <c r="K97" i="16" s="1"/>
  <c r="J96" i="16"/>
  <c r="I96" i="16"/>
  <c r="K96" i="16" s="1"/>
  <c r="V95" i="16"/>
  <c r="J95" i="16"/>
  <c r="I95" i="16"/>
  <c r="K95" i="16" s="1"/>
  <c r="J94" i="16"/>
  <c r="I94" i="16"/>
  <c r="K94" i="16" s="1"/>
  <c r="L94" i="16" s="1"/>
  <c r="J93" i="16"/>
  <c r="I93" i="16"/>
  <c r="K93" i="16" s="1"/>
  <c r="V92" i="16"/>
  <c r="J92" i="16"/>
  <c r="I92" i="16"/>
  <c r="K92" i="16" s="1"/>
  <c r="L92" i="16" s="1"/>
  <c r="J91" i="16"/>
  <c r="I91" i="16"/>
  <c r="K91" i="16" s="1"/>
  <c r="L91" i="16" s="1"/>
  <c r="K90" i="16"/>
  <c r="J90" i="16"/>
  <c r="I90" i="16"/>
  <c r="J89" i="16"/>
  <c r="I89" i="16"/>
  <c r="K89" i="16" s="1"/>
  <c r="J88" i="16"/>
  <c r="I88" i="16"/>
  <c r="K88" i="16" s="1"/>
  <c r="J87" i="16"/>
  <c r="I87" i="16"/>
  <c r="K87" i="16" s="1"/>
  <c r="J86" i="16"/>
  <c r="I86" i="16"/>
  <c r="K86" i="16" s="1"/>
  <c r="J85" i="16"/>
  <c r="I85" i="16"/>
  <c r="K85" i="16" s="1"/>
  <c r="L85" i="16" s="1"/>
  <c r="J84" i="16"/>
  <c r="I84" i="16"/>
  <c r="K84" i="16" s="1"/>
  <c r="L84" i="16" s="1"/>
  <c r="K83" i="16"/>
  <c r="J83" i="16"/>
  <c r="I83" i="16"/>
  <c r="J82" i="16"/>
  <c r="I82" i="16"/>
  <c r="K82" i="16" s="1"/>
  <c r="L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L78" i="16" s="1"/>
  <c r="V80" i="16" s="1"/>
  <c r="J77" i="16"/>
  <c r="I77" i="16"/>
  <c r="K77" i="16" s="1"/>
  <c r="J76" i="16"/>
  <c r="I76" i="16"/>
  <c r="K76" i="16" s="1"/>
  <c r="L76" i="16" s="1"/>
  <c r="J75" i="16"/>
  <c r="I75" i="16"/>
  <c r="K75" i="16" s="1"/>
  <c r="L75" i="16" s="1"/>
  <c r="J74" i="16"/>
  <c r="I74" i="16"/>
  <c r="K74" i="16" s="1"/>
  <c r="J73" i="16"/>
  <c r="I73" i="16"/>
  <c r="K73" i="16" s="1"/>
  <c r="J72" i="16"/>
  <c r="I72" i="16"/>
  <c r="K72" i="16" s="1"/>
  <c r="J71" i="16"/>
  <c r="I71" i="16"/>
  <c r="K71" i="16" s="1"/>
  <c r="L71" i="16" s="1"/>
  <c r="J70" i="16"/>
  <c r="I70" i="16"/>
  <c r="K70" i="16" s="1"/>
  <c r="J69" i="16"/>
  <c r="I69" i="16"/>
  <c r="K69" i="16" s="1"/>
  <c r="L69" i="16" s="1"/>
  <c r="K68" i="16"/>
  <c r="L68" i="16" s="1"/>
  <c r="J68" i="16"/>
  <c r="I68" i="16"/>
  <c r="J67" i="16"/>
  <c r="I67" i="16"/>
  <c r="K67" i="16" s="1"/>
  <c r="J66" i="16"/>
  <c r="I66" i="16"/>
  <c r="K66" i="16" s="1"/>
  <c r="L66" i="16" s="1"/>
  <c r="J65" i="16"/>
  <c r="I65" i="16"/>
  <c r="K65" i="16" s="1"/>
  <c r="J64" i="16"/>
  <c r="I64" i="16"/>
  <c r="K64" i="16" s="1"/>
  <c r="L64" i="16" s="1"/>
  <c r="J63" i="16"/>
  <c r="I63" i="16"/>
  <c r="K63" i="16" s="1"/>
  <c r="J62" i="16"/>
  <c r="I62" i="16"/>
  <c r="K62" i="16" s="1"/>
  <c r="J61" i="16"/>
  <c r="I61" i="16"/>
  <c r="K61" i="16" s="1"/>
  <c r="L61" i="16" s="1"/>
  <c r="J60" i="16"/>
  <c r="I60" i="16"/>
  <c r="K60" i="16" s="1"/>
  <c r="J59" i="16"/>
  <c r="I59" i="16"/>
  <c r="K59" i="16" s="1"/>
  <c r="L59" i="16" s="1"/>
  <c r="J58" i="16"/>
  <c r="I58" i="16"/>
  <c r="K58" i="16" s="1"/>
  <c r="J57" i="16"/>
  <c r="I57" i="16"/>
  <c r="K57" i="16" s="1"/>
  <c r="J56" i="16"/>
  <c r="I56" i="16"/>
  <c r="K56" i="16" s="1"/>
  <c r="J55" i="16"/>
  <c r="I55" i="16"/>
  <c r="K55" i="16" s="1"/>
  <c r="K54" i="16"/>
  <c r="L54" i="16" s="1"/>
  <c r="J54" i="16"/>
  <c r="I54" i="16"/>
  <c r="J53" i="16"/>
  <c r="I53" i="16"/>
  <c r="K53" i="16" s="1"/>
  <c r="L53" i="16" s="1"/>
  <c r="J52" i="16"/>
  <c r="I52" i="16"/>
  <c r="K52" i="16" s="1"/>
  <c r="J51" i="16"/>
  <c r="I51" i="16"/>
  <c r="K51" i="16" s="1"/>
  <c r="L51" i="16" s="1"/>
  <c r="J50" i="16"/>
  <c r="I50" i="16"/>
  <c r="K50" i="16" s="1"/>
  <c r="L50" i="16" s="1"/>
  <c r="J49" i="16"/>
  <c r="I49" i="16"/>
  <c r="K49" i="16" s="1"/>
  <c r="J48" i="16"/>
  <c r="I48" i="16"/>
  <c r="K48" i="16" s="1"/>
  <c r="L48" i="16" s="1"/>
  <c r="J47" i="16"/>
  <c r="I47" i="16"/>
  <c r="K47" i="16" s="1"/>
  <c r="J46" i="16"/>
  <c r="I46" i="16"/>
  <c r="K46" i="16" s="1"/>
  <c r="L46" i="16" s="1"/>
  <c r="J45" i="16"/>
  <c r="I45" i="16"/>
  <c r="K45" i="16" s="1"/>
  <c r="J44" i="16"/>
  <c r="I44" i="16"/>
  <c r="K44" i="16" s="1"/>
  <c r="J43" i="16"/>
  <c r="I43" i="16"/>
  <c r="K43" i="16" s="1"/>
  <c r="J42" i="16"/>
  <c r="I42" i="16"/>
  <c r="K42" i="16" s="1"/>
  <c r="L42" i="16" s="1"/>
  <c r="J41" i="16"/>
  <c r="I41" i="16"/>
  <c r="K41" i="16" s="1"/>
  <c r="J40" i="16"/>
  <c r="I40" i="16"/>
  <c r="K40" i="16" s="1"/>
  <c r="L40" i="16" s="1"/>
  <c r="J39" i="16"/>
  <c r="I39" i="16"/>
  <c r="K39" i="16" s="1"/>
  <c r="J38" i="16"/>
  <c r="I38" i="16"/>
  <c r="K38" i="16" s="1"/>
  <c r="L38" i="16" s="1"/>
  <c r="J37" i="16"/>
  <c r="I37" i="16"/>
  <c r="K37" i="16" s="1"/>
  <c r="J36" i="16"/>
  <c r="I36" i="16"/>
  <c r="K36" i="16" s="1"/>
  <c r="J35" i="16"/>
  <c r="I35" i="16"/>
  <c r="K35" i="16" s="1"/>
  <c r="K34" i="16"/>
  <c r="J34" i="16"/>
  <c r="I34" i="16"/>
  <c r="J33" i="16"/>
  <c r="I33" i="16"/>
  <c r="K33" i="16" s="1"/>
  <c r="J32" i="16"/>
  <c r="I32" i="16"/>
  <c r="K32" i="16" s="1"/>
  <c r="L32" i="16" s="1"/>
  <c r="J31" i="16"/>
  <c r="I31" i="16"/>
  <c r="K31" i="16" s="1"/>
  <c r="L31" i="16" s="1"/>
  <c r="J30" i="16"/>
  <c r="I30" i="16"/>
  <c r="K30" i="16" s="1"/>
  <c r="L30" i="16" s="1"/>
  <c r="J29" i="16"/>
  <c r="I29" i="16"/>
  <c r="K29" i="16" s="1"/>
  <c r="J28" i="16"/>
  <c r="I28" i="16"/>
  <c r="K28" i="16" s="1"/>
  <c r="J27" i="16"/>
  <c r="I27" i="16"/>
  <c r="K27" i="16" s="1"/>
  <c r="J26" i="16"/>
  <c r="I26" i="16"/>
  <c r="K26" i="16" s="1"/>
  <c r="L26" i="16" s="1"/>
  <c r="K25" i="16"/>
  <c r="L25" i="16" s="1"/>
  <c r="J25" i="16"/>
  <c r="I25" i="16"/>
  <c r="J24" i="16"/>
  <c r="I24" i="16"/>
  <c r="K24" i="16" s="1"/>
  <c r="L24" i="16" s="1"/>
  <c r="J23" i="16"/>
  <c r="I23" i="16"/>
  <c r="K23" i="16" s="1"/>
  <c r="J22" i="16"/>
  <c r="I22" i="16"/>
  <c r="K22" i="16" s="1"/>
  <c r="L22" i="16" s="1"/>
  <c r="J21" i="16"/>
  <c r="I21" i="16"/>
  <c r="K21" i="16" s="1"/>
  <c r="J20" i="16"/>
  <c r="I20" i="16"/>
  <c r="K20" i="16" s="1"/>
  <c r="J19" i="16"/>
  <c r="I19" i="16"/>
  <c r="K19" i="16" s="1"/>
  <c r="L19" i="16" s="1"/>
  <c r="J18" i="16"/>
  <c r="I18" i="16"/>
  <c r="K18" i="16" s="1"/>
  <c r="L18" i="16" s="1"/>
  <c r="J17" i="16"/>
  <c r="I17" i="16"/>
  <c r="K17" i="16" s="1"/>
  <c r="J16" i="16"/>
  <c r="I16" i="16"/>
  <c r="K16" i="16" s="1"/>
  <c r="L16" i="16" s="1"/>
  <c r="J15" i="16"/>
  <c r="I15" i="16"/>
  <c r="K15" i="16" s="1"/>
  <c r="J14" i="16"/>
  <c r="I14" i="16"/>
  <c r="K14" i="16" s="1"/>
  <c r="L14" i="16" s="1"/>
  <c r="J13" i="16"/>
  <c r="I13" i="16"/>
  <c r="K13" i="16" s="1"/>
  <c r="J12" i="16"/>
  <c r="I12" i="16"/>
  <c r="K12" i="16" s="1"/>
  <c r="J11" i="16"/>
  <c r="I11" i="16"/>
  <c r="K11" i="16" s="1"/>
  <c r="K10" i="16"/>
  <c r="J10" i="16"/>
  <c r="I10" i="16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L5" i="16" s="1"/>
  <c r="J4" i="16"/>
  <c r="I4" i="16"/>
  <c r="K4" i="16" s="1"/>
  <c r="L4" i="16" s="1"/>
  <c r="J3" i="16"/>
  <c r="I3" i="16"/>
  <c r="K3" i="16" s="1"/>
  <c r="J2" i="16"/>
  <c r="I2" i="16"/>
  <c r="K2" i="16" s="1"/>
  <c r="I322" i="1"/>
  <c r="K322" i="1" s="1"/>
  <c r="J322" i="1"/>
  <c r="L60" i="18" l="1"/>
  <c r="L153" i="18"/>
  <c r="L82" i="18"/>
  <c r="L109" i="18"/>
  <c r="L203" i="18"/>
  <c r="L52" i="18"/>
  <c r="L147" i="18"/>
  <c r="L185" i="18"/>
  <c r="L8" i="18"/>
  <c r="L35" i="18"/>
  <c r="L49" i="18"/>
  <c r="L56" i="18"/>
  <c r="L97" i="18"/>
  <c r="L100" i="18"/>
  <c r="L151" i="18"/>
  <c r="L155" i="18"/>
  <c r="L181" i="18"/>
  <c r="L192" i="18"/>
  <c r="L222" i="18"/>
  <c r="L226" i="18"/>
  <c r="L245" i="18"/>
  <c r="L311" i="18"/>
  <c r="V93" i="18" s="1"/>
  <c r="L11" i="18"/>
  <c r="L29" i="18"/>
  <c r="L36" i="18"/>
  <c r="L77" i="18"/>
  <c r="V79" i="18" s="1"/>
  <c r="L83" i="18"/>
  <c r="L160" i="18"/>
  <c r="L267" i="18"/>
  <c r="L281" i="18"/>
  <c r="L299" i="18"/>
  <c r="L306" i="18"/>
  <c r="V88" i="18" s="1"/>
  <c r="L313" i="18"/>
  <c r="V95" i="18" s="1"/>
  <c r="L123" i="18"/>
  <c r="L182" i="18"/>
  <c r="L194" i="18"/>
  <c r="L248" i="18"/>
  <c r="L280" i="18"/>
  <c r="L74" i="18"/>
  <c r="V76" i="18" s="1"/>
  <c r="L139" i="18"/>
  <c r="L90" i="18"/>
  <c r="L104" i="18"/>
  <c r="L312" i="18"/>
  <c r="V94" i="18" s="1"/>
  <c r="L103" i="18"/>
  <c r="L115" i="18"/>
  <c r="L47" i="18"/>
  <c r="L96" i="18"/>
  <c r="L10" i="18"/>
  <c r="L48" i="18"/>
  <c r="L144" i="18"/>
  <c r="L188" i="18"/>
  <c r="L227" i="18"/>
  <c r="L3" i="18"/>
  <c r="L13" i="18"/>
  <c r="L20" i="18"/>
  <c r="L27" i="18"/>
  <c r="L63" i="18"/>
  <c r="V65" i="18" s="1"/>
  <c r="L72" i="18"/>
  <c r="L131" i="18"/>
  <c r="L170" i="18"/>
  <c r="L223" i="18"/>
  <c r="L233" i="18"/>
  <c r="L251" i="18"/>
  <c r="L265" i="18"/>
  <c r="L93" i="18"/>
  <c r="L17" i="18"/>
  <c r="L24" i="18"/>
  <c r="L31" i="18"/>
  <c r="L66" i="18"/>
  <c r="V68" i="18" s="1"/>
  <c r="L76" i="18"/>
  <c r="V78" i="18" s="1"/>
  <c r="L176" i="18"/>
  <c r="L179" i="18"/>
  <c r="L197" i="18"/>
  <c r="L213" i="18"/>
  <c r="L230" i="18"/>
  <c r="L237" i="18"/>
  <c r="L255" i="18"/>
  <c r="L262" i="18"/>
  <c r="L269" i="18"/>
  <c r="L287" i="18"/>
  <c r="L294" i="18"/>
  <c r="L301" i="18"/>
  <c r="L319" i="18"/>
  <c r="V101" i="18" s="1"/>
  <c r="V64" i="18"/>
  <c r="V81" i="18"/>
  <c r="V67" i="18"/>
  <c r="L54" i="18"/>
  <c r="V70" i="18"/>
  <c r="V74" i="18"/>
  <c r="L88" i="18"/>
  <c r="V73" i="18"/>
  <c r="L78" i="18"/>
  <c r="V66" i="18"/>
  <c r="V69" i="18"/>
  <c r="V75" i="18"/>
  <c r="V83" i="18"/>
  <c r="L99" i="18"/>
  <c r="L110" i="18"/>
  <c r="L118" i="18"/>
  <c r="L126" i="18"/>
  <c r="L134" i="18"/>
  <c r="L142" i="18"/>
  <c r="L150" i="18"/>
  <c r="L178" i="18"/>
  <c r="L190" i="18"/>
  <c r="L162" i="18"/>
  <c r="L174" i="18"/>
  <c r="L191" i="18"/>
  <c r="V102" i="18"/>
  <c r="L156" i="18"/>
  <c r="L158" i="18"/>
  <c r="L175" i="18"/>
  <c r="L207" i="18"/>
  <c r="V92" i="18"/>
  <c r="V98" i="18"/>
  <c r="V86" i="18"/>
  <c r="L75" i="18"/>
  <c r="L159" i="18"/>
  <c r="L16" i="17"/>
  <c r="L20" i="17"/>
  <c r="L24" i="17"/>
  <c r="L32" i="17"/>
  <c r="L55" i="17"/>
  <c r="L92" i="17"/>
  <c r="L114" i="17"/>
  <c r="L118" i="17"/>
  <c r="L182" i="17"/>
  <c r="L189" i="17"/>
  <c r="L193" i="17"/>
  <c r="L197" i="17"/>
  <c r="L204" i="17"/>
  <c r="L208" i="17"/>
  <c r="L212" i="17"/>
  <c r="L223" i="17"/>
  <c r="L231" i="17"/>
  <c r="L238" i="17"/>
  <c r="L242" i="17"/>
  <c r="L246" i="17"/>
  <c r="L277" i="17"/>
  <c r="L159" i="17"/>
  <c r="L228" i="17"/>
  <c r="L239" i="17"/>
  <c r="L247" i="17"/>
  <c r="L278" i="17"/>
  <c r="L90" i="17"/>
  <c r="L18" i="17"/>
  <c r="L57" i="17"/>
  <c r="L116" i="17"/>
  <c r="L123" i="17"/>
  <c r="L131" i="17"/>
  <c r="L138" i="17"/>
  <c r="L146" i="17"/>
  <c r="L229" i="17"/>
  <c r="L236" i="17"/>
  <c r="L240" i="17"/>
  <c r="L244" i="17"/>
  <c r="L310" i="17"/>
  <c r="V92" i="17" s="1"/>
  <c r="L91" i="17"/>
  <c r="L101" i="17"/>
  <c r="L139" i="17"/>
  <c r="L218" i="17"/>
  <c r="L233" i="17"/>
  <c r="L3" i="17"/>
  <c r="L19" i="17"/>
  <c r="L23" i="17"/>
  <c r="L27" i="17"/>
  <c r="L31" i="17"/>
  <c r="L98" i="17"/>
  <c r="L109" i="17"/>
  <c r="L113" i="17"/>
  <c r="L117" i="17"/>
  <c r="L143" i="17"/>
  <c r="L158" i="17"/>
  <c r="L169" i="17"/>
  <c r="L177" i="17"/>
  <c r="L181" i="17"/>
  <c r="L188" i="17"/>
  <c r="L192" i="17"/>
  <c r="L196" i="17"/>
  <c r="L207" i="17"/>
  <c r="L211" i="17"/>
  <c r="L215" i="17"/>
  <c r="L222" i="17"/>
  <c r="L226" i="17"/>
  <c r="L230" i="17"/>
  <c r="L237" i="17"/>
  <c r="L241" i="17"/>
  <c r="L245" i="17"/>
  <c r="L97" i="17"/>
  <c r="L105" i="17"/>
  <c r="L120" i="17"/>
  <c r="L126" i="17"/>
  <c r="L129" i="17"/>
  <c r="L184" i="17"/>
  <c r="L200" i="17"/>
  <c r="L216" i="17"/>
  <c r="L232" i="17"/>
  <c r="L248" i="17"/>
  <c r="L280" i="17"/>
  <c r="L302" i="17"/>
  <c r="V84" i="17" s="1"/>
  <c r="L309" i="17"/>
  <c r="V91" i="17" s="1"/>
  <c r="L312" i="17"/>
  <c r="V94" i="17" s="1"/>
  <c r="L132" i="17"/>
  <c r="L22" i="17"/>
  <c r="L154" i="17"/>
  <c r="L86" i="17"/>
  <c r="L121" i="17"/>
  <c r="L142" i="17"/>
  <c r="L155" i="17"/>
  <c r="L161" i="17"/>
  <c r="L10" i="17"/>
  <c r="L141" i="17"/>
  <c r="L26" i="17"/>
  <c r="L54" i="17"/>
  <c r="L78" i="17"/>
  <c r="L106" i="17"/>
  <c r="L15" i="17"/>
  <c r="L137" i="17"/>
  <c r="L318" i="17"/>
  <c r="V100" i="17" s="1"/>
  <c r="L13" i="17"/>
  <c r="L42" i="17"/>
  <c r="L59" i="17"/>
  <c r="L100" i="17"/>
  <c r="L58" i="17"/>
  <c r="L122" i="17"/>
  <c r="L6" i="17"/>
  <c r="L30" i="17"/>
  <c r="L38" i="17"/>
  <c r="L76" i="17"/>
  <c r="L102" i="17"/>
  <c r="L110" i="17"/>
  <c r="L135" i="17"/>
  <c r="L144" i="17"/>
  <c r="L150" i="17"/>
  <c r="L153" i="17"/>
  <c r="L262" i="17"/>
  <c r="L269" i="17"/>
  <c r="L294" i="17"/>
  <c r="L301" i="17"/>
  <c r="V79" i="17"/>
  <c r="V73" i="17"/>
  <c r="V65" i="17"/>
  <c r="V74" i="17"/>
  <c r="V76" i="17"/>
  <c r="V70" i="17"/>
  <c r="L9" i="17"/>
  <c r="L28" i="17"/>
  <c r="L60" i="17"/>
  <c r="V80" i="17"/>
  <c r="V83" i="17"/>
  <c r="V64" i="17"/>
  <c r="L25" i="17"/>
  <c r="V82" i="17"/>
  <c r="V67" i="17"/>
  <c r="L44" i="17"/>
  <c r="V68" i="17"/>
  <c r="L12" i="17"/>
  <c r="V69" i="17"/>
  <c r="V77" i="17"/>
  <c r="V72" i="17"/>
  <c r="V75" i="17"/>
  <c r="V78" i="17"/>
  <c r="V66" i="17"/>
  <c r="L163" i="17"/>
  <c r="L87" i="17"/>
  <c r="L251" i="17"/>
  <c r="L283" i="17"/>
  <c r="L315" i="17"/>
  <c r="V81" i="17"/>
  <c r="L227" i="17"/>
  <c r="L235" i="17"/>
  <c r="L243" i="17"/>
  <c r="L95" i="17"/>
  <c r="L255" i="17"/>
  <c r="L287" i="17"/>
  <c r="L319" i="17"/>
  <c r="L279" i="17"/>
  <c r="L311" i="17"/>
  <c r="L157" i="17"/>
  <c r="L165" i="17"/>
  <c r="L173" i="17"/>
  <c r="L170" i="16"/>
  <c r="L90" i="16"/>
  <c r="L125" i="16"/>
  <c r="L56" i="16"/>
  <c r="L74" i="16"/>
  <c r="V76" i="16" s="1"/>
  <c r="L81" i="16"/>
  <c r="L88" i="16"/>
  <c r="L95" i="16"/>
  <c r="L109" i="16"/>
  <c r="L123" i="16"/>
  <c r="L161" i="16"/>
  <c r="L183" i="16"/>
  <c r="L187" i="16"/>
  <c r="L191" i="16"/>
  <c r="L194" i="16"/>
  <c r="L201" i="16"/>
  <c r="L234" i="16"/>
  <c r="L242" i="16"/>
  <c r="L246" i="16"/>
  <c r="L260" i="16"/>
  <c r="L279" i="16"/>
  <c r="L286" i="16"/>
  <c r="L297" i="16"/>
  <c r="L321" i="16"/>
  <c r="V103" i="16" s="1"/>
  <c r="L118" i="16"/>
  <c r="L20" i="16"/>
  <c r="L34" i="16"/>
  <c r="L110" i="16"/>
  <c r="L117" i="16"/>
  <c r="L124" i="16"/>
  <c r="L169" i="16"/>
  <c r="L180" i="16"/>
  <c r="L188" i="16"/>
  <c r="L239" i="16"/>
  <c r="L243" i="16"/>
  <c r="L250" i="16"/>
  <c r="L261" i="16"/>
  <c r="L298" i="16"/>
  <c r="L302" i="16"/>
  <c r="V84" i="16" s="1"/>
  <c r="L35" i="16"/>
  <c r="L97" i="16"/>
  <c r="L6" i="16"/>
  <c r="L43" i="16"/>
  <c r="L58" i="16"/>
  <c r="L93" i="16"/>
  <c r="L107" i="16"/>
  <c r="L111" i="16"/>
  <c r="L163" i="16"/>
  <c r="L177" i="16"/>
  <c r="L181" i="16"/>
  <c r="L185" i="16"/>
  <c r="L189" i="16"/>
  <c r="L196" i="16"/>
  <c r="L203" i="16"/>
  <c r="L214" i="16"/>
  <c r="L217" i="16"/>
  <c r="L244" i="16"/>
  <c r="L251" i="16"/>
  <c r="L258" i="16"/>
  <c r="L262" i="16"/>
  <c r="L273" i="16"/>
  <c r="L277" i="16"/>
  <c r="L303" i="16"/>
  <c r="V85" i="16" s="1"/>
  <c r="L264" i="16"/>
  <c r="L2" i="16"/>
  <c r="L8" i="16"/>
  <c r="L11" i="16"/>
  <c r="L21" i="16"/>
  <c r="L27" i="16"/>
  <c r="L37" i="16"/>
  <c r="L57" i="16"/>
  <c r="L73" i="16"/>
  <c r="L80" i="16"/>
  <c r="L131" i="16"/>
  <c r="L149" i="16"/>
  <c r="L165" i="16"/>
  <c r="L10" i="16"/>
  <c r="L62" i="16"/>
  <c r="V64" i="16" s="1"/>
  <c r="L99" i="16"/>
  <c r="L41" i="16"/>
  <c r="L70" i="16"/>
  <c r="V72" i="16" s="1"/>
  <c r="L115" i="16"/>
  <c r="L135" i="16"/>
  <c r="L12" i="16"/>
  <c r="L28" i="16"/>
  <c r="L44" i="16"/>
  <c r="L77" i="16"/>
  <c r="V79" i="16" s="1"/>
  <c r="L86" i="16"/>
  <c r="L89" i="16"/>
  <c r="L100" i="16"/>
  <c r="L132" i="16"/>
  <c r="L139" i="16"/>
  <c r="L197" i="16"/>
  <c r="L304" i="16"/>
  <c r="V86" i="16" s="1"/>
  <c r="L67" i="16"/>
  <c r="V69" i="16" s="1"/>
  <c r="L122" i="16"/>
  <c r="L164" i="16"/>
  <c r="L204" i="16"/>
  <c r="L13" i="16"/>
  <c r="L29" i="16"/>
  <c r="L45" i="16"/>
  <c r="L104" i="16"/>
  <c r="L133" i="16"/>
  <c r="L140" i="16"/>
  <c r="L147" i="16"/>
  <c r="L316" i="16"/>
  <c r="V98" i="16" s="1"/>
  <c r="L33" i="16"/>
  <c r="L130" i="16"/>
  <c r="L9" i="16"/>
  <c r="L17" i="16"/>
  <c r="L23" i="16"/>
  <c r="L39" i="16"/>
  <c r="L49" i="16"/>
  <c r="L52" i="16"/>
  <c r="L72" i="16"/>
  <c r="L108" i="16"/>
  <c r="L120" i="16"/>
  <c r="L137" i="16"/>
  <c r="L144" i="16"/>
  <c r="L151" i="16"/>
  <c r="L173" i="16"/>
  <c r="L179" i="16"/>
  <c r="L195" i="16"/>
  <c r="L219" i="16"/>
  <c r="L235" i="16"/>
  <c r="L238" i="16"/>
  <c r="L267" i="16"/>
  <c r="L270" i="16"/>
  <c r="L307" i="16"/>
  <c r="V89" i="16" s="1"/>
  <c r="V82" i="16"/>
  <c r="L36" i="16"/>
  <c r="V96" i="16"/>
  <c r="V83" i="16"/>
  <c r="V68" i="16"/>
  <c r="V81" i="16"/>
  <c r="V75" i="16"/>
  <c r="V93" i="16"/>
  <c r="V102" i="16"/>
  <c r="L15" i="16"/>
  <c r="V70" i="16"/>
  <c r="V73" i="16"/>
  <c r="V77" i="16"/>
  <c r="V88" i="16"/>
  <c r="L113" i="16"/>
  <c r="L198" i="16"/>
  <c r="L312" i="16"/>
  <c r="L55" i="16"/>
  <c r="L65" i="16"/>
  <c r="L87" i="16"/>
  <c r="L96" i="16"/>
  <c r="L129" i="16"/>
  <c r="L7" i="16"/>
  <c r="L60" i="16"/>
  <c r="L63" i="16"/>
  <c r="V71" i="16"/>
  <c r="L83" i="16"/>
  <c r="L116" i="16"/>
  <c r="L156" i="16"/>
  <c r="V66" i="16"/>
  <c r="L3" i="16"/>
  <c r="L47" i="16"/>
  <c r="V74" i="16"/>
  <c r="V78" i="16"/>
  <c r="L210" i="16"/>
  <c r="L229" i="16"/>
  <c r="L240" i="16"/>
  <c r="L192" i="16"/>
  <c r="L202" i="16"/>
  <c r="L290" i="16"/>
  <c r="V90" i="16"/>
  <c r="L146" i="16"/>
  <c r="L200" i="16"/>
  <c r="L232" i="16"/>
  <c r="L236" i="16"/>
  <c r="L154" i="16"/>
  <c r="L184" i="16"/>
  <c r="L284" i="16"/>
  <c r="V91" i="16"/>
  <c r="L138" i="16"/>
  <c r="L280" i="16"/>
  <c r="L282" i="16"/>
  <c r="L299" i="16"/>
  <c r="L168" i="16"/>
  <c r="L296" i="16"/>
  <c r="L248" i="16"/>
  <c r="V97" i="16"/>
  <c r="L155" i="16"/>
  <c r="L213" i="16"/>
  <c r="L216" i="16"/>
  <c r="L283" i="16"/>
  <c r="L322" i="1"/>
  <c r="V80" i="18" l="1"/>
  <c r="N2" i="18"/>
  <c r="M175" i="18" s="1"/>
  <c r="V77" i="18"/>
  <c r="N5" i="18" s="1"/>
  <c r="V93" i="17"/>
  <c r="V97" i="17"/>
  <c r="V101" i="17"/>
  <c r="N2" i="17"/>
  <c r="M315" i="17" s="1"/>
  <c r="N5" i="17"/>
  <c r="V94" i="16"/>
  <c r="V65" i="16"/>
  <c r="V67" i="16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L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M178" i="18" l="1"/>
  <c r="M88" i="18"/>
  <c r="M75" i="18"/>
  <c r="M118" i="18"/>
  <c r="M134" i="18"/>
  <c r="M159" i="18"/>
  <c r="M174" i="18"/>
  <c r="M249" i="18"/>
  <c r="M297" i="18"/>
  <c r="M229" i="18"/>
  <c r="M220" i="18"/>
  <c r="M209" i="18"/>
  <c r="M200" i="18"/>
  <c r="M185" i="18"/>
  <c r="M265" i="18"/>
  <c r="M193" i="18"/>
  <c r="M172" i="18"/>
  <c r="M313" i="18"/>
  <c r="M213" i="18"/>
  <c r="M188" i="18"/>
  <c r="M281" i="18"/>
  <c r="M236" i="18"/>
  <c r="M169" i="18"/>
  <c r="M70" i="18"/>
  <c r="M15" i="18"/>
  <c r="M6" i="18"/>
  <c r="M31" i="18"/>
  <c r="M116" i="18"/>
  <c r="M108" i="18"/>
  <c r="M27" i="18"/>
  <c r="M62" i="18"/>
  <c r="M123" i="18"/>
  <c r="M224" i="18"/>
  <c r="M17" i="18"/>
  <c r="M152" i="18"/>
  <c r="M87" i="18"/>
  <c r="M8" i="18"/>
  <c r="M101" i="18"/>
  <c r="M205" i="18"/>
  <c r="M60" i="18"/>
  <c r="M144" i="18"/>
  <c r="M143" i="18"/>
  <c r="M80" i="18"/>
  <c r="M184" i="18"/>
  <c r="M201" i="18"/>
  <c r="M28" i="18"/>
  <c r="M102" i="18"/>
  <c r="M157" i="18"/>
  <c r="M231" i="18"/>
  <c r="M316" i="18"/>
  <c r="M293" i="18"/>
  <c r="M214" i="18"/>
  <c r="M314" i="18"/>
  <c r="M266" i="18"/>
  <c r="M218" i="18"/>
  <c r="M256" i="18"/>
  <c r="M254" i="18"/>
  <c r="M299" i="18"/>
  <c r="M248" i="18"/>
  <c r="M290" i="18"/>
  <c r="M321" i="18"/>
  <c r="M302" i="18"/>
  <c r="M296" i="18"/>
  <c r="M294" i="18"/>
  <c r="M258" i="18"/>
  <c r="M23" i="18"/>
  <c r="M138" i="18"/>
  <c r="M83" i="18"/>
  <c r="M127" i="18"/>
  <c r="M67" i="18"/>
  <c r="M310" i="18"/>
  <c r="M263" i="18"/>
  <c r="M242" i="18"/>
  <c r="M90" i="18"/>
  <c r="M5" i="18"/>
  <c r="M85" i="18"/>
  <c r="M79" i="18"/>
  <c r="M137" i="18"/>
  <c r="M284" i="18"/>
  <c r="M26" i="18"/>
  <c r="M155" i="18"/>
  <c r="M113" i="18"/>
  <c r="M42" i="18"/>
  <c r="M109" i="18"/>
  <c r="M219" i="18"/>
  <c r="M68" i="18"/>
  <c r="M69" i="18"/>
  <c r="M199" i="18"/>
  <c r="M227" i="18"/>
  <c r="M86" i="18"/>
  <c r="M187" i="18"/>
  <c r="M14" i="18"/>
  <c r="M34" i="18"/>
  <c r="M73" i="18"/>
  <c r="M104" i="18"/>
  <c r="M160" i="18"/>
  <c r="M234" i="18"/>
  <c r="M307" i="18"/>
  <c r="M217" i="18"/>
  <c r="M273" i="18"/>
  <c r="M246" i="18"/>
  <c r="M295" i="18"/>
  <c r="M260" i="18"/>
  <c r="M255" i="18"/>
  <c r="M52" i="18"/>
  <c r="M192" i="18"/>
  <c r="M111" i="18"/>
  <c r="M165" i="18"/>
  <c r="M215" i="18"/>
  <c r="M11" i="18"/>
  <c r="M19" i="18"/>
  <c r="M55" i="18"/>
  <c r="M128" i="18"/>
  <c r="M82" i="18"/>
  <c r="M149" i="18"/>
  <c r="M61" i="18"/>
  <c r="M33" i="18"/>
  <c r="M65" i="18"/>
  <c r="M161" i="18"/>
  <c r="M145" i="18"/>
  <c r="M45" i="18"/>
  <c r="M115" i="18"/>
  <c r="M250" i="18"/>
  <c r="M114" i="18"/>
  <c r="M72" i="18"/>
  <c r="M208" i="18"/>
  <c r="M20" i="18"/>
  <c r="M97" i="18"/>
  <c r="M206" i="18"/>
  <c r="M40" i="18"/>
  <c r="M41" i="18"/>
  <c r="M107" i="18"/>
  <c r="M168" i="18"/>
  <c r="M261" i="18"/>
  <c r="M237" i="18"/>
  <c r="M317" i="18"/>
  <c r="M235" i="18"/>
  <c r="M252" i="18"/>
  <c r="M181" i="18"/>
  <c r="M298" i="18"/>
  <c r="M267" i="18"/>
  <c r="M308" i="18"/>
  <c r="M303" i="18"/>
  <c r="M32" i="18"/>
  <c r="M63" i="18"/>
  <c r="M3" i="18"/>
  <c r="M46" i="18"/>
  <c r="M176" i="18"/>
  <c r="M154" i="18"/>
  <c r="M198" i="18"/>
  <c r="M292" i="18"/>
  <c r="M132" i="18"/>
  <c r="M148" i="18"/>
  <c r="M140" i="18"/>
  <c r="M163" i="18"/>
  <c r="M92" i="18"/>
  <c r="M177" i="18"/>
  <c r="M131" i="18"/>
  <c r="M36" i="18"/>
  <c r="M94" i="18"/>
  <c r="M180" i="18"/>
  <c r="M203" i="18"/>
  <c r="M49" i="18"/>
  <c r="M129" i="18"/>
  <c r="M257" i="18"/>
  <c r="M146" i="18"/>
  <c r="M232" i="18"/>
  <c r="M24" i="18"/>
  <c r="M121" i="18"/>
  <c r="M223" i="18"/>
  <c r="M2" i="18"/>
  <c r="M47" i="18"/>
  <c r="M119" i="18"/>
  <c r="M173" i="18"/>
  <c r="M275" i="18"/>
  <c r="M240" i="18"/>
  <c r="M320" i="18"/>
  <c r="M245" i="18"/>
  <c r="M300" i="18"/>
  <c r="M277" i="18"/>
  <c r="M196" i="18"/>
  <c r="M305" i="18"/>
  <c r="M270" i="18"/>
  <c r="M315" i="18"/>
  <c r="M264" i="18"/>
  <c r="M306" i="18"/>
  <c r="M117" i="18"/>
  <c r="M91" i="18"/>
  <c r="M251" i="18"/>
  <c r="M171" i="18"/>
  <c r="M35" i="18"/>
  <c r="M58" i="18"/>
  <c r="M56" i="18"/>
  <c r="M96" i="18"/>
  <c r="M186" i="18"/>
  <c r="M13" i="18"/>
  <c r="M48" i="18"/>
  <c r="M106" i="18"/>
  <c r="M204" i="18"/>
  <c r="M59" i="18"/>
  <c r="M141" i="18"/>
  <c r="M53" i="18"/>
  <c r="M10" i="18"/>
  <c r="M247" i="18"/>
  <c r="M30" i="18"/>
  <c r="M133" i="18"/>
  <c r="M233" i="18"/>
  <c r="M4" i="18"/>
  <c r="M50" i="18"/>
  <c r="M76" i="18"/>
  <c r="M122" i="18"/>
  <c r="M179" i="18"/>
  <c r="M285" i="18"/>
  <c r="M279" i="18"/>
  <c r="M228" i="18"/>
  <c r="M259" i="18"/>
  <c r="M291" i="18"/>
  <c r="M212" i="18"/>
  <c r="M226" i="18"/>
  <c r="M276" i="18"/>
  <c r="M318" i="18"/>
  <c r="M271" i="18"/>
  <c r="M312" i="18"/>
  <c r="M9" i="18"/>
  <c r="M22" i="18"/>
  <c r="M25" i="18"/>
  <c r="M268" i="18"/>
  <c r="M253" i="18"/>
  <c r="M7" i="18"/>
  <c r="M39" i="18"/>
  <c r="M84" i="18"/>
  <c r="M74" i="18"/>
  <c r="M100" i="18"/>
  <c r="M189" i="18"/>
  <c r="M44" i="18"/>
  <c r="M51" i="18"/>
  <c r="M120" i="18"/>
  <c r="M225" i="18"/>
  <c r="M89" i="18"/>
  <c r="M66" i="18"/>
  <c r="M147" i="18"/>
  <c r="M105" i="18"/>
  <c r="M21" i="18"/>
  <c r="M93" i="18"/>
  <c r="M29" i="18"/>
  <c r="M43" i="18"/>
  <c r="M139" i="18"/>
  <c r="M16" i="18"/>
  <c r="M12" i="18"/>
  <c r="M64" i="18"/>
  <c r="M81" i="18"/>
  <c r="M136" i="18"/>
  <c r="M197" i="18"/>
  <c r="M288" i="18"/>
  <c r="M282" i="18"/>
  <c r="M241" i="18"/>
  <c r="M166" i="18"/>
  <c r="M269" i="18"/>
  <c r="M202" i="18"/>
  <c r="M301" i="18"/>
  <c r="M221" i="18"/>
  <c r="M238" i="18"/>
  <c r="M283" i="18"/>
  <c r="M222" i="18"/>
  <c r="M274" i="18"/>
  <c r="M319" i="18"/>
  <c r="M194" i="18"/>
  <c r="M71" i="18"/>
  <c r="M230" i="18"/>
  <c r="M311" i="18"/>
  <c r="M287" i="18"/>
  <c r="M95" i="18"/>
  <c r="M124" i="18"/>
  <c r="M210" i="18"/>
  <c r="M77" i="18"/>
  <c r="M103" i="18"/>
  <c r="M195" i="18"/>
  <c r="M98" i="18"/>
  <c r="M57" i="18"/>
  <c r="M135" i="18"/>
  <c r="M278" i="18"/>
  <c r="M309" i="18"/>
  <c r="M164" i="18"/>
  <c r="M125" i="18"/>
  <c r="M37" i="18"/>
  <c r="M112" i="18"/>
  <c r="M130" i="18"/>
  <c r="M153" i="18"/>
  <c r="M38" i="18"/>
  <c r="M18" i="18"/>
  <c r="M151" i="18"/>
  <c r="M216" i="18"/>
  <c r="M170" i="18"/>
  <c r="M289" i="18"/>
  <c r="M262" i="18"/>
  <c r="M183" i="18"/>
  <c r="M272" i="18"/>
  <c r="M167" i="18"/>
  <c r="M304" i="18"/>
  <c r="M243" i="18"/>
  <c r="M244" i="18"/>
  <c r="M286" i="18"/>
  <c r="M239" i="18"/>
  <c r="M280" i="18"/>
  <c r="M322" i="18"/>
  <c r="M211" i="18"/>
  <c r="M182" i="18"/>
  <c r="M156" i="18"/>
  <c r="M142" i="18"/>
  <c r="M126" i="18"/>
  <c r="M150" i="18"/>
  <c r="M110" i="18"/>
  <c r="M191" i="18"/>
  <c r="M207" i="18"/>
  <c r="M190" i="18"/>
  <c r="M158" i="18"/>
  <c r="M99" i="18"/>
  <c r="M162" i="18"/>
  <c r="M54" i="18"/>
  <c r="M78" i="18"/>
  <c r="M28" i="17"/>
  <c r="M251" i="17"/>
  <c r="M235" i="17"/>
  <c r="M243" i="17"/>
  <c r="M163" i="17"/>
  <c r="M9" i="17"/>
  <c r="M279" i="17"/>
  <c r="M255" i="17"/>
  <c r="M287" i="17"/>
  <c r="M319" i="17"/>
  <c r="M87" i="17"/>
  <c r="M304" i="17"/>
  <c r="M272" i="17"/>
  <c r="M216" i="17"/>
  <c r="M208" i="17"/>
  <c r="M200" i="17"/>
  <c r="M192" i="17"/>
  <c r="M184" i="17"/>
  <c r="M177" i="17"/>
  <c r="M300" i="17"/>
  <c r="M268" i="17"/>
  <c r="M296" i="17"/>
  <c r="M264" i="17"/>
  <c r="M244" i="17"/>
  <c r="M236" i="17"/>
  <c r="M228" i="17"/>
  <c r="M220" i="17"/>
  <c r="M212" i="17"/>
  <c r="M204" i="17"/>
  <c r="M196" i="17"/>
  <c r="M188" i="17"/>
  <c r="M101" i="17"/>
  <c r="M13" i="17"/>
  <c r="M3" i="17"/>
  <c r="M35" i="17"/>
  <c r="M38" i="17"/>
  <c r="M84" i="17"/>
  <c r="M161" i="17"/>
  <c r="M59" i="17"/>
  <c r="M146" i="17"/>
  <c r="M21" i="17"/>
  <c r="M224" i="17"/>
  <c r="M105" i="17"/>
  <c r="M164" i="17"/>
  <c r="M65" i="17"/>
  <c r="M7" i="17"/>
  <c r="M75" i="17"/>
  <c r="M50" i="17"/>
  <c r="M79" i="17"/>
  <c r="M150" i="17"/>
  <c r="M131" i="17"/>
  <c r="M191" i="17"/>
  <c r="M231" i="17"/>
  <c r="M181" i="17"/>
  <c r="M245" i="17"/>
  <c r="M277" i="17"/>
  <c r="M148" i="17"/>
  <c r="M206" i="17"/>
  <c r="M275" i="17"/>
  <c r="M301" i="17"/>
  <c r="M152" i="17"/>
  <c r="M201" i="17"/>
  <c r="M281" i="17"/>
  <c r="M316" i="17"/>
  <c r="M234" i="17"/>
  <c r="M266" i="17"/>
  <c r="M298" i="17"/>
  <c r="M42" i="17"/>
  <c r="M129" i="17"/>
  <c r="M170" i="17"/>
  <c r="M62" i="17"/>
  <c r="M91" i="17"/>
  <c r="M240" i="17"/>
  <c r="M20" i="17"/>
  <c r="M97" i="17"/>
  <c r="M15" i="17"/>
  <c r="M94" i="17"/>
  <c r="M55" i="17"/>
  <c r="M82" i="17"/>
  <c r="M140" i="17"/>
  <c r="M194" i="17"/>
  <c r="M239" i="17"/>
  <c r="M253" i="17"/>
  <c r="M189" i="17"/>
  <c r="M295" i="17"/>
  <c r="M172" i="17"/>
  <c r="M289" i="17"/>
  <c r="M158" i="17"/>
  <c r="M209" i="17"/>
  <c r="M299" i="17"/>
  <c r="M238" i="17"/>
  <c r="M270" i="17"/>
  <c r="M302" i="17"/>
  <c r="M14" i="17"/>
  <c r="M63" i="17"/>
  <c r="M112" i="17"/>
  <c r="M288" i="17"/>
  <c r="M280" i="17"/>
  <c r="M33" i="17"/>
  <c r="M81" i="17"/>
  <c r="M260" i="17"/>
  <c r="M92" i="17"/>
  <c r="M98" i="17"/>
  <c r="M248" i="17"/>
  <c r="M40" i="17"/>
  <c r="M126" i="17"/>
  <c r="M49" i="17"/>
  <c r="M34" i="17"/>
  <c r="M99" i="17"/>
  <c r="M102" i="17"/>
  <c r="M156" i="17"/>
  <c r="M147" i="17"/>
  <c r="M199" i="17"/>
  <c r="M271" i="17"/>
  <c r="M265" i="17"/>
  <c r="M309" i="17"/>
  <c r="M182" i="17"/>
  <c r="M214" i="17"/>
  <c r="M104" i="17"/>
  <c r="M162" i="17"/>
  <c r="M313" i="17"/>
  <c r="M274" i="17"/>
  <c r="M306" i="17"/>
  <c r="M64" i="17"/>
  <c r="M66" i="17"/>
  <c r="M70" i="17"/>
  <c r="M110" i="17"/>
  <c r="M202" i="17"/>
  <c r="M259" i="17"/>
  <c r="M285" i="17"/>
  <c r="M205" i="17"/>
  <c r="M107" i="17"/>
  <c r="M219" i="17"/>
  <c r="M321" i="17"/>
  <c r="M111" i="17"/>
  <c r="M225" i="17"/>
  <c r="M246" i="17"/>
  <c r="M278" i="17"/>
  <c r="M250" i="17"/>
  <c r="M10" i="17"/>
  <c r="M54" i="17"/>
  <c r="M276" i="17"/>
  <c r="M67" i="17"/>
  <c r="M125" i="17"/>
  <c r="M308" i="17"/>
  <c r="M221" i="17"/>
  <c r="M241" i="17"/>
  <c r="M286" i="17"/>
  <c r="M16" i="17"/>
  <c r="M252" i="17"/>
  <c r="M90" i="17"/>
  <c r="M137" i="17"/>
  <c r="M109" i="17"/>
  <c r="M8" i="17"/>
  <c r="M183" i="17"/>
  <c r="M229" i="17"/>
  <c r="M132" i="17"/>
  <c r="M136" i="17"/>
  <c r="M185" i="17"/>
  <c r="M258" i="17"/>
  <c r="M322" i="17"/>
  <c r="M166" i="17"/>
  <c r="M284" i="17"/>
  <c r="M48" i="17"/>
  <c r="M167" i="17"/>
  <c r="M154" i="17"/>
  <c r="M17" i="17"/>
  <c r="M124" i="17"/>
  <c r="M69" i="17"/>
  <c r="M237" i="17"/>
  <c r="M257" i="17"/>
  <c r="M193" i="17"/>
  <c r="M230" i="17"/>
  <c r="M294" i="17"/>
  <c r="M4" i="17"/>
  <c r="M71" i="17"/>
  <c r="M51" i="17"/>
  <c r="M86" i="17"/>
  <c r="M256" i="17"/>
  <c r="M78" i="17"/>
  <c r="M151" i="17"/>
  <c r="M153" i="17"/>
  <c r="M211" i="17"/>
  <c r="M197" i="17"/>
  <c r="M307" i="17"/>
  <c r="M217" i="17"/>
  <c r="M242" i="17"/>
  <c r="M119" i="17"/>
  <c r="M232" i="17"/>
  <c r="M122" i="17"/>
  <c r="M168" i="17"/>
  <c r="M310" i="17"/>
  <c r="M218" i="17"/>
  <c r="M77" i="17"/>
  <c r="M179" i="17"/>
  <c r="M134" i="17"/>
  <c r="M114" i="17"/>
  <c r="M73" i="17"/>
  <c r="M291" i="17"/>
  <c r="M106" i="17"/>
  <c r="M18" i="17"/>
  <c r="M115" i="17"/>
  <c r="M317" i="17"/>
  <c r="M269" i="17"/>
  <c r="M226" i="17"/>
  <c r="M2" i="17"/>
  <c r="M30" i="17"/>
  <c r="M133" i="17"/>
  <c r="M130" i="17"/>
  <c r="M186" i="17"/>
  <c r="M143" i="17"/>
  <c r="M262" i="17"/>
  <c r="M27" i="17"/>
  <c r="M56" i="17"/>
  <c r="M247" i="17"/>
  <c r="M120" i="17"/>
  <c r="M261" i="17"/>
  <c r="M314" i="17"/>
  <c r="M23" i="17"/>
  <c r="M68" i="17"/>
  <c r="M96" i="17"/>
  <c r="M169" i="17"/>
  <c r="M159" i="17"/>
  <c r="M210" i="17"/>
  <c r="M195" i="17"/>
  <c r="M127" i="17"/>
  <c r="M254" i="17"/>
  <c r="M31" i="17"/>
  <c r="M57" i="17"/>
  <c r="M103" i="17"/>
  <c r="M100" i="17"/>
  <c r="M76" i="17"/>
  <c r="M305" i="17"/>
  <c r="M198" i="17"/>
  <c r="M249" i="17"/>
  <c r="M290" i="17"/>
  <c r="M36" i="17"/>
  <c r="M5" i="17"/>
  <c r="M223" i="17"/>
  <c r="M139" i="17"/>
  <c r="M19" i="17"/>
  <c r="M61" i="17"/>
  <c r="M117" i="17"/>
  <c r="M118" i="17"/>
  <c r="M320" i="17"/>
  <c r="M11" i="17"/>
  <c r="M47" i="17"/>
  <c r="M292" i="17"/>
  <c r="M141" i="17"/>
  <c r="M39" i="17"/>
  <c r="M174" i="17"/>
  <c r="M187" i="17"/>
  <c r="M160" i="17"/>
  <c r="M142" i="17"/>
  <c r="M32" i="17"/>
  <c r="M46" i="17"/>
  <c r="M108" i="17"/>
  <c r="M123" i="17"/>
  <c r="M178" i="17"/>
  <c r="M318" i="17"/>
  <c r="M74" i="17"/>
  <c r="M37" i="17"/>
  <c r="M215" i="17"/>
  <c r="M24" i="17"/>
  <c r="M144" i="17"/>
  <c r="M263" i="17"/>
  <c r="M267" i="17"/>
  <c r="M26" i="17"/>
  <c r="M85" i="17"/>
  <c r="M175" i="17"/>
  <c r="M72" i="17"/>
  <c r="M121" i="17"/>
  <c r="M29" i="17"/>
  <c r="M83" i="17"/>
  <c r="M52" i="17"/>
  <c r="M89" i="17"/>
  <c r="M22" i="17"/>
  <c r="M312" i="17"/>
  <c r="M128" i="17"/>
  <c r="M138" i="17"/>
  <c r="M53" i="17"/>
  <c r="M80" i="17"/>
  <c r="M6" i="17"/>
  <c r="M58" i="17"/>
  <c r="M149" i="17"/>
  <c r="M113" i="17"/>
  <c r="M88" i="17"/>
  <c r="M176" i="17"/>
  <c r="M207" i="17"/>
  <c r="M273" i="17"/>
  <c r="M303" i="17"/>
  <c r="M213" i="17"/>
  <c r="M297" i="17"/>
  <c r="M116" i="17"/>
  <c r="M190" i="17"/>
  <c r="M171" i="17"/>
  <c r="M233" i="17"/>
  <c r="M282" i="17"/>
  <c r="M43" i="17"/>
  <c r="M93" i="17"/>
  <c r="M180" i="17"/>
  <c r="M222" i="17"/>
  <c r="M145" i="17"/>
  <c r="M41" i="17"/>
  <c r="M135" i="17"/>
  <c r="M293" i="17"/>
  <c r="M155" i="17"/>
  <c r="M45" i="17"/>
  <c r="M203" i="17"/>
  <c r="M157" i="17"/>
  <c r="M165" i="17"/>
  <c r="M60" i="17"/>
  <c r="M283" i="17"/>
  <c r="M44" i="17"/>
  <c r="M95" i="17"/>
  <c r="M25" i="17"/>
  <c r="M12" i="17"/>
  <c r="M227" i="17"/>
  <c r="M173" i="17"/>
  <c r="M311" i="17"/>
  <c r="N2" i="16"/>
  <c r="N5" i="16"/>
  <c r="L44" i="1"/>
  <c r="L80" i="1"/>
  <c r="L100" i="1"/>
  <c r="L144" i="1"/>
  <c r="L188" i="1"/>
  <c r="L208" i="1"/>
  <c r="L232" i="1"/>
  <c r="L252" i="1"/>
  <c r="L272" i="1"/>
  <c r="L292" i="1"/>
  <c r="L97" i="1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82" i="1"/>
  <c r="V79" i="1"/>
  <c r="O2" i="18" l="1"/>
  <c r="P175" i="18" s="1"/>
  <c r="O2" i="17"/>
  <c r="P315" i="17" s="1"/>
  <c r="P147" i="17"/>
  <c r="P146" i="17"/>
  <c r="M288" i="16"/>
  <c r="M177" i="16"/>
  <c r="M251" i="16"/>
  <c r="M241" i="16"/>
  <c r="M189" i="16"/>
  <c r="M50" i="16"/>
  <c r="M37" i="16"/>
  <c r="M305" i="16"/>
  <c r="M153" i="16"/>
  <c r="M119" i="16"/>
  <c r="M13" i="16"/>
  <c r="M193" i="16"/>
  <c r="M126" i="16"/>
  <c r="M91" i="16"/>
  <c r="M78" i="16"/>
  <c r="M4" i="16"/>
  <c r="M276" i="16"/>
  <c r="M273" i="16"/>
  <c r="M110" i="16"/>
  <c r="M259" i="16"/>
  <c r="M235" i="16"/>
  <c r="M145" i="16"/>
  <c r="M253" i="16"/>
  <c r="M61" i="16"/>
  <c r="M29" i="16"/>
  <c r="M94" i="16"/>
  <c r="M42" i="16"/>
  <c r="M49" i="16"/>
  <c r="M18" i="16"/>
  <c r="M132" i="16"/>
  <c r="M5" i="16"/>
  <c r="M53" i="16"/>
  <c r="M297" i="16"/>
  <c r="M31" i="16"/>
  <c r="M44" i="16"/>
  <c r="M212" i="16"/>
  <c r="M237" i="16"/>
  <c r="M26" i="16"/>
  <c r="M225" i="16"/>
  <c r="M262" i="16"/>
  <c r="M158" i="16"/>
  <c r="M19" i="16"/>
  <c r="M239" i="16"/>
  <c r="M230" i="16"/>
  <c r="M289" i="16"/>
  <c r="M287" i="16"/>
  <c r="M157" i="16"/>
  <c r="M263" i="16"/>
  <c r="M67" i="16"/>
  <c r="M258" i="16"/>
  <c r="M141" i="16"/>
  <c r="M22" i="16"/>
  <c r="M104" i="16"/>
  <c r="M194" i="16"/>
  <c r="M250" i="16"/>
  <c r="M309" i="16"/>
  <c r="M174" i="16"/>
  <c r="M293" i="16"/>
  <c r="M315" i="16"/>
  <c r="M252" i="16"/>
  <c r="M197" i="16"/>
  <c r="M121" i="16"/>
  <c r="M27" i="16"/>
  <c r="M90" i="16"/>
  <c r="M275" i="16"/>
  <c r="M45" i="16"/>
  <c r="M311" i="16"/>
  <c r="M277" i="16"/>
  <c r="M54" i="16"/>
  <c r="M208" i="16"/>
  <c r="M38" i="16"/>
  <c r="M30" i="16"/>
  <c r="M310" i="16"/>
  <c r="M35" i="16"/>
  <c r="M196" i="16"/>
  <c r="M278" i="16"/>
  <c r="M51" i="16"/>
  <c r="M117" i="16"/>
  <c r="M302" i="16"/>
  <c r="M103" i="16"/>
  <c r="M97" i="16"/>
  <c r="M107" i="16"/>
  <c r="M25" i="16"/>
  <c r="M70" i="16"/>
  <c r="M163" i="16"/>
  <c r="M102" i="16"/>
  <c r="M159" i="16"/>
  <c r="M144" i="16"/>
  <c r="M170" i="16"/>
  <c r="M274" i="16"/>
  <c r="M300" i="16"/>
  <c r="M77" i="16"/>
  <c r="M56" i="16"/>
  <c r="M166" i="16"/>
  <c r="M32" i="16"/>
  <c r="M111" i="16"/>
  <c r="M271" i="16"/>
  <c r="M211" i="16"/>
  <c r="M303" i="16"/>
  <c r="M247" i="16"/>
  <c r="M17" i="16"/>
  <c r="M10" i="16"/>
  <c r="M2" i="16"/>
  <c r="M243" i="16"/>
  <c r="M206" i="16"/>
  <c r="M269" i="16"/>
  <c r="M313" i="16"/>
  <c r="M125" i="16"/>
  <c r="M160" i="16"/>
  <c r="M195" i="16"/>
  <c r="M140" i="16"/>
  <c r="M169" i="16"/>
  <c r="M228" i="16"/>
  <c r="M6" i="16"/>
  <c r="M319" i="16"/>
  <c r="M317" i="16"/>
  <c r="M95" i="16"/>
  <c r="M58" i="16"/>
  <c r="M139" i="16"/>
  <c r="M34" i="16"/>
  <c r="M85" i="16"/>
  <c r="M233" i="16"/>
  <c r="M57" i="16"/>
  <c r="M246" i="16"/>
  <c r="M79" i="16"/>
  <c r="M266" i="16"/>
  <c r="M39" i="16"/>
  <c r="M306" i="16"/>
  <c r="M281" i="16"/>
  <c r="M185" i="16"/>
  <c r="M48" i="16"/>
  <c r="M203" i="16"/>
  <c r="M272" i="16"/>
  <c r="M256" i="16"/>
  <c r="M24" i="16"/>
  <c r="M124" i="16"/>
  <c r="M307" i="16"/>
  <c r="M179" i="16"/>
  <c r="M321" i="16"/>
  <c r="M69" i="16"/>
  <c r="M186" i="16"/>
  <c r="M268" i="16"/>
  <c r="M147" i="16"/>
  <c r="M106" i="16"/>
  <c r="M267" i="16"/>
  <c r="M254" i="16"/>
  <c r="M279" i="16"/>
  <c r="M314" i="16"/>
  <c r="M301" i="16"/>
  <c r="M108" i="16"/>
  <c r="M270" i="16"/>
  <c r="M175" i="16"/>
  <c r="M221" i="16"/>
  <c r="M261" i="16"/>
  <c r="M322" i="16"/>
  <c r="M220" i="16"/>
  <c r="M137" i="16"/>
  <c r="M320" i="16"/>
  <c r="M43" i="16"/>
  <c r="M101" i="16"/>
  <c r="M72" i="16"/>
  <c r="M161" i="16"/>
  <c r="M204" i="16"/>
  <c r="M100" i="16"/>
  <c r="M114" i="16"/>
  <c r="M172" i="16"/>
  <c r="M171" i="16"/>
  <c r="M128" i="16"/>
  <c r="M112" i="16"/>
  <c r="M167" i="16"/>
  <c r="M64" i="16"/>
  <c r="M286" i="16"/>
  <c r="M242" i="16"/>
  <c r="M109" i="16"/>
  <c r="M201" i="16"/>
  <c r="M178" i="16"/>
  <c r="M190" i="16"/>
  <c r="M131" i="16"/>
  <c r="M89" i="16"/>
  <c r="M181" i="16"/>
  <c r="M9" i="16"/>
  <c r="M227" i="16"/>
  <c r="M66" i="16"/>
  <c r="M20" i="16"/>
  <c r="M93" i="16"/>
  <c r="M150" i="16"/>
  <c r="M16" i="16"/>
  <c r="M226" i="16"/>
  <c r="M80" i="16"/>
  <c r="M294" i="16"/>
  <c r="M162" i="16"/>
  <c r="M88" i="16"/>
  <c r="M260" i="16"/>
  <c r="M316" i="16"/>
  <c r="M118" i="16"/>
  <c r="M209" i="16"/>
  <c r="M285" i="16"/>
  <c r="M122" i="16"/>
  <c r="M123" i="16"/>
  <c r="M105" i="16"/>
  <c r="M215" i="16"/>
  <c r="M244" i="16"/>
  <c r="M151" i="16"/>
  <c r="M21" i="16"/>
  <c r="M136" i="16"/>
  <c r="M133" i="16"/>
  <c r="M148" i="16"/>
  <c r="M71" i="16"/>
  <c r="M152" i="16"/>
  <c r="M183" i="16"/>
  <c r="M92" i="16"/>
  <c r="M165" i="16"/>
  <c r="M99" i="16"/>
  <c r="M12" i="16"/>
  <c r="M191" i="16"/>
  <c r="M149" i="16"/>
  <c r="M75" i="16"/>
  <c r="M205" i="16"/>
  <c r="M257" i="16"/>
  <c r="M308" i="16"/>
  <c r="M130" i="16"/>
  <c r="M41" i="16"/>
  <c r="M199" i="16"/>
  <c r="M28" i="16"/>
  <c r="M249" i="16"/>
  <c r="M81" i="16"/>
  <c r="M120" i="16"/>
  <c r="M295" i="16"/>
  <c r="M73" i="16"/>
  <c r="M8" i="16"/>
  <c r="M292" i="16"/>
  <c r="M68" i="16"/>
  <c r="M214" i="16"/>
  <c r="M86" i="16"/>
  <c r="M14" i="16"/>
  <c r="M134" i="16"/>
  <c r="M318" i="16"/>
  <c r="M62" i="16"/>
  <c r="M11" i="16"/>
  <c r="M207" i="16"/>
  <c r="M291" i="16"/>
  <c r="M180" i="16"/>
  <c r="M127" i="16"/>
  <c r="M224" i="16"/>
  <c r="M265" i="16"/>
  <c r="M238" i="16"/>
  <c r="M298" i="16"/>
  <c r="M135" i="16"/>
  <c r="M33" i="16"/>
  <c r="M52" i="16"/>
  <c r="M84" i="16"/>
  <c r="M59" i="16"/>
  <c r="M217" i="16"/>
  <c r="M218" i="16"/>
  <c r="M40" i="16"/>
  <c r="M231" i="16"/>
  <c r="M143" i="16"/>
  <c r="M264" i="16"/>
  <c r="M164" i="16"/>
  <c r="M82" i="16"/>
  <c r="M223" i="16"/>
  <c r="M188" i="16"/>
  <c r="M46" i="16"/>
  <c r="M74" i="16"/>
  <c r="M173" i="16"/>
  <c r="M182" i="16"/>
  <c r="M245" i="16"/>
  <c r="M304" i="16"/>
  <c r="M115" i="16"/>
  <c r="M176" i="16"/>
  <c r="M98" i="16"/>
  <c r="M234" i="16"/>
  <c r="M76" i="16"/>
  <c r="M219" i="16"/>
  <c r="M23" i="16"/>
  <c r="M222" i="16"/>
  <c r="M142" i="16"/>
  <c r="M255" i="16"/>
  <c r="M187" i="16"/>
  <c r="M283" i="16"/>
  <c r="M192" i="16"/>
  <c r="M3" i="16"/>
  <c r="M216" i="16"/>
  <c r="M47" i="16"/>
  <c r="M236" i="16"/>
  <c r="M202" i="16"/>
  <c r="M248" i="16"/>
  <c r="M282" i="16"/>
  <c r="M210" i="16"/>
  <c r="M232" i="16"/>
  <c r="M83" i="16"/>
  <c r="M87" i="16"/>
  <c r="M200" i="16"/>
  <c r="M36" i="16"/>
  <c r="M240" i="16"/>
  <c r="M312" i="16"/>
  <c r="M213" i="16"/>
  <c r="M63" i="16"/>
  <c r="M138" i="16"/>
  <c r="M55" i="16"/>
  <c r="M299" i="16"/>
  <c r="M60" i="16"/>
  <c r="M116" i="16"/>
  <c r="M156" i="16"/>
  <c r="M113" i="16"/>
  <c r="M96" i="16"/>
  <c r="M296" i="16"/>
  <c r="M290" i="16"/>
  <c r="M184" i="16"/>
  <c r="M168" i="16"/>
  <c r="M65" i="16"/>
  <c r="M7" i="16"/>
  <c r="M155" i="16"/>
  <c r="M198" i="16"/>
  <c r="M229" i="16"/>
  <c r="M129" i="16"/>
  <c r="M280" i="16"/>
  <c r="M284" i="16"/>
  <c r="M146" i="16"/>
  <c r="M15" i="16"/>
  <c r="M154" i="16"/>
  <c r="N2" i="1"/>
  <c r="M322" i="1" s="1"/>
  <c r="N5" i="1"/>
  <c r="P97" i="18" l="1"/>
  <c r="P100" i="18"/>
  <c r="P221" i="18"/>
  <c r="P193" i="18"/>
  <c r="P26" i="18"/>
  <c r="P32" i="18"/>
  <c r="P4" i="18"/>
  <c r="P95" i="18"/>
  <c r="P316" i="18"/>
  <c r="P210" i="18"/>
  <c r="P254" i="18"/>
  <c r="P45" i="18"/>
  <c r="P264" i="18"/>
  <c r="P12" i="18"/>
  <c r="P191" i="18"/>
  <c r="P189" i="18"/>
  <c r="P213" i="18"/>
  <c r="P42" i="18"/>
  <c r="P46" i="18"/>
  <c r="P122" i="18"/>
  <c r="P77" i="18"/>
  <c r="P105" i="18"/>
  <c r="P214" i="18"/>
  <c r="P61" i="18"/>
  <c r="P277" i="18"/>
  <c r="P93" i="18"/>
  <c r="P156" i="18"/>
  <c r="P281" i="18"/>
  <c r="P219" i="18"/>
  <c r="P154" i="18"/>
  <c r="P285" i="18"/>
  <c r="P195" i="18"/>
  <c r="P53" i="18"/>
  <c r="P28" i="18"/>
  <c r="P11" i="18"/>
  <c r="P173" i="18"/>
  <c r="P225" i="18"/>
  <c r="P286" i="18"/>
  <c r="P205" i="18"/>
  <c r="P260" i="18"/>
  <c r="P232" i="18"/>
  <c r="P84" i="18"/>
  <c r="P262" i="18"/>
  <c r="P52" i="18"/>
  <c r="P70" i="18"/>
  <c r="P199" i="18"/>
  <c r="P132" i="18"/>
  <c r="P259" i="18"/>
  <c r="P135" i="18"/>
  <c r="P23" i="18"/>
  <c r="P178" i="18"/>
  <c r="P258" i="18"/>
  <c r="P206" i="18"/>
  <c r="P56" i="18"/>
  <c r="P166" i="18"/>
  <c r="P143" i="18"/>
  <c r="P309" i="18"/>
  <c r="P31" i="18"/>
  <c r="P187" i="18"/>
  <c r="P163" i="18"/>
  <c r="P226" i="18"/>
  <c r="P164" i="18"/>
  <c r="P18" i="18"/>
  <c r="P290" i="18"/>
  <c r="P114" i="18"/>
  <c r="P91" i="18"/>
  <c r="P136" i="18"/>
  <c r="P158" i="18"/>
  <c r="P108" i="18"/>
  <c r="P34" i="18"/>
  <c r="P177" i="18"/>
  <c r="P318" i="18"/>
  <c r="P37" i="18"/>
  <c r="P64" i="18"/>
  <c r="P266" i="18"/>
  <c r="P65" i="18"/>
  <c r="P305" i="18"/>
  <c r="P43" i="18"/>
  <c r="P126" i="18"/>
  <c r="P102" i="18"/>
  <c r="P19" i="18"/>
  <c r="P275" i="18"/>
  <c r="P89" i="18"/>
  <c r="P239" i="18"/>
  <c r="P144" i="18"/>
  <c r="P160" i="18"/>
  <c r="P94" i="18"/>
  <c r="P9" i="18"/>
  <c r="P153" i="18"/>
  <c r="P82" i="18"/>
  <c r="P297" i="18"/>
  <c r="P242" i="18"/>
  <c r="P235" i="18"/>
  <c r="P141" i="18"/>
  <c r="P274" i="18"/>
  <c r="P299" i="18"/>
  <c r="P88" i="18"/>
  <c r="P152" i="18"/>
  <c r="P217" i="18"/>
  <c r="P49" i="18"/>
  <c r="P268" i="18"/>
  <c r="P151" i="18"/>
  <c r="P118" i="18"/>
  <c r="P83" i="18"/>
  <c r="P107" i="18"/>
  <c r="P13" i="18"/>
  <c r="P301" i="18"/>
  <c r="P90" i="18"/>
  <c r="P8" i="18"/>
  <c r="P246" i="18"/>
  <c r="P257" i="18"/>
  <c r="P7" i="18"/>
  <c r="P170" i="18"/>
  <c r="P167" i="18"/>
  <c r="P302" i="18"/>
  <c r="P208" i="18"/>
  <c r="P171" i="18"/>
  <c r="P288" i="18"/>
  <c r="P203" i="18"/>
  <c r="P218" i="18"/>
  <c r="P161" i="18"/>
  <c r="P270" i="18"/>
  <c r="P139" i="18"/>
  <c r="P150" i="18"/>
  <c r="P78" i="18"/>
  <c r="P223" i="18"/>
  <c r="P60" i="18"/>
  <c r="P255" i="18"/>
  <c r="P24" i="18"/>
  <c r="P74" i="18"/>
  <c r="P183" i="18"/>
  <c r="P40" i="18"/>
  <c r="P172" i="18"/>
  <c r="P155" i="18"/>
  <c r="P63" i="18"/>
  <c r="P50" i="18"/>
  <c r="P124" i="18"/>
  <c r="P192" i="18"/>
  <c r="P229" i="18"/>
  <c r="P80" i="18"/>
  <c r="P111" i="18"/>
  <c r="P2" i="18"/>
  <c r="P44" i="18"/>
  <c r="P304" i="18"/>
  <c r="P209" i="18"/>
  <c r="P85" i="18"/>
  <c r="P298" i="18"/>
  <c r="P247" i="18"/>
  <c r="P71" i="18"/>
  <c r="P212" i="18"/>
  <c r="P201" i="18"/>
  <c r="P215" i="18"/>
  <c r="P119" i="18"/>
  <c r="P120" i="18"/>
  <c r="P244" i="18"/>
  <c r="P159" i="18"/>
  <c r="P67" i="18"/>
  <c r="P261" i="18"/>
  <c r="P106" i="18"/>
  <c r="P238" i="18"/>
  <c r="P174" i="18"/>
  <c r="P296" i="18"/>
  <c r="P20" i="18"/>
  <c r="P35" i="18"/>
  <c r="P282" i="18"/>
  <c r="P54" i="18"/>
  <c r="P41" i="18"/>
  <c r="P157" i="18"/>
  <c r="P55" i="18"/>
  <c r="P240" i="18"/>
  <c r="P66" i="18"/>
  <c r="P280" i="18"/>
  <c r="P3" i="18"/>
  <c r="P15" i="18"/>
  <c r="P227" i="18"/>
  <c r="P148" i="18"/>
  <c r="P291" i="18"/>
  <c r="P278" i="18"/>
  <c r="P115" i="18"/>
  <c r="P313" i="18"/>
  <c r="P293" i="18"/>
  <c r="P149" i="18"/>
  <c r="P300" i="18"/>
  <c r="P21" i="18"/>
  <c r="P182" i="18"/>
  <c r="P188" i="18"/>
  <c r="P109" i="18"/>
  <c r="P176" i="18"/>
  <c r="P179" i="18"/>
  <c r="P103" i="18"/>
  <c r="P269" i="18"/>
  <c r="P314" i="18"/>
  <c r="P33" i="18"/>
  <c r="P196" i="18"/>
  <c r="P29" i="18"/>
  <c r="P142" i="18"/>
  <c r="P185" i="18"/>
  <c r="P137" i="18"/>
  <c r="P308" i="18"/>
  <c r="P133" i="18"/>
  <c r="P311" i="18"/>
  <c r="P265" i="18"/>
  <c r="P310" i="18"/>
  <c r="P237" i="18"/>
  <c r="P204" i="18"/>
  <c r="P283" i="18"/>
  <c r="P86" i="18"/>
  <c r="P58" i="18"/>
  <c r="P138" i="18"/>
  <c r="P123" i="18"/>
  <c r="P256" i="18"/>
  <c r="P145" i="18"/>
  <c r="P315" i="18"/>
  <c r="P16" i="18"/>
  <c r="P110" i="18"/>
  <c r="P140" i="18"/>
  <c r="P224" i="18"/>
  <c r="P234" i="18"/>
  <c r="P180" i="18"/>
  <c r="P22" i="18"/>
  <c r="P38" i="18"/>
  <c r="P252" i="18"/>
  <c r="P6" i="18"/>
  <c r="P248" i="18"/>
  <c r="P250" i="18"/>
  <c r="P117" i="18"/>
  <c r="P81" i="18"/>
  <c r="P190" i="18"/>
  <c r="P116" i="18"/>
  <c r="P14" i="18"/>
  <c r="P92" i="18"/>
  <c r="P276" i="18"/>
  <c r="P125" i="18"/>
  <c r="P207" i="18"/>
  <c r="P321" i="18"/>
  <c r="P72" i="18"/>
  <c r="P251" i="18"/>
  <c r="P197" i="18"/>
  <c r="P99" i="18"/>
  <c r="P236" i="18"/>
  <c r="P68" i="18"/>
  <c r="P198" i="18"/>
  <c r="P279" i="18"/>
  <c r="P98" i="18"/>
  <c r="P169" i="18"/>
  <c r="P284" i="18"/>
  <c r="P303" i="18"/>
  <c r="P233" i="18"/>
  <c r="P287" i="18"/>
  <c r="P76" i="18"/>
  <c r="P69" i="18"/>
  <c r="P292" i="18"/>
  <c r="P228" i="18"/>
  <c r="P57" i="18"/>
  <c r="P319" i="18"/>
  <c r="P294" i="18"/>
  <c r="P241" i="18"/>
  <c r="P306" i="18"/>
  <c r="P121" i="18"/>
  <c r="P272" i="18"/>
  <c r="P75" i="18"/>
  <c r="P186" i="18"/>
  <c r="P202" i="18"/>
  <c r="P113" i="18"/>
  <c r="P87" i="18"/>
  <c r="P273" i="18"/>
  <c r="P129" i="18"/>
  <c r="P253" i="18"/>
  <c r="P216" i="18"/>
  <c r="P134" i="18"/>
  <c r="P127" i="18"/>
  <c r="P168" i="18"/>
  <c r="P48" i="18"/>
  <c r="P162" i="18"/>
  <c r="P27" i="18"/>
  <c r="P73" i="18"/>
  <c r="P131" i="18"/>
  <c r="P271" i="18"/>
  <c r="P112" i="18"/>
  <c r="P249" i="18"/>
  <c r="P263" i="18"/>
  <c r="P317" i="18"/>
  <c r="P59" i="18"/>
  <c r="P222" i="18"/>
  <c r="P17" i="18"/>
  <c r="P25" i="18"/>
  <c r="P231" i="18"/>
  <c r="P128" i="18"/>
  <c r="P320" i="18"/>
  <c r="P147" i="18"/>
  <c r="P322" i="18"/>
  <c r="P96" i="18"/>
  <c r="P220" i="18"/>
  <c r="P5" i="18"/>
  <c r="P181" i="18"/>
  <c r="P10" i="18"/>
  <c r="P194" i="18"/>
  <c r="P245" i="18"/>
  <c r="P184" i="18"/>
  <c r="P165" i="18"/>
  <c r="P47" i="18"/>
  <c r="P51" i="18"/>
  <c r="P243" i="18"/>
  <c r="P200" i="18"/>
  <c r="P79" i="18"/>
  <c r="P267" i="18"/>
  <c r="P30" i="18"/>
  <c r="P230" i="18"/>
  <c r="P307" i="18"/>
  <c r="P101" i="18"/>
  <c r="P295" i="18"/>
  <c r="P146" i="18"/>
  <c r="P39" i="18"/>
  <c r="P289" i="18"/>
  <c r="P62" i="18"/>
  <c r="P104" i="18"/>
  <c r="P36" i="18"/>
  <c r="P312" i="18"/>
  <c r="P130" i="18"/>
  <c r="P211" i="18"/>
  <c r="P199" i="17"/>
  <c r="P70" i="17"/>
  <c r="P249" i="17"/>
  <c r="P2" i="17"/>
  <c r="P150" i="17"/>
  <c r="P294" i="17"/>
  <c r="P301" i="17"/>
  <c r="P229" i="17"/>
  <c r="P25" i="17"/>
  <c r="P204" i="17"/>
  <c r="P16" i="17"/>
  <c r="P85" i="17"/>
  <c r="P125" i="17"/>
  <c r="P29" i="17"/>
  <c r="P205" i="17"/>
  <c r="P140" i="17"/>
  <c r="P137" i="17"/>
  <c r="P210" i="17"/>
  <c r="P171" i="17"/>
  <c r="P79" i="17"/>
  <c r="P313" i="17"/>
  <c r="P18" i="17"/>
  <c r="P207" i="17"/>
  <c r="P186" i="17"/>
  <c r="P267" i="17"/>
  <c r="P154" i="17"/>
  <c r="P110" i="17"/>
  <c r="P19" i="17"/>
  <c r="P43" i="17"/>
  <c r="P11" i="17"/>
  <c r="P291" i="17"/>
  <c r="P20" i="17"/>
  <c r="P44" i="17"/>
  <c r="P177" i="17"/>
  <c r="P241" i="17"/>
  <c r="P169" i="17"/>
  <c r="P42" i="17"/>
  <c r="P119" i="17"/>
  <c r="P7" i="17"/>
  <c r="P84" i="17"/>
  <c r="P132" i="17"/>
  <c r="P149" i="17"/>
  <c r="P316" i="17"/>
  <c r="P176" i="17"/>
  <c r="P218" i="17"/>
  <c r="P82" i="17"/>
  <c r="P4" i="17"/>
  <c r="P200" i="17"/>
  <c r="P158" i="17"/>
  <c r="P258" i="17"/>
  <c r="P76" i="17"/>
  <c r="P41" i="17"/>
  <c r="P148" i="17"/>
  <c r="P259" i="17"/>
  <c r="P261" i="17"/>
  <c r="P233" i="17"/>
  <c r="P127" i="17"/>
  <c r="P6" i="17"/>
  <c r="P122" i="17"/>
  <c r="P67" i="17"/>
  <c r="P135" i="17"/>
  <c r="P95" i="17"/>
  <c r="P116" i="17"/>
  <c r="P47" i="17"/>
  <c r="P239" i="17"/>
  <c r="P276" i="17"/>
  <c r="P275" i="17"/>
  <c r="P183" i="17"/>
  <c r="P312" i="17"/>
  <c r="P15" i="17"/>
  <c r="P134" i="17"/>
  <c r="P56" i="17"/>
  <c r="P65" i="17"/>
  <c r="P230" i="17"/>
  <c r="P297" i="17"/>
  <c r="P120" i="17"/>
  <c r="P115" i="17"/>
  <c r="P87" i="17"/>
  <c r="P244" i="17"/>
  <c r="P112" i="17"/>
  <c r="P124" i="17"/>
  <c r="P139" i="17"/>
  <c r="P60" i="17"/>
  <c r="P234" i="17"/>
  <c r="P308" i="17"/>
  <c r="P195" i="17"/>
  <c r="P283" i="17"/>
  <c r="P198" i="17"/>
  <c r="P155" i="17"/>
  <c r="P103" i="17"/>
  <c r="P168" i="17"/>
  <c r="P61" i="17"/>
  <c r="P26" i="17"/>
  <c r="P279" i="17"/>
  <c r="P72" i="17"/>
  <c r="P299" i="17"/>
  <c r="P37" i="17"/>
  <c r="P298" i="17"/>
  <c r="P242" i="17"/>
  <c r="P188" i="17"/>
  <c r="P189" i="17"/>
  <c r="P269" i="17"/>
  <c r="P175" i="17"/>
  <c r="P295" i="17"/>
  <c r="P226" i="17"/>
  <c r="P180" i="17"/>
  <c r="P21" i="17"/>
  <c r="P117" i="17"/>
  <c r="P109" i="17"/>
  <c r="P123" i="17"/>
  <c r="P101" i="17"/>
  <c r="P248" i="17"/>
  <c r="P71" i="17"/>
  <c r="P292" i="17"/>
  <c r="P311" i="17"/>
  <c r="P194" i="17"/>
  <c r="P322" i="17"/>
  <c r="P305" i="17"/>
  <c r="P126" i="17"/>
  <c r="P39" i="17"/>
  <c r="P89" i="17"/>
  <c r="P142" i="17"/>
  <c r="P32" i="17"/>
  <c r="P263" i="17"/>
  <c r="P93" i="17"/>
  <c r="P245" i="17"/>
  <c r="P319" i="17"/>
  <c r="P271" i="17"/>
  <c r="P227" i="17"/>
  <c r="P97" i="17"/>
  <c r="P179" i="17"/>
  <c r="P88" i="17"/>
  <c r="P270" i="17"/>
  <c r="P262" i="17"/>
  <c r="P98" i="17"/>
  <c r="P302" i="17"/>
  <c r="P27" i="17"/>
  <c r="P153" i="17"/>
  <c r="P287" i="17"/>
  <c r="P69" i="17"/>
  <c r="P83" i="17"/>
  <c r="P157" i="17"/>
  <c r="P273" i="17"/>
  <c r="P228" i="17"/>
  <c r="P253" i="17"/>
  <c r="P23" i="17"/>
  <c r="P243" i="17"/>
  <c r="P64" i="17"/>
  <c r="P187" i="17"/>
  <c r="P260" i="17"/>
  <c r="P5" i="17"/>
  <c r="P75" i="17"/>
  <c r="P185" i="17"/>
  <c r="P50" i="17"/>
  <c r="P162" i="17"/>
  <c r="P310" i="17"/>
  <c r="P121" i="17"/>
  <c r="P236" i="17"/>
  <c r="P288" i="17"/>
  <c r="P51" i="17"/>
  <c r="P108" i="17"/>
  <c r="P166" i="17"/>
  <c r="P80" i="17"/>
  <c r="P9" i="17"/>
  <c r="P208" i="17"/>
  <c r="P165" i="17"/>
  <c r="P293" i="17"/>
  <c r="P216" i="17"/>
  <c r="P289" i="17"/>
  <c r="P3" i="17"/>
  <c r="P217" i="17"/>
  <c r="P145" i="17"/>
  <c r="P238" i="17"/>
  <c r="P254" i="17"/>
  <c r="P304" i="17"/>
  <c r="P10" i="17"/>
  <c r="P318" i="17"/>
  <c r="P272" i="17"/>
  <c r="P99" i="17"/>
  <c r="P57" i="17"/>
  <c r="P222" i="17"/>
  <c r="P197" i="17"/>
  <c r="P46" i="17"/>
  <c r="P209" i="17"/>
  <c r="P141" i="17"/>
  <c r="P221" i="17"/>
  <c r="P45" i="17"/>
  <c r="P215" i="17"/>
  <c r="P203" i="17"/>
  <c r="P8" i="17"/>
  <c r="P96" i="17"/>
  <c r="P277" i="17"/>
  <c r="P202" i="17"/>
  <c r="P133" i="17"/>
  <c r="P138" i="17"/>
  <c r="P13" i="17"/>
  <c r="P40" i="17"/>
  <c r="P307" i="17"/>
  <c r="P144" i="17"/>
  <c r="P237" i="17"/>
  <c r="P143" i="17"/>
  <c r="P14" i="17"/>
  <c r="P281" i="17"/>
  <c r="P192" i="17"/>
  <c r="P317" i="17"/>
  <c r="P136" i="17"/>
  <c r="P111" i="17"/>
  <c r="P224" i="17"/>
  <c r="P314" i="17"/>
  <c r="P235" i="17"/>
  <c r="P306" i="17"/>
  <c r="P174" i="17"/>
  <c r="P212" i="17"/>
  <c r="P286" i="17"/>
  <c r="P213" i="17"/>
  <c r="P268" i="17"/>
  <c r="P54" i="17"/>
  <c r="P36" i="17"/>
  <c r="P59" i="17"/>
  <c r="P184" i="17"/>
  <c r="P280" i="17"/>
  <c r="P73" i="17"/>
  <c r="P220" i="17"/>
  <c r="P250" i="17"/>
  <c r="P102" i="17"/>
  <c r="P300" i="17"/>
  <c r="P107" i="17"/>
  <c r="P68" i="17"/>
  <c r="P264" i="17"/>
  <c r="P94" i="17"/>
  <c r="P167" i="17"/>
  <c r="P22" i="17"/>
  <c r="P156" i="17"/>
  <c r="P274" i="17"/>
  <c r="P58" i="17"/>
  <c r="P104" i="17"/>
  <c r="P35" i="17"/>
  <c r="P33" i="17"/>
  <c r="P284" i="17"/>
  <c r="P303" i="17"/>
  <c r="P63" i="17"/>
  <c r="P38" i="17"/>
  <c r="P81" i="17"/>
  <c r="P48" i="17"/>
  <c r="P31" i="17"/>
  <c r="P181" i="17"/>
  <c r="P159" i="17"/>
  <c r="P231" i="17"/>
  <c r="P182" i="17"/>
  <c r="P151" i="17"/>
  <c r="P320" i="17"/>
  <c r="P196" i="17"/>
  <c r="P17" i="17"/>
  <c r="P178" i="17"/>
  <c r="P170" i="17"/>
  <c r="P164" i="17"/>
  <c r="P232" i="17"/>
  <c r="P100" i="17"/>
  <c r="P173" i="17"/>
  <c r="P206" i="17"/>
  <c r="P285" i="17"/>
  <c r="P296" i="17"/>
  <c r="P211" i="17"/>
  <c r="P105" i="17"/>
  <c r="P49" i="17"/>
  <c r="P257" i="17"/>
  <c r="P161" i="17"/>
  <c r="P90" i="17"/>
  <c r="P34" i="17"/>
  <c r="P193" i="17"/>
  <c r="P290" i="17"/>
  <c r="P92" i="17"/>
  <c r="P190" i="17"/>
  <c r="P152" i="17"/>
  <c r="P66" i="17"/>
  <c r="P160" i="17"/>
  <c r="P55" i="17"/>
  <c r="P255" i="17"/>
  <c r="P91" i="17"/>
  <c r="P225" i="17"/>
  <c r="P106" i="17"/>
  <c r="P24" i="17"/>
  <c r="P28" i="17"/>
  <c r="P240" i="17"/>
  <c r="P246" i="17"/>
  <c r="P130" i="17"/>
  <c r="P53" i="17"/>
  <c r="P86" i="17"/>
  <c r="P282" i="17"/>
  <c r="P12" i="17"/>
  <c r="P113" i="17"/>
  <c r="P30" i="17"/>
  <c r="P77" i="17"/>
  <c r="P52" i="17"/>
  <c r="P214" i="17"/>
  <c r="P62" i="17"/>
  <c r="P251" i="17"/>
  <c r="P266" i="17"/>
  <c r="P278" i="17"/>
  <c r="P172" i="17"/>
  <c r="P223" i="17"/>
  <c r="P131" i="17"/>
  <c r="P265" i="17"/>
  <c r="P256" i="17"/>
  <c r="P201" i="17"/>
  <c r="P247" i="17"/>
  <c r="P191" i="17"/>
  <c r="P309" i="17"/>
  <c r="P78" i="17"/>
  <c r="P118" i="17"/>
  <c r="P252" i="17"/>
  <c r="P163" i="17"/>
  <c r="P129" i="17"/>
  <c r="P219" i="17"/>
  <c r="P114" i="17"/>
  <c r="P74" i="17"/>
  <c r="P321" i="17"/>
  <c r="P128" i="17"/>
  <c r="O2" i="16"/>
  <c r="P7" i="16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67" i="16" l="1"/>
  <c r="P31" i="16"/>
  <c r="P39" i="16"/>
  <c r="P247" i="16"/>
  <c r="P318" i="16"/>
  <c r="P193" i="16"/>
  <c r="P242" i="16"/>
  <c r="P152" i="16"/>
  <c r="P211" i="16"/>
  <c r="P103" i="16"/>
  <c r="P227" i="16"/>
  <c r="P299" i="16"/>
  <c r="P161" i="16"/>
  <c r="P195" i="16"/>
  <c r="P282" i="16"/>
  <c r="P122" i="16"/>
  <c r="P105" i="16"/>
  <c r="P251" i="16"/>
  <c r="P287" i="16"/>
  <c r="P77" i="16"/>
  <c r="P311" i="16"/>
  <c r="P222" i="16"/>
  <c r="P78" i="16"/>
  <c r="P286" i="16"/>
  <c r="P118" i="16"/>
  <c r="P289" i="16"/>
  <c r="P147" i="16"/>
  <c r="P97" i="16"/>
  <c r="P76" i="16"/>
  <c r="P159" i="16"/>
  <c r="P81" i="16"/>
  <c r="P4" i="16"/>
  <c r="P232" i="16"/>
  <c r="P48" i="16"/>
  <c r="P276" i="16"/>
  <c r="P240" i="16"/>
  <c r="P133" i="16"/>
  <c r="P164" i="16"/>
  <c r="P160" i="16"/>
  <c r="P144" i="16"/>
  <c r="P196" i="16"/>
  <c r="P259" i="16"/>
  <c r="P41" i="16"/>
  <c r="P104" i="16"/>
  <c r="P9" i="16"/>
  <c r="P184" i="16"/>
  <c r="P34" i="16"/>
  <c r="P271" i="16"/>
  <c r="P210" i="16"/>
  <c r="P129" i="16"/>
  <c r="P74" i="16"/>
  <c r="P6" i="16"/>
  <c r="P96" i="16"/>
  <c r="P162" i="16"/>
  <c r="P92" i="16"/>
  <c r="P148" i="16"/>
  <c r="P158" i="16"/>
  <c r="P206" i="16"/>
  <c r="P112" i="16"/>
  <c r="P214" i="16"/>
  <c r="P213" i="16"/>
  <c r="P100" i="16"/>
  <c r="P294" i="16"/>
  <c r="P24" i="16"/>
  <c r="P262" i="16"/>
  <c r="P312" i="16"/>
  <c r="P293" i="16"/>
  <c r="P233" i="16"/>
  <c r="P150" i="16"/>
  <c r="P52" i="16"/>
  <c r="P198" i="16"/>
  <c r="P224" i="16"/>
  <c r="P176" i="16"/>
  <c r="P199" i="16"/>
  <c r="P178" i="16"/>
  <c r="P42" i="16"/>
  <c r="P300" i="16"/>
  <c r="P322" i="16"/>
  <c r="P257" i="16"/>
  <c r="P216" i="16"/>
  <c r="P212" i="16"/>
  <c r="P181" i="16"/>
  <c r="P202" i="16"/>
  <c r="P66" i="16"/>
  <c r="P306" i="16"/>
  <c r="P189" i="16"/>
  <c r="P54" i="16"/>
  <c r="P272" i="16"/>
  <c r="P285" i="16"/>
  <c r="P223" i="16"/>
  <c r="P50" i="16"/>
  <c r="P208" i="16"/>
  <c r="P256" i="16"/>
  <c r="P36" i="16"/>
  <c r="P11" i="16"/>
  <c r="P20" i="16"/>
  <c r="P221" i="16"/>
  <c r="P317" i="16"/>
  <c r="P146" i="16"/>
  <c r="P269" i="16"/>
  <c r="P63" i="16"/>
  <c r="P13" i="16"/>
  <c r="P151" i="16"/>
  <c r="P139" i="16"/>
  <c r="P201" i="16"/>
  <c r="P297" i="16"/>
  <c r="P72" i="16"/>
  <c r="P249" i="16"/>
  <c r="P69" i="16"/>
  <c r="P2" i="16"/>
  <c r="P53" i="16"/>
  <c r="P258" i="16"/>
  <c r="P131" i="16"/>
  <c r="P180" i="16"/>
  <c r="P308" i="16"/>
  <c r="P62" i="16"/>
  <c r="P106" i="16"/>
  <c r="P110" i="16"/>
  <c r="P25" i="16"/>
  <c r="P279" i="16"/>
  <c r="P23" i="16"/>
  <c r="P49" i="16"/>
  <c r="P220" i="16"/>
  <c r="P218" i="16"/>
  <c r="P270" i="16"/>
  <c r="P111" i="16"/>
  <c r="P241" i="16"/>
  <c r="P197" i="16"/>
  <c r="P79" i="16"/>
  <c r="P80" i="16"/>
  <c r="P217" i="16"/>
  <c r="P280" i="16"/>
  <c r="P121" i="16"/>
  <c r="P266" i="16"/>
  <c r="P188" i="16"/>
  <c r="P175" i="16"/>
  <c r="P67" i="16"/>
  <c r="P228" i="16"/>
  <c r="P190" i="16"/>
  <c r="P291" i="16"/>
  <c r="P113" i="16"/>
  <c r="P226" i="16"/>
  <c r="P12" i="16"/>
  <c r="P171" i="16"/>
  <c r="P30" i="16"/>
  <c r="P177" i="16"/>
  <c r="P45" i="16"/>
  <c r="P185" i="16"/>
  <c r="P316" i="16"/>
  <c r="P264" i="16"/>
  <c r="P252" i="16"/>
  <c r="P82" i="16"/>
  <c r="P60" i="16"/>
  <c r="P40" i="16"/>
  <c r="P71" i="16"/>
  <c r="P44" i="16"/>
  <c r="P303" i="16"/>
  <c r="P204" i="16"/>
  <c r="P120" i="16"/>
  <c r="P83" i="16"/>
  <c r="P230" i="16"/>
  <c r="P21" i="16"/>
  <c r="P284" i="16"/>
  <c r="P191" i="16"/>
  <c r="P101" i="16"/>
  <c r="P126" i="16"/>
  <c r="P51" i="16"/>
  <c r="P186" i="16"/>
  <c r="P136" i="16"/>
  <c r="P115" i="16"/>
  <c r="P91" i="16"/>
  <c r="P117" i="16"/>
  <c r="P268" i="16"/>
  <c r="P37" i="16"/>
  <c r="P98" i="16"/>
  <c r="P149" i="16"/>
  <c r="P170" i="16"/>
  <c r="P192" i="16"/>
  <c r="P38" i="16"/>
  <c r="P19" i="16"/>
  <c r="P86" i="16"/>
  <c r="P169" i="16"/>
  <c r="P245" i="16"/>
  <c r="P15" i="16"/>
  <c r="P8" i="16"/>
  <c r="P174" i="16"/>
  <c r="P93" i="16"/>
  <c r="P155" i="16"/>
  <c r="P165" i="16"/>
  <c r="P123" i="16"/>
  <c r="P119" i="16"/>
  <c r="P179" i="16"/>
  <c r="P182" i="16"/>
  <c r="P47" i="16"/>
  <c r="P253" i="16"/>
  <c r="P248" i="16"/>
  <c r="P239" i="16"/>
  <c r="P313" i="16"/>
  <c r="P64" i="16"/>
  <c r="P138" i="16"/>
  <c r="P22" i="16"/>
  <c r="P134" i="16"/>
  <c r="P5" i="16"/>
  <c r="P298" i="16"/>
  <c r="P88" i="16"/>
  <c r="P235" i="16"/>
  <c r="P163" i="16"/>
  <c r="P301" i="16"/>
  <c r="P99" i="16"/>
  <c r="P142" i="16"/>
  <c r="P145" i="16"/>
  <c r="P102" i="16"/>
  <c r="P108" i="16"/>
  <c r="P157" i="16"/>
  <c r="P135" i="16"/>
  <c r="P288" i="16"/>
  <c r="P275" i="16"/>
  <c r="P281" i="16"/>
  <c r="P260" i="16"/>
  <c r="P143" i="16"/>
  <c r="P154" i="16"/>
  <c r="P295" i="16"/>
  <c r="P255" i="16"/>
  <c r="P292" i="16"/>
  <c r="P124" i="16"/>
  <c r="P273" i="16"/>
  <c r="P107" i="16"/>
  <c r="P254" i="16"/>
  <c r="P183" i="16"/>
  <c r="P219" i="16"/>
  <c r="P203" i="16"/>
  <c r="P290" i="16"/>
  <c r="P250" i="16"/>
  <c r="P305" i="16"/>
  <c r="P234" i="16"/>
  <c r="P141" i="16"/>
  <c r="P319" i="16"/>
  <c r="P89" i="16"/>
  <c r="P127" i="16"/>
  <c r="P296" i="16"/>
  <c r="P277" i="16"/>
  <c r="P304" i="16"/>
  <c r="P225" i="16"/>
  <c r="P187" i="16"/>
  <c r="P28" i="16"/>
  <c r="P18" i="16"/>
  <c r="P56" i="16"/>
  <c r="P137" i="16"/>
  <c r="P130" i="16"/>
  <c r="P236" i="16"/>
  <c r="P132" i="16"/>
  <c r="P166" i="16"/>
  <c r="P320" i="16"/>
  <c r="P302" i="16"/>
  <c r="P61" i="16"/>
  <c r="P283" i="16"/>
  <c r="P29" i="16"/>
  <c r="P75" i="16"/>
  <c r="P55" i="16"/>
  <c r="P68" i="16"/>
  <c r="P167" i="16"/>
  <c r="P209" i="16"/>
  <c r="P43" i="16"/>
  <c r="P321" i="16"/>
  <c r="P246" i="16"/>
  <c r="P90" i="16"/>
  <c r="P95" i="16"/>
  <c r="P265" i="16"/>
  <c r="P194" i="16"/>
  <c r="P58" i="16"/>
  <c r="P85" i="16"/>
  <c r="P33" i="16"/>
  <c r="P238" i="16"/>
  <c r="P243" i="16"/>
  <c r="P35" i="16"/>
  <c r="P244" i="16"/>
  <c r="P125" i="16"/>
  <c r="P207" i="16"/>
  <c r="P14" i="16"/>
  <c r="P116" i="16"/>
  <c r="P153" i="16"/>
  <c r="P310" i="16"/>
  <c r="P307" i="16"/>
  <c r="P215" i="16"/>
  <c r="P173" i="16"/>
  <c r="P278" i="16"/>
  <c r="P59" i="16"/>
  <c r="P168" i="16"/>
  <c r="P46" i="16"/>
  <c r="P128" i="16"/>
  <c r="P94" i="16"/>
  <c r="P274" i="16"/>
  <c r="P261" i="16"/>
  <c r="P205" i="16"/>
  <c r="P3" i="16"/>
  <c r="P314" i="16"/>
  <c r="P172" i="16"/>
  <c r="P32" i="16"/>
  <c r="P263" i="16"/>
  <c r="P156" i="16"/>
  <c r="P315" i="16"/>
  <c r="P57" i="16"/>
  <c r="P16" i="16"/>
  <c r="P84" i="16"/>
  <c r="P229" i="16"/>
  <c r="P70" i="16"/>
  <c r="P87" i="16"/>
  <c r="P27" i="16"/>
  <c r="P65" i="16"/>
  <c r="P231" i="16"/>
  <c r="P237" i="16"/>
  <c r="P17" i="16"/>
  <c r="P114" i="16"/>
  <c r="P73" i="16"/>
  <c r="P200" i="16"/>
  <c r="P26" i="16"/>
  <c r="P10" i="16"/>
  <c r="P109" i="16"/>
  <c r="P140" i="16"/>
  <c r="P309" i="16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<sst xmlns="http://schemas.openxmlformats.org/spreadsheetml/2006/main" count="84" uniqueCount="19">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</sst>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'240821E013'!$A$2:$A$321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'240821E013'!$J$2:$J$321</c:f>
              <c:numCache>
                <c:formatCode>0.0</c:formatCode>
                <c:ptCount val="320"/>
                <c:pt idx="0">
                  <c:v>725.38642659279003</c:v>
                </c:pt>
                <c:pt idx="1">
                  <c:v>740.12811634348998</c:v>
                </c:pt>
                <c:pt idx="2">
                  <c:v>746.39750692521</c:v>
                </c:pt>
                <c:pt idx="3">
                  <c:v>748.19182825484006</c:v>
                </c:pt>
                <c:pt idx="4">
                  <c:v>745.02770083101996</c:v>
                </c:pt>
                <c:pt idx="5">
                  <c:v>749.20693624242995</c:v>
                </c:pt>
                <c:pt idx="6">
                  <c:v>738.34552601138</c:v>
                </c:pt>
                <c:pt idx="7">
                  <c:v>734.96669382433993</c:v>
                </c:pt>
                <c:pt idx="8">
                  <c:v>727.92825484764001</c:v>
                </c:pt>
                <c:pt idx="9">
                  <c:v>706.00059667015</c:v>
                </c:pt>
                <c:pt idx="10">
                  <c:v>692.43383431260997</c:v>
                </c:pt>
                <c:pt idx="11">
                  <c:v>694.85616894630994</c:v>
                </c:pt>
                <c:pt idx="12">
                  <c:v>691.92551399899003</c:v>
                </c:pt>
                <c:pt idx="13">
                  <c:v>685.23974158671001</c:v>
                </c:pt>
                <c:pt idx="14">
                  <c:v>711.21669849124009</c:v>
                </c:pt>
                <c:pt idx="15">
                  <c:v>719.47117826502995</c:v>
                </c:pt>
                <c:pt idx="16">
                  <c:v>714.04653528302003</c:v>
                </c:pt>
                <c:pt idx="17">
                  <c:v>711.10041359146999</c:v>
                </c:pt>
                <c:pt idx="18">
                  <c:v>687.50733630192008</c:v>
                </c:pt>
                <c:pt idx="19">
                  <c:v>690.4549582950799</c:v>
                </c:pt>
                <c:pt idx="20">
                  <c:v>694.13169420741008</c:v>
                </c:pt>
                <c:pt idx="21">
                  <c:v>689.15768918976005</c:v>
                </c:pt>
                <c:pt idx="22">
                  <c:v>691.39942312347</c:v>
                </c:pt>
                <c:pt idx="23">
                  <c:v>686.88793169690007</c:v>
                </c:pt>
                <c:pt idx="24">
                  <c:v>691.26072302626994</c:v>
                </c:pt>
                <c:pt idx="25">
                  <c:v>693.41317364694999</c:v>
                </c:pt>
                <c:pt idx="26">
                  <c:v>694.08309576957004</c:v>
                </c:pt>
                <c:pt idx="27">
                  <c:v>700.03425240412992</c:v>
                </c:pt>
                <c:pt idx="28">
                  <c:v>709.77610159789003</c:v>
                </c:pt>
                <c:pt idx="29">
                  <c:v>695.22157303069002</c:v>
                </c:pt>
                <c:pt idx="30">
                  <c:v>700.64387239176995</c:v>
                </c:pt>
                <c:pt idx="31">
                  <c:v>688.93011303167998</c:v>
                </c:pt>
                <c:pt idx="32">
                  <c:v>703.66096161456994</c:v>
                </c:pt>
                <c:pt idx="33">
                  <c:v>681.61245346375995</c:v>
                </c:pt>
                <c:pt idx="34">
                  <c:v>675.09023997142003</c:v>
                </c:pt>
                <c:pt idx="35">
                  <c:v>699.33195661612001</c:v>
                </c:pt>
                <c:pt idx="36">
                  <c:v>705.16490446863008</c:v>
                </c:pt>
                <c:pt idx="37">
                  <c:v>704.12718081612002</c:v>
                </c:pt>
                <c:pt idx="38">
                  <c:v>696.09954049661997</c:v>
                </c:pt>
                <c:pt idx="39">
                  <c:v>697.55003438591007</c:v>
                </c:pt>
                <c:pt idx="40">
                  <c:v>698.48699194333005</c:v>
                </c:pt>
                <c:pt idx="41">
                  <c:v>699.18539194178993</c:v>
                </c:pt>
                <c:pt idx="42">
                  <c:v>694.67781743577007</c:v>
                </c:pt>
                <c:pt idx="43">
                  <c:v>672.29067815169003</c:v>
                </c:pt>
                <c:pt idx="44">
                  <c:v>709.27442648522003</c:v>
                </c:pt>
                <c:pt idx="45">
                  <c:v>718.05385429594003</c:v>
                </c:pt>
                <c:pt idx="46">
                  <c:v>702.28587084726996</c:v>
                </c:pt>
                <c:pt idx="47">
                  <c:v>692.35159020444007</c:v>
                </c:pt>
                <c:pt idx="48">
                  <c:v>674.47466296042012</c:v>
                </c:pt>
                <c:pt idx="49">
                  <c:v>688.76004299198996</c:v>
                </c:pt>
                <c:pt idx="50">
                  <c:v>685.15505933970996</c:v>
                </c:pt>
                <c:pt idx="51">
                  <c:v>681.30750611839005</c:v>
                </c:pt>
                <c:pt idx="52">
                  <c:v>686.43040502379995</c:v>
                </c:pt>
                <c:pt idx="53">
                  <c:v>685.10582985311999</c:v>
                </c:pt>
                <c:pt idx="54">
                  <c:v>681.16062351843004</c:v>
                </c:pt>
                <c:pt idx="55">
                  <c:v>671.49702917232003</c:v>
                </c:pt>
                <c:pt idx="56">
                  <c:v>668.78781970255</c:v>
                </c:pt>
                <c:pt idx="57">
                  <c:v>671.08840061319006</c:v>
                </c:pt>
                <c:pt idx="58">
                  <c:v>692.18487807408007</c:v>
                </c:pt>
                <c:pt idx="59">
                  <c:v>690.34745909228991</c:v>
                </c:pt>
                <c:pt idx="60">
                  <c:v>674.98367629601</c:v>
                </c:pt>
                <c:pt idx="61">
                  <c:v>683.20434357482998</c:v>
                </c:pt>
                <c:pt idx="62">
                  <c:v>698.73823290982</c:v>
                </c:pt>
                <c:pt idx="63">
                  <c:v>700.34965671716998</c:v>
                </c:pt>
                <c:pt idx="64">
                  <c:v>686.97764723509999</c:v>
                </c:pt>
                <c:pt idx="65">
                  <c:v>663.75717109586003</c:v>
                </c:pt>
                <c:pt idx="66">
                  <c:v>694.23592578789999</c:v>
                </c:pt>
                <c:pt idx="67">
                  <c:v>690.65294912037996</c:v>
                </c:pt>
                <c:pt idx="68">
                  <c:v>654.56057107510003</c:v>
                </c:pt>
                <c:pt idx="69">
                  <c:v>671.30523837699002</c:v>
                </c:pt>
                <c:pt idx="70">
                  <c:v>700.81901483396996</c:v>
                </c:pt>
                <c:pt idx="71">
                  <c:v>704.53147271602006</c:v>
                </c:pt>
                <c:pt idx="72">
                  <c:v>702.69263411467</c:v>
                </c:pt>
                <c:pt idx="73">
                  <c:v>690.80401469950004</c:v>
                </c:pt>
                <c:pt idx="74">
                  <c:v>692.06163050703003</c:v>
                </c:pt>
                <c:pt idx="75">
                  <c:v>697.26280827259006</c:v>
                </c:pt>
                <c:pt idx="76">
                  <c:v>702.81538606353001</c:v>
                </c:pt>
                <c:pt idx="77">
                  <c:v>694.16752855567995</c:v>
                </c:pt>
                <c:pt idx="78">
                  <c:v>692.07648848744998</c:v>
                </c:pt>
                <c:pt idx="79">
                  <c:v>691.42251259215993</c:v>
                </c:pt>
                <c:pt idx="80">
                  <c:v>679.95566810485002</c:v>
                </c:pt>
                <c:pt idx="81">
                  <c:v>699.29095861781002</c:v>
                </c:pt>
                <c:pt idx="82">
                  <c:v>703.48161314119</c:v>
                </c:pt>
                <c:pt idx="83">
                  <c:v>730.63206400005993</c:v>
                </c:pt>
                <c:pt idx="84">
                  <c:v>756.27371763593999</c:v>
                </c:pt>
                <c:pt idx="85">
                  <c:v>784.69547623530002</c:v>
                </c:pt>
                <c:pt idx="86">
                  <c:v>807.83770809241003</c:v>
                </c:pt>
                <c:pt idx="87">
                  <c:v>796.69750385161001</c:v>
                </c:pt>
                <c:pt idx="88">
                  <c:v>799.54945808569005</c:v>
                </c:pt>
                <c:pt idx="89">
                  <c:v>769.19932303933001</c:v>
                </c:pt>
                <c:pt idx="90">
                  <c:v>770.07696873763007</c:v>
                </c:pt>
                <c:pt idx="91">
                  <c:v>768.75696843026992</c:v>
                </c:pt>
                <c:pt idx="92">
                  <c:v>760.24633473053996</c:v>
                </c:pt>
                <c:pt idx="93">
                  <c:v>747.38657450986011</c:v>
                </c:pt>
                <c:pt idx="94">
                  <c:v>745.68707569895992</c:v>
                </c:pt>
                <c:pt idx="95">
                  <c:v>747.13261532728006</c:v>
                </c:pt>
                <c:pt idx="96">
                  <c:v>742.97875661305</c:v>
                </c:pt>
                <c:pt idx="97">
                  <c:v>749.67500028814993</c:v>
                </c:pt>
                <c:pt idx="98">
                  <c:v>743.72312423879998</c:v>
                </c:pt>
                <c:pt idx="99">
                  <c:v>719.16376627568002</c:v>
                </c:pt>
                <c:pt idx="100">
                  <c:v>740.37987501969008</c:v>
                </c:pt>
                <c:pt idx="101">
                  <c:v>749.27747895542996</c:v>
                </c:pt>
                <c:pt idx="102">
                  <c:v>750.26937041121005</c:v>
                </c:pt>
                <c:pt idx="103">
                  <c:v>747.09651588092004</c:v>
                </c:pt>
                <c:pt idx="104">
                  <c:v>741.14928577191006</c:v>
                </c:pt>
                <c:pt idx="105">
                  <c:v>736.38809113996001</c:v>
                </c:pt>
                <c:pt idx="106">
                  <c:v>734.94183497835002</c:v>
                </c:pt>
                <c:pt idx="107">
                  <c:v>729.67483592659005</c:v>
                </c:pt>
                <c:pt idx="108">
                  <c:v>715.69536541581999</c:v>
                </c:pt>
                <c:pt idx="109">
                  <c:v>695.99221547384991</c:v>
                </c:pt>
                <c:pt idx="110">
                  <c:v>695.4234164740601</c:v>
                </c:pt>
                <c:pt idx="111">
                  <c:v>706.08707552634996</c:v>
                </c:pt>
                <c:pt idx="112">
                  <c:v>716.93417372569002</c:v>
                </c:pt>
                <c:pt idx="113">
                  <c:v>710.47614029351996</c:v>
                </c:pt>
                <c:pt idx="114">
                  <c:v>683.87133977200995</c:v>
                </c:pt>
                <c:pt idx="115">
                  <c:v>684.37692820452003</c:v>
                </c:pt>
                <c:pt idx="116">
                  <c:v>686.84902278691004</c:v>
                </c:pt>
                <c:pt idx="117">
                  <c:v>674.31040682954995</c:v>
                </c:pt>
                <c:pt idx="118">
                  <c:v>670.96472466295995</c:v>
                </c:pt>
                <c:pt idx="119">
                  <c:v>694.58443278611003</c:v>
                </c:pt>
                <c:pt idx="120">
                  <c:v>688.50925826319008</c:v>
                </c:pt>
                <c:pt idx="121">
                  <c:v>692.94593439398</c:v>
                </c:pt>
                <c:pt idx="122">
                  <c:v>689.42131292718</c:v>
                </c:pt>
                <c:pt idx="123">
                  <c:v>680.63619127020002</c:v>
                </c:pt>
                <c:pt idx="124">
                  <c:v>679.18510763366999</c:v>
                </c:pt>
                <c:pt idx="125">
                  <c:v>672.20357421401991</c:v>
                </c:pt>
                <c:pt idx="126">
                  <c:v>671.15062063279993</c:v>
                </c:pt>
                <c:pt idx="127">
                  <c:v>656.61573483881989</c:v>
                </c:pt>
                <c:pt idx="128">
                  <c:v>650.49623738365995</c:v>
                </c:pt>
                <c:pt idx="129">
                  <c:v>648.82408390763999</c:v>
                </c:pt>
                <c:pt idx="130">
                  <c:v>647.83489537903995</c:v>
                </c:pt>
                <c:pt idx="131">
                  <c:v>689.23663094161998</c:v>
                </c:pt>
                <c:pt idx="132">
                  <c:v>694.72969901502006</c:v>
                </c:pt>
                <c:pt idx="133">
                  <c:v>687.84608089871006</c:v>
                </c:pt>
                <c:pt idx="134">
                  <c:v>699.86344238976005</c:v>
                </c:pt>
                <c:pt idx="135">
                  <c:v>689.17306396531001</c:v>
                </c:pt>
                <c:pt idx="136">
                  <c:v>679.46788034082999</c:v>
                </c:pt>
                <c:pt idx="137">
                  <c:v>646.75040022925009</c:v>
                </c:pt>
                <c:pt idx="138">
                  <c:v>652.28775527748007</c:v>
                </c:pt>
                <c:pt idx="139">
                  <c:v>664.71765593657005</c:v>
                </c:pt>
                <c:pt idx="140">
                  <c:v>665.21484860063003</c:v>
                </c:pt>
                <c:pt idx="141">
                  <c:v>650.81431750884008</c:v>
                </c:pt>
                <c:pt idx="142">
                  <c:v>647.48405387333992</c:v>
                </c:pt>
                <c:pt idx="143">
                  <c:v>663.01627471583004</c:v>
                </c:pt>
                <c:pt idx="144">
                  <c:v>661.46897506924995</c:v>
                </c:pt>
                <c:pt idx="145">
                  <c:v>660.7576807718101</c:v>
                </c:pt>
                <c:pt idx="146">
                  <c:v>661.8041226478199</c:v>
                </c:pt>
                <c:pt idx="147">
                  <c:v>674.68752698442995</c:v>
                </c:pt>
                <c:pt idx="148">
                  <c:v>695.43855994152</c:v>
                </c:pt>
                <c:pt idx="149">
                  <c:v>709.01315789473995</c:v>
                </c:pt>
                <c:pt idx="150">
                  <c:v>720.03739612187996</c:v>
                </c:pt>
                <c:pt idx="151">
                  <c:v>703.79936376149999</c:v>
                </c:pt>
                <c:pt idx="152">
                  <c:v>710.90230431860994</c:v>
                </c:pt>
                <c:pt idx="153">
                  <c:v>721.43421052631004</c:v>
                </c:pt>
                <c:pt idx="154">
                  <c:v>714.01592797783997</c:v>
                </c:pt>
                <c:pt idx="155">
                  <c:v>716.09141274237993</c:v>
                </c:pt>
                <c:pt idx="156">
                  <c:v>713.08448753461994</c:v>
                </c:pt>
                <c:pt idx="157">
                  <c:v>673.90027700831001</c:v>
                </c:pt>
                <c:pt idx="158">
                  <c:v>692.35170457053994</c:v>
                </c:pt>
                <c:pt idx="159">
                  <c:v>715.44235712379998</c:v>
                </c:pt>
                <c:pt idx="160">
                  <c:v>694.04598481725998</c:v>
                </c:pt>
                <c:pt idx="161">
                  <c:v>678.17712189324004</c:v>
                </c:pt>
                <c:pt idx="162">
                  <c:v>702.54325576591009</c:v>
                </c:pt>
                <c:pt idx="163">
                  <c:v>715.87139009198006</c:v>
                </c:pt>
                <c:pt idx="164">
                  <c:v>713.09849099341</c:v>
                </c:pt>
                <c:pt idx="165">
                  <c:v>701.24030470913999</c:v>
                </c:pt>
                <c:pt idx="166">
                  <c:v>694.86980609417992</c:v>
                </c:pt>
                <c:pt idx="167">
                  <c:v>684.14750692521</c:v>
                </c:pt>
                <c:pt idx="168">
                  <c:v>669.17936288089004</c:v>
                </c:pt>
                <c:pt idx="169">
                  <c:v>668.45221606647988</c:v>
                </c:pt>
                <c:pt idx="170">
                  <c:v>684.92174515235001</c:v>
                </c:pt>
                <c:pt idx="171">
                  <c:v>674.75623268697996</c:v>
                </c:pt>
                <c:pt idx="172">
                  <c:v>677.82825484764999</c:v>
                </c:pt>
                <c:pt idx="173">
                  <c:v>672.16274238226993</c:v>
                </c:pt>
                <c:pt idx="174">
                  <c:v>673.13504155124997</c:v>
                </c:pt>
                <c:pt idx="175">
                  <c:v>675.86426592798</c:v>
                </c:pt>
                <c:pt idx="176">
                  <c:v>695.00207756232999</c:v>
                </c:pt>
                <c:pt idx="177">
                  <c:v>694.8545706371201</c:v>
                </c:pt>
                <c:pt idx="178">
                  <c:v>696.13781163434999</c:v>
                </c:pt>
                <c:pt idx="179">
                  <c:v>692.77700831024993</c:v>
                </c:pt>
                <c:pt idx="180">
                  <c:v>688.48614958448002</c:v>
                </c:pt>
                <c:pt idx="181">
                  <c:v>691.43490304710008</c:v>
                </c:pt>
                <c:pt idx="182">
                  <c:v>712.28601108034002</c:v>
                </c:pt>
                <c:pt idx="183">
                  <c:v>690.18282548475997</c:v>
                </c:pt>
                <c:pt idx="184">
                  <c:v>689.26800554017007</c:v>
                </c:pt>
                <c:pt idx="185">
                  <c:v>673.26315789473995</c:v>
                </c:pt>
                <c:pt idx="186">
                  <c:v>664.90789473683992</c:v>
                </c:pt>
                <c:pt idx="187">
                  <c:v>681.44667590028007</c:v>
                </c:pt>
                <c:pt idx="188">
                  <c:v>685.25277008310002</c:v>
                </c:pt>
                <c:pt idx="189">
                  <c:v>677.43698060942006</c:v>
                </c:pt>
                <c:pt idx="190">
                  <c:v>691.65235457064</c:v>
                </c:pt>
                <c:pt idx="191">
                  <c:v>712.86218836565001</c:v>
                </c:pt>
                <c:pt idx="192">
                  <c:v>719.91204986150001</c:v>
                </c:pt>
                <c:pt idx="193">
                  <c:v>706.27562326868997</c:v>
                </c:pt>
                <c:pt idx="194">
                  <c:v>705.34300467810999</c:v>
                </c:pt>
                <c:pt idx="195">
                  <c:v>686.73144657341004</c:v>
                </c:pt>
                <c:pt idx="196">
                  <c:v>677.84557740589003</c:v>
                </c:pt>
                <c:pt idx="197">
                  <c:v>684.03533763726</c:v>
                </c:pt>
                <c:pt idx="198">
                  <c:v>685.80938890288007</c:v>
                </c:pt>
                <c:pt idx="199">
                  <c:v>701.99986836382004</c:v>
                </c:pt>
                <c:pt idx="200">
                  <c:v>714.16066481993994</c:v>
                </c:pt>
                <c:pt idx="201">
                  <c:v>703.37782935289999</c:v>
                </c:pt>
                <c:pt idx="202">
                  <c:v>705.0160594752</c:v>
                </c:pt>
                <c:pt idx="203">
                  <c:v>710.41262288283997</c:v>
                </c:pt>
                <c:pt idx="204">
                  <c:v>685.58772793676007</c:v>
                </c:pt>
                <c:pt idx="205">
                  <c:v>676.45381851060995</c:v>
                </c:pt>
                <c:pt idx="206">
                  <c:v>664.31617484733999</c:v>
                </c:pt>
                <c:pt idx="207">
                  <c:v>684.12903730493997</c:v>
                </c:pt>
                <c:pt idx="208">
                  <c:v>645.74832604817993</c:v>
                </c:pt>
                <c:pt idx="209">
                  <c:v>677.69093656837003</c:v>
                </c:pt>
                <c:pt idx="210">
                  <c:v>683.84822181012998</c:v>
                </c:pt>
                <c:pt idx="211">
                  <c:v>638.33888693722997</c:v>
                </c:pt>
                <c:pt idx="212">
                  <c:v>663.23112580937993</c:v>
                </c:pt>
                <c:pt idx="213">
                  <c:v>657.05263349861002</c:v>
                </c:pt>
                <c:pt idx="214">
                  <c:v>702.88549315348996</c:v>
                </c:pt>
                <c:pt idx="215">
                  <c:v>699.51377794798998</c:v>
                </c:pt>
                <c:pt idx="216">
                  <c:v>695.61017751183999</c:v>
                </c:pt>
                <c:pt idx="217">
                  <c:v>679.4899471706899</c:v>
                </c:pt>
                <c:pt idx="218">
                  <c:v>679.48392996661005</c:v>
                </c:pt>
                <c:pt idx="219">
                  <c:v>670.67341275769991</c:v>
                </c:pt>
                <c:pt idx="220">
                  <c:v>671.93764918411011</c:v>
                </c:pt>
                <c:pt idx="221">
                  <c:v>677.93787427730001</c:v>
                </c:pt>
                <c:pt idx="222">
                  <c:v>643.94939138631003</c:v>
                </c:pt>
                <c:pt idx="223">
                  <c:v>648.73510649302989</c:v>
                </c:pt>
                <c:pt idx="224">
                  <c:v>641.89617935425997</c:v>
                </c:pt>
                <c:pt idx="225">
                  <c:v>645.35220093256009</c:v>
                </c:pt>
                <c:pt idx="226">
                  <c:v>650.10659168668008</c:v>
                </c:pt>
                <c:pt idx="227">
                  <c:v>648.56972779673993</c:v>
                </c:pt>
                <c:pt idx="228">
                  <c:v>645.14457063711995</c:v>
                </c:pt>
                <c:pt idx="229">
                  <c:v>657.51319419237007</c:v>
                </c:pt>
                <c:pt idx="230">
                  <c:v>662.82133441589008</c:v>
                </c:pt>
                <c:pt idx="231">
                  <c:v>656.05563967126</c:v>
                </c:pt>
                <c:pt idx="232">
                  <c:v>631.75477500005002</c:v>
                </c:pt>
                <c:pt idx="233">
                  <c:v>635.89023282845005</c:v>
                </c:pt>
                <c:pt idx="234">
                  <c:v>652.11064751887011</c:v>
                </c:pt>
                <c:pt idx="235">
                  <c:v>660.84451259727996</c:v>
                </c:pt>
                <c:pt idx="236">
                  <c:v>668.15622819444002</c:v>
                </c:pt>
                <c:pt idx="237">
                  <c:v>668.53147791293009</c:v>
                </c:pt>
                <c:pt idx="238">
                  <c:v>661.29839472824005</c:v>
                </c:pt>
                <c:pt idx="239">
                  <c:v>655.60490279857004</c:v>
                </c:pt>
                <c:pt idx="240">
                  <c:v>660.77087646653001</c:v>
                </c:pt>
                <c:pt idx="241">
                  <c:v>640.03388094568993</c:v>
                </c:pt>
                <c:pt idx="242">
                  <c:v>659.30838346820008</c:v>
                </c:pt>
                <c:pt idx="243">
                  <c:v>681.4980658167201</c:v>
                </c:pt>
                <c:pt idx="244">
                  <c:v>671.29236229397998</c:v>
                </c:pt>
                <c:pt idx="245">
                  <c:v>672.19340190392995</c:v>
                </c:pt>
                <c:pt idx="246">
                  <c:v>676.57654298236002</c:v>
                </c:pt>
                <c:pt idx="247">
                  <c:v>643.80254471389992</c:v>
                </c:pt>
                <c:pt idx="248">
                  <c:v>648.35457063711999</c:v>
                </c:pt>
                <c:pt idx="249">
                  <c:v>641.4383656509699</c:v>
                </c:pt>
                <c:pt idx="250">
                  <c:v>628.89889196675995</c:v>
                </c:pt>
                <c:pt idx="251">
                  <c:v>616.28116343491001</c:v>
                </c:pt>
                <c:pt idx="252">
                  <c:v>606.59210526315997</c:v>
                </c:pt>
                <c:pt idx="253">
                  <c:v>563.3074792243799</c:v>
                </c:pt>
                <c:pt idx="254">
                  <c:v>558.17274121772994</c:v>
                </c:pt>
                <c:pt idx="255">
                  <c:v>580.32365681515012</c:v>
                </c:pt>
                <c:pt idx="256">
                  <c:v>578.9753780466699</c:v>
                </c:pt>
                <c:pt idx="257">
                  <c:v>603.02463531693002</c:v>
                </c:pt>
                <c:pt idx="258">
                  <c:v>609.67100967715999</c:v>
                </c:pt>
                <c:pt idx="259">
                  <c:v>646.94759417040996</c:v>
                </c:pt>
                <c:pt idx="260">
                  <c:v>617.41283783655001</c:v>
                </c:pt>
                <c:pt idx="261">
                  <c:v>599.61991634387005</c:v>
                </c:pt>
                <c:pt idx="262">
                  <c:v>601.83147117948999</c:v>
                </c:pt>
                <c:pt idx="263">
                  <c:v>624.94225302638006</c:v>
                </c:pt>
                <c:pt idx="264">
                  <c:v>646.14651966374993</c:v>
                </c:pt>
                <c:pt idx="265">
                  <c:v>611.89363408064992</c:v>
                </c:pt>
                <c:pt idx="266">
                  <c:v>600.30211015153998</c:v>
                </c:pt>
                <c:pt idx="267">
                  <c:v>631.16302993415002</c:v>
                </c:pt>
                <c:pt idx="268">
                  <c:v>632.20594130107997</c:v>
                </c:pt>
                <c:pt idx="269">
                  <c:v>617.88425270058997</c:v>
                </c:pt>
                <c:pt idx="270">
                  <c:v>612.40251943371004</c:v>
                </c:pt>
                <c:pt idx="271">
                  <c:v>619.39896577174</c:v>
                </c:pt>
                <c:pt idx="272">
                  <c:v>643.73079872326991</c:v>
                </c:pt>
                <c:pt idx="273">
                  <c:v>642.23102397224989</c:v>
                </c:pt>
                <c:pt idx="274">
                  <c:v>639.83810781277998</c:v>
                </c:pt>
                <c:pt idx="275">
                  <c:v>649.05932434893998</c:v>
                </c:pt>
                <c:pt idx="276">
                  <c:v>641.08197379900002</c:v>
                </c:pt>
                <c:pt idx="277">
                  <c:v>630.44589155354004</c:v>
                </c:pt>
                <c:pt idx="278">
                  <c:v>651.12596991168994</c:v>
                </c:pt>
                <c:pt idx="279">
                  <c:v>646.17108324023002</c:v>
                </c:pt>
                <c:pt idx="280">
                  <c:v>642.91651298571992</c:v>
                </c:pt>
                <c:pt idx="281">
                  <c:v>645.45838562311997</c:v>
                </c:pt>
                <c:pt idx="282">
                  <c:v>645.02803752620002</c:v>
                </c:pt>
                <c:pt idx="283">
                  <c:v>628.17235158630001</c:v>
                </c:pt>
                <c:pt idx="284">
                  <c:v>652.88540311596</c:v>
                </c:pt>
                <c:pt idx="285">
                  <c:v>653.29204098498997</c:v>
                </c:pt>
                <c:pt idx="286">
                  <c:v>636.99902626223002</c:v>
                </c:pt>
                <c:pt idx="287">
                  <c:v>652.16307525136995</c:v>
                </c:pt>
                <c:pt idx="288">
                  <c:v>632.70454232411998</c:v>
                </c:pt>
                <c:pt idx="289">
                  <c:v>589.77033753692001</c:v>
                </c:pt>
                <c:pt idx="290">
                  <c:v>589.79460637271995</c:v>
                </c:pt>
                <c:pt idx="291">
                  <c:v>588.07176772624007</c:v>
                </c:pt>
                <c:pt idx="292">
                  <c:v>621.23391323977</c:v>
                </c:pt>
                <c:pt idx="293">
                  <c:v>592.24746139484</c:v>
                </c:pt>
                <c:pt idx="294">
                  <c:v>619.83875744172997</c:v>
                </c:pt>
                <c:pt idx="295">
                  <c:v>621.47619220704007</c:v>
                </c:pt>
                <c:pt idx="296">
                  <c:v>592.69262407983001</c:v>
                </c:pt>
                <c:pt idx="297">
                  <c:v>597.8829945975699</c:v>
                </c:pt>
                <c:pt idx="298">
                  <c:v>574.55849122297002</c:v>
                </c:pt>
                <c:pt idx="299">
                  <c:v>606.62101130989004</c:v>
                </c:pt>
                <c:pt idx="300">
                  <c:v>600.69235242803006</c:v>
                </c:pt>
                <c:pt idx="301">
                  <c:v>612.88234373533999</c:v>
                </c:pt>
                <c:pt idx="302">
                  <c:v>605.1035565033701</c:v>
                </c:pt>
                <c:pt idx="303">
                  <c:v>644.97561963141004</c:v>
                </c:pt>
                <c:pt idx="304">
                  <c:v>652.28349704327002</c:v>
                </c:pt>
                <c:pt idx="305">
                  <c:v>643.07818305903004</c:v>
                </c:pt>
                <c:pt idx="306">
                  <c:v>642.20945618693008</c:v>
                </c:pt>
                <c:pt idx="307">
                  <c:v>649.63488983799004</c:v>
                </c:pt>
                <c:pt idx="308">
                  <c:v>641.04043948029005</c:v>
                </c:pt>
                <c:pt idx="309">
                  <c:v>637.69458972331995</c:v>
                </c:pt>
                <c:pt idx="310">
                  <c:v>593.67161449707999</c:v>
                </c:pt>
                <c:pt idx="311">
                  <c:v>651.68049031809005</c:v>
                </c:pt>
                <c:pt idx="312">
                  <c:v>660.31158129878008</c:v>
                </c:pt>
                <c:pt idx="313">
                  <c:v>640.70477251480997</c:v>
                </c:pt>
                <c:pt idx="314">
                  <c:v>616.96327011273002</c:v>
                </c:pt>
                <c:pt idx="315">
                  <c:v>657.31597121256004</c:v>
                </c:pt>
                <c:pt idx="316">
                  <c:v>657.53393734408996</c:v>
                </c:pt>
                <c:pt idx="317">
                  <c:v>634.92809644785996</c:v>
                </c:pt>
                <c:pt idx="318">
                  <c:v>631.51192315303001</c:v>
                </c:pt>
                <c:pt idx="319">
                  <c:v>710.73759157834002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'240821E013'!$A$2:$A$321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'240821E013'!$P$2:$P$321</c:f>
              <c:numCache>
                <c:formatCode>General</c:formatCode>
                <c:ptCount val="320"/>
                <c:pt idx="0">
                  <c:v>37.088683611573053</c:v>
                </c:pt>
                <c:pt idx="1">
                  <c:v>44.819262277139458</c:v>
                </c:pt>
                <c:pt idx="2">
                  <c:v>54.966771366511303</c:v>
                </c:pt>
                <c:pt idx="3">
                  <c:v>51.993630510198017</c:v>
                </c:pt>
                <c:pt idx="4">
                  <c:v>42.780495439662424</c:v>
                </c:pt>
                <c:pt idx="5">
                  <c:v>35.731066935673255</c:v>
                </c:pt>
                <c:pt idx="6">
                  <c:v>29.709502014886191</c:v>
                </c:pt>
                <c:pt idx="7">
                  <c:v>25.414288426001619</c:v>
                </c:pt>
                <c:pt idx="8">
                  <c:v>18.221491183639941</c:v>
                </c:pt>
                <c:pt idx="9">
                  <c:v>15.458766452655984</c:v>
                </c:pt>
                <c:pt idx="10">
                  <c:v>11.138827821300294</c:v>
                </c:pt>
                <c:pt idx="11">
                  <c:v>7.1709800124877283</c:v>
                </c:pt>
                <c:pt idx="12">
                  <c:v>4.4336210956122235</c:v>
                </c:pt>
                <c:pt idx="13">
                  <c:v>2.3420921105128563</c:v>
                </c:pt>
                <c:pt idx="14">
                  <c:v>-1.2243242324344954</c:v>
                </c:pt>
                <c:pt idx="15">
                  <c:v>-3.2593685174195386</c:v>
                </c:pt>
                <c:pt idx="16">
                  <c:v>-4.5696516667520983</c:v>
                </c:pt>
                <c:pt idx="17">
                  <c:v>-6.8118447897569361</c:v>
                </c:pt>
                <c:pt idx="18">
                  <c:v>-7.469979569350496</c:v>
                </c:pt>
                <c:pt idx="19">
                  <c:v>-7.8844310567680491</c:v>
                </c:pt>
                <c:pt idx="20">
                  <c:v>-9.2752765044183292</c:v>
                </c:pt>
                <c:pt idx="21">
                  <c:v>-9.9315795219494909</c:v>
                </c:pt>
                <c:pt idx="22">
                  <c:v>-10.405138510783779</c:v>
                </c:pt>
                <c:pt idx="23">
                  <c:v>-11.306405479576856</c:v>
                </c:pt>
                <c:pt idx="24">
                  <c:v>-10.773426416828956</c:v>
                </c:pt>
                <c:pt idx="25">
                  <c:v>-10.853917147204404</c:v>
                </c:pt>
                <c:pt idx="26">
                  <c:v>-11.245873988824535</c:v>
                </c:pt>
                <c:pt idx="27">
                  <c:v>-11.717923103995103</c:v>
                </c:pt>
                <c:pt idx="28">
                  <c:v>-11.500468841163228</c:v>
                </c:pt>
                <c:pt idx="29">
                  <c:v>-10.654445856193709</c:v>
                </c:pt>
                <c:pt idx="30">
                  <c:v>-10.970085684636784</c:v>
                </c:pt>
                <c:pt idx="31">
                  <c:v>-10.356692611295113</c:v>
                </c:pt>
                <c:pt idx="32">
                  <c:v>-10.867798583662374</c:v>
                </c:pt>
                <c:pt idx="33">
                  <c:v>-9.889091058809111</c:v>
                </c:pt>
                <c:pt idx="34">
                  <c:v>-9.230176855199641</c:v>
                </c:pt>
                <c:pt idx="35">
                  <c:v>-9.0896332407756777</c:v>
                </c:pt>
                <c:pt idx="36">
                  <c:v>-9.1104064601335519</c:v>
                </c:pt>
                <c:pt idx="37">
                  <c:v>-9.0851023489173333</c:v>
                </c:pt>
                <c:pt idx="38">
                  <c:v>-7.8940839463099959</c:v>
                </c:pt>
                <c:pt idx="39">
                  <c:v>-7.8888570166817233</c:v>
                </c:pt>
                <c:pt idx="40">
                  <c:v>-8.0348911402956578</c:v>
                </c:pt>
                <c:pt idx="41">
                  <c:v>-8.2249345419002218</c:v>
                </c:pt>
                <c:pt idx="42">
                  <c:v>-7.3005115264263161</c:v>
                </c:pt>
                <c:pt idx="43">
                  <c:v>-5.6863338054581973</c:v>
                </c:pt>
                <c:pt idx="44">
                  <c:v>-6.2527214589026228</c:v>
                </c:pt>
                <c:pt idx="45">
                  <c:v>-6.1939179173298715</c:v>
                </c:pt>
                <c:pt idx="46">
                  <c:v>-5.437484874715496</c:v>
                </c:pt>
                <c:pt idx="47">
                  <c:v>-5.4138474440967945</c:v>
                </c:pt>
                <c:pt idx="48">
                  <c:v>-5.0300256117841249</c:v>
                </c:pt>
                <c:pt idx="49">
                  <c:v>-4.9686453325315423</c:v>
                </c:pt>
                <c:pt idx="50">
                  <c:v>-4.7460629206676774</c:v>
                </c:pt>
                <c:pt idx="51">
                  <c:v>-5.3245500749092525</c:v>
                </c:pt>
                <c:pt idx="52">
                  <c:v>-4.0285954070977823</c:v>
                </c:pt>
                <c:pt idx="53">
                  <c:v>-3.7744122502208133</c:v>
                </c:pt>
                <c:pt idx="54">
                  <c:v>-3.7820238301362634</c:v>
                </c:pt>
                <c:pt idx="55">
                  <c:v>-2.4244491563389059</c:v>
                </c:pt>
                <c:pt idx="56">
                  <c:v>-2.2530596749809653</c:v>
                </c:pt>
                <c:pt idx="57">
                  <c:v>-2.7933384012920257</c:v>
                </c:pt>
                <c:pt idx="58">
                  <c:v>-2.9705911657110149</c:v>
                </c:pt>
                <c:pt idx="59">
                  <c:v>-2.2619203789030786</c:v>
                </c:pt>
                <c:pt idx="60">
                  <c:v>-1.8874494014657648</c:v>
                </c:pt>
                <c:pt idx="61">
                  <c:v>-1.4499164697900515</c:v>
                </c:pt>
                <c:pt idx="62">
                  <c:v>-1.1214753040685075</c:v>
                </c:pt>
                <c:pt idx="63">
                  <c:v>-1.094340001505405</c:v>
                </c:pt>
                <c:pt idx="64">
                  <c:v>-0.43798525950387041</c:v>
                </c:pt>
                <c:pt idx="65">
                  <c:v>0.3767663971444345</c:v>
                </c:pt>
                <c:pt idx="66">
                  <c:v>-0.8197183731037202</c:v>
                </c:pt>
                <c:pt idx="67">
                  <c:v>-0.21160144945754017</c:v>
                </c:pt>
                <c:pt idx="68">
                  <c:v>6.3395484675699915E-2</c:v>
                </c:pt>
                <c:pt idx="69">
                  <c:v>0.58185595222244391</c:v>
                </c:pt>
                <c:pt idx="70">
                  <c:v>-0.2227993850221397</c:v>
                </c:pt>
                <c:pt idx="71">
                  <c:v>0.40700334585961079</c:v>
                </c:pt>
                <c:pt idx="72">
                  <c:v>0.21465225260330678</c:v>
                </c:pt>
                <c:pt idx="73">
                  <c:v>0.65992512494463595</c:v>
                </c:pt>
                <c:pt idx="74">
                  <c:v>0.54918812941138972</c:v>
                </c:pt>
                <c:pt idx="75">
                  <c:v>0.80753943165894726</c:v>
                </c:pt>
                <c:pt idx="76">
                  <c:v>0.3323814548020787</c:v>
                </c:pt>
                <c:pt idx="77">
                  <c:v>1.5473463740038109</c:v>
                </c:pt>
                <c:pt idx="78">
                  <c:v>0.85914295045294242</c:v>
                </c:pt>
                <c:pt idx="79">
                  <c:v>0.84608874613734342</c:v>
                </c:pt>
                <c:pt idx="80">
                  <c:v>1.7977313902032388</c:v>
                </c:pt>
                <c:pt idx="81">
                  <c:v>1.7051178384754921</c:v>
                </c:pt>
                <c:pt idx="82">
                  <c:v>8.1169836193666107</c:v>
                </c:pt>
                <c:pt idx="83">
                  <c:v>69.353223635026069</c:v>
                </c:pt>
                <c:pt idx="84">
                  <c:v>108.36892401241617</c:v>
                </c:pt>
                <c:pt idx="85">
                  <c:v>137.78923778276732</c:v>
                </c:pt>
                <c:pt idx="86">
                  <c:v>153.08029220676394</c:v>
                </c:pt>
                <c:pt idx="87">
                  <c:v>163.4998213779833</c:v>
                </c:pt>
                <c:pt idx="88">
                  <c:v>166.10407342182464</c:v>
                </c:pt>
                <c:pt idx="89">
                  <c:v>169.58055328803522</c:v>
                </c:pt>
                <c:pt idx="90">
                  <c:v>162.52177760404172</c:v>
                </c:pt>
                <c:pt idx="91">
                  <c:v>155.56443681955355</c:v>
                </c:pt>
                <c:pt idx="92">
                  <c:v>149.18717222389765</c:v>
                </c:pt>
                <c:pt idx="93">
                  <c:v>144.34724093717753</c:v>
                </c:pt>
                <c:pt idx="94">
                  <c:v>135.8887087445886</c:v>
                </c:pt>
                <c:pt idx="95">
                  <c:v>129.02700092489778</c:v>
                </c:pt>
                <c:pt idx="96">
                  <c:v>123.92055738376271</c:v>
                </c:pt>
                <c:pt idx="97">
                  <c:v>117.13992230431694</c:v>
                </c:pt>
                <c:pt idx="98">
                  <c:v>113.15830205443007</c:v>
                </c:pt>
                <c:pt idx="99">
                  <c:v>111.33154895298134</c:v>
                </c:pt>
                <c:pt idx="100">
                  <c:v>106.45398797181025</c:v>
                </c:pt>
                <c:pt idx="101">
                  <c:v>100.46254994307435</c:v>
                </c:pt>
                <c:pt idx="102">
                  <c:v>95.899170821938569</c:v>
                </c:pt>
                <c:pt idx="103">
                  <c:v>91.717953697582672</c:v>
                </c:pt>
                <c:pt idx="104">
                  <c:v>86.674933043937187</c:v>
                </c:pt>
                <c:pt idx="105">
                  <c:v>83.702422660253617</c:v>
                </c:pt>
                <c:pt idx="106">
                  <c:v>78.841523448900602</c:v>
                </c:pt>
                <c:pt idx="107">
                  <c:v>74.609934524362544</c:v>
                </c:pt>
                <c:pt idx="108">
                  <c:v>71.722907402396189</c:v>
                </c:pt>
                <c:pt idx="109">
                  <c:v>69.817077290398359</c:v>
                </c:pt>
                <c:pt idx="110">
                  <c:v>65.658744112310046</c:v>
                </c:pt>
                <c:pt idx="111">
                  <c:v>62.669976012655496</c:v>
                </c:pt>
                <c:pt idx="112">
                  <c:v>58.036820194137441</c:v>
                </c:pt>
                <c:pt idx="113">
                  <c:v>56.86348358400214</c:v>
                </c:pt>
                <c:pt idx="114">
                  <c:v>54.405345789282791</c:v>
                </c:pt>
                <c:pt idx="115">
                  <c:v>52.236464215542668</c:v>
                </c:pt>
                <c:pt idx="116">
                  <c:v>49.692645506844904</c:v>
                </c:pt>
                <c:pt idx="117">
                  <c:v>47.306228931674923</c:v>
                </c:pt>
                <c:pt idx="118">
                  <c:v>44.981817074988527</c:v>
                </c:pt>
                <c:pt idx="119">
                  <c:v>41.220389708401093</c:v>
                </c:pt>
                <c:pt idx="120">
                  <c:v>39.381772970952838</c:v>
                </c:pt>
                <c:pt idx="121">
                  <c:v>37.911477096001335</c:v>
                </c:pt>
                <c:pt idx="122">
                  <c:v>37.095895654590869</c:v>
                </c:pt>
                <c:pt idx="123">
                  <c:v>35.451051177770424</c:v>
                </c:pt>
                <c:pt idx="124">
                  <c:v>33.696152580009702</c:v>
                </c:pt>
                <c:pt idx="125">
                  <c:v>32.539875170069962</c:v>
                </c:pt>
                <c:pt idx="126">
                  <c:v>33.836225569850129</c:v>
                </c:pt>
                <c:pt idx="127">
                  <c:v>35.198264003667965</c:v>
                </c:pt>
                <c:pt idx="128">
                  <c:v>35.691673663887293</c:v>
                </c:pt>
                <c:pt idx="129">
                  <c:v>35.084615252462989</c:v>
                </c:pt>
                <c:pt idx="130">
                  <c:v>33.94482719572224</c:v>
                </c:pt>
                <c:pt idx="131">
                  <c:v>29.679752453157882</c:v>
                </c:pt>
                <c:pt idx="132">
                  <c:v>29.494907989003956</c:v>
                </c:pt>
                <c:pt idx="133">
                  <c:v>29.972402691362909</c:v>
                </c:pt>
                <c:pt idx="134">
                  <c:v>28.614252332707295</c:v>
                </c:pt>
                <c:pt idx="135">
                  <c:v>27.274640397068829</c:v>
                </c:pt>
                <c:pt idx="136">
                  <c:v>27.753172722922027</c:v>
                </c:pt>
                <c:pt idx="137">
                  <c:v>27.841062435540465</c:v>
                </c:pt>
                <c:pt idx="138">
                  <c:v>27.353146058739636</c:v>
                </c:pt>
                <c:pt idx="139">
                  <c:v>25.317701457076698</c:v>
                </c:pt>
                <c:pt idx="140">
                  <c:v>24.569680882461295</c:v>
                </c:pt>
                <c:pt idx="141">
                  <c:v>24.566921429175494</c:v>
                </c:pt>
                <c:pt idx="142">
                  <c:v>22.85578228452222</c:v>
                </c:pt>
                <c:pt idx="143">
                  <c:v>21.338840449830908</c:v>
                </c:pt>
                <c:pt idx="144">
                  <c:v>22.333548676642369</c:v>
                </c:pt>
                <c:pt idx="145">
                  <c:v>20.904260628060538</c:v>
                </c:pt>
                <c:pt idx="146">
                  <c:v>21.445348028087956</c:v>
                </c:pt>
                <c:pt idx="147">
                  <c:v>19.013767149999282</c:v>
                </c:pt>
                <c:pt idx="148">
                  <c:v>18.60893626643276</c:v>
                </c:pt>
                <c:pt idx="149">
                  <c:v>16.081210613262556</c:v>
                </c:pt>
                <c:pt idx="150">
                  <c:v>15.171862780275521</c:v>
                </c:pt>
                <c:pt idx="151">
                  <c:v>15.416424544382703</c:v>
                </c:pt>
                <c:pt idx="152">
                  <c:v>13.812461289565903</c:v>
                </c:pt>
                <c:pt idx="153">
                  <c:v>14.263697215117929</c:v>
                </c:pt>
                <c:pt idx="154">
                  <c:v>13.360916939607121</c:v>
                </c:pt>
                <c:pt idx="155">
                  <c:v>13.428038308626874</c:v>
                </c:pt>
                <c:pt idx="156">
                  <c:v>13.149910105813653</c:v>
                </c:pt>
                <c:pt idx="157">
                  <c:v>16.012805737487774</c:v>
                </c:pt>
                <c:pt idx="158">
                  <c:v>13.274091873710002</c:v>
                </c:pt>
                <c:pt idx="159">
                  <c:v>11.826323313464261</c:v>
                </c:pt>
                <c:pt idx="160">
                  <c:v>12.821931138029985</c:v>
                </c:pt>
                <c:pt idx="161">
                  <c:v>14.516539650169422</c:v>
                </c:pt>
                <c:pt idx="162">
                  <c:v>9.186299165721632</c:v>
                </c:pt>
                <c:pt idx="163">
                  <c:v>4.4744836433730679</c:v>
                </c:pt>
                <c:pt idx="164">
                  <c:v>3.0881237584105943</c:v>
                </c:pt>
                <c:pt idx="165">
                  <c:v>1.9291219884356527</c:v>
                </c:pt>
                <c:pt idx="166">
                  <c:v>-0.48255400710120777</c:v>
                </c:pt>
                <c:pt idx="167">
                  <c:v>-2.4366614551111709</c:v>
                </c:pt>
                <c:pt idx="168">
                  <c:v>-3.0154073056025616</c:v>
                </c:pt>
                <c:pt idx="169">
                  <c:v>-6.3736403101957535</c:v>
                </c:pt>
                <c:pt idx="170">
                  <c:v>-9.1621459084013193</c:v>
                </c:pt>
                <c:pt idx="171">
                  <c:v>-10.173205829132403</c:v>
                </c:pt>
                <c:pt idx="172">
                  <c:v>-13.298577719474345</c:v>
                </c:pt>
                <c:pt idx="173">
                  <c:v>-15.190520399514748</c:v>
                </c:pt>
                <c:pt idx="174">
                  <c:v>-16.601087133614374</c:v>
                </c:pt>
                <c:pt idx="175">
                  <c:v>-18.683908028138088</c:v>
                </c:pt>
                <c:pt idx="176">
                  <c:v>-20.511964239030771</c:v>
                </c:pt>
                <c:pt idx="177">
                  <c:v>-21.713507425493979</c:v>
                </c:pt>
                <c:pt idx="178">
                  <c:v>-23.600172174539814</c:v>
                </c:pt>
                <c:pt idx="179">
                  <c:v>-25.861728369699883</c:v>
                </c:pt>
                <c:pt idx="180">
                  <c:v>-25.730040599916393</c:v>
                </c:pt>
                <c:pt idx="181">
                  <c:v>-26.808361013038578</c:v>
                </c:pt>
                <c:pt idx="182">
                  <c:v>-27.738918465339175</c:v>
                </c:pt>
                <c:pt idx="183">
                  <c:v>-27.445988529411196</c:v>
                </c:pt>
                <c:pt idx="184">
                  <c:v>-27.664390911169395</c:v>
                </c:pt>
                <c:pt idx="185">
                  <c:v>-27.554711067144851</c:v>
                </c:pt>
                <c:pt idx="186">
                  <c:v>-27.710285639517778</c:v>
                </c:pt>
                <c:pt idx="187">
                  <c:v>-28.283293227053118</c:v>
                </c:pt>
                <c:pt idx="188">
                  <c:v>-28.084166051338201</c:v>
                </c:pt>
                <c:pt idx="189">
                  <c:v>-28.088640370632934</c:v>
                </c:pt>
                <c:pt idx="190">
                  <c:v>-28.520051379475518</c:v>
                </c:pt>
                <c:pt idx="191">
                  <c:v>-28.431162588775631</c:v>
                </c:pt>
                <c:pt idx="192">
                  <c:v>-28.350798346885242</c:v>
                </c:pt>
                <c:pt idx="193">
                  <c:v>-26.810559590185157</c:v>
                </c:pt>
                <c:pt idx="194">
                  <c:v>-26.798882596857343</c:v>
                </c:pt>
                <c:pt idx="195">
                  <c:v>-26.181515984903541</c:v>
                </c:pt>
                <c:pt idx="196">
                  <c:v>-25.937979114351023</c:v>
                </c:pt>
                <c:pt idx="197">
                  <c:v>-25.009638849008947</c:v>
                </c:pt>
                <c:pt idx="198">
                  <c:v>-24.657550158303913</c:v>
                </c:pt>
                <c:pt idx="199">
                  <c:v>-24.553259033323112</c:v>
                </c:pt>
                <c:pt idx="200">
                  <c:v>-24.708327907268384</c:v>
                </c:pt>
                <c:pt idx="201">
                  <c:v>-23.663349594609727</c:v>
                </c:pt>
                <c:pt idx="202">
                  <c:v>-22.774027636808317</c:v>
                </c:pt>
                <c:pt idx="203">
                  <c:v>-22.502019747372557</c:v>
                </c:pt>
                <c:pt idx="204">
                  <c:v>-21.582850590233708</c:v>
                </c:pt>
                <c:pt idx="205">
                  <c:v>-21.284381579382945</c:v>
                </c:pt>
                <c:pt idx="206">
                  <c:v>-20.300326480290813</c:v>
                </c:pt>
                <c:pt idx="207">
                  <c:v>-20.00835248056692</c:v>
                </c:pt>
                <c:pt idx="208">
                  <c:v>-18.750219408637218</c:v>
                </c:pt>
                <c:pt idx="209">
                  <c:v>-19.337997422900656</c:v>
                </c:pt>
                <c:pt idx="210">
                  <c:v>-18.448899242993335</c:v>
                </c:pt>
                <c:pt idx="211">
                  <c:v>-17.190000411161012</c:v>
                </c:pt>
                <c:pt idx="212">
                  <c:v>-16.83415543700275</c:v>
                </c:pt>
                <c:pt idx="213">
                  <c:v>-16.29426146708019</c:v>
                </c:pt>
                <c:pt idx="214">
                  <c:v>-16.37633129625176</c:v>
                </c:pt>
                <c:pt idx="215">
                  <c:v>-15.517089929466588</c:v>
                </c:pt>
                <c:pt idx="216">
                  <c:v>-15.718795896330715</c:v>
                </c:pt>
                <c:pt idx="217">
                  <c:v>-14.333491033742574</c:v>
                </c:pt>
                <c:pt idx="218">
                  <c:v>-13.901942469442691</c:v>
                </c:pt>
                <c:pt idx="219">
                  <c:v>-13.318541552446076</c:v>
                </c:pt>
                <c:pt idx="220">
                  <c:v>-11.907721720427194</c:v>
                </c:pt>
                <c:pt idx="221">
                  <c:v>-12.545945277625059</c:v>
                </c:pt>
                <c:pt idx="222">
                  <c:v>-10.921174221864995</c:v>
                </c:pt>
                <c:pt idx="223">
                  <c:v>-10.672427712458141</c:v>
                </c:pt>
                <c:pt idx="224">
                  <c:v>-10.40005889646979</c:v>
                </c:pt>
                <c:pt idx="225">
                  <c:v>-9.806782274535534</c:v>
                </c:pt>
                <c:pt idx="226">
                  <c:v>-9.5039293723227782</c:v>
                </c:pt>
                <c:pt idx="227">
                  <c:v>-9.4224874638830354</c:v>
                </c:pt>
                <c:pt idx="228">
                  <c:v>-8.4762613674963383</c:v>
                </c:pt>
                <c:pt idx="229">
                  <c:v>-7.8141622696948936</c:v>
                </c:pt>
                <c:pt idx="230">
                  <c:v>-8.0606291777750414</c:v>
                </c:pt>
                <c:pt idx="231">
                  <c:v>-7.2240312934698876</c:v>
                </c:pt>
                <c:pt idx="232">
                  <c:v>-6.3598253946385572</c:v>
                </c:pt>
                <c:pt idx="233">
                  <c:v>-5.9943913227252805</c:v>
                </c:pt>
                <c:pt idx="234">
                  <c:v>-5.8894794955614644</c:v>
                </c:pt>
                <c:pt idx="235">
                  <c:v>-6.4705527177664353</c:v>
                </c:pt>
                <c:pt idx="236">
                  <c:v>-6.5912899764756148</c:v>
                </c:pt>
                <c:pt idx="237">
                  <c:v>-5.9274392355725114</c:v>
                </c:pt>
                <c:pt idx="238">
                  <c:v>-5.2017854866958766</c:v>
                </c:pt>
                <c:pt idx="239">
                  <c:v>-4.5436653624941137</c:v>
                </c:pt>
                <c:pt idx="240">
                  <c:v>-4.6368668154659494</c:v>
                </c:pt>
                <c:pt idx="241">
                  <c:v>-3.2345394955861173</c:v>
                </c:pt>
                <c:pt idx="242">
                  <c:v>-4.385404848586</c:v>
                </c:pt>
                <c:pt idx="243">
                  <c:v>-4.3132084052824409</c:v>
                </c:pt>
                <c:pt idx="244">
                  <c:v>-3.9376415805531577</c:v>
                </c:pt>
                <c:pt idx="245">
                  <c:v>-2.6641391589006793</c:v>
                </c:pt>
                <c:pt idx="246">
                  <c:v>-2.6457592007484121</c:v>
                </c:pt>
                <c:pt idx="247">
                  <c:v>-1.9486995426201834</c:v>
                </c:pt>
                <c:pt idx="248">
                  <c:v>-1.3271255176212506</c:v>
                </c:pt>
                <c:pt idx="249">
                  <c:v>-1.0030072102942178</c:v>
                </c:pt>
                <c:pt idx="250">
                  <c:v>-0.44169866747732645</c:v>
                </c:pt>
                <c:pt idx="251">
                  <c:v>0.33978288721913491</c:v>
                </c:pt>
                <c:pt idx="252">
                  <c:v>0.50174263161283728</c:v>
                </c:pt>
                <c:pt idx="253">
                  <c:v>2.6025506897689668</c:v>
                </c:pt>
                <c:pt idx="254">
                  <c:v>2.6607160929381304</c:v>
                </c:pt>
                <c:pt idx="255">
                  <c:v>3.0288345599807922</c:v>
                </c:pt>
                <c:pt idx="256">
                  <c:v>2.5549310151664932</c:v>
                </c:pt>
                <c:pt idx="257">
                  <c:v>3.4024467090483381</c:v>
                </c:pt>
                <c:pt idx="258">
                  <c:v>3.5023675257214144</c:v>
                </c:pt>
                <c:pt idx="259">
                  <c:v>2.3560828372482461</c:v>
                </c:pt>
                <c:pt idx="260">
                  <c:v>2.7989796686738315</c:v>
                </c:pt>
                <c:pt idx="261">
                  <c:v>2.8835842685452624</c:v>
                </c:pt>
                <c:pt idx="262">
                  <c:v>3.9134849476450717</c:v>
                </c:pt>
                <c:pt idx="263">
                  <c:v>3.2667374555190825</c:v>
                </c:pt>
                <c:pt idx="264">
                  <c:v>2.9566869471983708</c:v>
                </c:pt>
                <c:pt idx="265">
                  <c:v>4.2197135715931244</c:v>
                </c:pt>
                <c:pt idx="266">
                  <c:v>4.5658967014546334</c:v>
                </c:pt>
                <c:pt idx="267">
                  <c:v>4.4808678998553768</c:v>
                </c:pt>
                <c:pt idx="268">
                  <c:v>4.8586693534303267</c:v>
                </c:pt>
                <c:pt idx="269">
                  <c:v>4.6141353205687539</c:v>
                </c:pt>
                <c:pt idx="270">
                  <c:v>5.1927208782259111</c:v>
                </c:pt>
                <c:pt idx="271">
                  <c:v>5.3712434747753139</c:v>
                </c:pt>
                <c:pt idx="272">
                  <c:v>5.1144022726015912</c:v>
                </c:pt>
                <c:pt idx="273">
                  <c:v>4.7947989341180612</c:v>
                </c:pt>
                <c:pt idx="274">
                  <c:v>5.4692160965337768</c:v>
                </c:pt>
                <c:pt idx="275">
                  <c:v>5.3253474834219254</c:v>
                </c:pt>
                <c:pt idx="276">
                  <c:v>6.4925659464847945</c:v>
                </c:pt>
                <c:pt idx="277">
                  <c:v>6.066172596641807</c:v>
                </c:pt>
                <c:pt idx="278">
                  <c:v>6.5082465195387922</c:v>
                </c:pt>
                <c:pt idx="279">
                  <c:v>6.1080093924513381</c:v>
                </c:pt>
                <c:pt idx="280">
                  <c:v>6.2765047624340013</c:v>
                </c:pt>
                <c:pt idx="281">
                  <c:v>6.5174123340895509</c:v>
                </c:pt>
                <c:pt idx="282">
                  <c:v>8.7337550709477334</c:v>
                </c:pt>
                <c:pt idx="283">
                  <c:v>8.5771352400156111</c:v>
                </c:pt>
                <c:pt idx="284">
                  <c:v>7.9725460955940282</c:v>
                </c:pt>
                <c:pt idx="285">
                  <c:v>7.0843229456442263</c:v>
                </c:pt>
                <c:pt idx="286">
                  <c:v>7.7801946627855747</c:v>
                </c:pt>
                <c:pt idx="287">
                  <c:v>8.2197142138908088</c:v>
                </c:pt>
                <c:pt idx="288">
                  <c:v>7.520300526728481</c:v>
                </c:pt>
                <c:pt idx="289">
                  <c:v>10.032349044757757</c:v>
                </c:pt>
                <c:pt idx="290">
                  <c:v>9.2217162197604523</c:v>
                </c:pt>
                <c:pt idx="291">
                  <c:v>9.8787212890456271</c:v>
                </c:pt>
                <c:pt idx="292">
                  <c:v>8.5387376176230578</c:v>
                </c:pt>
                <c:pt idx="293">
                  <c:v>9.9306753432784785</c:v>
                </c:pt>
                <c:pt idx="294">
                  <c:v>9.3401238799664004</c:v>
                </c:pt>
                <c:pt idx="295">
                  <c:v>8.5511924737603895</c:v>
                </c:pt>
                <c:pt idx="296">
                  <c:v>9.5607275421711169</c:v>
                </c:pt>
                <c:pt idx="297">
                  <c:v>10.897449555793743</c:v>
                </c:pt>
                <c:pt idx="298">
                  <c:v>10.985621107400927</c:v>
                </c:pt>
                <c:pt idx="299">
                  <c:v>9.676047611543547</c:v>
                </c:pt>
                <c:pt idx="300">
                  <c:v>10.591847750908844</c:v>
                </c:pt>
                <c:pt idx="301">
                  <c:v>10.216816198156948</c:v>
                </c:pt>
                <c:pt idx="302">
                  <c:v>10.080336230801764</c:v>
                </c:pt>
                <c:pt idx="303">
                  <c:v>9.8869557286951242</c:v>
                </c:pt>
                <c:pt idx="304">
                  <c:v>9.3279132101358861</c:v>
                </c:pt>
                <c:pt idx="305">
                  <c:v>9.4335853940520167</c:v>
                </c:pt>
                <c:pt idx="306">
                  <c:v>10.385680838508867</c:v>
                </c:pt>
                <c:pt idx="307">
                  <c:v>9.2604357986043695</c:v>
                </c:pt>
                <c:pt idx="308">
                  <c:v>10.77727761042439</c:v>
                </c:pt>
                <c:pt idx="309">
                  <c:v>10.52744287172561</c:v>
                </c:pt>
                <c:pt idx="310">
                  <c:v>10.378252660220816</c:v>
                </c:pt>
                <c:pt idx="311">
                  <c:v>10.366966718574828</c:v>
                </c:pt>
                <c:pt idx="312">
                  <c:v>10.276371454002707</c:v>
                </c:pt>
                <c:pt idx="313">
                  <c:v>10.374005592221277</c:v>
                </c:pt>
                <c:pt idx="314">
                  <c:v>10.72526507503151</c:v>
                </c:pt>
                <c:pt idx="315">
                  <c:v>9.3357788462789859</c:v>
                </c:pt>
                <c:pt idx="316">
                  <c:v>11.097269098910957</c:v>
                </c:pt>
                <c:pt idx="317">
                  <c:v>11.271005253556243</c:v>
                </c:pt>
                <c:pt idx="318">
                  <c:v>10.499856329139808</c:v>
                </c:pt>
                <c:pt idx="319">
                  <c:v>8.3957271088655379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'240821E014'!$A$2:$A$321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'240821E014'!$J$2:$J$321</c:f>
              <c:numCache>
                <c:formatCode>0.0</c:formatCode>
                <c:ptCount val="320"/>
                <c:pt idx="0">
                  <c:v>575.33039871704</c:v>
                </c:pt>
                <c:pt idx="1">
                  <c:v>561.12567764156006</c:v>
                </c:pt>
                <c:pt idx="2">
                  <c:v>555.46879888673993</c:v>
                </c:pt>
                <c:pt idx="3">
                  <c:v>543.11293795925997</c:v>
                </c:pt>
                <c:pt idx="4">
                  <c:v>543.22287143041001</c:v>
                </c:pt>
                <c:pt idx="5">
                  <c:v>537.76276388371002</c:v>
                </c:pt>
                <c:pt idx="6">
                  <c:v>545.7720563777699</c:v>
                </c:pt>
                <c:pt idx="7">
                  <c:v>555.76875315979999</c:v>
                </c:pt>
                <c:pt idx="8">
                  <c:v>541.18161818942997</c:v>
                </c:pt>
                <c:pt idx="9">
                  <c:v>538.59934579897003</c:v>
                </c:pt>
                <c:pt idx="10">
                  <c:v>530.60046558452996</c:v>
                </c:pt>
                <c:pt idx="11">
                  <c:v>537.6007041319599</c:v>
                </c:pt>
                <c:pt idx="12">
                  <c:v>530.51685382835001</c:v>
                </c:pt>
                <c:pt idx="13">
                  <c:v>532.49987244247995</c:v>
                </c:pt>
                <c:pt idx="14">
                  <c:v>525.4090041645801</c:v>
                </c:pt>
                <c:pt idx="15">
                  <c:v>509.15758207861001</c:v>
                </c:pt>
                <c:pt idx="16">
                  <c:v>509.82676095543002</c:v>
                </c:pt>
                <c:pt idx="17">
                  <c:v>521.00792248212997</c:v>
                </c:pt>
                <c:pt idx="18">
                  <c:v>524.81900524292996</c:v>
                </c:pt>
                <c:pt idx="19">
                  <c:v>518.33933346328001</c:v>
                </c:pt>
                <c:pt idx="20">
                  <c:v>512.38151567972</c:v>
                </c:pt>
                <c:pt idx="21">
                  <c:v>514.77974527109996</c:v>
                </c:pt>
                <c:pt idx="22">
                  <c:v>515.51458135800999</c:v>
                </c:pt>
                <c:pt idx="23">
                  <c:v>495.8261641409</c:v>
                </c:pt>
                <c:pt idx="24">
                  <c:v>490.28325867091002</c:v>
                </c:pt>
                <c:pt idx="25">
                  <c:v>487.12485298677007</c:v>
                </c:pt>
                <c:pt idx="26">
                  <c:v>484.31779794157995</c:v>
                </c:pt>
                <c:pt idx="27">
                  <c:v>499.05122962143997</c:v>
                </c:pt>
                <c:pt idx="28">
                  <c:v>507.53289354738001</c:v>
                </c:pt>
                <c:pt idx="29">
                  <c:v>521.77966291435007</c:v>
                </c:pt>
                <c:pt idx="30">
                  <c:v>511.44196155769998</c:v>
                </c:pt>
                <c:pt idx="31">
                  <c:v>507.53249825451007</c:v>
                </c:pt>
                <c:pt idx="32">
                  <c:v>492.09961357038003</c:v>
                </c:pt>
                <c:pt idx="33">
                  <c:v>499.12690569910001</c:v>
                </c:pt>
                <c:pt idx="34">
                  <c:v>504.60731113549002</c:v>
                </c:pt>
                <c:pt idx="35">
                  <c:v>504.72491285864004</c:v>
                </c:pt>
                <c:pt idx="36">
                  <c:v>507.08248851626001</c:v>
                </c:pt>
                <c:pt idx="37">
                  <c:v>530.09853697548999</c:v>
                </c:pt>
                <c:pt idx="38">
                  <c:v>523.76402028587006</c:v>
                </c:pt>
                <c:pt idx="39">
                  <c:v>514.28925232121003</c:v>
                </c:pt>
                <c:pt idx="40">
                  <c:v>504.09127872239003</c:v>
                </c:pt>
                <c:pt idx="41">
                  <c:v>515.04888205168993</c:v>
                </c:pt>
                <c:pt idx="42">
                  <c:v>499.15058385270999</c:v>
                </c:pt>
                <c:pt idx="43">
                  <c:v>497.74688254316004</c:v>
                </c:pt>
                <c:pt idx="44">
                  <c:v>504.33728690496002</c:v>
                </c:pt>
                <c:pt idx="45">
                  <c:v>512.64865490687998</c:v>
                </c:pt>
                <c:pt idx="46">
                  <c:v>481.70831922821003</c:v>
                </c:pt>
                <c:pt idx="47">
                  <c:v>494.21272839946005</c:v>
                </c:pt>
                <c:pt idx="48">
                  <c:v>471.81468892602993</c:v>
                </c:pt>
                <c:pt idx="49">
                  <c:v>487.80892824323001</c:v>
                </c:pt>
                <c:pt idx="50">
                  <c:v>485.36047473594004</c:v>
                </c:pt>
                <c:pt idx="51">
                  <c:v>488.13828452702995</c:v>
                </c:pt>
                <c:pt idx="52">
                  <c:v>478.70262310422999</c:v>
                </c:pt>
                <c:pt idx="53">
                  <c:v>484.84598619885003</c:v>
                </c:pt>
                <c:pt idx="54">
                  <c:v>495.21284059034997</c:v>
                </c:pt>
                <c:pt idx="55">
                  <c:v>494.55521984571999</c:v>
                </c:pt>
                <c:pt idx="56">
                  <c:v>501.49817155232995</c:v>
                </c:pt>
                <c:pt idx="57">
                  <c:v>514.63766197646999</c:v>
                </c:pt>
                <c:pt idx="58">
                  <c:v>506.35755982565001</c:v>
                </c:pt>
                <c:pt idx="59">
                  <c:v>514.99589053303998</c:v>
                </c:pt>
                <c:pt idx="60">
                  <c:v>508.67761476906998</c:v>
                </c:pt>
                <c:pt idx="61">
                  <c:v>505.55036617260998</c:v>
                </c:pt>
                <c:pt idx="62">
                  <c:v>505.33876474824001</c:v>
                </c:pt>
                <c:pt idx="63">
                  <c:v>502.82830237881001</c:v>
                </c:pt>
                <c:pt idx="64">
                  <c:v>494.13153345395995</c:v>
                </c:pt>
                <c:pt idx="65">
                  <c:v>489.54774609513004</c:v>
                </c:pt>
                <c:pt idx="66">
                  <c:v>492.48189180758004</c:v>
                </c:pt>
                <c:pt idx="67">
                  <c:v>506.59826459192004</c:v>
                </c:pt>
                <c:pt idx="68">
                  <c:v>497.18927359949998</c:v>
                </c:pt>
                <c:pt idx="69">
                  <c:v>496.94033338949998</c:v>
                </c:pt>
                <c:pt idx="70">
                  <c:v>487.44070271371004</c:v>
                </c:pt>
                <c:pt idx="71">
                  <c:v>499.53218815482001</c:v>
                </c:pt>
                <c:pt idx="72">
                  <c:v>499.03498404077004</c:v>
                </c:pt>
                <c:pt idx="73">
                  <c:v>509.00143958571005</c:v>
                </c:pt>
                <c:pt idx="74">
                  <c:v>519.05072507934995</c:v>
                </c:pt>
                <c:pt idx="75">
                  <c:v>525.81464284546007</c:v>
                </c:pt>
                <c:pt idx="76">
                  <c:v>521.97473755344004</c:v>
                </c:pt>
                <c:pt idx="77">
                  <c:v>529.76567712275005</c:v>
                </c:pt>
                <c:pt idx="78">
                  <c:v>520.38355052615009</c:v>
                </c:pt>
                <c:pt idx="79">
                  <c:v>513.14142436213001</c:v>
                </c:pt>
                <c:pt idx="80">
                  <c:v>515.30675452261994</c:v>
                </c:pt>
                <c:pt idx="81">
                  <c:v>519.00712708376</c:v>
                </c:pt>
                <c:pt idx="82">
                  <c:v>519.58764498924995</c:v>
                </c:pt>
                <c:pt idx="83">
                  <c:v>525.28147648367008</c:v>
                </c:pt>
                <c:pt idx="84">
                  <c:v>517.57496908668998</c:v>
                </c:pt>
                <c:pt idx="85">
                  <c:v>513.73853794244997</c:v>
                </c:pt>
                <c:pt idx="86">
                  <c:v>506.82342460469999</c:v>
                </c:pt>
                <c:pt idx="87">
                  <c:v>519.27293619863008</c:v>
                </c:pt>
                <c:pt idx="88">
                  <c:v>510.59408079499008</c:v>
                </c:pt>
                <c:pt idx="89">
                  <c:v>522.31811507697</c:v>
                </c:pt>
                <c:pt idx="90">
                  <c:v>532.22235024782003</c:v>
                </c:pt>
                <c:pt idx="91">
                  <c:v>549.12690653208006</c:v>
                </c:pt>
                <c:pt idx="92">
                  <c:v>563.81056534859999</c:v>
                </c:pt>
                <c:pt idx="93">
                  <c:v>544.83937698990007</c:v>
                </c:pt>
                <c:pt idx="94">
                  <c:v>578.32299111754003</c:v>
                </c:pt>
                <c:pt idx="95">
                  <c:v>590.70972313508992</c:v>
                </c:pt>
                <c:pt idx="96">
                  <c:v>609.48194149718006</c:v>
                </c:pt>
                <c:pt idx="97">
                  <c:v>611.82893341596002</c:v>
                </c:pt>
                <c:pt idx="98">
                  <c:v>619.41253309797003</c:v>
                </c:pt>
                <c:pt idx="99">
                  <c:v>619.58045178881002</c:v>
                </c:pt>
                <c:pt idx="100">
                  <c:v>619.06693757647008</c:v>
                </c:pt>
                <c:pt idx="101">
                  <c:v>604.68953643441</c:v>
                </c:pt>
                <c:pt idx="102">
                  <c:v>597.14098056268006</c:v>
                </c:pt>
                <c:pt idx="103">
                  <c:v>585.06345493529989</c:v>
                </c:pt>
                <c:pt idx="104">
                  <c:v>575.89487273160989</c:v>
                </c:pt>
                <c:pt idx="105">
                  <c:v>565.70539100509995</c:v>
                </c:pt>
                <c:pt idx="106">
                  <c:v>565.19759602099998</c:v>
                </c:pt>
                <c:pt idx="107">
                  <c:v>549.43850424079005</c:v>
                </c:pt>
                <c:pt idx="108">
                  <c:v>551.72822132289002</c:v>
                </c:pt>
                <c:pt idx="109">
                  <c:v>553.57489555666996</c:v>
                </c:pt>
                <c:pt idx="110">
                  <c:v>546.59922022860997</c:v>
                </c:pt>
                <c:pt idx="111">
                  <c:v>548.80688691233001</c:v>
                </c:pt>
                <c:pt idx="112">
                  <c:v>546.64573376784006</c:v>
                </c:pt>
                <c:pt idx="113">
                  <c:v>546.15242080546</c:v>
                </c:pt>
                <c:pt idx="114">
                  <c:v>540.82728853231004</c:v>
                </c:pt>
                <c:pt idx="115">
                  <c:v>534.54279864863997</c:v>
                </c:pt>
                <c:pt idx="116">
                  <c:v>534.68741662231992</c:v>
                </c:pt>
                <c:pt idx="117">
                  <c:v>533.62080022394002</c:v>
                </c:pt>
                <c:pt idx="118">
                  <c:v>534.4031867640299</c:v>
                </c:pt>
                <c:pt idx="119">
                  <c:v>536.45903683028996</c:v>
                </c:pt>
                <c:pt idx="120">
                  <c:v>533.20306621555994</c:v>
                </c:pt>
                <c:pt idx="121">
                  <c:v>536.23709616786005</c:v>
                </c:pt>
                <c:pt idx="122">
                  <c:v>533.60037004602009</c:v>
                </c:pt>
                <c:pt idx="123">
                  <c:v>530.16706258125009</c:v>
                </c:pt>
                <c:pt idx="124">
                  <c:v>531.93512359705005</c:v>
                </c:pt>
                <c:pt idx="125">
                  <c:v>531.49491277158995</c:v>
                </c:pt>
                <c:pt idx="126">
                  <c:v>523.82390315048997</c:v>
                </c:pt>
                <c:pt idx="127">
                  <c:v>515.66581410051992</c:v>
                </c:pt>
                <c:pt idx="128">
                  <c:v>510.63845655965997</c:v>
                </c:pt>
                <c:pt idx="129">
                  <c:v>511.05285665383997</c:v>
                </c:pt>
                <c:pt idx="130">
                  <c:v>503.59002588952001</c:v>
                </c:pt>
                <c:pt idx="131">
                  <c:v>503.51590344107996</c:v>
                </c:pt>
                <c:pt idx="132">
                  <c:v>491.70616022586</c:v>
                </c:pt>
                <c:pt idx="133">
                  <c:v>497.44231626750997</c:v>
                </c:pt>
                <c:pt idx="134">
                  <c:v>495.35784749864001</c:v>
                </c:pt>
                <c:pt idx="135">
                  <c:v>492.05848851056999</c:v>
                </c:pt>
                <c:pt idx="136">
                  <c:v>487.42103254055007</c:v>
                </c:pt>
                <c:pt idx="137">
                  <c:v>486.33035332631005</c:v>
                </c:pt>
                <c:pt idx="138">
                  <c:v>495.16472490447995</c:v>
                </c:pt>
                <c:pt idx="139">
                  <c:v>479.29786230548001</c:v>
                </c:pt>
                <c:pt idx="140">
                  <c:v>484.41174725983001</c:v>
                </c:pt>
                <c:pt idx="141">
                  <c:v>479.85382333977998</c:v>
                </c:pt>
                <c:pt idx="142">
                  <c:v>478.05609284333002</c:v>
                </c:pt>
                <c:pt idx="143">
                  <c:v>479.76595744680998</c:v>
                </c:pt>
                <c:pt idx="144">
                  <c:v>475.81373545719003</c:v>
                </c:pt>
                <c:pt idx="145">
                  <c:v>480.33899571433994</c:v>
                </c:pt>
                <c:pt idx="146">
                  <c:v>481.23355393075002</c:v>
                </c:pt>
                <c:pt idx="147">
                  <c:v>483.50738423028997</c:v>
                </c:pt>
                <c:pt idx="148">
                  <c:v>481.12950910860002</c:v>
                </c:pt>
                <c:pt idx="149">
                  <c:v>481.24397036699997</c:v>
                </c:pt>
                <c:pt idx="150">
                  <c:v>480.90533115890003</c:v>
                </c:pt>
                <c:pt idx="151">
                  <c:v>477.91106180705998</c:v>
                </c:pt>
                <c:pt idx="152">
                  <c:v>478.94680851063993</c:v>
                </c:pt>
                <c:pt idx="153">
                  <c:v>473.95840932117005</c:v>
                </c:pt>
                <c:pt idx="154">
                  <c:v>468.00654877037994</c:v>
                </c:pt>
                <c:pt idx="155">
                  <c:v>464.42880630009006</c:v>
                </c:pt>
                <c:pt idx="156">
                  <c:v>472.71904434881992</c:v>
                </c:pt>
                <c:pt idx="157">
                  <c:v>472.42033740971999</c:v>
                </c:pt>
                <c:pt idx="158">
                  <c:v>471.98026449259004</c:v>
                </c:pt>
                <c:pt idx="159">
                  <c:v>454.12221851196</c:v>
                </c:pt>
                <c:pt idx="160">
                  <c:v>451.18409219899996</c:v>
                </c:pt>
                <c:pt idx="161">
                  <c:v>448.16101056803996</c:v>
                </c:pt>
                <c:pt idx="162">
                  <c:v>455.39292927895002</c:v>
                </c:pt>
                <c:pt idx="163">
                  <c:v>454.81063196367995</c:v>
                </c:pt>
                <c:pt idx="164">
                  <c:v>450.50786887129993</c:v>
                </c:pt>
                <c:pt idx="165">
                  <c:v>451.16090401935992</c:v>
                </c:pt>
                <c:pt idx="166">
                  <c:v>451.01505440484004</c:v>
                </c:pt>
                <c:pt idx="167">
                  <c:v>450.13793061500002</c:v>
                </c:pt>
                <c:pt idx="168">
                  <c:v>446.52002045398996</c:v>
                </c:pt>
                <c:pt idx="169">
                  <c:v>456.54275389043005</c:v>
                </c:pt>
                <c:pt idx="170">
                  <c:v>446.47406969772999</c:v>
                </c:pt>
                <c:pt idx="171">
                  <c:v>450.46593356892004</c:v>
                </c:pt>
                <c:pt idx="172">
                  <c:v>457.38106926916998</c:v>
                </c:pt>
                <c:pt idx="173">
                  <c:v>471.98171632710995</c:v>
                </c:pt>
                <c:pt idx="174">
                  <c:v>503.05153838255001</c:v>
                </c:pt>
                <c:pt idx="175">
                  <c:v>496.60121281140994</c:v>
                </c:pt>
                <c:pt idx="176">
                  <c:v>489.86595556890995</c:v>
                </c:pt>
                <c:pt idx="177">
                  <c:v>483.92429813524006</c:v>
                </c:pt>
                <c:pt idx="178">
                  <c:v>492.88457427993001</c:v>
                </c:pt>
                <c:pt idx="179">
                  <c:v>506.33855736970997</c:v>
                </c:pt>
                <c:pt idx="180">
                  <c:v>514.39713702773997</c:v>
                </c:pt>
                <c:pt idx="181">
                  <c:v>489.99913556990998</c:v>
                </c:pt>
                <c:pt idx="182">
                  <c:v>501.50846548511993</c:v>
                </c:pt>
                <c:pt idx="183">
                  <c:v>495.72193541205996</c:v>
                </c:pt>
                <c:pt idx="184">
                  <c:v>491.89464945385998</c:v>
                </c:pt>
                <c:pt idx="185">
                  <c:v>487.42294285288006</c:v>
                </c:pt>
                <c:pt idx="186">
                  <c:v>486.03430003128994</c:v>
                </c:pt>
                <c:pt idx="187">
                  <c:v>489.33115296006008</c:v>
                </c:pt>
                <c:pt idx="188">
                  <c:v>492.93314011975002</c:v>
                </c:pt>
                <c:pt idx="189">
                  <c:v>499.00423490994001</c:v>
                </c:pt>
                <c:pt idx="190">
                  <c:v>492.98884451433003</c:v>
                </c:pt>
                <c:pt idx="191">
                  <c:v>488.72417887739994</c:v>
                </c:pt>
                <c:pt idx="192">
                  <c:v>485.90691547341999</c:v>
                </c:pt>
                <c:pt idx="193">
                  <c:v>488.18999387010996</c:v>
                </c:pt>
                <c:pt idx="194">
                  <c:v>493.02119135397999</c:v>
                </c:pt>
                <c:pt idx="195">
                  <c:v>489.98510638298001</c:v>
                </c:pt>
                <c:pt idx="196">
                  <c:v>489.53310306713996</c:v>
                </c:pt>
                <c:pt idx="197">
                  <c:v>476.34639863682003</c:v>
                </c:pt>
                <c:pt idx="198">
                  <c:v>492.14670281261994</c:v>
                </c:pt>
                <c:pt idx="199">
                  <c:v>481.52604683139003</c:v>
                </c:pt>
                <c:pt idx="200">
                  <c:v>498.94508102049008</c:v>
                </c:pt>
                <c:pt idx="201">
                  <c:v>490.2078482023</c:v>
                </c:pt>
                <c:pt idx="202">
                  <c:v>503.16255349214998</c:v>
                </c:pt>
                <c:pt idx="203">
                  <c:v>477.85232116668999</c:v>
                </c:pt>
                <c:pt idx="204">
                  <c:v>487.06109721585005</c:v>
                </c:pt>
                <c:pt idx="205">
                  <c:v>502.12356508784995</c:v>
                </c:pt>
                <c:pt idx="206">
                  <c:v>479.54086736840009</c:v>
                </c:pt>
                <c:pt idx="207">
                  <c:v>478.86956650160005</c:v>
                </c:pt>
                <c:pt idx="208">
                  <c:v>485.67633489287005</c:v>
                </c:pt>
                <c:pt idx="209">
                  <c:v>507.33481599670995</c:v>
                </c:pt>
                <c:pt idx="210">
                  <c:v>505.52558911409</c:v>
                </c:pt>
                <c:pt idx="211">
                  <c:v>507.59669674641998</c:v>
                </c:pt>
                <c:pt idx="212">
                  <c:v>494.49667786927</c:v>
                </c:pt>
                <c:pt idx="213">
                  <c:v>504.70002837213997</c:v>
                </c:pt>
                <c:pt idx="214">
                  <c:v>494.12596518542</c:v>
                </c:pt>
                <c:pt idx="215">
                  <c:v>502.43701164941001</c:v>
                </c:pt>
                <c:pt idx="216">
                  <c:v>484.58177923802998</c:v>
                </c:pt>
                <c:pt idx="217">
                  <c:v>497.20422350383001</c:v>
                </c:pt>
                <c:pt idx="218">
                  <c:v>513.76386962075003</c:v>
                </c:pt>
                <c:pt idx="219">
                  <c:v>506.17413441279007</c:v>
                </c:pt>
                <c:pt idx="220">
                  <c:v>509.21733377857004</c:v>
                </c:pt>
                <c:pt idx="221">
                  <c:v>512.41957421606003</c:v>
                </c:pt>
                <c:pt idx="222">
                  <c:v>515.12701482913997</c:v>
                </c:pt>
                <c:pt idx="223">
                  <c:v>509.24108869854001</c:v>
                </c:pt>
                <c:pt idx="224">
                  <c:v>501.58367412729001</c:v>
                </c:pt>
                <c:pt idx="225">
                  <c:v>506.71750286611996</c:v>
                </c:pt>
                <c:pt idx="226">
                  <c:v>502.56248082977993</c:v>
                </c:pt>
                <c:pt idx="227">
                  <c:v>488.73999564630992</c:v>
                </c:pt>
                <c:pt idx="228">
                  <c:v>476.59273183270994</c:v>
                </c:pt>
                <c:pt idx="229">
                  <c:v>473.48323662153001</c:v>
                </c:pt>
                <c:pt idx="230">
                  <c:v>475.90413876096</c:v>
                </c:pt>
                <c:pt idx="231">
                  <c:v>489.61831076725002</c:v>
                </c:pt>
                <c:pt idx="232">
                  <c:v>499.09733378844999</c:v>
                </c:pt>
                <c:pt idx="233">
                  <c:v>490.85632672153008</c:v>
                </c:pt>
                <c:pt idx="234">
                  <c:v>483.87785363016997</c:v>
                </c:pt>
                <c:pt idx="235">
                  <c:v>479.74799686475995</c:v>
                </c:pt>
                <c:pt idx="236">
                  <c:v>475.53900582799002</c:v>
                </c:pt>
                <c:pt idx="237">
                  <c:v>498.89812562423992</c:v>
                </c:pt>
                <c:pt idx="238">
                  <c:v>476.76606944876005</c:v>
                </c:pt>
                <c:pt idx="239">
                  <c:v>486.71408050297003</c:v>
                </c:pt>
                <c:pt idx="240">
                  <c:v>495.90302345470002</c:v>
                </c:pt>
                <c:pt idx="241">
                  <c:v>500.38264818145996</c:v>
                </c:pt>
                <c:pt idx="242">
                  <c:v>497.07272174275005</c:v>
                </c:pt>
                <c:pt idx="243">
                  <c:v>506.13606599709999</c:v>
                </c:pt>
                <c:pt idx="244">
                  <c:v>488.39773492331005</c:v>
                </c:pt>
                <c:pt idx="245">
                  <c:v>490.13633093797</c:v>
                </c:pt>
                <c:pt idx="246">
                  <c:v>499.43089594315995</c:v>
                </c:pt>
                <c:pt idx="247">
                  <c:v>493.32180124144998</c:v>
                </c:pt>
                <c:pt idx="248">
                  <c:v>508.47450908385997</c:v>
                </c:pt>
                <c:pt idx="249">
                  <c:v>482.02938831359995</c:v>
                </c:pt>
                <c:pt idx="250">
                  <c:v>477.13740234593001</c:v>
                </c:pt>
                <c:pt idx="251">
                  <c:v>466.82444102770006</c:v>
                </c:pt>
                <c:pt idx="252">
                  <c:v>466.21858001356003</c:v>
                </c:pt>
                <c:pt idx="253">
                  <c:v>473.88133902935999</c:v>
                </c:pt>
                <c:pt idx="254">
                  <c:v>487.05778587961004</c:v>
                </c:pt>
                <c:pt idx="255">
                  <c:v>481.66199163586998</c:v>
                </c:pt>
                <c:pt idx="256">
                  <c:v>480.69982714804001</c:v>
                </c:pt>
                <c:pt idx="257">
                  <c:v>491.62993916494997</c:v>
                </c:pt>
                <c:pt idx="258">
                  <c:v>490.93588064147002</c:v>
                </c:pt>
                <c:pt idx="259">
                  <c:v>496.73384476696998</c:v>
                </c:pt>
                <c:pt idx="260">
                  <c:v>492.86662245315995</c:v>
                </c:pt>
                <c:pt idx="261">
                  <c:v>486.48728274453003</c:v>
                </c:pt>
                <c:pt idx="262">
                  <c:v>487.39722604302005</c:v>
                </c:pt>
                <c:pt idx="263">
                  <c:v>504.62749660532995</c:v>
                </c:pt>
                <c:pt idx="264">
                  <c:v>492.17376325268992</c:v>
                </c:pt>
                <c:pt idx="265">
                  <c:v>496.55355460257999</c:v>
                </c:pt>
                <c:pt idx="266">
                  <c:v>492.26404013383001</c:v>
                </c:pt>
                <c:pt idx="267">
                  <c:v>506.89462267237997</c:v>
                </c:pt>
                <c:pt idx="268">
                  <c:v>499.44927289852996</c:v>
                </c:pt>
                <c:pt idx="269">
                  <c:v>489.29740877353004</c:v>
                </c:pt>
                <c:pt idx="270">
                  <c:v>485.65885377108998</c:v>
                </c:pt>
                <c:pt idx="271">
                  <c:v>464.08256115797997</c:v>
                </c:pt>
                <c:pt idx="272">
                  <c:v>459.57235781807003</c:v>
                </c:pt>
                <c:pt idx="273">
                  <c:v>470.13889187186999</c:v>
                </c:pt>
                <c:pt idx="274">
                  <c:v>474.94631516044001</c:v>
                </c:pt>
                <c:pt idx="275">
                  <c:v>471.16888495276004</c:v>
                </c:pt>
                <c:pt idx="276">
                  <c:v>484.71471235052002</c:v>
                </c:pt>
                <c:pt idx="277">
                  <c:v>490.79591337105001</c:v>
                </c:pt>
                <c:pt idx="278">
                  <c:v>484.53262461652997</c:v>
                </c:pt>
                <c:pt idx="279">
                  <c:v>496.99533083652</c:v>
                </c:pt>
                <c:pt idx="280">
                  <c:v>484.50265192387997</c:v>
                </c:pt>
                <c:pt idx="281">
                  <c:v>481.59669964173997</c:v>
                </c:pt>
                <c:pt idx="282">
                  <c:v>471.15403661837001</c:v>
                </c:pt>
                <c:pt idx="283">
                  <c:v>462.72211183018999</c:v>
                </c:pt>
                <c:pt idx="284">
                  <c:v>462.89338561723002</c:v>
                </c:pt>
                <c:pt idx="285">
                  <c:v>466.39315211713995</c:v>
                </c:pt>
                <c:pt idx="286">
                  <c:v>445.73391720933</c:v>
                </c:pt>
                <c:pt idx="287">
                  <c:v>462.23152145531003</c:v>
                </c:pt>
                <c:pt idx="288">
                  <c:v>476.94724746394996</c:v>
                </c:pt>
                <c:pt idx="289">
                  <c:v>478.59952498608004</c:v>
                </c:pt>
                <c:pt idx="290">
                  <c:v>467.44209525807003</c:v>
                </c:pt>
                <c:pt idx="291">
                  <c:v>456.64585042409999</c:v>
                </c:pt>
                <c:pt idx="292">
                  <c:v>480.25076896906</c:v>
                </c:pt>
                <c:pt idx="293">
                  <c:v>483.25391823627996</c:v>
                </c:pt>
                <c:pt idx="294">
                  <c:v>498.91662088222006</c:v>
                </c:pt>
                <c:pt idx="295">
                  <c:v>506.75853654626002</c:v>
                </c:pt>
                <c:pt idx="296">
                  <c:v>512.98286909981994</c:v>
                </c:pt>
                <c:pt idx="297">
                  <c:v>507.70263822359999</c:v>
                </c:pt>
                <c:pt idx="298">
                  <c:v>475.26901904081001</c:v>
                </c:pt>
                <c:pt idx="299">
                  <c:v>464.78422077683001</c:v>
                </c:pt>
                <c:pt idx="300">
                  <c:v>458.04033277177996</c:v>
                </c:pt>
                <c:pt idx="301">
                  <c:v>448.93227793869005</c:v>
                </c:pt>
                <c:pt idx="302">
                  <c:v>478.59855933930004</c:v>
                </c:pt>
                <c:pt idx="303">
                  <c:v>470.63867579746994</c:v>
                </c:pt>
                <c:pt idx="304">
                  <c:v>466.74440734816005</c:v>
                </c:pt>
                <c:pt idx="305">
                  <c:v>464.88841504159996</c:v>
                </c:pt>
                <c:pt idx="306">
                  <c:v>465.72800047622002</c:v>
                </c:pt>
                <c:pt idx="307">
                  <c:v>470.26018450280992</c:v>
                </c:pt>
                <c:pt idx="308">
                  <c:v>475.31548543863005</c:v>
                </c:pt>
                <c:pt idx="309">
                  <c:v>475.95794160328995</c:v>
                </c:pt>
                <c:pt idx="310">
                  <c:v>470.00370603611998</c:v>
                </c:pt>
                <c:pt idx="311">
                  <c:v>460.59724546052996</c:v>
                </c:pt>
                <c:pt idx="312">
                  <c:v>467.81359612952997</c:v>
                </c:pt>
                <c:pt idx="313">
                  <c:v>468.08511138100999</c:v>
                </c:pt>
                <c:pt idx="314">
                  <c:v>459.42417245189</c:v>
                </c:pt>
                <c:pt idx="315">
                  <c:v>468.48143571637996</c:v>
                </c:pt>
                <c:pt idx="316">
                  <c:v>442.26327392913004</c:v>
                </c:pt>
                <c:pt idx="317">
                  <c:v>436.82241585446997</c:v>
                </c:pt>
                <c:pt idx="318">
                  <c:v>442.84676469300001</c:v>
                </c:pt>
                <c:pt idx="319">
                  <c:v>446.99287905211997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8-4D45-8D4C-66A22B4E9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F-6E4A-B640-A4090FF115E9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'240821E014'!$A$2:$A$321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'240821E014'!$P$2:$P$321</c:f>
              <c:numCache>
                <c:formatCode>General</c:formatCode>
                <c:ptCount val="320"/>
                <c:pt idx="0">
                  <c:v>6.6198243484556576</c:v>
                </c:pt>
                <c:pt idx="1">
                  <c:v>2.7966227046111158</c:v>
                </c:pt>
                <c:pt idx="2">
                  <c:v>6.6410756144783294</c:v>
                </c:pt>
                <c:pt idx="3">
                  <c:v>4.4912202080758279</c:v>
                </c:pt>
                <c:pt idx="4">
                  <c:v>2.6356239397026129</c:v>
                </c:pt>
                <c:pt idx="5">
                  <c:v>-1.0999314950073065</c:v>
                </c:pt>
                <c:pt idx="6">
                  <c:v>-4.1891983317362813</c:v>
                </c:pt>
                <c:pt idx="7">
                  <c:v>-6.3481745326845749</c:v>
                </c:pt>
                <c:pt idx="8">
                  <c:v>-7.079245969421355</c:v>
                </c:pt>
                <c:pt idx="9">
                  <c:v>-8.6763476722761954</c:v>
                </c:pt>
                <c:pt idx="10">
                  <c:v>-10.511618576221037</c:v>
                </c:pt>
                <c:pt idx="11">
                  <c:v>-11.47766924194439</c:v>
                </c:pt>
                <c:pt idx="12">
                  <c:v>-12.046830124782868</c:v>
                </c:pt>
                <c:pt idx="13">
                  <c:v>-13.380665342847189</c:v>
                </c:pt>
                <c:pt idx="14">
                  <c:v>-14.117591605926316</c:v>
                </c:pt>
                <c:pt idx="15">
                  <c:v>-12.770861180627477</c:v>
                </c:pt>
                <c:pt idx="16">
                  <c:v>-13.500519936004682</c:v>
                </c:pt>
                <c:pt idx="17">
                  <c:v>-14.251037940010447</c:v>
                </c:pt>
                <c:pt idx="18">
                  <c:v>-12.750492613279995</c:v>
                </c:pt>
                <c:pt idx="19">
                  <c:v>-12.542094087681596</c:v>
                </c:pt>
                <c:pt idx="20">
                  <c:v>-14.136156956358747</c:v>
                </c:pt>
                <c:pt idx="21">
                  <c:v>-14.544716096328978</c:v>
                </c:pt>
                <c:pt idx="22">
                  <c:v>-13.301342153899601</c:v>
                </c:pt>
                <c:pt idx="23">
                  <c:v>-13.724789726174366</c:v>
                </c:pt>
                <c:pt idx="24">
                  <c:v>-10.150017447411228</c:v>
                </c:pt>
                <c:pt idx="25">
                  <c:v>-8.9684671824299205</c:v>
                </c:pt>
                <c:pt idx="26">
                  <c:v>-9.354593449087071</c:v>
                </c:pt>
                <c:pt idx="27">
                  <c:v>-12.395942618487839</c:v>
                </c:pt>
                <c:pt idx="28">
                  <c:v>-11.997507010978623</c:v>
                </c:pt>
                <c:pt idx="29">
                  <c:v>-10.640112629282267</c:v>
                </c:pt>
                <c:pt idx="30">
                  <c:v>-10.784947379915014</c:v>
                </c:pt>
                <c:pt idx="31">
                  <c:v>-9.5508405932625795</c:v>
                </c:pt>
                <c:pt idx="32">
                  <c:v>-9.0258084061994204</c:v>
                </c:pt>
                <c:pt idx="33">
                  <c:v>-8.1278940276764864</c:v>
                </c:pt>
                <c:pt idx="34">
                  <c:v>-9.8398470459915117</c:v>
                </c:pt>
                <c:pt idx="35">
                  <c:v>-10.108268961327639</c:v>
                </c:pt>
                <c:pt idx="36">
                  <c:v>-9.7791765528014238</c:v>
                </c:pt>
                <c:pt idx="37">
                  <c:v>-8.0770356490566986</c:v>
                </c:pt>
                <c:pt idx="38">
                  <c:v>-7.3461142279792293</c:v>
                </c:pt>
                <c:pt idx="39">
                  <c:v>-6.1384491274492685</c:v>
                </c:pt>
                <c:pt idx="40">
                  <c:v>-5.6593893464620182</c:v>
                </c:pt>
                <c:pt idx="41">
                  <c:v>-3.6753682152764222</c:v>
                </c:pt>
                <c:pt idx="42">
                  <c:v>-1.7920994763089146</c:v>
                </c:pt>
                <c:pt idx="43">
                  <c:v>-4.779084333126784</c:v>
                </c:pt>
                <c:pt idx="44">
                  <c:v>-5.4301325610077091</c:v>
                </c:pt>
                <c:pt idx="45">
                  <c:v>-3.3936696373105515</c:v>
                </c:pt>
                <c:pt idx="46">
                  <c:v>-0.54596591095821823</c:v>
                </c:pt>
                <c:pt idx="47">
                  <c:v>-2.6534972117822733</c:v>
                </c:pt>
                <c:pt idx="48">
                  <c:v>-0.97858190805866252</c:v>
                </c:pt>
                <c:pt idx="49">
                  <c:v>-2.3153766391116992</c:v>
                </c:pt>
                <c:pt idx="50">
                  <c:v>-1.6701098796321905</c:v>
                </c:pt>
                <c:pt idx="51">
                  <c:v>-0.86085099169358748</c:v>
                </c:pt>
                <c:pt idx="52">
                  <c:v>0.14154100181172297</c:v>
                </c:pt>
                <c:pt idx="53">
                  <c:v>-0.31209736572681473</c:v>
                </c:pt>
                <c:pt idx="54">
                  <c:v>-2.6444237093025578</c:v>
                </c:pt>
                <c:pt idx="55">
                  <c:v>-3.0296996723818985</c:v>
                </c:pt>
                <c:pt idx="56">
                  <c:v>-2.1986001990522257</c:v>
                </c:pt>
                <c:pt idx="57">
                  <c:v>-1.2498596057539235</c:v>
                </c:pt>
                <c:pt idx="58">
                  <c:v>-0.49343317360112426</c:v>
                </c:pt>
                <c:pt idx="59">
                  <c:v>-2.8018795989803498</c:v>
                </c:pt>
                <c:pt idx="60">
                  <c:v>-0.74805511228301269</c:v>
                </c:pt>
                <c:pt idx="61">
                  <c:v>-1.0274227177701969</c:v>
                </c:pt>
                <c:pt idx="62">
                  <c:v>-0.95270076794477676</c:v>
                </c:pt>
                <c:pt idx="63">
                  <c:v>-0.36025039673312326</c:v>
                </c:pt>
                <c:pt idx="64">
                  <c:v>0.57107177175797674</c:v>
                </c:pt>
                <c:pt idx="65">
                  <c:v>-0.85249506906324135</c:v>
                </c:pt>
                <c:pt idx="66">
                  <c:v>0.1117697385334664</c:v>
                </c:pt>
                <c:pt idx="67">
                  <c:v>0.7492061794896423</c:v>
                </c:pt>
                <c:pt idx="68">
                  <c:v>2.3670107473628899</c:v>
                </c:pt>
                <c:pt idx="69">
                  <c:v>1.5936070596513288</c:v>
                </c:pt>
                <c:pt idx="70">
                  <c:v>0.91097326265459078</c:v>
                </c:pt>
                <c:pt idx="71">
                  <c:v>-1.0792688950162297</c:v>
                </c:pt>
                <c:pt idx="72">
                  <c:v>-2.3647728125877667</c:v>
                </c:pt>
                <c:pt idx="73">
                  <c:v>-2.2603430161971394</c:v>
                </c:pt>
                <c:pt idx="74">
                  <c:v>-0.60896035825572803</c:v>
                </c:pt>
                <c:pt idx="75">
                  <c:v>-0.82613514727177195</c:v>
                </c:pt>
                <c:pt idx="76">
                  <c:v>1.3834800811914718</c:v>
                </c:pt>
                <c:pt idx="77">
                  <c:v>0.3787127347025514</c:v>
                </c:pt>
                <c:pt idx="78">
                  <c:v>1.696534288729042</c:v>
                </c:pt>
                <c:pt idx="79">
                  <c:v>1.3180384290500786</c:v>
                </c:pt>
                <c:pt idx="80">
                  <c:v>1.0388562159472943</c:v>
                </c:pt>
                <c:pt idx="81">
                  <c:v>-0.88214556857814308</c:v>
                </c:pt>
                <c:pt idx="82">
                  <c:v>-1.3620421957692987</c:v>
                </c:pt>
                <c:pt idx="83">
                  <c:v>1.5707783391695294</c:v>
                </c:pt>
                <c:pt idx="84">
                  <c:v>4.0382523117971765</c:v>
                </c:pt>
                <c:pt idx="85">
                  <c:v>0.8221762684545747</c:v>
                </c:pt>
                <c:pt idx="86">
                  <c:v>1.6145785494282441</c:v>
                </c:pt>
                <c:pt idx="87">
                  <c:v>1.7421168204742736</c:v>
                </c:pt>
                <c:pt idx="88">
                  <c:v>1.4972912536317193</c:v>
                </c:pt>
                <c:pt idx="89">
                  <c:v>11.216587309530604</c:v>
                </c:pt>
                <c:pt idx="90">
                  <c:v>40.305295740811587</c:v>
                </c:pt>
                <c:pt idx="91">
                  <c:v>83.318921507154997</c:v>
                </c:pt>
                <c:pt idx="92">
                  <c:v>120.86135786217538</c:v>
                </c:pt>
                <c:pt idx="93">
                  <c:v>137.27122663901184</c:v>
                </c:pt>
                <c:pt idx="94">
                  <c:v>169.4303345531722</c:v>
                </c:pt>
                <c:pt idx="95">
                  <c:v>191.34132146138373</c:v>
                </c:pt>
                <c:pt idx="96">
                  <c:v>206.38569548127873</c:v>
                </c:pt>
                <c:pt idx="97">
                  <c:v>210.96675759004029</c:v>
                </c:pt>
                <c:pt idx="98">
                  <c:v>205.11391376344014</c:v>
                </c:pt>
                <c:pt idx="99">
                  <c:v>195.84587138537267</c:v>
                </c:pt>
                <c:pt idx="100">
                  <c:v>188.32651427212485</c:v>
                </c:pt>
                <c:pt idx="101">
                  <c:v>174.53918884258789</c:v>
                </c:pt>
                <c:pt idx="102">
                  <c:v>164.21537156652525</c:v>
                </c:pt>
                <c:pt idx="103">
                  <c:v>156.80640922904087</c:v>
                </c:pt>
                <c:pt idx="104">
                  <c:v>145.00113220990761</c:v>
                </c:pt>
                <c:pt idx="105">
                  <c:v>134.20636568727596</c:v>
                </c:pt>
                <c:pt idx="106">
                  <c:v>129.57752691323373</c:v>
                </c:pt>
                <c:pt idx="107">
                  <c:v>121.27074110357955</c:v>
                </c:pt>
                <c:pt idx="108">
                  <c:v>114.61646454641132</c:v>
                </c:pt>
                <c:pt idx="109">
                  <c:v>107.96476546814506</c:v>
                </c:pt>
                <c:pt idx="110">
                  <c:v>99.237845927636442</c:v>
                </c:pt>
                <c:pt idx="111">
                  <c:v>91.540057933313221</c:v>
                </c:pt>
                <c:pt idx="112">
                  <c:v>83.438213501335142</c:v>
                </c:pt>
                <c:pt idx="113">
                  <c:v>77.358677798032886</c:v>
                </c:pt>
                <c:pt idx="114">
                  <c:v>73.215397038460438</c:v>
                </c:pt>
                <c:pt idx="115">
                  <c:v>66.996781358567077</c:v>
                </c:pt>
                <c:pt idx="116">
                  <c:v>65.492841246190963</c:v>
                </c:pt>
                <c:pt idx="117">
                  <c:v>60.376615293676025</c:v>
                </c:pt>
                <c:pt idx="118">
                  <c:v>59.199316541436296</c:v>
                </c:pt>
                <c:pt idx="119">
                  <c:v>58.890915393151332</c:v>
                </c:pt>
                <c:pt idx="120">
                  <c:v>57.04727402957942</c:v>
                </c:pt>
                <c:pt idx="121">
                  <c:v>56.565932228582241</c:v>
                </c:pt>
                <c:pt idx="122">
                  <c:v>57.545291717734479</c:v>
                </c:pt>
                <c:pt idx="123">
                  <c:v>55.234256181633469</c:v>
                </c:pt>
                <c:pt idx="124">
                  <c:v>54.065169341601539</c:v>
                </c:pt>
                <c:pt idx="125">
                  <c:v>51.854919866458523</c:v>
                </c:pt>
                <c:pt idx="126">
                  <c:v>50.543547886672854</c:v>
                </c:pt>
                <c:pt idx="127">
                  <c:v>51.901484735865544</c:v>
                </c:pt>
                <c:pt idx="128">
                  <c:v>50.295457838541182</c:v>
                </c:pt>
                <c:pt idx="129">
                  <c:v>51.761723061232935</c:v>
                </c:pt>
                <c:pt idx="130">
                  <c:v>49.246481987853741</c:v>
                </c:pt>
                <c:pt idx="131">
                  <c:v>47.902286193880066</c:v>
                </c:pt>
                <c:pt idx="132">
                  <c:v>44.746502033507952</c:v>
                </c:pt>
                <c:pt idx="133">
                  <c:v>43.018867801929531</c:v>
                </c:pt>
                <c:pt idx="134">
                  <c:v>42.357633997361894</c:v>
                </c:pt>
                <c:pt idx="135">
                  <c:v>42.06923588077499</c:v>
                </c:pt>
                <c:pt idx="136">
                  <c:v>41.013082309413477</c:v>
                </c:pt>
                <c:pt idx="137">
                  <c:v>41.309872506243181</c:v>
                </c:pt>
                <c:pt idx="138">
                  <c:v>39.876817615813387</c:v>
                </c:pt>
                <c:pt idx="139">
                  <c:v>34.848944643395676</c:v>
                </c:pt>
                <c:pt idx="140">
                  <c:v>32.920535132684996</c:v>
                </c:pt>
                <c:pt idx="141">
                  <c:v>32.449473022906119</c:v>
                </c:pt>
                <c:pt idx="142">
                  <c:v>29.891773281962553</c:v>
                </c:pt>
                <c:pt idx="143">
                  <c:v>28.567937216230955</c:v>
                </c:pt>
                <c:pt idx="144">
                  <c:v>26.314983560106668</c:v>
                </c:pt>
                <c:pt idx="145">
                  <c:v>24.445740914102732</c:v>
                </c:pt>
                <c:pt idx="146">
                  <c:v>24.190797996676295</c:v>
                </c:pt>
                <c:pt idx="147">
                  <c:v>24.779905131680767</c:v>
                </c:pt>
                <c:pt idx="148">
                  <c:v>25.065688363836053</c:v>
                </c:pt>
                <c:pt idx="149">
                  <c:v>24.445554159842025</c:v>
                </c:pt>
                <c:pt idx="150">
                  <c:v>22.378355172799544</c:v>
                </c:pt>
                <c:pt idx="151">
                  <c:v>22.050919259238974</c:v>
                </c:pt>
                <c:pt idx="152">
                  <c:v>23.464094717514701</c:v>
                </c:pt>
                <c:pt idx="153">
                  <c:v>22.416642189434572</c:v>
                </c:pt>
                <c:pt idx="154">
                  <c:v>21.60698266814244</c:v>
                </c:pt>
                <c:pt idx="155">
                  <c:v>20.663541638749848</c:v>
                </c:pt>
                <c:pt idx="156">
                  <c:v>19.927322929453588</c:v>
                </c:pt>
                <c:pt idx="157">
                  <c:v>18.052935566390424</c:v>
                </c:pt>
                <c:pt idx="158">
                  <c:v>16.43984663751025</c:v>
                </c:pt>
                <c:pt idx="159">
                  <c:v>18.060686613843345</c:v>
                </c:pt>
                <c:pt idx="160">
                  <c:v>17.465469674232541</c:v>
                </c:pt>
                <c:pt idx="161">
                  <c:v>17.980286250706673</c:v>
                </c:pt>
                <c:pt idx="162">
                  <c:v>17.164046659510309</c:v>
                </c:pt>
                <c:pt idx="163">
                  <c:v>14.162137947780279</c:v>
                </c:pt>
                <c:pt idx="164">
                  <c:v>10.180828962169299</c:v>
                </c:pt>
                <c:pt idx="165">
                  <c:v>5.3454280521970921</c:v>
                </c:pt>
                <c:pt idx="166">
                  <c:v>2.8709850105204753</c:v>
                </c:pt>
                <c:pt idx="167">
                  <c:v>-0.7843954262526136</c:v>
                </c:pt>
                <c:pt idx="168">
                  <c:v>-3.2658982181844549</c:v>
                </c:pt>
                <c:pt idx="169">
                  <c:v>-7.7115670949259183</c:v>
                </c:pt>
                <c:pt idx="170">
                  <c:v>-10.751440133705826</c:v>
                </c:pt>
                <c:pt idx="171">
                  <c:v>-11.543335523750132</c:v>
                </c:pt>
                <c:pt idx="172">
                  <c:v>-15.350624941060373</c:v>
                </c:pt>
                <c:pt idx="173">
                  <c:v>-17.282054112840093</c:v>
                </c:pt>
                <c:pt idx="174">
                  <c:v>-19.919971094067463</c:v>
                </c:pt>
                <c:pt idx="175">
                  <c:v>-23.181783388746048</c:v>
                </c:pt>
                <c:pt idx="176">
                  <c:v>-25.049268162921091</c:v>
                </c:pt>
                <c:pt idx="177">
                  <c:v>-26.952193129649459</c:v>
                </c:pt>
                <c:pt idx="178">
                  <c:v>-26.906660368227246</c:v>
                </c:pt>
                <c:pt idx="179">
                  <c:v>-26.168210519159008</c:v>
                </c:pt>
                <c:pt idx="180">
                  <c:v>-27.470076525611848</c:v>
                </c:pt>
                <c:pt idx="181">
                  <c:v>-27.7845309088828</c:v>
                </c:pt>
                <c:pt idx="182">
                  <c:v>-30.732031191204602</c:v>
                </c:pt>
                <c:pt idx="183">
                  <c:v>-31.297146927502784</c:v>
                </c:pt>
                <c:pt idx="184">
                  <c:v>-31.552598659153791</c:v>
                </c:pt>
                <c:pt idx="185">
                  <c:v>-32.086374187751723</c:v>
                </c:pt>
                <c:pt idx="186">
                  <c:v>-31.763852201820981</c:v>
                </c:pt>
                <c:pt idx="187">
                  <c:v>-33.007168692887973</c:v>
                </c:pt>
                <c:pt idx="188">
                  <c:v>-32.694447288036422</c:v>
                </c:pt>
                <c:pt idx="189">
                  <c:v>-31.856313047564083</c:v>
                </c:pt>
                <c:pt idx="190">
                  <c:v>-31.719060736864201</c:v>
                </c:pt>
                <c:pt idx="191">
                  <c:v>-32.467306462550802</c:v>
                </c:pt>
                <c:pt idx="192">
                  <c:v>-31.488337499945096</c:v>
                </c:pt>
                <c:pt idx="193">
                  <c:v>-32.930481482857999</c:v>
                </c:pt>
                <c:pt idx="194">
                  <c:v>-32.97813953032108</c:v>
                </c:pt>
                <c:pt idx="195">
                  <c:v>-29.895463750527057</c:v>
                </c:pt>
                <c:pt idx="196">
                  <c:v>-29.974369253714688</c:v>
                </c:pt>
                <c:pt idx="197">
                  <c:v>-29.361918615494066</c:v>
                </c:pt>
                <c:pt idx="198">
                  <c:v>-30.166414185054563</c:v>
                </c:pt>
                <c:pt idx="199">
                  <c:v>-30.362030463291077</c:v>
                </c:pt>
                <c:pt idx="200">
                  <c:v>-30.131843407771431</c:v>
                </c:pt>
                <c:pt idx="201">
                  <c:v>-30.544601883758627</c:v>
                </c:pt>
                <c:pt idx="202">
                  <c:v>-28.144193283778797</c:v>
                </c:pt>
                <c:pt idx="203">
                  <c:v>-26.8297481796541</c:v>
                </c:pt>
                <c:pt idx="204">
                  <c:v>-26.772740232672689</c:v>
                </c:pt>
                <c:pt idx="205">
                  <c:v>-26.847649962656899</c:v>
                </c:pt>
                <c:pt idx="206">
                  <c:v>-26.63738965373491</c:v>
                </c:pt>
                <c:pt idx="207">
                  <c:v>-27.731905894752796</c:v>
                </c:pt>
                <c:pt idx="208">
                  <c:v>-25.583706153158232</c:v>
                </c:pt>
                <c:pt idx="209">
                  <c:v>-26.468441032809114</c:v>
                </c:pt>
                <c:pt idx="210">
                  <c:v>-25.727795305429797</c:v>
                </c:pt>
                <c:pt idx="211">
                  <c:v>-25.698697761828665</c:v>
                </c:pt>
                <c:pt idx="212">
                  <c:v>-23.158053558626914</c:v>
                </c:pt>
                <c:pt idx="213">
                  <c:v>-23.235533481485042</c:v>
                </c:pt>
                <c:pt idx="214">
                  <c:v>-23.597962689827863</c:v>
                </c:pt>
                <c:pt idx="215">
                  <c:v>-22.808855950126087</c:v>
                </c:pt>
                <c:pt idx="216">
                  <c:v>-23.227741204437713</c:v>
                </c:pt>
                <c:pt idx="217">
                  <c:v>-22.670946174486886</c:v>
                </c:pt>
                <c:pt idx="218">
                  <c:v>-18.8524881222998</c:v>
                </c:pt>
                <c:pt idx="219">
                  <c:v>-20.059547609620996</c:v>
                </c:pt>
                <c:pt idx="220">
                  <c:v>-21.330564381572383</c:v>
                </c:pt>
                <c:pt idx="221">
                  <c:v>-19.106219748271386</c:v>
                </c:pt>
                <c:pt idx="222">
                  <c:v>-18.622198470305126</c:v>
                </c:pt>
                <c:pt idx="223">
                  <c:v>-19.998311644735292</c:v>
                </c:pt>
                <c:pt idx="224">
                  <c:v>-19.040511828448796</c:v>
                </c:pt>
                <c:pt idx="225">
                  <c:v>-16.945049110688178</c:v>
                </c:pt>
                <c:pt idx="226">
                  <c:v>-16.633105631897511</c:v>
                </c:pt>
                <c:pt idx="227">
                  <c:v>-16.711198150028654</c:v>
                </c:pt>
                <c:pt idx="228">
                  <c:v>-16.287639425563434</c:v>
                </c:pt>
                <c:pt idx="229">
                  <c:v>-14.562436144963584</c:v>
                </c:pt>
                <c:pt idx="230">
                  <c:v>-16.696551071813605</c:v>
                </c:pt>
                <c:pt idx="231">
                  <c:v>-16.233050391286302</c:v>
                </c:pt>
                <c:pt idx="232">
                  <c:v>-15.263757616659349</c:v>
                </c:pt>
                <c:pt idx="233">
                  <c:v>-14.449432266319</c:v>
                </c:pt>
                <c:pt idx="234">
                  <c:v>-14.191708228820342</c:v>
                </c:pt>
                <c:pt idx="235">
                  <c:v>-14.892341672669907</c:v>
                </c:pt>
                <c:pt idx="236">
                  <c:v>-13.399412454729459</c:v>
                </c:pt>
                <c:pt idx="237">
                  <c:v>-12.677610165590439</c:v>
                </c:pt>
                <c:pt idx="238">
                  <c:v>-12.962979701698796</c:v>
                </c:pt>
                <c:pt idx="239">
                  <c:v>-12.643369100537981</c:v>
                </c:pt>
                <c:pt idx="240">
                  <c:v>-12.416271361561845</c:v>
                </c:pt>
                <c:pt idx="241">
                  <c:v>-12.945942453734439</c:v>
                </c:pt>
                <c:pt idx="242">
                  <c:v>-12.599005497591417</c:v>
                </c:pt>
                <c:pt idx="243">
                  <c:v>-12.058912773569812</c:v>
                </c:pt>
                <c:pt idx="244">
                  <c:v>-11.42352882323093</c:v>
                </c:pt>
                <c:pt idx="245">
                  <c:v>-11.230030453043659</c:v>
                </c:pt>
                <c:pt idx="246">
                  <c:v>-10.190490589709267</c:v>
                </c:pt>
                <c:pt idx="247">
                  <c:v>-11.234478785144685</c:v>
                </c:pt>
                <c:pt idx="248">
                  <c:v>-11.499330790332264</c:v>
                </c:pt>
                <c:pt idx="249">
                  <c:v>-10.384042771791632</c:v>
                </c:pt>
                <c:pt idx="250">
                  <c:v>-10.707637898452965</c:v>
                </c:pt>
                <c:pt idx="251">
                  <c:v>-9.3980085344400823</c:v>
                </c:pt>
                <c:pt idx="252">
                  <c:v>-5.198857300357532</c:v>
                </c:pt>
                <c:pt idx="253">
                  <c:v>-6.630545496243256</c:v>
                </c:pt>
                <c:pt idx="254">
                  <c:v>-6.6670353812737169</c:v>
                </c:pt>
                <c:pt idx="255">
                  <c:v>-7.9948581716617646</c:v>
                </c:pt>
                <c:pt idx="256">
                  <c:v>-7.4828164029745361</c:v>
                </c:pt>
                <c:pt idx="257">
                  <c:v>-8.2012082780957982</c:v>
                </c:pt>
                <c:pt idx="258">
                  <c:v>-7.9481251266762465</c:v>
                </c:pt>
                <c:pt idx="259">
                  <c:v>-6.9910547562201772</c:v>
                </c:pt>
                <c:pt idx="260">
                  <c:v>-5.6654153352446643</c:v>
                </c:pt>
                <c:pt idx="261">
                  <c:v>-6.0744652579605107</c:v>
                </c:pt>
                <c:pt idx="262">
                  <c:v>-5.0677170311716511</c:v>
                </c:pt>
                <c:pt idx="263">
                  <c:v>-6.2508520769698599</c:v>
                </c:pt>
                <c:pt idx="264">
                  <c:v>-6.4851130341469334</c:v>
                </c:pt>
                <c:pt idx="265">
                  <c:v>-6.0044891161241534</c:v>
                </c:pt>
                <c:pt idx="266">
                  <c:v>-5.7586906883077651</c:v>
                </c:pt>
                <c:pt idx="267">
                  <c:v>-3.3247174360138168</c:v>
                </c:pt>
                <c:pt idx="268">
                  <c:v>-4.0516362364803893</c:v>
                </c:pt>
                <c:pt idx="269">
                  <c:v>-5.3408670702674366</c:v>
                </c:pt>
                <c:pt idx="270">
                  <c:v>-3.1800195503500466</c:v>
                </c:pt>
                <c:pt idx="271">
                  <c:v>-1.6458034739738374</c:v>
                </c:pt>
                <c:pt idx="272">
                  <c:v>-2.912988353626043</c:v>
                </c:pt>
                <c:pt idx="273">
                  <c:v>-2.9361274781922999</c:v>
                </c:pt>
                <c:pt idx="274">
                  <c:v>-2.448975881099936</c:v>
                </c:pt>
                <c:pt idx="275">
                  <c:v>-2.8575588482895853</c:v>
                </c:pt>
                <c:pt idx="276">
                  <c:v>-2.8634612279532976</c:v>
                </c:pt>
                <c:pt idx="277">
                  <c:v>-2.0886941140267576</c:v>
                </c:pt>
                <c:pt idx="278">
                  <c:v>-2.097433861050344</c:v>
                </c:pt>
                <c:pt idx="279">
                  <c:v>-3.002167370808301</c:v>
                </c:pt>
                <c:pt idx="280">
                  <c:v>-1.3591241471242042</c:v>
                </c:pt>
                <c:pt idx="281">
                  <c:v>-1.7695707065383064</c:v>
                </c:pt>
                <c:pt idx="282">
                  <c:v>-2.1715213839266978</c:v>
                </c:pt>
                <c:pt idx="283">
                  <c:v>-3.1309165424381149</c:v>
                </c:pt>
                <c:pt idx="284">
                  <c:v>-1.1718559018669903</c:v>
                </c:pt>
                <c:pt idx="285">
                  <c:v>-2.0950357044621923</c:v>
                </c:pt>
                <c:pt idx="286">
                  <c:v>0.18597385233606953</c:v>
                </c:pt>
                <c:pt idx="287">
                  <c:v>0.48535358493468522</c:v>
                </c:pt>
                <c:pt idx="288">
                  <c:v>-0.77622204480342172</c:v>
                </c:pt>
                <c:pt idx="289">
                  <c:v>0.21765201443400589</c:v>
                </c:pt>
                <c:pt idx="290">
                  <c:v>-0.13563244115422204</c:v>
                </c:pt>
                <c:pt idx="291">
                  <c:v>-0.80101922928980085</c:v>
                </c:pt>
                <c:pt idx="292">
                  <c:v>0.74333858337388581</c:v>
                </c:pt>
                <c:pt idx="293">
                  <c:v>1.7642325782045654</c:v>
                </c:pt>
                <c:pt idx="294">
                  <c:v>0.32438137817264695</c:v>
                </c:pt>
                <c:pt idx="295">
                  <c:v>-0.80708959542668357</c:v>
                </c:pt>
                <c:pt idx="296">
                  <c:v>-1.3739045176383384</c:v>
                </c:pt>
                <c:pt idx="297">
                  <c:v>-0.90157634598157332</c:v>
                </c:pt>
                <c:pt idx="298">
                  <c:v>-1.9337990020306954</c:v>
                </c:pt>
                <c:pt idx="299">
                  <c:v>-1.5875754872575587</c:v>
                </c:pt>
                <c:pt idx="300">
                  <c:v>-1.391630673605657</c:v>
                </c:pt>
                <c:pt idx="301">
                  <c:v>-0.61533504361701619</c:v>
                </c:pt>
                <c:pt idx="302">
                  <c:v>0.80924611489568943</c:v>
                </c:pt>
                <c:pt idx="303">
                  <c:v>0.85859824698283715</c:v>
                </c:pt>
                <c:pt idx="304">
                  <c:v>-0.70052551270294927</c:v>
                </c:pt>
                <c:pt idx="305">
                  <c:v>-1.6455687944456121</c:v>
                </c:pt>
                <c:pt idx="306">
                  <c:v>-1.0019017669935339</c:v>
                </c:pt>
                <c:pt idx="307">
                  <c:v>-1.358294268215819</c:v>
                </c:pt>
                <c:pt idx="308">
                  <c:v>-1.8562218558165196</c:v>
                </c:pt>
                <c:pt idx="309">
                  <c:v>-2.1539899898761901</c:v>
                </c:pt>
                <c:pt idx="310">
                  <c:v>-1.7203538668234608</c:v>
                </c:pt>
                <c:pt idx="311">
                  <c:v>-2.0303111154637778</c:v>
                </c:pt>
                <c:pt idx="312">
                  <c:v>-0.92809942578196625</c:v>
                </c:pt>
                <c:pt idx="313">
                  <c:v>-0.72260390324845103</c:v>
                </c:pt>
                <c:pt idx="314">
                  <c:v>-0.5970456422338839</c:v>
                </c:pt>
                <c:pt idx="315">
                  <c:v>1.5962660849304038</c:v>
                </c:pt>
                <c:pt idx="316">
                  <c:v>1.9421528410694948</c:v>
                </c:pt>
                <c:pt idx="317">
                  <c:v>2.5953613297108618</c:v>
                </c:pt>
                <c:pt idx="318">
                  <c:v>3.9936163301288894</c:v>
                </c:pt>
                <c:pt idx="319">
                  <c:v>3.5759643110148862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F-6E4A-B640-A4090FF11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'240821E015'!$A$2:$A$321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'240821E015'!$J$2:$J$321</c:f>
              <c:numCache>
                <c:formatCode>0.0</c:formatCode>
                <c:ptCount val="320"/>
                <c:pt idx="0">
                  <c:v>1278.8014891287698</c:v>
                </c:pt>
                <c:pt idx="1">
                  <c:v>1179.33329083228</c:v>
                </c:pt>
                <c:pt idx="2">
                  <c:v>1543.6423962895201</c:v>
                </c:pt>
                <c:pt idx="3">
                  <c:v>1223.37255473958</c:v>
                </c:pt>
                <c:pt idx="4">
                  <c:v>1721.17644167708</c:v>
                </c:pt>
                <c:pt idx="5">
                  <c:v>1573.3826432698302</c:v>
                </c:pt>
                <c:pt idx="6">
                  <c:v>1647.3900735475399</c:v>
                </c:pt>
                <c:pt idx="7">
                  <c:v>1510.20275145763</c:v>
                </c:pt>
                <c:pt idx="8">
                  <c:v>1667.8331048539801</c:v>
                </c:pt>
                <c:pt idx="9">
                  <c:v>1576.26742658896</c:v>
                </c:pt>
                <c:pt idx="10">
                  <c:v>1556.3538213397301</c:v>
                </c:pt>
                <c:pt idx="11">
                  <c:v>1489.46029356652</c:v>
                </c:pt>
                <c:pt idx="12">
                  <c:v>1525.1156732427501</c:v>
                </c:pt>
                <c:pt idx="13">
                  <c:v>1515.57242714224</c:v>
                </c:pt>
                <c:pt idx="14">
                  <c:v>1504.7164628243499</c:v>
                </c:pt>
                <c:pt idx="15">
                  <c:v>1481.2006443713199</c:v>
                </c:pt>
                <c:pt idx="16">
                  <c:v>1519.10929139161</c:v>
                </c:pt>
                <c:pt idx="17">
                  <c:v>1521.3191731627201</c:v>
                </c:pt>
                <c:pt idx="18">
                  <c:v>1516.2644219930501</c:v>
                </c:pt>
                <c:pt idx="19">
                  <c:v>1493.93212301009</c:v>
                </c:pt>
                <c:pt idx="20">
                  <c:v>1485.1150269781999</c:v>
                </c:pt>
                <c:pt idx="21">
                  <c:v>1511.9165179640499</c:v>
                </c:pt>
                <c:pt idx="22">
                  <c:v>1484.9239058451301</c:v>
                </c:pt>
                <c:pt idx="23">
                  <c:v>1452.69991571112</c:v>
                </c:pt>
                <c:pt idx="24">
                  <c:v>1458.4332089741602</c:v>
                </c:pt>
                <c:pt idx="25">
                  <c:v>1432.63017103943</c:v>
                </c:pt>
                <c:pt idx="26">
                  <c:v>1390.2540182499201</c:v>
                </c:pt>
                <c:pt idx="27">
                  <c:v>1393.9189679925598</c:v>
                </c:pt>
                <c:pt idx="28">
                  <c:v>1413.2600221185101</c:v>
                </c:pt>
                <c:pt idx="29">
                  <c:v>1413.0444360081599</c:v>
                </c:pt>
                <c:pt idx="30">
                  <c:v>1351.6283623803999</c:v>
                </c:pt>
                <c:pt idx="31">
                  <c:v>1398.8662456567299</c:v>
                </c:pt>
                <c:pt idx="32">
                  <c:v>1427.50731209133</c:v>
                </c:pt>
                <c:pt idx="33">
                  <c:v>1427.96955538154</c:v>
                </c:pt>
                <c:pt idx="34">
                  <c:v>1421.2030362881601</c:v>
                </c:pt>
                <c:pt idx="35">
                  <c:v>1416.21748564258</c:v>
                </c:pt>
                <c:pt idx="36">
                  <c:v>1433.7235631253</c:v>
                </c:pt>
                <c:pt idx="37">
                  <c:v>1390.4572429361501</c:v>
                </c:pt>
                <c:pt idx="38">
                  <c:v>1405.2841715145298</c:v>
                </c:pt>
                <c:pt idx="39">
                  <c:v>1361.16205955027</c:v>
                </c:pt>
                <c:pt idx="40">
                  <c:v>1377.9583404193199</c:v>
                </c:pt>
                <c:pt idx="41">
                  <c:v>1388.9303607296899</c:v>
                </c:pt>
                <c:pt idx="42">
                  <c:v>1431.8350885621301</c:v>
                </c:pt>
                <c:pt idx="43">
                  <c:v>1314.87854089948</c:v>
                </c:pt>
                <c:pt idx="44">
                  <c:v>1299.7248043270502</c:v>
                </c:pt>
                <c:pt idx="45">
                  <c:v>1292.1985884452902</c:v>
                </c:pt>
                <c:pt idx="46">
                  <c:v>1303.1000801043701</c:v>
                </c:pt>
                <c:pt idx="47">
                  <c:v>1267.1506738773999</c:v>
                </c:pt>
                <c:pt idx="48">
                  <c:v>1363.0435544639499</c:v>
                </c:pt>
                <c:pt idx="49">
                  <c:v>1348.46342073553</c:v>
                </c:pt>
                <c:pt idx="50">
                  <c:v>1379.0337848076601</c:v>
                </c:pt>
                <c:pt idx="51">
                  <c:v>1341.3585070294798</c:v>
                </c:pt>
                <c:pt idx="52">
                  <c:v>1353.4576879618699</c:v>
                </c:pt>
                <c:pt idx="53">
                  <c:v>1358.8629270439301</c:v>
                </c:pt>
                <c:pt idx="54">
                  <c:v>1373.7084890767701</c:v>
                </c:pt>
                <c:pt idx="55">
                  <c:v>1375.2268385056</c:v>
                </c:pt>
                <c:pt idx="56">
                  <c:v>1377.30407028076</c:v>
                </c:pt>
                <c:pt idx="57">
                  <c:v>1353.5359926370302</c:v>
                </c:pt>
                <c:pt idx="58">
                  <c:v>1322.6706645358399</c:v>
                </c:pt>
                <c:pt idx="59">
                  <c:v>1375.8173992817001</c:v>
                </c:pt>
                <c:pt idx="60">
                  <c:v>1389.90250156152</c:v>
                </c:pt>
                <c:pt idx="61">
                  <c:v>1394.51839397252</c:v>
                </c:pt>
                <c:pt idx="62">
                  <c:v>1354.76630777639</c:v>
                </c:pt>
                <c:pt idx="63">
                  <c:v>1319.37572259525</c:v>
                </c:pt>
                <c:pt idx="64">
                  <c:v>1340.1983334634599</c:v>
                </c:pt>
                <c:pt idx="65">
                  <c:v>1377.3410368519899</c:v>
                </c:pt>
                <c:pt idx="66">
                  <c:v>1390.7732667083201</c:v>
                </c:pt>
                <c:pt idx="67">
                  <c:v>1391.7008119925399</c:v>
                </c:pt>
                <c:pt idx="68">
                  <c:v>1382.3933512134099</c:v>
                </c:pt>
                <c:pt idx="69">
                  <c:v>1395.7161868788698</c:v>
                </c:pt>
                <c:pt idx="70">
                  <c:v>1391.68751254012</c:v>
                </c:pt>
                <c:pt idx="71">
                  <c:v>1369.3588818353801</c:v>
                </c:pt>
                <c:pt idx="72">
                  <c:v>1415.52050514762</c:v>
                </c:pt>
                <c:pt idx="73">
                  <c:v>1362.2853226126799</c:v>
                </c:pt>
                <c:pt idx="74">
                  <c:v>1397.65062146118</c:v>
                </c:pt>
                <c:pt idx="75">
                  <c:v>1413.7580155953099</c:v>
                </c:pt>
                <c:pt idx="76">
                  <c:v>1393.73864291924</c:v>
                </c:pt>
                <c:pt idx="77">
                  <c:v>1398.2112576331199</c:v>
                </c:pt>
                <c:pt idx="78">
                  <c:v>1419.6539073971098</c:v>
                </c:pt>
                <c:pt idx="79">
                  <c:v>1423.24793882722</c:v>
                </c:pt>
                <c:pt idx="80">
                  <c:v>1402.79138038727</c:v>
                </c:pt>
                <c:pt idx="81">
                  <c:v>1471.8813241724199</c:v>
                </c:pt>
                <c:pt idx="82">
                  <c:v>1399.8156679259901</c:v>
                </c:pt>
                <c:pt idx="83">
                  <c:v>1400.7380793254199</c:v>
                </c:pt>
                <c:pt idx="84">
                  <c:v>1372.1664026389799</c:v>
                </c:pt>
                <c:pt idx="85">
                  <c:v>1441.4775508297598</c:v>
                </c:pt>
                <c:pt idx="86">
                  <c:v>1407.5303169164101</c:v>
                </c:pt>
                <c:pt idx="87">
                  <c:v>1399.7293202651499</c:v>
                </c:pt>
                <c:pt idx="88">
                  <c:v>1408.7537100060501</c:v>
                </c:pt>
                <c:pt idx="89">
                  <c:v>1415.69607726355</c:v>
                </c:pt>
                <c:pt idx="90">
                  <c:v>1414.90537516936</c:v>
                </c:pt>
                <c:pt idx="91">
                  <c:v>1407.7087317620599</c:v>
                </c:pt>
                <c:pt idx="92">
                  <c:v>1355.0573293499201</c:v>
                </c:pt>
                <c:pt idx="93">
                  <c:v>1422.8271050200499</c:v>
                </c:pt>
                <c:pt idx="94">
                  <c:v>1475.76547692846</c:v>
                </c:pt>
                <c:pt idx="95">
                  <c:v>1509.9477041381701</c:v>
                </c:pt>
                <c:pt idx="96">
                  <c:v>1545.0591528443201</c:v>
                </c:pt>
                <c:pt idx="97">
                  <c:v>1584.00522742966</c:v>
                </c:pt>
                <c:pt idx="98">
                  <c:v>1594.72677583413</c:v>
                </c:pt>
                <c:pt idx="99">
                  <c:v>1585.66243998501</c:v>
                </c:pt>
                <c:pt idx="100">
                  <c:v>1634.2814425977499</c:v>
                </c:pt>
                <c:pt idx="101">
                  <c:v>1631.30299319501</c:v>
                </c:pt>
                <c:pt idx="102">
                  <c:v>1632.6321194147299</c:v>
                </c:pt>
                <c:pt idx="103">
                  <c:v>1635.78748401299</c:v>
                </c:pt>
                <c:pt idx="104">
                  <c:v>1632.1332191346601</c:v>
                </c:pt>
                <c:pt idx="105">
                  <c:v>1626.6580426707001</c:v>
                </c:pt>
                <c:pt idx="106">
                  <c:v>1651.3673589031901</c:v>
                </c:pt>
                <c:pt idx="107">
                  <c:v>1612.3237011747401</c:v>
                </c:pt>
                <c:pt idx="108">
                  <c:v>1618.5004574161201</c:v>
                </c:pt>
                <c:pt idx="109">
                  <c:v>1573.4511332537299</c:v>
                </c:pt>
                <c:pt idx="110">
                  <c:v>1585.9466461111899</c:v>
                </c:pt>
                <c:pt idx="111">
                  <c:v>1587.2028925967202</c:v>
                </c:pt>
                <c:pt idx="112">
                  <c:v>1571.5522343422801</c:v>
                </c:pt>
                <c:pt idx="113">
                  <c:v>1574.7176686640198</c:v>
                </c:pt>
                <c:pt idx="114">
                  <c:v>1586.8901621648802</c:v>
                </c:pt>
                <c:pt idx="115">
                  <c:v>1563.2089393162998</c:v>
                </c:pt>
                <c:pt idx="116">
                  <c:v>1524.82956334954</c:v>
                </c:pt>
                <c:pt idx="117">
                  <c:v>1509.2194163249301</c:v>
                </c:pt>
                <c:pt idx="118">
                  <c:v>1519.39346823451</c:v>
                </c:pt>
                <c:pt idx="119">
                  <c:v>1509.3532798235601</c:v>
                </c:pt>
                <c:pt idx="120">
                  <c:v>1466.3362038519299</c:v>
                </c:pt>
                <c:pt idx="121">
                  <c:v>1471.8819479998201</c:v>
                </c:pt>
                <c:pt idx="122">
                  <c:v>1446.65738617497</c:v>
                </c:pt>
                <c:pt idx="123">
                  <c:v>1516.96302404928</c:v>
                </c:pt>
                <c:pt idx="124">
                  <c:v>1516.7070580887498</c:v>
                </c:pt>
                <c:pt idx="125">
                  <c:v>1509.38850718299</c:v>
                </c:pt>
                <c:pt idx="126">
                  <c:v>1481.43098063707</c:v>
                </c:pt>
                <c:pt idx="127">
                  <c:v>1439.7257963772799</c:v>
                </c:pt>
                <c:pt idx="128">
                  <c:v>1469.6714553404399</c:v>
                </c:pt>
                <c:pt idx="129">
                  <c:v>1447.4443904079799</c:v>
                </c:pt>
                <c:pt idx="130">
                  <c:v>1445.9148859042798</c:v>
                </c:pt>
                <c:pt idx="131">
                  <c:v>1412.2433372044402</c:v>
                </c:pt>
                <c:pt idx="132">
                  <c:v>1305.8359792327901</c:v>
                </c:pt>
                <c:pt idx="133">
                  <c:v>1293.4340021418602</c:v>
                </c:pt>
                <c:pt idx="134">
                  <c:v>1331.2746247520699</c:v>
                </c:pt>
                <c:pt idx="135">
                  <c:v>1305.85448455755</c:v>
                </c:pt>
                <c:pt idx="136">
                  <c:v>1279.8100310591001</c:v>
                </c:pt>
                <c:pt idx="137">
                  <c:v>1300.92900711989</c:v>
                </c:pt>
                <c:pt idx="138">
                  <c:v>1326.0973503156201</c:v>
                </c:pt>
                <c:pt idx="139">
                  <c:v>1340.93792533035</c:v>
                </c:pt>
                <c:pt idx="140">
                  <c:v>1320.87758663931</c:v>
                </c:pt>
                <c:pt idx="141">
                  <c:v>1385.5269808279299</c:v>
                </c:pt>
                <c:pt idx="142">
                  <c:v>1385.2708017101199</c:v>
                </c:pt>
                <c:pt idx="143">
                  <c:v>1341.9417458640401</c:v>
                </c:pt>
                <c:pt idx="144">
                  <c:v>1345.91758899108</c:v>
                </c:pt>
                <c:pt idx="145">
                  <c:v>1337.1708338854201</c:v>
                </c:pt>
                <c:pt idx="146">
                  <c:v>1311.03959449271</c:v>
                </c:pt>
                <c:pt idx="147">
                  <c:v>1357.2119608221599</c:v>
                </c:pt>
                <c:pt idx="148">
                  <c:v>1380.1543898344798</c:v>
                </c:pt>
                <c:pt idx="149">
                  <c:v>1381.18695268582</c:v>
                </c:pt>
                <c:pt idx="150">
                  <c:v>1397.2711607132499</c:v>
                </c:pt>
                <c:pt idx="151">
                  <c:v>1382.43139468653</c:v>
                </c:pt>
                <c:pt idx="152">
                  <c:v>1381.39706331211</c:v>
                </c:pt>
                <c:pt idx="153">
                  <c:v>1389.99881292707</c:v>
                </c:pt>
                <c:pt idx="154">
                  <c:v>1417.8060130869399</c:v>
                </c:pt>
                <c:pt idx="155">
                  <c:v>1390.27226410756</c:v>
                </c:pt>
                <c:pt idx="156">
                  <c:v>1419.48893481249</c:v>
                </c:pt>
                <c:pt idx="157">
                  <c:v>1385.7484300722499</c:v>
                </c:pt>
                <c:pt idx="158">
                  <c:v>1299.3858934380301</c:v>
                </c:pt>
                <c:pt idx="159">
                  <c:v>1371.83048165122</c:v>
                </c:pt>
                <c:pt idx="160">
                  <c:v>1345.2618061744699</c:v>
                </c:pt>
                <c:pt idx="161">
                  <c:v>1364.88327247098</c:v>
                </c:pt>
                <c:pt idx="162">
                  <c:v>1371.43536625243</c:v>
                </c:pt>
                <c:pt idx="163">
                  <c:v>1282.5265259119299</c:v>
                </c:pt>
                <c:pt idx="164">
                  <c:v>1263.2381893069598</c:v>
                </c:pt>
                <c:pt idx="165">
                  <c:v>1222.4655326915199</c:v>
                </c:pt>
                <c:pt idx="166">
                  <c:v>1271.97323697248</c:v>
                </c:pt>
                <c:pt idx="167">
                  <c:v>1275.0136096457099</c:v>
                </c:pt>
                <c:pt idx="168">
                  <c:v>1204.5490318551399</c:v>
                </c:pt>
                <c:pt idx="169">
                  <c:v>1202.1480324796801</c:v>
                </c:pt>
                <c:pt idx="170">
                  <c:v>1186.74890693318</c:v>
                </c:pt>
                <c:pt idx="171">
                  <c:v>1190.5252854038299</c:v>
                </c:pt>
                <c:pt idx="172">
                  <c:v>1177.88719822694</c:v>
                </c:pt>
                <c:pt idx="173">
                  <c:v>1189.8351906226501</c:v>
                </c:pt>
                <c:pt idx="174">
                  <c:v>1191.2758234979501</c:v>
                </c:pt>
                <c:pt idx="175">
                  <c:v>1167.1912553878401</c:v>
                </c:pt>
                <c:pt idx="176">
                  <c:v>1187.3823919013298</c:v>
                </c:pt>
                <c:pt idx="177">
                  <c:v>1180.94922395198</c:v>
                </c:pt>
                <c:pt idx="178">
                  <c:v>1182.52720273102</c:v>
                </c:pt>
                <c:pt idx="179">
                  <c:v>1179.6224949815701</c:v>
                </c:pt>
                <c:pt idx="180">
                  <c:v>1174.1620264850399</c:v>
                </c:pt>
                <c:pt idx="181">
                  <c:v>1180.9717432893401</c:v>
                </c:pt>
                <c:pt idx="182">
                  <c:v>1166.05928723791</c:v>
                </c:pt>
                <c:pt idx="183">
                  <c:v>1155.9254923219901</c:v>
                </c:pt>
                <c:pt idx="184">
                  <c:v>1174.3942724476299</c:v>
                </c:pt>
                <c:pt idx="185">
                  <c:v>1165.8315691057701</c:v>
                </c:pt>
                <c:pt idx="186">
                  <c:v>1176.9150542702901</c:v>
                </c:pt>
                <c:pt idx="187">
                  <c:v>1189.8420298009898</c:v>
                </c:pt>
                <c:pt idx="188">
                  <c:v>1198.0504178301499</c:v>
                </c:pt>
                <c:pt idx="189">
                  <c:v>1203.0455541822898</c:v>
                </c:pt>
                <c:pt idx="190">
                  <c:v>1196.5519154825899</c:v>
                </c:pt>
                <c:pt idx="191">
                  <c:v>1261.4309300141499</c:v>
                </c:pt>
                <c:pt idx="192">
                  <c:v>1265.27556187608</c:v>
                </c:pt>
                <c:pt idx="193">
                  <c:v>1270.2920715855601</c:v>
                </c:pt>
                <c:pt idx="194">
                  <c:v>1270.9434930786401</c:v>
                </c:pt>
                <c:pt idx="195">
                  <c:v>1279.08870585875</c:v>
                </c:pt>
                <c:pt idx="196">
                  <c:v>1262.3672221694501</c:v>
                </c:pt>
                <c:pt idx="197">
                  <c:v>1268.2842454235702</c:v>
                </c:pt>
                <c:pt idx="198">
                  <c:v>1269.51700176448</c:v>
                </c:pt>
                <c:pt idx="199">
                  <c:v>1237.82871126124</c:v>
                </c:pt>
                <c:pt idx="200">
                  <c:v>1296.51459842952</c:v>
                </c:pt>
                <c:pt idx="201">
                  <c:v>1240.32483360468</c:v>
                </c:pt>
                <c:pt idx="202">
                  <c:v>1281.8535256988898</c:v>
                </c:pt>
                <c:pt idx="203">
                  <c:v>1384.8778286115</c:v>
                </c:pt>
                <c:pt idx="204">
                  <c:v>1437.83731460078</c:v>
                </c:pt>
                <c:pt idx="205">
                  <c:v>1404.3186731630499</c:v>
                </c:pt>
                <c:pt idx="206">
                  <c:v>1415.3741703855901</c:v>
                </c:pt>
                <c:pt idx="207">
                  <c:v>1421.45295536203</c:v>
                </c:pt>
                <c:pt idx="208">
                  <c:v>1408.8854778457999</c:v>
                </c:pt>
                <c:pt idx="209">
                  <c:v>1479.4788397797802</c:v>
                </c:pt>
                <c:pt idx="210">
                  <c:v>1478.9986746662601</c:v>
                </c:pt>
                <c:pt idx="211">
                  <c:v>1431.51955004568</c:v>
                </c:pt>
                <c:pt idx="212">
                  <c:v>1417.9209042836701</c:v>
                </c:pt>
                <c:pt idx="213">
                  <c:v>1375.2882789723901</c:v>
                </c:pt>
                <c:pt idx="214">
                  <c:v>1362.9646681761399</c:v>
                </c:pt>
                <c:pt idx="215">
                  <c:v>1354.05174500312</c:v>
                </c:pt>
                <c:pt idx="216">
                  <c:v>1364.80388735874</c:v>
                </c:pt>
                <c:pt idx="217">
                  <c:v>1360.31787573617</c:v>
                </c:pt>
                <c:pt idx="218">
                  <c:v>1375.6329905110999</c:v>
                </c:pt>
                <c:pt idx="219">
                  <c:v>1366.12195561149</c:v>
                </c:pt>
                <c:pt idx="220">
                  <c:v>1350.0866199557202</c:v>
                </c:pt>
                <c:pt idx="221">
                  <c:v>1363.1757289749398</c:v>
                </c:pt>
                <c:pt idx="222">
                  <c:v>1372.5913010417701</c:v>
                </c:pt>
                <c:pt idx="223">
                  <c:v>1342.3696539788</c:v>
                </c:pt>
                <c:pt idx="224">
                  <c:v>1346.46868000993</c:v>
                </c:pt>
                <c:pt idx="225">
                  <c:v>1337.5280296498499</c:v>
                </c:pt>
                <c:pt idx="226">
                  <c:v>1393.8248750780799</c:v>
                </c:pt>
                <c:pt idx="227">
                  <c:v>1377.58004918801</c:v>
                </c:pt>
                <c:pt idx="228">
                  <c:v>1402.80532362586</c:v>
                </c:pt>
                <c:pt idx="229">
                  <c:v>1402.1503169893799</c:v>
                </c:pt>
                <c:pt idx="230">
                  <c:v>1381.0667878883301</c:v>
                </c:pt>
                <c:pt idx="231">
                  <c:v>1306.74467068843</c:v>
                </c:pt>
                <c:pt idx="232">
                  <c:v>1219.73691349618</c:v>
                </c:pt>
                <c:pt idx="233">
                  <c:v>1274.4892096934</c:v>
                </c:pt>
                <c:pt idx="234">
                  <c:v>1308.3554851408101</c:v>
                </c:pt>
                <c:pt idx="235">
                  <c:v>1412.131919187</c:v>
                </c:pt>
                <c:pt idx="236">
                  <c:v>1437.8281279935502</c:v>
                </c:pt>
                <c:pt idx="237">
                  <c:v>1424.5173566707499</c:v>
                </c:pt>
                <c:pt idx="238">
                  <c:v>1431.8760854734101</c:v>
                </c:pt>
                <c:pt idx="239">
                  <c:v>1356.57616771629</c:v>
                </c:pt>
                <c:pt idx="240">
                  <c:v>1379.3051923319299</c:v>
                </c:pt>
                <c:pt idx="241">
                  <c:v>1329.2443265932</c:v>
                </c:pt>
                <c:pt idx="242">
                  <c:v>1400.8331760401802</c:v>
                </c:pt>
                <c:pt idx="243">
                  <c:v>1368.6482822061698</c:v>
                </c:pt>
                <c:pt idx="244">
                  <c:v>1380.4750967714501</c:v>
                </c:pt>
                <c:pt idx="245">
                  <c:v>1409.67579475414</c:v>
                </c:pt>
                <c:pt idx="246">
                  <c:v>1392.5461248669501</c:v>
                </c:pt>
                <c:pt idx="247">
                  <c:v>1351.6839697151599</c:v>
                </c:pt>
                <c:pt idx="248">
                  <c:v>1264.1132971799</c:v>
                </c:pt>
                <c:pt idx="249">
                  <c:v>1285.4491682573498</c:v>
                </c:pt>
                <c:pt idx="250">
                  <c:v>1322.3574673928899</c:v>
                </c:pt>
                <c:pt idx="251">
                  <c:v>1385.04019917455</c:v>
                </c:pt>
                <c:pt idx="252">
                  <c:v>1410.0154498454599</c:v>
                </c:pt>
                <c:pt idx="253">
                  <c:v>1440.4385502830401</c:v>
                </c:pt>
                <c:pt idx="254">
                  <c:v>1448.3187307650498</c:v>
                </c:pt>
                <c:pt idx="255">
                  <c:v>1461.37588538413</c:v>
                </c:pt>
                <c:pt idx="256">
                  <c:v>1354.7517161149299</c:v>
                </c:pt>
                <c:pt idx="257">
                  <c:v>1337.5238323703902</c:v>
                </c:pt>
                <c:pt idx="258">
                  <c:v>1320.6136245692799</c:v>
                </c:pt>
                <c:pt idx="259">
                  <c:v>1290.7263141661899</c:v>
                </c:pt>
                <c:pt idx="260">
                  <c:v>1346.60899437848</c:v>
                </c:pt>
                <c:pt idx="261">
                  <c:v>1374.85892947004</c:v>
                </c:pt>
                <c:pt idx="262">
                  <c:v>1365.59616270727</c:v>
                </c:pt>
                <c:pt idx="263">
                  <c:v>1303.34036695226</c:v>
                </c:pt>
                <c:pt idx="264">
                  <c:v>1326.7248742973102</c:v>
                </c:pt>
                <c:pt idx="265">
                  <c:v>1271.8211410836998</c:v>
                </c:pt>
                <c:pt idx="266">
                  <c:v>1287.02167707683</c:v>
                </c:pt>
                <c:pt idx="267">
                  <c:v>1271.82846189881</c:v>
                </c:pt>
                <c:pt idx="268">
                  <c:v>1266.4160130387299</c:v>
                </c:pt>
                <c:pt idx="269">
                  <c:v>1200.8222826234201</c:v>
                </c:pt>
                <c:pt idx="270">
                  <c:v>1221.6658745552702</c:v>
                </c:pt>
                <c:pt idx="271">
                  <c:v>1283.09902645434</c:v>
                </c:pt>
                <c:pt idx="272">
                  <c:v>1271.8075013765501</c:v>
                </c:pt>
                <c:pt idx="273">
                  <c:v>1185.80161383064</c:v>
                </c:pt>
                <c:pt idx="274">
                  <c:v>1254.8297905418001</c:v>
                </c:pt>
                <c:pt idx="275">
                  <c:v>1324.4379526415801</c:v>
                </c:pt>
                <c:pt idx="276">
                  <c:v>1385.5668348025999</c:v>
                </c:pt>
                <c:pt idx="277">
                  <c:v>1377.4302580881099</c:v>
                </c:pt>
                <c:pt idx="278">
                  <c:v>1435.7773126811198</c:v>
                </c:pt>
                <c:pt idx="279">
                  <c:v>1422.7992969694201</c:v>
                </c:pt>
                <c:pt idx="280">
                  <c:v>1410.28299605335</c:v>
                </c:pt>
                <c:pt idx="281">
                  <c:v>1421.0214738509601</c:v>
                </c:pt>
                <c:pt idx="282">
                  <c:v>1365.2184720345299</c:v>
                </c:pt>
                <c:pt idx="283">
                  <c:v>1291.49659893633</c:v>
                </c:pt>
                <c:pt idx="284">
                  <c:v>1263.8409930163</c:v>
                </c:pt>
                <c:pt idx="285">
                  <c:v>1256.37668363072</c:v>
                </c:pt>
                <c:pt idx="286">
                  <c:v>1221.3462104534801</c:v>
                </c:pt>
                <c:pt idx="287">
                  <c:v>1352.42462816632</c:v>
                </c:pt>
                <c:pt idx="288">
                  <c:v>1293.2902440374701</c:v>
                </c:pt>
                <c:pt idx="289">
                  <c:v>1247.07110303072</c:v>
                </c:pt>
                <c:pt idx="290">
                  <c:v>1224.3516552154501</c:v>
                </c:pt>
                <c:pt idx="291">
                  <c:v>1164.40412242351</c:v>
                </c:pt>
                <c:pt idx="292">
                  <c:v>1214.3229605630402</c:v>
                </c:pt>
                <c:pt idx="293">
                  <c:v>1256.4438945777902</c:v>
                </c:pt>
                <c:pt idx="294">
                  <c:v>1157.1598539398399</c:v>
                </c:pt>
                <c:pt idx="295">
                  <c:v>1283.48844472205</c:v>
                </c:pt>
                <c:pt idx="296">
                  <c:v>1363.04685317591</c:v>
                </c:pt>
                <c:pt idx="297">
                  <c:v>1336.7625777230601</c:v>
                </c:pt>
                <c:pt idx="298">
                  <c:v>1321.0096092286101</c:v>
                </c:pt>
                <c:pt idx="299">
                  <c:v>1455.8623344784501</c:v>
                </c:pt>
                <c:pt idx="300">
                  <c:v>1485.4770436446001</c:v>
                </c:pt>
                <c:pt idx="301">
                  <c:v>1494.08088694566</c:v>
                </c:pt>
                <c:pt idx="302">
                  <c:v>1546.2922934138501</c:v>
                </c:pt>
                <c:pt idx="303">
                  <c:v>1537.6323181010798</c:v>
                </c:pt>
                <c:pt idx="304">
                  <c:v>1502.1939647977499</c:v>
                </c:pt>
                <c:pt idx="305">
                  <c:v>1457.6266861823199</c:v>
                </c:pt>
                <c:pt idx="306">
                  <c:v>1444.3916057746601</c:v>
                </c:pt>
                <c:pt idx="307">
                  <c:v>1416.9803736980898</c:v>
                </c:pt>
                <c:pt idx="308">
                  <c:v>1439.8452822760701</c:v>
                </c:pt>
                <c:pt idx="309">
                  <c:v>1461.79767549555</c:v>
                </c:pt>
                <c:pt idx="310">
                  <c:v>1441.0256441286701</c:v>
                </c:pt>
                <c:pt idx="311">
                  <c:v>1345.9342337473399</c:v>
                </c:pt>
                <c:pt idx="312">
                  <c:v>1318.5461650370898</c:v>
                </c:pt>
                <c:pt idx="313">
                  <c:v>1361.9992349711902</c:v>
                </c:pt>
                <c:pt idx="314">
                  <c:v>1394.2326931903099</c:v>
                </c:pt>
                <c:pt idx="315">
                  <c:v>1377.1339766040601</c:v>
                </c:pt>
                <c:pt idx="316">
                  <c:v>1441.0327326768802</c:v>
                </c:pt>
                <c:pt idx="317">
                  <c:v>1407.6858213616201</c:v>
                </c:pt>
                <c:pt idx="318">
                  <c:v>1383.4464227882399</c:v>
                </c:pt>
                <c:pt idx="319">
                  <c:v>1365.1640271705201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C-8144-A93A-F6DBE89F6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D-0741-B0B1-4246C99AF5FA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'240821E015'!$A$2:$A$321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'240821E015'!$P$2:$P$321</c:f>
              <c:numCache>
                <c:formatCode>General</c:formatCode>
                <c:ptCount val="320"/>
                <c:pt idx="0">
                  <c:v>14.248988058472509</c:v>
                </c:pt>
                <c:pt idx="1">
                  <c:v>22.666705321020071</c:v>
                </c:pt>
                <c:pt idx="2">
                  <c:v>32.468624218726326</c:v>
                </c:pt>
                <c:pt idx="3">
                  <c:v>39.240119096935814</c:v>
                </c:pt>
                <c:pt idx="4">
                  <c:v>23.92799688580256</c:v>
                </c:pt>
                <c:pt idx="5">
                  <c:v>24.941044547828373</c:v>
                </c:pt>
                <c:pt idx="6">
                  <c:v>18.080371192361273</c:v>
                </c:pt>
                <c:pt idx="7">
                  <c:v>20.15831022342633</c:v>
                </c:pt>
                <c:pt idx="8">
                  <c:v>13.689591853045416</c:v>
                </c:pt>
                <c:pt idx="9">
                  <c:v>13.724086385613457</c:v>
                </c:pt>
                <c:pt idx="10">
                  <c:v>14.114378222195365</c:v>
                </c:pt>
                <c:pt idx="11">
                  <c:v>16.191321722884297</c:v>
                </c:pt>
                <c:pt idx="12">
                  <c:v>14.817338730140794</c:v>
                </c:pt>
                <c:pt idx="13">
                  <c:v>11.946318667667903</c:v>
                </c:pt>
                <c:pt idx="14">
                  <c:v>10.903713727298173</c:v>
                </c:pt>
                <c:pt idx="15">
                  <c:v>8.3715482075003749</c:v>
                </c:pt>
                <c:pt idx="16">
                  <c:v>8.1854696262212414</c:v>
                </c:pt>
                <c:pt idx="17">
                  <c:v>7.9326484135983586</c:v>
                </c:pt>
                <c:pt idx="18">
                  <c:v>6.4129596251447856</c:v>
                </c:pt>
                <c:pt idx="19">
                  <c:v>8.2285193671134511</c:v>
                </c:pt>
                <c:pt idx="20">
                  <c:v>7.2465013789905788</c:v>
                </c:pt>
                <c:pt idx="21">
                  <c:v>6.6489004196468828</c:v>
                </c:pt>
                <c:pt idx="22">
                  <c:v>6.2898621517761697</c:v>
                </c:pt>
                <c:pt idx="23">
                  <c:v>1.820569513786668</c:v>
                </c:pt>
                <c:pt idx="24">
                  <c:v>1.8954383785995781</c:v>
                </c:pt>
                <c:pt idx="25">
                  <c:v>-0.20494254139095081</c:v>
                </c:pt>
                <c:pt idx="26">
                  <c:v>0.36012202067567894</c:v>
                </c:pt>
                <c:pt idx="27">
                  <c:v>0.94221690765583976</c:v>
                </c:pt>
                <c:pt idx="28">
                  <c:v>0.11325680191491407</c:v>
                </c:pt>
                <c:pt idx="29">
                  <c:v>-5.9445884514590083E-2</c:v>
                </c:pt>
                <c:pt idx="30">
                  <c:v>-1.7582654239118787</c:v>
                </c:pt>
                <c:pt idx="31">
                  <c:v>-1.5187313750483538</c:v>
                </c:pt>
                <c:pt idx="32">
                  <c:v>-2.2148948676117119</c:v>
                </c:pt>
                <c:pt idx="33">
                  <c:v>-1.9307448617030647</c:v>
                </c:pt>
                <c:pt idx="34">
                  <c:v>-2.6908579216430479</c:v>
                </c:pt>
                <c:pt idx="35">
                  <c:v>-2.0775109129861988</c:v>
                </c:pt>
                <c:pt idx="36">
                  <c:v>-1.3883242378642084</c:v>
                </c:pt>
                <c:pt idx="37">
                  <c:v>-2.6927075129546862</c:v>
                </c:pt>
                <c:pt idx="38">
                  <c:v>-2.7968362564661899</c:v>
                </c:pt>
                <c:pt idx="39">
                  <c:v>-3.0390886697815636</c:v>
                </c:pt>
                <c:pt idx="40">
                  <c:v>-2.7791626638032958</c:v>
                </c:pt>
                <c:pt idx="41">
                  <c:v>-2.9675028653510354</c:v>
                </c:pt>
                <c:pt idx="42">
                  <c:v>-2.7952264014082724</c:v>
                </c:pt>
                <c:pt idx="43">
                  <c:v>-1.459782219303225</c:v>
                </c:pt>
                <c:pt idx="44">
                  <c:v>-2.390742231463503</c:v>
                </c:pt>
                <c:pt idx="45">
                  <c:v>-2.4362583980600339</c:v>
                </c:pt>
                <c:pt idx="46">
                  <c:v>-3.071118343985562</c:v>
                </c:pt>
                <c:pt idx="47">
                  <c:v>-3.4350282025872856</c:v>
                </c:pt>
                <c:pt idx="48">
                  <c:v>-2.5233201163850163</c:v>
                </c:pt>
                <c:pt idx="49">
                  <c:v>-2.2876843025184881</c:v>
                </c:pt>
                <c:pt idx="50">
                  <c:v>-1.8325478951382355</c:v>
                </c:pt>
                <c:pt idx="51">
                  <c:v>-1.773240996019267</c:v>
                </c:pt>
                <c:pt idx="52">
                  <c:v>-1.2791489436089509</c:v>
                </c:pt>
                <c:pt idx="53">
                  <c:v>-0.90833654261316765</c:v>
                </c:pt>
                <c:pt idx="54">
                  <c:v>-6.7944916932384108E-2</c:v>
                </c:pt>
                <c:pt idx="55">
                  <c:v>-0.29597172017161538</c:v>
                </c:pt>
                <c:pt idx="56">
                  <c:v>-0.72439378871033333</c:v>
                </c:pt>
                <c:pt idx="57">
                  <c:v>-1.7530801455859737</c:v>
                </c:pt>
                <c:pt idx="58">
                  <c:v>-1.9319291812992831</c:v>
                </c:pt>
                <c:pt idx="59">
                  <c:v>-0.8562397610780611</c:v>
                </c:pt>
                <c:pt idx="60">
                  <c:v>-0.5202081418158252</c:v>
                </c:pt>
                <c:pt idx="61">
                  <c:v>-2.9750748058037901E-2</c:v>
                </c:pt>
                <c:pt idx="62">
                  <c:v>-1.6526838726080868</c:v>
                </c:pt>
                <c:pt idx="63">
                  <c:v>-1.9990323355449116</c:v>
                </c:pt>
                <c:pt idx="64">
                  <c:v>-1.8962533477331518</c:v>
                </c:pt>
                <c:pt idx="65">
                  <c:v>-1.2706681340610178</c:v>
                </c:pt>
                <c:pt idx="66">
                  <c:v>-0.6695630321460927</c:v>
                </c:pt>
                <c:pt idx="67">
                  <c:v>7.3459309766004621E-2</c:v>
                </c:pt>
                <c:pt idx="68">
                  <c:v>-0.73566384741389113</c:v>
                </c:pt>
                <c:pt idx="69">
                  <c:v>-6.6671964783735951E-2</c:v>
                </c:pt>
                <c:pt idx="70">
                  <c:v>4.8625374400845627E-2</c:v>
                </c:pt>
                <c:pt idx="71">
                  <c:v>-0.4926161871576118</c:v>
                </c:pt>
                <c:pt idx="72">
                  <c:v>0.83636271590067679</c:v>
                </c:pt>
                <c:pt idx="73">
                  <c:v>0.29057585163168248</c:v>
                </c:pt>
                <c:pt idx="74">
                  <c:v>1.0931771416302991</c:v>
                </c:pt>
                <c:pt idx="75">
                  <c:v>1.2309805076648048</c:v>
                </c:pt>
                <c:pt idx="76">
                  <c:v>1.8553485977245563</c:v>
                </c:pt>
                <c:pt idx="77">
                  <c:v>1.1433744649909106</c:v>
                </c:pt>
                <c:pt idx="78">
                  <c:v>1.2302480886093725</c:v>
                </c:pt>
                <c:pt idx="79">
                  <c:v>1.5309595590026654</c:v>
                </c:pt>
                <c:pt idx="80">
                  <c:v>0.50212213565071007</c:v>
                </c:pt>
                <c:pt idx="81">
                  <c:v>0.42876075736467678</c:v>
                </c:pt>
                <c:pt idx="82">
                  <c:v>1.343504733125632</c:v>
                </c:pt>
                <c:pt idx="83">
                  <c:v>1.8102958977645065</c:v>
                </c:pt>
                <c:pt idx="84">
                  <c:v>1.2914834374558946</c:v>
                </c:pt>
                <c:pt idx="85">
                  <c:v>1.8505074663060315</c:v>
                </c:pt>
                <c:pt idx="86">
                  <c:v>2.4475545039700495</c:v>
                </c:pt>
                <c:pt idx="87">
                  <c:v>2.4681470465394657</c:v>
                </c:pt>
                <c:pt idx="88">
                  <c:v>2.5191541380194802</c:v>
                </c:pt>
                <c:pt idx="89">
                  <c:v>2.2438076696481035</c:v>
                </c:pt>
                <c:pt idx="90">
                  <c:v>3.0772705201538439</c:v>
                </c:pt>
                <c:pt idx="91">
                  <c:v>13.879468511851488</c:v>
                </c:pt>
                <c:pt idx="92">
                  <c:v>41.067253697195632</c:v>
                </c:pt>
                <c:pt idx="93">
                  <c:v>64.036329037041412</c:v>
                </c:pt>
                <c:pt idx="94">
                  <c:v>80.770373003315939</c:v>
                </c:pt>
                <c:pt idx="95">
                  <c:v>92.892943024701694</c:v>
                </c:pt>
                <c:pt idx="96">
                  <c:v>102.15215662223713</c:v>
                </c:pt>
                <c:pt idx="97">
                  <c:v>107.29712624284676</c:v>
                </c:pt>
                <c:pt idx="98">
                  <c:v>110.48783151600108</c:v>
                </c:pt>
                <c:pt idx="99">
                  <c:v>115.88648562432415</c:v>
                </c:pt>
                <c:pt idx="100">
                  <c:v>117.8190060764187</c:v>
                </c:pt>
                <c:pt idx="101">
                  <c:v>119.14673621972732</c:v>
                </c:pt>
                <c:pt idx="102">
                  <c:v>118.23590673144648</c:v>
                </c:pt>
                <c:pt idx="103">
                  <c:v>117.73663042182498</c:v>
                </c:pt>
                <c:pt idx="104">
                  <c:v>115.03250514603816</c:v>
                </c:pt>
                <c:pt idx="105">
                  <c:v>114.2727135266252</c:v>
                </c:pt>
                <c:pt idx="106">
                  <c:v>110.76566089527672</c:v>
                </c:pt>
                <c:pt idx="107">
                  <c:v>105.04030797448998</c:v>
                </c:pt>
                <c:pt idx="108">
                  <c:v>104.25189624545636</c:v>
                </c:pt>
                <c:pt idx="109">
                  <c:v>98.762369754698966</c:v>
                </c:pt>
                <c:pt idx="110">
                  <c:v>99.037075077503218</c:v>
                </c:pt>
                <c:pt idx="111">
                  <c:v>94.978736973927198</c:v>
                </c:pt>
                <c:pt idx="112">
                  <c:v>92.009816564423303</c:v>
                </c:pt>
                <c:pt idx="113">
                  <c:v>88.02274426366246</c:v>
                </c:pt>
                <c:pt idx="114">
                  <c:v>84.514869802044231</c:v>
                </c:pt>
                <c:pt idx="115">
                  <c:v>82.813855088272504</c:v>
                </c:pt>
                <c:pt idx="116">
                  <c:v>80.578268096548811</c:v>
                </c:pt>
                <c:pt idx="117">
                  <c:v>78.759086377666634</c:v>
                </c:pt>
                <c:pt idx="118">
                  <c:v>76.929954689305788</c:v>
                </c:pt>
                <c:pt idx="119">
                  <c:v>75.242638922694596</c:v>
                </c:pt>
                <c:pt idx="120">
                  <c:v>72.178478872202191</c:v>
                </c:pt>
                <c:pt idx="121">
                  <c:v>70.945324009198742</c:v>
                </c:pt>
                <c:pt idx="122">
                  <c:v>68.541716538183763</c:v>
                </c:pt>
                <c:pt idx="123">
                  <c:v>67.910496057615973</c:v>
                </c:pt>
                <c:pt idx="124">
                  <c:v>64.950458271556599</c:v>
                </c:pt>
                <c:pt idx="125">
                  <c:v>61.649137474460773</c:v>
                </c:pt>
                <c:pt idx="126">
                  <c:v>58.600661222951388</c:v>
                </c:pt>
                <c:pt idx="127">
                  <c:v>56.143459212003485</c:v>
                </c:pt>
                <c:pt idx="128">
                  <c:v>54.483795691202438</c:v>
                </c:pt>
                <c:pt idx="129">
                  <c:v>55.314446457663458</c:v>
                </c:pt>
                <c:pt idx="130">
                  <c:v>54.565990995928658</c:v>
                </c:pt>
                <c:pt idx="131">
                  <c:v>53.459061885888225</c:v>
                </c:pt>
                <c:pt idx="132">
                  <c:v>50.964316090440242</c:v>
                </c:pt>
                <c:pt idx="133">
                  <c:v>52.041356351884858</c:v>
                </c:pt>
                <c:pt idx="134">
                  <c:v>52.151313112385381</c:v>
                </c:pt>
                <c:pt idx="135">
                  <c:v>52.239776297972071</c:v>
                </c:pt>
                <c:pt idx="136">
                  <c:v>49.861687524026863</c:v>
                </c:pt>
                <c:pt idx="137">
                  <c:v>49.217966875964819</c:v>
                </c:pt>
                <c:pt idx="138">
                  <c:v>46.702114277975447</c:v>
                </c:pt>
                <c:pt idx="139">
                  <c:v>44.403785595566497</c:v>
                </c:pt>
                <c:pt idx="140">
                  <c:v>43.245243306143799</c:v>
                </c:pt>
                <c:pt idx="141">
                  <c:v>42.485587846926109</c:v>
                </c:pt>
                <c:pt idx="142">
                  <c:v>39.97330905921703</c:v>
                </c:pt>
                <c:pt idx="143">
                  <c:v>37.237417334517453</c:v>
                </c:pt>
                <c:pt idx="144">
                  <c:v>35.414050110156346</c:v>
                </c:pt>
                <c:pt idx="145">
                  <c:v>34.542641174628187</c:v>
                </c:pt>
                <c:pt idx="146">
                  <c:v>32.308981044662247</c:v>
                </c:pt>
                <c:pt idx="147">
                  <c:v>31.106084918089007</c:v>
                </c:pt>
                <c:pt idx="148">
                  <c:v>30.013815788324177</c:v>
                </c:pt>
                <c:pt idx="149">
                  <c:v>29.908183922955995</c:v>
                </c:pt>
                <c:pt idx="150">
                  <c:v>26.447434863938401</c:v>
                </c:pt>
                <c:pt idx="151">
                  <c:v>25.277612056503003</c:v>
                </c:pt>
                <c:pt idx="152">
                  <c:v>24.381983082948281</c:v>
                </c:pt>
                <c:pt idx="153">
                  <c:v>24.141330195496693</c:v>
                </c:pt>
                <c:pt idx="154">
                  <c:v>24.139133747485221</c:v>
                </c:pt>
                <c:pt idx="155">
                  <c:v>21.153231267116993</c:v>
                </c:pt>
                <c:pt idx="156">
                  <c:v>20.149573712980544</c:v>
                </c:pt>
                <c:pt idx="157">
                  <c:v>21.267101043900492</c:v>
                </c:pt>
                <c:pt idx="158">
                  <c:v>18.264651197199925</c:v>
                </c:pt>
                <c:pt idx="159">
                  <c:v>20.084207393102663</c:v>
                </c:pt>
                <c:pt idx="160">
                  <c:v>18.327023247774761</c:v>
                </c:pt>
                <c:pt idx="161">
                  <c:v>15.248527063815489</c:v>
                </c:pt>
                <c:pt idx="162">
                  <c:v>12.983689351588676</c:v>
                </c:pt>
                <c:pt idx="163">
                  <c:v>13.277811715235959</c:v>
                </c:pt>
                <c:pt idx="164">
                  <c:v>13.799339866890747</c:v>
                </c:pt>
                <c:pt idx="165">
                  <c:v>13.543955794290843</c:v>
                </c:pt>
                <c:pt idx="166">
                  <c:v>13.037964118093715</c:v>
                </c:pt>
                <c:pt idx="167">
                  <c:v>13.539543812699304</c:v>
                </c:pt>
                <c:pt idx="168">
                  <c:v>12.329772239403827</c:v>
                </c:pt>
                <c:pt idx="169">
                  <c:v>12.18976638734344</c:v>
                </c:pt>
                <c:pt idx="170">
                  <c:v>11.982836381713572</c:v>
                </c:pt>
                <c:pt idx="171">
                  <c:v>13.177791498874464</c:v>
                </c:pt>
                <c:pt idx="172">
                  <c:v>11.684617421274455</c:v>
                </c:pt>
                <c:pt idx="173">
                  <c:v>12.456724192825169</c:v>
                </c:pt>
                <c:pt idx="174">
                  <c:v>11.307216167937719</c:v>
                </c:pt>
                <c:pt idx="175">
                  <c:v>9.7184859367310175</c:v>
                </c:pt>
                <c:pt idx="176">
                  <c:v>9.5641161263116956</c:v>
                </c:pt>
                <c:pt idx="177">
                  <c:v>8.9797193382138811</c:v>
                </c:pt>
                <c:pt idx="178">
                  <c:v>8.1175338447693655</c:v>
                </c:pt>
                <c:pt idx="179">
                  <c:v>6.0031998817415113</c:v>
                </c:pt>
                <c:pt idx="180">
                  <c:v>5.934122139976358</c:v>
                </c:pt>
                <c:pt idx="181">
                  <c:v>4.5807603044206662</c:v>
                </c:pt>
                <c:pt idx="182">
                  <c:v>2.2383080190902094</c:v>
                </c:pt>
                <c:pt idx="183">
                  <c:v>0.59776854371694832</c:v>
                </c:pt>
                <c:pt idx="184">
                  <c:v>-0.26539152345908323</c:v>
                </c:pt>
                <c:pt idx="185">
                  <c:v>-1.7247171520309745</c:v>
                </c:pt>
                <c:pt idx="186">
                  <c:v>-2.5049035302191514</c:v>
                </c:pt>
                <c:pt idx="187">
                  <c:v>-3.8225097394082508</c:v>
                </c:pt>
                <c:pt idx="188">
                  <c:v>-4.1200036848071209</c:v>
                </c:pt>
                <c:pt idx="189">
                  <c:v>-4.1987053249531847</c:v>
                </c:pt>
                <c:pt idx="190">
                  <c:v>-5.8518365184711341</c:v>
                </c:pt>
                <c:pt idx="191">
                  <c:v>-5.8687857519464925</c:v>
                </c:pt>
                <c:pt idx="192">
                  <c:v>-7.4110114334705157</c:v>
                </c:pt>
                <c:pt idx="193">
                  <c:v>-7.9245436824366537</c:v>
                </c:pt>
                <c:pt idx="194">
                  <c:v>-8.2126029473795032</c:v>
                </c:pt>
                <c:pt idx="195">
                  <c:v>-8.5797944292917343</c:v>
                </c:pt>
                <c:pt idx="196">
                  <c:v>-10.144737564305698</c:v>
                </c:pt>
                <c:pt idx="197">
                  <c:v>-11.059095036286555</c:v>
                </c:pt>
                <c:pt idx="198">
                  <c:v>-10.912151064115855</c:v>
                </c:pt>
                <c:pt idx="199">
                  <c:v>-12.13110151166315</c:v>
                </c:pt>
                <c:pt idx="200">
                  <c:v>-12.05298051718075</c:v>
                </c:pt>
                <c:pt idx="201">
                  <c:v>-10.940921969636257</c:v>
                </c:pt>
                <c:pt idx="202">
                  <c:v>-11.766010001161959</c:v>
                </c:pt>
                <c:pt idx="203">
                  <c:v>-17.465564784516911</c:v>
                </c:pt>
                <c:pt idx="204">
                  <c:v>-17.446220045459778</c:v>
                </c:pt>
                <c:pt idx="205">
                  <c:v>-17.252983588292178</c:v>
                </c:pt>
                <c:pt idx="206">
                  <c:v>-16.004890223563848</c:v>
                </c:pt>
                <c:pt idx="207">
                  <c:v>-16.159473373748988</c:v>
                </c:pt>
                <c:pt idx="208">
                  <c:v>-15.306513413848968</c:v>
                </c:pt>
                <c:pt idx="209">
                  <c:v>-16.266333363901015</c:v>
                </c:pt>
                <c:pt idx="210">
                  <c:v>-15.896935637152415</c:v>
                </c:pt>
                <c:pt idx="211">
                  <c:v>-15.907387379101435</c:v>
                </c:pt>
                <c:pt idx="212">
                  <c:v>-16.154395343570854</c:v>
                </c:pt>
                <c:pt idx="213">
                  <c:v>-16.737458430932943</c:v>
                </c:pt>
                <c:pt idx="214">
                  <c:v>-16.106571862494206</c:v>
                </c:pt>
                <c:pt idx="215">
                  <c:v>-15.512496626872874</c:v>
                </c:pt>
                <c:pt idx="216">
                  <c:v>-15.338486002362961</c:v>
                </c:pt>
                <c:pt idx="217">
                  <c:v>-15.02323221582556</c:v>
                </c:pt>
                <c:pt idx="218">
                  <c:v>-16.76468458368603</c:v>
                </c:pt>
                <c:pt idx="219">
                  <c:v>-16.374999216569584</c:v>
                </c:pt>
                <c:pt idx="220">
                  <c:v>-15.932139481332253</c:v>
                </c:pt>
                <c:pt idx="221">
                  <c:v>-14.574844209772204</c:v>
                </c:pt>
                <c:pt idx="222">
                  <c:v>-15.105309574884135</c:v>
                </c:pt>
                <c:pt idx="223">
                  <c:v>-15.062139147963352</c:v>
                </c:pt>
                <c:pt idx="224">
                  <c:v>-14.734127830821233</c:v>
                </c:pt>
                <c:pt idx="225">
                  <c:v>-14.136655300306645</c:v>
                </c:pt>
                <c:pt idx="226">
                  <c:v>-14.846667270132786</c:v>
                </c:pt>
                <c:pt idx="227">
                  <c:v>-15.479165911061296</c:v>
                </c:pt>
                <c:pt idx="228">
                  <c:v>-14.690310700414527</c:v>
                </c:pt>
                <c:pt idx="229">
                  <c:v>-14.78615776449152</c:v>
                </c:pt>
                <c:pt idx="230">
                  <c:v>-13.745286701599063</c:v>
                </c:pt>
                <c:pt idx="231">
                  <c:v>-13.63941858593026</c:v>
                </c:pt>
                <c:pt idx="232">
                  <c:v>-12.375497086679923</c:v>
                </c:pt>
                <c:pt idx="233">
                  <c:v>-12.907909399158227</c:v>
                </c:pt>
                <c:pt idx="234">
                  <c:v>-12.140895423584249</c:v>
                </c:pt>
                <c:pt idx="235">
                  <c:v>-12.758447690719683</c:v>
                </c:pt>
                <c:pt idx="236">
                  <c:v>-12.600169918273213</c:v>
                </c:pt>
                <c:pt idx="237">
                  <c:v>-12.01907588871688</c:v>
                </c:pt>
                <c:pt idx="238">
                  <c:v>-11.513165232682388</c:v>
                </c:pt>
                <c:pt idx="239">
                  <c:v>-11.968289637465473</c:v>
                </c:pt>
                <c:pt idx="240">
                  <c:v>-10.311984978373811</c:v>
                </c:pt>
                <c:pt idx="241">
                  <c:v>-10.040846398966584</c:v>
                </c:pt>
                <c:pt idx="242">
                  <c:v>-9.4502115265411071</c:v>
                </c:pt>
                <c:pt idx="243">
                  <c:v>-8.9930013725743017</c:v>
                </c:pt>
                <c:pt idx="244">
                  <c:v>-7.9597206253097852</c:v>
                </c:pt>
                <c:pt idx="245">
                  <c:v>-8.4123496598810696</c:v>
                </c:pt>
                <c:pt idx="246">
                  <c:v>-8.8584956312927687</c:v>
                </c:pt>
                <c:pt idx="247">
                  <c:v>-8.3584055333506608</c:v>
                </c:pt>
                <c:pt idx="248">
                  <c:v>-9.5050258981155569</c:v>
                </c:pt>
                <c:pt idx="249">
                  <c:v>-8.3554032027442737</c:v>
                </c:pt>
                <c:pt idx="250">
                  <c:v>-7.0639636539782877</c:v>
                </c:pt>
                <c:pt idx="251">
                  <c:v>-6.1744885214209111</c:v>
                </c:pt>
                <c:pt idx="252">
                  <c:v>-6.3009312215513997</c:v>
                </c:pt>
                <c:pt idx="253">
                  <c:v>-6.4238602729104564</c:v>
                </c:pt>
                <c:pt idx="254">
                  <c:v>-6.4891208476572828</c:v>
                </c:pt>
                <c:pt idx="255">
                  <c:v>-6.2412156735095898</c:v>
                </c:pt>
                <c:pt idx="256">
                  <c:v>-7.8475653621735724</c:v>
                </c:pt>
                <c:pt idx="257">
                  <c:v>-6.6602109147547983</c:v>
                </c:pt>
                <c:pt idx="258">
                  <c:v>-3.874578302917437</c:v>
                </c:pt>
                <c:pt idx="259">
                  <c:v>-3.921404163792376</c:v>
                </c:pt>
                <c:pt idx="260">
                  <c:v>-2.4624364879741711</c:v>
                </c:pt>
                <c:pt idx="261">
                  <c:v>-3.9408827549231669</c:v>
                </c:pt>
                <c:pt idx="262">
                  <c:v>-5.4198173085906092</c:v>
                </c:pt>
                <c:pt idx="263">
                  <c:v>-5.3235116350421494</c:v>
                </c:pt>
                <c:pt idx="264">
                  <c:v>-2.4642787312806522</c:v>
                </c:pt>
                <c:pt idx="265">
                  <c:v>-0.6931846700601344</c:v>
                </c:pt>
                <c:pt idx="266">
                  <c:v>-1.2882539202237009</c:v>
                </c:pt>
                <c:pt idx="267">
                  <c:v>-1.0731568456555369</c:v>
                </c:pt>
                <c:pt idx="268">
                  <c:v>-1.2901834536695869</c:v>
                </c:pt>
                <c:pt idx="269">
                  <c:v>-1.0839215736452892</c:v>
                </c:pt>
                <c:pt idx="270">
                  <c:v>-2.5035480858598089</c:v>
                </c:pt>
                <c:pt idx="271">
                  <c:v>-1.5723601053465814</c:v>
                </c:pt>
                <c:pt idx="272">
                  <c:v>-3.3154759457559453</c:v>
                </c:pt>
                <c:pt idx="273">
                  <c:v>-2.1784111156093449</c:v>
                </c:pt>
                <c:pt idx="274">
                  <c:v>-8.8759800982913459E-2</c:v>
                </c:pt>
                <c:pt idx="275">
                  <c:v>1.8098389776160577</c:v>
                </c:pt>
                <c:pt idx="276">
                  <c:v>0.76210991812531204</c:v>
                </c:pt>
                <c:pt idx="277">
                  <c:v>0.45328273230455668</c:v>
                </c:pt>
                <c:pt idx="278">
                  <c:v>1.127550632072835</c:v>
                </c:pt>
                <c:pt idx="279">
                  <c:v>1.3227661035472391</c:v>
                </c:pt>
                <c:pt idx="280">
                  <c:v>0.56601755844441071</c:v>
                </c:pt>
                <c:pt idx="281">
                  <c:v>0.46365121285527122</c:v>
                </c:pt>
                <c:pt idx="282">
                  <c:v>2.1595143975610762</c:v>
                </c:pt>
                <c:pt idx="283">
                  <c:v>4.0199518750530556</c:v>
                </c:pt>
                <c:pt idx="284">
                  <c:v>3.4446585241572985</c:v>
                </c:pt>
                <c:pt idx="285">
                  <c:v>3.5975202566138251</c:v>
                </c:pt>
                <c:pt idx="286">
                  <c:v>3.8418969500568938</c:v>
                </c:pt>
                <c:pt idx="287">
                  <c:v>1.3571939993132065</c:v>
                </c:pt>
                <c:pt idx="288">
                  <c:v>0.93512397870883712</c:v>
                </c:pt>
                <c:pt idx="289">
                  <c:v>2.7977671183402615</c:v>
                </c:pt>
                <c:pt idx="290">
                  <c:v>4.038044070558974</c:v>
                </c:pt>
                <c:pt idx="291">
                  <c:v>3.8958816394171292</c:v>
                </c:pt>
                <c:pt idx="292">
                  <c:v>4.8628786147255578</c:v>
                </c:pt>
                <c:pt idx="293">
                  <c:v>3.7146175628144698</c:v>
                </c:pt>
                <c:pt idx="294">
                  <c:v>3.1771694711898335</c:v>
                </c:pt>
                <c:pt idx="295">
                  <c:v>5.8956352973825403</c:v>
                </c:pt>
                <c:pt idx="296">
                  <c:v>6.3551914584381013</c:v>
                </c:pt>
                <c:pt idx="297">
                  <c:v>6.6656103534281392</c:v>
                </c:pt>
                <c:pt idx="298">
                  <c:v>7.5251589844632942</c:v>
                </c:pt>
                <c:pt idx="299">
                  <c:v>4.3182473586519992</c:v>
                </c:pt>
                <c:pt idx="300">
                  <c:v>4.6157950763977009</c:v>
                </c:pt>
                <c:pt idx="301">
                  <c:v>6.009375751569622</c:v>
                </c:pt>
                <c:pt idx="302">
                  <c:v>5.3510508758085464</c:v>
                </c:pt>
                <c:pt idx="303">
                  <c:v>6.713319544964957</c:v>
                </c:pt>
                <c:pt idx="304">
                  <c:v>6.7471609006547526</c:v>
                </c:pt>
                <c:pt idx="305">
                  <c:v>6.3140383763438761</c:v>
                </c:pt>
                <c:pt idx="306">
                  <c:v>6.8509159964326924</c:v>
                </c:pt>
                <c:pt idx="307">
                  <c:v>6.8443044198330973</c:v>
                </c:pt>
                <c:pt idx="308">
                  <c:v>6.9627491741461531</c:v>
                </c:pt>
                <c:pt idx="309">
                  <c:v>8.5512232597129749</c:v>
                </c:pt>
                <c:pt idx="310">
                  <c:v>7.6201372172011821</c:v>
                </c:pt>
                <c:pt idx="311">
                  <c:v>8.1741166799746026</c:v>
                </c:pt>
                <c:pt idx="312">
                  <c:v>7.3816859825708043</c:v>
                </c:pt>
                <c:pt idx="313">
                  <c:v>7.3341121795354933</c:v>
                </c:pt>
                <c:pt idx="314">
                  <c:v>6.3882155323141161</c:v>
                </c:pt>
                <c:pt idx="315">
                  <c:v>5.7298709481884416</c:v>
                </c:pt>
                <c:pt idx="316">
                  <c:v>7.0213177381530807</c:v>
                </c:pt>
                <c:pt idx="317">
                  <c:v>7.3160716224804414</c:v>
                </c:pt>
                <c:pt idx="318">
                  <c:v>7.3039754544787856</c:v>
                </c:pt>
                <c:pt idx="319">
                  <c:v>7.9312844461281342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D-0741-B0B1-4246C99AF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'240821E016'!$A$2:$A$321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'240821E016'!$J$2:$J$321</c:f>
              <c:numCache>
                <c:formatCode>0.0</c:formatCode>
                <c:ptCount val="320"/>
                <c:pt idx="0">
                  <c:v>1355.97954811813</c:v>
                </c:pt>
                <c:pt idx="1">
                  <c:v>1331.09127570091</c:v>
                </c:pt>
                <c:pt idx="2">
                  <c:v>1331.6153011537999</c:v>
                </c:pt>
                <c:pt idx="3">
                  <c:v>1305.5447588007098</c:v>
                </c:pt>
                <c:pt idx="4">
                  <c:v>1222.72066813015</c:v>
                </c:pt>
                <c:pt idx="5">
                  <c:v>1294.60225989997</c:v>
                </c:pt>
                <c:pt idx="6">
                  <c:v>899.17663244505002</c:v>
                </c:pt>
                <c:pt idx="7">
                  <c:v>886.71253863618995</c:v>
                </c:pt>
                <c:pt idx="8">
                  <c:v>1467.86224907936</c:v>
                </c:pt>
                <c:pt idx="9">
                  <c:v>1463.9921666827399</c:v>
                </c:pt>
                <c:pt idx="10">
                  <c:v>1521.73900852733</c:v>
                </c:pt>
                <c:pt idx="11">
                  <c:v>1519.9809570821999</c:v>
                </c:pt>
                <c:pt idx="12">
                  <c:v>1530.7075886282601</c:v>
                </c:pt>
                <c:pt idx="13">
                  <c:v>1517.6772145009202</c:v>
                </c:pt>
                <c:pt idx="14">
                  <c:v>1533.6346474402101</c:v>
                </c:pt>
                <c:pt idx="15">
                  <c:v>1537.7300551609801</c:v>
                </c:pt>
                <c:pt idx="16">
                  <c:v>1538.9587689125299</c:v>
                </c:pt>
                <c:pt idx="17">
                  <c:v>1533.1287792355999</c:v>
                </c:pt>
                <c:pt idx="18">
                  <c:v>1513.3266994457799</c:v>
                </c:pt>
                <c:pt idx="19">
                  <c:v>1509.3199479136699</c:v>
                </c:pt>
                <c:pt idx="20">
                  <c:v>1505.35070220385</c:v>
                </c:pt>
                <c:pt idx="21">
                  <c:v>1506.24138992393</c:v>
                </c:pt>
                <c:pt idx="22">
                  <c:v>1509.7563583659598</c:v>
                </c:pt>
                <c:pt idx="23">
                  <c:v>1504.78037126392</c:v>
                </c:pt>
                <c:pt idx="24">
                  <c:v>1500.22863917423</c:v>
                </c:pt>
                <c:pt idx="25">
                  <c:v>1492.3120548260799</c:v>
                </c:pt>
                <c:pt idx="26">
                  <c:v>1489.26215805674</c:v>
                </c:pt>
                <c:pt idx="27">
                  <c:v>1493.23097462022</c:v>
                </c:pt>
                <c:pt idx="28">
                  <c:v>1432.71653377954</c:v>
                </c:pt>
                <c:pt idx="29">
                  <c:v>1428.1298370551999</c:v>
                </c:pt>
                <c:pt idx="30">
                  <c:v>1406.9957899825699</c:v>
                </c:pt>
                <c:pt idx="31">
                  <c:v>1383.9987930258701</c:v>
                </c:pt>
                <c:pt idx="32">
                  <c:v>1386.18462321475</c:v>
                </c:pt>
                <c:pt idx="33">
                  <c:v>1343.75223143024</c:v>
                </c:pt>
                <c:pt idx="34">
                  <c:v>1351.1376437901999</c:v>
                </c:pt>
                <c:pt idx="35">
                  <c:v>1367.3440788923299</c:v>
                </c:pt>
                <c:pt idx="36">
                  <c:v>1381.2681104999801</c:v>
                </c:pt>
                <c:pt idx="37">
                  <c:v>1369.4313040750399</c:v>
                </c:pt>
                <c:pt idx="38">
                  <c:v>1381.4732620416999</c:v>
                </c:pt>
                <c:pt idx="39">
                  <c:v>1389.4652812772299</c:v>
                </c:pt>
                <c:pt idx="40">
                  <c:v>1391.9877116644402</c:v>
                </c:pt>
                <c:pt idx="41">
                  <c:v>1382.4917516227399</c:v>
                </c:pt>
                <c:pt idx="42">
                  <c:v>1400.7149742808201</c:v>
                </c:pt>
                <c:pt idx="43">
                  <c:v>1445.5762464868599</c:v>
                </c:pt>
                <c:pt idx="44">
                  <c:v>1444.4045604088499</c:v>
                </c:pt>
                <c:pt idx="45">
                  <c:v>1472.3934178670399</c:v>
                </c:pt>
                <c:pt idx="46">
                  <c:v>1444.0953021154201</c:v>
                </c:pt>
                <c:pt idx="47">
                  <c:v>1390.2007395963001</c:v>
                </c:pt>
                <c:pt idx="48">
                  <c:v>1389.95614379275</c:v>
                </c:pt>
                <c:pt idx="49">
                  <c:v>1319.4031364022999</c:v>
                </c:pt>
                <c:pt idx="50">
                  <c:v>1336.4390366331199</c:v>
                </c:pt>
                <c:pt idx="51">
                  <c:v>1309.16277869807</c:v>
                </c:pt>
                <c:pt idx="52">
                  <c:v>1320.90338640254</c:v>
                </c:pt>
                <c:pt idx="53">
                  <c:v>1351.3209125775202</c:v>
                </c:pt>
                <c:pt idx="54">
                  <c:v>1359.3041333700398</c:v>
                </c:pt>
                <c:pt idx="55">
                  <c:v>1359.83796396409</c:v>
                </c:pt>
                <c:pt idx="56">
                  <c:v>1359.6581800307999</c:v>
                </c:pt>
                <c:pt idx="57">
                  <c:v>1357.0354667665799</c:v>
                </c:pt>
                <c:pt idx="58">
                  <c:v>1349.54065806325</c:v>
                </c:pt>
                <c:pt idx="59">
                  <c:v>1345.0063887863801</c:v>
                </c:pt>
                <c:pt idx="60">
                  <c:v>1338.2359134728599</c:v>
                </c:pt>
                <c:pt idx="61">
                  <c:v>1330.32223417047</c:v>
                </c:pt>
                <c:pt idx="62">
                  <c:v>1329.4785369979502</c:v>
                </c:pt>
                <c:pt idx="63">
                  <c:v>1332.63506976691</c:v>
                </c:pt>
                <c:pt idx="64">
                  <c:v>1326.9658926606501</c:v>
                </c:pt>
                <c:pt idx="65">
                  <c:v>1329.0357051881899</c:v>
                </c:pt>
                <c:pt idx="66">
                  <c:v>1329.90884922593</c:v>
                </c:pt>
                <c:pt idx="67">
                  <c:v>1325.11476854017</c:v>
                </c:pt>
                <c:pt idx="68">
                  <c:v>1327.38112105134</c:v>
                </c:pt>
                <c:pt idx="69">
                  <c:v>1325.3964902770201</c:v>
                </c:pt>
                <c:pt idx="70">
                  <c:v>1325.48483021998</c:v>
                </c:pt>
                <c:pt idx="71">
                  <c:v>1288.5723426996299</c:v>
                </c:pt>
                <c:pt idx="72">
                  <c:v>1287.04708941338</c:v>
                </c:pt>
                <c:pt idx="73">
                  <c:v>1285.82571574596</c:v>
                </c:pt>
                <c:pt idx="74">
                  <c:v>1286.85533906264</c:v>
                </c:pt>
                <c:pt idx="75">
                  <c:v>1300.3895767021202</c:v>
                </c:pt>
                <c:pt idx="76">
                  <c:v>1302.83541732104</c:v>
                </c:pt>
                <c:pt idx="77">
                  <c:v>1297.6620120633099</c:v>
                </c:pt>
                <c:pt idx="78">
                  <c:v>1297.62835058216</c:v>
                </c:pt>
                <c:pt idx="79">
                  <c:v>1295.9683789645399</c:v>
                </c:pt>
                <c:pt idx="80">
                  <c:v>1325.4086615218598</c:v>
                </c:pt>
                <c:pt idx="81">
                  <c:v>1304.9591346632201</c:v>
                </c:pt>
                <c:pt idx="82">
                  <c:v>1287.1442463903099</c:v>
                </c:pt>
                <c:pt idx="83">
                  <c:v>1276.2874118924199</c:v>
                </c:pt>
                <c:pt idx="84">
                  <c:v>1325.72995929219</c:v>
                </c:pt>
                <c:pt idx="85">
                  <c:v>1291.9971402450899</c:v>
                </c:pt>
                <c:pt idx="86">
                  <c:v>1281.60396797515</c:v>
                </c:pt>
                <c:pt idx="87">
                  <c:v>1326.97520806441</c:v>
                </c:pt>
                <c:pt idx="88">
                  <c:v>1281.2115233642198</c:v>
                </c:pt>
                <c:pt idx="89">
                  <c:v>1288.5405569541899</c:v>
                </c:pt>
                <c:pt idx="90">
                  <c:v>1274.6509151835401</c:v>
                </c:pt>
                <c:pt idx="91">
                  <c:v>1259.0523350152901</c:v>
                </c:pt>
                <c:pt idx="92">
                  <c:v>1270.18680611888</c:v>
                </c:pt>
                <c:pt idx="93">
                  <c:v>1341.22293987897</c:v>
                </c:pt>
                <c:pt idx="94">
                  <c:v>1387.2025028073899</c:v>
                </c:pt>
                <c:pt idx="95">
                  <c:v>1405.90617994734</c:v>
                </c:pt>
                <c:pt idx="96">
                  <c:v>1424.3951846658301</c:v>
                </c:pt>
                <c:pt idx="97">
                  <c:v>1443.5742588789001</c:v>
                </c:pt>
                <c:pt idx="98">
                  <c:v>1462.22773081641</c:v>
                </c:pt>
                <c:pt idx="99">
                  <c:v>1477.2785028818098</c:v>
                </c:pt>
                <c:pt idx="100">
                  <c:v>1466.05801603846</c:v>
                </c:pt>
                <c:pt idx="101">
                  <c:v>1472.3681644176199</c:v>
                </c:pt>
                <c:pt idx="102">
                  <c:v>1490.3229637863001</c:v>
                </c:pt>
                <c:pt idx="103">
                  <c:v>1494.03592436658</c:v>
                </c:pt>
                <c:pt idx="104">
                  <c:v>1510.33251399037</c:v>
                </c:pt>
                <c:pt idx="105">
                  <c:v>1512.4474816626698</c:v>
                </c:pt>
                <c:pt idx="106">
                  <c:v>1506.7182019447901</c:v>
                </c:pt>
                <c:pt idx="107">
                  <c:v>1495.38952054736</c:v>
                </c:pt>
                <c:pt idx="108">
                  <c:v>1491.12079455816</c:v>
                </c:pt>
                <c:pt idx="109">
                  <c:v>1483.8693964971301</c:v>
                </c:pt>
                <c:pt idx="110">
                  <c:v>1474.9314379012101</c:v>
                </c:pt>
                <c:pt idx="111">
                  <c:v>1504.28115874584</c:v>
                </c:pt>
                <c:pt idx="112">
                  <c:v>1604.3322747796501</c:v>
                </c:pt>
                <c:pt idx="113">
                  <c:v>1614.4770951660598</c:v>
                </c:pt>
                <c:pt idx="114">
                  <c:v>1588.9119231367199</c:v>
                </c:pt>
                <c:pt idx="115">
                  <c:v>1605.85951543022</c:v>
                </c:pt>
                <c:pt idx="116">
                  <c:v>1583.1058088063301</c:v>
                </c:pt>
                <c:pt idx="117">
                  <c:v>1595.5544499720302</c:v>
                </c:pt>
                <c:pt idx="118">
                  <c:v>1573.5392308837199</c:v>
                </c:pt>
                <c:pt idx="119">
                  <c:v>1602.7740013524001</c:v>
                </c:pt>
                <c:pt idx="120">
                  <c:v>1573.1099749236801</c:v>
                </c:pt>
                <c:pt idx="121">
                  <c:v>1571.6545643884301</c:v>
                </c:pt>
                <c:pt idx="122">
                  <c:v>1561.4898620997401</c:v>
                </c:pt>
                <c:pt idx="123">
                  <c:v>1527.0813466551899</c:v>
                </c:pt>
                <c:pt idx="124">
                  <c:v>1497.2883016519199</c:v>
                </c:pt>
                <c:pt idx="125">
                  <c:v>1503.5722918189099</c:v>
                </c:pt>
                <c:pt idx="126">
                  <c:v>1492.17073500074</c:v>
                </c:pt>
                <c:pt idx="127">
                  <c:v>1483.4475144626501</c:v>
                </c:pt>
                <c:pt idx="128">
                  <c:v>1469.42480374245</c:v>
                </c:pt>
                <c:pt idx="129">
                  <c:v>1387.2631554710101</c:v>
                </c:pt>
                <c:pt idx="130">
                  <c:v>1359.67067484734</c:v>
                </c:pt>
                <c:pt idx="131">
                  <c:v>1341.2560969954</c:v>
                </c:pt>
                <c:pt idx="132">
                  <c:v>1357.2918265350499</c:v>
                </c:pt>
                <c:pt idx="133">
                  <c:v>1331.50923698734</c:v>
                </c:pt>
                <c:pt idx="134">
                  <c:v>1344.32521719447</c:v>
                </c:pt>
                <c:pt idx="135">
                  <c:v>1349.8479640360401</c:v>
                </c:pt>
                <c:pt idx="136">
                  <c:v>1340.3669625724401</c:v>
                </c:pt>
                <c:pt idx="137">
                  <c:v>1323.1987046003001</c:v>
                </c:pt>
                <c:pt idx="138">
                  <c:v>1345.6876278365899</c:v>
                </c:pt>
                <c:pt idx="139">
                  <c:v>1349.2457520235801</c:v>
                </c:pt>
                <c:pt idx="140">
                  <c:v>1295.3229036100599</c:v>
                </c:pt>
                <c:pt idx="141">
                  <c:v>1307.8002018468201</c:v>
                </c:pt>
                <c:pt idx="142">
                  <c:v>1343.75813151629</c:v>
                </c:pt>
                <c:pt idx="143">
                  <c:v>1431.21751585116</c:v>
                </c:pt>
                <c:pt idx="144">
                  <c:v>1421.7064968135498</c:v>
                </c:pt>
                <c:pt idx="145">
                  <c:v>1407.20447331901</c:v>
                </c:pt>
                <c:pt idx="146">
                  <c:v>1419.4098968486401</c:v>
                </c:pt>
                <c:pt idx="147">
                  <c:v>1420.3258602891801</c:v>
                </c:pt>
                <c:pt idx="148">
                  <c:v>1403.82907138477</c:v>
                </c:pt>
                <c:pt idx="149">
                  <c:v>1390.9486153356502</c:v>
                </c:pt>
                <c:pt idx="150">
                  <c:v>1383.1075005992</c:v>
                </c:pt>
                <c:pt idx="151">
                  <c:v>1383.7348708151001</c:v>
                </c:pt>
                <c:pt idx="152">
                  <c:v>1380.1734160265</c:v>
                </c:pt>
                <c:pt idx="153">
                  <c:v>1365.5533134621201</c:v>
                </c:pt>
                <c:pt idx="154">
                  <c:v>1354.2719885377999</c:v>
                </c:pt>
                <c:pt idx="155">
                  <c:v>1375.2570909870799</c:v>
                </c:pt>
                <c:pt idx="156">
                  <c:v>1380.0633355893699</c:v>
                </c:pt>
                <c:pt idx="157">
                  <c:v>1369.2935946401901</c:v>
                </c:pt>
                <c:pt idx="158">
                  <c:v>1340.79579034008</c:v>
                </c:pt>
                <c:pt idx="159">
                  <c:v>1346.58426730172</c:v>
                </c:pt>
                <c:pt idx="160">
                  <c:v>1343.74613389152</c:v>
                </c:pt>
                <c:pt idx="161">
                  <c:v>1351.2612015396198</c:v>
                </c:pt>
                <c:pt idx="162">
                  <c:v>1352.2362664572302</c:v>
                </c:pt>
                <c:pt idx="163">
                  <c:v>1390.92085402762</c:v>
                </c:pt>
                <c:pt idx="164">
                  <c:v>1382.2563669497101</c:v>
                </c:pt>
                <c:pt idx="165">
                  <c:v>1338.14569141016</c:v>
                </c:pt>
                <c:pt idx="166">
                  <c:v>1317.55438198911</c:v>
                </c:pt>
                <c:pt idx="167">
                  <c:v>1334.1951697301299</c:v>
                </c:pt>
                <c:pt idx="168">
                  <c:v>1342.3456275508399</c:v>
                </c:pt>
                <c:pt idx="169">
                  <c:v>1339.7675991166302</c:v>
                </c:pt>
                <c:pt idx="170">
                  <c:v>1336.5425842388099</c:v>
                </c:pt>
                <c:pt idx="171">
                  <c:v>1352.4568754879299</c:v>
                </c:pt>
                <c:pt idx="172">
                  <c:v>1341.5086030170601</c:v>
                </c:pt>
                <c:pt idx="173">
                  <c:v>1347.8368739958398</c:v>
                </c:pt>
                <c:pt idx="174">
                  <c:v>1385.54929036919</c:v>
                </c:pt>
                <c:pt idx="175">
                  <c:v>1391.5937665598199</c:v>
                </c:pt>
                <c:pt idx="176">
                  <c:v>1379.69078566908</c:v>
                </c:pt>
                <c:pt idx="177">
                  <c:v>1382.6909249309501</c:v>
                </c:pt>
                <c:pt idx="178">
                  <c:v>1370.1094209353901</c:v>
                </c:pt>
                <c:pt idx="179">
                  <c:v>1371.9020250181102</c:v>
                </c:pt>
                <c:pt idx="180">
                  <c:v>1409.5532439681599</c:v>
                </c:pt>
                <c:pt idx="181">
                  <c:v>1417.6764063897301</c:v>
                </c:pt>
                <c:pt idx="182">
                  <c:v>1401.99017059584</c:v>
                </c:pt>
                <c:pt idx="183">
                  <c:v>1367.0295094614901</c:v>
                </c:pt>
                <c:pt idx="184">
                  <c:v>1363.0104809274701</c:v>
                </c:pt>
                <c:pt idx="185">
                  <c:v>1368.7368368920199</c:v>
                </c:pt>
                <c:pt idx="186">
                  <c:v>1380.9306158742199</c:v>
                </c:pt>
                <c:pt idx="187">
                  <c:v>1377.8659117322002</c:v>
                </c:pt>
                <c:pt idx="188">
                  <c:v>1460.17895445714</c:v>
                </c:pt>
                <c:pt idx="189">
                  <c:v>1441.5840160836501</c:v>
                </c:pt>
                <c:pt idx="190">
                  <c:v>1461.57185212948</c:v>
                </c:pt>
                <c:pt idx="191">
                  <c:v>1461.3688441859599</c:v>
                </c:pt>
                <c:pt idx="192">
                  <c:v>1444.5974776742501</c:v>
                </c:pt>
                <c:pt idx="193">
                  <c:v>1428.0389558696199</c:v>
                </c:pt>
                <c:pt idx="194">
                  <c:v>1427.37474004002</c:v>
                </c:pt>
                <c:pt idx="195">
                  <c:v>1402.5945934208498</c:v>
                </c:pt>
                <c:pt idx="196">
                  <c:v>1413.20071405927</c:v>
                </c:pt>
                <c:pt idx="197">
                  <c:v>1399.9568370976401</c:v>
                </c:pt>
                <c:pt idx="198">
                  <c:v>1396.98444411226</c:v>
                </c:pt>
                <c:pt idx="199">
                  <c:v>1378.8122208755999</c:v>
                </c:pt>
                <c:pt idx="200">
                  <c:v>1377.5851857304599</c:v>
                </c:pt>
                <c:pt idx="201">
                  <c:v>1351.8454380324899</c:v>
                </c:pt>
                <c:pt idx="202">
                  <c:v>1323.1892907050799</c:v>
                </c:pt>
                <c:pt idx="203">
                  <c:v>1313.90444383977</c:v>
                </c:pt>
                <c:pt idx="204">
                  <c:v>1330.1480188109101</c:v>
                </c:pt>
                <c:pt idx="205">
                  <c:v>1304.6533300989302</c:v>
                </c:pt>
                <c:pt idx="206">
                  <c:v>1298.75263099687</c:v>
                </c:pt>
                <c:pt idx="207">
                  <c:v>1294.74411218062</c:v>
                </c:pt>
                <c:pt idx="208">
                  <c:v>1288.84507578492</c:v>
                </c:pt>
                <c:pt idx="209">
                  <c:v>1299.7812719006401</c:v>
                </c:pt>
                <c:pt idx="210">
                  <c:v>1296.2619532762301</c:v>
                </c:pt>
                <c:pt idx="211">
                  <c:v>1307.9306079625201</c:v>
                </c:pt>
                <c:pt idx="212">
                  <c:v>1304.4193846547901</c:v>
                </c:pt>
                <c:pt idx="213">
                  <c:v>1304.3298265036401</c:v>
                </c:pt>
                <c:pt idx="214">
                  <c:v>1301.9382079003601</c:v>
                </c:pt>
                <c:pt idx="215">
                  <c:v>1301.73175159574</c:v>
                </c:pt>
                <c:pt idx="216">
                  <c:v>1294.09562301087</c:v>
                </c:pt>
                <c:pt idx="217">
                  <c:v>1307.9905882145899</c:v>
                </c:pt>
                <c:pt idx="218">
                  <c:v>1298.57776959645</c:v>
                </c:pt>
                <c:pt idx="219">
                  <c:v>1320.8920651419999</c:v>
                </c:pt>
                <c:pt idx="220">
                  <c:v>1292.0687604438899</c:v>
                </c:pt>
                <c:pt idx="221">
                  <c:v>1274.0995299799201</c:v>
                </c:pt>
                <c:pt idx="222">
                  <c:v>1267.76164464111</c:v>
                </c:pt>
                <c:pt idx="223">
                  <c:v>1264.63153538392</c:v>
                </c:pt>
                <c:pt idx="224">
                  <c:v>1262.82756096242</c:v>
                </c:pt>
                <c:pt idx="225">
                  <c:v>1256.9004560352698</c:v>
                </c:pt>
                <c:pt idx="226">
                  <c:v>1256.4957788602401</c:v>
                </c:pt>
                <c:pt idx="227">
                  <c:v>1252.7840535299699</c:v>
                </c:pt>
                <c:pt idx="228">
                  <c:v>1252.84435087986</c:v>
                </c:pt>
                <c:pt idx="229">
                  <c:v>1256.6162545264001</c:v>
                </c:pt>
                <c:pt idx="230">
                  <c:v>1254.67195704906</c:v>
                </c:pt>
                <c:pt idx="231">
                  <c:v>1256.40912532419</c:v>
                </c:pt>
                <c:pt idx="232">
                  <c:v>1253.4890541121501</c:v>
                </c:pt>
                <c:pt idx="233">
                  <c:v>1242.49688691349</c:v>
                </c:pt>
                <c:pt idx="234">
                  <c:v>1242.14297366758</c:v>
                </c:pt>
                <c:pt idx="235">
                  <c:v>1238.00774076169</c:v>
                </c:pt>
                <c:pt idx="236">
                  <c:v>1238.01991568783</c:v>
                </c:pt>
                <c:pt idx="237">
                  <c:v>1242.6309350122099</c:v>
                </c:pt>
                <c:pt idx="238">
                  <c:v>1257.49924319345</c:v>
                </c:pt>
                <c:pt idx="239">
                  <c:v>1264.88588970462</c:v>
                </c:pt>
                <c:pt idx="240">
                  <c:v>1266.11916369459</c:v>
                </c:pt>
                <c:pt idx="241">
                  <c:v>1259.55802790589</c:v>
                </c:pt>
                <c:pt idx="242">
                  <c:v>1262.6962197399398</c:v>
                </c:pt>
                <c:pt idx="243">
                  <c:v>1261.77654563179</c:v>
                </c:pt>
                <c:pt idx="244">
                  <c:v>1264.6552227457</c:v>
                </c:pt>
                <c:pt idx="245">
                  <c:v>1261.1117673498202</c:v>
                </c:pt>
                <c:pt idx="246">
                  <c:v>1262.3052847668</c:v>
                </c:pt>
                <c:pt idx="247">
                  <c:v>1261.40926061919</c:v>
                </c:pt>
                <c:pt idx="248">
                  <c:v>1262.7747669575299</c:v>
                </c:pt>
                <c:pt idx="249">
                  <c:v>1260.80571114124</c:v>
                </c:pt>
                <c:pt idx="250">
                  <c:v>1262.78520353776</c:v>
                </c:pt>
                <c:pt idx="251">
                  <c:v>1261.8302479996401</c:v>
                </c:pt>
                <c:pt idx="252">
                  <c:v>1261.2973794394702</c:v>
                </c:pt>
                <c:pt idx="253">
                  <c:v>1259.88715939642</c:v>
                </c:pt>
                <c:pt idx="254">
                  <c:v>1259.7619168572899</c:v>
                </c:pt>
                <c:pt idx="255">
                  <c:v>1261.29145768029</c:v>
                </c:pt>
                <c:pt idx="256">
                  <c:v>1258.9275306511799</c:v>
                </c:pt>
                <c:pt idx="257">
                  <c:v>1260.2013736347601</c:v>
                </c:pt>
                <c:pt idx="258">
                  <c:v>1261.4304635610501</c:v>
                </c:pt>
                <c:pt idx="259">
                  <c:v>1262.6237094123599</c:v>
                </c:pt>
                <c:pt idx="260">
                  <c:v>1261.17419266923</c:v>
                </c:pt>
                <c:pt idx="261">
                  <c:v>1260.86565854525</c:v>
                </c:pt>
                <c:pt idx="262">
                  <c:v>1260.7112277307601</c:v>
                </c:pt>
                <c:pt idx="263">
                  <c:v>1260.7192589214699</c:v>
                </c:pt>
                <c:pt idx="264">
                  <c:v>1262.29687923811</c:v>
                </c:pt>
                <c:pt idx="265">
                  <c:v>1261.6255524818098</c:v>
                </c:pt>
                <c:pt idx="266">
                  <c:v>1259.40101347678</c:v>
                </c:pt>
                <c:pt idx="267">
                  <c:v>1259.66087651662</c:v>
                </c:pt>
                <c:pt idx="268">
                  <c:v>1260.5257753283101</c:v>
                </c:pt>
                <c:pt idx="269">
                  <c:v>1259.1392137017599</c:v>
                </c:pt>
                <c:pt idx="270">
                  <c:v>1261.46048181938</c:v>
                </c:pt>
                <c:pt idx="271">
                  <c:v>1257.60238873772</c:v>
                </c:pt>
                <c:pt idx="272">
                  <c:v>1260.9514115238801</c:v>
                </c:pt>
                <c:pt idx="273">
                  <c:v>1261.54517422814</c:v>
                </c:pt>
                <c:pt idx="274">
                  <c:v>1257.2383856050999</c:v>
                </c:pt>
                <c:pt idx="275">
                  <c:v>1256.4776129013799</c:v>
                </c:pt>
                <c:pt idx="276">
                  <c:v>1254.3463494084901</c:v>
                </c:pt>
                <c:pt idx="277">
                  <c:v>1283.1154063306099</c:v>
                </c:pt>
                <c:pt idx="278">
                  <c:v>1286.67953226954</c:v>
                </c:pt>
                <c:pt idx="279">
                  <c:v>1283.8857602637302</c:v>
                </c:pt>
                <c:pt idx="280">
                  <c:v>1280.04482037959</c:v>
                </c:pt>
                <c:pt idx="281">
                  <c:v>1277.8729257743801</c:v>
                </c:pt>
                <c:pt idx="282">
                  <c:v>1277.2284280864899</c:v>
                </c:pt>
                <c:pt idx="283">
                  <c:v>1277.0886195419801</c:v>
                </c:pt>
                <c:pt idx="284">
                  <c:v>1278.73954341833</c:v>
                </c:pt>
                <c:pt idx="285">
                  <c:v>1278.83169006252</c:v>
                </c:pt>
                <c:pt idx="286">
                  <c:v>1279.6332148634999</c:v>
                </c:pt>
                <c:pt idx="287">
                  <c:v>1281.5550810111099</c:v>
                </c:pt>
                <c:pt idx="288">
                  <c:v>1281.5296728657399</c:v>
                </c:pt>
                <c:pt idx="289">
                  <c:v>1282.5729601185499</c:v>
                </c:pt>
                <c:pt idx="290">
                  <c:v>1288.96363425856</c:v>
                </c:pt>
                <c:pt idx="291">
                  <c:v>1283.5758322107501</c:v>
                </c:pt>
                <c:pt idx="292">
                  <c:v>1279.9834257090999</c:v>
                </c:pt>
                <c:pt idx="293">
                  <c:v>1282.18409164676</c:v>
                </c:pt>
                <c:pt idx="294">
                  <c:v>1295.46917810225</c:v>
                </c:pt>
                <c:pt idx="295">
                  <c:v>1289.31180592192</c:v>
                </c:pt>
                <c:pt idx="296">
                  <c:v>1307.9733715975499</c:v>
                </c:pt>
                <c:pt idx="297">
                  <c:v>1341.6322808074199</c:v>
                </c:pt>
                <c:pt idx="298">
                  <c:v>1327.6788167669999</c:v>
                </c:pt>
                <c:pt idx="299">
                  <c:v>1315.4596843593201</c:v>
                </c:pt>
                <c:pt idx="300">
                  <c:v>1323.21342887679</c:v>
                </c:pt>
                <c:pt idx="301">
                  <c:v>1324.9840934030001</c:v>
                </c:pt>
                <c:pt idx="302">
                  <c:v>1326.1872489642899</c:v>
                </c:pt>
                <c:pt idx="303">
                  <c:v>1334.5219366572298</c:v>
                </c:pt>
                <c:pt idx="304">
                  <c:v>1353.4052268111</c:v>
                </c:pt>
                <c:pt idx="305">
                  <c:v>1407.0073895149899</c:v>
                </c:pt>
                <c:pt idx="306">
                  <c:v>1440.06025909186</c:v>
                </c:pt>
                <c:pt idx="307">
                  <c:v>1446.6156943814901</c:v>
                </c:pt>
                <c:pt idx="308">
                  <c:v>1528.4554692566101</c:v>
                </c:pt>
                <c:pt idx="309">
                  <c:v>1525.5762025918402</c:v>
                </c:pt>
                <c:pt idx="310">
                  <c:v>1511.13659401972</c:v>
                </c:pt>
                <c:pt idx="311">
                  <c:v>1470.85890832115</c:v>
                </c:pt>
                <c:pt idx="312">
                  <c:v>1434.5746617903701</c:v>
                </c:pt>
                <c:pt idx="313">
                  <c:v>1415.55829446952</c:v>
                </c:pt>
                <c:pt idx="314">
                  <c:v>1421.9083937507401</c:v>
                </c:pt>
                <c:pt idx="315">
                  <c:v>1439.51212394548</c:v>
                </c:pt>
                <c:pt idx="316">
                  <c:v>1393.83421081556</c:v>
                </c:pt>
                <c:pt idx="317">
                  <c:v>1371.92519736806</c:v>
                </c:pt>
                <c:pt idx="318">
                  <c:v>1352.56270443329</c:v>
                </c:pt>
                <c:pt idx="319">
                  <c:v>1323.3846865399501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B-E24C-AE49-F33B6F985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E-0442-AD02-D40C754333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'240821E016'!$A$2:$A$321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'240821E016'!$P$2:$P$321</c:f>
              <c:numCache>
                <c:formatCode>General</c:formatCode>
                <c:ptCount val="320"/>
                <c:pt idx="0">
                  <c:v>45.146458071695292</c:v>
                </c:pt>
                <c:pt idx="1">
                  <c:v>48.213815523057626</c:v>
                </c:pt>
                <c:pt idx="2">
                  <c:v>51.64898220140708</c:v>
                </c:pt>
                <c:pt idx="3">
                  <c:v>55.582540848615494</c:v>
                </c:pt>
                <c:pt idx="4">
                  <c:v>48.447510273271469</c:v>
                </c:pt>
                <c:pt idx="5">
                  <c:v>42.505694899851697</c:v>
                </c:pt>
                <c:pt idx="6">
                  <c:v>49.490403328054519</c:v>
                </c:pt>
                <c:pt idx="7">
                  <c:v>46.508873577169773</c:v>
                </c:pt>
                <c:pt idx="8">
                  <c:v>33.841230255985273</c:v>
                </c:pt>
                <c:pt idx="9">
                  <c:v>31.088986422648755</c:v>
                </c:pt>
                <c:pt idx="10">
                  <c:v>29.945583004382094</c:v>
                </c:pt>
                <c:pt idx="11">
                  <c:v>27.409859655731172</c:v>
                </c:pt>
                <c:pt idx="12">
                  <c:v>25.649207942996142</c:v>
                </c:pt>
                <c:pt idx="13">
                  <c:v>23.800277892219402</c:v>
                </c:pt>
                <c:pt idx="14">
                  <c:v>22.73590851004607</c:v>
                </c:pt>
                <c:pt idx="15">
                  <c:v>21.594240100679642</c:v>
                </c:pt>
                <c:pt idx="16">
                  <c:v>19.998966196517369</c:v>
                </c:pt>
                <c:pt idx="17">
                  <c:v>18.918518143438614</c:v>
                </c:pt>
                <c:pt idx="18">
                  <c:v>17.781190851980675</c:v>
                </c:pt>
                <c:pt idx="19">
                  <c:v>16.106790755668634</c:v>
                </c:pt>
                <c:pt idx="20">
                  <c:v>15.41917083622366</c:v>
                </c:pt>
                <c:pt idx="21">
                  <c:v>14.481329782955701</c:v>
                </c:pt>
                <c:pt idx="22">
                  <c:v>13.45450507551551</c:v>
                </c:pt>
                <c:pt idx="23">
                  <c:v>12.257941351201527</c:v>
                </c:pt>
                <c:pt idx="24">
                  <c:v>10.918109469461017</c:v>
                </c:pt>
                <c:pt idx="25">
                  <c:v>10.690364620471202</c:v>
                </c:pt>
                <c:pt idx="26">
                  <c:v>9.2400068195373439</c:v>
                </c:pt>
                <c:pt idx="27">
                  <c:v>8.3819095303602591</c:v>
                </c:pt>
                <c:pt idx="28">
                  <c:v>8.4042324662904058</c:v>
                </c:pt>
                <c:pt idx="29">
                  <c:v>7.5266168095255255</c:v>
                </c:pt>
                <c:pt idx="30">
                  <c:v>6.0561164112811978</c:v>
                </c:pt>
                <c:pt idx="31">
                  <c:v>5.077792439351005</c:v>
                </c:pt>
                <c:pt idx="32">
                  <c:v>4.5504326889556479</c:v>
                </c:pt>
                <c:pt idx="33">
                  <c:v>4.7093666380298274</c:v>
                </c:pt>
                <c:pt idx="34">
                  <c:v>4.6548480053543173</c:v>
                </c:pt>
                <c:pt idx="35">
                  <c:v>4.1645661430564402</c:v>
                </c:pt>
                <c:pt idx="36">
                  <c:v>2.8822622749590856</c:v>
                </c:pt>
                <c:pt idx="37">
                  <c:v>2.2544673081077953</c:v>
                </c:pt>
                <c:pt idx="38">
                  <c:v>1.9050286418446096</c:v>
                </c:pt>
                <c:pt idx="39">
                  <c:v>2.088117881311419</c:v>
                </c:pt>
                <c:pt idx="40">
                  <c:v>1.1954940153684273</c:v>
                </c:pt>
                <c:pt idx="41">
                  <c:v>2.0206766657695976</c:v>
                </c:pt>
                <c:pt idx="42">
                  <c:v>1.3284629254121665</c:v>
                </c:pt>
                <c:pt idx="43">
                  <c:v>1.0736231173553494</c:v>
                </c:pt>
                <c:pt idx="44">
                  <c:v>1.0669107759043335</c:v>
                </c:pt>
                <c:pt idx="45">
                  <c:v>0.84681791393474304</c:v>
                </c:pt>
                <c:pt idx="46">
                  <c:v>0.7273225502892835</c:v>
                </c:pt>
                <c:pt idx="47">
                  <c:v>-0.15155471308932306</c:v>
                </c:pt>
                <c:pt idx="48">
                  <c:v>-0.25390759901658055</c:v>
                </c:pt>
                <c:pt idx="49">
                  <c:v>0.59217196655871152</c:v>
                </c:pt>
                <c:pt idx="50">
                  <c:v>0.10124708538244243</c:v>
                </c:pt>
                <c:pt idx="51">
                  <c:v>0.53678626569750898</c:v>
                </c:pt>
                <c:pt idx="52">
                  <c:v>-2.9322881590908099E-2</c:v>
                </c:pt>
                <c:pt idx="53">
                  <c:v>-0.63858966803860095</c:v>
                </c:pt>
                <c:pt idx="54">
                  <c:v>-0.54789101361874104</c:v>
                </c:pt>
                <c:pt idx="55">
                  <c:v>-0.87067897805146266</c:v>
                </c:pt>
                <c:pt idx="56">
                  <c:v>-0.75495816360139045</c:v>
                </c:pt>
                <c:pt idx="57">
                  <c:v>-0.32684259299628926</c:v>
                </c:pt>
                <c:pt idx="58">
                  <c:v>-0.38770290624411258</c:v>
                </c:pt>
                <c:pt idx="59">
                  <c:v>-0.19586352336999654</c:v>
                </c:pt>
                <c:pt idx="60">
                  <c:v>1.3392917692688885E-4</c:v>
                </c:pt>
                <c:pt idx="61">
                  <c:v>3.2659715702181742E-2</c:v>
                </c:pt>
                <c:pt idx="62">
                  <c:v>0.13519256297668678</c:v>
                </c:pt>
                <c:pt idx="63">
                  <c:v>-1.1508753807163508E-2</c:v>
                </c:pt>
                <c:pt idx="64">
                  <c:v>-3.1547206858060006E-2</c:v>
                </c:pt>
                <c:pt idx="65">
                  <c:v>3.9352641449422708E-2</c:v>
                </c:pt>
                <c:pt idx="66">
                  <c:v>-0.10231119771308772</c:v>
                </c:pt>
                <c:pt idx="67">
                  <c:v>-8.4279652952756898E-2</c:v>
                </c:pt>
                <c:pt idx="68">
                  <c:v>8.8050987636284217E-2</c:v>
                </c:pt>
                <c:pt idx="69">
                  <c:v>-0.10631200804789213</c:v>
                </c:pt>
                <c:pt idx="70">
                  <c:v>-0.34103938672025941</c:v>
                </c:pt>
                <c:pt idx="71">
                  <c:v>-4.4979987421926854E-2</c:v>
                </c:pt>
                <c:pt idx="72">
                  <c:v>-5.4932485815034682E-2</c:v>
                </c:pt>
                <c:pt idx="73">
                  <c:v>-9.1575016023409589E-2</c:v>
                </c:pt>
                <c:pt idx="74">
                  <c:v>4.2633405528362409E-2</c:v>
                </c:pt>
                <c:pt idx="75">
                  <c:v>0.19733558026350345</c:v>
                </c:pt>
                <c:pt idx="76">
                  <c:v>7.800067353407375E-2</c:v>
                </c:pt>
                <c:pt idx="77">
                  <c:v>2.2609410987723517E-2</c:v>
                </c:pt>
                <c:pt idx="78">
                  <c:v>0.21099475872694051</c:v>
                </c:pt>
                <c:pt idx="79">
                  <c:v>2.1522029377633908E-2</c:v>
                </c:pt>
                <c:pt idx="80">
                  <c:v>-7.8500316676640078E-2</c:v>
                </c:pt>
                <c:pt idx="81">
                  <c:v>0.40909412499742687</c:v>
                </c:pt>
                <c:pt idx="82">
                  <c:v>-0.27559793651896392</c:v>
                </c:pt>
                <c:pt idx="83">
                  <c:v>0.20588422489717612</c:v>
                </c:pt>
                <c:pt idx="84">
                  <c:v>-0.19107101235969279</c:v>
                </c:pt>
                <c:pt idx="85">
                  <c:v>0.23705125867112745</c:v>
                </c:pt>
                <c:pt idx="86">
                  <c:v>9.9211687813796398E-2</c:v>
                </c:pt>
                <c:pt idx="87">
                  <c:v>0.69166935953430131</c:v>
                </c:pt>
                <c:pt idx="88">
                  <c:v>1.0904707639160822</c:v>
                </c:pt>
                <c:pt idx="89">
                  <c:v>1.1913496079762853</c:v>
                </c:pt>
                <c:pt idx="90">
                  <c:v>0.87792266656537377</c:v>
                </c:pt>
                <c:pt idx="91">
                  <c:v>1.4601742720788937</c:v>
                </c:pt>
                <c:pt idx="92">
                  <c:v>2.5963416935342205</c:v>
                </c:pt>
                <c:pt idx="93">
                  <c:v>26.370913656262086</c:v>
                </c:pt>
                <c:pt idx="94">
                  <c:v>58.175597252668929</c:v>
                </c:pt>
                <c:pt idx="95">
                  <c:v>69.392114450257452</c:v>
                </c:pt>
                <c:pt idx="96">
                  <c:v>79.671347090097953</c:v>
                </c:pt>
                <c:pt idx="97">
                  <c:v>89.42593307664616</c:v>
                </c:pt>
                <c:pt idx="98">
                  <c:v>100.80573245269954</c:v>
                </c:pt>
                <c:pt idx="99">
                  <c:v>109.89931427169356</c:v>
                </c:pt>
                <c:pt idx="100">
                  <c:v>117.45135711285035</c:v>
                </c:pt>
                <c:pt idx="101">
                  <c:v>124.06462429526472</c:v>
                </c:pt>
                <c:pt idx="102">
                  <c:v>128.70147483919379</c:v>
                </c:pt>
                <c:pt idx="103">
                  <c:v>132.39963110731861</c:v>
                </c:pt>
                <c:pt idx="104">
                  <c:v>132.82606303131834</c:v>
                </c:pt>
                <c:pt idx="105">
                  <c:v>133.66722145148452</c:v>
                </c:pt>
                <c:pt idx="106">
                  <c:v>130.4715119641026</c:v>
                </c:pt>
                <c:pt idx="107">
                  <c:v>128.73277550493199</c:v>
                </c:pt>
                <c:pt idx="108">
                  <c:v>126.50117605141283</c:v>
                </c:pt>
                <c:pt idx="109">
                  <c:v>123.68824208266768</c:v>
                </c:pt>
                <c:pt idx="110">
                  <c:v>119.34433554338251</c:v>
                </c:pt>
                <c:pt idx="111">
                  <c:v>115.49163318042926</c:v>
                </c:pt>
                <c:pt idx="112">
                  <c:v>109.23461518766003</c:v>
                </c:pt>
                <c:pt idx="113">
                  <c:v>104.03961592753141</c:v>
                </c:pt>
                <c:pt idx="114">
                  <c:v>100.5703386706128</c:v>
                </c:pt>
                <c:pt idx="115">
                  <c:v>96.93800397662099</c:v>
                </c:pt>
                <c:pt idx="116">
                  <c:v>93.533073754195328</c:v>
                </c:pt>
                <c:pt idx="117">
                  <c:v>90.662512629486031</c:v>
                </c:pt>
                <c:pt idx="118">
                  <c:v>88.148377588246106</c:v>
                </c:pt>
                <c:pt idx="119">
                  <c:v>84.861783387976402</c:v>
                </c:pt>
                <c:pt idx="120">
                  <c:v>82.730174356155146</c:v>
                </c:pt>
                <c:pt idx="121">
                  <c:v>79.552547424393538</c:v>
                </c:pt>
                <c:pt idx="122">
                  <c:v>77.753371651272758</c:v>
                </c:pt>
                <c:pt idx="123">
                  <c:v>75.67762497635367</c:v>
                </c:pt>
                <c:pt idx="124">
                  <c:v>75.44720767573358</c:v>
                </c:pt>
                <c:pt idx="125">
                  <c:v>73.875629361193063</c:v>
                </c:pt>
                <c:pt idx="126">
                  <c:v>71.470473143129027</c:v>
                </c:pt>
                <c:pt idx="127">
                  <c:v>70.202439311217006</c:v>
                </c:pt>
                <c:pt idx="128">
                  <c:v>68.044285985241359</c:v>
                </c:pt>
                <c:pt idx="129">
                  <c:v>67.123178503538639</c:v>
                </c:pt>
                <c:pt idx="130">
                  <c:v>66.614167196822677</c:v>
                </c:pt>
                <c:pt idx="131">
                  <c:v>65.202067843707866</c:v>
                </c:pt>
                <c:pt idx="132">
                  <c:v>62.32877747519224</c:v>
                </c:pt>
                <c:pt idx="133">
                  <c:v>60.87983194834159</c:v>
                </c:pt>
                <c:pt idx="134">
                  <c:v>59.405606441130956</c:v>
                </c:pt>
                <c:pt idx="135">
                  <c:v>57.495701577008433</c:v>
                </c:pt>
                <c:pt idx="136">
                  <c:v>56.142134324446921</c:v>
                </c:pt>
                <c:pt idx="137">
                  <c:v>55.644893077071153</c:v>
                </c:pt>
                <c:pt idx="138">
                  <c:v>52.853317377333731</c:v>
                </c:pt>
                <c:pt idx="139">
                  <c:v>51.471027843558595</c:v>
                </c:pt>
                <c:pt idx="140">
                  <c:v>51.344092458892945</c:v>
                </c:pt>
                <c:pt idx="141">
                  <c:v>48.514104422707653</c:v>
                </c:pt>
                <c:pt idx="142">
                  <c:v>45.986234498331555</c:v>
                </c:pt>
                <c:pt idx="143">
                  <c:v>43.671594715137957</c:v>
                </c:pt>
                <c:pt idx="144">
                  <c:v>42.793870135854021</c:v>
                </c:pt>
                <c:pt idx="145">
                  <c:v>42.304771089823326</c:v>
                </c:pt>
                <c:pt idx="146">
                  <c:v>40.496442507507517</c:v>
                </c:pt>
                <c:pt idx="147">
                  <c:v>39.379412869036535</c:v>
                </c:pt>
                <c:pt idx="148">
                  <c:v>38.544018872804216</c:v>
                </c:pt>
                <c:pt idx="149">
                  <c:v>38.452478354848239</c:v>
                </c:pt>
                <c:pt idx="150">
                  <c:v>36.392915913353903</c:v>
                </c:pt>
                <c:pt idx="151">
                  <c:v>35.723502947403396</c:v>
                </c:pt>
                <c:pt idx="152">
                  <c:v>34.996050864451504</c:v>
                </c:pt>
                <c:pt idx="153">
                  <c:v>34.918464259824759</c:v>
                </c:pt>
                <c:pt idx="154">
                  <c:v>33.260375755208649</c:v>
                </c:pt>
                <c:pt idx="155">
                  <c:v>31.967314003918379</c:v>
                </c:pt>
                <c:pt idx="156">
                  <c:v>29.303470435941669</c:v>
                </c:pt>
                <c:pt idx="157">
                  <c:v>27.200390248477476</c:v>
                </c:pt>
                <c:pt idx="158">
                  <c:v>27.977120180346187</c:v>
                </c:pt>
                <c:pt idx="159">
                  <c:v>25.708793695351279</c:v>
                </c:pt>
                <c:pt idx="160">
                  <c:v>24.539549137545649</c:v>
                </c:pt>
                <c:pt idx="161">
                  <c:v>24.044817882285148</c:v>
                </c:pt>
                <c:pt idx="162">
                  <c:v>22.827690642919251</c:v>
                </c:pt>
                <c:pt idx="163">
                  <c:v>20.472536890478295</c:v>
                </c:pt>
                <c:pt idx="164">
                  <c:v>20.506843224401734</c:v>
                </c:pt>
                <c:pt idx="165">
                  <c:v>18.967414995287477</c:v>
                </c:pt>
                <c:pt idx="166">
                  <c:v>18.917144248048157</c:v>
                </c:pt>
                <c:pt idx="167">
                  <c:v>17.677795850486643</c:v>
                </c:pt>
                <c:pt idx="168">
                  <c:v>16.663062999859765</c:v>
                </c:pt>
                <c:pt idx="169">
                  <c:v>16.142984818787202</c:v>
                </c:pt>
                <c:pt idx="170">
                  <c:v>15.757138956145067</c:v>
                </c:pt>
                <c:pt idx="171">
                  <c:v>14.382033147473731</c:v>
                </c:pt>
                <c:pt idx="172">
                  <c:v>9.5814710631784799</c:v>
                </c:pt>
                <c:pt idx="173">
                  <c:v>8.5755079003051691</c:v>
                </c:pt>
                <c:pt idx="174">
                  <c:v>8.7521505693632768</c:v>
                </c:pt>
                <c:pt idx="175">
                  <c:v>8.6020487400644363</c:v>
                </c:pt>
                <c:pt idx="176">
                  <c:v>8.3927748293305378</c:v>
                </c:pt>
                <c:pt idx="177">
                  <c:v>8.4603136200658096</c:v>
                </c:pt>
                <c:pt idx="178">
                  <c:v>7.9048414032576115</c:v>
                </c:pt>
                <c:pt idx="179">
                  <c:v>8.1808167110136143</c:v>
                </c:pt>
                <c:pt idx="180">
                  <c:v>6.8141929220195667</c:v>
                </c:pt>
                <c:pt idx="181">
                  <c:v>6.528769310491052</c:v>
                </c:pt>
                <c:pt idx="182">
                  <c:v>5.4320165912405436</c:v>
                </c:pt>
                <c:pt idx="183">
                  <c:v>4.5201677047319224</c:v>
                </c:pt>
                <c:pt idx="184">
                  <c:v>3.7260940538028948</c:v>
                </c:pt>
                <c:pt idx="185">
                  <c:v>2.9695733763877321</c:v>
                </c:pt>
                <c:pt idx="186">
                  <c:v>2.471370236777644</c:v>
                </c:pt>
                <c:pt idx="187">
                  <c:v>2.0007785796461994</c:v>
                </c:pt>
                <c:pt idx="188">
                  <c:v>-7.9594705807896834E-3</c:v>
                </c:pt>
                <c:pt idx="189">
                  <c:v>0.28823494850124531</c:v>
                </c:pt>
                <c:pt idx="190">
                  <c:v>-4.2378353127861423E-2</c:v>
                </c:pt>
                <c:pt idx="191">
                  <c:v>-0.25077685683848433</c:v>
                </c:pt>
                <c:pt idx="192">
                  <c:v>-0.30801607914083212</c:v>
                </c:pt>
                <c:pt idx="193">
                  <c:v>-1.6590957000186823</c:v>
                </c:pt>
                <c:pt idx="194">
                  <c:v>-2.1207910705329733</c:v>
                </c:pt>
                <c:pt idx="195">
                  <c:v>-5.3421323804316483</c:v>
                </c:pt>
                <c:pt idx="196">
                  <c:v>-6.088192027292318</c:v>
                </c:pt>
                <c:pt idx="197">
                  <c:v>-7.4772952728559048</c:v>
                </c:pt>
                <c:pt idx="198">
                  <c:v>-8.0529394256163851</c:v>
                </c:pt>
                <c:pt idx="199">
                  <c:v>-9.5269993323367235</c:v>
                </c:pt>
                <c:pt idx="200">
                  <c:v>-11.169882333430309</c:v>
                </c:pt>
                <c:pt idx="201">
                  <c:v>-12.163426798004389</c:v>
                </c:pt>
                <c:pt idx="202">
                  <c:v>-13.10239312084148</c:v>
                </c:pt>
                <c:pt idx="203">
                  <c:v>-13.122701978840059</c:v>
                </c:pt>
                <c:pt idx="204">
                  <c:v>-14.507459049179037</c:v>
                </c:pt>
                <c:pt idx="205">
                  <c:v>-14.030910356116191</c:v>
                </c:pt>
                <c:pt idx="206">
                  <c:v>-14.943992924492337</c:v>
                </c:pt>
                <c:pt idx="207">
                  <c:v>-15.337298833967395</c:v>
                </c:pt>
                <c:pt idx="208">
                  <c:v>-15.606843617735445</c:v>
                </c:pt>
                <c:pt idx="209">
                  <c:v>-16.273641359343991</c:v>
                </c:pt>
                <c:pt idx="210">
                  <c:v>-16.019693683349956</c:v>
                </c:pt>
                <c:pt idx="211">
                  <c:v>-17.029699860951755</c:v>
                </c:pt>
                <c:pt idx="212">
                  <c:v>-17.677938703924127</c:v>
                </c:pt>
                <c:pt idx="213">
                  <c:v>-17.808087826936177</c:v>
                </c:pt>
                <c:pt idx="214">
                  <c:v>-17.736961211640178</c:v>
                </c:pt>
                <c:pt idx="215">
                  <c:v>-18.545752104405047</c:v>
                </c:pt>
                <c:pt idx="216">
                  <c:v>-18.50773961472996</c:v>
                </c:pt>
                <c:pt idx="217">
                  <c:v>-18.68795766487283</c:v>
                </c:pt>
                <c:pt idx="218">
                  <c:v>-19.394062983550938</c:v>
                </c:pt>
                <c:pt idx="219">
                  <c:v>-19.73509850586219</c:v>
                </c:pt>
                <c:pt idx="220">
                  <c:v>-19.369281011791095</c:v>
                </c:pt>
                <c:pt idx="221">
                  <c:v>-18.738570330138231</c:v>
                </c:pt>
                <c:pt idx="222">
                  <c:v>-19.150465800782747</c:v>
                </c:pt>
                <c:pt idx="223">
                  <c:v>-19.700093288861694</c:v>
                </c:pt>
                <c:pt idx="224">
                  <c:v>-19.401447256463388</c:v>
                </c:pt>
                <c:pt idx="225">
                  <c:v>-19.493999223223291</c:v>
                </c:pt>
                <c:pt idx="226">
                  <c:v>-19.290775214453646</c:v>
                </c:pt>
                <c:pt idx="227">
                  <c:v>-19.208722574392027</c:v>
                </c:pt>
                <c:pt idx="228">
                  <c:v>-18.620483990876252</c:v>
                </c:pt>
                <c:pt idx="229">
                  <c:v>-19.427590551397184</c:v>
                </c:pt>
                <c:pt idx="230">
                  <c:v>-18.809364413214787</c:v>
                </c:pt>
                <c:pt idx="231">
                  <c:v>-19.004801521081809</c:v>
                </c:pt>
                <c:pt idx="232">
                  <c:v>-18.43036462828471</c:v>
                </c:pt>
                <c:pt idx="233">
                  <c:v>-18.448180817529209</c:v>
                </c:pt>
                <c:pt idx="234">
                  <c:v>-18.695806231894373</c:v>
                </c:pt>
                <c:pt idx="235">
                  <c:v>-18.133169710143608</c:v>
                </c:pt>
                <c:pt idx="236">
                  <c:v>-18.293767829116938</c:v>
                </c:pt>
                <c:pt idx="237">
                  <c:v>-17.621935404168454</c:v>
                </c:pt>
                <c:pt idx="238">
                  <c:v>-17.327790734077226</c:v>
                </c:pt>
                <c:pt idx="239">
                  <c:v>-17.303026469856707</c:v>
                </c:pt>
                <c:pt idx="240">
                  <c:v>-16.98457334626524</c:v>
                </c:pt>
                <c:pt idx="241">
                  <c:v>-16.569975267948873</c:v>
                </c:pt>
                <c:pt idx="242">
                  <c:v>-16.440515360258164</c:v>
                </c:pt>
                <c:pt idx="243">
                  <c:v>-16.441293542306962</c:v>
                </c:pt>
                <c:pt idx="244">
                  <c:v>-15.505454638152932</c:v>
                </c:pt>
                <c:pt idx="245">
                  <c:v>-15.617940178326894</c:v>
                </c:pt>
                <c:pt idx="246">
                  <c:v>-15.298225205268634</c:v>
                </c:pt>
                <c:pt idx="247">
                  <c:v>-14.910702575650022</c:v>
                </c:pt>
                <c:pt idx="248">
                  <c:v>-14.793491517172383</c:v>
                </c:pt>
                <c:pt idx="249">
                  <c:v>-14.434975496539245</c:v>
                </c:pt>
                <c:pt idx="250">
                  <c:v>-14.010950936475616</c:v>
                </c:pt>
                <c:pt idx="251">
                  <c:v>-13.677736471937498</c:v>
                </c:pt>
                <c:pt idx="252">
                  <c:v>-13.855444611833553</c:v>
                </c:pt>
                <c:pt idx="253">
                  <c:v>-12.680335945298216</c:v>
                </c:pt>
                <c:pt idx="254">
                  <c:v>-12.897103983593542</c:v>
                </c:pt>
                <c:pt idx="255">
                  <c:v>-12.604782833604746</c:v>
                </c:pt>
                <c:pt idx="256">
                  <c:v>-11.937594455083479</c:v>
                </c:pt>
                <c:pt idx="257">
                  <c:v>-11.780096326407675</c:v>
                </c:pt>
                <c:pt idx="258">
                  <c:v>-11.393326815973607</c:v>
                </c:pt>
                <c:pt idx="259">
                  <c:v>-11.114574196079372</c:v>
                </c:pt>
                <c:pt idx="260">
                  <c:v>-11.414507571073118</c:v>
                </c:pt>
                <c:pt idx="261">
                  <c:v>-10.331315819515771</c:v>
                </c:pt>
                <c:pt idx="262">
                  <c:v>-10.376693046954617</c:v>
                </c:pt>
                <c:pt idx="263">
                  <c:v>-10.464318943054558</c:v>
                </c:pt>
                <c:pt idx="264">
                  <c:v>-9.7695824117832313</c:v>
                </c:pt>
                <c:pt idx="265">
                  <c:v>-9.5347350880833073</c:v>
                </c:pt>
                <c:pt idx="266">
                  <c:v>-9.0804289227782657</c:v>
                </c:pt>
                <c:pt idx="267">
                  <c:v>-8.8324022915261402</c:v>
                </c:pt>
                <c:pt idx="268">
                  <c:v>-8.4925041287352414</c:v>
                </c:pt>
                <c:pt idx="269">
                  <c:v>-7.7219316430254663</c:v>
                </c:pt>
                <c:pt idx="270">
                  <c:v>-8.2266644159921043</c:v>
                </c:pt>
                <c:pt idx="271">
                  <c:v>-7.6583460582762344</c:v>
                </c:pt>
                <c:pt idx="272">
                  <c:v>-7.8069051327300398</c:v>
                </c:pt>
                <c:pt idx="273">
                  <c:v>-7.627297595466505</c:v>
                </c:pt>
                <c:pt idx="274">
                  <c:v>-7.4845302803354512</c:v>
                </c:pt>
                <c:pt idx="275">
                  <c:v>-7.2595078960911898</c:v>
                </c:pt>
                <c:pt idx="276">
                  <c:v>-6.2477382429207733</c:v>
                </c:pt>
                <c:pt idx="277">
                  <c:v>-6.2370557824088326</c:v>
                </c:pt>
                <c:pt idx="278">
                  <c:v>-6.5983037490488741</c:v>
                </c:pt>
                <c:pt idx="279">
                  <c:v>-5.1484014792512598</c:v>
                </c:pt>
                <c:pt idx="280">
                  <c:v>-6.3329579314263169</c:v>
                </c:pt>
                <c:pt idx="281">
                  <c:v>-5.4392736454688153</c:v>
                </c:pt>
                <c:pt idx="282">
                  <c:v>-5.0339233169575754</c:v>
                </c:pt>
                <c:pt idx="283">
                  <c:v>-4.6109172692575049</c:v>
                </c:pt>
                <c:pt idx="284">
                  <c:v>-4.5039677606444677</c:v>
                </c:pt>
                <c:pt idx="285">
                  <c:v>-4.087135854805422</c:v>
                </c:pt>
                <c:pt idx="286">
                  <c:v>-3.7713160983366563</c:v>
                </c:pt>
                <c:pt idx="287">
                  <c:v>-3.8420907418760724</c:v>
                </c:pt>
                <c:pt idx="288">
                  <c:v>-3.7640084918134589</c:v>
                </c:pt>
                <c:pt idx="289">
                  <c:v>-3.4854989587309841</c:v>
                </c:pt>
                <c:pt idx="290">
                  <c:v>-3.6496551259324468</c:v>
                </c:pt>
                <c:pt idx="291">
                  <c:v>-2.7230638209122207</c:v>
                </c:pt>
                <c:pt idx="292">
                  <c:v>-2.3258133395909764</c:v>
                </c:pt>
                <c:pt idx="293">
                  <c:v>-2.4079226655551231</c:v>
                </c:pt>
                <c:pt idx="294">
                  <c:v>-2.884342039483188</c:v>
                </c:pt>
                <c:pt idx="295">
                  <c:v>-2.4806740239271479</c:v>
                </c:pt>
                <c:pt idx="296">
                  <c:v>-2.1709876870727634</c:v>
                </c:pt>
                <c:pt idx="297">
                  <c:v>-3.122217272217513</c:v>
                </c:pt>
                <c:pt idx="298">
                  <c:v>-2.1791270478294429</c:v>
                </c:pt>
                <c:pt idx="299">
                  <c:v>-1.4754119844838076</c:v>
                </c:pt>
                <c:pt idx="300">
                  <c:v>-1.7242011028405915</c:v>
                </c:pt>
                <c:pt idx="301">
                  <c:v>-1.8229312987005697</c:v>
                </c:pt>
                <c:pt idx="302">
                  <c:v>-1.5045254038970666</c:v>
                </c:pt>
                <c:pt idx="303">
                  <c:v>-2.2226311936101788</c:v>
                </c:pt>
                <c:pt idx="304">
                  <c:v>-2.4840524337170304</c:v>
                </c:pt>
                <c:pt idx="305">
                  <c:v>-2.1325108423502326</c:v>
                </c:pt>
                <c:pt idx="306">
                  <c:v>-2.0840291962887787</c:v>
                </c:pt>
                <c:pt idx="307">
                  <c:v>2.4412197351510234</c:v>
                </c:pt>
                <c:pt idx="308">
                  <c:v>4.3842241468267877</c:v>
                </c:pt>
                <c:pt idx="309">
                  <c:v>3.3259459410664327</c:v>
                </c:pt>
                <c:pt idx="310">
                  <c:v>3.0800072827827143</c:v>
                </c:pt>
                <c:pt idx="311">
                  <c:v>4.0541354014334248</c:v>
                </c:pt>
                <c:pt idx="312">
                  <c:v>4.0750553664852367</c:v>
                </c:pt>
                <c:pt idx="313">
                  <c:v>3.8286366385956558</c:v>
                </c:pt>
                <c:pt idx="314">
                  <c:v>-0.17867848619547438</c:v>
                </c:pt>
                <c:pt idx="315">
                  <c:v>0.204634281482311</c:v>
                </c:pt>
                <c:pt idx="316">
                  <c:v>-1.9536872970913874</c:v>
                </c:pt>
                <c:pt idx="317">
                  <c:v>-1.9806267844932477</c:v>
                </c:pt>
                <c:pt idx="318">
                  <c:v>-4.8229560872675235</c:v>
                </c:pt>
                <c:pt idx="319">
                  <c:v>-2.6045210814354682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FE-0442-AD02-D40C75433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A53D35D-54A2-CC4D-BBBB-F780BB3DB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1299C6-BC70-2243-A681-EFCC2AA2B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F4B956B-C3C6-1A47-AF9D-6E1C79BDF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D7886-E346-D848-9466-D313DCFC3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3D091F5-477C-D045-B9B7-6E5E2755E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261281-9B70-0D4D-A377-B3F420F49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863.53739612187996</v>
      </c>
      <c r="E2">
        <v>398.68144044321002</v>
      </c>
      <c r="F2">
        <v>138.15096952908999</v>
      </c>
      <c r="G2">
        <v>118.3552631579</v>
      </c>
      <c r="H2" s="4"/>
      <c r="I2" s="5">
        <f>E2-G2</f>
        <v>280.32617728531</v>
      </c>
      <c r="J2" s="5">
        <f>D2-F2</f>
        <v>725.38642659279003</v>
      </c>
      <c r="K2" s="9">
        <f>I2*1</f>
        <v>280.32617728531</v>
      </c>
      <c r="L2" s="6">
        <f t="shared" ref="L2:L65" si="0">K2/J2</f>
        <v>0.38645081712106066</v>
      </c>
      <c r="M2" s="6">
        <f>L2+ABS($N$2)*A2</f>
        <v>0.38645081712106066</v>
      </c>
      <c r="N2" s="4">
        <f>LINEST(V64:V103,U64:U103)</f>
        <v>1.1953047433440468E-4</v>
      </c>
      <c r="O2" s="7">
        <f>AVERAGE(M62:M81)</f>
        <v>0.28189840834421465</v>
      </c>
      <c r="P2" s="4">
        <f>(M2-$O$2)/$O$2*100</f>
        <v>37.088683611573053</v>
      </c>
    </row>
    <row r="3" spans="1:16" x14ac:dyDescent="0.2">
      <c r="A3" s="8">
        <v>0.5</v>
      </c>
      <c r="B3" s="8">
        <v>1</v>
      </c>
      <c r="D3">
        <v>878.52839335179999</v>
      </c>
      <c r="E3">
        <v>420.34072022161001</v>
      </c>
      <c r="F3">
        <v>138.40027700831001</v>
      </c>
      <c r="G3">
        <v>118.23268698061</v>
      </c>
      <c r="I3" s="9">
        <f t="shared" ref="I3:I66" si="1">E3-G3</f>
        <v>302.10803324100004</v>
      </c>
      <c r="J3" s="9">
        <f t="shared" ref="J3:J66" si="2">D3-F3</f>
        <v>740.12811634348998</v>
      </c>
      <c r="K3" s="9">
        <f t="shared" ref="K3:K66" si="3">I3*1</f>
        <v>302.10803324100004</v>
      </c>
      <c r="L3" s="10">
        <f t="shared" si="0"/>
        <v>0.40818343009792257</v>
      </c>
      <c r="M3" s="10">
        <f t="shared" ref="M3:M66" si="4">L3+ABS($N$2)*A3</f>
        <v>0.40824319533508979</v>
      </c>
      <c r="P3" s="8">
        <f t="shared" ref="P3:P66" si="5">(M3-$O$2)/$O$2*100</f>
        <v>44.819262277139458</v>
      </c>
    </row>
    <row r="4" spans="1:16" ht="16" x14ac:dyDescent="0.2">
      <c r="A4" s="8">
        <v>1</v>
      </c>
      <c r="B4" s="8">
        <v>2</v>
      </c>
      <c r="D4">
        <v>884.63781163434999</v>
      </c>
      <c r="E4">
        <v>444.21260387811998</v>
      </c>
      <c r="F4">
        <v>138.24030470913999</v>
      </c>
      <c r="G4">
        <v>118.23891966759</v>
      </c>
      <c r="I4" s="9">
        <f t="shared" si="1"/>
        <v>325.97368421053</v>
      </c>
      <c r="J4" s="9">
        <f t="shared" si="2"/>
        <v>746.39750692521</v>
      </c>
      <c r="K4" s="9">
        <f t="shared" si="3"/>
        <v>325.97368421053</v>
      </c>
      <c r="L4" s="10">
        <f t="shared" si="0"/>
        <v>0.43672933147027915</v>
      </c>
      <c r="M4" s="10">
        <f t="shared" si="4"/>
        <v>0.43684886194461353</v>
      </c>
      <c r="N4" s="1" t="s">
        <v>7</v>
      </c>
      <c r="P4" s="8">
        <f t="shared" si="5"/>
        <v>54.966771366511303</v>
      </c>
    </row>
    <row r="5" spans="1:16" x14ac:dyDescent="0.2">
      <c r="A5" s="8">
        <v>1.5</v>
      </c>
      <c r="B5" s="8">
        <v>3</v>
      </c>
      <c r="D5">
        <v>886.80332409972004</v>
      </c>
      <c r="E5">
        <v>438.79155124654</v>
      </c>
      <c r="F5">
        <v>138.61149584488001</v>
      </c>
      <c r="G5">
        <v>118.34972299169</v>
      </c>
      <c r="I5" s="9">
        <f t="shared" si="1"/>
        <v>320.44182825485001</v>
      </c>
      <c r="J5" s="9">
        <f t="shared" si="2"/>
        <v>748.19182825484006</v>
      </c>
      <c r="K5" s="9">
        <f t="shared" si="3"/>
        <v>320.44182825485001</v>
      </c>
      <c r="L5" s="10">
        <f t="shared" si="0"/>
        <v>0.42828832948133322</v>
      </c>
      <c r="M5" s="10">
        <f t="shared" si="4"/>
        <v>0.42846762519283482</v>
      </c>
      <c r="N5" s="8">
        <f>RSQ(V64:V83,U64:U83)</f>
        <v>0.72143645734709372</v>
      </c>
      <c r="P5" s="8">
        <f t="shared" si="5"/>
        <v>51.993630510198017</v>
      </c>
    </row>
    <row r="6" spans="1:16" x14ac:dyDescent="0.2">
      <c r="A6" s="8">
        <v>2</v>
      </c>
      <c r="B6" s="8">
        <v>4</v>
      </c>
      <c r="D6">
        <v>883.67867036011</v>
      </c>
      <c r="E6">
        <v>418.02285318560001</v>
      </c>
      <c r="F6">
        <v>138.65096952908999</v>
      </c>
      <c r="G6">
        <v>118.33033240997</v>
      </c>
      <c r="I6" s="9">
        <f t="shared" si="1"/>
        <v>299.69252077562999</v>
      </c>
      <c r="J6" s="9">
        <f t="shared" si="2"/>
        <v>745.02770083101996</v>
      </c>
      <c r="K6" s="9">
        <f t="shared" si="3"/>
        <v>299.69252077562999</v>
      </c>
      <c r="L6" s="10">
        <f t="shared" si="0"/>
        <v>0.40225688312172353</v>
      </c>
      <c r="M6" s="10">
        <f t="shared" si="4"/>
        <v>0.40249594407039235</v>
      </c>
      <c r="P6" s="8">
        <f t="shared" si="5"/>
        <v>42.780495439662424</v>
      </c>
    </row>
    <row r="7" spans="1:16" x14ac:dyDescent="0.2">
      <c r="A7" s="8">
        <v>2.5</v>
      </c>
      <c r="B7" s="8">
        <v>5</v>
      </c>
      <c r="D7">
        <v>888.18200549451001</v>
      </c>
      <c r="E7">
        <v>404.99793956043999</v>
      </c>
      <c r="F7">
        <v>138.97506925208</v>
      </c>
      <c r="G7">
        <v>118.55747922438</v>
      </c>
      <c r="I7" s="9">
        <f t="shared" si="1"/>
        <v>286.44046033605997</v>
      </c>
      <c r="J7" s="9">
        <f t="shared" si="2"/>
        <v>749.20693624242995</v>
      </c>
      <c r="K7" s="9">
        <f t="shared" si="3"/>
        <v>286.44046033605997</v>
      </c>
      <c r="L7" s="10">
        <f t="shared" si="0"/>
        <v>0.38232489113444751</v>
      </c>
      <c r="M7" s="10">
        <f t="shared" si="4"/>
        <v>0.3826237173202835</v>
      </c>
      <c r="P7" s="8">
        <f t="shared" si="5"/>
        <v>35.731066935673255</v>
      </c>
    </row>
    <row r="8" spans="1:16" x14ac:dyDescent="0.2">
      <c r="A8" s="8">
        <v>3</v>
      </c>
      <c r="B8" s="8">
        <v>6</v>
      </c>
      <c r="D8">
        <v>877.1717032967</v>
      </c>
      <c r="E8">
        <v>387.99656593407002</v>
      </c>
      <c r="F8">
        <v>138.82617728532</v>
      </c>
      <c r="G8">
        <v>118.28601108033</v>
      </c>
      <c r="I8" s="9">
        <f t="shared" si="1"/>
        <v>269.71055485374001</v>
      </c>
      <c r="J8" s="9">
        <f t="shared" si="2"/>
        <v>738.34552601138</v>
      </c>
      <c r="K8" s="9">
        <f t="shared" si="3"/>
        <v>269.71055485374001</v>
      </c>
      <c r="L8" s="10">
        <f t="shared" si="0"/>
        <v>0.36529043022816798</v>
      </c>
      <c r="M8" s="10">
        <f t="shared" si="4"/>
        <v>0.36564902165117119</v>
      </c>
      <c r="P8" s="8">
        <f t="shared" si="5"/>
        <v>29.709502014886191</v>
      </c>
    </row>
    <row r="9" spans="1:16" x14ac:dyDescent="0.2">
      <c r="A9" s="8">
        <v>3.5</v>
      </c>
      <c r="B9" s="8">
        <v>7</v>
      </c>
      <c r="D9">
        <v>874.09411764705999</v>
      </c>
      <c r="E9">
        <v>377.92110726644</v>
      </c>
      <c r="F9">
        <v>139.12742382272</v>
      </c>
      <c r="G9">
        <v>118.38781163435</v>
      </c>
      <c r="I9" s="9">
        <f t="shared" si="1"/>
        <v>259.53329563209002</v>
      </c>
      <c r="J9" s="9">
        <f t="shared" si="2"/>
        <v>734.96669382433993</v>
      </c>
      <c r="K9" s="9">
        <f t="shared" si="3"/>
        <v>259.53329563209002</v>
      </c>
      <c r="L9" s="10">
        <f t="shared" si="0"/>
        <v>0.35312252624895074</v>
      </c>
      <c r="M9" s="10">
        <f t="shared" si="4"/>
        <v>0.35354088290912117</v>
      </c>
      <c r="P9" s="8">
        <f t="shared" si="5"/>
        <v>25.414288426001619</v>
      </c>
    </row>
    <row r="10" spans="1:16" x14ac:dyDescent="0.2">
      <c r="A10" s="8">
        <v>4</v>
      </c>
      <c r="B10" s="8">
        <v>8</v>
      </c>
      <c r="D10">
        <v>867.6</v>
      </c>
      <c r="E10">
        <v>360.78477508651002</v>
      </c>
      <c r="F10">
        <v>139.67174515235999</v>
      </c>
      <c r="G10">
        <v>118.54016620499</v>
      </c>
      <c r="I10" s="9">
        <f t="shared" si="1"/>
        <v>242.24460888152004</v>
      </c>
      <c r="J10" s="9">
        <f t="shared" si="2"/>
        <v>727.92825484764001</v>
      </c>
      <c r="K10" s="9">
        <f t="shared" si="3"/>
        <v>242.24460888152004</v>
      </c>
      <c r="L10" s="10">
        <f t="shared" si="0"/>
        <v>0.33278638007013944</v>
      </c>
      <c r="M10" s="10">
        <f t="shared" si="4"/>
        <v>0.33326450196747703</v>
      </c>
      <c r="P10" s="8">
        <f t="shared" si="5"/>
        <v>18.221491183639941</v>
      </c>
    </row>
    <row r="11" spans="1:16" x14ac:dyDescent="0.2">
      <c r="A11" s="8">
        <v>4.5</v>
      </c>
      <c r="B11" s="8">
        <v>9</v>
      </c>
      <c r="D11">
        <v>845.13840830449999</v>
      </c>
      <c r="E11">
        <v>347.57854671280001</v>
      </c>
      <c r="F11">
        <v>139.13781163434999</v>
      </c>
      <c r="G11">
        <v>118.17174515236</v>
      </c>
      <c r="I11" s="9">
        <f t="shared" si="1"/>
        <v>229.40680156043999</v>
      </c>
      <c r="J11" s="9">
        <f t="shared" si="2"/>
        <v>706.00059667015</v>
      </c>
      <c r="K11" s="9">
        <f t="shared" si="3"/>
        <v>229.40680156043999</v>
      </c>
      <c r="L11" s="10">
        <f t="shared" si="0"/>
        <v>0.32493853778939646</v>
      </c>
      <c r="M11" s="10">
        <f t="shared" si="4"/>
        <v>0.32547642492390128</v>
      </c>
      <c r="P11" s="8">
        <f t="shared" si="5"/>
        <v>15.458766452655984</v>
      </c>
    </row>
    <row r="12" spans="1:16" x14ac:dyDescent="0.2">
      <c r="A12" s="8">
        <v>5</v>
      </c>
      <c r="B12" s="8">
        <v>10</v>
      </c>
      <c r="D12">
        <v>831.54325259515997</v>
      </c>
      <c r="E12">
        <v>335.32318339099999</v>
      </c>
      <c r="F12">
        <v>139.10941828255</v>
      </c>
      <c r="G12">
        <v>118.79847645429</v>
      </c>
      <c r="I12" s="9">
        <f t="shared" si="1"/>
        <v>216.52470693671</v>
      </c>
      <c r="J12" s="9">
        <f t="shared" si="2"/>
        <v>692.43383431260997</v>
      </c>
      <c r="K12" s="9">
        <f t="shared" si="3"/>
        <v>216.52470693671</v>
      </c>
      <c r="L12" s="10">
        <f t="shared" si="0"/>
        <v>0.31270093430899071</v>
      </c>
      <c r="M12" s="10">
        <f t="shared" si="4"/>
        <v>0.31329858668066274</v>
      </c>
      <c r="P12" s="8">
        <f t="shared" si="5"/>
        <v>11.138827821300294</v>
      </c>
    </row>
    <row r="13" spans="1:16" x14ac:dyDescent="0.2">
      <c r="A13" s="8">
        <v>5.5</v>
      </c>
      <c r="B13" s="8">
        <v>11</v>
      </c>
      <c r="D13">
        <v>833.69204152248994</v>
      </c>
      <c r="E13">
        <v>328.52871972318002</v>
      </c>
      <c r="F13">
        <v>138.83587257618001</v>
      </c>
      <c r="G13">
        <v>119.06024930748001</v>
      </c>
      <c r="I13" s="9">
        <f t="shared" si="1"/>
        <v>209.46847041570001</v>
      </c>
      <c r="J13" s="9">
        <f t="shared" si="2"/>
        <v>694.85616894630994</v>
      </c>
      <c r="K13" s="9">
        <f t="shared" si="3"/>
        <v>209.46847041570001</v>
      </c>
      <c r="L13" s="10">
        <f t="shared" si="0"/>
        <v>0.30145586925326007</v>
      </c>
      <c r="M13" s="10">
        <f t="shared" si="4"/>
        <v>0.30211328686209932</v>
      </c>
      <c r="P13" s="8">
        <f t="shared" si="5"/>
        <v>7.1709800124877283</v>
      </c>
    </row>
    <row r="14" spans="1:16" x14ac:dyDescent="0.2">
      <c r="A14" s="8">
        <v>6</v>
      </c>
      <c r="B14" s="8">
        <v>12</v>
      </c>
      <c r="D14">
        <v>831.55778546712997</v>
      </c>
      <c r="E14">
        <v>321.90173010381</v>
      </c>
      <c r="F14">
        <v>139.63227146814</v>
      </c>
      <c r="G14">
        <v>118.69736842105</v>
      </c>
      <c r="I14" s="9">
        <f t="shared" si="1"/>
        <v>203.20436168276001</v>
      </c>
      <c r="J14" s="9">
        <f t="shared" si="2"/>
        <v>691.92551399899003</v>
      </c>
      <c r="K14" s="9">
        <f t="shared" si="3"/>
        <v>203.20436168276001</v>
      </c>
      <c r="L14" s="10">
        <f t="shared" si="0"/>
        <v>0.29367953279875242</v>
      </c>
      <c r="M14" s="10">
        <f t="shared" si="4"/>
        <v>0.29439671564475883</v>
      </c>
      <c r="P14" s="8">
        <f t="shared" si="5"/>
        <v>4.4336210956122235</v>
      </c>
    </row>
    <row r="15" spans="1:16" x14ac:dyDescent="0.2">
      <c r="A15" s="8">
        <v>6.5</v>
      </c>
      <c r="B15" s="8">
        <v>13</v>
      </c>
      <c r="D15">
        <v>824.81314878892999</v>
      </c>
      <c r="E15">
        <v>316.29342560553999</v>
      </c>
      <c r="F15">
        <v>139.57340720222001</v>
      </c>
      <c r="G15">
        <v>119.1336565097</v>
      </c>
      <c r="I15" s="9">
        <f t="shared" si="1"/>
        <v>197.15976909583998</v>
      </c>
      <c r="J15" s="9">
        <f t="shared" si="2"/>
        <v>685.23974158671001</v>
      </c>
      <c r="K15" s="9">
        <f t="shared" si="3"/>
        <v>197.15976909583998</v>
      </c>
      <c r="L15" s="10">
        <f t="shared" si="0"/>
        <v>0.28772378064253218</v>
      </c>
      <c r="M15" s="10">
        <f t="shared" si="4"/>
        <v>0.28850072872570581</v>
      </c>
      <c r="P15" s="8">
        <f t="shared" si="5"/>
        <v>2.3420921105128563</v>
      </c>
    </row>
    <row r="16" spans="1:16" x14ac:dyDescent="0.2">
      <c r="A16" s="8">
        <v>7</v>
      </c>
      <c r="B16" s="8">
        <v>14</v>
      </c>
      <c r="D16">
        <v>850.95631067961006</v>
      </c>
      <c r="E16">
        <v>315.98335644937998</v>
      </c>
      <c r="F16">
        <v>139.73961218836999</v>
      </c>
      <c r="G16">
        <v>118.54224376731</v>
      </c>
      <c r="I16" s="9">
        <f t="shared" si="1"/>
        <v>197.44111268206998</v>
      </c>
      <c r="J16" s="9">
        <f t="shared" si="2"/>
        <v>711.21669849124009</v>
      </c>
      <c r="K16" s="9">
        <f t="shared" si="3"/>
        <v>197.44111268206998</v>
      </c>
      <c r="L16" s="10">
        <f t="shared" si="0"/>
        <v>0.27761034449966843</v>
      </c>
      <c r="M16" s="10">
        <f t="shared" si="4"/>
        <v>0.27844705782000928</v>
      </c>
      <c r="P16" s="8">
        <f t="shared" si="5"/>
        <v>-1.2243242324344954</v>
      </c>
    </row>
    <row r="17" spans="1:16" x14ac:dyDescent="0.2">
      <c r="A17" s="8">
        <v>7.5</v>
      </c>
      <c r="B17" s="8">
        <v>15</v>
      </c>
      <c r="D17">
        <v>858.69070735089997</v>
      </c>
      <c r="E17">
        <v>314.41608876560002</v>
      </c>
      <c r="F17">
        <v>139.21952908586999</v>
      </c>
      <c r="G17">
        <v>118.85387811634</v>
      </c>
      <c r="I17" s="9">
        <f t="shared" si="1"/>
        <v>195.56221064926001</v>
      </c>
      <c r="J17" s="9">
        <f t="shared" si="2"/>
        <v>719.47117826502995</v>
      </c>
      <c r="K17" s="9">
        <f t="shared" si="3"/>
        <v>195.56221064926001</v>
      </c>
      <c r="L17" s="10">
        <f t="shared" si="0"/>
        <v>0.27181382181402852</v>
      </c>
      <c r="M17" s="10">
        <f t="shared" si="4"/>
        <v>0.27271030037153654</v>
      </c>
      <c r="P17" s="8">
        <f t="shared" si="5"/>
        <v>-3.2593685174195386</v>
      </c>
    </row>
    <row r="18" spans="1:16" x14ac:dyDescent="0.2">
      <c r="A18" s="8">
        <v>8</v>
      </c>
      <c r="B18" s="8">
        <v>16</v>
      </c>
      <c r="D18">
        <v>854.09847434119001</v>
      </c>
      <c r="E18">
        <v>310.28155339806</v>
      </c>
      <c r="F18">
        <v>140.05193905817001</v>
      </c>
      <c r="G18">
        <v>118.87396121883999</v>
      </c>
      <c r="I18" s="9">
        <f t="shared" si="1"/>
        <v>191.40759217921999</v>
      </c>
      <c r="J18" s="9">
        <f t="shared" si="2"/>
        <v>714.04653528302003</v>
      </c>
      <c r="K18" s="9">
        <f t="shared" si="3"/>
        <v>191.40759217921999</v>
      </c>
      <c r="L18" s="10">
        <f t="shared" si="0"/>
        <v>0.26806038923409037</v>
      </c>
      <c r="M18" s="10">
        <f t="shared" si="4"/>
        <v>0.26901663302876561</v>
      </c>
      <c r="P18" s="8">
        <f t="shared" si="5"/>
        <v>-4.5696516667520983</v>
      </c>
    </row>
    <row r="19" spans="1:16" x14ac:dyDescent="0.2">
      <c r="A19" s="8">
        <v>8.5</v>
      </c>
      <c r="B19" s="8">
        <v>17</v>
      </c>
      <c r="D19">
        <v>850.99861303745001</v>
      </c>
      <c r="E19">
        <v>305.26352288487999</v>
      </c>
      <c r="F19">
        <v>139.89819944598</v>
      </c>
      <c r="G19">
        <v>119.18282548477001</v>
      </c>
      <c r="I19" s="9">
        <f t="shared" si="1"/>
        <v>186.08069740010998</v>
      </c>
      <c r="J19" s="9">
        <f t="shared" si="2"/>
        <v>711.10041359146999</v>
      </c>
      <c r="K19" s="9">
        <f t="shared" si="3"/>
        <v>186.08069740010998</v>
      </c>
      <c r="L19" s="10">
        <f t="shared" si="0"/>
        <v>0.26167991727116907</v>
      </c>
      <c r="M19" s="10">
        <f t="shared" si="4"/>
        <v>0.26269592630301153</v>
      </c>
      <c r="P19" s="8">
        <f t="shared" si="5"/>
        <v>-6.8118447897569361</v>
      </c>
    </row>
    <row r="20" spans="1:16" x14ac:dyDescent="0.2">
      <c r="A20" s="8">
        <v>9</v>
      </c>
      <c r="B20" s="8">
        <v>18</v>
      </c>
      <c r="D20">
        <v>827.79680998613003</v>
      </c>
      <c r="E20">
        <v>297.66851595007</v>
      </c>
      <c r="F20">
        <v>140.28947368421001</v>
      </c>
      <c r="G20">
        <v>119.07825484765</v>
      </c>
      <c r="I20" s="9">
        <f t="shared" si="1"/>
        <v>178.59026110242002</v>
      </c>
      <c r="J20" s="9">
        <f t="shared" si="2"/>
        <v>687.50733630192008</v>
      </c>
      <c r="K20" s="9">
        <f t="shared" si="3"/>
        <v>178.59026110242002</v>
      </c>
      <c r="L20" s="10">
        <f t="shared" si="0"/>
        <v>0.25976488056556796</v>
      </c>
      <c r="M20" s="10">
        <f t="shared" si="4"/>
        <v>0.26084065483457758</v>
      </c>
      <c r="P20" s="8">
        <f t="shared" si="5"/>
        <v>-7.469979569350496</v>
      </c>
    </row>
    <row r="21" spans="1:16" x14ac:dyDescent="0.2">
      <c r="A21" s="8">
        <v>9.5</v>
      </c>
      <c r="B21" s="8">
        <v>19</v>
      </c>
      <c r="D21">
        <v>830.47988904299996</v>
      </c>
      <c r="E21">
        <v>297.77877947295002</v>
      </c>
      <c r="F21">
        <v>140.02493074792</v>
      </c>
      <c r="G21">
        <v>119.27077562327</v>
      </c>
      <c r="I21" s="9">
        <f t="shared" si="1"/>
        <v>178.50800384968002</v>
      </c>
      <c r="J21" s="9">
        <f t="shared" si="2"/>
        <v>690.4549582950799</v>
      </c>
      <c r="K21" s="9">
        <f t="shared" si="3"/>
        <v>178.50800384968002</v>
      </c>
      <c r="L21" s="10">
        <f t="shared" si="0"/>
        <v>0.25853678318201173</v>
      </c>
      <c r="M21" s="10">
        <f t="shared" si="4"/>
        <v>0.25967232268818857</v>
      </c>
      <c r="P21" s="8">
        <f t="shared" si="5"/>
        <v>-7.8844310567680491</v>
      </c>
    </row>
    <row r="22" spans="1:16" x14ac:dyDescent="0.2">
      <c r="A22" s="8">
        <v>10</v>
      </c>
      <c r="B22" s="8">
        <v>20</v>
      </c>
      <c r="D22">
        <v>834.58321775312004</v>
      </c>
      <c r="E22">
        <v>296.19348127601</v>
      </c>
      <c r="F22">
        <v>140.45152354570999</v>
      </c>
      <c r="G22">
        <v>119.49792243767</v>
      </c>
      <c r="I22" s="9">
        <f t="shared" si="1"/>
        <v>176.69555883833999</v>
      </c>
      <c r="J22" s="9">
        <f t="shared" si="2"/>
        <v>694.13169420741008</v>
      </c>
      <c r="K22" s="9">
        <f t="shared" si="3"/>
        <v>176.69555883833999</v>
      </c>
      <c r="L22" s="10">
        <f t="shared" si="0"/>
        <v>0.2545562467653904</v>
      </c>
      <c r="M22" s="10">
        <f t="shared" si="4"/>
        <v>0.25575155150873446</v>
      </c>
      <c r="P22" s="8">
        <f t="shared" si="5"/>
        <v>-9.2752765044183292</v>
      </c>
    </row>
    <row r="23" spans="1:16" x14ac:dyDescent="0.2">
      <c r="A23" s="8">
        <v>10.5</v>
      </c>
      <c r="B23" s="8">
        <v>21</v>
      </c>
      <c r="D23">
        <v>829.35159500693999</v>
      </c>
      <c r="E23">
        <v>293.72399445215001</v>
      </c>
      <c r="F23">
        <v>140.19390581718</v>
      </c>
      <c r="G23">
        <v>119.6108033241</v>
      </c>
      <c r="I23" s="9">
        <f t="shared" si="1"/>
        <v>174.11319112805</v>
      </c>
      <c r="J23" s="9">
        <f t="shared" si="2"/>
        <v>689.15768918976005</v>
      </c>
      <c r="K23" s="9">
        <f t="shared" si="3"/>
        <v>174.11319112805</v>
      </c>
      <c r="L23" s="10">
        <f t="shared" si="0"/>
        <v>0.25264637376788784</v>
      </c>
      <c r="M23" s="10">
        <f t="shared" si="4"/>
        <v>0.25390144374839907</v>
      </c>
      <c r="P23" s="8">
        <f t="shared" si="5"/>
        <v>-9.9315795219494909</v>
      </c>
    </row>
    <row r="24" spans="1:16" x14ac:dyDescent="0.2">
      <c r="A24" s="8">
        <v>11</v>
      </c>
      <c r="B24" s="8">
        <v>22</v>
      </c>
      <c r="D24">
        <v>831.88349514563004</v>
      </c>
      <c r="E24">
        <v>292.90915395283997</v>
      </c>
      <c r="F24">
        <v>140.48407202216001</v>
      </c>
      <c r="G24">
        <v>119.19390581718</v>
      </c>
      <c r="I24" s="9">
        <f t="shared" si="1"/>
        <v>173.71524813565998</v>
      </c>
      <c r="J24" s="9">
        <f t="shared" si="2"/>
        <v>691.39942312347</v>
      </c>
      <c r="K24" s="9">
        <f t="shared" si="3"/>
        <v>173.71524813565998</v>
      </c>
      <c r="L24" s="10">
        <f t="shared" si="0"/>
        <v>0.25125165327862581</v>
      </c>
      <c r="M24" s="10">
        <f t="shared" si="4"/>
        <v>0.25256648849630425</v>
      </c>
      <c r="P24" s="8">
        <f t="shared" si="5"/>
        <v>-10.405138510783779</v>
      </c>
    </row>
    <row r="25" spans="1:16" x14ac:dyDescent="0.2">
      <c r="A25" s="8">
        <v>11.5</v>
      </c>
      <c r="B25" s="8">
        <v>23</v>
      </c>
      <c r="D25">
        <v>828.08668515950001</v>
      </c>
      <c r="E25">
        <v>289.87239944522003</v>
      </c>
      <c r="F25">
        <v>141.1987534626</v>
      </c>
      <c r="G25">
        <v>119.07686980609</v>
      </c>
      <c r="I25" s="9">
        <f t="shared" si="1"/>
        <v>170.79552963913002</v>
      </c>
      <c r="J25" s="9">
        <f t="shared" si="2"/>
        <v>686.88793169690007</v>
      </c>
      <c r="K25" s="9">
        <f t="shared" si="3"/>
        <v>170.79552963913002</v>
      </c>
      <c r="L25" s="10">
        <f t="shared" si="0"/>
        <v>0.24865123080149878</v>
      </c>
      <c r="M25" s="10">
        <f t="shared" si="4"/>
        <v>0.25002583125634442</v>
      </c>
      <c r="P25" s="8">
        <f t="shared" si="5"/>
        <v>-11.306405479576856</v>
      </c>
    </row>
    <row r="26" spans="1:16" x14ac:dyDescent="0.2">
      <c r="A26" s="8">
        <v>12</v>
      </c>
      <c r="B26" s="8">
        <v>24</v>
      </c>
      <c r="D26">
        <v>831.24202496532996</v>
      </c>
      <c r="E26">
        <v>292.43758668516</v>
      </c>
      <c r="F26">
        <v>139.98130193905999</v>
      </c>
      <c r="G26">
        <v>119.55747922438</v>
      </c>
      <c r="I26" s="9">
        <f t="shared" si="1"/>
        <v>172.88010746077998</v>
      </c>
      <c r="J26" s="9">
        <f t="shared" si="2"/>
        <v>691.26072302626994</v>
      </c>
      <c r="K26" s="9">
        <f t="shared" si="3"/>
        <v>172.88010746077998</v>
      </c>
      <c r="L26" s="10">
        <f t="shared" si="0"/>
        <v>0.25009392505902583</v>
      </c>
      <c r="M26" s="10">
        <f t="shared" si="4"/>
        <v>0.25152829075103866</v>
      </c>
      <c r="P26" s="8">
        <f t="shared" si="5"/>
        <v>-10.773426416828956</v>
      </c>
    </row>
    <row r="27" spans="1:16" x14ac:dyDescent="0.2">
      <c r="A27" s="8">
        <v>12.5</v>
      </c>
      <c r="B27" s="8">
        <v>25</v>
      </c>
      <c r="D27">
        <v>833.81137309293001</v>
      </c>
      <c r="E27">
        <v>292.58252427184999</v>
      </c>
      <c r="F27">
        <v>140.39819944598</v>
      </c>
      <c r="G27">
        <v>119.36288088643001</v>
      </c>
      <c r="I27" s="9">
        <f t="shared" si="1"/>
        <v>173.21964338542</v>
      </c>
      <c r="J27" s="9">
        <f t="shared" si="2"/>
        <v>693.41317364694999</v>
      </c>
      <c r="K27" s="9">
        <f t="shared" si="3"/>
        <v>173.21964338542</v>
      </c>
      <c r="L27" s="10">
        <f t="shared" si="0"/>
        <v>0.24980725773406556</v>
      </c>
      <c r="M27" s="10">
        <f t="shared" si="4"/>
        <v>0.25130138866324564</v>
      </c>
      <c r="P27" s="8">
        <f t="shared" si="5"/>
        <v>-10.853917147204404</v>
      </c>
    </row>
    <row r="28" spans="1:16" x14ac:dyDescent="0.2">
      <c r="A28" s="8">
        <v>13</v>
      </c>
      <c r="B28" s="8">
        <v>26</v>
      </c>
      <c r="D28">
        <v>834.99514563107005</v>
      </c>
      <c r="E28">
        <v>291.75381414702002</v>
      </c>
      <c r="F28">
        <v>140.91204986150001</v>
      </c>
      <c r="G28">
        <v>119.17520775622999</v>
      </c>
      <c r="I28" s="9">
        <f t="shared" si="1"/>
        <v>172.57860639079001</v>
      </c>
      <c r="J28" s="9">
        <f t="shared" si="2"/>
        <v>694.08309576957004</v>
      </c>
      <c r="K28" s="9">
        <f t="shared" si="3"/>
        <v>172.57860639079001</v>
      </c>
      <c r="L28" s="10">
        <f t="shared" si="0"/>
        <v>0.248642572398975</v>
      </c>
      <c r="M28" s="10">
        <f t="shared" si="4"/>
        <v>0.25019646856532224</v>
      </c>
      <c r="P28" s="8">
        <f t="shared" si="5"/>
        <v>-11.245873988824535</v>
      </c>
    </row>
    <row r="29" spans="1:16" x14ac:dyDescent="0.2">
      <c r="A29" s="8">
        <v>13.5</v>
      </c>
      <c r="B29" s="8">
        <v>27</v>
      </c>
      <c r="D29">
        <v>840.73023578362995</v>
      </c>
      <c r="E29">
        <v>292.83009708738001</v>
      </c>
      <c r="F29">
        <v>140.69598337950001</v>
      </c>
      <c r="G29">
        <v>119.74515235457</v>
      </c>
      <c r="I29" s="9">
        <f t="shared" si="1"/>
        <v>173.08494473281002</v>
      </c>
      <c r="J29" s="9">
        <f t="shared" si="2"/>
        <v>700.03425240412992</v>
      </c>
      <c r="K29" s="9">
        <f t="shared" si="3"/>
        <v>173.08494473281002</v>
      </c>
      <c r="L29" s="10">
        <f t="shared" si="0"/>
        <v>0.247252108219539</v>
      </c>
      <c r="M29" s="10">
        <f t="shared" si="4"/>
        <v>0.24886576962305346</v>
      </c>
      <c r="P29" s="8">
        <f t="shared" si="5"/>
        <v>-11.717923103995103</v>
      </c>
    </row>
    <row r="30" spans="1:16" x14ac:dyDescent="0.2">
      <c r="A30" s="8">
        <v>14</v>
      </c>
      <c r="B30" s="8">
        <v>28</v>
      </c>
      <c r="D30">
        <v>850.84535367545004</v>
      </c>
      <c r="E30">
        <v>295.41608876560002</v>
      </c>
      <c r="F30">
        <v>141.06925207756001</v>
      </c>
      <c r="G30">
        <v>119.52977839335</v>
      </c>
      <c r="I30" s="9">
        <f t="shared" si="1"/>
        <v>175.88631037225002</v>
      </c>
      <c r="J30" s="9">
        <f t="shared" si="2"/>
        <v>709.77610159789003</v>
      </c>
      <c r="K30" s="9">
        <f t="shared" si="3"/>
        <v>175.88631037225002</v>
      </c>
      <c r="L30" s="10">
        <f t="shared" si="0"/>
        <v>0.24780534308817151</v>
      </c>
      <c r="M30" s="10">
        <f t="shared" si="4"/>
        <v>0.24947876972885316</v>
      </c>
      <c r="P30" s="8">
        <f t="shared" si="5"/>
        <v>-11.500468841163228</v>
      </c>
    </row>
    <row r="31" spans="1:16" x14ac:dyDescent="0.2">
      <c r="A31" s="8">
        <v>14.5</v>
      </c>
      <c r="B31" s="8">
        <v>29</v>
      </c>
      <c r="D31">
        <v>835.97572815533999</v>
      </c>
      <c r="E31">
        <v>293.5</v>
      </c>
      <c r="F31">
        <v>140.75415512465</v>
      </c>
      <c r="G31">
        <v>119.60387811634</v>
      </c>
      <c r="I31" s="9">
        <f t="shared" si="1"/>
        <v>173.89612188365999</v>
      </c>
      <c r="J31" s="9">
        <f t="shared" si="2"/>
        <v>695.22157303069002</v>
      </c>
      <c r="K31" s="9">
        <f t="shared" si="3"/>
        <v>173.89612188365999</v>
      </c>
      <c r="L31" s="10">
        <f t="shared" si="0"/>
        <v>0.25013050317985958</v>
      </c>
      <c r="M31" s="10">
        <f t="shared" si="4"/>
        <v>0.25186369505770845</v>
      </c>
      <c r="P31" s="8">
        <f t="shared" si="5"/>
        <v>-10.654445856193709</v>
      </c>
    </row>
    <row r="32" spans="1:16" x14ac:dyDescent="0.2">
      <c r="A32" s="8">
        <v>15</v>
      </c>
      <c r="B32" s="8">
        <v>30</v>
      </c>
      <c r="D32">
        <v>841.37586685159999</v>
      </c>
      <c r="E32">
        <v>294.39251040222001</v>
      </c>
      <c r="F32">
        <v>140.73199445982999</v>
      </c>
      <c r="G32">
        <v>119.80540166205</v>
      </c>
      <c r="I32" s="9">
        <f t="shared" si="1"/>
        <v>174.58710874017001</v>
      </c>
      <c r="J32" s="9">
        <f t="shared" si="2"/>
        <v>700.64387239176995</v>
      </c>
      <c r="K32" s="9">
        <f t="shared" si="3"/>
        <v>174.58710874017001</v>
      </c>
      <c r="L32" s="10">
        <f t="shared" si="0"/>
        <v>0.24918095429021092</v>
      </c>
      <c r="M32" s="10">
        <f t="shared" si="4"/>
        <v>0.25097391140522701</v>
      </c>
      <c r="P32" s="8">
        <f t="shared" si="5"/>
        <v>-10.970085684636784</v>
      </c>
    </row>
    <row r="33" spans="1:16" x14ac:dyDescent="0.2">
      <c r="A33" s="8">
        <v>15.5</v>
      </c>
      <c r="B33" s="8">
        <v>31</v>
      </c>
      <c r="D33">
        <v>830.04160887655996</v>
      </c>
      <c r="E33">
        <v>292.34812760056002</v>
      </c>
      <c r="F33">
        <v>141.11149584488001</v>
      </c>
      <c r="G33">
        <v>119.52977839335</v>
      </c>
      <c r="I33" s="9">
        <f t="shared" si="1"/>
        <v>172.81834920721002</v>
      </c>
      <c r="J33" s="9">
        <f t="shared" si="2"/>
        <v>688.93011303167998</v>
      </c>
      <c r="K33" s="9">
        <f t="shared" si="3"/>
        <v>172.81834920721002</v>
      </c>
      <c r="L33" s="10">
        <f t="shared" si="0"/>
        <v>0.25085033436368759</v>
      </c>
      <c r="M33" s="10">
        <f t="shared" si="4"/>
        <v>0.25270305671587084</v>
      </c>
      <c r="P33" s="8">
        <f t="shared" si="5"/>
        <v>-10.356692611295113</v>
      </c>
    </row>
    <row r="34" spans="1:16" x14ac:dyDescent="0.2">
      <c r="A34" s="8">
        <v>16</v>
      </c>
      <c r="B34" s="8">
        <v>32</v>
      </c>
      <c r="D34">
        <v>844.71428571428999</v>
      </c>
      <c r="E34">
        <v>295.45839112343998</v>
      </c>
      <c r="F34">
        <v>141.05332409971999</v>
      </c>
      <c r="G34">
        <v>120.00069252078001</v>
      </c>
      <c r="I34" s="9">
        <f t="shared" si="1"/>
        <v>175.45769860265997</v>
      </c>
      <c r="J34" s="9">
        <f t="shared" si="2"/>
        <v>703.66096161456994</v>
      </c>
      <c r="K34" s="9">
        <f t="shared" si="3"/>
        <v>175.45769860265997</v>
      </c>
      <c r="L34" s="10">
        <f t="shared" si="0"/>
        <v>0.24934976952546484</v>
      </c>
      <c r="M34" s="10">
        <f t="shared" si="4"/>
        <v>0.25126225711481531</v>
      </c>
      <c r="P34" s="8">
        <f t="shared" si="5"/>
        <v>-10.867798583662374</v>
      </c>
    </row>
    <row r="35" spans="1:16" x14ac:dyDescent="0.2">
      <c r="A35" s="8">
        <v>16.5</v>
      </c>
      <c r="B35" s="8">
        <v>33</v>
      </c>
      <c r="D35">
        <v>823.19140083217997</v>
      </c>
      <c r="E35">
        <v>291.89320388350001</v>
      </c>
      <c r="F35">
        <v>141.57894736841999</v>
      </c>
      <c r="G35">
        <v>120.09349030471</v>
      </c>
      <c r="I35" s="9">
        <f t="shared" si="1"/>
        <v>171.79971357879</v>
      </c>
      <c r="J35" s="9">
        <f t="shared" si="2"/>
        <v>681.61245346375995</v>
      </c>
      <c r="K35" s="9">
        <f t="shared" si="3"/>
        <v>171.79971357879</v>
      </c>
      <c r="L35" s="10">
        <f t="shared" si="0"/>
        <v>0.25204896522320402</v>
      </c>
      <c r="M35" s="10">
        <f t="shared" si="4"/>
        <v>0.25402121804972172</v>
      </c>
      <c r="P35" s="8">
        <f t="shared" si="5"/>
        <v>-9.889091058809111</v>
      </c>
    </row>
    <row r="36" spans="1:16" x14ac:dyDescent="0.2">
      <c r="A36" s="8">
        <v>17</v>
      </c>
      <c r="B36" s="8">
        <v>34</v>
      </c>
      <c r="D36">
        <v>816.65325936199997</v>
      </c>
      <c r="E36">
        <v>291.21289875172999</v>
      </c>
      <c r="F36">
        <v>141.56301939058</v>
      </c>
      <c r="G36">
        <v>119.84349030471</v>
      </c>
      <c r="I36" s="9">
        <f t="shared" si="1"/>
        <v>171.36940844701999</v>
      </c>
      <c r="J36" s="9">
        <f t="shared" si="2"/>
        <v>675.09023997142003</v>
      </c>
      <c r="K36" s="9">
        <f t="shared" si="3"/>
        <v>171.36940844701999</v>
      </c>
      <c r="L36" s="10">
        <f t="shared" si="0"/>
        <v>0.25384666863836591</v>
      </c>
      <c r="M36" s="10">
        <f t="shared" si="4"/>
        <v>0.25587868670205077</v>
      </c>
      <c r="P36" s="8">
        <f t="shared" si="5"/>
        <v>-9.230176855199641</v>
      </c>
    </row>
    <row r="37" spans="1:16" x14ac:dyDescent="0.2">
      <c r="A37" s="8">
        <v>17.5</v>
      </c>
      <c r="B37" s="8">
        <v>35</v>
      </c>
      <c r="D37">
        <v>840.67267683773002</v>
      </c>
      <c r="E37">
        <v>297.53606102635001</v>
      </c>
      <c r="F37">
        <v>141.34072022161001</v>
      </c>
      <c r="G37">
        <v>119.77770083103</v>
      </c>
      <c r="I37" s="9">
        <f t="shared" si="1"/>
        <v>177.75836019531999</v>
      </c>
      <c r="J37" s="9">
        <f t="shared" si="2"/>
        <v>699.33195661612001</v>
      </c>
      <c r="K37" s="9">
        <f t="shared" si="3"/>
        <v>177.75836019531999</v>
      </c>
      <c r="L37" s="10">
        <f t="shared" si="0"/>
        <v>0.25418309361328928</v>
      </c>
      <c r="M37" s="10">
        <f t="shared" si="4"/>
        <v>0.25627487691414136</v>
      </c>
      <c r="P37" s="8">
        <f t="shared" si="5"/>
        <v>-9.0896332407756777</v>
      </c>
    </row>
    <row r="38" spans="1:16" x14ac:dyDescent="0.2">
      <c r="A38" s="8">
        <v>18</v>
      </c>
      <c r="B38" s="8">
        <v>36</v>
      </c>
      <c r="D38">
        <v>847.06102635229001</v>
      </c>
      <c r="E38">
        <v>298.75728155339999</v>
      </c>
      <c r="F38">
        <v>141.89612188365999</v>
      </c>
      <c r="G38">
        <v>119.59972299169</v>
      </c>
      <c r="I38" s="9">
        <f t="shared" si="1"/>
        <v>179.15755856171</v>
      </c>
      <c r="J38" s="9">
        <f t="shared" si="2"/>
        <v>705.16490446863008</v>
      </c>
      <c r="K38" s="9">
        <f t="shared" si="3"/>
        <v>179.15755856171</v>
      </c>
      <c r="L38" s="10">
        <f t="shared" si="0"/>
        <v>0.25406476900139036</v>
      </c>
      <c r="M38" s="10">
        <f t="shared" si="4"/>
        <v>0.25621631753940965</v>
      </c>
      <c r="P38" s="8">
        <f t="shared" si="5"/>
        <v>-9.1104064601335519</v>
      </c>
    </row>
    <row r="39" spans="1:16" x14ac:dyDescent="0.2">
      <c r="A39" s="8">
        <v>18.5</v>
      </c>
      <c r="B39" s="8">
        <v>37</v>
      </c>
      <c r="D39">
        <v>845.32454923717</v>
      </c>
      <c r="E39">
        <v>298.78294036060998</v>
      </c>
      <c r="F39">
        <v>141.19736842104999</v>
      </c>
      <c r="G39">
        <v>119.88088642659</v>
      </c>
      <c r="I39" s="9">
        <f t="shared" si="1"/>
        <v>178.90205393401999</v>
      </c>
      <c r="J39" s="9">
        <f t="shared" si="2"/>
        <v>704.12718081612002</v>
      </c>
      <c r="K39" s="9">
        <f t="shared" si="3"/>
        <v>178.90205393401999</v>
      </c>
      <c r="L39" s="10">
        <f t="shared" si="0"/>
        <v>0.25407633565098736</v>
      </c>
      <c r="M39" s="10">
        <f t="shared" si="4"/>
        <v>0.25628764942617382</v>
      </c>
      <c r="P39" s="8">
        <f t="shared" si="5"/>
        <v>-9.0851023489173333</v>
      </c>
    </row>
    <row r="40" spans="1:16" x14ac:dyDescent="0.2">
      <c r="A40" s="8">
        <v>19</v>
      </c>
      <c r="B40" s="8">
        <v>38</v>
      </c>
      <c r="D40">
        <v>837.86823855755995</v>
      </c>
      <c r="E40">
        <v>299.03675450763001</v>
      </c>
      <c r="F40">
        <v>141.76869806094001</v>
      </c>
      <c r="G40">
        <v>119.87880886427</v>
      </c>
      <c r="I40" s="9">
        <f t="shared" si="1"/>
        <v>179.15794564335999</v>
      </c>
      <c r="J40" s="9">
        <f t="shared" si="2"/>
        <v>696.09954049661997</v>
      </c>
      <c r="K40" s="9">
        <f t="shared" si="3"/>
        <v>179.15794564335999</v>
      </c>
      <c r="L40" s="10">
        <f t="shared" si="0"/>
        <v>0.25737403233385692</v>
      </c>
      <c r="M40" s="10">
        <f t="shared" si="4"/>
        <v>0.2596451113462106</v>
      </c>
      <c r="P40" s="8">
        <f t="shared" si="5"/>
        <v>-7.8940839463099959</v>
      </c>
    </row>
    <row r="41" spans="1:16" x14ac:dyDescent="0.2">
      <c r="A41" s="8">
        <v>19.5</v>
      </c>
      <c r="B41" s="8">
        <v>39</v>
      </c>
      <c r="D41">
        <v>839.12482662968</v>
      </c>
      <c r="E41">
        <v>299.39459084604999</v>
      </c>
      <c r="F41">
        <v>141.57479224376999</v>
      </c>
      <c r="G41">
        <v>119.89473684211001</v>
      </c>
      <c r="I41" s="9">
        <f t="shared" si="1"/>
        <v>179.49985400393999</v>
      </c>
      <c r="J41" s="9">
        <f t="shared" si="2"/>
        <v>697.55003438591007</v>
      </c>
      <c r="K41" s="9">
        <f t="shared" si="3"/>
        <v>179.49985400393999</v>
      </c>
      <c r="L41" s="10">
        <f t="shared" si="0"/>
        <v>0.25732900172811707</v>
      </c>
      <c r="M41" s="10">
        <f t="shared" si="4"/>
        <v>0.25965984597763797</v>
      </c>
      <c r="P41" s="8">
        <f t="shared" si="5"/>
        <v>-7.8888570166817233</v>
      </c>
    </row>
    <row r="42" spans="1:16" x14ac:dyDescent="0.2">
      <c r="A42" s="8">
        <v>20</v>
      </c>
      <c r="B42" s="8">
        <v>40</v>
      </c>
      <c r="D42">
        <v>840.10818307906004</v>
      </c>
      <c r="E42">
        <v>299.22607489597999</v>
      </c>
      <c r="F42">
        <v>141.62119113572999</v>
      </c>
      <c r="G42">
        <v>119.81440443213</v>
      </c>
      <c r="I42" s="9">
        <f t="shared" si="1"/>
        <v>179.41167046384999</v>
      </c>
      <c r="J42" s="9">
        <f t="shared" si="2"/>
        <v>698.48699194333005</v>
      </c>
      <c r="K42" s="9">
        <f t="shared" si="3"/>
        <v>179.41167046384999</v>
      </c>
      <c r="L42" s="10">
        <f t="shared" si="0"/>
        <v>0.2568575686208428</v>
      </c>
      <c r="M42" s="10">
        <f t="shared" si="4"/>
        <v>0.25924817810753087</v>
      </c>
      <c r="P42" s="8">
        <f t="shared" si="5"/>
        <v>-8.0348911402956578</v>
      </c>
    </row>
    <row r="43" spans="1:16" x14ac:dyDescent="0.2">
      <c r="A43" s="8">
        <v>20.5</v>
      </c>
      <c r="B43" s="8">
        <v>41</v>
      </c>
      <c r="D43">
        <v>840.85298196948997</v>
      </c>
      <c r="E43">
        <v>299.63245492371999</v>
      </c>
      <c r="F43">
        <v>141.66759002769999</v>
      </c>
      <c r="G43">
        <v>120.45775623269</v>
      </c>
      <c r="I43" s="9">
        <f t="shared" si="1"/>
        <v>179.17469869102999</v>
      </c>
      <c r="J43" s="9">
        <f t="shared" si="2"/>
        <v>699.18539194178993</v>
      </c>
      <c r="K43" s="9">
        <f t="shared" si="3"/>
        <v>179.17469869102999</v>
      </c>
      <c r="L43" s="10">
        <f t="shared" si="0"/>
        <v>0.25626207405938911</v>
      </c>
      <c r="M43" s="10">
        <f t="shared" si="4"/>
        <v>0.2587124487832444</v>
      </c>
      <c r="P43" s="8">
        <f t="shared" si="5"/>
        <v>-8.2249345419002218</v>
      </c>
    </row>
    <row r="44" spans="1:16" x14ac:dyDescent="0.2">
      <c r="A44" s="8">
        <v>21</v>
      </c>
      <c r="B44" s="8">
        <v>42</v>
      </c>
      <c r="D44">
        <v>836.38418862691003</v>
      </c>
      <c r="E44">
        <v>300.18515950069002</v>
      </c>
      <c r="F44">
        <v>141.70637119113999</v>
      </c>
      <c r="G44">
        <v>120.39681440443</v>
      </c>
      <c r="I44" s="9">
        <f t="shared" si="1"/>
        <v>179.78834509626</v>
      </c>
      <c r="J44" s="9">
        <f t="shared" si="2"/>
        <v>694.67781743577007</v>
      </c>
      <c r="K44" s="9">
        <f t="shared" si="3"/>
        <v>179.78834509626</v>
      </c>
      <c r="L44" s="10">
        <f t="shared" si="0"/>
        <v>0.25880824258921042</v>
      </c>
      <c r="M44" s="10">
        <f t="shared" si="4"/>
        <v>0.26131838255023293</v>
      </c>
      <c r="P44" s="8">
        <f t="shared" si="5"/>
        <v>-7.3005115264263161</v>
      </c>
    </row>
    <row r="45" spans="1:16" x14ac:dyDescent="0.2">
      <c r="A45" s="8">
        <v>21.5</v>
      </c>
      <c r="B45" s="8">
        <v>43</v>
      </c>
      <c r="D45">
        <v>813.86962552011005</v>
      </c>
      <c r="E45">
        <v>297.13245492371999</v>
      </c>
      <c r="F45">
        <v>141.57894736841999</v>
      </c>
      <c r="G45">
        <v>120.11911357341</v>
      </c>
      <c r="I45" s="9">
        <f t="shared" si="1"/>
        <v>177.01334135030999</v>
      </c>
      <c r="J45" s="9">
        <f t="shared" si="2"/>
        <v>672.29067815169003</v>
      </c>
      <c r="K45" s="9">
        <f t="shared" si="3"/>
        <v>177.01334135030999</v>
      </c>
      <c r="L45" s="10">
        <f t="shared" si="0"/>
        <v>0.26329881865529925</v>
      </c>
      <c r="M45" s="10">
        <f t="shared" si="4"/>
        <v>0.26586872385348898</v>
      </c>
      <c r="P45" s="8">
        <f t="shared" si="5"/>
        <v>-5.6863338054581973</v>
      </c>
    </row>
    <row r="46" spans="1:16" x14ac:dyDescent="0.2">
      <c r="A46" s="8">
        <v>22</v>
      </c>
      <c r="B46" s="8">
        <v>44</v>
      </c>
      <c r="D46">
        <v>851.13592233010002</v>
      </c>
      <c r="E46">
        <v>305.57004160887999</v>
      </c>
      <c r="F46">
        <v>141.86149584488001</v>
      </c>
      <c r="G46">
        <v>119.99376731302</v>
      </c>
      <c r="I46" s="9">
        <f t="shared" si="1"/>
        <v>185.57627429586</v>
      </c>
      <c r="J46" s="9">
        <f t="shared" si="2"/>
        <v>709.27442648522003</v>
      </c>
      <c r="K46" s="9">
        <f t="shared" si="3"/>
        <v>185.57627429586</v>
      </c>
      <c r="L46" s="10">
        <f t="shared" si="0"/>
        <v>0.2616424156380141</v>
      </c>
      <c r="M46" s="10">
        <f t="shared" si="4"/>
        <v>0.26427208607337099</v>
      </c>
      <c r="P46" s="8">
        <f t="shared" si="5"/>
        <v>-6.2527214589026228</v>
      </c>
    </row>
    <row r="47" spans="1:16" x14ac:dyDescent="0.2">
      <c r="A47" s="8">
        <v>22.5</v>
      </c>
      <c r="B47" s="8">
        <v>45</v>
      </c>
      <c r="D47">
        <v>859.88280166436004</v>
      </c>
      <c r="E47">
        <v>308.00970873786002</v>
      </c>
      <c r="F47">
        <v>141.82894736841999</v>
      </c>
      <c r="G47">
        <v>120.06024930748001</v>
      </c>
      <c r="I47" s="9">
        <f t="shared" si="1"/>
        <v>187.94945943038002</v>
      </c>
      <c r="J47" s="9">
        <f t="shared" si="2"/>
        <v>718.05385429594003</v>
      </c>
      <c r="K47" s="9">
        <f t="shared" si="3"/>
        <v>187.94945943038002</v>
      </c>
      <c r="L47" s="10">
        <f t="shared" si="0"/>
        <v>0.2617484166485905</v>
      </c>
      <c r="M47" s="10">
        <f t="shared" si="4"/>
        <v>0.26443785232111461</v>
      </c>
      <c r="P47" s="8">
        <f t="shared" si="5"/>
        <v>-6.1939179173298715</v>
      </c>
    </row>
    <row r="48" spans="1:16" x14ac:dyDescent="0.2">
      <c r="A48" s="8">
        <v>23</v>
      </c>
      <c r="B48" s="8">
        <v>46</v>
      </c>
      <c r="D48">
        <v>844.39875173370001</v>
      </c>
      <c r="E48">
        <v>305.05547850208001</v>
      </c>
      <c r="F48">
        <v>142.11288088642999</v>
      </c>
      <c r="G48">
        <v>119.77770083103</v>
      </c>
      <c r="I48" s="9">
        <f t="shared" si="1"/>
        <v>185.27777767104999</v>
      </c>
      <c r="J48" s="9">
        <f t="shared" si="2"/>
        <v>702.28587084726996</v>
      </c>
      <c r="K48" s="9">
        <f t="shared" si="3"/>
        <v>185.27777767104999</v>
      </c>
      <c r="L48" s="10">
        <f t="shared" si="0"/>
        <v>0.26382102411874292</v>
      </c>
      <c r="M48" s="10">
        <f t="shared" si="4"/>
        <v>0.26657022502843425</v>
      </c>
      <c r="P48" s="8">
        <f t="shared" si="5"/>
        <v>-5.437484874715496</v>
      </c>
    </row>
    <row r="49" spans="1:25" x14ac:dyDescent="0.2">
      <c r="A49" s="8">
        <v>23.5</v>
      </c>
      <c r="B49" s="8">
        <v>47</v>
      </c>
      <c r="D49">
        <v>834.34812760056002</v>
      </c>
      <c r="E49">
        <v>303.21914008322</v>
      </c>
      <c r="F49">
        <v>141.99653739612</v>
      </c>
      <c r="G49">
        <v>120.55747922438</v>
      </c>
      <c r="I49" s="9">
        <f t="shared" si="1"/>
        <v>182.66166085883998</v>
      </c>
      <c r="J49" s="9">
        <f t="shared" si="2"/>
        <v>692.35159020444007</v>
      </c>
      <c r="K49" s="9">
        <f t="shared" si="3"/>
        <v>182.66166085883998</v>
      </c>
      <c r="L49" s="10">
        <f t="shared" si="0"/>
        <v>0.26382789242226334</v>
      </c>
      <c r="M49" s="10">
        <f t="shared" si="4"/>
        <v>0.26663685856912184</v>
      </c>
      <c r="P49" s="8">
        <f t="shared" si="5"/>
        <v>-5.4138474440967945</v>
      </c>
    </row>
    <row r="50" spans="1:25" x14ac:dyDescent="0.2">
      <c r="A50" s="8">
        <v>24</v>
      </c>
      <c r="B50" s="8">
        <v>48</v>
      </c>
      <c r="D50">
        <v>816.70665742025005</v>
      </c>
      <c r="E50">
        <v>298.74757281553002</v>
      </c>
      <c r="F50">
        <v>142.23199445982999</v>
      </c>
      <c r="G50">
        <v>120.11288088643001</v>
      </c>
      <c r="I50" s="9">
        <f t="shared" si="1"/>
        <v>178.63469192910003</v>
      </c>
      <c r="J50" s="9">
        <f t="shared" si="2"/>
        <v>674.47466296042012</v>
      </c>
      <c r="K50" s="9">
        <f t="shared" si="3"/>
        <v>178.63469192910003</v>
      </c>
      <c r="L50" s="10">
        <f t="shared" si="0"/>
        <v>0.26485011482126314</v>
      </c>
      <c r="M50" s="10">
        <f t="shared" si="4"/>
        <v>0.26771884620528885</v>
      </c>
      <c r="P50" s="8">
        <f t="shared" si="5"/>
        <v>-5.0300256117841249</v>
      </c>
    </row>
    <row r="51" spans="1:25" x14ac:dyDescent="0.2">
      <c r="A51" s="8">
        <v>24.5</v>
      </c>
      <c r="B51" s="8">
        <v>49</v>
      </c>
      <c r="D51">
        <v>830.75104022190999</v>
      </c>
      <c r="E51">
        <v>302.74826629681002</v>
      </c>
      <c r="F51">
        <v>141.99099722992</v>
      </c>
      <c r="G51">
        <v>120.25207756233</v>
      </c>
      <c r="I51" s="9">
        <f t="shared" si="1"/>
        <v>182.49618873448003</v>
      </c>
      <c r="J51" s="9">
        <f t="shared" si="2"/>
        <v>688.76004299198996</v>
      </c>
      <c r="K51" s="9">
        <f t="shared" si="3"/>
        <v>182.49618873448003</v>
      </c>
      <c r="L51" s="10">
        <f t="shared" si="0"/>
        <v>0.26496337961434618</v>
      </c>
      <c r="M51" s="10">
        <f t="shared" si="4"/>
        <v>0.26789187623553912</v>
      </c>
      <c r="P51" s="8">
        <f t="shared" si="5"/>
        <v>-4.9686453325315423</v>
      </c>
    </row>
    <row r="52" spans="1:25" x14ac:dyDescent="0.2">
      <c r="A52" s="8">
        <v>25</v>
      </c>
      <c r="B52" s="8">
        <v>50</v>
      </c>
      <c r="D52">
        <v>826.95284327322997</v>
      </c>
      <c r="E52">
        <v>301.92857142857002</v>
      </c>
      <c r="F52">
        <v>141.79778393352001</v>
      </c>
      <c r="G52">
        <v>119.99861495845001</v>
      </c>
      <c r="I52" s="9">
        <f t="shared" si="1"/>
        <v>181.92995647012003</v>
      </c>
      <c r="J52" s="9">
        <f t="shared" si="2"/>
        <v>685.15505933970996</v>
      </c>
      <c r="K52" s="9">
        <f t="shared" si="3"/>
        <v>181.92995647012003</v>
      </c>
      <c r="L52" s="10">
        <f t="shared" si="0"/>
        <v>0.26553107065347742</v>
      </c>
      <c r="M52" s="10">
        <f t="shared" si="4"/>
        <v>0.26851933251183752</v>
      </c>
      <c r="P52" s="8">
        <f t="shared" si="5"/>
        <v>-4.7460629206676774</v>
      </c>
    </row>
    <row r="53" spans="1:25" x14ac:dyDescent="0.2">
      <c r="A53" s="8">
        <v>25.5</v>
      </c>
      <c r="B53" s="8">
        <v>51</v>
      </c>
      <c r="D53">
        <v>823.51941747573005</v>
      </c>
      <c r="E53">
        <v>300.23162274619</v>
      </c>
      <c r="F53">
        <v>142.21191135734</v>
      </c>
      <c r="G53">
        <v>120.47506925208</v>
      </c>
      <c r="I53" s="9">
        <f t="shared" si="1"/>
        <v>179.75655349410999</v>
      </c>
      <c r="J53" s="9">
        <f t="shared" si="2"/>
        <v>681.30750611839005</v>
      </c>
      <c r="K53" s="9">
        <f t="shared" si="3"/>
        <v>179.75655349410999</v>
      </c>
      <c r="L53" s="10">
        <f t="shared" si="0"/>
        <v>0.26384055933602746</v>
      </c>
      <c r="M53" s="10">
        <f t="shared" si="4"/>
        <v>0.26688858643155478</v>
      </c>
      <c r="P53" s="8">
        <f t="shared" si="5"/>
        <v>-5.3245500749092525</v>
      </c>
      <c r="S53" s="11"/>
      <c r="U53" s="12"/>
    </row>
    <row r="54" spans="1:25" x14ac:dyDescent="0.2">
      <c r="A54" s="8">
        <v>26</v>
      </c>
      <c r="B54" s="8">
        <v>52</v>
      </c>
      <c r="D54">
        <v>828.75242718446998</v>
      </c>
      <c r="E54">
        <v>303.56102635229001</v>
      </c>
      <c r="F54">
        <v>142.32202216067</v>
      </c>
      <c r="G54">
        <v>119.98614958448999</v>
      </c>
      <c r="I54" s="9">
        <f t="shared" si="1"/>
        <v>183.57487676780002</v>
      </c>
      <c r="J54" s="9">
        <f t="shared" si="2"/>
        <v>686.43040502379995</v>
      </c>
      <c r="K54" s="9">
        <f t="shared" si="3"/>
        <v>183.57487676780002</v>
      </c>
      <c r="L54" s="10">
        <f t="shared" si="0"/>
        <v>0.26743406968028333</v>
      </c>
      <c r="M54" s="10">
        <f t="shared" si="4"/>
        <v>0.27054186201297786</v>
      </c>
      <c r="P54" s="8">
        <f t="shared" si="5"/>
        <v>-4.0285954070977823</v>
      </c>
      <c r="S54" s="11"/>
    </row>
    <row r="55" spans="1:25" x14ac:dyDescent="0.2">
      <c r="A55" s="8">
        <v>26.5</v>
      </c>
      <c r="B55" s="8">
        <v>53</v>
      </c>
      <c r="D55">
        <v>827.90915395284003</v>
      </c>
      <c r="E55">
        <v>304.17267683773002</v>
      </c>
      <c r="F55">
        <v>142.80332409971999</v>
      </c>
      <c r="G55">
        <v>120.50207756233</v>
      </c>
      <c r="I55" s="9">
        <f t="shared" si="1"/>
        <v>183.67059927540004</v>
      </c>
      <c r="J55" s="9">
        <f t="shared" si="2"/>
        <v>685.10582985311999</v>
      </c>
      <c r="K55" s="9">
        <f t="shared" si="3"/>
        <v>183.67059927540004</v>
      </c>
      <c r="L55" s="10">
        <f t="shared" si="0"/>
        <v>0.26809084271663142</v>
      </c>
      <c r="M55" s="10">
        <f t="shared" si="4"/>
        <v>0.27125840028649312</v>
      </c>
      <c r="P55" s="8">
        <f t="shared" si="5"/>
        <v>-3.7744122502208133</v>
      </c>
      <c r="S55" s="11"/>
    </row>
    <row r="56" spans="1:25" x14ac:dyDescent="0.2">
      <c r="A56" s="8">
        <v>27</v>
      </c>
      <c r="B56" s="8">
        <v>54</v>
      </c>
      <c r="D56">
        <v>822.97018030513004</v>
      </c>
      <c r="E56">
        <v>303.08737864078</v>
      </c>
      <c r="F56">
        <v>141.8095567867</v>
      </c>
      <c r="G56">
        <v>120.52977839335</v>
      </c>
      <c r="I56" s="9">
        <f t="shared" si="1"/>
        <v>182.55760024743</v>
      </c>
      <c r="J56" s="9">
        <f t="shared" si="2"/>
        <v>681.16062351843004</v>
      </c>
      <c r="K56" s="9">
        <f t="shared" si="3"/>
        <v>182.55760024743</v>
      </c>
      <c r="L56" s="10">
        <f t="shared" si="0"/>
        <v>0.2680096205568327</v>
      </c>
      <c r="M56" s="10">
        <f t="shared" si="4"/>
        <v>0.27123694336386162</v>
      </c>
      <c r="P56" s="8">
        <f t="shared" si="5"/>
        <v>-3.7820238301362634</v>
      </c>
      <c r="S56" s="11"/>
    </row>
    <row r="57" spans="1:25" x14ac:dyDescent="0.2">
      <c r="A57" s="8">
        <v>27.5</v>
      </c>
      <c r="B57" s="8">
        <v>55</v>
      </c>
      <c r="D57">
        <v>813.35506241331996</v>
      </c>
      <c r="E57">
        <v>302.57836338419003</v>
      </c>
      <c r="F57">
        <v>141.85803324099999</v>
      </c>
      <c r="G57">
        <v>120.08102493075</v>
      </c>
      <c r="I57" s="9">
        <f t="shared" si="1"/>
        <v>182.49733845344002</v>
      </c>
      <c r="J57" s="9">
        <f t="shared" si="2"/>
        <v>671.49702917232003</v>
      </c>
      <c r="K57" s="9">
        <f t="shared" si="3"/>
        <v>182.49733845344002</v>
      </c>
      <c r="L57" s="10">
        <f t="shared" si="0"/>
        <v>0.27177683671718439</v>
      </c>
      <c r="M57" s="10">
        <f t="shared" si="4"/>
        <v>0.27506392476138053</v>
      </c>
      <c r="P57" s="8">
        <f t="shared" si="5"/>
        <v>-2.4244491563389059</v>
      </c>
      <c r="S57" s="11"/>
    </row>
    <row r="58" spans="1:25" x14ac:dyDescent="0.2">
      <c r="A58" s="8">
        <v>28</v>
      </c>
      <c r="B58" s="8">
        <v>56</v>
      </c>
      <c r="D58">
        <v>811.30582524271995</v>
      </c>
      <c r="E58">
        <v>302.40429958391002</v>
      </c>
      <c r="F58">
        <v>142.51800554017001</v>
      </c>
      <c r="G58">
        <v>120.36011080332</v>
      </c>
      <c r="I58" s="9">
        <f t="shared" si="1"/>
        <v>182.04418878059002</v>
      </c>
      <c r="J58" s="9">
        <f t="shared" si="2"/>
        <v>668.78781970255</v>
      </c>
      <c r="K58" s="9">
        <f t="shared" si="3"/>
        <v>182.04418878059002</v>
      </c>
      <c r="L58" s="10">
        <f t="shared" si="0"/>
        <v>0.27220021570003466</v>
      </c>
      <c r="M58" s="10">
        <f t="shared" si="4"/>
        <v>0.27554706898139797</v>
      </c>
      <c r="P58" s="8">
        <f t="shared" si="5"/>
        <v>-2.2530596749809653</v>
      </c>
      <c r="S58" s="11"/>
    </row>
    <row r="59" spans="1:25" x14ac:dyDescent="0.2">
      <c r="A59" s="8">
        <v>28.5</v>
      </c>
      <c r="B59" s="8">
        <v>57</v>
      </c>
      <c r="D59">
        <v>812.82524271845</v>
      </c>
      <c r="E59">
        <v>302.12552011096</v>
      </c>
      <c r="F59">
        <v>141.73684210526</v>
      </c>
      <c r="G59">
        <v>120.51731301939</v>
      </c>
      <c r="I59" s="9">
        <f t="shared" si="1"/>
        <v>181.60820709156999</v>
      </c>
      <c r="J59" s="9">
        <f t="shared" si="2"/>
        <v>671.08840061319006</v>
      </c>
      <c r="K59" s="9">
        <f t="shared" si="3"/>
        <v>181.60820709156999</v>
      </c>
      <c r="L59" s="10">
        <f t="shared" si="0"/>
        <v>0.27061741333277417</v>
      </c>
      <c r="M59" s="10">
        <f t="shared" si="4"/>
        <v>0.27402403185130469</v>
      </c>
      <c r="P59" s="8">
        <f t="shared" si="5"/>
        <v>-2.7933384012920257</v>
      </c>
      <c r="R59" s="1"/>
      <c r="S59" s="11"/>
    </row>
    <row r="60" spans="1:25" x14ac:dyDescent="0.2">
      <c r="A60" s="8">
        <v>29</v>
      </c>
      <c r="B60" s="8">
        <v>58</v>
      </c>
      <c r="D60">
        <v>834.98196948682005</v>
      </c>
      <c r="E60">
        <v>307.49375866852</v>
      </c>
      <c r="F60">
        <v>142.79709141274</v>
      </c>
      <c r="G60">
        <v>120.56371191136</v>
      </c>
      <c r="I60" s="9">
        <f t="shared" si="1"/>
        <v>186.93004675716</v>
      </c>
      <c r="J60" s="9">
        <f t="shared" si="2"/>
        <v>692.18487807408007</v>
      </c>
      <c r="K60" s="9">
        <f t="shared" si="3"/>
        <v>186.93004675716</v>
      </c>
      <c r="L60" s="10">
        <f t="shared" si="0"/>
        <v>0.2700579753739637</v>
      </c>
      <c r="M60" s="10">
        <f t="shared" si="4"/>
        <v>0.27352435912966144</v>
      </c>
      <c r="P60" s="8">
        <f t="shared" si="5"/>
        <v>-2.9705911657110149</v>
      </c>
      <c r="S60" s="11"/>
    </row>
    <row r="61" spans="1:25" x14ac:dyDescent="0.2">
      <c r="A61" s="8">
        <v>29.5</v>
      </c>
      <c r="B61" s="8">
        <v>59</v>
      </c>
      <c r="C61" s="2"/>
      <c r="D61">
        <v>832.36546463245998</v>
      </c>
      <c r="E61">
        <v>307.67267683773002</v>
      </c>
      <c r="F61">
        <v>142.01800554017001</v>
      </c>
      <c r="G61">
        <v>119.90096952909001</v>
      </c>
      <c r="I61" s="9">
        <f t="shared" si="1"/>
        <v>187.77170730864003</v>
      </c>
      <c r="J61" s="9">
        <f t="shared" si="2"/>
        <v>690.34745909228991</v>
      </c>
      <c r="K61" s="9">
        <f t="shared" si="3"/>
        <v>187.77170730864003</v>
      </c>
      <c r="L61" s="10">
        <f t="shared" si="0"/>
        <v>0.27199594180520847</v>
      </c>
      <c r="M61" s="10">
        <f t="shared" si="4"/>
        <v>0.27552209079807344</v>
      </c>
      <c r="P61" s="8">
        <f t="shared" si="5"/>
        <v>-2.2619203789030786</v>
      </c>
      <c r="S61" s="11"/>
    </row>
    <row r="62" spans="1:25" x14ac:dyDescent="0.2">
      <c r="A62" s="8">
        <v>30</v>
      </c>
      <c r="B62" s="8">
        <v>60</v>
      </c>
      <c r="D62">
        <v>817.21428571428999</v>
      </c>
      <c r="E62">
        <v>304.33841886268999</v>
      </c>
      <c r="F62">
        <v>142.23060941828001</v>
      </c>
      <c r="G62">
        <v>120.07340720222</v>
      </c>
      <c r="I62" s="9">
        <f t="shared" si="1"/>
        <v>184.26501166047001</v>
      </c>
      <c r="J62" s="9">
        <f t="shared" si="2"/>
        <v>674.98367629601</v>
      </c>
      <c r="K62" s="9">
        <f t="shared" si="3"/>
        <v>184.26501166047001</v>
      </c>
      <c r="L62" s="10">
        <f t="shared" si="0"/>
        <v>0.27299180429314812</v>
      </c>
      <c r="M62" s="10">
        <f t="shared" si="4"/>
        <v>0.27657771852318025</v>
      </c>
      <c r="P62" s="8">
        <f t="shared" si="5"/>
        <v>-1.8874494014657648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825.53606102635001</v>
      </c>
      <c r="E63">
        <v>307.55478502080001</v>
      </c>
      <c r="F63">
        <v>142.33171745152001</v>
      </c>
      <c r="G63">
        <v>120.24376731302</v>
      </c>
      <c r="I63" s="9">
        <f t="shared" si="1"/>
        <v>187.31101770778002</v>
      </c>
      <c r="J63" s="9">
        <f t="shared" si="2"/>
        <v>683.20434357482998</v>
      </c>
      <c r="K63" s="9">
        <f t="shared" si="3"/>
        <v>187.31101770778002</v>
      </c>
      <c r="L63" s="10">
        <f t="shared" si="0"/>
        <v>0.27416543742635652</v>
      </c>
      <c r="M63" s="10">
        <f t="shared" si="4"/>
        <v>0.27781111689355587</v>
      </c>
      <c r="P63" s="8">
        <f t="shared" si="5"/>
        <v>-1.4499164697900515</v>
      </c>
    </row>
    <row r="64" spans="1:25" x14ac:dyDescent="0.2">
      <c r="A64" s="8">
        <v>31</v>
      </c>
      <c r="B64" s="8">
        <v>62</v>
      </c>
      <c r="D64">
        <v>841.00416088765996</v>
      </c>
      <c r="E64">
        <v>312.38904299583999</v>
      </c>
      <c r="F64">
        <v>142.26592797783999</v>
      </c>
      <c r="G64">
        <v>120.21398891967</v>
      </c>
      <c r="I64" s="9">
        <f t="shared" si="1"/>
        <v>192.17505407617</v>
      </c>
      <c r="J64" s="9">
        <f t="shared" si="2"/>
        <v>698.73823290982</v>
      </c>
      <c r="K64" s="9">
        <f t="shared" si="3"/>
        <v>192.17505407617</v>
      </c>
      <c r="L64" s="10">
        <f t="shared" si="0"/>
        <v>0.27503154260770551</v>
      </c>
      <c r="M64" s="10">
        <f t="shared" si="4"/>
        <v>0.27873698731207208</v>
      </c>
      <c r="P64" s="8">
        <f t="shared" si="5"/>
        <v>-1.1214753040685075</v>
      </c>
      <c r="U64" s="8">
        <v>30.5</v>
      </c>
      <c r="V64" s="10">
        <f>L62</f>
        <v>0.27299180429314812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842.95214979195998</v>
      </c>
      <c r="E65">
        <v>312.83287101247998</v>
      </c>
      <c r="F65">
        <v>142.60249307479</v>
      </c>
      <c r="G65">
        <v>120.20290858726</v>
      </c>
      <c r="I65" s="9">
        <f t="shared" si="1"/>
        <v>192.62996242521999</v>
      </c>
      <c r="J65" s="9">
        <f t="shared" si="2"/>
        <v>700.34965671716998</v>
      </c>
      <c r="K65" s="9">
        <f t="shared" si="3"/>
        <v>192.62996242521999</v>
      </c>
      <c r="L65" s="10">
        <f t="shared" si="0"/>
        <v>0.27504827135656312</v>
      </c>
      <c r="M65" s="10">
        <f t="shared" si="4"/>
        <v>0.27881348129809685</v>
      </c>
      <c r="P65" s="8">
        <f t="shared" si="5"/>
        <v>-1.094340001505405</v>
      </c>
      <c r="U65" s="8">
        <v>31</v>
      </c>
      <c r="V65" s="10">
        <f t="shared" ref="V65:V83" si="6">L63</f>
        <v>0.27416543742635652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829.36130374480001</v>
      </c>
      <c r="E66">
        <v>309.93273231622999</v>
      </c>
      <c r="F66">
        <v>142.38365650969999</v>
      </c>
      <c r="G66">
        <v>119.75069252078001</v>
      </c>
      <c r="I66" s="9">
        <f t="shared" si="1"/>
        <v>190.18203979544998</v>
      </c>
      <c r="J66" s="9">
        <f t="shared" si="2"/>
        <v>686.97764723509999</v>
      </c>
      <c r="K66" s="9">
        <f t="shared" si="3"/>
        <v>190.18203979544998</v>
      </c>
      <c r="L66" s="10">
        <f t="shared" ref="L66:L129" si="7">K66/J66</f>
        <v>0.27683875969019001</v>
      </c>
      <c r="M66" s="10">
        <f t="shared" si="4"/>
        <v>0.28066373486889096</v>
      </c>
      <c r="P66" s="8">
        <f t="shared" si="5"/>
        <v>-0.43798525950387041</v>
      </c>
      <c r="U66" s="8">
        <v>31.5</v>
      </c>
      <c r="V66" s="10">
        <f t="shared" si="6"/>
        <v>0.27503154260770551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806.17753120665998</v>
      </c>
      <c r="E67">
        <v>305.22676837724998</v>
      </c>
      <c r="F67">
        <v>142.4203601108</v>
      </c>
      <c r="G67">
        <v>119.98822714681</v>
      </c>
      <c r="I67" s="9">
        <f t="shared" ref="I67:I130" si="8">E67-G67</f>
        <v>185.23854123043998</v>
      </c>
      <c r="J67" s="9">
        <f t="shared" ref="J67:J130" si="9">D67-F67</f>
        <v>663.75717109586003</v>
      </c>
      <c r="K67" s="9">
        <f t="shared" ref="K67:K130" si="10">I67*1</f>
        <v>185.23854123043998</v>
      </c>
      <c r="L67" s="10">
        <f t="shared" si="7"/>
        <v>0.27907576640507248</v>
      </c>
      <c r="M67" s="10">
        <f t="shared" ref="M67:M130" si="11">L67+ABS($N$2)*A67</f>
        <v>0.28296050682094065</v>
      </c>
      <c r="P67" s="8">
        <f t="shared" ref="P67:P130" si="12">(M67-$O$2)/$O$2*100</f>
        <v>0.3767663971444345</v>
      </c>
      <c r="U67" s="8">
        <v>32</v>
      </c>
      <c r="V67" s="10">
        <f t="shared" si="6"/>
        <v>0.27504827135656312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836.83841886268999</v>
      </c>
      <c r="E68">
        <v>311.40429958391002</v>
      </c>
      <c r="F68">
        <v>142.60249307479</v>
      </c>
      <c r="G68">
        <v>120.04293628809</v>
      </c>
      <c r="I68" s="9">
        <f t="shared" si="8"/>
        <v>191.36136329582001</v>
      </c>
      <c r="J68" s="9">
        <f t="shared" si="9"/>
        <v>694.23592578789999</v>
      </c>
      <c r="K68" s="9">
        <f t="shared" si="10"/>
        <v>191.36136329582001</v>
      </c>
      <c r="L68" s="10">
        <f t="shared" si="7"/>
        <v>0.27564312964449483</v>
      </c>
      <c r="M68" s="10">
        <f t="shared" si="11"/>
        <v>0.27958763529753017</v>
      </c>
      <c r="P68" s="8">
        <f t="shared" si="12"/>
        <v>-0.8197183731037202</v>
      </c>
      <c r="U68" s="8">
        <v>32.5</v>
      </c>
      <c r="V68" s="10">
        <f t="shared" si="6"/>
        <v>0.27683875969019001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833.42926490984996</v>
      </c>
      <c r="E69">
        <v>311.86269070735</v>
      </c>
      <c r="F69">
        <v>142.77631578947</v>
      </c>
      <c r="G69">
        <v>120.34626038781001</v>
      </c>
      <c r="I69" s="9">
        <f t="shared" si="8"/>
        <v>191.51643031954001</v>
      </c>
      <c r="J69" s="9">
        <f t="shared" si="9"/>
        <v>690.65294912037996</v>
      </c>
      <c r="K69" s="9">
        <f t="shared" si="10"/>
        <v>191.51643031954001</v>
      </c>
      <c r="L69" s="10">
        <f t="shared" si="7"/>
        <v>0.277297636335958</v>
      </c>
      <c r="M69" s="10">
        <f t="shared" si="11"/>
        <v>0.28130190722616055</v>
      </c>
      <c r="P69" s="8">
        <f t="shared" si="12"/>
        <v>-0.21160144945754017</v>
      </c>
      <c r="U69" s="8">
        <v>33</v>
      </c>
      <c r="V69" s="10">
        <f t="shared" si="6"/>
        <v>0.27907576640507248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797.23231622746005</v>
      </c>
      <c r="E70">
        <v>301.9625520111</v>
      </c>
      <c r="F70">
        <v>142.67174515235999</v>
      </c>
      <c r="G70">
        <v>119.98614958448999</v>
      </c>
      <c r="I70" s="9">
        <f t="shared" si="8"/>
        <v>181.97640242661001</v>
      </c>
      <c r="J70" s="9">
        <f t="shared" si="9"/>
        <v>654.56057107510003</v>
      </c>
      <c r="K70" s="9">
        <f t="shared" si="10"/>
        <v>181.97640242661001</v>
      </c>
      <c r="L70" s="10">
        <f t="shared" si="7"/>
        <v>0.27801308307910777</v>
      </c>
      <c r="M70" s="10">
        <f t="shared" si="11"/>
        <v>0.28207711920647754</v>
      </c>
      <c r="P70" s="8">
        <f t="shared" si="12"/>
        <v>6.3395484675699915E-2</v>
      </c>
      <c r="U70" s="8">
        <v>33.5</v>
      </c>
      <c r="V70" s="10">
        <f t="shared" si="6"/>
        <v>0.27564312964449483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813.88210818308005</v>
      </c>
      <c r="E71">
        <v>307.45492371706001</v>
      </c>
      <c r="F71">
        <v>142.57686980609</v>
      </c>
      <c r="G71">
        <v>119.88227146814</v>
      </c>
      <c r="I71" s="9">
        <f t="shared" si="8"/>
        <v>187.57265224892001</v>
      </c>
      <c r="J71" s="9">
        <f t="shared" si="9"/>
        <v>671.30523837699002</v>
      </c>
      <c r="K71" s="9">
        <f t="shared" si="10"/>
        <v>187.57265224892001</v>
      </c>
      <c r="L71" s="10">
        <f t="shared" si="7"/>
        <v>0.27941484964784885</v>
      </c>
      <c r="M71" s="10">
        <f t="shared" si="11"/>
        <v>0.28353865101238579</v>
      </c>
      <c r="P71" s="8">
        <f t="shared" si="12"/>
        <v>0.58185595222244391</v>
      </c>
      <c r="U71" s="8">
        <v>34</v>
      </c>
      <c r="V71" s="10">
        <f t="shared" si="6"/>
        <v>0.277297636335958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843.82871012482997</v>
      </c>
      <c r="E72">
        <v>314.50485436893001</v>
      </c>
      <c r="F72">
        <v>143.00969529086001</v>
      </c>
      <c r="G72">
        <v>120.31717451524</v>
      </c>
      <c r="I72" s="9">
        <f t="shared" si="8"/>
        <v>194.18767985369001</v>
      </c>
      <c r="J72" s="9">
        <f t="shared" si="9"/>
        <v>700.81901483396996</v>
      </c>
      <c r="K72" s="9">
        <f t="shared" si="10"/>
        <v>194.18767985369001</v>
      </c>
      <c r="L72" s="10">
        <f t="shared" si="7"/>
        <v>0.27708677382233238</v>
      </c>
      <c r="M72" s="10">
        <f t="shared" si="11"/>
        <v>0.28127034042403654</v>
      </c>
      <c r="P72" s="8">
        <f t="shared" si="12"/>
        <v>-0.2227993850221397</v>
      </c>
      <c r="U72" s="8">
        <v>34.5</v>
      </c>
      <c r="V72" s="10">
        <f t="shared" si="6"/>
        <v>0.27801308307910777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847.22330097087001</v>
      </c>
      <c r="E73">
        <v>316.90360610264003</v>
      </c>
      <c r="F73">
        <v>142.69182825485001</v>
      </c>
      <c r="G73">
        <v>120.47853185596</v>
      </c>
      <c r="I73" s="9">
        <f t="shared" si="8"/>
        <v>196.42507424668003</v>
      </c>
      <c r="J73" s="9">
        <f t="shared" si="9"/>
        <v>704.53147271602006</v>
      </c>
      <c r="K73" s="9">
        <f t="shared" si="10"/>
        <v>196.42507424668003</v>
      </c>
      <c r="L73" s="10">
        <f t="shared" si="7"/>
        <v>0.27880241245922921</v>
      </c>
      <c r="M73" s="10">
        <f t="shared" si="11"/>
        <v>0.28304574429810059</v>
      </c>
      <c r="P73" s="8">
        <f t="shared" si="12"/>
        <v>0.40700334585961079</v>
      </c>
      <c r="U73" s="8">
        <v>35</v>
      </c>
      <c r="V73" s="10">
        <f t="shared" si="6"/>
        <v>0.27941484964784885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845.08183079057005</v>
      </c>
      <c r="E74">
        <v>315.83287101247998</v>
      </c>
      <c r="F74">
        <v>142.3891966759</v>
      </c>
      <c r="G74">
        <v>120.34349030471</v>
      </c>
      <c r="I74" s="9">
        <f t="shared" si="8"/>
        <v>195.48938070776998</v>
      </c>
      <c r="J74" s="9">
        <f t="shared" si="9"/>
        <v>702.69263411467</v>
      </c>
      <c r="K74" s="9">
        <f t="shared" si="10"/>
        <v>195.48938070776998</v>
      </c>
      <c r="L74" s="10">
        <f t="shared" si="7"/>
        <v>0.27820041255173983</v>
      </c>
      <c r="M74" s="10">
        <f t="shared" si="11"/>
        <v>0.28250350962777837</v>
      </c>
      <c r="P74" s="8">
        <f t="shared" si="12"/>
        <v>0.21465225260330678</v>
      </c>
      <c r="U74" s="8">
        <v>35.5</v>
      </c>
      <c r="V74" s="10">
        <f t="shared" si="6"/>
        <v>0.27708677382233238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833.49861303745001</v>
      </c>
      <c r="E75">
        <v>313.12066574202998</v>
      </c>
      <c r="F75">
        <v>142.69459833795</v>
      </c>
      <c r="G75">
        <v>120.11288088643001</v>
      </c>
      <c r="I75" s="9">
        <f t="shared" si="8"/>
        <v>193.00778485559999</v>
      </c>
      <c r="J75" s="9">
        <f t="shared" si="9"/>
        <v>690.80401469950004</v>
      </c>
      <c r="K75" s="9">
        <f t="shared" si="10"/>
        <v>193.00778485559999</v>
      </c>
      <c r="L75" s="10">
        <f t="shared" si="7"/>
        <v>0.27939586445449138</v>
      </c>
      <c r="M75" s="10">
        <f t="shared" si="11"/>
        <v>0.28375872676769714</v>
      </c>
      <c r="P75" s="8">
        <f t="shared" si="12"/>
        <v>0.65992512494463595</v>
      </c>
      <c r="U75" s="8">
        <v>36</v>
      </c>
      <c r="V75" s="10">
        <f t="shared" si="6"/>
        <v>0.27880241245922921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833.99722607490003</v>
      </c>
      <c r="E76">
        <v>313.46948682386</v>
      </c>
      <c r="F76">
        <v>141.93559556787</v>
      </c>
      <c r="G76">
        <v>120.36772853186</v>
      </c>
      <c r="I76" s="9">
        <f t="shared" si="8"/>
        <v>193.101758292</v>
      </c>
      <c r="J76" s="9">
        <f t="shared" si="9"/>
        <v>692.06163050703003</v>
      </c>
      <c r="K76" s="9">
        <f t="shared" si="10"/>
        <v>193.101758292</v>
      </c>
      <c r="L76" s="10">
        <f t="shared" si="7"/>
        <v>0.27902393338946774</v>
      </c>
      <c r="M76" s="10">
        <f t="shared" si="11"/>
        <v>0.28344656093984072</v>
      </c>
      <c r="P76" s="8">
        <f t="shared" si="12"/>
        <v>0.54918812941138972</v>
      </c>
      <c r="U76" s="8">
        <v>36.5</v>
      </c>
      <c r="V76" s="10">
        <f t="shared" si="6"/>
        <v>0.27820041255173983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839.24757281553002</v>
      </c>
      <c r="E77">
        <v>315.32454923717</v>
      </c>
      <c r="F77">
        <v>141.98476454294001</v>
      </c>
      <c r="G77">
        <v>120.30540166205</v>
      </c>
      <c r="I77" s="9">
        <f t="shared" si="8"/>
        <v>195.01914757512</v>
      </c>
      <c r="J77" s="9">
        <f t="shared" si="9"/>
        <v>697.26280827259006</v>
      </c>
      <c r="K77" s="9">
        <f t="shared" si="10"/>
        <v>195.01914757512</v>
      </c>
      <c r="L77" s="10">
        <f t="shared" si="7"/>
        <v>0.27969245636127293</v>
      </c>
      <c r="M77" s="10">
        <f t="shared" si="11"/>
        <v>0.28417484914881314</v>
      </c>
      <c r="P77" s="8">
        <f t="shared" si="12"/>
        <v>0.80753943165894726</v>
      </c>
      <c r="U77" s="8">
        <v>37</v>
      </c>
      <c r="V77" s="10">
        <f t="shared" si="6"/>
        <v>0.27939586445449138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845.20873786408004</v>
      </c>
      <c r="E78">
        <v>315.58668515950001</v>
      </c>
      <c r="F78">
        <v>142.39335180054999</v>
      </c>
      <c r="G78">
        <v>119.99792243767</v>
      </c>
      <c r="I78" s="9">
        <f t="shared" si="8"/>
        <v>195.58876272182999</v>
      </c>
      <c r="J78" s="9">
        <f t="shared" si="9"/>
        <v>702.81538606353001</v>
      </c>
      <c r="K78" s="9">
        <f t="shared" si="10"/>
        <v>195.58876272182999</v>
      </c>
      <c r="L78" s="10">
        <f t="shared" si="7"/>
        <v>0.27829322835022569</v>
      </c>
      <c r="M78" s="10">
        <f t="shared" si="11"/>
        <v>0.28283538637493305</v>
      </c>
      <c r="P78" s="8">
        <f t="shared" si="12"/>
        <v>0.3323814548020787</v>
      </c>
      <c r="U78" s="8">
        <v>37.5</v>
      </c>
      <c r="V78" s="10">
        <f t="shared" si="6"/>
        <v>0.27902393338946774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836.95561719833995</v>
      </c>
      <c r="E79">
        <v>315.59431345354</v>
      </c>
      <c r="F79">
        <v>142.78808864266</v>
      </c>
      <c r="G79">
        <v>120.07617728532</v>
      </c>
      <c r="I79" s="9">
        <f t="shared" si="8"/>
        <v>195.51813616822</v>
      </c>
      <c r="J79" s="9">
        <f t="shared" si="9"/>
        <v>694.16752855567995</v>
      </c>
      <c r="K79" s="9">
        <f t="shared" si="10"/>
        <v>195.51813616822</v>
      </c>
      <c r="L79" s="10">
        <f t="shared" si="7"/>
        <v>0.28165842988222872</v>
      </c>
      <c r="M79" s="10">
        <f t="shared" si="11"/>
        <v>0.28626035314410331</v>
      </c>
      <c r="P79" s="8">
        <f t="shared" si="12"/>
        <v>1.5473463740038109</v>
      </c>
      <c r="U79" s="8">
        <v>38</v>
      </c>
      <c r="V79" s="10">
        <f t="shared" si="6"/>
        <v>0.27969245636127293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834.72468793343</v>
      </c>
      <c r="E80">
        <v>313.60748959777999</v>
      </c>
      <c r="F80">
        <v>142.64819944598</v>
      </c>
      <c r="G80">
        <v>120.06232686980999</v>
      </c>
      <c r="I80" s="9">
        <f t="shared" si="8"/>
        <v>193.54516272796999</v>
      </c>
      <c r="J80" s="9">
        <f t="shared" si="9"/>
        <v>692.07648848744998</v>
      </c>
      <c r="K80" s="9">
        <f t="shared" si="10"/>
        <v>193.54516272796999</v>
      </c>
      <c r="L80" s="10">
        <f t="shared" si="7"/>
        <v>0.27965863014790121</v>
      </c>
      <c r="M80" s="10">
        <f t="shared" si="11"/>
        <v>0.28432031864694302</v>
      </c>
      <c r="P80" s="8">
        <f t="shared" si="12"/>
        <v>0.85914295045294242</v>
      </c>
      <c r="U80" s="8">
        <v>38.5</v>
      </c>
      <c r="V80" s="10">
        <f t="shared" si="6"/>
        <v>0.27829322835022569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833.55409153952996</v>
      </c>
      <c r="E81">
        <v>313.85506241332001</v>
      </c>
      <c r="F81">
        <v>142.13157894737</v>
      </c>
      <c r="G81">
        <v>120.5595567867</v>
      </c>
      <c r="I81" s="9">
        <f t="shared" si="8"/>
        <v>193.29550562662001</v>
      </c>
      <c r="J81" s="9">
        <f t="shared" si="9"/>
        <v>691.42251259215993</v>
      </c>
      <c r="K81" s="9">
        <f t="shared" si="10"/>
        <v>193.29550562662001</v>
      </c>
      <c r="L81" s="10">
        <f t="shared" si="7"/>
        <v>0.27956206531654637</v>
      </c>
      <c r="M81" s="10">
        <f t="shared" si="11"/>
        <v>0.28428351905275534</v>
      </c>
      <c r="P81" s="8">
        <f t="shared" si="12"/>
        <v>0.84608874613734342</v>
      </c>
      <c r="U81" s="8">
        <v>39</v>
      </c>
      <c r="V81" s="10">
        <f t="shared" si="6"/>
        <v>0.28165842988222872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821.99237170595995</v>
      </c>
      <c r="E82">
        <v>311.99861303745001</v>
      </c>
      <c r="F82">
        <v>142.03670360110999</v>
      </c>
      <c r="G82">
        <v>120.12534626039</v>
      </c>
      <c r="H82" s="13"/>
      <c r="I82" s="14">
        <f t="shared" si="8"/>
        <v>191.87326677706</v>
      </c>
      <c r="J82" s="14">
        <f t="shared" si="9"/>
        <v>679.95566810485002</v>
      </c>
      <c r="K82" s="9">
        <f t="shared" si="10"/>
        <v>191.87326677706</v>
      </c>
      <c r="L82" s="15">
        <f t="shared" si="7"/>
        <v>0.28218496554612571</v>
      </c>
      <c r="M82" s="15">
        <f t="shared" si="11"/>
        <v>0.2869661845195019</v>
      </c>
      <c r="N82" s="13"/>
      <c r="O82" s="13"/>
      <c r="P82" s="13">
        <f t="shared" si="12"/>
        <v>1.7977313902032388</v>
      </c>
      <c r="U82" s="8">
        <v>39.5</v>
      </c>
      <c r="V82" s="10">
        <f t="shared" si="6"/>
        <v>0.27965863014790121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841.57212205271003</v>
      </c>
      <c r="E83">
        <v>317.33425797503998</v>
      </c>
      <c r="F83">
        <v>142.28116343490001</v>
      </c>
      <c r="G83">
        <v>120.22922437673</v>
      </c>
      <c r="I83" s="9">
        <f t="shared" si="8"/>
        <v>197.10503359830997</v>
      </c>
      <c r="J83" s="9">
        <f t="shared" si="9"/>
        <v>699.29095861781002</v>
      </c>
      <c r="K83" s="9">
        <f t="shared" si="10"/>
        <v>197.10503359830997</v>
      </c>
      <c r="L83" s="10">
        <f t="shared" si="7"/>
        <v>0.28186412418072693</v>
      </c>
      <c r="M83" s="10">
        <f t="shared" si="11"/>
        <v>0.28670510839127034</v>
      </c>
      <c r="P83" s="8">
        <f t="shared" si="12"/>
        <v>1.7051178384754921</v>
      </c>
      <c r="U83" s="8">
        <v>40</v>
      </c>
      <c r="V83" s="10">
        <f t="shared" si="6"/>
        <v>0.27956206531654637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846.22468793343</v>
      </c>
      <c r="E84">
        <v>331.31553398058003</v>
      </c>
      <c r="F84">
        <v>142.74307479224001</v>
      </c>
      <c r="G84">
        <v>120.35595567867</v>
      </c>
      <c r="I84" s="9">
        <f t="shared" si="8"/>
        <v>210.95957830191003</v>
      </c>
      <c r="J84" s="9">
        <f t="shared" si="9"/>
        <v>703.48161314119</v>
      </c>
      <c r="K84" s="9">
        <f t="shared" si="10"/>
        <v>210.95957830191003</v>
      </c>
      <c r="L84" s="10">
        <f t="shared" si="7"/>
        <v>0.29987930652505917</v>
      </c>
      <c r="M84" s="10">
        <f t="shared" si="11"/>
        <v>0.30478005597276975</v>
      </c>
      <c r="P84" s="8">
        <f t="shared" si="12"/>
        <v>8.1169836193666107</v>
      </c>
      <c r="U84" s="8">
        <v>150.5</v>
      </c>
      <c r="V84" s="10">
        <f>L302</f>
        <v>0.29382708741810848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873.35020804438</v>
      </c>
      <c r="E85">
        <v>465.68515950069002</v>
      </c>
      <c r="F85">
        <v>142.71814404432001</v>
      </c>
      <c r="G85">
        <v>120.5027700831</v>
      </c>
      <c r="I85" s="9">
        <f t="shared" si="8"/>
        <v>345.18238941759</v>
      </c>
      <c r="J85" s="9">
        <f t="shared" si="9"/>
        <v>730.63206400005993</v>
      </c>
      <c r="K85" s="9">
        <f t="shared" si="10"/>
        <v>345.18238941759</v>
      </c>
      <c r="L85" s="10">
        <f t="shared" si="7"/>
        <v>0.47244352722187904</v>
      </c>
      <c r="M85" s="10">
        <f t="shared" si="11"/>
        <v>0.47740404190675684</v>
      </c>
      <c r="P85" s="8">
        <f t="shared" si="12"/>
        <v>69.353223635026069</v>
      </c>
      <c r="U85" s="8">
        <v>151</v>
      </c>
      <c r="V85" s="10">
        <f t="shared" ref="V85:V103" si="13">L303</f>
        <v>0.29271011420294507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898.62413314841001</v>
      </c>
      <c r="E86">
        <v>560.39875173370001</v>
      </c>
      <c r="F86">
        <v>142.35041551246999</v>
      </c>
      <c r="G86">
        <v>119.96883656510001</v>
      </c>
      <c r="I86" s="9">
        <f t="shared" si="8"/>
        <v>440.42991516860002</v>
      </c>
      <c r="J86" s="9">
        <f t="shared" si="9"/>
        <v>756.27371763593999</v>
      </c>
      <c r="K86" s="9">
        <f t="shared" si="10"/>
        <v>440.42991516860002</v>
      </c>
      <c r="L86" s="10">
        <f t="shared" si="7"/>
        <v>0.58236840035292226</v>
      </c>
      <c r="M86" s="10">
        <f t="shared" si="11"/>
        <v>0.58738868027496727</v>
      </c>
      <c r="P86" s="8">
        <f t="shared" si="12"/>
        <v>108.36892401241617</v>
      </c>
      <c r="U86" s="8">
        <v>151.5</v>
      </c>
      <c r="V86" s="10">
        <f t="shared" si="13"/>
        <v>0.29226561411009494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927.13384188627003</v>
      </c>
      <c r="E87">
        <v>642.09500693481004</v>
      </c>
      <c r="F87">
        <v>142.43836565097001</v>
      </c>
      <c r="G87">
        <v>120.08102493075</v>
      </c>
      <c r="I87" s="9">
        <f t="shared" si="8"/>
        <v>522.01398200406004</v>
      </c>
      <c r="J87" s="9">
        <f t="shared" si="9"/>
        <v>784.69547623530002</v>
      </c>
      <c r="K87" s="9">
        <f t="shared" si="10"/>
        <v>522.01398200406004</v>
      </c>
      <c r="L87" s="10">
        <f t="shared" si="7"/>
        <v>0.6652440313642487</v>
      </c>
      <c r="M87" s="10">
        <f t="shared" si="11"/>
        <v>0.67032407652346093</v>
      </c>
      <c r="P87" s="8">
        <f t="shared" si="12"/>
        <v>137.78923778276732</v>
      </c>
      <c r="U87" s="8">
        <v>152</v>
      </c>
      <c r="V87" s="10">
        <f t="shared" si="13"/>
        <v>0.29166071231544105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949.82524271845</v>
      </c>
      <c r="E88">
        <v>692.60471567267996</v>
      </c>
      <c r="F88">
        <v>141.98753462604</v>
      </c>
      <c r="G88">
        <v>120.42174515236</v>
      </c>
      <c r="I88" s="9">
        <f t="shared" si="8"/>
        <v>572.18297052031994</v>
      </c>
      <c r="J88" s="9">
        <f t="shared" si="9"/>
        <v>807.83770809241003</v>
      </c>
      <c r="K88" s="9">
        <f t="shared" si="10"/>
        <v>572.18297052031994</v>
      </c>
      <c r="L88" s="10">
        <f t="shared" si="7"/>
        <v>0.70828950516737565</v>
      </c>
      <c r="M88" s="10">
        <f t="shared" si="11"/>
        <v>0.71342931556375511</v>
      </c>
      <c r="P88" s="8">
        <f t="shared" si="12"/>
        <v>153.08029220676394</v>
      </c>
      <c r="U88" s="8">
        <v>152.5</v>
      </c>
      <c r="V88" s="10">
        <f t="shared" si="13"/>
        <v>0.29002501511648793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939.59778085992002</v>
      </c>
      <c r="E89">
        <v>708.30582524271995</v>
      </c>
      <c r="F89">
        <v>142.90027700831001</v>
      </c>
      <c r="G89">
        <v>120.65997229916999</v>
      </c>
      <c r="I89" s="9">
        <f t="shared" si="8"/>
        <v>587.64585294354993</v>
      </c>
      <c r="J89" s="9">
        <f t="shared" si="9"/>
        <v>796.69750385161001</v>
      </c>
      <c r="K89" s="9">
        <f t="shared" si="10"/>
        <v>587.64585294354993</v>
      </c>
      <c r="L89" s="10">
        <f t="shared" si="7"/>
        <v>0.73760222682083698</v>
      </c>
      <c r="M89" s="10">
        <f t="shared" si="11"/>
        <v>0.74280180245438354</v>
      </c>
      <c r="P89" s="8">
        <f t="shared" si="12"/>
        <v>163.4998213779833</v>
      </c>
      <c r="U89" s="8">
        <v>153</v>
      </c>
      <c r="V89" s="10">
        <f t="shared" si="13"/>
        <v>0.29026313808384285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941.70873786408004</v>
      </c>
      <c r="E90">
        <v>715.58252427185005</v>
      </c>
      <c r="F90">
        <v>142.15927977838999</v>
      </c>
      <c r="G90">
        <v>120.01108033241</v>
      </c>
      <c r="I90" s="9">
        <f t="shared" si="8"/>
        <v>595.57144393944009</v>
      </c>
      <c r="J90" s="9">
        <f t="shared" si="9"/>
        <v>799.54945808569005</v>
      </c>
      <c r="K90" s="9">
        <f t="shared" si="10"/>
        <v>595.57144393944009</v>
      </c>
      <c r="L90" s="10">
        <f t="shared" si="7"/>
        <v>0.74488380664453024</v>
      </c>
      <c r="M90" s="10">
        <f t="shared" si="11"/>
        <v>0.75014314751524402</v>
      </c>
      <c r="P90" s="8">
        <f t="shared" si="12"/>
        <v>166.10407342182464</v>
      </c>
      <c r="U90" s="8">
        <v>153.5</v>
      </c>
      <c r="V90" s="10">
        <f t="shared" si="13"/>
        <v>0.29288731475051732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911.41123439667001</v>
      </c>
      <c r="E91">
        <v>700.52843273231997</v>
      </c>
      <c r="F91">
        <v>142.21191135734</v>
      </c>
      <c r="G91">
        <v>120.07202216067</v>
      </c>
      <c r="I91" s="9">
        <f t="shared" si="8"/>
        <v>580.45641057164994</v>
      </c>
      <c r="J91" s="9">
        <f t="shared" si="9"/>
        <v>769.19932303933001</v>
      </c>
      <c r="K91" s="9">
        <f t="shared" si="10"/>
        <v>580.45641057164994</v>
      </c>
      <c r="L91" s="10">
        <f t="shared" si="7"/>
        <v>0.75462418281661769</v>
      </c>
      <c r="M91" s="10">
        <f t="shared" si="11"/>
        <v>0.75994328892449869</v>
      </c>
      <c r="P91" s="8">
        <f t="shared" si="12"/>
        <v>169.58055328803522</v>
      </c>
      <c r="U91" s="8">
        <v>154</v>
      </c>
      <c r="V91" s="10">
        <f t="shared" si="13"/>
        <v>0.2896555016558871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912.07142857143003</v>
      </c>
      <c r="E92">
        <v>685.95423023577996</v>
      </c>
      <c r="F92">
        <v>141.99445983379999</v>
      </c>
      <c r="G92">
        <v>120.20498614957999</v>
      </c>
      <c r="I92" s="9">
        <f t="shared" si="8"/>
        <v>565.74924408619995</v>
      </c>
      <c r="J92" s="9">
        <f t="shared" si="9"/>
        <v>770.07696873763007</v>
      </c>
      <c r="K92" s="9">
        <f t="shared" si="10"/>
        <v>565.74924408619995</v>
      </c>
      <c r="L92" s="10">
        <f t="shared" si="7"/>
        <v>0.73466584127768431</v>
      </c>
      <c r="M92" s="10">
        <f t="shared" si="11"/>
        <v>0.74004471262273253</v>
      </c>
      <c r="P92" s="8">
        <f t="shared" si="12"/>
        <v>162.52177760404172</v>
      </c>
      <c r="U92" s="8">
        <v>154.5</v>
      </c>
      <c r="V92" s="10">
        <f t="shared" si="13"/>
        <v>0.29387168934334007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910.53120665741994</v>
      </c>
      <c r="E93">
        <v>669.77045769764004</v>
      </c>
      <c r="F93">
        <v>141.77423822714999</v>
      </c>
      <c r="G93">
        <v>120.11426592798</v>
      </c>
      <c r="I93" s="9">
        <f t="shared" si="8"/>
        <v>549.65619176966004</v>
      </c>
      <c r="J93" s="9">
        <f t="shared" si="9"/>
        <v>768.75696843026992</v>
      </c>
      <c r="K93" s="9">
        <f t="shared" si="10"/>
        <v>549.65619176966004</v>
      </c>
      <c r="L93" s="10">
        <f t="shared" si="7"/>
        <v>0.71499344310596202</v>
      </c>
      <c r="M93" s="10">
        <f t="shared" si="11"/>
        <v>0.72043207968817746</v>
      </c>
      <c r="P93" s="8">
        <f t="shared" si="12"/>
        <v>155.56443681955355</v>
      </c>
      <c r="U93" s="8">
        <v>155</v>
      </c>
      <c r="V93" s="10">
        <f t="shared" si="13"/>
        <v>0.29310764395429012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901.85367545075997</v>
      </c>
      <c r="E94">
        <v>649.80097087378999</v>
      </c>
      <c r="F94">
        <v>141.60734072022001</v>
      </c>
      <c r="G94">
        <v>119.94252077562</v>
      </c>
      <c r="I94" s="9">
        <f t="shared" si="8"/>
        <v>529.85845009817001</v>
      </c>
      <c r="J94" s="9">
        <f t="shared" si="9"/>
        <v>760.24633473053996</v>
      </c>
      <c r="K94" s="9">
        <f t="shared" si="10"/>
        <v>529.85845009817001</v>
      </c>
      <c r="L94" s="10">
        <f t="shared" si="7"/>
        <v>0.69695627047774178</v>
      </c>
      <c r="M94" s="10">
        <f t="shared" si="11"/>
        <v>0.70245467229712444</v>
      </c>
      <c r="P94" s="8">
        <f t="shared" si="12"/>
        <v>149.18717222389765</v>
      </c>
      <c r="U94" s="8">
        <v>155.5</v>
      </c>
      <c r="V94" s="10">
        <f t="shared" si="13"/>
        <v>0.29262731388548552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889.10679611651005</v>
      </c>
      <c r="E95">
        <v>630.67475728155</v>
      </c>
      <c r="F95">
        <v>141.72022160665</v>
      </c>
      <c r="G95">
        <v>120.02077562327</v>
      </c>
      <c r="I95" s="9">
        <f t="shared" si="8"/>
        <v>510.65398165828003</v>
      </c>
      <c r="J95" s="9">
        <f t="shared" si="9"/>
        <v>747.38657450986011</v>
      </c>
      <c r="K95" s="9">
        <f t="shared" si="10"/>
        <v>510.65398165828003</v>
      </c>
      <c r="L95" s="10">
        <f t="shared" si="7"/>
        <v>0.68325281597835696</v>
      </c>
      <c r="M95" s="10">
        <f t="shared" si="11"/>
        <v>0.68881098303490673</v>
      </c>
      <c r="P95" s="8">
        <f t="shared" si="12"/>
        <v>144.34724093717753</v>
      </c>
      <c r="U95" s="8">
        <v>156</v>
      </c>
      <c r="V95" s="10">
        <f t="shared" si="13"/>
        <v>0.2925357337584516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887.56865464632995</v>
      </c>
      <c r="E96">
        <v>611.59153952842996</v>
      </c>
      <c r="F96">
        <v>141.88157894737</v>
      </c>
      <c r="G96">
        <v>119.92382271468</v>
      </c>
      <c r="I96" s="9">
        <f t="shared" si="8"/>
        <v>491.66771681374996</v>
      </c>
      <c r="J96" s="9">
        <f t="shared" si="9"/>
        <v>745.68707569895992</v>
      </c>
      <c r="K96" s="9">
        <f t="shared" si="10"/>
        <v>491.66771681374996</v>
      </c>
      <c r="L96" s="10">
        <f t="shared" si="7"/>
        <v>0.65934858312099853</v>
      </c>
      <c r="M96" s="10">
        <f t="shared" si="11"/>
        <v>0.66496651541471552</v>
      </c>
      <c r="P96" s="8">
        <f t="shared" si="12"/>
        <v>135.8887087445886</v>
      </c>
      <c r="U96" s="8">
        <v>156.5</v>
      </c>
      <c r="V96" s="10">
        <f t="shared" si="13"/>
        <v>0.2922205819124204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888.74826629681002</v>
      </c>
      <c r="E97">
        <v>598.28710124827001</v>
      </c>
      <c r="F97">
        <v>141.61565096953001</v>
      </c>
      <c r="G97">
        <v>120.16274238227</v>
      </c>
      <c r="I97" s="9">
        <f t="shared" si="8"/>
        <v>478.12435886600002</v>
      </c>
      <c r="J97" s="9">
        <f t="shared" si="9"/>
        <v>747.13261532728006</v>
      </c>
      <c r="K97" s="9">
        <f t="shared" si="10"/>
        <v>478.12435886600002</v>
      </c>
      <c r="L97" s="10">
        <f t="shared" si="7"/>
        <v>0.63994577275489239</v>
      </c>
      <c r="M97" s="10">
        <f t="shared" si="11"/>
        <v>0.6456234702857766</v>
      </c>
      <c r="P97" s="8">
        <f t="shared" si="12"/>
        <v>129.02700092489778</v>
      </c>
      <c r="U97" s="8">
        <v>157</v>
      </c>
      <c r="V97" s="10">
        <f t="shared" si="13"/>
        <v>0.29243604575689192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884.66227461859</v>
      </c>
      <c r="E98">
        <v>584.56449375866998</v>
      </c>
      <c r="F98">
        <v>141.68351800554001</v>
      </c>
      <c r="G98">
        <v>119.83795013850001</v>
      </c>
      <c r="I98" s="9">
        <f t="shared" si="8"/>
        <v>464.72654362016999</v>
      </c>
      <c r="J98" s="9">
        <f t="shared" si="9"/>
        <v>742.97875661305</v>
      </c>
      <c r="K98" s="9">
        <f t="shared" si="10"/>
        <v>464.72654362016999</v>
      </c>
      <c r="L98" s="10">
        <f t="shared" si="7"/>
        <v>0.62549102445226945</v>
      </c>
      <c r="M98" s="10">
        <f t="shared" si="11"/>
        <v>0.63122848722032088</v>
      </c>
      <c r="P98" s="8">
        <f t="shared" si="12"/>
        <v>123.92055738376271</v>
      </c>
      <c r="U98" s="8">
        <v>157.5</v>
      </c>
      <c r="V98" s="10">
        <f t="shared" si="13"/>
        <v>0.29336647541092487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891.85020804438</v>
      </c>
      <c r="E99">
        <v>574.25173370318998</v>
      </c>
      <c r="F99">
        <v>142.17520775623001</v>
      </c>
      <c r="G99">
        <v>119.71121883657</v>
      </c>
      <c r="I99" s="9">
        <f t="shared" si="8"/>
        <v>454.54051486662001</v>
      </c>
      <c r="J99" s="9">
        <f t="shared" si="9"/>
        <v>749.67500028814993</v>
      </c>
      <c r="K99" s="9">
        <f t="shared" si="10"/>
        <v>454.54051486662001</v>
      </c>
      <c r="L99" s="10">
        <f t="shared" si="7"/>
        <v>0.60631675685051512</v>
      </c>
      <c r="M99" s="10">
        <f t="shared" si="11"/>
        <v>0.61211398485573376</v>
      </c>
      <c r="P99" s="8">
        <f t="shared" si="12"/>
        <v>117.13992230431694</v>
      </c>
      <c r="U99" s="8">
        <v>158</v>
      </c>
      <c r="V99" s="10">
        <f t="shared" si="13"/>
        <v>0.28938977061074228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885.09570041609004</v>
      </c>
      <c r="E100">
        <v>561.66574202496997</v>
      </c>
      <c r="F100">
        <v>141.37257617729</v>
      </c>
      <c r="G100">
        <v>119.12603878116001</v>
      </c>
      <c r="I100" s="9">
        <f t="shared" si="8"/>
        <v>442.53970324380998</v>
      </c>
      <c r="J100" s="9">
        <f t="shared" si="9"/>
        <v>743.72312423879998</v>
      </c>
      <c r="K100" s="9">
        <f t="shared" si="10"/>
        <v>442.53970324380998</v>
      </c>
      <c r="L100" s="10">
        <f t="shared" si="7"/>
        <v>0.59503286750260587</v>
      </c>
      <c r="M100" s="10">
        <f t="shared" si="11"/>
        <v>0.60088986074499173</v>
      </c>
      <c r="P100" s="8">
        <f t="shared" si="12"/>
        <v>113.15830205443007</v>
      </c>
      <c r="U100" s="8">
        <v>158.5</v>
      </c>
      <c r="V100" s="10">
        <f t="shared" si="13"/>
        <v>0.29429561835888307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860.73925104021998</v>
      </c>
      <c r="E101">
        <v>543.74341192787995</v>
      </c>
      <c r="F101">
        <v>141.57548476453999</v>
      </c>
      <c r="G101">
        <v>119.56371191136</v>
      </c>
      <c r="I101" s="9">
        <f t="shared" si="8"/>
        <v>424.17970001651997</v>
      </c>
      <c r="J101" s="9">
        <f t="shared" si="9"/>
        <v>719.16376627568002</v>
      </c>
      <c r="K101" s="9">
        <f t="shared" si="10"/>
        <v>424.17970001651997</v>
      </c>
      <c r="L101" s="10">
        <f t="shared" si="7"/>
        <v>0.58982351434807612</v>
      </c>
      <c r="M101" s="10">
        <f t="shared" si="11"/>
        <v>0.5957402728276292</v>
      </c>
      <c r="P101" s="8">
        <f t="shared" si="12"/>
        <v>111.33154895298134</v>
      </c>
      <c r="U101" s="8">
        <v>159</v>
      </c>
      <c r="V101" s="10">
        <f t="shared" si="13"/>
        <v>0.29472561257637936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881.26976421637005</v>
      </c>
      <c r="E102">
        <v>546.23370319001003</v>
      </c>
      <c r="F102">
        <v>140.88988919668</v>
      </c>
      <c r="G102">
        <v>119.76454293629</v>
      </c>
      <c r="I102" s="9">
        <f t="shared" si="8"/>
        <v>426.46916025372002</v>
      </c>
      <c r="J102" s="9">
        <f t="shared" si="9"/>
        <v>740.37987501969008</v>
      </c>
      <c r="K102" s="9">
        <f t="shared" si="10"/>
        <v>426.46916025372002</v>
      </c>
      <c r="L102" s="10">
        <f t="shared" si="7"/>
        <v>0.57601398233896928</v>
      </c>
      <c r="M102" s="10">
        <f t="shared" si="11"/>
        <v>0.58199050605568947</v>
      </c>
      <c r="P102" s="8">
        <f t="shared" si="12"/>
        <v>106.45398797181025</v>
      </c>
      <c r="U102" s="8">
        <v>159.5</v>
      </c>
      <c r="V102" s="10">
        <f t="shared" si="13"/>
        <v>0.29249199079531868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890.83980582523998</v>
      </c>
      <c r="E103">
        <v>538.75728155340005</v>
      </c>
      <c r="F103">
        <v>141.56232686980999</v>
      </c>
      <c r="G103">
        <v>119.86288088643001</v>
      </c>
      <c r="I103" s="9">
        <f t="shared" si="8"/>
        <v>418.89440066697006</v>
      </c>
      <c r="J103" s="9">
        <f t="shared" si="9"/>
        <v>749.27747895542996</v>
      </c>
      <c r="K103" s="9">
        <f t="shared" si="10"/>
        <v>418.89440066697006</v>
      </c>
      <c r="L103" s="10">
        <f t="shared" si="7"/>
        <v>0.55906444866186555</v>
      </c>
      <c r="M103" s="10">
        <f t="shared" si="11"/>
        <v>0.56510073761575297</v>
      </c>
      <c r="P103" s="8">
        <f t="shared" si="12"/>
        <v>100.46254994307435</v>
      </c>
      <c r="U103" s="8">
        <v>160</v>
      </c>
      <c r="V103" s="10">
        <f t="shared" si="13"/>
        <v>0.28650071877669281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891.48543689320002</v>
      </c>
      <c r="E104">
        <v>529.34604715673004</v>
      </c>
      <c r="F104">
        <v>141.21606648199</v>
      </c>
      <c r="G104">
        <v>119.59349030471</v>
      </c>
      <c r="I104" s="9">
        <f t="shared" si="8"/>
        <v>409.75255685202001</v>
      </c>
      <c r="J104" s="9">
        <f t="shared" si="9"/>
        <v>750.26937041121005</v>
      </c>
      <c r="K104" s="9">
        <f t="shared" si="10"/>
        <v>409.75255685202001</v>
      </c>
      <c r="L104" s="10">
        <f t="shared" si="7"/>
        <v>0.54614059031550433</v>
      </c>
      <c r="M104" s="10">
        <f t="shared" si="11"/>
        <v>0.55223664450655896</v>
      </c>
      <c r="P104" s="8">
        <f t="shared" si="12"/>
        <v>95.899170821938569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888.18446601942003</v>
      </c>
      <c r="E105">
        <v>518.67406380028001</v>
      </c>
      <c r="F105">
        <v>141.08795013849999</v>
      </c>
      <c r="G105">
        <v>119.50484764543</v>
      </c>
      <c r="I105" s="9">
        <f t="shared" si="8"/>
        <v>399.16921615485001</v>
      </c>
      <c r="J105" s="9">
        <f t="shared" si="9"/>
        <v>747.09651588092004</v>
      </c>
      <c r="K105" s="9">
        <f t="shared" si="10"/>
        <v>399.16921615485001</v>
      </c>
      <c r="L105" s="10">
        <f t="shared" si="7"/>
        <v>0.53429404055536212</v>
      </c>
      <c r="M105" s="10">
        <f t="shared" si="11"/>
        <v>0.54044985998358397</v>
      </c>
      <c r="P105" s="8">
        <f t="shared" si="12"/>
        <v>91.717953697582672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882.28432732316003</v>
      </c>
      <c r="E106">
        <v>504.76282940361</v>
      </c>
      <c r="F106">
        <v>141.13504155125</v>
      </c>
      <c r="G106">
        <v>119.35180055402</v>
      </c>
      <c r="I106" s="9">
        <f t="shared" si="8"/>
        <v>385.41102884959002</v>
      </c>
      <c r="J106" s="9">
        <f t="shared" si="9"/>
        <v>741.14928577191006</v>
      </c>
      <c r="K106" s="9">
        <f t="shared" si="10"/>
        <v>385.41102884959002</v>
      </c>
      <c r="L106" s="10">
        <f t="shared" si="7"/>
        <v>0.52001808036309827</v>
      </c>
      <c r="M106" s="10">
        <f t="shared" si="11"/>
        <v>0.52623366502848734</v>
      </c>
      <c r="P106" s="8">
        <f t="shared" si="12"/>
        <v>86.674933043937187</v>
      </c>
      <c r="X106" s="8">
        <v>-13</v>
      </c>
    </row>
    <row r="107" spans="1:25" x14ac:dyDescent="0.2">
      <c r="A107" s="8">
        <v>52.5</v>
      </c>
      <c r="B107" s="8">
        <v>105</v>
      </c>
      <c r="D107">
        <v>877.70180305131998</v>
      </c>
      <c r="E107">
        <v>496.25658807212</v>
      </c>
      <c r="F107">
        <v>141.31371191136</v>
      </c>
      <c r="G107">
        <v>119.53601108033</v>
      </c>
      <c r="I107" s="9">
        <f t="shared" si="8"/>
        <v>376.72057699178998</v>
      </c>
      <c r="J107" s="9">
        <f t="shared" si="9"/>
        <v>736.38809113996001</v>
      </c>
      <c r="K107" s="9">
        <f t="shared" si="10"/>
        <v>376.72057699178998</v>
      </c>
      <c r="L107" s="10">
        <f t="shared" si="7"/>
        <v>0.51157885566646055</v>
      </c>
      <c r="M107" s="10">
        <f t="shared" si="11"/>
        <v>0.51785420556901685</v>
      </c>
      <c r="P107" s="8">
        <f t="shared" si="12"/>
        <v>83.702422660253617</v>
      </c>
      <c r="X107" s="8">
        <v>-13</v>
      </c>
    </row>
    <row r="108" spans="1:25" x14ac:dyDescent="0.2">
      <c r="A108" s="8">
        <v>53</v>
      </c>
      <c r="B108" s="8">
        <v>106</v>
      </c>
      <c r="D108">
        <v>876.00485436892995</v>
      </c>
      <c r="E108">
        <v>485.26629680999002</v>
      </c>
      <c r="F108">
        <v>141.06301939058</v>
      </c>
      <c r="G108">
        <v>119.40027700831</v>
      </c>
      <c r="I108" s="9">
        <f t="shared" si="8"/>
        <v>365.86601980168001</v>
      </c>
      <c r="J108" s="9">
        <f t="shared" si="9"/>
        <v>734.94183497835002</v>
      </c>
      <c r="K108" s="9">
        <f t="shared" si="10"/>
        <v>365.86601980168001</v>
      </c>
      <c r="L108" s="10">
        <f t="shared" si="7"/>
        <v>0.49781629292127277</v>
      </c>
      <c r="M108" s="10">
        <f t="shared" si="11"/>
        <v>0.50415140806099623</v>
      </c>
      <c r="P108" s="8">
        <f t="shared" si="12"/>
        <v>78.841523448900602</v>
      </c>
      <c r="X108" s="8">
        <v>-13</v>
      </c>
    </row>
    <row r="109" spans="1:25" x14ac:dyDescent="0.2">
      <c r="A109" s="8">
        <v>53.5</v>
      </c>
      <c r="B109" s="8">
        <v>107</v>
      </c>
      <c r="D109">
        <v>870.70738440304001</v>
      </c>
      <c r="E109">
        <v>473.47412008281998</v>
      </c>
      <c r="F109">
        <v>141.03254847644999</v>
      </c>
      <c r="G109">
        <v>118.97783933517999</v>
      </c>
      <c r="I109" s="9">
        <f t="shared" si="8"/>
        <v>354.49628074763996</v>
      </c>
      <c r="J109" s="9">
        <f t="shared" si="9"/>
        <v>729.67483592659005</v>
      </c>
      <c r="K109" s="9">
        <f t="shared" si="10"/>
        <v>354.49628074763996</v>
      </c>
      <c r="L109" s="10">
        <f t="shared" si="7"/>
        <v>0.48582774585816269</v>
      </c>
      <c r="M109" s="10">
        <f t="shared" si="11"/>
        <v>0.49222262623505336</v>
      </c>
      <c r="P109" s="8">
        <f t="shared" si="12"/>
        <v>74.609934524362544</v>
      </c>
      <c r="X109" s="8">
        <v>-13</v>
      </c>
    </row>
    <row r="110" spans="1:25" x14ac:dyDescent="0.2">
      <c r="A110" s="8">
        <v>54</v>
      </c>
      <c r="B110" s="8">
        <v>108</v>
      </c>
      <c r="D110">
        <v>856.77846790889998</v>
      </c>
      <c r="E110">
        <v>460.81159420289998</v>
      </c>
      <c r="F110">
        <v>141.08310249307999</v>
      </c>
      <c r="G110">
        <v>118.9743767313</v>
      </c>
      <c r="I110" s="9">
        <f t="shared" si="8"/>
        <v>341.83721747159996</v>
      </c>
      <c r="J110" s="9">
        <f t="shared" si="9"/>
        <v>715.69536541581999</v>
      </c>
      <c r="K110" s="9">
        <f t="shared" si="10"/>
        <v>341.83721747159996</v>
      </c>
      <c r="L110" s="10">
        <f t="shared" si="7"/>
        <v>0.47762949711570657</v>
      </c>
      <c r="M110" s="10">
        <f t="shared" si="11"/>
        <v>0.48408414272976441</v>
      </c>
      <c r="P110" s="8">
        <f t="shared" si="12"/>
        <v>71.722907402396189</v>
      </c>
      <c r="X110" s="8">
        <v>-13</v>
      </c>
    </row>
    <row r="111" spans="1:25" x14ac:dyDescent="0.2">
      <c r="A111" s="8">
        <v>54.5</v>
      </c>
      <c r="B111" s="8">
        <v>109</v>
      </c>
      <c r="D111">
        <v>836.84817115251997</v>
      </c>
      <c r="E111">
        <v>447.95238095238</v>
      </c>
      <c r="F111">
        <v>140.85595567867</v>
      </c>
      <c r="G111">
        <v>119.3067867036</v>
      </c>
      <c r="I111" s="9">
        <f t="shared" si="8"/>
        <v>328.64559424878001</v>
      </c>
      <c r="J111" s="9">
        <f t="shared" si="9"/>
        <v>695.99221547384991</v>
      </c>
      <c r="K111" s="9">
        <f t="shared" si="10"/>
        <v>328.64559424878001</v>
      </c>
      <c r="L111" s="10">
        <f t="shared" si="7"/>
        <v>0.47219722712707268</v>
      </c>
      <c r="M111" s="10">
        <f t="shared" si="11"/>
        <v>0.47871163797829774</v>
      </c>
      <c r="P111" s="8">
        <f t="shared" si="12"/>
        <v>69.817077290398359</v>
      </c>
      <c r="X111" s="8">
        <v>-13</v>
      </c>
    </row>
    <row r="112" spans="1:25" x14ac:dyDescent="0.2">
      <c r="A112" s="8">
        <v>55</v>
      </c>
      <c r="B112" s="8">
        <v>110</v>
      </c>
      <c r="D112">
        <v>836.11732229124004</v>
      </c>
      <c r="E112">
        <v>439.60455486542003</v>
      </c>
      <c r="F112">
        <v>140.69390581718</v>
      </c>
      <c r="G112">
        <v>119.42105263158</v>
      </c>
      <c r="I112" s="9">
        <f t="shared" si="8"/>
        <v>320.18350223384004</v>
      </c>
      <c r="J112" s="9">
        <f t="shared" si="9"/>
        <v>695.4234164740601</v>
      </c>
      <c r="K112" s="9">
        <f t="shared" si="10"/>
        <v>320.18350223384004</v>
      </c>
      <c r="L112" s="10">
        <f t="shared" si="7"/>
        <v>0.46041518684722516</v>
      </c>
      <c r="M112" s="10">
        <f t="shared" si="11"/>
        <v>0.46698936293561744</v>
      </c>
      <c r="P112" s="8">
        <f t="shared" si="12"/>
        <v>65.658744112310046</v>
      </c>
      <c r="X112" s="8">
        <v>-13</v>
      </c>
    </row>
    <row r="113" spans="1:24" x14ac:dyDescent="0.2">
      <c r="A113" s="8">
        <v>55.5</v>
      </c>
      <c r="B113" s="8">
        <v>111</v>
      </c>
      <c r="D113">
        <v>846.25258799172002</v>
      </c>
      <c r="E113">
        <v>437.93512767426</v>
      </c>
      <c r="F113">
        <v>140.16551246537</v>
      </c>
      <c r="G113">
        <v>118.83310249308001</v>
      </c>
      <c r="I113" s="9">
        <f t="shared" si="8"/>
        <v>319.10202518118001</v>
      </c>
      <c r="J113" s="9">
        <f t="shared" si="9"/>
        <v>706.08707552634996</v>
      </c>
      <c r="K113" s="9">
        <f t="shared" si="10"/>
        <v>319.10202518118001</v>
      </c>
      <c r="L113" s="10">
        <f t="shared" si="7"/>
        <v>0.45193013190803216</v>
      </c>
      <c r="M113" s="10">
        <f t="shared" si="11"/>
        <v>0.45856407323359161</v>
      </c>
      <c r="P113" s="8">
        <f t="shared" si="12"/>
        <v>62.669976012655496</v>
      </c>
      <c r="X113" s="8">
        <v>-13</v>
      </c>
    </row>
    <row r="114" spans="1:24" x14ac:dyDescent="0.2">
      <c r="A114" s="8">
        <v>56</v>
      </c>
      <c r="B114" s="8">
        <v>112</v>
      </c>
      <c r="D114">
        <v>857.41062801932003</v>
      </c>
      <c r="E114">
        <v>433.61904761904998</v>
      </c>
      <c r="F114">
        <v>140.47645429363001</v>
      </c>
      <c r="G114">
        <v>119.02146814404</v>
      </c>
      <c r="I114" s="9">
        <f t="shared" si="8"/>
        <v>314.59757947500998</v>
      </c>
      <c r="J114" s="9">
        <f t="shared" si="9"/>
        <v>716.93417372569002</v>
      </c>
      <c r="K114" s="9">
        <f t="shared" si="10"/>
        <v>314.59757947500998</v>
      </c>
      <c r="L114" s="10">
        <f t="shared" si="7"/>
        <v>0.43880957416235516</v>
      </c>
      <c r="M114" s="10">
        <f t="shared" si="11"/>
        <v>0.44550328072508183</v>
      </c>
      <c r="P114" s="8">
        <f t="shared" si="12"/>
        <v>58.036820194137441</v>
      </c>
      <c r="X114" s="8">
        <v>-13</v>
      </c>
    </row>
    <row r="115" spans="1:24" x14ac:dyDescent="0.2">
      <c r="A115" s="8">
        <v>56.5</v>
      </c>
      <c r="B115" s="8">
        <v>113</v>
      </c>
      <c r="D115">
        <v>851.49068322980997</v>
      </c>
      <c r="E115">
        <v>428.57211870254997</v>
      </c>
      <c r="F115">
        <v>141.01454293629001</v>
      </c>
      <c r="G115">
        <v>119.20083102493</v>
      </c>
      <c r="I115" s="9">
        <f t="shared" si="8"/>
        <v>309.37128767761999</v>
      </c>
      <c r="J115" s="9">
        <f t="shared" si="9"/>
        <v>710.47614029351996</v>
      </c>
      <c r="K115" s="9">
        <f t="shared" si="10"/>
        <v>309.37128767761999</v>
      </c>
      <c r="L115" s="10">
        <f t="shared" si="7"/>
        <v>0.43544219169669657</v>
      </c>
      <c r="M115" s="10">
        <f t="shared" si="11"/>
        <v>0.44219566349659045</v>
      </c>
      <c r="P115" s="8">
        <f t="shared" si="12"/>
        <v>56.86348358400214</v>
      </c>
      <c r="X115" s="8">
        <v>-13</v>
      </c>
    </row>
    <row r="116" spans="1:24" x14ac:dyDescent="0.2">
      <c r="A116" s="8">
        <v>57</v>
      </c>
      <c r="B116" s="8">
        <v>114</v>
      </c>
      <c r="D116">
        <v>824.75707384402995</v>
      </c>
      <c r="E116">
        <v>412.06211180124001</v>
      </c>
      <c r="F116">
        <v>140.88573407202</v>
      </c>
      <c r="G116">
        <v>119.05540166205</v>
      </c>
      <c r="I116" s="9">
        <f t="shared" si="8"/>
        <v>293.00671013918998</v>
      </c>
      <c r="J116" s="9">
        <f t="shared" si="9"/>
        <v>683.87133977200995</v>
      </c>
      <c r="K116" s="9">
        <f t="shared" si="10"/>
        <v>293.00671013918998</v>
      </c>
      <c r="L116" s="10">
        <f t="shared" si="7"/>
        <v>0.42845297514130798</v>
      </c>
      <c r="M116" s="10">
        <f t="shared" si="11"/>
        <v>0.43526621217836903</v>
      </c>
      <c r="P116" s="8">
        <f t="shared" si="12"/>
        <v>54.405345789282791</v>
      </c>
      <c r="X116" s="8">
        <v>-13</v>
      </c>
    </row>
    <row r="117" spans="1:24" x14ac:dyDescent="0.2">
      <c r="A117" s="8">
        <v>57.5</v>
      </c>
      <c r="B117" s="8">
        <v>115</v>
      </c>
      <c r="D117">
        <v>824.64216366157996</v>
      </c>
      <c r="E117">
        <v>408.14216366158001</v>
      </c>
      <c r="F117">
        <v>140.26523545705999</v>
      </c>
      <c r="G117">
        <v>119.14404432133</v>
      </c>
      <c r="I117" s="9">
        <f t="shared" si="8"/>
        <v>288.99811934025001</v>
      </c>
      <c r="J117" s="9">
        <f t="shared" si="9"/>
        <v>684.37692820452003</v>
      </c>
      <c r="K117" s="9">
        <f t="shared" si="10"/>
        <v>288.99811934025001</v>
      </c>
      <c r="L117" s="10">
        <f t="shared" si="7"/>
        <v>0.42227916726889642</v>
      </c>
      <c r="M117" s="10">
        <f t="shared" si="11"/>
        <v>0.42915216954312468</v>
      </c>
      <c r="P117" s="8">
        <f t="shared" si="12"/>
        <v>52.236464215542668</v>
      </c>
      <c r="X117" s="8">
        <v>-13</v>
      </c>
    </row>
    <row r="118" spans="1:24" x14ac:dyDescent="0.2">
      <c r="A118" s="8">
        <v>58</v>
      </c>
      <c r="B118" s="8">
        <v>116</v>
      </c>
      <c r="D118">
        <v>827.99445214979005</v>
      </c>
      <c r="E118">
        <v>403.58321775311998</v>
      </c>
      <c r="F118">
        <v>141.14542936288001</v>
      </c>
      <c r="G118">
        <v>118.50761772852999</v>
      </c>
      <c r="I118" s="9">
        <f t="shared" si="8"/>
        <v>285.07560002459002</v>
      </c>
      <c r="J118" s="9">
        <f t="shared" si="9"/>
        <v>686.84902278691004</v>
      </c>
      <c r="K118" s="9">
        <f t="shared" si="10"/>
        <v>285.07560002459002</v>
      </c>
      <c r="L118" s="10">
        <f t="shared" si="7"/>
        <v>0.41504841758074784</v>
      </c>
      <c r="M118" s="10">
        <f t="shared" si="11"/>
        <v>0.42198118509214333</v>
      </c>
      <c r="P118" s="8">
        <f t="shared" si="12"/>
        <v>49.692645506844904</v>
      </c>
      <c r="X118" s="8">
        <v>-13</v>
      </c>
    </row>
    <row r="119" spans="1:24" x14ac:dyDescent="0.2">
      <c r="A119" s="8">
        <v>58.5</v>
      </c>
      <c r="B119" s="8">
        <v>117</v>
      </c>
      <c r="D119">
        <v>815.11373092926999</v>
      </c>
      <c r="E119">
        <v>394.41678224688002</v>
      </c>
      <c r="F119">
        <v>140.80332409971999</v>
      </c>
      <c r="G119">
        <v>119.12188365650999</v>
      </c>
      <c r="I119" s="9">
        <f t="shared" si="8"/>
        <v>275.29489859037005</v>
      </c>
      <c r="J119" s="9">
        <f t="shared" si="9"/>
        <v>674.31040682954995</v>
      </c>
      <c r="K119" s="9">
        <f t="shared" si="10"/>
        <v>275.29489859037005</v>
      </c>
      <c r="L119" s="10">
        <f t="shared" si="7"/>
        <v>0.40826138200171397</v>
      </c>
      <c r="M119" s="10">
        <f t="shared" si="11"/>
        <v>0.41525391475027662</v>
      </c>
      <c r="P119" s="8">
        <f t="shared" si="12"/>
        <v>47.306228931674923</v>
      </c>
      <c r="X119" s="8">
        <v>-13</v>
      </c>
    </row>
    <row r="120" spans="1:24" x14ac:dyDescent="0.2">
      <c r="A120" s="8">
        <v>59</v>
      </c>
      <c r="B120" s="8">
        <v>118</v>
      </c>
      <c r="D120">
        <v>812.03120665741994</v>
      </c>
      <c r="E120">
        <v>388.51456310679998</v>
      </c>
      <c r="F120">
        <v>141.06648199445999</v>
      </c>
      <c r="G120">
        <v>119.02216066482001</v>
      </c>
      <c r="I120" s="9">
        <f t="shared" si="8"/>
        <v>269.49240244197995</v>
      </c>
      <c r="J120" s="9">
        <f t="shared" si="9"/>
        <v>670.96472466295995</v>
      </c>
      <c r="K120" s="9">
        <f t="shared" si="10"/>
        <v>269.49240244197995</v>
      </c>
      <c r="L120" s="10">
        <f t="shared" si="7"/>
        <v>0.40164913673718361</v>
      </c>
      <c r="M120" s="10">
        <f t="shared" si="11"/>
        <v>0.40870143472291348</v>
      </c>
      <c r="P120" s="8">
        <f t="shared" si="12"/>
        <v>44.981817074988527</v>
      </c>
      <c r="X120" s="8">
        <v>-13</v>
      </c>
    </row>
    <row r="121" spans="1:24" x14ac:dyDescent="0.2">
      <c r="A121" s="8">
        <v>59.5</v>
      </c>
      <c r="B121" s="8">
        <v>119</v>
      </c>
      <c r="D121">
        <v>834.96047156727002</v>
      </c>
      <c r="E121">
        <v>390.5374479889</v>
      </c>
      <c r="F121">
        <v>140.37603878115999</v>
      </c>
      <c r="G121">
        <v>118.96468144044</v>
      </c>
      <c r="I121" s="9">
        <f t="shared" si="8"/>
        <v>271.57276654845998</v>
      </c>
      <c r="J121" s="9">
        <f t="shared" si="9"/>
        <v>694.58443278611003</v>
      </c>
      <c r="K121" s="9">
        <f t="shared" si="10"/>
        <v>271.57276654845998</v>
      </c>
      <c r="L121" s="10">
        <f t="shared" si="7"/>
        <v>0.3909859676225827</v>
      </c>
      <c r="M121" s="10">
        <f t="shared" si="11"/>
        <v>0.39809803084547979</v>
      </c>
      <c r="P121" s="8">
        <f t="shared" si="12"/>
        <v>41.220389708401093</v>
      </c>
      <c r="X121" s="8">
        <v>-13</v>
      </c>
    </row>
    <row r="122" spans="1:24" x14ac:dyDescent="0.2">
      <c r="A122" s="8">
        <v>60</v>
      </c>
      <c r="B122" s="8">
        <v>120</v>
      </c>
      <c r="D122">
        <v>829.18446601942003</v>
      </c>
      <c r="E122">
        <v>384.35159500693999</v>
      </c>
      <c r="F122">
        <v>140.67520775623001</v>
      </c>
      <c r="G122">
        <v>118.76385041551001</v>
      </c>
      <c r="I122" s="9">
        <f t="shared" si="8"/>
        <v>265.58774459143001</v>
      </c>
      <c r="J122" s="9">
        <f t="shared" si="9"/>
        <v>688.50925826319008</v>
      </c>
      <c r="K122" s="9">
        <f t="shared" si="10"/>
        <v>265.58774459143001</v>
      </c>
      <c r="L122" s="10">
        <f t="shared" si="7"/>
        <v>0.38574317106699857</v>
      </c>
      <c r="M122" s="10">
        <f t="shared" si="11"/>
        <v>0.39291499952706282</v>
      </c>
      <c r="P122" s="8">
        <f t="shared" si="12"/>
        <v>39.381772970952838</v>
      </c>
      <c r="X122" s="8">
        <v>-13</v>
      </c>
    </row>
    <row r="123" spans="1:24" x14ac:dyDescent="0.2">
      <c r="A123" s="8">
        <v>60.5</v>
      </c>
      <c r="B123" s="8">
        <v>121</v>
      </c>
      <c r="D123">
        <v>833.46463245491998</v>
      </c>
      <c r="E123">
        <v>382.95145631067999</v>
      </c>
      <c r="F123">
        <v>140.51869806094001</v>
      </c>
      <c r="G123">
        <v>118.56578947368</v>
      </c>
      <c r="I123" s="9">
        <f t="shared" si="8"/>
        <v>264.38566683699997</v>
      </c>
      <c r="J123" s="9">
        <f t="shared" si="9"/>
        <v>692.94593439398</v>
      </c>
      <c r="K123" s="9">
        <f t="shared" si="10"/>
        <v>264.38566683699997</v>
      </c>
      <c r="L123" s="10">
        <f t="shared" si="7"/>
        <v>0.38153866516039242</v>
      </c>
      <c r="M123" s="10">
        <f t="shared" si="11"/>
        <v>0.3887702588576239</v>
      </c>
      <c r="P123" s="8">
        <f t="shared" si="12"/>
        <v>37.911477096001335</v>
      </c>
      <c r="X123" s="8">
        <v>-13</v>
      </c>
    </row>
    <row r="124" spans="1:24" x14ac:dyDescent="0.2">
      <c r="A124" s="8">
        <v>61</v>
      </c>
      <c r="B124" s="8">
        <v>122</v>
      </c>
      <c r="D124">
        <v>829.6879334258</v>
      </c>
      <c r="E124">
        <v>380.36130374480001</v>
      </c>
      <c r="F124">
        <v>140.26662049862</v>
      </c>
      <c r="G124">
        <v>118.94667590028</v>
      </c>
      <c r="I124" s="9">
        <f t="shared" si="8"/>
        <v>261.41462784452</v>
      </c>
      <c r="J124" s="9">
        <f t="shared" si="9"/>
        <v>689.42131292718</v>
      </c>
      <c r="K124" s="9">
        <f t="shared" si="10"/>
        <v>261.41462784452</v>
      </c>
      <c r="L124" s="10">
        <f t="shared" si="7"/>
        <v>0.37917978882113829</v>
      </c>
      <c r="M124" s="10">
        <f t="shared" si="11"/>
        <v>0.38647114775553698</v>
      </c>
      <c r="P124" s="8">
        <f t="shared" si="12"/>
        <v>37.095895654590869</v>
      </c>
      <c r="X124" s="8">
        <v>-13</v>
      </c>
    </row>
    <row r="125" spans="1:24" x14ac:dyDescent="0.2">
      <c r="A125" s="8">
        <v>61.5</v>
      </c>
      <c r="B125" s="8">
        <v>123</v>
      </c>
      <c r="D125">
        <v>820.83009708737995</v>
      </c>
      <c r="E125">
        <v>374.29958391123</v>
      </c>
      <c r="F125">
        <v>140.19390581718</v>
      </c>
      <c r="G125">
        <v>119.41274238227</v>
      </c>
      <c r="I125" s="9">
        <f t="shared" si="8"/>
        <v>254.88684152896002</v>
      </c>
      <c r="J125" s="9">
        <f t="shared" si="9"/>
        <v>680.63619127020002</v>
      </c>
      <c r="K125" s="9">
        <f t="shared" si="10"/>
        <v>254.88684152896002</v>
      </c>
      <c r="L125" s="10">
        <f t="shared" si="7"/>
        <v>0.3744832331840765</v>
      </c>
      <c r="M125" s="10">
        <f t="shared" si="11"/>
        <v>0.38183435735564242</v>
      </c>
      <c r="P125" s="8">
        <f t="shared" si="12"/>
        <v>35.451051177770424</v>
      </c>
      <c r="X125" s="8">
        <v>-13</v>
      </c>
    </row>
    <row r="126" spans="1:24" x14ac:dyDescent="0.2">
      <c r="A126" s="8">
        <v>62</v>
      </c>
      <c r="B126" s="8">
        <v>124</v>
      </c>
      <c r="D126">
        <v>819.64771151179002</v>
      </c>
      <c r="E126">
        <v>369.26907073509</v>
      </c>
      <c r="F126">
        <v>140.46260387812001</v>
      </c>
      <c r="G126">
        <v>118.32617728532</v>
      </c>
      <c r="I126" s="9">
        <f t="shared" si="8"/>
        <v>250.94289344977</v>
      </c>
      <c r="J126" s="9">
        <f t="shared" si="9"/>
        <v>679.18510763366999</v>
      </c>
      <c r="K126" s="9">
        <f t="shared" si="10"/>
        <v>250.94289344977</v>
      </c>
      <c r="L126" s="10">
        <f t="shared" si="7"/>
        <v>0.36947643673176694</v>
      </c>
      <c r="M126" s="10">
        <f t="shared" si="11"/>
        <v>0.37688732614050002</v>
      </c>
      <c r="P126" s="8">
        <f t="shared" si="12"/>
        <v>33.696152580009702</v>
      </c>
      <c r="X126" s="8">
        <v>-13</v>
      </c>
    </row>
    <row r="127" spans="1:24" x14ac:dyDescent="0.2">
      <c r="A127" s="8">
        <v>62.5</v>
      </c>
      <c r="B127" s="8">
        <v>125</v>
      </c>
      <c r="D127">
        <v>812.48058252426995</v>
      </c>
      <c r="E127">
        <v>364.90568654646</v>
      </c>
      <c r="F127">
        <v>140.27700831025001</v>
      </c>
      <c r="G127">
        <v>118.77354570637</v>
      </c>
      <c r="I127" s="9">
        <f t="shared" si="8"/>
        <v>246.13214084009002</v>
      </c>
      <c r="J127" s="9">
        <f t="shared" si="9"/>
        <v>672.20357421401991</v>
      </c>
      <c r="K127" s="9">
        <f t="shared" si="10"/>
        <v>246.13214084009002</v>
      </c>
      <c r="L127" s="10">
        <f t="shared" si="7"/>
        <v>0.36615714387993586</v>
      </c>
      <c r="M127" s="10">
        <f t="shared" si="11"/>
        <v>0.37362779852583616</v>
      </c>
      <c r="P127" s="8">
        <f t="shared" si="12"/>
        <v>32.539875170069962</v>
      </c>
      <c r="X127" s="8">
        <v>-13</v>
      </c>
    </row>
    <row r="128" spans="1:24" x14ac:dyDescent="0.2">
      <c r="A128" s="8">
        <v>63</v>
      </c>
      <c r="B128" s="8">
        <v>126</v>
      </c>
      <c r="D128">
        <v>811.50380622836997</v>
      </c>
      <c r="E128">
        <v>367.21660899654</v>
      </c>
      <c r="F128">
        <v>140.35318559557001</v>
      </c>
      <c r="G128">
        <v>119.05747922438</v>
      </c>
      <c r="I128" s="9">
        <f t="shared" si="8"/>
        <v>248.15912977215999</v>
      </c>
      <c r="J128" s="9">
        <f t="shared" si="9"/>
        <v>671.15062063279993</v>
      </c>
      <c r="K128" s="9">
        <f t="shared" si="10"/>
        <v>248.15912977215999</v>
      </c>
      <c r="L128" s="10">
        <f t="shared" si="7"/>
        <v>0.3697517697863128</v>
      </c>
      <c r="M128" s="10">
        <f t="shared" si="11"/>
        <v>0.37728218966938032</v>
      </c>
      <c r="P128" s="8">
        <f t="shared" si="12"/>
        <v>33.836225569850129</v>
      </c>
      <c r="X128" s="8">
        <v>-13</v>
      </c>
    </row>
    <row r="129" spans="1:24" x14ac:dyDescent="0.2">
      <c r="A129" s="8">
        <v>63.5</v>
      </c>
      <c r="B129" s="8">
        <v>127</v>
      </c>
      <c r="D129">
        <v>796.87889273355995</v>
      </c>
      <c r="E129">
        <v>363.876816609</v>
      </c>
      <c r="F129">
        <v>140.26315789474</v>
      </c>
      <c r="G129">
        <v>118.61011080332</v>
      </c>
      <c r="I129" s="9">
        <f t="shared" si="8"/>
        <v>245.26670580568</v>
      </c>
      <c r="J129" s="9">
        <f t="shared" si="9"/>
        <v>656.61573483881989</v>
      </c>
      <c r="K129" s="9">
        <f t="shared" si="10"/>
        <v>245.26670580568</v>
      </c>
      <c r="L129" s="10">
        <f t="shared" si="7"/>
        <v>0.3735315692151146</v>
      </c>
      <c r="M129" s="10">
        <f t="shared" si="11"/>
        <v>0.38112175433534928</v>
      </c>
      <c r="P129" s="8">
        <f t="shared" si="12"/>
        <v>35.198264003667965</v>
      </c>
      <c r="X129" s="8">
        <v>-13</v>
      </c>
    </row>
    <row r="130" spans="1:24" x14ac:dyDescent="0.2">
      <c r="A130" s="8">
        <v>64</v>
      </c>
      <c r="B130" s="8">
        <v>128</v>
      </c>
      <c r="D130">
        <v>790.43321799308001</v>
      </c>
      <c r="E130">
        <v>362.23875432526</v>
      </c>
      <c r="F130">
        <v>139.93698060942</v>
      </c>
      <c r="G130">
        <v>118.391966759</v>
      </c>
      <c r="I130" s="9">
        <f t="shared" si="8"/>
        <v>243.84678756625999</v>
      </c>
      <c r="J130" s="9">
        <f t="shared" si="9"/>
        <v>650.49623738365995</v>
      </c>
      <c r="K130" s="9">
        <f t="shared" si="10"/>
        <v>243.84678756625999</v>
      </c>
      <c r="L130" s="10">
        <f t="shared" ref="L130:L193" si="14">K130/J130</f>
        <v>0.37486271795672227</v>
      </c>
      <c r="M130" s="10">
        <f t="shared" si="11"/>
        <v>0.38251266831412417</v>
      </c>
      <c r="P130" s="8">
        <f t="shared" si="12"/>
        <v>35.691673663887293</v>
      </c>
      <c r="X130" s="8">
        <v>-13</v>
      </c>
    </row>
    <row r="131" spans="1:24" x14ac:dyDescent="0.2">
      <c r="A131" s="8">
        <v>64.5</v>
      </c>
      <c r="B131" s="8">
        <v>129</v>
      </c>
      <c r="D131">
        <v>789.02283737024004</v>
      </c>
      <c r="E131">
        <v>360.68166089965001</v>
      </c>
      <c r="F131">
        <v>140.1987534626</v>
      </c>
      <c r="G131">
        <v>118.6108033241</v>
      </c>
      <c r="I131" s="9">
        <f t="shared" ref="I131:I194" si="15">E131-G131</f>
        <v>242.07085757555001</v>
      </c>
      <c r="J131" s="9">
        <f t="shared" ref="J131:J194" si="16">D131-F131</f>
        <v>648.82408390763999</v>
      </c>
      <c r="K131" s="9">
        <f t="shared" ref="K131:K194" si="17">I131*1</f>
        <v>242.07085757555001</v>
      </c>
      <c r="L131" s="10">
        <f t="shared" si="14"/>
        <v>0.37309166472003025</v>
      </c>
      <c r="M131" s="10">
        <f t="shared" ref="M131:M181" si="18">L131+ABS($N$2)*A131</f>
        <v>0.38080138031459937</v>
      </c>
      <c r="P131" s="8">
        <f t="shared" ref="P131:P194" si="19">(M131-$O$2)/$O$2*100</f>
        <v>35.084615252462989</v>
      </c>
      <c r="X131" s="8">
        <v>-13</v>
      </c>
    </row>
    <row r="132" spans="1:24" x14ac:dyDescent="0.2">
      <c r="A132" s="8">
        <v>65</v>
      </c>
      <c r="B132" s="8">
        <v>130</v>
      </c>
      <c r="D132">
        <v>787.41107266435995</v>
      </c>
      <c r="E132">
        <v>358.22837370242001</v>
      </c>
      <c r="F132">
        <v>139.57617728532</v>
      </c>
      <c r="G132">
        <v>118.64681440443</v>
      </c>
      <c r="I132" s="9">
        <f t="shared" si="15"/>
        <v>239.58155929799</v>
      </c>
      <c r="J132" s="9">
        <f t="shared" si="16"/>
        <v>647.83489537903995</v>
      </c>
      <c r="K132" s="9">
        <f t="shared" si="17"/>
        <v>239.58155929799</v>
      </c>
      <c r="L132" s="10">
        <f t="shared" si="14"/>
        <v>0.36981885509241347</v>
      </c>
      <c r="M132" s="10">
        <f t="shared" si="18"/>
        <v>0.37758833592414975</v>
      </c>
      <c r="P132" s="8">
        <f t="shared" si="19"/>
        <v>33.94482719572224</v>
      </c>
      <c r="X132" s="8">
        <v>-13</v>
      </c>
    </row>
    <row r="133" spans="1:24" x14ac:dyDescent="0.2">
      <c r="A133" s="8">
        <v>65.5</v>
      </c>
      <c r="B133" s="8">
        <v>131</v>
      </c>
      <c r="D133">
        <v>829.69507969508004</v>
      </c>
      <c r="E133">
        <v>365.41926541927</v>
      </c>
      <c r="F133">
        <v>140.45844875346</v>
      </c>
      <c r="G133">
        <v>118.85457063712001</v>
      </c>
      <c r="I133" s="9">
        <f t="shared" si="15"/>
        <v>246.56469478215001</v>
      </c>
      <c r="J133" s="9">
        <f t="shared" si="16"/>
        <v>689.23663094161998</v>
      </c>
      <c r="K133" s="9">
        <f t="shared" si="17"/>
        <v>246.56469478215001</v>
      </c>
      <c r="L133" s="10">
        <f t="shared" si="14"/>
        <v>0.3577359120412662</v>
      </c>
      <c r="M133" s="10">
        <f t="shared" si="18"/>
        <v>0.36556515811016971</v>
      </c>
      <c r="P133" s="8">
        <f t="shared" si="19"/>
        <v>29.679752453157882</v>
      </c>
      <c r="X133" s="8">
        <v>-13</v>
      </c>
    </row>
    <row r="134" spans="1:24" x14ac:dyDescent="0.2">
      <c r="A134" s="8">
        <v>66</v>
      </c>
      <c r="B134" s="8">
        <v>132</v>
      </c>
      <c r="D134">
        <v>834.68537768537999</v>
      </c>
      <c r="E134">
        <v>366.28551628551998</v>
      </c>
      <c r="F134">
        <v>139.95567867035999</v>
      </c>
      <c r="G134">
        <v>118.15927977839</v>
      </c>
      <c r="I134" s="9">
        <f t="shared" si="15"/>
        <v>248.12623650712999</v>
      </c>
      <c r="J134" s="9">
        <f t="shared" si="16"/>
        <v>694.72969901502006</v>
      </c>
      <c r="K134" s="9">
        <f t="shared" si="17"/>
        <v>248.12623650712999</v>
      </c>
      <c r="L134" s="10">
        <f t="shared" si="14"/>
        <v>0.35715507320173667</v>
      </c>
      <c r="M134" s="10">
        <f t="shared" si="18"/>
        <v>0.3650440845078074</v>
      </c>
      <c r="P134" s="8">
        <f t="shared" si="19"/>
        <v>29.494907989003956</v>
      </c>
      <c r="X134" s="8">
        <v>-13</v>
      </c>
    </row>
    <row r="135" spans="1:24" x14ac:dyDescent="0.2">
      <c r="A135" s="8">
        <v>66.5</v>
      </c>
      <c r="B135" s="8">
        <v>133</v>
      </c>
      <c r="D135">
        <v>827.74081774082003</v>
      </c>
      <c r="E135">
        <v>364.78586278585999</v>
      </c>
      <c r="F135">
        <v>139.89473684211001</v>
      </c>
      <c r="G135">
        <v>118.23337950139</v>
      </c>
      <c r="I135" s="9">
        <f t="shared" si="15"/>
        <v>246.55248328446999</v>
      </c>
      <c r="J135" s="9">
        <f t="shared" si="16"/>
        <v>687.84608089871006</v>
      </c>
      <c r="K135" s="9">
        <f t="shared" si="17"/>
        <v>246.55248328446999</v>
      </c>
      <c r="L135" s="10">
        <f t="shared" si="14"/>
        <v>0.35844135793044735</v>
      </c>
      <c r="M135" s="10">
        <f t="shared" si="18"/>
        <v>0.36639013447368524</v>
      </c>
      <c r="P135" s="8">
        <f t="shared" si="19"/>
        <v>29.972402691362909</v>
      </c>
      <c r="X135" s="8">
        <v>-13</v>
      </c>
    </row>
    <row r="136" spans="1:24" x14ac:dyDescent="0.2">
      <c r="A136" s="8">
        <v>67</v>
      </c>
      <c r="B136" s="8">
        <v>134</v>
      </c>
      <c r="D136">
        <v>839.81081081081004</v>
      </c>
      <c r="E136">
        <v>366.24670824671</v>
      </c>
      <c r="F136">
        <v>139.94736842104999</v>
      </c>
      <c r="G136">
        <v>118.108033241</v>
      </c>
      <c r="I136" s="9">
        <f t="shared" si="15"/>
        <v>248.13867500571001</v>
      </c>
      <c r="J136" s="9">
        <f t="shared" si="16"/>
        <v>699.86344238976005</v>
      </c>
      <c r="K136" s="9">
        <f t="shared" si="17"/>
        <v>248.13867500571001</v>
      </c>
      <c r="L136" s="10">
        <f t="shared" si="14"/>
        <v>0.35455298844930871</v>
      </c>
      <c r="M136" s="10">
        <f t="shared" si="18"/>
        <v>0.36256153022971382</v>
      </c>
      <c r="P136" s="8">
        <f t="shared" si="19"/>
        <v>28.614252332707295</v>
      </c>
      <c r="X136" s="8">
        <v>-13</v>
      </c>
    </row>
    <row r="137" spans="1:24" x14ac:dyDescent="0.2">
      <c r="A137" s="8">
        <v>67.5</v>
      </c>
      <c r="B137" s="8">
        <v>135</v>
      </c>
      <c r="D137">
        <v>828.90436590437002</v>
      </c>
      <c r="E137">
        <v>360.47955647956002</v>
      </c>
      <c r="F137">
        <v>139.73130193905999</v>
      </c>
      <c r="G137">
        <v>118.77493074792</v>
      </c>
      <c r="I137" s="9">
        <f t="shared" si="15"/>
        <v>241.70462573164002</v>
      </c>
      <c r="J137" s="9">
        <f t="shared" si="16"/>
        <v>689.17306396531001</v>
      </c>
      <c r="K137" s="9">
        <f t="shared" si="17"/>
        <v>241.70462573164002</v>
      </c>
      <c r="L137" s="10">
        <f t="shared" si="14"/>
        <v>0.35071687848758754</v>
      </c>
      <c r="M137" s="10">
        <f t="shared" si="18"/>
        <v>0.35878518550515986</v>
      </c>
      <c r="P137" s="8">
        <f t="shared" si="19"/>
        <v>27.274640397068829</v>
      </c>
      <c r="X137" s="8">
        <v>-13</v>
      </c>
    </row>
    <row r="138" spans="1:24" x14ac:dyDescent="0.2">
      <c r="A138" s="8">
        <v>68</v>
      </c>
      <c r="B138" s="8">
        <v>136</v>
      </c>
      <c r="D138">
        <v>819.46026261229997</v>
      </c>
      <c r="E138">
        <v>357.55217691775999</v>
      </c>
      <c r="F138">
        <v>139.99238227147001</v>
      </c>
      <c r="G138">
        <v>118.37534626039</v>
      </c>
      <c r="I138" s="9">
        <f t="shared" si="15"/>
        <v>239.17683065736998</v>
      </c>
      <c r="J138" s="9">
        <f t="shared" si="16"/>
        <v>679.46788034082999</v>
      </c>
      <c r="K138" s="9">
        <f t="shared" si="17"/>
        <v>239.17683065736998</v>
      </c>
      <c r="L138" s="10">
        <f t="shared" si="14"/>
        <v>0.35200608826041307</v>
      </c>
      <c r="M138" s="10">
        <f t="shared" si="18"/>
        <v>0.36013416051515257</v>
      </c>
      <c r="P138" s="8">
        <f t="shared" si="19"/>
        <v>27.753172722922027</v>
      </c>
      <c r="X138" s="8">
        <v>-13</v>
      </c>
    </row>
    <row r="139" spans="1:24" x14ac:dyDescent="0.2">
      <c r="A139" s="8">
        <v>68.5</v>
      </c>
      <c r="B139" s="8">
        <v>137</v>
      </c>
      <c r="D139">
        <v>787.07034482759002</v>
      </c>
      <c r="E139">
        <v>346.04620689655002</v>
      </c>
      <c r="F139">
        <v>140.31994459833999</v>
      </c>
      <c r="G139">
        <v>118.26454293629</v>
      </c>
      <c r="I139" s="9">
        <f t="shared" si="15"/>
        <v>227.78166396026</v>
      </c>
      <c r="J139" s="9">
        <f t="shared" si="16"/>
        <v>646.75040022925009</v>
      </c>
      <c r="K139" s="9">
        <f t="shared" si="17"/>
        <v>227.78166396026</v>
      </c>
      <c r="L139" s="10">
        <f t="shared" si="14"/>
        <v>0.35219408272421554</v>
      </c>
      <c r="M139" s="10">
        <f t="shared" si="18"/>
        <v>0.36038192021612225</v>
      </c>
      <c r="P139" s="8">
        <f t="shared" si="19"/>
        <v>27.841062435540465</v>
      </c>
      <c r="X139" s="8">
        <v>-13</v>
      </c>
    </row>
    <row r="140" spans="1:24" x14ac:dyDescent="0.2">
      <c r="A140" s="8">
        <v>69</v>
      </c>
      <c r="B140" s="8">
        <v>138</v>
      </c>
      <c r="D140">
        <v>791.74689655172006</v>
      </c>
      <c r="E140">
        <v>347.16137931035001</v>
      </c>
      <c r="F140">
        <v>139.45914127424001</v>
      </c>
      <c r="G140">
        <v>118.36565096952999</v>
      </c>
      <c r="I140" s="9">
        <f t="shared" si="15"/>
        <v>228.79572834082001</v>
      </c>
      <c r="J140" s="9">
        <f t="shared" si="16"/>
        <v>652.28775527748007</v>
      </c>
      <c r="K140" s="9">
        <f t="shared" si="17"/>
        <v>228.79572834082001</v>
      </c>
      <c r="L140" s="10">
        <f t="shared" si="14"/>
        <v>0.35075888898679602</v>
      </c>
      <c r="M140" s="10">
        <f t="shared" si="18"/>
        <v>0.35900649171586996</v>
      </c>
      <c r="P140" s="8">
        <f t="shared" si="19"/>
        <v>27.353146058739636</v>
      </c>
      <c r="X140" s="8">
        <v>-13</v>
      </c>
    </row>
    <row r="141" spans="1:24" x14ac:dyDescent="0.2">
      <c r="A141" s="8">
        <v>69.5</v>
      </c>
      <c r="B141" s="8">
        <v>139</v>
      </c>
      <c r="D141">
        <v>804.78413793103005</v>
      </c>
      <c r="E141">
        <v>347.36068965517001</v>
      </c>
      <c r="F141">
        <v>140.06648199445999</v>
      </c>
      <c r="G141">
        <v>118.05886426593</v>
      </c>
      <c r="I141" s="9">
        <f t="shared" si="15"/>
        <v>229.30182538924001</v>
      </c>
      <c r="J141" s="9">
        <f t="shared" si="16"/>
        <v>664.71765593657005</v>
      </c>
      <c r="K141" s="9">
        <f t="shared" si="17"/>
        <v>229.30182538924001</v>
      </c>
      <c r="L141" s="10">
        <f t="shared" si="14"/>
        <v>0.34496123781481275</v>
      </c>
      <c r="M141" s="10">
        <f t="shared" si="18"/>
        <v>0.3532686057810539</v>
      </c>
      <c r="P141" s="8">
        <f t="shared" si="19"/>
        <v>25.317701457076698</v>
      </c>
      <c r="X141" s="8">
        <v>-13</v>
      </c>
    </row>
    <row r="142" spans="1:24" x14ac:dyDescent="0.2">
      <c r="A142" s="8">
        <v>70</v>
      </c>
      <c r="B142" s="8">
        <v>140</v>
      </c>
      <c r="D142">
        <v>804.79310344828002</v>
      </c>
      <c r="E142">
        <v>346.23724137930998</v>
      </c>
      <c r="F142">
        <v>139.57825484764999</v>
      </c>
      <c r="G142">
        <v>118.20637119113999</v>
      </c>
      <c r="I142" s="9">
        <f t="shared" si="15"/>
        <v>228.03087018816998</v>
      </c>
      <c r="J142" s="9">
        <f t="shared" si="16"/>
        <v>665.21484860063003</v>
      </c>
      <c r="K142" s="9">
        <f t="shared" si="17"/>
        <v>228.03087018816998</v>
      </c>
      <c r="L142" s="10">
        <f t="shared" si="14"/>
        <v>0.34279281448371751</v>
      </c>
      <c r="M142" s="10">
        <f t="shared" si="18"/>
        <v>0.35115994768712583</v>
      </c>
      <c r="P142" s="8">
        <f t="shared" si="19"/>
        <v>24.569680882461295</v>
      </c>
      <c r="X142" s="8">
        <v>-13</v>
      </c>
    </row>
    <row r="143" spans="1:24" x14ac:dyDescent="0.2">
      <c r="A143" s="8">
        <v>70.5</v>
      </c>
      <c r="B143" s="8">
        <v>141</v>
      </c>
      <c r="D143">
        <v>790.68758620690005</v>
      </c>
      <c r="E143">
        <v>341.17655172413998</v>
      </c>
      <c r="F143">
        <v>139.87326869806</v>
      </c>
      <c r="G143">
        <v>118.12603878116001</v>
      </c>
      <c r="I143" s="9">
        <f t="shared" si="15"/>
        <v>223.05051294297999</v>
      </c>
      <c r="J143" s="9">
        <f t="shared" si="16"/>
        <v>650.81431750884008</v>
      </c>
      <c r="K143" s="9">
        <f t="shared" si="17"/>
        <v>223.05051294297999</v>
      </c>
      <c r="L143" s="10">
        <f t="shared" si="14"/>
        <v>0.34272527039165862</v>
      </c>
      <c r="M143" s="10">
        <f t="shared" si="18"/>
        <v>0.35115216883223416</v>
      </c>
      <c r="P143" s="8">
        <f t="shared" si="19"/>
        <v>24.566921429175494</v>
      </c>
      <c r="X143" s="8">
        <v>-13</v>
      </c>
    </row>
    <row r="144" spans="1:24" x14ac:dyDescent="0.2">
      <c r="A144" s="8">
        <v>71</v>
      </c>
      <c r="B144" s="8">
        <v>142</v>
      </c>
      <c r="D144">
        <v>787.17103448275998</v>
      </c>
      <c r="E144">
        <v>337.00758620689999</v>
      </c>
      <c r="F144">
        <v>139.68698060942</v>
      </c>
      <c r="G144">
        <v>118.26038781163</v>
      </c>
      <c r="I144" s="9">
        <f t="shared" si="15"/>
        <v>218.74719839527</v>
      </c>
      <c r="J144" s="9">
        <f t="shared" si="16"/>
        <v>647.48405387333992</v>
      </c>
      <c r="K144" s="9">
        <f t="shared" si="17"/>
        <v>218.74719839527</v>
      </c>
      <c r="L144" s="10">
        <f t="shared" si="14"/>
        <v>0.33784183114115901</v>
      </c>
      <c r="M144" s="10">
        <f t="shared" si="18"/>
        <v>0.34632849481890177</v>
      </c>
      <c r="P144" s="8">
        <f t="shared" si="19"/>
        <v>22.85578228452222</v>
      </c>
    </row>
    <row r="145" spans="1:16" x14ac:dyDescent="0.2">
      <c r="A145" s="8">
        <v>71.5</v>
      </c>
      <c r="B145" s="8">
        <v>143</v>
      </c>
      <c r="D145">
        <v>802.41655172414005</v>
      </c>
      <c r="E145">
        <v>339.66965517240999</v>
      </c>
      <c r="F145">
        <v>139.40027700831001</v>
      </c>
      <c r="G145">
        <v>118.54986149585</v>
      </c>
      <c r="I145" s="9">
        <f t="shared" si="15"/>
        <v>221.11979367655999</v>
      </c>
      <c r="J145" s="9">
        <f t="shared" si="16"/>
        <v>663.01627471583004</v>
      </c>
      <c r="K145" s="9">
        <f t="shared" si="17"/>
        <v>221.11979367655999</v>
      </c>
      <c r="L145" s="10">
        <f t="shared" si="14"/>
        <v>0.33350583101648951</v>
      </c>
      <c r="M145" s="10">
        <f t="shared" si="18"/>
        <v>0.34205225993139943</v>
      </c>
      <c r="P145" s="8">
        <f t="shared" si="19"/>
        <v>21.338840449830908</v>
      </c>
    </row>
    <row r="146" spans="1:16" x14ac:dyDescent="0.2">
      <c r="A146" s="8">
        <v>72</v>
      </c>
      <c r="B146" s="8">
        <v>144</v>
      </c>
      <c r="D146">
        <v>800.8</v>
      </c>
      <c r="E146">
        <v>340.32</v>
      </c>
      <c r="F146">
        <v>139.33102493075</v>
      </c>
      <c r="G146">
        <v>117.90096952909001</v>
      </c>
      <c r="I146" s="9">
        <f t="shared" si="15"/>
        <v>222.41903047091</v>
      </c>
      <c r="J146" s="9">
        <f t="shared" si="16"/>
        <v>661.46897506924995</v>
      </c>
      <c r="K146" s="9">
        <f t="shared" si="17"/>
        <v>222.41903047091</v>
      </c>
      <c r="L146" s="10">
        <f t="shared" si="14"/>
        <v>0.33625013243837276</v>
      </c>
      <c r="M146" s="10">
        <f t="shared" si="18"/>
        <v>0.3448563265904499</v>
      </c>
      <c r="P146" s="8">
        <f t="shared" si="19"/>
        <v>22.333548676642369</v>
      </c>
    </row>
    <row r="147" spans="1:16" x14ac:dyDescent="0.2">
      <c r="A147" s="8">
        <v>72.5</v>
      </c>
      <c r="B147" s="8">
        <v>145</v>
      </c>
      <c r="D147">
        <v>800.48482758621003</v>
      </c>
      <c r="E147">
        <v>338.10827586207</v>
      </c>
      <c r="F147">
        <v>139.72714681439999</v>
      </c>
      <c r="G147">
        <v>118.63019390581999</v>
      </c>
      <c r="I147" s="9">
        <f t="shared" si="15"/>
        <v>219.47808195625001</v>
      </c>
      <c r="J147" s="9">
        <f t="shared" si="16"/>
        <v>660.7576807718101</v>
      </c>
      <c r="K147" s="9">
        <f t="shared" si="17"/>
        <v>219.47808195625001</v>
      </c>
      <c r="L147" s="10">
        <f t="shared" si="14"/>
        <v>0.33216122694159927</v>
      </c>
      <c r="M147" s="10">
        <f t="shared" si="18"/>
        <v>0.34082718633084363</v>
      </c>
      <c r="P147" s="8">
        <f t="shared" si="19"/>
        <v>20.904260628060538</v>
      </c>
    </row>
    <row r="148" spans="1:16" x14ac:dyDescent="0.2">
      <c r="A148" s="8">
        <v>73</v>
      </c>
      <c r="B148" s="8">
        <v>146</v>
      </c>
      <c r="D148">
        <v>801.47448275861996</v>
      </c>
      <c r="E148">
        <v>339.03103448275999</v>
      </c>
      <c r="F148">
        <v>139.6703601108</v>
      </c>
      <c r="G148">
        <v>118.23545706371</v>
      </c>
      <c r="I148" s="9">
        <f t="shared" si="15"/>
        <v>220.79557741905001</v>
      </c>
      <c r="J148" s="9">
        <f t="shared" si="16"/>
        <v>661.8041226478199</v>
      </c>
      <c r="K148" s="9">
        <f t="shared" si="17"/>
        <v>220.79557741905001</v>
      </c>
      <c r="L148" s="10">
        <f t="shared" si="14"/>
        <v>0.33362677847286049</v>
      </c>
      <c r="M148" s="10">
        <f t="shared" si="18"/>
        <v>0.34235250309927201</v>
      </c>
      <c r="P148" s="8">
        <f t="shared" si="19"/>
        <v>21.445348028087956</v>
      </c>
    </row>
    <row r="149" spans="1:16" x14ac:dyDescent="0.2">
      <c r="A149" s="8">
        <v>73.5</v>
      </c>
      <c r="B149" s="8">
        <v>147</v>
      </c>
      <c r="D149">
        <v>814.03517241378995</v>
      </c>
      <c r="E149">
        <v>338.63586206897003</v>
      </c>
      <c r="F149">
        <v>139.34764542936</v>
      </c>
      <c r="G149">
        <v>118.20706371191</v>
      </c>
      <c r="I149" s="9">
        <f t="shared" si="15"/>
        <v>220.42879835706003</v>
      </c>
      <c r="J149" s="9">
        <f t="shared" si="16"/>
        <v>674.68752698442995</v>
      </c>
      <c r="K149" s="9">
        <f t="shared" si="17"/>
        <v>220.42879835706003</v>
      </c>
      <c r="L149" s="10">
        <f t="shared" si="14"/>
        <v>0.32671242544275902</v>
      </c>
      <c r="M149" s="10">
        <f t="shared" si="18"/>
        <v>0.33549791530633777</v>
      </c>
      <c r="P149" s="8">
        <f t="shared" si="19"/>
        <v>19.013767149999282</v>
      </c>
    </row>
    <row r="150" spans="1:16" x14ac:dyDescent="0.2">
      <c r="A150" s="8">
        <v>74</v>
      </c>
      <c r="B150" s="8">
        <v>148</v>
      </c>
      <c r="D150">
        <v>834.57013888889003</v>
      </c>
      <c r="E150">
        <v>344.22986111110998</v>
      </c>
      <c r="F150">
        <v>139.13157894737</v>
      </c>
      <c r="G150">
        <v>117.85664819945001</v>
      </c>
      <c r="I150" s="9">
        <f t="shared" si="15"/>
        <v>226.37321291165998</v>
      </c>
      <c r="J150" s="9">
        <f t="shared" si="16"/>
        <v>695.43855994152</v>
      </c>
      <c r="K150" s="9">
        <f t="shared" si="17"/>
        <v>226.37321291165998</v>
      </c>
      <c r="L150" s="10">
        <f t="shared" si="14"/>
        <v>0.32551144838833196</v>
      </c>
      <c r="M150" s="10">
        <f t="shared" si="18"/>
        <v>0.33435670348907792</v>
      </c>
      <c r="P150" s="8">
        <f t="shared" si="19"/>
        <v>18.60893626643276</v>
      </c>
    </row>
    <row r="151" spans="1:16" x14ac:dyDescent="0.2">
      <c r="A151" s="8">
        <v>74.5</v>
      </c>
      <c r="B151" s="8">
        <v>149</v>
      </c>
      <c r="D151">
        <v>848.78462603877995</v>
      </c>
      <c r="E151">
        <v>343.87880886427001</v>
      </c>
      <c r="F151">
        <v>139.77146814404</v>
      </c>
      <c r="G151">
        <v>118.18144044320999</v>
      </c>
      <c r="I151" s="9">
        <f t="shared" si="15"/>
        <v>225.69736842106002</v>
      </c>
      <c r="J151" s="9">
        <f t="shared" si="16"/>
        <v>709.01315789473995</v>
      </c>
      <c r="K151" s="9">
        <f t="shared" si="17"/>
        <v>225.69736842106002</v>
      </c>
      <c r="L151" s="10">
        <f t="shared" si="14"/>
        <v>0.31832606476756958</v>
      </c>
      <c r="M151" s="10">
        <f t="shared" si="18"/>
        <v>0.32723108510548271</v>
      </c>
      <c r="P151" s="8">
        <f t="shared" si="19"/>
        <v>16.081210613262556</v>
      </c>
    </row>
    <row r="152" spans="1:16" x14ac:dyDescent="0.2">
      <c r="A152" s="8">
        <v>75</v>
      </c>
      <c r="B152" s="8">
        <v>150</v>
      </c>
      <c r="D152">
        <v>859.37049861495996</v>
      </c>
      <c r="E152">
        <v>345.38296398891998</v>
      </c>
      <c r="F152">
        <v>139.33310249307999</v>
      </c>
      <c r="G152">
        <v>118.06509695291</v>
      </c>
      <c r="I152" s="9">
        <f t="shared" si="15"/>
        <v>227.31786703601</v>
      </c>
      <c r="J152" s="9">
        <f t="shared" si="16"/>
        <v>720.03739612187996</v>
      </c>
      <c r="K152" s="9">
        <f t="shared" si="17"/>
        <v>227.31786703601</v>
      </c>
      <c r="L152" s="10">
        <f t="shared" si="14"/>
        <v>0.3157028624628993</v>
      </c>
      <c r="M152" s="10">
        <f t="shared" si="18"/>
        <v>0.32466764803797965</v>
      </c>
      <c r="P152" s="8">
        <f t="shared" si="19"/>
        <v>15.171862780275521</v>
      </c>
    </row>
    <row r="153" spans="1:16" x14ac:dyDescent="0.2">
      <c r="A153" s="8">
        <v>75.5</v>
      </c>
      <c r="B153" s="8">
        <v>151</v>
      </c>
      <c r="D153">
        <v>842.57290946786998</v>
      </c>
      <c r="E153">
        <v>340.53559087768002</v>
      </c>
      <c r="F153">
        <v>138.77354570636999</v>
      </c>
      <c r="G153">
        <v>117.90096952909001</v>
      </c>
      <c r="I153" s="9">
        <f t="shared" si="15"/>
        <v>222.63462134859003</v>
      </c>
      <c r="J153" s="9">
        <f t="shared" si="16"/>
        <v>703.79936376149999</v>
      </c>
      <c r="K153" s="9">
        <f t="shared" si="17"/>
        <v>222.63462134859003</v>
      </c>
      <c r="L153" s="10">
        <f t="shared" si="14"/>
        <v>0.31633251294616876</v>
      </c>
      <c r="M153" s="10">
        <f t="shared" si="18"/>
        <v>0.32535706375841633</v>
      </c>
      <c r="P153" s="8">
        <f t="shared" si="19"/>
        <v>15.416424544382703</v>
      </c>
    </row>
    <row r="154" spans="1:16" x14ac:dyDescent="0.2">
      <c r="A154" s="8">
        <v>76</v>
      </c>
      <c r="B154" s="8">
        <v>152</v>
      </c>
      <c r="D154">
        <v>850.02418797511996</v>
      </c>
      <c r="E154">
        <v>339.33655839668</v>
      </c>
      <c r="F154">
        <v>139.12188365650999</v>
      </c>
      <c r="G154">
        <v>117.71191135734</v>
      </c>
      <c r="I154" s="9">
        <f t="shared" si="15"/>
        <v>221.62464703934</v>
      </c>
      <c r="J154" s="9">
        <f t="shared" si="16"/>
        <v>710.90230431860994</v>
      </c>
      <c r="K154" s="9">
        <f t="shared" si="17"/>
        <v>221.62464703934</v>
      </c>
      <c r="L154" s="10">
        <f t="shared" si="14"/>
        <v>0.31175120082324698</v>
      </c>
      <c r="M154" s="10">
        <f t="shared" si="18"/>
        <v>0.32083551687266171</v>
      </c>
      <c r="P154" s="8">
        <f t="shared" si="19"/>
        <v>13.812461289565903</v>
      </c>
    </row>
    <row r="155" spans="1:16" x14ac:dyDescent="0.2">
      <c r="A155" s="8">
        <v>76.5</v>
      </c>
      <c r="B155" s="8">
        <v>153</v>
      </c>
      <c r="D155">
        <v>860.5595567867</v>
      </c>
      <c r="E155">
        <v>343.80609418283001</v>
      </c>
      <c r="F155">
        <v>139.12534626038999</v>
      </c>
      <c r="G155">
        <v>118.02354570637</v>
      </c>
      <c r="I155" s="9">
        <f t="shared" si="15"/>
        <v>225.78254847646002</v>
      </c>
      <c r="J155" s="9">
        <f t="shared" si="16"/>
        <v>721.43421052631004</v>
      </c>
      <c r="K155" s="9">
        <f t="shared" si="17"/>
        <v>225.78254847646002</v>
      </c>
      <c r="L155" s="10">
        <f t="shared" si="14"/>
        <v>0.31296346247808821</v>
      </c>
      <c r="M155" s="10">
        <f t="shared" si="18"/>
        <v>0.32210754376467016</v>
      </c>
      <c r="P155" s="8">
        <f t="shared" si="19"/>
        <v>14.263697215117929</v>
      </c>
    </row>
    <row r="156" spans="1:16" x14ac:dyDescent="0.2">
      <c r="A156" s="8">
        <v>77</v>
      </c>
      <c r="B156" s="8">
        <v>154</v>
      </c>
      <c r="D156">
        <v>852.55193905816998</v>
      </c>
      <c r="E156">
        <v>339.10526315790003</v>
      </c>
      <c r="F156">
        <v>138.53601108033001</v>
      </c>
      <c r="G156">
        <v>117.50415512465</v>
      </c>
      <c r="I156" s="9">
        <f t="shared" si="15"/>
        <v>221.60110803325003</v>
      </c>
      <c r="J156" s="9">
        <f t="shared" si="16"/>
        <v>714.01592797783997</v>
      </c>
      <c r="K156" s="9">
        <f t="shared" si="17"/>
        <v>221.60110803325003</v>
      </c>
      <c r="L156" s="10">
        <f t="shared" si="14"/>
        <v>0.3103587740134105</v>
      </c>
      <c r="M156" s="10">
        <f t="shared" si="18"/>
        <v>0.31956262053715967</v>
      </c>
      <c r="P156" s="8">
        <f t="shared" si="19"/>
        <v>13.360916939607121</v>
      </c>
    </row>
    <row r="157" spans="1:16" x14ac:dyDescent="0.2">
      <c r="A157" s="8">
        <v>77.5</v>
      </c>
      <c r="B157" s="8">
        <v>155</v>
      </c>
      <c r="D157">
        <v>855.43213296398994</v>
      </c>
      <c r="E157">
        <v>340.19459833795003</v>
      </c>
      <c r="F157">
        <v>139.34072022161001</v>
      </c>
      <c r="G157">
        <v>117.85664819945001</v>
      </c>
      <c r="I157" s="9">
        <f t="shared" si="15"/>
        <v>222.33795013850002</v>
      </c>
      <c r="J157" s="9">
        <f t="shared" si="16"/>
        <v>716.09141274237993</v>
      </c>
      <c r="K157" s="9">
        <f t="shared" si="17"/>
        <v>222.33795013850002</v>
      </c>
      <c r="L157" s="10">
        <f t="shared" si="14"/>
        <v>0.31048822284716882</v>
      </c>
      <c r="M157" s="10">
        <f t="shared" si="18"/>
        <v>0.31975183460808521</v>
      </c>
      <c r="P157" s="8">
        <f t="shared" si="19"/>
        <v>13.428038308626874</v>
      </c>
    </row>
    <row r="158" spans="1:16" x14ac:dyDescent="0.2">
      <c r="A158" s="8">
        <v>78</v>
      </c>
      <c r="B158" s="8">
        <v>156</v>
      </c>
      <c r="D158">
        <v>852.10872576176996</v>
      </c>
      <c r="E158">
        <v>338.72783933518002</v>
      </c>
      <c r="F158">
        <v>139.02423822714999</v>
      </c>
      <c r="G158">
        <v>117.92520775622999</v>
      </c>
      <c r="I158" s="9">
        <f t="shared" si="15"/>
        <v>220.80263157895001</v>
      </c>
      <c r="J158" s="9">
        <f t="shared" si="16"/>
        <v>713.08448753461994</v>
      </c>
      <c r="K158" s="9">
        <f t="shared" si="17"/>
        <v>220.80263157895001</v>
      </c>
      <c r="L158" s="10">
        <f t="shared" si="14"/>
        <v>0.30964441863311482</v>
      </c>
      <c r="M158" s="10">
        <f t="shared" si="18"/>
        <v>0.31896779563119837</v>
      </c>
      <c r="P158" s="8">
        <f t="shared" si="19"/>
        <v>13.149910105813653</v>
      </c>
    </row>
    <row r="159" spans="1:16" x14ac:dyDescent="0.2">
      <c r="A159" s="8">
        <v>78.5</v>
      </c>
      <c r="B159" s="8">
        <v>157</v>
      </c>
      <c r="D159">
        <v>812.68490304708996</v>
      </c>
      <c r="E159">
        <v>332.08240997230001</v>
      </c>
      <c r="F159">
        <v>138.78462603878</v>
      </c>
      <c r="G159">
        <v>118.01454293629</v>
      </c>
      <c r="I159" s="9">
        <f t="shared" si="15"/>
        <v>214.06786703601</v>
      </c>
      <c r="J159" s="9">
        <f t="shared" si="16"/>
        <v>673.90027700831001</v>
      </c>
      <c r="K159" s="9">
        <f t="shared" si="17"/>
        <v>214.06786703601</v>
      </c>
      <c r="L159" s="10">
        <f t="shared" si="14"/>
        <v>0.31765511061419299</v>
      </c>
      <c r="M159" s="10">
        <f t="shared" si="18"/>
        <v>0.32703825284944377</v>
      </c>
      <c r="P159" s="8">
        <f t="shared" si="19"/>
        <v>16.012805737487774</v>
      </c>
    </row>
    <row r="160" spans="1:16" x14ac:dyDescent="0.2">
      <c r="A160" s="8">
        <v>79</v>
      </c>
      <c r="B160" s="8">
        <v>158</v>
      </c>
      <c r="D160">
        <v>830.86139986139995</v>
      </c>
      <c r="E160">
        <v>332.30214830214999</v>
      </c>
      <c r="F160">
        <v>138.50969529086001</v>
      </c>
      <c r="G160">
        <v>117.75969529085999</v>
      </c>
      <c r="I160" s="9">
        <f t="shared" si="15"/>
        <v>214.54245301128998</v>
      </c>
      <c r="J160" s="9">
        <f t="shared" si="16"/>
        <v>692.35170457053994</v>
      </c>
      <c r="K160" s="9">
        <f t="shared" si="17"/>
        <v>214.54245301128998</v>
      </c>
      <c r="L160" s="10">
        <f t="shared" si="14"/>
        <v>0.30987495458593389</v>
      </c>
      <c r="M160" s="10">
        <f t="shared" si="18"/>
        <v>0.31931786205835189</v>
      </c>
      <c r="P160" s="8">
        <f t="shared" si="19"/>
        <v>13.274091873710002</v>
      </c>
    </row>
    <row r="161" spans="1:16" x14ac:dyDescent="0.2">
      <c r="A161" s="8">
        <v>79.5</v>
      </c>
      <c r="B161" s="8">
        <v>159</v>
      </c>
      <c r="D161">
        <v>854.76368676368998</v>
      </c>
      <c r="E161">
        <v>336.36867636867998</v>
      </c>
      <c r="F161">
        <v>139.32132963989</v>
      </c>
      <c r="G161">
        <v>117.6336565097</v>
      </c>
      <c r="I161" s="9">
        <f t="shared" si="15"/>
        <v>218.73501985897997</v>
      </c>
      <c r="J161" s="9">
        <f t="shared" si="16"/>
        <v>715.44235712379998</v>
      </c>
      <c r="K161" s="9">
        <f t="shared" si="17"/>
        <v>218.73501985897997</v>
      </c>
      <c r="L161" s="10">
        <f t="shared" si="14"/>
        <v>0.30573395282092602</v>
      </c>
      <c r="M161" s="10">
        <f t="shared" si="18"/>
        <v>0.31523662553051118</v>
      </c>
      <c r="P161" s="8">
        <f t="shared" si="19"/>
        <v>11.826323313464261</v>
      </c>
    </row>
    <row r="162" spans="1:16" x14ac:dyDescent="0.2">
      <c r="A162" s="8">
        <v>80</v>
      </c>
      <c r="B162" s="4">
        <v>160</v>
      </c>
      <c r="C162" s="4" t="s">
        <v>6</v>
      </c>
      <c r="D162">
        <v>832.59792387542996</v>
      </c>
      <c r="E162">
        <v>331.81107266435998</v>
      </c>
      <c r="F162">
        <v>138.55193905817001</v>
      </c>
      <c r="G162">
        <v>117.71121883657</v>
      </c>
      <c r="H162" s="4"/>
      <c r="I162" s="5">
        <f t="shared" si="15"/>
        <v>214.09985382778999</v>
      </c>
      <c r="J162" s="5">
        <f t="shared" si="16"/>
        <v>694.04598481725998</v>
      </c>
      <c r="K162" s="9">
        <f t="shared" si="17"/>
        <v>214.09985382778999</v>
      </c>
      <c r="L162" s="6">
        <f t="shared" si="14"/>
        <v>0.30848079019456004</v>
      </c>
      <c r="M162" s="6">
        <f t="shared" si="18"/>
        <v>0.31804322814131242</v>
      </c>
      <c r="N162" s="4"/>
      <c r="O162" s="4"/>
      <c r="P162" s="4">
        <f t="shared" si="19"/>
        <v>12.821931138029985</v>
      </c>
    </row>
    <row r="163" spans="1:16" x14ac:dyDescent="0.2">
      <c r="A163" s="8">
        <v>80.5</v>
      </c>
      <c r="B163" s="8">
        <v>161</v>
      </c>
      <c r="D163">
        <v>817.23598615917001</v>
      </c>
      <c r="E163">
        <v>329.93356401384</v>
      </c>
      <c r="F163">
        <v>139.05886426593</v>
      </c>
      <c r="G163">
        <v>117.52977839335</v>
      </c>
      <c r="I163" s="9">
        <f t="shared" si="15"/>
        <v>212.40378562049</v>
      </c>
      <c r="J163" s="9">
        <f t="shared" si="16"/>
        <v>678.17712189324004</v>
      </c>
      <c r="K163" s="9">
        <f t="shared" si="17"/>
        <v>212.40378562049</v>
      </c>
      <c r="L163" s="10">
        <f t="shared" si="14"/>
        <v>0.31319809938077947</v>
      </c>
      <c r="M163" s="10">
        <f t="shared" si="18"/>
        <v>0.32282030256469907</v>
      </c>
      <c r="P163" s="8">
        <f t="shared" si="19"/>
        <v>14.516539650169422</v>
      </c>
    </row>
    <row r="164" spans="1:16" x14ac:dyDescent="0.2">
      <c r="A164" s="8">
        <v>81</v>
      </c>
      <c r="B164" s="8">
        <v>162</v>
      </c>
      <c r="D164">
        <v>840.88466850829002</v>
      </c>
      <c r="E164">
        <v>327.02693370166003</v>
      </c>
      <c r="F164">
        <v>138.34141274237999</v>
      </c>
      <c r="G164">
        <v>117.59002770083001</v>
      </c>
      <c r="I164" s="9">
        <f t="shared" si="15"/>
        <v>209.43690600083002</v>
      </c>
      <c r="J164" s="9">
        <f t="shared" si="16"/>
        <v>702.54325576591009</v>
      </c>
      <c r="K164" s="9">
        <f t="shared" si="17"/>
        <v>209.43690600083002</v>
      </c>
      <c r="L164" s="10">
        <f t="shared" si="14"/>
        <v>0.29811247105703503</v>
      </c>
      <c r="M164" s="10">
        <f t="shared" si="18"/>
        <v>0.3077944394781218</v>
      </c>
      <c r="P164" s="8">
        <f t="shared" si="19"/>
        <v>9.186299165721632</v>
      </c>
    </row>
    <row r="165" spans="1:16" x14ac:dyDescent="0.2">
      <c r="A165" s="8">
        <v>81.5</v>
      </c>
      <c r="B165" s="8">
        <v>163</v>
      </c>
      <c r="D165">
        <v>854.67817679558004</v>
      </c>
      <c r="E165">
        <v>321.71616022098999</v>
      </c>
      <c r="F165">
        <v>138.80678670360001</v>
      </c>
      <c r="G165">
        <v>117.85734072021999</v>
      </c>
      <c r="I165" s="9">
        <f t="shared" si="15"/>
        <v>203.85881950076998</v>
      </c>
      <c r="J165" s="9">
        <f t="shared" si="16"/>
        <v>715.87139009198006</v>
      </c>
      <c r="K165" s="9">
        <f t="shared" si="17"/>
        <v>203.85881950076998</v>
      </c>
      <c r="L165" s="10">
        <f t="shared" si="14"/>
        <v>0.28477017285825157</v>
      </c>
      <c r="M165" s="10">
        <f t="shared" si="18"/>
        <v>0.29451190651650555</v>
      </c>
      <c r="P165" s="8">
        <f t="shared" si="19"/>
        <v>4.4744836433730679</v>
      </c>
    </row>
    <row r="166" spans="1:16" x14ac:dyDescent="0.2">
      <c r="A166" s="8">
        <v>82</v>
      </c>
      <c r="B166" s="8">
        <v>164</v>
      </c>
      <c r="D166">
        <v>851.94475138122004</v>
      </c>
      <c r="E166">
        <v>317.97444751380999</v>
      </c>
      <c r="F166">
        <v>138.84626038780999</v>
      </c>
      <c r="G166">
        <v>117.73476454294</v>
      </c>
      <c r="I166" s="9">
        <f t="shared" si="15"/>
        <v>200.23968297086998</v>
      </c>
      <c r="J166" s="9">
        <f t="shared" si="16"/>
        <v>713.09849099341</v>
      </c>
      <c r="K166" s="9">
        <f t="shared" si="17"/>
        <v>200.23968297086998</v>
      </c>
      <c r="L166" s="10">
        <f t="shared" si="14"/>
        <v>0.28080228117145245</v>
      </c>
      <c r="M166" s="10">
        <f t="shared" si="18"/>
        <v>0.29060378006687365</v>
      </c>
      <c r="P166" s="8">
        <f t="shared" si="19"/>
        <v>3.0881237584105943</v>
      </c>
    </row>
    <row r="167" spans="1:16" x14ac:dyDescent="0.2">
      <c r="A167" s="8">
        <v>82.5</v>
      </c>
      <c r="B167" s="8">
        <v>165</v>
      </c>
      <c r="D167">
        <v>840.52700831025004</v>
      </c>
      <c r="E167">
        <v>312.28185595567999</v>
      </c>
      <c r="F167">
        <v>139.28670360110999</v>
      </c>
      <c r="G167">
        <v>117.70498614957999</v>
      </c>
      <c r="I167" s="9">
        <f t="shared" si="15"/>
        <v>194.57686980609998</v>
      </c>
      <c r="J167" s="9">
        <f t="shared" si="16"/>
        <v>701.24030470913999</v>
      </c>
      <c r="K167" s="9">
        <f t="shared" si="17"/>
        <v>194.57686980609998</v>
      </c>
      <c r="L167" s="10">
        <f t="shared" si="14"/>
        <v>0.27747530839204465</v>
      </c>
      <c r="M167" s="10">
        <f t="shared" si="18"/>
        <v>0.28733657252463302</v>
      </c>
      <c r="P167" s="8">
        <f t="shared" si="19"/>
        <v>1.9291219884356527</v>
      </c>
    </row>
    <row r="168" spans="1:16" x14ac:dyDescent="0.2">
      <c r="A168" s="8">
        <v>83</v>
      </c>
      <c r="B168" s="8">
        <v>166</v>
      </c>
      <c r="D168">
        <v>833.96329639888995</v>
      </c>
      <c r="E168">
        <v>305.85734072022001</v>
      </c>
      <c r="F168">
        <v>139.09349030471</v>
      </c>
      <c r="G168">
        <v>117.81371191136</v>
      </c>
      <c r="I168" s="9">
        <f t="shared" si="15"/>
        <v>188.04362880886001</v>
      </c>
      <c r="J168" s="9">
        <f t="shared" si="16"/>
        <v>694.86980609417992</v>
      </c>
      <c r="K168" s="9">
        <f t="shared" si="17"/>
        <v>188.04362880886001</v>
      </c>
      <c r="L168" s="10">
        <f t="shared" si="14"/>
        <v>0.27061706690903953</v>
      </c>
      <c r="M168" s="10">
        <f t="shared" si="18"/>
        <v>0.28053809627879511</v>
      </c>
      <c r="P168" s="8">
        <f t="shared" si="19"/>
        <v>-0.48255400710120777</v>
      </c>
    </row>
    <row r="169" spans="1:16" x14ac:dyDescent="0.2">
      <c r="A169" s="8">
        <v>83.5</v>
      </c>
      <c r="B169" s="8">
        <v>167</v>
      </c>
      <c r="D169">
        <v>823.72922437673003</v>
      </c>
      <c r="E169">
        <v>299.27770083103002</v>
      </c>
      <c r="F169">
        <v>139.58171745152001</v>
      </c>
      <c r="G169">
        <v>117.94529085873</v>
      </c>
      <c r="I169" s="9">
        <f t="shared" si="15"/>
        <v>181.33240997230001</v>
      </c>
      <c r="J169" s="9">
        <f t="shared" si="16"/>
        <v>684.14750692521</v>
      </c>
      <c r="K169" s="9">
        <f t="shared" si="17"/>
        <v>181.33240997230001</v>
      </c>
      <c r="L169" s="10">
        <f t="shared" si="14"/>
        <v>0.26504870387859647</v>
      </c>
      <c r="M169" s="10">
        <f t="shared" si="18"/>
        <v>0.27502949848551927</v>
      </c>
      <c r="P169" s="8">
        <f t="shared" si="19"/>
        <v>-2.4366614551111709</v>
      </c>
    </row>
    <row r="170" spans="1:16" x14ac:dyDescent="0.2">
      <c r="A170" s="8">
        <v>84</v>
      </c>
      <c r="B170" s="8">
        <v>168</v>
      </c>
      <c r="D170">
        <v>808.71052631579005</v>
      </c>
      <c r="E170">
        <v>294.09626038780999</v>
      </c>
      <c r="F170">
        <v>139.53116343490001</v>
      </c>
      <c r="G170">
        <v>117.86288088643001</v>
      </c>
      <c r="I170" s="9">
        <f t="shared" si="15"/>
        <v>176.23337950138</v>
      </c>
      <c r="J170" s="9">
        <f t="shared" si="16"/>
        <v>669.17936288089004</v>
      </c>
      <c r="K170" s="9">
        <f t="shared" si="17"/>
        <v>176.23337950138</v>
      </c>
      <c r="L170" s="10">
        <f t="shared" si="14"/>
        <v>0.26335746330053589</v>
      </c>
      <c r="M170" s="10">
        <f t="shared" si="18"/>
        <v>0.27339802314462586</v>
      </c>
      <c r="P170" s="8">
        <f t="shared" si="19"/>
        <v>-3.0154073056025616</v>
      </c>
    </row>
    <row r="171" spans="1:16" x14ac:dyDescent="0.2">
      <c r="A171" s="8">
        <v>84.5</v>
      </c>
      <c r="B171" s="8">
        <v>169</v>
      </c>
      <c r="D171">
        <v>807.78462603877995</v>
      </c>
      <c r="E171">
        <v>287.87257617729</v>
      </c>
      <c r="F171">
        <v>139.33240997230001</v>
      </c>
      <c r="G171">
        <v>118.1987534626</v>
      </c>
      <c r="I171" s="9">
        <f t="shared" si="15"/>
        <v>169.67382271469</v>
      </c>
      <c r="J171" s="9">
        <f t="shared" si="16"/>
        <v>668.45221606647988</v>
      </c>
      <c r="K171" s="9">
        <f t="shared" si="17"/>
        <v>169.67382271469</v>
      </c>
      <c r="L171" s="10">
        <f t="shared" si="14"/>
        <v>0.25383089267493036</v>
      </c>
      <c r="M171" s="10">
        <f t="shared" si="18"/>
        <v>0.26393121775618755</v>
      </c>
      <c r="P171" s="8">
        <f t="shared" si="19"/>
        <v>-6.3736403101957535</v>
      </c>
    </row>
    <row r="172" spans="1:16" x14ac:dyDescent="0.2">
      <c r="A172" s="8">
        <v>85</v>
      </c>
      <c r="B172" s="8">
        <v>170</v>
      </c>
      <c r="D172">
        <v>824.46675900277</v>
      </c>
      <c r="E172">
        <v>286.31371191135997</v>
      </c>
      <c r="F172">
        <v>139.54501385041999</v>
      </c>
      <c r="G172">
        <v>117.88434903047001</v>
      </c>
      <c r="I172" s="9">
        <f t="shared" si="15"/>
        <v>168.42936288088998</v>
      </c>
      <c r="J172" s="9">
        <f t="shared" si="16"/>
        <v>684.92174515235001</v>
      </c>
      <c r="K172" s="9">
        <f t="shared" si="17"/>
        <v>168.42936288088998</v>
      </c>
      <c r="L172" s="10">
        <f t="shared" si="14"/>
        <v>0.24591037453983233</v>
      </c>
      <c r="M172" s="10">
        <f t="shared" si="18"/>
        <v>0.25607046485825674</v>
      </c>
      <c r="P172" s="8">
        <f t="shared" si="19"/>
        <v>-9.1621459084013193</v>
      </c>
    </row>
    <row r="173" spans="1:16" x14ac:dyDescent="0.2">
      <c r="A173" s="8">
        <v>85.5</v>
      </c>
      <c r="B173" s="8">
        <v>171</v>
      </c>
      <c r="D173">
        <v>814.72853185596</v>
      </c>
      <c r="E173">
        <v>281.74792243767001</v>
      </c>
      <c r="F173">
        <v>139.97229916897999</v>
      </c>
      <c r="G173">
        <v>117.78185595568</v>
      </c>
      <c r="I173" s="9">
        <f t="shared" si="15"/>
        <v>163.96606648199003</v>
      </c>
      <c r="J173" s="9">
        <f t="shared" si="16"/>
        <v>674.75623268697996</v>
      </c>
      <c r="K173" s="9">
        <f t="shared" si="17"/>
        <v>163.96606648199003</v>
      </c>
      <c r="L173" s="10">
        <f t="shared" si="14"/>
        <v>0.24300044747871791</v>
      </c>
      <c r="M173" s="10">
        <f t="shared" si="18"/>
        <v>0.25322030303430954</v>
      </c>
      <c r="P173" s="8">
        <f t="shared" si="19"/>
        <v>-10.173205829132403</v>
      </c>
    </row>
    <row r="174" spans="1:16" x14ac:dyDescent="0.2">
      <c r="A174" s="8">
        <v>86</v>
      </c>
      <c r="B174" s="8">
        <v>172</v>
      </c>
      <c r="D174">
        <v>817.03670360111005</v>
      </c>
      <c r="E174">
        <v>276.49168975069</v>
      </c>
      <c r="F174">
        <v>139.20844875346</v>
      </c>
      <c r="G174">
        <v>117.79155124654</v>
      </c>
      <c r="I174" s="9">
        <f t="shared" si="15"/>
        <v>158.70013850415</v>
      </c>
      <c r="J174" s="9">
        <f t="shared" si="16"/>
        <v>677.82825484764999</v>
      </c>
      <c r="K174" s="9">
        <f t="shared" si="17"/>
        <v>158.70013850415</v>
      </c>
      <c r="L174" s="10">
        <f t="shared" si="14"/>
        <v>0.23413030862783932</v>
      </c>
      <c r="M174" s="10">
        <f t="shared" si="18"/>
        <v>0.24440992942059811</v>
      </c>
      <c r="P174" s="8">
        <f t="shared" si="19"/>
        <v>-13.298577719474345</v>
      </c>
    </row>
    <row r="175" spans="1:16" x14ac:dyDescent="0.2">
      <c r="A175" s="8">
        <v>86.5</v>
      </c>
      <c r="B175" s="8">
        <v>173</v>
      </c>
      <c r="D175">
        <v>811.82132963989</v>
      </c>
      <c r="E175">
        <v>271.95429362880998</v>
      </c>
      <c r="F175">
        <v>139.65858725762001</v>
      </c>
      <c r="G175">
        <v>118.20567867036</v>
      </c>
      <c r="I175" s="9">
        <f t="shared" si="15"/>
        <v>153.74861495844999</v>
      </c>
      <c r="J175" s="9">
        <f t="shared" si="16"/>
        <v>672.16274238226993</v>
      </c>
      <c r="K175" s="9">
        <f t="shared" si="17"/>
        <v>153.74861495844999</v>
      </c>
      <c r="L175" s="10">
        <f t="shared" si="14"/>
        <v>0.22873718708885332</v>
      </c>
      <c r="M175" s="10">
        <f t="shared" si="18"/>
        <v>0.23907657311877933</v>
      </c>
      <c r="P175" s="8">
        <f t="shared" si="19"/>
        <v>-15.190520399514748</v>
      </c>
    </row>
    <row r="176" spans="1:16" x14ac:dyDescent="0.2">
      <c r="A176" s="8">
        <v>87</v>
      </c>
      <c r="B176" s="8">
        <v>174</v>
      </c>
      <c r="D176">
        <v>812.49238227146998</v>
      </c>
      <c r="E176">
        <v>269.51592797784002</v>
      </c>
      <c r="F176">
        <v>139.35734072022001</v>
      </c>
      <c r="G176">
        <v>118.26177285319</v>
      </c>
      <c r="I176" s="9">
        <f t="shared" si="15"/>
        <v>151.25415512465003</v>
      </c>
      <c r="J176" s="9">
        <f t="shared" si="16"/>
        <v>673.13504155124997</v>
      </c>
      <c r="K176" s="9">
        <f t="shared" si="17"/>
        <v>151.25415512465003</v>
      </c>
      <c r="L176" s="10">
        <f t="shared" si="14"/>
        <v>0.22470105667962631</v>
      </c>
      <c r="M176" s="10">
        <f t="shared" si="18"/>
        <v>0.23510020794671951</v>
      </c>
      <c r="P176" s="8">
        <f t="shared" si="19"/>
        <v>-16.601087133614374</v>
      </c>
    </row>
    <row r="177" spans="1:16" x14ac:dyDescent="0.2">
      <c r="A177" s="8">
        <v>87.5</v>
      </c>
      <c r="B177" s="8">
        <v>175</v>
      </c>
      <c r="D177">
        <v>814.95429362880998</v>
      </c>
      <c r="E177">
        <v>266.26523545705999</v>
      </c>
      <c r="F177">
        <v>139.09002770083001</v>
      </c>
      <c r="G177">
        <v>118.40650969529</v>
      </c>
      <c r="I177" s="9">
        <f t="shared" si="15"/>
        <v>147.85872576176999</v>
      </c>
      <c r="J177" s="9">
        <f t="shared" si="16"/>
        <v>675.86426592798</v>
      </c>
      <c r="K177" s="9">
        <f t="shared" si="17"/>
        <v>147.85872576176999</v>
      </c>
      <c r="L177" s="10">
        <f t="shared" si="14"/>
        <v>0.21876985249213604</v>
      </c>
      <c r="M177" s="10">
        <f t="shared" si="18"/>
        <v>0.22922876899639644</v>
      </c>
      <c r="P177" s="8">
        <f t="shared" si="19"/>
        <v>-18.683908028138088</v>
      </c>
    </row>
    <row r="178" spans="1:16" x14ac:dyDescent="0.2">
      <c r="A178" s="8">
        <v>88</v>
      </c>
      <c r="B178" s="8">
        <v>176</v>
      </c>
      <c r="D178">
        <v>834.56786703601006</v>
      </c>
      <c r="E178">
        <v>266.17313019391003</v>
      </c>
      <c r="F178">
        <v>139.56578947368001</v>
      </c>
      <c r="G178">
        <v>117.75069252078001</v>
      </c>
      <c r="I178" s="9">
        <f t="shared" si="15"/>
        <v>148.42243767313002</v>
      </c>
      <c r="J178" s="9">
        <f t="shared" si="16"/>
        <v>695.00207756232999</v>
      </c>
      <c r="K178" s="9">
        <f t="shared" si="17"/>
        <v>148.42243767313002</v>
      </c>
      <c r="L178" s="10">
        <f t="shared" si="14"/>
        <v>0.21355682589282479</v>
      </c>
      <c r="M178" s="10">
        <f t="shared" si="18"/>
        <v>0.22407550763425241</v>
      </c>
      <c r="P178" s="8">
        <f t="shared" si="19"/>
        <v>-20.511964239030771</v>
      </c>
    </row>
    <row r="179" spans="1:16" x14ac:dyDescent="0.2">
      <c r="A179" s="8">
        <v>88.5</v>
      </c>
      <c r="B179" s="8">
        <v>177</v>
      </c>
      <c r="D179">
        <v>834.52008310249005</v>
      </c>
      <c r="E179">
        <v>264.3095567867</v>
      </c>
      <c r="F179">
        <v>139.66551246537</v>
      </c>
      <c r="G179">
        <v>118.31371191136</v>
      </c>
      <c r="I179" s="9">
        <f t="shared" si="15"/>
        <v>145.99584487534</v>
      </c>
      <c r="J179" s="9">
        <f t="shared" si="16"/>
        <v>694.8545706371201</v>
      </c>
      <c r="K179" s="9">
        <f t="shared" si="17"/>
        <v>145.99584487534</v>
      </c>
      <c r="L179" s="10">
        <f t="shared" si="14"/>
        <v>0.21010992953744945</v>
      </c>
      <c r="M179" s="10">
        <f t="shared" si="18"/>
        <v>0.22068837651604425</v>
      </c>
      <c r="P179" s="8">
        <f t="shared" si="19"/>
        <v>-21.713507425493979</v>
      </c>
    </row>
    <row r="180" spans="1:16" x14ac:dyDescent="0.2">
      <c r="A180" s="8">
        <v>89</v>
      </c>
      <c r="B180" s="8">
        <v>178</v>
      </c>
      <c r="D180">
        <v>836.04085872576002</v>
      </c>
      <c r="E180">
        <v>260.81994459833999</v>
      </c>
      <c r="F180">
        <v>139.90304709141</v>
      </c>
      <c r="G180">
        <v>118.29847645429</v>
      </c>
      <c r="I180" s="9">
        <f t="shared" si="15"/>
        <v>142.52146814405</v>
      </c>
      <c r="J180" s="9">
        <f t="shared" si="16"/>
        <v>696.13781163434999</v>
      </c>
      <c r="K180" s="9">
        <f t="shared" si="17"/>
        <v>142.52146814405</v>
      </c>
      <c r="L180" s="10">
        <f t="shared" si="14"/>
        <v>0.20473168640193065</v>
      </c>
      <c r="M180" s="10">
        <f t="shared" si="18"/>
        <v>0.21536989861769268</v>
      </c>
      <c r="P180" s="8">
        <f t="shared" si="19"/>
        <v>-23.600172174539814</v>
      </c>
    </row>
    <row r="181" spans="1:16" x14ac:dyDescent="0.2">
      <c r="A181" s="8">
        <v>89.5</v>
      </c>
      <c r="B181" s="8">
        <v>179</v>
      </c>
      <c r="D181">
        <v>832.73961218836996</v>
      </c>
      <c r="E181">
        <v>255.77146814404</v>
      </c>
      <c r="F181">
        <v>139.96260387812001</v>
      </c>
      <c r="G181">
        <v>118.39612188366</v>
      </c>
      <c r="I181" s="9">
        <f t="shared" si="15"/>
        <v>137.37534626038001</v>
      </c>
      <c r="J181" s="9">
        <f t="shared" si="16"/>
        <v>692.77700831024993</v>
      </c>
      <c r="K181" s="9">
        <f t="shared" si="17"/>
        <v>137.37534626038001</v>
      </c>
      <c r="L181" s="10">
        <f t="shared" si="14"/>
        <v>0.19829663024679725</v>
      </c>
      <c r="M181" s="10">
        <f t="shared" si="18"/>
        <v>0.20899460769972647</v>
      </c>
      <c r="P181" s="8">
        <f t="shared" si="19"/>
        <v>-25.861728369699883</v>
      </c>
    </row>
    <row r="182" spans="1:16" x14ac:dyDescent="0.2">
      <c r="A182" s="8">
        <v>90</v>
      </c>
      <c r="B182" s="8">
        <v>180</v>
      </c>
      <c r="D182">
        <v>828.40927977838999</v>
      </c>
      <c r="E182">
        <v>255.06163434902999</v>
      </c>
      <c r="F182">
        <v>139.92313019391</v>
      </c>
      <c r="G182">
        <v>118.32271468144</v>
      </c>
      <c r="I182" s="9">
        <f t="shared" si="15"/>
        <v>136.73891966758998</v>
      </c>
      <c r="J182" s="9">
        <f t="shared" si="16"/>
        <v>688.48614958448002</v>
      </c>
      <c r="K182" s="9">
        <f t="shared" si="17"/>
        <v>136.73891966758998</v>
      </c>
      <c r="L182" s="10">
        <f t="shared" si="14"/>
        <v>0.19860809073663371</v>
      </c>
      <c r="M182" s="10">
        <f>L182+ABS($N$2)*A182</f>
        <v>0.20936583342673012</v>
      </c>
      <c r="P182" s="8">
        <f t="shared" si="19"/>
        <v>-25.730040599916393</v>
      </c>
    </row>
    <row r="183" spans="1:16" x14ac:dyDescent="0.2">
      <c r="A183" s="8">
        <v>90.5</v>
      </c>
      <c r="B183" s="8">
        <v>181</v>
      </c>
      <c r="D183">
        <v>830.88850415513002</v>
      </c>
      <c r="E183">
        <v>253.50484764543</v>
      </c>
      <c r="F183">
        <v>139.45360110803</v>
      </c>
      <c r="G183">
        <v>118.32340720222</v>
      </c>
      <c r="I183" s="9">
        <f t="shared" si="15"/>
        <v>135.18144044321002</v>
      </c>
      <c r="J183" s="9">
        <f t="shared" si="16"/>
        <v>691.43490304710008</v>
      </c>
      <c r="K183" s="9">
        <f t="shared" si="17"/>
        <v>135.18144044321002</v>
      </c>
      <c r="L183" s="10">
        <f t="shared" si="14"/>
        <v>0.19550855741802428</v>
      </c>
      <c r="M183" s="10">
        <f t="shared" ref="M183:M241" si="20">L183+ABS($N$2)*A183</f>
        <v>0.20632606534528791</v>
      </c>
      <c r="P183" s="8">
        <f t="shared" si="19"/>
        <v>-26.808361013038578</v>
      </c>
    </row>
    <row r="184" spans="1:16" x14ac:dyDescent="0.2">
      <c r="A184" s="8">
        <v>91</v>
      </c>
      <c r="B184" s="8">
        <v>182</v>
      </c>
      <c r="D184">
        <v>852.06717451524003</v>
      </c>
      <c r="E184">
        <v>255.67590027700999</v>
      </c>
      <c r="F184">
        <v>139.78116343490001</v>
      </c>
      <c r="G184">
        <v>118.32894736842</v>
      </c>
      <c r="I184" s="9">
        <f t="shared" si="15"/>
        <v>137.34695290858997</v>
      </c>
      <c r="J184" s="9">
        <f t="shared" si="16"/>
        <v>712.28601108034002</v>
      </c>
      <c r="K184" s="9">
        <f t="shared" si="17"/>
        <v>137.34695290858997</v>
      </c>
      <c r="L184" s="10">
        <f t="shared" si="14"/>
        <v>0.19282556553409325</v>
      </c>
      <c r="M184" s="10">
        <f t="shared" si="20"/>
        <v>0.20370283869852407</v>
      </c>
      <c r="P184" s="8">
        <f t="shared" si="19"/>
        <v>-27.738918465339175</v>
      </c>
    </row>
    <row r="185" spans="1:16" x14ac:dyDescent="0.2">
      <c r="A185" s="8">
        <v>91.5</v>
      </c>
      <c r="B185" s="8">
        <v>183</v>
      </c>
      <c r="D185">
        <v>829.95221606647999</v>
      </c>
      <c r="E185">
        <v>251.85664819945001</v>
      </c>
      <c r="F185">
        <v>139.76939058171999</v>
      </c>
      <c r="G185">
        <v>118.24307479223999</v>
      </c>
      <c r="I185" s="9">
        <f t="shared" si="15"/>
        <v>133.61357340721003</v>
      </c>
      <c r="J185" s="9">
        <f t="shared" si="16"/>
        <v>690.18282548475997</v>
      </c>
      <c r="K185" s="9">
        <f t="shared" si="17"/>
        <v>133.61357340721003</v>
      </c>
      <c r="L185" s="10">
        <f t="shared" si="14"/>
        <v>0.19359156512387074</v>
      </c>
      <c r="M185" s="10">
        <f t="shared" si="20"/>
        <v>0.20452860352546876</v>
      </c>
      <c r="P185" s="8">
        <f t="shared" si="19"/>
        <v>-27.445988529411196</v>
      </c>
    </row>
    <row r="186" spans="1:16" x14ac:dyDescent="0.2">
      <c r="A186" s="8">
        <v>92</v>
      </c>
      <c r="B186" s="8">
        <v>184</v>
      </c>
      <c r="D186">
        <v>829.58864265928003</v>
      </c>
      <c r="E186">
        <v>250.99376731301999</v>
      </c>
      <c r="F186">
        <v>140.32063711910999</v>
      </c>
      <c r="G186">
        <v>118.0228531856</v>
      </c>
      <c r="I186" s="9">
        <f t="shared" si="15"/>
        <v>132.97091412741997</v>
      </c>
      <c r="J186" s="9">
        <f t="shared" si="16"/>
        <v>689.26800554017007</v>
      </c>
      <c r="K186" s="9">
        <f t="shared" si="17"/>
        <v>132.97091412741997</v>
      </c>
      <c r="L186" s="10">
        <f t="shared" si="14"/>
        <v>0.19291612704874131</v>
      </c>
      <c r="M186" s="10">
        <f t="shared" si="20"/>
        <v>0.20391293068750654</v>
      </c>
      <c r="P186" s="8">
        <f t="shared" si="19"/>
        <v>-27.664390911169395</v>
      </c>
    </row>
    <row r="187" spans="1:16" x14ac:dyDescent="0.2">
      <c r="A187" s="8">
        <v>92.5</v>
      </c>
      <c r="B187" s="8">
        <v>185</v>
      </c>
      <c r="D187">
        <v>813.34487534625998</v>
      </c>
      <c r="E187">
        <v>248.5595567867</v>
      </c>
      <c r="F187">
        <v>140.08171745152001</v>
      </c>
      <c r="G187">
        <v>118.50831024931</v>
      </c>
      <c r="I187" s="9">
        <f t="shared" si="15"/>
        <v>130.05124653739</v>
      </c>
      <c r="J187" s="9">
        <f t="shared" si="16"/>
        <v>673.26315789473995</v>
      </c>
      <c r="K187" s="9">
        <f t="shared" si="17"/>
        <v>130.05124653739</v>
      </c>
      <c r="L187" s="10">
        <f t="shared" si="14"/>
        <v>0.19316554754615373</v>
      </c>
      <c r="M187" s="10">
        <f t="shared" si="20"/>
        <v>0.20422211642208615</v>
      </c>
      <c r="P187" s="8">
        <f t="shared" si="19"/>
        <v>-27.554711067144851</v>
      </c>
    </row>
    <row r="188" spans="1:16" x14ac:dyDescent="0.2">
      <c r="A188" s="8">
        <v>93</v>
      </c>
      <c r="B188" s="8">
        <v>186</v>
      </c>
      <c r="D188">
        <v>805.10595567866994</v>
      </c>
      <c r="E188">
        <v>246.59903047091001</v>
      </c>
      <c r="F188">
        <v>140.19806094182999</v>
      </c>
      <c r="G188">
        <v>118.49307479223999</v>
      </c>
      <c r="I188" s="9">
        <f t="shared" si="15"/>
        <v>128.10595567867</v>
      </c>
      <c r="J188" s="9">
        <f t="shared" si="16"/>
        <v>664.90789473683992</v>
      </c>
      <c r="K188" s="9">
        <f t="shared" si="17"/>
        <v>128.10595567867</v>
      </c>
      <c r="L188" s="10">
        <f t="shared" si="14"/>
        <v>0.19266722006567891</v>
      </c>
      <c r="M188" s="10">
        <f t="shared" si="20"/>
        <v>0.20378355417877855</v>
      </c>
      <c r="P188" s="8">
        <f t="shared" si="19"/>
        <v>-27.710285639517778</v>
      </c>
    </row>
    <row r="189" spans="1:16" x14ac:dyDescent="0.2">
      <c r="A189" s="8">
        <v>93.5</v>
      </c>
      <c r="B189" s="8">
        <v>187</v>
      </c>
      <c r="D189">
        <v>821.75484764543</v>
      </c>
      <c r="E189">
        <v>248.43421052631999</v>
      </c>
      <c r="F189">
        <v>140.30817174514999</v>
      </c>
      <c r="G189">
        <v>118.28324099723</v>
      </c>
      <c r="I189" s="9">
        <f t="shared" si="15"/>
        <v>130.15096952908999</v>
      </c>
      <c r="J189" s="9">
        <f t="shared" si="16"/>
        <v>681.44667590028007</v>
      </c>
      <c r="K189" s="9">
        <f t="shared" si="17"/>
        <v>130.15096952908999</v>
      </c>
      <c r="L189" s="10">
        <f t="shared" si="14"/>
        <v>0.19099215555955801</v>
      </c>
      <c r="M189" s="10">
        <f t="shared" si="20"/>
        <v>0.20216825490982485</v>
      </c>
      <c r="P189" s="8">
        <f t="shared" si="19"/>
        <v>-28.283293227053118</v>
      </c>
    </row>
    <row r="190" spans="1:16" x14ac:dyDescent="0.2">
      <c r="A190" s="8">
        <v>94</v>
      </c>
      <c r="B190" s="8">
        <v>188</v>
      </c>
      <c r="D190">
        <v>825.15789473684003</v>
      </c>
      <c r="E190">
        <v>249.24861495844999</v>
      </c>
      <c r="F190">
        <v>139.90512465373999</v>
      </c>
      <c r="G190">
        <v>118.02700831025</v>
      </c>
      <c r="I190" s="9">
        <f t="shared" si="15"/>
        <v>131.22160664820001</v>
      </c>
      <c r="J190" s="9">
        <f t="shared" si="16"/>
        <v>685.25277008310002</v>
      </c>
      <c r="K190" s="9">
        <f t="shared" si="17"/>
        <v>131.22160664820001</v>
      </c>
      <c r="L190" s="10">
        <f t="shared" si="14"/>
        <v>0.19149372666131195</v>
      </c>
      <c r="M190" s="10">
        <f t="shared" si="20"/>
        <v>0.20272959124874598</v>
      </c>
      <c r="P190" s="8">
        <f t="shared" si="19"/>
        <v>-28.084166051338201</v>
      </c>
    </row>
    <row r="191" spans="1:16" x14ac:dyDescent="0.2">
      <c r="A191" s="8">
        <v>94.5</v>
      </c>
      <c r="B191" s="8">
        <v>189</v>
      </c>
      <c r="D191">
        <v>817.50554016621004</v>
      </c>
      <c r="E191">
        <v>248.06509695291001</v>
      </c>
      <c r="F191">
        <v>140.06855955679001</v>
      </c>
      <c r="G191">
        <v>118.3891966759</v>
      </c>
      <c r="I191" s="9">
        <f t="shared" si="15"/>
        <v>129.67590027701002</v>
      </c>
      <c r="J191" s="9">
        <f t="shared" si="16"/>
        <v>677.43698060942006</v>
      </c>
      <c r="K191" s="9">
        <f t="shared" si="17"/>
        <v>129.67590027701002</v>
      </c>
      <c r="L191" s="10">
        <f t="shared" si="14"/>
        <v>0.19142134838926864</v>
      </c>
      <c r="M191" s="10">
        <f t="shared" si="20"/>
        <v>0.20271697821386989</v>
      </c>
      <c r="P191" s="8">
        <f t="shared" si="19"/>
        <v>-28.088640370632934</v>
      </c>
    </row>
    <row r="192" spans="1:16" x14ac:dyDescent="0.2">
      <c r="A192" s="8">
        <v>95</v>
      </c>
      <c r="B192" s="8">
        <v>190</v>
      </c>
      <c r="D192">
        <v>831.88850415513002</v>
      </c>
      <c r="E192">
        <v>249.75623268698001</v>
      </c>
      <c r="F192">
        <v>140.23614958448999</v>
      </c>
      <c r="G192">
        <v>118.24168975069</v>
      </c>
      <c r="I192" s="9">
        <f t="shared" si="15"/>
        <v>131.51454293629001</v>
      </c>
      <c r="J192" s="9">
        <f t="shared" si="16"/>
        <v>691.65235457064</v>
      </c>
      <c r="K192" s="9">
        <f t="shared" si="17"/>
        <v>131.51454293629001</v>
      </c>
      <c r="L192" s="10">
        <f t="shared" si="14"/>
        <v>0.19014544238475248</v>
      </c>
      <c r="M192" s="10">
        <f t="shared" si="20"/>
        <v>0.20150083744652092</v>
      </c>
      <c r="P192" s="8">
        <f t="shared" si="19"/>
        <v>-28.520051379475518</v>
      </c>
    </row>
    <row r="193" spans="1:16" x14ac:dyDescent="0.2">
      <c r="A193" s="8">
        <v>95.5</v>
      </c>
      <c r="B193" s="8">
        <v>191</v>
      </c>
      <c r="D193">
        <v>852.85180055401997</v>
      </c>
      <c r="E193">
        <v>253.96814404432001</v>
      </c>
      <c r="F193">
        <v>139.98961218836999</v>
      </c>
      <c r="G193">
        <v>118.28462603878</v>
      </c>
      <c r="I193" s="9">
        <f t="shared" si="15"/>
        <v>135.68351800554001</v>
      </c>
      <c r="J193" s="9">
        <f t="shared" si="16"/>
        <v>712.86218836565001</v>
      </c>
      <c r="K193" s="9">
        <f t="shared" si="17"/>
        <v>135.68351800554001</v>
      </c>
      <c r="L193" s="10">
        <f t="shared" si="14"/>
        <v>0.19033625323376466</v>
      </c>
      <c r="M193" s="10">
        <f t="shared" si="20"/>
        <v>0.20175141353270032</v>
      </c>
      <c r="P193" s="8">
        <f t="shared" si="19"/>
        <v>-28.431162588775631</v>
      </c>
    </row>
    <row r="194" spans="1:16" x14ac:dyDescent="0.2">
      <c r="A194" s="8">
        <v>96</v>
      </c>
      <c r="B194" s="8">
        <v>192</v>
      </c>
      <c r="D194">
        <v>859.77770083102996</v>
      </c>
      <c r="E194">
        <v>255.46468144043999</v>
      </c>
      <c r="F194">
        <v>139.86565096953001</v>
      </c>
      <c r="G194">
        <v>118.31925207755999</v>
      </c>
      <c r="I194" s="9">
        <f t="shared" si="15"/>
        <v>137.14542936288001</v>
      </c>
      <c r="J194" s="9">
        <f t="shared" si="16"/>
        <v>719.91204986150001</v>
      </c>
      <c r="K194" s="9">
        <f t="shared" si="17"/>
        <v>137.14542936288001</v>
      </c>
      <c r="L194" s="10">
        <f t="shared" ref="L194:L257" si="21">K194/J194</f>
        <v>0.19050303351536438</v>
      </c>
      <c r="M194" s="10">
        <f t="shared" si="20"/>
        <v>0.20197795905146723</v>
      </c>
      <c r="P194" s="8">
        <f t="shared" si="19"/>
        <v>-28.350798346885242</v>
      </c>
    </row>
    <row r="195" spans="1:16" x14ac:dyDescent="0.2">
      <c r="A195" s="8">
        <v>96.5</v>
      </c>
      <c r="B195" s="8">
        <v>193</v>
      </c>
      <c r="D195">
        <v>846.33171745152003</v>
      </c>
      <c r="E195">
        <v>255.60872576176999</v>
      </c>
      <c r="F195">
        <v>140.05609418283001</v>
      </c>
      <c r="G195">
        <v>118.03670360111001</v>
      </c>
      <c r="I195" s="9">
        <f t="shared" ref="I195:I241" si="22">E195-G195</f>
        <v>137.57202216065997</v>
      </c>
      <c r="J195" s="9">
        <f t="shared" ref="J195:J241" si="23">D195-F195</f>
        <v>706.27562326868997</v>
      </c>
      <c r="K195" s="9">
        <f t="shared" ref="K195:K258" si="24">I195*1</f>
        <v>137.57202216065997</v>
      </c>
      <c r="L195" s="10">
        <f t="shared" si="21"/>
        <v>0.19478517681803545</v>
      </c>
      <c r="M195" s="10">
        <f t="shared" si="20"/>
        <v>0.20631986759130549</v>
      </c>
      <c r="P195" s="8">
        <f t="shared" ref="P195:P241" si="25">(M195-$O$2)/$O$2*100</f>
        <v>-26.810559590185157</v>
      </c>
    </row>
    <row r="196" spans="1:16" x14ac:dyDescent="0.2">
      <c r="A196" s="8">
        <v>97</v>
      </c>
      <c r="B196" s="8">
        <v>194</v>
      </c>
      <c r="D196">
        <v>845.35062240664001</v>
      </c>
      <c r="E196">
        <v>255.33125864453999</v>
      </c>
      <c r="F196">
        <v>140.00761772852999</v>
      </c>
      <c r="G196">
        <v>117.95983379501</v>
      </c>
      <c r="I196" s="9">
        <f t="shared" si="22"/>
        <v>137.37142484953</v>
      </c>
      <c r="J196" s="9">
        <f t="shared" si="23"/>
        <v>705.34300467810999</v>
      </c>
      <c r="K196" s="9">
        <f t="shared" si="24"/>
        <v>137.37142484953</v>
      </c>
      <c r="L196" s="10">
        <f t="shared" si="21"/>
        <v>0.1947583288392018</v>
      </c>
      <c r="M196" s="10">
        <f t="shared" si="20"/>
        <v>0.20635278484963906</v>
      </c>
      <c r="P196" s="8">
        <f t="shared" si="25"/>
        <v>-26.798882596857343</v>
      </c>
    </row>
    <row r="197" spans="1:16" x14ac:dyDescent="0.2">
      <c r="A197" s="8">
        <v>97.5</v>
      </c>
      <c r="B197" s="8">
        <v>195</v>
      </c>
      <c r="D197">
        <v>827.39557399723003</v>
      </c>
      <c r="E197">
        <v>253.13900414938001</v>
      </c>
      <c r="F197">
        <v>140.66412742381999</v>
      </c>
      <c r="G197">
        <v>118.23822714681</v>
      </c>
      <c r="I197" s="9">
        <f t="shared" si="22"/>
        <v>134.90077700257001</v>
      </c>
      <c r="J197" s="9">
        <f t="shared" si="23"/>
        <v>686.73144657341004</v>
      </c>
      <c r="K197" s="9">
        <f t="shared" si="24"/>
        <v>134.90077700257001</v>
      </c>
      <c r="L197" s="10">
        <f t="shared" si="21"/>
        <v>0.19643891025478097</v>
      </c>
      <c r="M197" s="10">
        <f t="shared" si="20"/>
        <v>0.20809313150238543</v>
      </c>
      <c r="P197" s="8">
        <f t="shared" si="25"/>
        <v>-26.181515984903541</v>
      </c>
    </row>
    <row r="198" spans="1:16" x14ac:dyDescent="0.2">
      <c r="A198" s="8">
        <v>98</v>
      </c>
      <c r="B198" s="8">
        <v>196</v>
      </c>
      <c r="D198">
        <v>817.87327823691999</v>
      </c>
      <c r="E198">
        <v>251.91804407714</v>
      </c>
      <c r="F198">
        <v>140.02770083102999</v>
      </c>
      <c r="G198">
        <v>118.33795013850001</v>
      </c>
      <c r="I198" s="9">
        <f t="shared" si="22"/>
        <v>133.58009393864</v>
      </c>
      <c r="J198" s="9">
        <f t="shared" si="23"/>
        <v>677.84557740589003</v>
      </c>
      <c r="K198" s="9">
        <f t="shared" si="24"/>
        <v>133.58009393864</v>
      </c>
      <c r="L198" s="10">
        <f t="shared" si="21"/>
        <v>0.19706567157943264</v>
      </c>
      <c r="M198" s="10">
        <f t="shared" si="20"/>
        <v>0.20877965806420429</v>
      </c>
      <c r="P198" s="8">
        <f t="shared" si="25"/>
        <v>-25.937979114351023</v>
      </c>
    </row>
    <row r="199" spans="1:16" x14ac:dyDescent="0.2">
      <c r="A199" s="8">
        <v>98.5</v>
      </c>
      <c r="B199" s="8">
        <v>197</v>
      </c>
      <c r="D199">
        <v>823.99655647382997</v>
      </c>
      <c r="E199">
        <v>254.88636363635999</v>
      </c>
      <c r="F199">
        <v>139.96121883657</v>
      </c>
      <c r="G199">
        <v>118.33725761773</v>
      </c>
      <c r="I199" s="9">
        <f t="shared" si="22"/>
        <v>136.54910601862997</v>
      </c>
      <c r="J199" s="9">
        <f t="shared" si="23"/>
        <v>684.03533763726</v>
      </c>
      <c r="K199" s="9">
        <f t="shared" si="24"/>
        <v>136.54910601862997</v>
      </c>
      <c r="L199" s="10">
        <f t="shared" si="21"/>
        <v>0.19962288277428319</v>
      </c>
      <c r="M199" s="10">
        <f t="shared" si="20"/>
        <v>0.21139663449622206</v>
      </c>
      <c r="P199" s="8">
        <f t="shared" si="25"/>
        <v>-25.009638849008947</v>
      </c>
    </row>
    <row r="200" spans="1:16" x14ac:dyDescent="0.2">
      <c r="A200" s="8">
        <v>99</v>
      </c>
      <c r="B200" s="8">
        <v>198</v>
      </c>
      <c r="D200">
        <v>825.28030303030005</v>
      </c>
      <c r="E200">
        <v>255.74793388430001</v>
      </c>
      <c r="F200">
        <v>139.47091412742</v>
      </c>
      <c r="G200">
        <v>118.20498614957999</v>
      </c>
      <c r="I200" s="9">
        <f t="shared" si="22"/>
        <v>137.54294773472003</v>
      </c>
      <c r="J200" s="9">
        <f t="shared" si="23"/>
        <v>685.80938890288007</v>
      </c>
      <c r="K200" s="9">
        <f t="shared" si="24"/>
        <v>137.54294773472003</v>
      </c>
      <c r="L200" s="10">
        <f t="shared" si="21"/>
        <v>0.20055564995217348</v>
      </c>
      <c r="M200" s="10">
        <f t="shared" si="20"/>
        <v>0.21238916691127954</v>
      </c>
      <c r="P200" s="8">
        <f t="shared" si="25"/>
        <v>-24.657550158303913</v>
      </c>
    </row>
    <row r="201" spans="1:16" x14ac:dyDescent="0.2">
      <c r="A201" s="8">
        <v>99.5</v>
      </c>
      <c r="B201" s="8">
        <v>199</v>
      </c>
      <c r="D201">
        <v>842.14876033057999</v>
      </c>
      <c r="E201">
        <v>259.21831955923</v>
      </c>
      <c r="F201">
        <v>140.14889196676</v>
      </c>
      <c r="G201">
        <v>118.26385041551001</v>
      </c>
      <c r="I201" s="9">
        <f t="shared" si="22"/>
        <v>140.95446914371999</v>
      </c>
      <c r="J201" s="9">
        <f t="shared" si="23"/>
        <v>701.99986836382004</v>
      </c>
      <c r="K201" s="9">
        <f t="shared" si="24"/>
        <v>140.95446914371999</v>
      </c>
      <c r="L201" s="10">
        <f t="shared" si="21"/>
        <v>0.20078987973637141</v>
      </c>
      <c r="M201" s="10">
        <f t="shared" si="20"/>
        <v>0.21268316193264469</v>
      </c>
      <c r="P201" s="8">
        <f t="shared" si="25"/>
        <v>-24.553259033323112</v>
      </c>
    </row>
    <row r="202" spans="1:16" x14ac:dyDescent="0.2">
      <c r="A202" s="8">
        <v>100</v>
      </c>
      <c r="B202" s="8">
        <v>200</v>
      </c>
      <c r="D202">
        <v>854.25</v>
      </c>
      <c r="E202">
        <v>261.40840220386002</v>
      </c>
      <c r="F202">
        <v>140.08933518006</v>
      </c>
      <c r="G202">
        <v>118.36703601108</v>
      </c>
      <c r="I202" s="9">
        <f t="shared" si="22"/>
        <v>143.04136619278</v>
      </c>
      <c r="J202" s="9">
        <f t="shared" si="23"/>
        <v>714.16066481993994</v>
      </c>
      <c r="K202" s="9">
        <f t="shared" si="24"/>
        <v>143.04136619278</v>
      </c>
      <c r="L202" s="10">
        <f t="shared" si="21"/>
        <v>0.20029297781171521</v>
      </c>
      <c r="M202" s="10">
        <f t="shared" si="20"/>
        <v>0.21224602524515568</v>
      </c>
      <c r="P202" s="8">
        <f t="shared" si="25"/>
        <v>-24.708327907268384</v>
      </c>
    </row>
    <row r="203" spans="1:16" x14ac:dyDescent="0.2">
      <c r="A203" s="8">
        <v>100.5</v>
      </c>
      <c r="B203" s="8">
        <v>201</v>
      </c>
      <c r="D203">
        <v>843.58558558559002</v>
      </c>
      <c r="E203">
        <v>261.34580734580999</v>
      </c>
      <c r="F203">
        <v>140.20775623269</v>
      </c>
      <c r="G203">
        <v>118.43421052632</v>
      </c>
      <c r="I203" s="9">
        <f t="shared" si="22"/>
        <v>142.91159681949</v>
      </c>
      <c r="J203" s="9">
        <f t="shared" si="23"/>
        <v>703.37782935289999</v>
      </c>
      <c r="K203" s="9">
        <f t="shared" si="24"/>
        <v>142.91159681949</v>
      </c>
      <c r="L203" s="10">
        <f t="shared" si="21"/>
        <v>0.203178989805475</v>
      </c>
      <c r="M203" s="10">
        <f t="shared" si="20"/>
        <v>0.21519180247608266</v>
      </c>
      <c r="P203" s="8">
        <f t="shared" si="25"/>
        <v>-23.663349594609727</v>
      </c>
    </row>
    <row r="204" spans="1:16" x14ac:dyDescent="0.2">
      <c r="A204" s="8">
        <v>101</v>
      </c>
      <c r="B204" s="8">
        <v>202</v>
      </c>
      <c r="D204">
        <v>845.18988218988</v>
      </c>
      <c r="E204">
        <v>263.36174636175002</v>
      </c>
      <c r="F204">
        <v>140.17382271468</v>
      </c>
      <c r="G204">
        <v>118.391966759</v>
      </c>
      <c r="I204" s="9">
        <f t="shared" si="22"/>
        <v>144.96977960275001</v>
      </c>
      <c r="J204" s="9">
        <f t="shared" si="23"/>
        <v>705.0160594752</v>
      </c>
      <c r="K204" s="9">
        <f t="shared" si="24"/>
        <v>144.96977960275001</v>
      </c>
      <c r="L204" s="10">
        <f t="shared" si="21"/>
        <v>0.20562620901240555</v>
      </c>
      <c r="M204" s="10">
        <f t="shared" si="20"/>
        <v>0.21769878692018044</v>
      </c>
      <c r="P204" s="8">
        <f t="shared" si="25"/>
        <v>-22.774027636808317</v>
      </c>
    </row>
    <row r="205" spans="1:16" x14ac:dyDescent="0.2">
      <c r="A205" s="8">
        <v>101.5</v>
      </c>
      <c r="B205" s="8">
        <v>203</v>
      </c>
      <c r="D205">
        <v>850.82744282744</v>
      </c>
      <c r="E205">
        <v>265.01940401939999</v>
      </c>
      <c r="F205">
        <v>140.4148199446</v>
      </c>
      <c r="G205">
        <v>118.43767313019001</v>
      </c>
      <c r="I205" s="9">
        <f t="shared" si="22"/>
        <v>146.58173088920998</v>
      </c>
      <c r="J205" s="9">
        <f t="shared" si="23"/>
        <v>710.41262288283997</v>
      </c>
      <c r="K205" s="9">
        <f t="shared" si="24"/>
        <v>146.58173088920998</v>
      </c>
      <c r="L205" s="10">
        <f t="shared" si="21"/>
        <v>0.20633322968612847</v>
      </c>
      <c r="M205" s="10">
        <f t="shared" si="20"/>
        <v>0.21846557283107054</v>
      </c>
      <c r="P205" s="8">
        <f t="shared" si="25"/>
        <v>-22.502019747372557</v>
      </c>
    </row>
    <row r="206" spans="1:16" x14ac:dyDescent="0.2">
      <c r="A206" s="8">
        <v>102</v>
      </c>
      <c r="B206" s="8">
        <v>204</v>
      </c>
      <c r="D206">
        <v>825.67914067914</v>
      </c>
      <c r="E206">
        <v>261.57726957726999</v>
      </c>
      <c r="F206">
        <v>140.09141274237999</v>
      </c>
      <c r="G206">
        <v>118.38227146814</v>
      </c>
      <c r="I206" s="9">
        <f t="shared" si="22"/>
        <v>143.19499810912998</v>
      </c>
      <c r="J206" s="9">
        <f t="shared" si="23"/>
        <v>685.58772793676007</v>
      </c>
      <c r="K206" s="9">
        <f t="shared" si="24"/>
        <v>143.19499810912998</v>
      </c>
      <c r="L206" s="10">
        <f t="shared" si="21"/>
        <v>0.20886458767292662</v>
      </c>
      <c r="M206" s="10">
        <f t="shared" si="20"/>
        <v>0.22105669605503589</v>
      </c>
      <c r="P206" s="8">
        <f t="shared" si="25"/>
        <v>-21.582850590233708</v>
      </c>
    </row>
    <row r="207" spans="1:16" x14ac:dyDescent="0.2">
      <c r="A207" s="8">
        <v>102.5</v>
      </c>
      <c r="B207" s="8">
        <v>205</v>
      </c>
      <c r="D207">
        <v>816.31392931392998</v>
      </c>
      <c r="E207">
        <v>260.26611226610999</v>
      </c>
      <c r="F207">
        <v>139.86011080332</v>
      </c>
      <c r="G207">
        <v>118.45013850415999</v>
      </c>
      <c r="I207" s="9">
        <f t="shared" si="22"/>
        <v>141.81597376194998</v>
      </c>
      <c r="J207" s="9">
        <f t="shared" si="23"/>
        <v>676.45381851060995</v>
      </c>
      <c r="K207" s="9">
        <f t="shared" si="24"/>
        <v>141.81597376194998</v>
      </c>
      <c r="L207" s="10">
        <f t="shared" si="21"/>
        <v>0.20964620182674842</v>
      </c>
      <c r="M207" s="10">
        <f t="shared" si="20"/>
        <v>0.22189807544602491</v>
      </c>
      <c r="P207" s="8">
        <f t="shared" si="25"/>
        <v>-21.284381579382945</v>
      </c>
    </row>
    <row r="208" spans="1:16" x14ac:dyDescent="0.2">
      <c r="A208" s="8">
        <v>103</v>
      </c>
      <c r="B208" s="8">
        <v>206</v>
      </c>
      <c r="D208">
        <v>804.55647955647999</v>
      </c>
      <c r="E208">
        <v>259.57311157311</v>
      </c>
      <c r="F208">
        <v>140.24030470913999</v>
      </c>
      <c r="G208">
        <v>118.49861495845001</v>
      </c>
      <c r="I208" s="9">
        <f t="shared" si="22"/>
        <v>141.07449661466001</v>
      </c>
      <c r="J208" s="9">
        <f t="shared" si="23"/>
        <v>664.31617484733999</v>
      </c>
      <c r="K208" s="9">
        <f t="shared" si="24"/>
        <v>141.07449661466001</v>
      </c>
      <c r="L208" s="10">
        <f t="shared" si="21"/>
        <v>0.21236047225115204</v>
      </c>
      <c r="M208" s="10">
        <f t="shared" si="20"/>
        <v>0.22467211110759572</v>
      </c>
      <c r="P208" s="8">
        <f t="shared" si="25"/>
        <v>-20.300326480290813</v>
      </c>
    </row>
    <row r="209" spans="1:16" x14ac:dyDescent="0.2">
      <c r="A209" s="8">
        <v>103.5</v>
      </c>
      <c r="B209" s="8">
        <v>207</v>
      </c>
      <c r="D209">
        <v>824.32986832987001</v>
      </c>
      <c r="E209">
        <v>264.21344421344003</v>
      </c>
      <c r="F209">
        <v>140.20083102493001</v>
      </c>
      <c r="G209">
        <v>118.40927977839</v>
      </c>
      <c r="I209" s="9">
        <f t="shared" si="22"/>
        <v>145.80416443505004</v>
      </c>
      <c r="J209" s="9">
        <f t="shared" si="23"/>
        <v>684.12903730493997</v>
      </c>
      <c r="K209" s="9">
        <f t="shared" si="24"/>
        <v>145.80416443505004</v>
      </c>
      <c r="L209" s="10">
        <f t="shared" si="21"/>
        <v>0.21312377707198543</v>
      </c>
      <c r="M209" s="10">
        <f t="shared" si="20"/>
        <v>0.2254951811655963</v>
      </c>
      <c r="P209" s="8">
        <f t="shared" si="25"/>
        <v>-20.00835248056692</v>
      </c>
    </row>
    <row r="210" spans="1:16" x14ac:dyDescent="0.2">
      <c r="A210" s="8">
        <v>104</v>
      </c>
      <c r="B210" s="8">
        <v>208</v>
      </c>
      <c r="D210">
        <v>785.58281358280999</v>
      </c>
      <c r="E210">
        <v>257.91060291060001</v>
      </c>
      <c r="F210">
        <v>139.83448753463</v>
      </c>
      <c r="G210">
        <v>118.03462603878</v>
      </c>
      <c r="I210" s="9">
        <f t="shared" si="22"/>
        <v>139.87597687182</v>
      </c>
      <c r="J210" s="9">
        <f t="shared" si="23"/>
        <v>645.74832604817993</v>
      </c>
      <c r="K210" s="9">
        <f t="shared" si="24"/>
        <v>139.87597687182</v>
      </c>
      <c r="L210" s="10">
        <f t="shared" si="21"/>
        <v>0.21661066893944023</v>
      </c>
      <c r="M210" s="10">
        <f t="shared" si="20"/>
        <v>0.22904183827021832</v>
      </c>
      <c r="P210" s="8">
        <f t="shared" si="25"/>
        <v>-18.750219408637218</v>
      </c>
    </row>
    <row r="211" spans="1:16" x14ac:dyDescent="0.2">
      <c r="A211" s="8">
        <v>104.5</v>
      </c>
      <c r="B211" s="8">
        <v>209</v>
      </c>
      <c r="D211">
        <v>817.71240471241003</v>
      </c>
      <c r="E211">
        <v>264.16562716562999</v>
      </c>
      <c r="F211">
        <v>140.02146814404</v>
      </c>
      <c r="G211">
        <v>118.53393351801</v>
      </c>
      <c r="I211" s="9">
        <f t="shared" si="22"/>
        <v>145.63169364761998</v>
      </c>
      <c r="J211" s="9">
        <f t="shared" si="23"/>
        <v>677.69093656837003</v>
      </c>
      <c r="K211" s="9">
        <f t="shared" si="24"/>
        <v>145.63169364761998</v>
      </c>
      <c r="L211" s="10">
        <f t="shared" si="21"/>
        <v>0.21489396683546716</v>
      </c>
      <c r="M211" s="10">
        <f t="shared" si="20"/>
        <v>0.22738490140341244</v>
      </c>
      <c r="P211" s="8">
        <f t="shared" si="25"/>
        <v>-19.337997422900656</v>
      </c>
    </row>
    <row r="212" spans="1:16" x14ac:dyDescent="0.2">
      <c r="A212" s="8">
        <v>105</v>
      </c>
      <c r="B212" s="8">
        <v>210</v>
      </c>
      <c r="D212">
        <v>823.83229383229002</v>
      </c>
      <c r="E212">
        <v>266.76299376298999</v>
      </c>
      <c r="F212">
        <v>139.98407202216001</v>
      </c>
      <c r="G212">
        <v>118.13504155125</v>
      </c>
      <c r="I212" s="9">
        <f t="shared" si="22"/>
        <v>148.62795221173999</v>
      </c>
      <c r="J212" s="9">
        <f t="shared" si="23"/>
        <v>683.84822181012998</v>
      </c>
      <c r="K212" s="9">
        <f t="shared" si="24"/>
        <v>148.62795221173999</v>
      </c>
      <c r="L212" s="10">
        <f t="shared" si="21"/>
        <v>0.21734055521607606</v>
      </c>
      <c r="M212" s="10">
        <f t="shared" si="20"/>
        <v>0.22989125502118857</v>
      </c>
      <c r="P212" s="8">
        <f t="shared" si="25"/>
        <v>-18.448899242993335</v>
      </c>
    </row>
    <row r="213" spans="1:16" x14ac:dyDescent="0.2">
      <c r="A213" s="8">
        <v>105.5</v>
      </c>
      <c r="B213" s="8">
        <v>211</v>
      </c>
      <c r="D213">
        <v>778.35273735273995</v>
      </c>
      <c r="E213">
        <v>259.19611919611998</v>
      </c>
      <c r="F213">
        <v>140.01385041551001</v>
      </c>
      <c r="G213">
        <v>118.23199445983001</v>
      </c>
      <c r="I213" s="9">
        <f t="shared" si="22"/>
        <v>140.96412473628999</v>
      </c>
      <c r="J213" s="9">
        <f t="shared" si="23"/>
        <v>638.33888693722997</v>
      </c>
      <c r="K213" s="9">
        <f t="shared" si="24"/>
        <v>140.96412473628999</v>
      </c>
      <c r="L213" s="10">
        <f t="shared" si="21"/>
        <v>0.2208296057485081</v>
      </c>
      <c r="M213" s="10">
        <f t="shared" si="20"/>
        <v>0.2334400707907878</v>
      </c>
      <c r="P213" s="8">
        <f t="shared" si="25"/>
        <v>-17.190000411161012</v>
      </c>
    </row>
    <row r="214" spans="1:16" x14ac:dyDescent="0.2">
      <c r="A214" s="8">
        <v>106</v>
      </c>
      <c r="B214" s="8">
        <v>212</v>
      </c>
      <c r="D214">
        <v>803.74566874566995</v>
      </c>
      <c r="E214">
        <v>265.23977823977998</v>
      </c>
      <c r="F214">
        <v>140.51454293629001</v>
      </c>
      <c r="G214">
        <v>118.15304709141</v>
      </c>
      <c r="I214" s="9">
        <f t="shared" si="22"/>
        <v>147.08673114836998</v>
      </c>
      <c r="J214" s="9">
        <f t="shared" si="23"/>
        <v>663.23112580937993</v>
      </c>
      <c r="K214" s="9">
        <f t="shared" si="24"/>
        <v>147.08673114836998</v>
      </c>
      <c r="L214" s="10">
        <f t="shared" si="21"/>
        <v>0.22177296182966594</v>
      </c>
      <c r="M214" s="10">
        <f t="shared" si="20"/>
        <v>0.23444319210911282</v>
      </c>
      <c r="P214" s="8">
        <f t="shared" si="25"/>
        <v>-16.83415543700275</v>
      </c>
    </row>
    <row r="215" spans="1:16" x14ac:dyDescent="0.2">
      <c r="A215" s="8">
        <v>106.5</v>
      </c>
      <c r="B215" s="8">
        <v>213</v>
      </c>
      <c r="D215">
        <v>797.00277200277003</v>
      </c>
      <c r="E215">
        <v>264.93832293832003</v>
      </c>
      <c r="F215">
        <v>139.95013850416001</v>
      </c>
      <c r="G215">
        <v>118.26108033241</v>
      </c>
      <c r="I215" s="9">
        <f t="shared" si="22"/>
        <v>146.67724260591001</v>
      </c>
      <c r="J215" s="9">
        <f t="shared" si="23"/>
        <v>657.05263349861002</v>
      </c>
      <c r="K215" s="9">
        <f t="shared" si="24"/>
        <v>146.67724260591001</v>
      </c>
      <c r="L215" s="10">
        <f t="shared" si="21"/>
        <v>0.2232351491004568</v>
      </c>
      <c r="M215" s="10">
        <f t="shared" si="20"/>
        <v>0.23596514461707091</v>
      </c>
      <c r="P215" s="8">
        <f t="shared" si="25"/>
        <v>-16.29426146708019</v>
      </c>
    </row>
    <row r="216" spans="1:16" x14ac:dyDescent="0.2">
      <c r="A216" s="8">
        <v>107</v>
      </c>
      <c r="B216" s="8">
        <v>214</v>
      </c>
      <c r="D216">
        <v>842.65211365210996</v>
      </c>
      <c r="E216">
        <v>274.75606375605997</v>
      </c>
      <c r="F216">
        <v>139.76662049862</v>
      </c>
      <c r="G216">
        <v>118.05193905817001</v>
      </c>
      <c r="I216" s="9">
        <f t="shared" si="22"/>
        <v>156.70412469788997</v>
      </c>
      <c r="J216" s="9">
        <f t="shared" si="23"/>
        <v>702.88549315348996</v>
      </c>
      <c r="K216" s="9">
        <f t="shared" si="24"/>
        <v>156.70412469788997</v>
      </c>
      <c r="L216" s="10">
        <f t="shared" si="21"/>
        <v>0.22294403032112414</v>
      </c>
      <c r="M216" s="10">
        <f t="shared" si="20"/>
        <v>0.23573379107490544</v>
      </c>
      <c r="P216" s="8">
        <f t="shared" si="25"/>
        <v>-16.37633129625176</v>
      </c>
    </row>
    <row r="217" spans="1:16" x14ac:dyDescent="0.2">
      <c r="A217" s="8">
        <v>107.5</v>
      </c>
      <c r="B217" s="8">
        <v>215</v>
      </c>
      <c r="D217">
        <v>839.89535689536001</v>
      </c>
      <c r="E217">
        <v>275.57380457380998</v>
      </c>
      <c r="F217">
        <v>140.38157894737</v>
      </c>
      <c r="G217">
        <v>117.96883656510001</v>
      </c>
      <c r="I217" s="9">
        <f t="shared" si="22"/>
        <v>157.60496800870999</v>
      </c>
      <c r="J217" s="9">
        <f t="shared" si="23"/>
        <v>699.51377794798998</v>
      </c>
      <c r="K217" s="9">
        <f t="shared" si="24"/>
        <v>157.60496800870999</v>
      </c>
      <c r="L217" s="10">
        <f t="shared" si="21"/>
        <v>0.22530645282075942</v>
      </c>
      <c r="M217" s="10">
        <f t="shared" si="20"/>
        <v>0.23815597881170791</v>
      </c>
      <c r="P217" s="8">
        <f t="shared" si="25"/>
        <v>-15.517089929466588</v>
      </c>
    </row>
    <row r="218" spans="1:16" x14ac:dyDescent="0.2">
      <c r="A218" s="8">
        <v>108</v>
      </c>
      <c r="B218" s="8">
        <v>216</v>
      </c>
      <c r="D218">
        <v>836.09632709633001</v>
      </c>
      <c r="E218">
        <v>274.39223839224002</v>
      </c>
      <c r="F218">
        <v>140.48614958448999</v>
      </c>
      <c r="G218">
        <v>118.10387811634</v>
      </c>
      <c r="I218" s="9">
        <f t="shared" si="22"/>
        <v>156.2883602759</v>
      </c>
      <c r="J218" s="9">
        <f t="shared" si="23"/>
        <v>695.61017751183999</v>
      </c>
      <c r="K218" s="9">
        <f t="shared" si="24"/>
        <v>156.2883602759</v>
      </c>
      <c r="L218" s="10">
        <f t="shared" si="21"/>
        <v>0.22467808167346692</v>
      </c>
      <c r="M218" s="10">
        <f t="shared" si="20"/>
        <v>0.23758737290158263</v>
      </c>
      <c r="P218" s="8">
        <f t="shared" si="25"/>
        <v>-15.718795896330715</v>
      </c>
    </row>
    <row r="219" spans="1:16" x14ac:dyDescent="0.2">
      <c r="A219" s="8">
        <v>108.5</v>
      </c>
      <c r="B219" s="8">
        <v>217</v>
      </c>
      <c r="D219">
        <v>819.48371448370995</v>
      </c>
      <c r="E219">
        <v>273.45322245322001</v>
      </c>
      <c r="F219">
        <v>139.99376731301999</v>
      </c>
      <c r="G219">
        <v>118.17382271468</v>
      </c>
      <c r="I219" s="9">
        <f t="shared" si="22"/>
        <v>155.27939973854001</v>
      </c>
      <c r="J219" s="9">
        <f t="shared" si="23"/>
        <v>679.4899471706899</v>
      </c>
      <c r="K219" s="9">
        <f t="shared" si="24"/>
        <v>155.27939973854001</v>
      </c>
      <c r="L219" s="10">
        <f t="shared" si="21"/>
        <v>0.22852346879465071</v>
      </c>
      <c r="M219" s="10">
        <f t="shared" si="20"/>
        <v>0.24149252525993362</v>
      </c>
      <c r="P219" s="8">
        <f t="shared" si="25"/>
        <v>-14.333491033742574</v>
      </c>
    </row>
    <row r="220" spans="1:16" x14ac:dyDescent="0.2">
      <c r="A220" s="8">
        <v>109</v>
      </c>
      <c r="B220" s="8">
        <v>218</v>
      </c>
      <c r="D220">
        <v>819.79487179487001</v>
      </c>
      <c r="E220">
        <v>274.45460845461002</v>
      </c>
      <c r="F220">
        <v>140.31094182826001</v>
      </c>
      <c r="G220">
        <v>118.39058171745</v>
      </c>
      <c r="I220" s="9">
        <f t="shared" si="22"/>
        <v>156.06402673716002</v>
      </c>
      <c r="J220" s="9">
        <f t="shared" si="23"/>
        <v>679.48392996661005</v>
      </c>
      <c r="K220" s="9">
        <f t="shared" si="24"/>
        <v>156.06402673716002</v>
      </c>
      <c r="L220" s="10">
        <f t="shared" si="21"/>
        <v>0.22968023209147717</v>
      </c>
      <c r="M220" s="10">
        <f t="shared" si="20"/>
        <v>0.24270905379392729</v>
      </c>
      <c r="P220" s="8">
        <f t="shared" si="25"/>
        <v>-13.901942469442691</v>
      </c>
    </row>
    <row r="221" spans="1:16" x14ac:dyDescent="0.2">
      <c r="A221" s="8">
        <v>109.5</v>
      </c>
      <c r="B221" s="8">
        <v>219</v>
      </c>
      <c r="D221">
        <v>811.29598893498996</v>
      </c>
      <c r="E221">
        <v>273.39557399722997</v>
      </c>
      <c r="F221">
        <v>140.62257617729</v>
      </c>
      <c r="G221">
        <v>118.29224376731</v>
      </c>
      <c r="I221" s="9">
        <f t="shared" si="22"/>
        <v>155.10333022991998</v>
      </c>
      <c r="J221" s="9">
        <f t="shared" si="23"/>
        <v>670.67341275769991</v>
      </c>
      <c r="K221" s="9">
        <f t="shared" si="24"/>
        <v>155.10333022991998</v>
      </c>
      <c r="L221" s="10">
        <f t="shared" si="21"/>
        <v>0.23126506475358899</v>
      </c>
      <c r="M221" s="10">
        <f t="shared" si="20"/>
        <v>0.2443536516932063</v>
      </c>
      <c r="P221" s="8">
        <f t="shared" si="25"/>
        <v>-13.318541552446076</v>
      </c>
    </row>
    <row r="222" spans="1:16" x14ac:dyDescent="0.2">
      <c r="A222" s="8">
        <v>110</v>
      </c>
      <c r="B222" s="8">
        <v>220</v>
      </c>
      <c r="D222">
        <v>812.51728907331005</v>
      </c>
      <c r="E222">
        <v>276.36030428768998</v>
      </c>
      <c r="F222">
        <v>140.5796398892</v>
      </c>
      <c r="G222">
        <v>118.3324099723</v>
      </c>
      <c r="I222" s="9">
        <f t="shared" si="22"/>
        <v>158.02789431538997</v>
      </c>
      <c r="J222" s="9">
        <f t="shared" si="23"/>
        <v>671.93764918411011</v>
      </c>
      <c r="K222" s="9">
        <f t="shared" si="24"/>
        <v>158.02789431538997</v>
      </c>
      <c r="L222" s="10">
        <f t="shared" si="21"/>
        <v>0.23518237816748755</v>
      </c>
      <c r="M222" s="10">
        <f t="shared" si="20"/>
        <v>0.24833073034427205</v>
      </c>
      <c r="P222" s="8">
        <f t="shared" si="25"/>
        <v>-11.907721720427194</v>
      </c>
    </row>
    <row r="223" spans="1:16" x14ac:dyDescent="0.2">
      <c r="A223" s="8">
        <v>110.5</v>
      </c>
      <c r="B223" s="8">
        <v>221</v>
      </c>
      <c r="D223">
        <v>818.35477178423002</v>
      </c>
      <c r="E223">
        <v>276.39349930844003</v>
      </c>
      <c r="F223">
        <v>140.41689750693001</v>
      </c>
      <c r="G223">
        <v>118.21468144044</v>
      </c>
      <c r="I223" s="9">
        <f t="shared" si="22"/>
        <v>158.17881786800001</v>
      </c>
      <c r="J223" s="9">
        <f t="shared" si="23"/>
        <v>677.93787427730001</v>
      </c>
      <c r="K223" s="9">
        <f t="shared" si="24"/>
        <v>158.17881786800001</v>
      </c>
      <c r="L223" s="10">
        <f t="shared" si="21"/>
        <v>0.23332347088090172</v>
      </c>
      <c r="M223" s="10">
        <f t="shared" si="20"/>
        <v>0.24653158829485344</v>
      </c>
      <c r="P223" s="8">
        <f t="shared" si="25"/>
        <v>-12.545945277625059</v>
      </c>
    </row>
    <row r="224" spans="1:16" x14ac:dyDescent="0.2">
      <c r="A224" s="8">
        <v>111</v>
      </c>
      <c r="B224" s="8">
        <v>222</v>
      </c>
      <c r="D224">
        <v>784.03941908714</v>
      </c>
      <c r="E224">
        <v>271.38381742739</v>
      </c>
      <c r="F224">
        <v>140.09002770083001</v>
      </c>
      <c r="G224">
        <v>118.2243767313</v>
      </c>
      <c r="I224" s="9">
        <f t="shared" si="22"/>
        <v>153.15944069609</v>
      </c>
      <c r="J224" s="9">
        <f t="shared" si="23"/>
        <v>643.94939138631003</v>
      </c>
      <c r="K224" s="9">
        <f t="shared" si="24"/>
        <v>153.15944069609</v>
      </c>
      <c r="L224" s="10">
        <f t="shared" si="21"/>
        <v>0.23784390938915961</v>
      </c>
      <c r="M224" s="10">
        <f t="shared" si="20"/>
        <v>0.25111179204027856</v>
      </c>
      <c r="P224" s="8">
        <f t="shared" si="25"/>
        <v>-10.921174221864995</v>
      </c>
    </row>
    <row r="225" spans="1:16" x14ac:dyDescent="0.2">
      <c r="A225" s="8">
        <v>111.5</v>
      </c>
      <c r="B225" s="8">
        <v>223</v>
      </c>
      <c r="D225">
        <v>788.75311203319995</v>
      </c>
      <c r="E225">
        <v>273.11964038728001</v>
      </c>
      <c r="F225">
        <v>140.01800554017001</v>
      </c>
      <c r="G225">
        <v>118.40581717452</v>
      </c>
      <c r="I225" s="9">
        <f t="shared" si="22"/>
        <v>154.71382321276002</v>
      </c>
      <c r="J225" s="9">
        <f t="shared" si="23"/>
        <v>648.73510649302989</v>
      </c>
      <c r="K225" s="9">
        <f t="shared" si="24"/>
        <v>154.71382321276002</v>
      </c>
      <c r="L225" s="10">
        <f t="shared" si="21"/>
        <v>0.23848535660282213</v>
      </c>
      <c r="M225" s="10">
        <f t="shared" si="20"/>
        <v>0.25181300449110827</v>
      </c>
      <c r="P225" s="8">
        <f t="shared" si="25"/>
        <v>-10.672427712458141</v>
      </c>
    </row>
    <row r="226" spans="1:16" x14ac:dyDescent="0.2">
      <c r="A226" s="8">
        <v>112</v>
      </c>
      <c r="B226" s="8">
        <v>224</v>
      </c>
      <c r="D226">
        <v>782.45850622406999</v>
      </c>
      <c r="E226">
        <v>271.55048409404998</v>
      </c>
      <c r="F226">
        <v>140.56232686980999</v>
      </c>
      <c r="G226">
        <v>118.01315789474</v>
      </c>
      <c r="I226" s="9">
        <f t="shared" si="22"/>
        <v>153.53732619930997</v>
      </c>
      <c r="J226" s="9">
        <f t="shared" si="23"/>
        <v>641.89617935425997</v>
      </c>
      <c r="K226" s="9">
        <f t="shared" si="24"/>
        <v>153.53732619930997</v>
      </c>
      <c r="L226" s="10">
        <f t="shared" si="21"/>
        <v>0.23919339472275208</v>
      </c>
      <c r="M226" s="10">
        <f t="shared" si="20"/>
        <v>0.25258080784820541</v>
      </c>
      <c r="P226" s="8">
        <f t="shared" si="25"/>
        <v>-10.40005889646979</v>
      </c>
    </row>
    <row r="227" spans="1:16" x14ac:dyDescent="0.2">
      <c r="A227" s="8">
        <v>112.5</v>
      </c>
      <c r="B227" s="8">
        <v>225</v>
      </c>
      <c r="D227">
        <v>785.71092669433006</v>
      </c>
      <c r="E227">
        <v>273.78838174274</v>
      </c>
      <c r="F227">
        <v>140.35872576176999</v>
      </c>
      <c r="G227">
        <v>118.3836565097</v>
      </c>
      <c r="I227" s="9">
        <f t="shared" si="22"/>
        <v>155.40472523303998</v>
      </c>
      <c r="J227" s="9">
        <f t="shared" si="23"/>
        <v>645.35220093256009</v>
      </c>
      <c r="K227" s="9">
        <f t="shared" si="24"/>
        <v>155.40472523303998</v>
      </c>
      <c r="L227" s="10">
        <f t="shared" si="21"/>
        <v>0.24080606683989589</v>
      </c>
      <c r="M227" s="10">
        <f t="shared" si="20"/>
        <v>0.25425324520251641</v>
      </c>
      <c r="P227" s="8">
        <f t="shared" si="25"/>
        <v>-9.806782274535534</v>
      </c>
    </row>
    <row r="228" spans="1:16" x14ac:dyDescent="0.2">
      <c r="A228" s="8">
        <v>113</v>
      </c>
      <c r="B228" s="8">
        <v>226</v>
      </c>
      <c r="D228">
        <v>790.54080221300001</v>
      </c>
      <c r="E228">
        <v>275.00829875519003</v>
      </c>
      <c r="F228">
        <v>140.43421052631999</v>
      </c>
      <c r="G228">
        <v>117.94252077562</v>
      </c>
      <c r="I228" s="9">
        <f t="shared" si="22"/>
        <v>157.06577797957004</v>
      </c>
      <c r="J228" s="9">
        <f t="shared" si="23"/>
        <v>650.10659168668008</v>
      </c>
      <c r="K228" s="9">
        <f t="shared" si="24"/>
        <v>157.06577797957004</v>
      </c>
      <c r="L228" s="10">
        <f t="shared" si="21"/>
        <v>0.24160003911369068</v>
      </c>
      <c r="M228" s="10">
        <f t="shared" si="20"/>
        <v>0.25510698271347843</v>
      </c>
      <c r="P228" s="8">
        <f t="shared" si="25"/>
        <v>-9.5039293723227782</v>
      </c>
    </row>
    <row r="229" spans="1:16" x14ac:dyDescent="0.2">
      <c r="A229" s="8">
        <v>113.5</v>
      </c>
      <c r="B229" s="8">
        <v>227</v>
      </c>
      <c r="D229">
        <v>789.10435383551999</v>
      </c>
      <c r="E229">
        <v>275.38078783690003</v>
      </c>
      <c r="F229">
        <v>140.53462603878</v>
      </c>
      <c r="G229">
        <v>118.57617728532</v>
      </c>
      <c r="I229" s="9">
        <f t="shared" si="22"/>
        <v>156.80461055158003</v>
      </c>
      <c r="J229" s="9">
        <f t="shared" si="23"/>
        <v>648.56972779673993</v>
      </c>
      <c r="K229" s="9">
        <f t="shared" si="24"/>
        <v>156.80461055158003</v>
      </c>
      <c r="L229" s="10">
        <f t="shared" si="21"/>
        <v>0.24176985732014028</v>
      </c>
      <c r="M229" s="10">
        <f t="shared" si="20"/>
        <v>0.25533656615709521</v>
      </c>
      <c r="P229" s="8">
        <f t="shared" si="25"/>
        <v>-9.4224874638830354</v>
      </c>
    </row>
    <row r="230" spans="1:16" x14ac:dyDescent="0.2">
      <c r="A230" s="8">
        <v>114</v>
      </c>
      <c r="B230" s="8">
        <v>228</v>
      </c>
      <c r="D230">
        <v>786.04</v>
      </c>
      <c r="E230">
        <v>276.11310344828001</v>
      </c>
      <c r="F230">
        <v>140.89542936288001</v>
      </c>
      <c r="G230">
        <v>118.45429362881001</v>
      </c>
      <c r="I230" s="9">
        <f t="shared" si="22"/>
        <v>157.65880981947001</v>
      </c>
      <c r="J230" s="9">
        <f t="shared" si="23"/>
        <v>645.14457063711995</v>
      </c>
      <c r="K230" s="9">
        <f t="shared" si="24"/>
        <v>157.65880981947001</v>
      </c>
      <c r="L230" s="10">
        <f t="shared" si="21"/>
        <v>0.24437748838802478</v>
      </c>
      <c r="M230" s="10">
        <f t="shared" si="20"/>
        <v>0.25800396246214691</v>
      </c>
      <c r="P230" s="8">
        <f t="shared" si="25"/>
        <v>-8.4762613674963383</v>
      </c>
    </row>
    <row r="231" spans="1:16" x14ac:dyDescent="0.2">
      <c r="A231" s="8">
        <v>114.5</v>
      </c>
      <c r="B231" s="8">
        <v>229</v>
      </c>
      <c r="D231">
        <v>797.65793103448004</v>
      </c>
      <c r="E231">
        <v>279.94551724138</v>
      </c>
      <c r="F231">
        <v>140.14473684211001</v>
      </c>
      <c r="G231">
        <v>118.07617728532</v>
      </c>
      <c r="I231" s="9">
        <f t="shared" si="22"/>
        <v>161.86933995606</v>
      </c>
      <c r="J231" s="9">
        <f t="shared" si="23"/>
        <v>657.51319419237007</v>
      </c>
      <c r="K231" s="9">
        <f t="shared" si="24"/>
        <v>161.86933995606</v>
      </c>
      <c r="L231" s="10">
        <f t="shared" si="21"/>
        <v>0.24618416996922124</v>
      </c>
      <c r="M231" s="10">
        <f t="shared" si="20"/>
        <v>0.25987040928051058</v>
      </c>
      <c r="P231" s="8">
        <f t="shared" si="25"/>
        <v>-7.8141622696948936</v>
      </c>
    </row>
    <row r="232" spans="1:16" x14ac:dyDescent="0.2">
      <c r="A232" s="8">
        <v>115</v>
      </c>
      <c r="B232" s="8">
        <v>230</v>
      </c>
      <c r="D232">
        <v>803.16551724138003</v>
      </c>
      <c r="E232">
        <v>280.81241379310001</v>
      </c>
      <c r="F232">
        <v>140.34418282549001</v>
      </c>
      <c r="G232">
        <v>118.13642659280001</v>
      </c>
      <c r="I232" s="9">
        <f t="shared" si="22"/>
        <v>162.6759872003</v>
      </c>
      <c r="J232" s="9">
        <f t="shared" si="23"/>
        <v>662.82133441589008</v>
      </c>
      <c r="K232" s="9">
        <f t="shared" si="24"/>
        <v>162.6759872003</v>
      </c>
      <c r="L232" s="10">
        <f t="shared" si="21"/>
        <v>0.24542961844108091</v>
      </c>
      <c r="M232" s="10">
        <f t="shared" si="20"/>
        <v>0.25917562298953745</v>
      </c>
      <c r="P232" s="8">
        <f t="shared" si="25"/>
        <v>-8.0606291777750414</v>
      </c>
    </row>
    <row r="233" spans="1:16" x14ac:dyDescent="0.2">
      <c r="A233" s="8">
        <v>115.5</v>
      </c>
      <c r="B233" s="8">
        <v>231</v>
      </c>
      <c r="D233">
        <v>796.33126293995997</v>
      </c>
      <c r="E233">
        <v>280.81642512077002</v>
      </c>
      <c r="F233">
        <v>140.2756232687</v>
      </c>
      <c r="G233">
        <v>118.29293628809</v>
      </c>
      <c r="I233" s="9">
        <f t="shared" si="22"/>
        <v>162.52348883268002</v>
      </c>
      <c r="J233" s="9">
        <f t="shared" si="23"/>
        <v>656.05563967126</v>
      </c>
      <c r="K233" s="9">
        <f t="shared" si="24"/>
        <v>162.52348883268002</v>
      </c>
      <c r="L233" s="10">
        <f t="shared" si="21"/>
        <v>0.24772820932401129</v>
      </c>
      <c r="M233" s="10">
        <f t="shared" si="20"/>
        <v>0.26153397910963505</v>
      </c>
      <c r="P233" s="8">
        <f t="shared" si="25"/>
        <v>-7.2240312934698876</v>
      </c>
    </row>
    <row r="234" spans="1:16" x14ac:dyDescent="0.2">
      <c r="A234" s="8">
        <v>116</v>
      </c>
      <c r="B234" s="8">
        <v>232</v>
      </c>
      <c r="D234">
        <v>772.4209799862</v>
      </c>
      <c r="E234">
        <v>276.21601104209998</v>
      </c>
      <c r="F234">
        <v>140.66620498615001</v>
      </c>
      <c r="G234">
        <v>118.21121883657</v>
      </c>
      <c r="I234" s="9">
        <f t="shared" si="22"/>
        <v>158.00479220552998</v>
      </c>
      <c r="J234" s="9">
        <f t="shared" si="23"/>
        <v>631.75477500005002</v>
      </c>
      <c r="K234" s="9">
        <f t="shared" si="24"/>
        <v>158.00479220552998</v>
      </c>
      <c r="L234" s="10">
        <f t="shared" si="21"/>
        <v>0.25010462676046646</v>
      </c>
      <c r="M234" s="10">
        <f t="shared" si="20"/>
        <v>0.26397016178325738</v>
      </c>
      <c r="P234" s="8">
        <f t="shared" si="25"/>
        <v>-6.3598253946385572</v>
      </c>
    </row>
    <row r="235" spans="1:16" x14ac:dyDescent="0.2">
      <c r="A235" s="8">
        <v>116.5</v>
      </c>
      <c r="B235" s="8">
        <v>233</v>
      </c>
      <c r="D235">
        <v>776.10075914423999</v>
      </c>
      <c r="E235">
        <v>277.90407177364</v>
      </c>
      <c r="F235">
        <v>140.21052631578999</v>
      </c>
      <c r="G235">
        <v>118.24792243767</v>
      </c>
      <c r="I235" s="9">
        <f t="shared" si="22"/>
        <v>159.65614933596999</v>
      </c>
      <c r="J235" s="9">
        <f t="shared" si="23"/>
        <v>635.89023282845005</v>
      </c>
      <c r="K235" s="9">
        <f t="shared" si="24"/>
        <v>159.65614933596999</v>
      </c>
      <c r="L235" s="10">
        <f t="shared" si="21"/>
        <v>0.25107501435557023</v>
      </c>
      <c r="M235" s="10">
        <f t="shared" si="20"/>
        <v>0.26500031461552837</v>
      </c>
      <c r="P235" s="8">
        <f t="shared" si="25"/>
        <v>-5.9943913227252805</v>
      </c>
    </row>
    <row r="236" spans="1:16" x14ac:dyDescent="0.2">
      <c r="A236" s="8">
        <v>117</v>
      </c>
      <c r="B236" s="8">
        <v>234</v>
      </c>
      <c r="D236">
        <v>792.24499654934004</v>
      </c>
      <c r="E236">
        <v>281.91235334714003</v>
      </c>
      <c r="F236">
        <v>140.13434903046999</v>
      </c>
      <c r="G236">
        <v>118.02977839335</v>
      </c>
      <c r="I236" s="9">
        <f t="shared" si="22"/>
        <v>163.88257495379003</v>
      </c>
      <c r="J236" s="9">
        <f t="shared" si="23"/>
        <v>652.11064751887011</v>
      </c>
      <c r="K236" s="9">
        <f t="shared" si="24"/>
        <v>163.88257495379003</v>
      </c>
      <c r="L236" s="10">
        <f t="shared" si="21"/>
        <v>0.25131099388934264</v>
      </c>
      <c r="M236" s="10">
        <f t="shared" si="20"/>
        <v>0.265296059386468</v>
      </c>
      <c r="P236" s="8">
        <f t="shared" si="25"/>
        <v>-5.8894794955614644</v>
      </c>
    </row>
    <row r="237" spans="1:16" x14ac:dyDescent="0.2">
      <c r="A237" s="8">
        <v>117.5</v>
      </c>
      <c r="B237" s="8">
        <v>235</v>
      </c>
      <c r="D237">
        <v>800.90476190475999</v>
      </c>
      <c r="E237">
        <v>283.24913733608997</v>
      </c>
      <c r="F237">
        <v>140.06024930748001</v>
      </c>
      <c r="G237">
        <v>118.29362880886001</v>
      </c>
      <c r="I237" s="9">
        <f t="shared" si="22"/>
        <v>164.95550852722997</v>
      </c>
      <c r="J237" s="9">
        <f t="shared" si="23"/>
        <v>660.84451259727996</v>
      </c>
      <c r="K237" s="9">
        <f t="shared" si="24"/>
        <v>164.95550852722997</v>
      </c>
      <c r="L237" s="10">
        <f t="shared" si="21"/>
        <v>0.24961319248746519</v>
      </c>
      <c r="M237" s="10">
        <f t="shared" si="20"/>
        <v>0.26365802322175774</v>
      </c>
      <c r="P237" s="8">
        <f t="shared" si="25"/>
        <v>-6.4705527177664353</v>
      </c>
    </row>
    <row r="238" spans="1:16" x14ac:dyDescent="0.2">
      <c r="A238" s="8">
        <v>118</v>
      </c>
      <c r="B238" s="8">
        <v>236</v>
      </c>
      <c r="D238">
        <v>807.88129744651997</v>
      </c>
      <c r="E238">
        <v>284.96894409938</v>
      </c>
      <c r="F238">
        <v>139.72506925208</v>
      </c>
      <c r="G238">
        <v>118.45567867036</v>
      </c>
      <c r="I238" s="9">
        <f t="shared" si="22"/>
        <v>166.51326542902001</v>
      </c>
      <c r="J238" s="9">
        <f t="shared" si="23"/>
        <v>668.15622819444002</v>
      </c>
      <c r="K238" s="9">
        <f t="shared" si="24"/>
        <v>166.51326542902001</v>
      </c>
      <c r="L238" s="10">
        <f t="shared" si="21"/>
        <v>0.24921307083971836</v>
      </c>
      <c r="M238" s="10">
        <f t="shared" si="20"/>
        <v>0.26331766681117813</v>
      </c>
      <c r="P238" s="8">
        <f t="shared" si="25"/>
        <v>-6.5912899764756148</v>
      </c>
    </row>
    <row r="239" spans="1:16" x14ac:dyDescent="0.2">
      <c r="A239" s="8">
        <v>118.5</v>
      </c>
      <c r="B239" s="8">
        <v>237</v>
      </c>
      <c r="D239">
        <v>808.30917874396005</v>
      </c>
      <c r="E239">
        <v>286.18840579710002</v>
      </c>
      <c r="F239">
        <v>139.77770083102999</v>
      </c>
      <c r="G239">
        <v>118.37049861496</v>
      </c>
      <c r="I239" s="9">
        <f t="shared" si="22"/>
        <v>167.81790718214</v>
      </c>
      <c r="J239" s="9">
        <f t="shared" si="23"/>
        <v>668.53147791293009</v>
      </c>
      <c r="K239" s="9">
        <f t="shared" si="24"/>
        <v>167.81790718214</v>
      </c>
      <c r="L239" s="10">
        <f t="shared" si="21"/>
        <v>0.25102469027493829</v>
      </c>
      <c r="M239" s="10">
        <f t="shared" si="20"/>
        <v>0.26518905148356525</v>
      </c>
      <c r="P239" s="8">
        <f t="shared" si="25"/>
        <v>-5.9274392355725114</v>
      </c>
    </row>
    <row r="240" spans="1:16" x14ac:dyDescent="0.2">
      <c r="A240" s="8">
        <v>119</v>
      </c>
      <c r="B240" s="8">
        <v>238</v>
      </c>
      <c r="D240">
        <v>801.22360248447001</v>
      </c>
      <c r="E240">
        <v>285.69565217390999</v>
      </c>
      <c r="F240">
        <v>139.92520775623001</v>
      </c>
      <c r="G240">
        <v>118.38019390581999</v>
      </c>
      <c r="I240" s="9">
        <f t="shared" si="22"/>
        <v>167.31545826809</v>
      </c>
      <c r="J240" s="9">
        <f t="shared" si="23"/>
        <v>661.29839472824005</v>
      </c>
      <c r="K240" s="9">
        <f t="shared" si="24"/>
        <v>167.31545826809</v>
      </c>
      <c r="L240" s="10">
        <f t="shared" si="21"/>
        <v>0.25301053140594443</v>
      </c>
      <c r="M240" s="10">
        <f t="shared" si="20"/>
        <v>0.26723465785173861</v>
      </c>
      <c r="P240" s="8">
        <f t="shared" si="25"/>
        <v>-5.2017854866958766</v>
      </c>
    </row>
    <row r="241" spans="1:16" x14ac:dyDescent="0.2">
      <c r="A241" s="8">
        <v>119.5</v>
      </c>
      <c r="B241" s="8">
        <v>239</v>
      </c>
      <c r="D241">
        <v>795.90407177364</v>
      </c>
      <c r="E241">
        <v>285.16494133884999</v>
      </c>
      <c r="F241">
        <v>140.29916897506999</v>
      </c>
      <c r="G241">
        <v>118.11288088643001</v>
      </c>
      <c r="I241" s="9">
        <f t="shared" si="22"/>
        <v>167.05206045241999</v>
      </c>
      <c r="J241" s="9">
        <f t="shared" si="23"/>
        <v>655.60490279857004</v>
      </c>
      <c r="K241" s="9">
        <f t="shared" si="24"/>
        <v>167.05206045241999</v>
      </c>
      <c r="L241" s="10">
        <f t="shared" si="21"/>
        <v>0.254805996323895</v>
      </c>
      <c r="M241" s="10">
        <f t="shared" si="20"/>
        <v>0.26908988800685635</v>
      </c>
      <c r="P241" s="8">
        <f t="shared" si="25"/>
        <v>-4.5436653624941137</v>
      </c>
    </row>
    <row r="242" spans="1:16" x14ac:dyDescent="0.2">
      <c r="A242" s="8">
        <v>120</v>
      </c>
      <c r="B242" s="8">
        <v>240</v>
      </c>
      <c r="D242">
        <v>800.77087646653001</v>
      </c>
      <c r="E242">
        <v>286.35403726708</v>
      </c>
      <c r="F242">
        <v>140</v>
      </c>
      <c r="G242">
        <v>118.1987534626</v>
      </c>
      <c r="I242" s="9">
        <f>E242-G242</f>
        <v>168.15528380448001</v>
      </c>
      <c r="J242" s="9">
        <f>D242-F242</f>
        <v>660.77087646653001</v>
      </c>
      <c r="K242" s="9">
        <f t="shared" si="24"/>
        <v>168.15528380448001</v>
      </c>
      <c r="L242" s="10">
        <f t="shared" si="21"/>
        <v>0.25448349767424649</v>
      </c>
      <c r="M242" s="10">
        <f>L242+ABS($N$2)*A242</f>
        <v>0.26882715459437506</v>
      </c>
      <c r="O242" s="11"/>
      <c r="P242" s="8">
        <f>(M242-$O$2)/$O$2*100</f>
        <v>-4.6368668154659494</v>
      </c>
    </row>
    <row r="243" spans="1:16" x14ac:dyDescent="0.2">
      <c r="A243" s="8">
        <v>120.5</v>
      </c>
      <c r="B243" s="8">
        <v>241</v>
      </c>
      <c r="D243">
        <v>781.01518288474995</v>
      </c>
      <c r="E243">
        <v>283.15804002761001</v>
      </c>
      <c r="F243">
        <v>140.98130193905999</v>
      </c>
      <c r="G243">
        <v>117.78808864266</v>
      </c>
      <c r="I243" s="9">
        <f t="shared" ref="I243:I274" si="26">E243-G243</f>
        <v>165.36995138495001</v>
      </c>
      <c r="J243" s="9">
        <f t="shared" ref="J243:J274" si="27">D243-F243</f>
        <v>640.03388094568993</v>
      </c>
      <c r="K243" s="9">
        <f t="shared" si="24"/>
        <v>165.36995138495001</v>
      </c>
      <c r="L243" s="10">
        <f t="shared" si="21"/>
        <v>0.25837687083159661</v>
      </c>
      <c r="M243" s="10">
        <f t="shared" ref="M243:M274" si="28">L243+ABS($N$2)*A243</f>
        <v>0.27278029298889239</v>
      </c>
      <c r="P243" s="8">
        <f t="shared" ref="P243:P274" si="29">(M243-$O$2)/$O$2*100</f>
        <v>-3.2345394955861173</v>
      </c>
    </row>
    <row r="244" spans="1:16" x14ac:dyDescent="0.2">
      <c r="A244" s="8">
        <v>121</v>
      </c>
      <c r="B244" s="8">
        <v>242</v>
      </c>
      <c r="D244">
        <v>799.33885438233006</v>
      </c>
      <c r="E244">
        <v>286.42512077294998</v>
      </c>
      <c r="F244">
        <v>140.03047091413001</v>
      </c>
      <c r="G244">
        <v>118.25346260388</v>
      </c>
      <c r="I244" s="9">
        <f t="shared" si="26"/>
        <v>168.17165816906999</v>
      </c>
      <c r="J244" s="9">
        <f t="shared" si="27"/>
        <v>659.30838346820008</v>
      </c>
      <c r="K244" s="9">
        <f t="shared" si="24"/>
        <v>168.17165816906999</v>
      </c>
      <c r="L244" s="10">
        <f t="shared" si="21"/>
        <v>0.25507283448213774</v>
      </c>
      <c r="M244" s="10">
        <f t="shared" si="28"/>
        <v>0.2695360218766007</v>
      </c>
      <c r="N244" s="1"/>
      <c r="P244" s="8">
        <f t="shared" si="29"/>
        <v>-4.385404848586</v>
      </c>
    </row>
    <row r="245" spans="1:16" x14ac:dyDescent="0.2">
      <c r="A245" s="8">
        <v>121.5</v>
      </c>
      <c r="B245" s="8">
        <v>243</v>
      </c>
      <c r="D245">
        <v>821.95859213251003</v>
      </c>
      <c r="E245">
        <v>292.52795031056002</v>
      </c>
      <c r="F245">
        <v>140.46052631578999</v>
      </c>
      <c r="G245">
        <v>118.59833795014001</v>
      </c>
      <c r="I245" s="9">
        <f t="shared" si="26"/>
        <v>173.92961236042001</v>
      </c>
      <c r="J245" s="9">
        <f t="shared" si="27"/>
        <v>681.4980658167201</v>
      </c>
      <c r="K245" s="9">
        <f t="shared" si="24"/>
        <v>173.92961236042001</v>
      </c>
      <c r="L245" s="10">
        <f t="shared" si="21"/>
        <v>0.25521658986952439</v>
      </c>
      <c r="M245" s="10">
        <f t="shared" si="28"/>
        <v>0.26973954250115456</v>
      </c>
      <c r="P245" s="8">
        <f t="shared" si="29"/>
        <v>-4.3132084052824409</v>
      </c>
    </row>
    <row r="246" spans="1:16" x14ac:dyDescent="0.2">
      <c r="A246" s="8">
        <v>122</v>
      </c>
      <c r="B246" s="8">
        <v>244</v>
      </c>
      <c r="D246">
        <v>811.36576949619996</v>
      </c>
      <c r="E246">
        <v>290.28916494134</v>
      </c>
      <c r="F246">
        <v>140.07340720222001</v>
      </c>
      <c r="G246">
        <v>118.29362880886001</v>
      </c>
      <c r="I246" s="9">
        <f t="shared" si="26"/>
        <v>171.99553613248</v>
      </c>
      <c r="J246" s="9">
        <f t="shared" si="27"/>
        <v>671.29236229397998</v>
      </c>
      <c r="K246" s="9">
        <f t="shared" si="24"/>
        <v>171.99553613248</v>
      </c>
      <c r="L246" s="10">
        <f t="shared" si="21"/>
        <v>0.25621554153353793</v>
      </c>
      <c r="M246" s="10">
        <f t="shared" si="28"/>
        <v>0.27079825940233532</v>
      </c>
      <c r="P246" s="8">
        <f t="shared" si="29"/>
        <v>-3.9376415805531577</v>
      </c>
    </row>
    <row r="247" spans="1:16" x14ac:dyDescent="0.2">
      <c r="A247" s="8">
        <v>122.5</v>
      </c>
      <c r="B247" s="8">
        <v>245</v>
      </c>
      <c r="D247">
        <v>812.27234927234997</v>
      </c>
      <c r="E247">
        <v>292.51282051281999</v>
      </c>
      <c r="F247">
        <v>140.07894736841999</v>
      </c>
      <c r="G247">
        <v>117.91343490305</v>
      </c>
      <c r="I247" s="9">
        <f t="shared" si="26"/>
        <v>174.59938560976997</v>
      </c>
      <c r="J247" s="9">
        <f t="shared" si="27"/>
        <v>672.19340190392995</v>
      </c>
      <c r="K247" s="9">
        <f t="shared" si="24"/>
        <v>174.59938560976997</v>
      </c>
      <c r="L247" s="10">
        <f t="shared" si="21"/>
        <v>0.25974575935323413</v>
      </c>
      <c r="M247" s="10">
        <f t="shared" si="28"/>
        <v>0.27438824245919868</v>
      </c>
      <c r="P247" s="8">
        <f t="shared" si="29"/>
        <v>-2.6641391589006793</v>
      </c>
    </row>
    <row r="248" spans="1:16" x14ac:dyDescent="0.2">
      <c r="A248" s="8">
        <v>123</v>
      </c>
      <c r="B248" s="8">
        <v>246</v>
      </c>
      <c r="D248">
        <v>816.52806652806998</v>
      </c>
      <c r="E248">
        <v>293.74081774081998</v>
      </c>
      <c r="F248">
        <v>139.95152354570999</v>
      </c>
      <c r="G248">
        <v>118.00831024931</v>
      </c>
      <c r="I248" s="9">
        <f t="shared" si="26"/>
        <v>175.73250749150998</v>
      </c>
      <c r="J248" s="9">
        <f t="shared" si="27"/>
        <v>676.57654298236002</v>
      </c>
      <c r="K248" s="9">
        <f t="shared" si="24"/>
        <v>175.73250749150998</v>
      </c>
      <c r="L248" s="10">
        <f t="shared" si="21"/>
        <v>0.25973780692555248</v>
      </c>
      <c r="M248" s="10">
        <f t="shared" si="28"/>
        <v>0.27444005526868426</v>
      </c>
      <c r="P248" s="8">
        <f t="shared" si="29"/>
        <v>-2.6457592007484121</v>
      </c>
    </row>
    <row r="249" spans="1:16" x14ac:dyDescent="0.2">
      <c r="A249" s="8">
        <v>123.5</v>
      </c>
      <c r="B249" s="8">
        <v>247</v>
      </c>
      <c r="D249">
        <v>783.87456687456995</v>
      </c>
      <c r="E249">
        <v>286.68260568261002</v>
      </c>
      <c r="F249">
        <v>140.07202216067</v>
      </c>
      <c r="G249">
        <v>118.23614958448999</v>
      </c>
      <c r="I249" s="9">
        <f t="shared" si="26"/>
        <v>168.44645609812002</v>
      </c>
      <c r="J249" s="9">
        <f t="shared" si="27"/>
        <v>643.80254471389992</v>
      </c>
      <c r="K249" s="9">
        <f t="shared" si="24"/>
        <v>168.44645609812002</v>
      </c>
      <c r="L249" s="10">
        <f t="shared" si="21"/>
        <v>0.26164304176985836</v>
      </c>
      <c r="M249" s="10">
        <f t="shared" si="28"/>
        <v>0.27640505535015736</v>
      </c>
      <c r="P249" s="8">
        <f t="shared" si="29"/>
        <v>-1.9486995426201834</v>
      </c>
    </row>
    <row r="250" spans="1:16" x14ac:dyDescent="0.2">
      <c r="A250" s="8">
        <v>124</v>
      </c>
      <c r="B250" s="8">
        <v>248</v>
      </c>
      <c r="D250">
        <v>788.65166204985997</v>
      </c>
      <c r="E250">
        <v>289.09487534625998</v>
      </c>
      <c r="F250">
        <v>140.29709141274</v>
      </c>
      <c r="G250">
        <v>118.36011080332</v>
      </c>
      <c r="I250" s="9">
        <f t="shared" si="26"/>
        <v>170.73476454293998</v>
      </c>
      <c r="J250" s="9">
        <f t="shared" si="27"/>
        <v>648.35457063711999</v>
      </c>
      <c r="K250" s="9">
        <f t="shared" si="24"/>
        <v>170.73476454293998</v>
      </c>
      <c r="L250" s="10">
        <f t="shared" si="21"/>
        <v>0.26333548381584426</v>
      </c>
      <c r="M250" s="10">
        <f t="shared" si="28"/>
        <v>0.27815726263331042</v>
      </c>
      <c r="P250" s="8">
        <f t="shared" si="29"/>
        <v>-1.3271255176212506</v>
      </c>
    </row>
    <row r="251" spans="1:16" x14ac:dyDescent="0.2">
      <c r="A251" s="8">
        <v>124.5</v>
      </c>
      <c r="B251" s="8">
        <v>249</v>
      </c>
      <c r="D251">
        <v>782.02077562326997</v>
      </c>
      <c r="E251">
        <v>287.85595567867</v>
      </c>
      <c r="F251">
        <v>140.58240997230001</v>
      </c>
      <c r="G251">
        <v>118.39473684211001</v>
      </c>
      <c r="I251" s="9">
        <f t="shared" si="26"/>
        <v>169.46121883655999</v>
      </c>
      <c r="J251" s="9">
        <f t="shared" si="27"/>
        <v>641.4383656509699</v>
      </c>
      <c r="K251" s="9">
        <f t="shared" si="24"/>
        <v>169.46121883655999</v>
      </c>
      <c r="L251" s="10">
        <f t="shared" si="21"/>
        <v>0.26418940292818416</v>
      </c>
      <c r="M251" s="10">
        <f t="shared" si="28"/>
        <v>0.27907094698281754</v>
      </c>
      <c r="P251" s="8">
        <f t="shared" si="29"/>
        <v>-1.0030072102942178</v>
      </c>
    </row>
    <row r="252" spans="1:16" x14ac:dyDescent="0.2">
      <c r="A252" s="8">
        <v>125</v>
      </c>
      <c r="B252" s="8">
        <v>250</v>
      </c>
      <c r="D252">
        <v>768.99792243767001</v>
      </c>
      <c r="E252">
        <v>285.29155124654</v>
      </c>
      <c r="F252">
        <v>140.09903047091001</v>
      </c>
      <c r="G252">
        <v>118.18559556787</v>
      </c>
      <c r="I252" s="9">
        <f t="shared" si="26"/>
        <v>167.10595567867</v>
      </c>
      <c r="J252" s="9">
        <f t="shared" si="27"/>
        <v>628.89889196675995</v>
      </c>
      <c r="K252" s="9">
        <f t="shared" si="24"/>
        <v>167.10595567867</v>
      </c>
      <c r="L252" s="10">
        <f t="shared" si="21"/>
        <v>0.26571195753911786</v>
      </c>
      <c r="M252" s="10">
        <f t="shared" si="28"/>
        <v>0.28065326683091846</v>
      </c>
      <c r="P252" s="8">
        <f t="shared" si="29"/>
        <v>-0.44169866747732645</v>
      </c>
    </row>
    <row r="253" spans="1:16" x14ac:dyDescent="0.2">
      <c r="A253" s="8">
        <v>125.5</v>
      </c>
      <c r="B253" s="8">
        <v>251</v>
      </c>
      <c r="D253">
        <v>756.82825484764999</v>
      </c>
      <c r="E253">
        <v>283.54224376731003</v>
      </c>
      <c r="F253">
        <v>140.54709141274</v>
      </c>
      <c r="G253">
        <v>118.46814404432</v>
      </c>
      <c r="I253" s="9">
        <f t="shared" si="26"/>
        <v>165.07409972299001</v>
      </c>
      <c r="J253" s="9">
        <f t="shared" si="27"/>
        <v>616.28116343491001</v>
      </c>
      <c r="K253" s="9">
        <f t="shared" si="24"/>
        <v>165.07409972299001</v>
      </c>
      <c r="L253" s="10">
        <f t="shared" si="21"/>
        <v>0.26785517636614364</v>
      </c>
      <c r="M253" s="10">
        <f t="shared" si="28"/>
        <v>0.28285625089511141</v>
      </c>
      <c r="P253" s="8">
        <f t="shared" si="29"/>
        <v>0.33978288721913491</v>
      </c>
    </row>
    <row r="254" spans="1:16" x14ac:dyDescent="0.2">
      <c r="A254" s="8">
        <v>126</v>
      </c>
      <c r="B254" s="8">
        <v>252</v>
      </c>
      <c r="D254">
        <v>746.98268698060997</v>
      </c>
      <c r="E254">
        <v>281.12742382272</v>
      </c>
      <c r="F254">
        <v>140.39058171745</v>
      </c>
      <c r="G254">
        <v>118.40789473684001</v>
      </c>
      <c r="I254" s="9">
        <f t="shared" si="26"/>
        <v>162.71952908588</v>
      </c>
      <c r="J254" s="9">
        <f t="shared" si="27"/>
        <v>606.59210526315997</v>
      </c>
      <c r="K254" s="9">
        <f t="shared" si="24"/>
        <v>162.71952908588</v>
      </c>
      <c r="L254" s="10">
        <f t="shared" si="21"/>
        <v>0.26825197307058063</v>
      </c>
      <c r="M254" s="10">
        <f t="shared" si="28"/>
        <v>0.28331281283671561</v>
      </c>
      <c r="P254" s="8">
        <f t="shared" si="29"/>
        <v>0.50174263161283728</v>
      </c>
    </row>
    <row r="255" spans="1:16" x14ac:dyDescent="0.2">
      <c r="A255" s="8">
        <v>126.5</v>
      </c>
      <c r="B255" s="8">
        <v>253</v>
      </c>
      <c r="D255">
        <v>704.55609418282995</v>
      </c>
      <c r="E255">
        <v>272.90927977838999</v>
      </c>
      <c r="F255">
        <v>141.24861495844999</v>
      </c>
      <c r="G255">
        <v>118.49861495845001</v>
      </c>
      <c r="I255" s="9">
        <f t="shared" si="26"/>
        <v>154.41066481994</v>
      </c>
      <c r="J255" s="9">
        <f t="shared" si="27"/>
        <v>563.3074792243799</v>
      </c>
      <c r="K255" s="9">
        <f t="shared" si="24"/>
        <v>154.41066481994</v>
      </c>
      <c r="L255" s="10">
        <f t="shared" si="21"/>
        <v>0.27411435231172254</v>
      </c>
      <c r="M255" s="10">
        <f t="shared" si="28"/>
        <v>0.28923495731502474</v>
      </c>
      <c r="P255" s="8">
        <f t="shared" si="29"/>
        <v>2.6025506897689668</v>
      </c>
    </row>
    <row r="256" spans="1:16" x14ac:dyDescent="0.2">
      <c r="A256" s="8">
        <v>127</v>
      </c>
      <c r="B256" s="8">
        <v>254</v>
      </c>
      <c r="D256">
        <v>699.36595451412995</v>
      </c>
      <c r="E256">
        <v>271.35010337697997</v>
      </c>
      <c r="F256">
        <v>141.19321329639999</v>
      </c>
      <c r="G256">
        <v>118.28878116344001</v>
      </c>
      <c r="I256" s="9">
        <f t="shared" si="26"/>
        <v>153.06132221353997</v>
      </c>
      <c r="J256" s="9">
        <f t="shared" si="27"/>
        <v>558.17274121772994</v>
      </c>
      <c r="K256" s="9">
        <f t="shared" si="24"/>
        <v>153.06132221353997</v>
      </c>
      <c r="L256" s="10">
        <f t="shared" si="21"/>
        <v>0.27421855442029619</v>
      </c>
      <c r="M256" s="10">
        <f t="shared" si="28"/>
        <v>0.28939892466076561</v>
      </c>
      <c r="P256" s="8">
        <f t="shared" si="29"/>
        <v>2.6607160929381304</v>
      </c>
    </row>
    <row r="257" spans="1:16" x14ac:dyDescent="0.2">
      <c r="A257" s="8">
        <v>127.5</v>
      </c>
      <c r="B257" s="8">
        <v>255</v>
      </c>
      <c r="D257">
        <v>720.80565127498005</v>
      </c>
      <c r="E257">
        <v>277.82908339076999</v>
      </c>
      <c r="F257">
        <v>140.48199445982999</v>
      </c>
      <c r="G257">
        <v>118.12603878116001</v>
      </c>
      <c r="I257" s="9">
        <f t="shared" si="26"/>
        <v>159.70304460961</v>
      </c>
      <c r="J257" s="9">
        <f t="shared" si="27"/>
        <v>580.32365681515012</v>
      </c>
      <c r="K257" s="9">
        <f t="shared" si="24"/>
        <v>159.70304460961</v>
      </c>
      <c r="L257" s="10">
        <f t="shared" si="21"/>
        <v>0.27519650928254341</v>
      </c>
      <c r="M257" s="10">
        <f t="shared" si="28"/>
        <v>0.29043664476018</v>
      </c>
      <c r="P257" s="8">
        <f t="shared" si="29"/>
        <v>3.0288345599807922</v>
      </c>
    </row>
    <row r="258" spans="1:16" x14ac:dyDescent="0.2">
      <c r="A258" s="8">
        <v>128</v>
      </c>
      <c r="B258" s="8">
        <v>256</v>
      </c>
      <c r="D258">
        <v>719.65058580289997</v>
      </c>
      <c r="E258">
        <v>277.20606478291</v>
      </c>
      <c r="F258">
        <v>140.67520775623001</v>
      </c>
      <c r="G258">
        <v>118.68213296399</v>
      </c>
      <c r="I258" s="9">
        <f t="shared" si="26"/>
        <v>158.52393181892</v>
      </c>
      <c r="J258" s="9">
        <f t="shared" si="27"/>
        <v>578.9753780466699</v>
      </c>
      <c r="K258" s="9">
        <f t="shared" si="24"/>
        <v>158.52393181892</v>
      </c>
      <c r="L258" s="10">
        <f t="shared" ref="L258:L321" si="30">K258/J258</f>
        <v>0.27380081749545787</v>
      </c>
      <c r="M258" s="10">
        <f t="shared" si="28"/>
        <v>0.28910071821026168</v>
      </c>
      <c r="P258" s="8">
        <f t="shared" si="29"/>
        <v>2.5549310151664932</v>
      </c>
    </row>
    <row r="259" spans="1:16" x14ac:dyDescent="0.2">
      <c r="A259" s="8">
        <v>128.5</v>
      </c>
      <c r="B259" s="8">
        <v>257</v>
      </c>
      <c r="D259">
        <v>743.34665747760005</v>
      </c>
      <c r="E259">
        <v>284.39834596830002</v>
      </c>
      <c r="F259">
        <v>140.32202216067</v>
      </c>
      <c r="G259">
        <v>117.88504155125</v>
      </c>
      <c r="I259" s="9">
        <f t="shared" si="26"/>
        <v>166.51330441705002</v>
      </c>
      <c r="J259" s="9">
        <f t="shared" si="27"/>
        <v>603.02463531693002</v>
      </c>
      <c r="K259" s="9">
        <f t="shared" ref="K259:K321" si="31">I259*1</f>
        <v>166.51330441705002</v>
      </c>
      <c r="L259" s="10">
        <f t="shared" si="30"/>
        <v>0.276130185509811</v>
      </c>
      <c r="M259" s="10">
        <f t="shared" si="28"/>
        <v>0.29148985146178202</v>
      </c>
      <c r="P259" s="8">
        <f t="shared" si="29"/>
        <v>3.4024467090483381</v>
      </c>
    </row>
    <row r="260" spans="1:16" x14ac:dyDescent="0.2">
      <c r="A260" s="8">
        <v>129</v>
      </c>
      <c r="B260" s="8">
        <v>258</v>
      </c>
      <c r="D260">
        <v>749.58028945554997</v>
      </c>
      <c r="E260">
        <v>286.47208821501999</v>
      </c>
      <c r="F260">
        <v>139.90927977838999</v>
      </c>
      <c r="G260">
        <v>117.98822714681</v>
      </c>
      <c r="I260" s="9">
        <f t="shared" si="26"/>
        <v>168.48386106820999</v>
      </c>
      <c r="J260" s="9">
        <f t="shared" si="27"/>
        <v>609.67100967715999</v>
      </c>
      <c r="K260" s="9">
        <f t="shared" si="31"/>
        <v>168.48386106820999</v>
      </c>
      <c r="L260" s="10">
        <f t="shared" si="30"/>
        <v>0.27635209546444978</v>
      </c>
      <c r="M260" s="10">
        <f t="shared" si="28"/>
        <v>0.29177152665358796</v>
      </c>
      <c r="P260" s="8">
        <f t="shared" si="29"/>
        <v>3.5023675257214144</v>
      </c>
    </row>
    <row r="261" spans="1:16" x14ac:dyDescent="0.2">
      <c r="A261" s="8">
        <v>129.5</v>
      </c>
      <c r="B261" s="8">
        <v>259</v>
      </c>
      <c r="D261">
        <v>787.23914541695001</v>
      </c>
      <c r="E261">
        <v>295.07649896623002</v>
      </c>
      <c r="F261">
        <v>140.29155124654</v>
      </c>
      <c r="G261">
        <v>118.4203601108</v>
      </c>
      <c r="I261" s="9">
        <f t="shared" si="26"/>
        <v>176.65613885543002</v>
      </c>
      <c r="J261" s="9">
        <f t="shared" si="27"/>
        <v>646.94759417040996</v>
      </c>
      <c r="K261" s="9">
        <f t="shared" si="31"/>
        <v>176.65613885543002</v>
      </c>
      <c r="L261" s="10">
        <f t="shared" si="30"/>
        <v>0.27306097193538326</v>
      </c>
      <c r="M261" s="10">
        <f t="shared" si="28"/>
        <v>0.28854016836168866</v>
      </c>
      <c r="P261" s="8">
        <f t="shared" si="29"/>
        <v>2.3560828372482461</v>
      </c>
    </row>
    <row r="262" spans="1:16" x14ac:dyDescent="0.2">
      <c r="A262" s="8">
        <v>130</v>
      </c>
      <c r="B262" s="8">
        <v>260</v>
      </c>
      <c r="D262">
        <v>757.26602343212005</v>
      </c>
      <c r="E262">
        <v>287.60923501034</v>
      </c>
      <c r="F262">
        <v>139.85318559557001</v>
      </c>
      <c r="G262">
        <v>118.28393351801</v>
      </c>
      <c r="I262" s="9">
        <f t="shared" si="26"/>
        <v>169.32530149233</v>
      </c>
      <c r="J262" s="9">
        <f t="shared" si="27"/>
        <v>617.41283783655001</v>
      </c>
      <c r="K262" s="9">
        <f t="shared" si="31"/>
        <v>169.32530149233</v>
      </c>
      <c r="L262" s="10">
        <f t="shared" si="30"/>
        <v>0.27424972581661172</v>
      </c>
      <c r="M262" s="10">
        <f t="shared" si="28"/>
        <v>0.28978868748008435</v>
      </c>
      <c r="P262" s="8">
        <f t="shared" si="29"/>
        <v>2.7989796686738315</v>
      </c>
    </row>
    <row r="263" spans="1:16" x14ac:dyDescent="0.2">
      <c r="A263" s="8">
        <v>130.5</v>
      </c>
      <c r="B263" s="8">
        <v>261</v>
      </c>
      <c r="D263">
        <v>739.97725706409005</v>
      </c>
      <c r="E263">
        <v>282.68573397657002</v>
      </c>
      <c r="F263">
        <v>140.35734072022001</v>
      </c>
      <c r="G263">
        <v>118.13296398892</v>
      </c>
      <c r="I263" s="9">
        <f t="shared" si="26"/>
        <v>164.55276998765004</v>
      </c>
      <c r="J263" s="9">
        <f t="shared" si="27"/>
        <v>599.61991634387005</v>
      </c>
      <c r="K263" s="9">
        <f t="shared" si="31"/>
        <v>164.55276998765004</v>
      </c>
      <c r="L263" s="10">
        <f t="shared" si="30"/>
        <v>0.27442845959986811</v>
      </c>
      <c r="M263" s="10">
        <f t="shared" si="28"/>
        <v>0.29002718650050791</v>
      </c>
      <c r="P263" s="8">
        <f t="shared" si="29"/>
        <v>2.8835842685452624</v>
      </c>
    </row>
    <row r="264" spans="1:16" x14ac:dyDescent="0.2">
      <c r="A264" s="8">
        <v>131</v>
      </c>
      <c r="B264" s="8">
        <v>262</v>
      </c>
      <c r="D264">
        <v>742.19365954514001</v>
      </c>
      <c r="E264">
        <v>284.89731219847999</v>
      </c>
      <c r="F264">
        <v>140.36218836565001</v>
      </c>
      <c r="G264">
        <v>118.02631578947</v>
      </c>
      <c r="I264" s="9">
        <f t="shared" si="26"/>
        <v>166.87099640900999</v>
      </c>
      <c r="J264" s="9">
        <f t="shared" si="27"/>
        <v>601.83147117948999</v>
      </c>
      <c r="K264" s="9">
        <f t="shared" si="31"/>
        <v>166.87099640900999</v>
      </c>
      <c r="L264" s="10">
        <f t="shared" si="30"/>
        <v>0.27727196798460951</v>
      </c>
      <c r="M264" s="10">
        <f t="shared" si="28"/>
        <v>0.29293046012241652</v>
      </c>
      <c r="P264" s="8">
        <f t="shared" si="29"/>
        <v>3.9134849476450717</v>
      </c>
    </row>
    <row r="265" spans="1:16" x14ac:dyDescent="0.2">
      <c r="A265" s="8">
        <v>131.5</v>
      </c>
      <c r="B265" s="8">
        <v>263</v>
      </c>
      <c r="D265">
        <v>765.48380427292</v>
      </c>
      <c r="E265">
        <v>290.48035837354001</v>
      </c>
      <c r="F265">
        <v>140.54155124654</v>
      </c>
      <c r="G265">
        <v>118.37811634349001</v>
      </c>
      <c r="I265" s="9">
        <f t="shared" si="26"/>
        <v>172.10224203005001</v>
      </c>
      <c r="J265" s="9">
        <f t="shared" si="27"/>
        <v>624.94225302638006</v>
      </c>
      <c r="K265" s="9">
        <f t="shared" si="31"/>
        <v>172.10224203005001</v>
      </c>
      <c r="L265" s="10">
        <f t="shared" si="30"/>
        <v>0.275389031861133</v>
      </c>
      <c r="M265" s="10">
        <f t="shared" si="28"/>
        <v>0.29110728923610724</v>
      </c>
      <c r="P265" s="8">
        <f t="shared" si="29"/>
        <v>3.2667374555190825</v>
      </c>
    </row>
    <row r="266" spans="1:16" x14ac:dyDescent="0.2">
      <c r="A266" s="8">
        <v>132</v>
      </c>
      <c r="B266" s="8">
        <v>264</v>
      </c>
      <c r="D266">
        <v>786.42560553632995</v>
      </c>
      <c r="E266">
        <v>295.49826989618998</v>
      </c>
      <c r="F266">
        <v>140.27908587258</v>
      </c>
      <c r="G266">
        <v>118.15997229916999</v>
      </c>
      <c r="I266" s="9">
        <f t="shared" si="26"/>
        <v>177.33829759701999</v>
      </c>
      <c r="J266" s="9">
        <f t="shared" si="27"/>
        <v>646.14651966374993</v>
      </c>
      <c r="K266" s="9">
        <f t="shared" si="31"/>
        <v>177.33829759701999</v>
      </c>
      <c r="L266" s="10">
        <f t="shared" si="30"/>
        <v>0.27445523917594661</v>
      </c>
      <c r="M266" s="10">
        <f t="shared" si="28"/>
        <v>0.290233261788088</v>
      </c>
      <c r="P266" s="8">
        <f t="shared" si="29"/>
        <v>2.9566869471983708</v>
      </c>
    </row>
    <row r="267" spans="1:16" x14ac:dyDescent="0.2">
      <c r="A267" s="8">
        <v>132.5</v>
      </c>
      <c r="B267" s="8">
        <v>265</v>
      </c>
      <c r="D267">
        <v>752.59238754324997</v>
      </c>
      <c r="E267">
        <v>288.25743944636997</v>
      </c>
      <c r="F267">
        <v>140.6987534626</v>
      </c>
      <c r="G267">
        <v>118.17797783934</v>
      </c>
      <c r="I267" s="9">
        <f t="shared" si="26"/>
        <v>170.07946160702997</v>
      </c>
      <c r="J267" s="9">
        <f t="shared" si="27"/>
        <v>611.89363408064992</v>
      </c>
      <c r="K267" s="9">
        <f t="shared" si="31"/>
        <v>170.07946160702997</v>
      </c>
      <c r="L267" s="10">
        <f t="shared" si="30"/>
        <v>0.27795592588991186</v>
      </c>
      <c r="M267" s="10">
        <f t="shared" si="28"/>
        <v>0.29379371373922047</v>
      </c>
      <c r="P267" s="8">
        <f t="shared" si="29"/>
        <v>4.2197135715931244</v>
      </c>
    </row>
    <row r="268" spans="1:16" x14ac:dyDescent="0.2">
      <c r="A268" s="8">
        <v>133</v>
      </c>
      <c r="B268" s="8">
        <v>266</v>
      </c>
      <c r="D268">
        <v>740.75294117647002</v>
      </c>
      <c r="E268">
        <v>285.60276816609002</v>
      </c>
      <c r="F268">
        <v>140.45083102493001</v>
      </c>
      <c r="G268">
        <v>118.19529085873</v>
      </c>
      <c r="I268" s="9">
        <f t="shared" si="26"/>
        <v>167.40747730736001</v>
      </c>
      <c r="J268" s="9">
        <f t="shared" si="27"/>
        <v>600.30211015153998</v>
      </c>
      <c r="K268" s="9">
        <f t="shared" si="31"/>
        <v>167.40747730736001</v>
      </c>
      <c r="L268" s="10">
        <f t="shared" si="30"/>
        <v>0.27887204538578042</v>
      </c>
      <c r="M268" s="10">
        <f t="shared" si="28"/>
        <v>0.29476959847225626</v>
      </c>
      <c r="P268" s="8">
        <f t="shared" si="29"/>
        <v>4.5658967014546334</v>
      </c>
    </row>
    <row r="269" spans="1:16" x14ac:dyDescent="0.2">
      <c r="A269" s="8">
        <v>133.5</v>
      </c>
      <c r="B269" s="8">
        <v>267</v>
      </c>
      <c r="D269">
        <v>771.58477508651004</v>
      </c>
      <c r="E269">
        <v>294.10865051902999</v>
      </c>
      <c r="F269">
        <v>140.42174515235999</v>
      </c>
      <c r="G269">
        <v>118.28393351801</v>
      </c>
      <c r="I269" s="9">
        <f t="shared" si="26"/>
        <v>175.82471700101999</v>
      </c>
      <c r="J269" s="9">
        <f t="shared" si="27"/>
        <v>631.16302993415002</v>
      </c>
      <c r="K269" s="9">
        <f t="shared" si="31"/>
        <v>175.82471700101999</v>
      </c>
      <c r="L269" s="10">
        <f t="shared" si="30"/>
        <v>0.27857258531027079</v>
      </c>
      <c r="M269" s="10">
        <f t="shared" si="28"/>
        <v>0.29452990363391379</v>
      </c>
      <c r="P269" s="8">
        <f t="shared" si="29"/>
        <v>4.4808678998553768</v>
      </c>
    </row>
    <row r="270" spans="1:16" x14ac:dyDescent="0.2">
      <c r="A270" s="8">
        <v>134</v>
      </c>
      <c r="B270" s="8">
        <v>268</v>
      </c>
      <c r="D270">
        <v>772.62076124568</v>
      </c>
      <c r="E270">
        <v>294.8892733564</v>
      </c>
      <c r="F270">
        <v>140.4148199446</v>
      </c>
      <c r="G270">
        <v>118.13850415512999</v>
      </c>
      <c r="I270" s="9">
        <f t="shared" si="26"/>
        <v>176.75076920127</v>
      </c>
      <c r="J270" s="9">
        <f t="shared" si="27"/>
        <v>632.20594130107997</v>
      </c>
      <c r="K270" s="9">
        <f t="shared" si="31"/>
        <v>176.75076920127</v>
      </c>
      <c r="L270" s="10">
        <f t="shared" si="30"/>
        <v>0.27957783635743266</v>
      </c>
      <c r="M270" s="10">
        <f t="shared" si="28"/>
        <v>0.29559491991824288</v>
      </c>
      <c r="P270" s="8">
        <f t="shared" si="29"/>
        <v>4.8586693534303267</v>
      </c>
    </row>
    <row r="271" spans="1:16" x14ac:dyDescent="0.2">
      <c r="A271" s="8">
        <v>134.5</v>
      </c>
      <c r="B271" s="8">
        <v>269</v>
      </c>
      <c r="D271">
        <v>758.13910034601997</v>
      </c>
      <c r="E271">
        <v>290.07197231833999</v>
      </c>
      <c r="F271">
        <v>140.25484764543</v>
      </c>
      <c r="G271">
        <v>117.78808864266</v>
      </c>
      <c r="I271" s="9">
        <f t="shared" si="26"/>
        <v>172.28388367567999</v>
      </c>
      <c r="J271" s="9">
        <f t="shared" si="27"/>
        <v>617.88425270058997</v>
      </c>
      <c r="K271" s="9">
        <f t="shared" si="31"/>
        <v>172.28388367567999</v>
      </c>
      <c r="L271" s="10">
        <f t="shared" si="30"/>
        <v>0.27882873357376875</v>
      </c>
      <c r="M271" s="10">
        <f t="shared" si="28"/>
        <v>0.29490558237174619</v>
      </c>
      <c r="P271" s="8">
        <f t="shared" si="29"/>
        <v>4.6141353205687539</v>
      </c>
    </row>
    <row r="272" spans="1:16" x14ac:dyDescent="0.2">
      <c r="A272" s="8">
        <v>135</v>
      </c>
      <c r="B272" s="8">
        <v>270</v>
      </c>
      <c r="D272">
        <v>752.76193771626004</v>
      </c>
      <c r="E272">
        <v>289.69688581315</v>
      </c>
      <c r="F272">
        <v>140.35941828255</v>
      </c>
      <c r="G272">
        <v>117.97922437673</v>
      </c>
      <c r="I272" s="9">
        <f t="shared" si="26"/>
        <v>171.71766143642</v>
      </c>
      <c r="J272" s="9">
        <f t="shared" si="27"/>
        <v>612.40251943371004</v>
      </c>
      <c r="K272" s="9">
        <f t="shared" si="31"/>
        <v>171.71766143642</v>
      </c>
      <c r="L272" s="10">
        <f t="shared" si="30"/>
        <v>0.28039999181454661</v>
      </c>
      <c r="M272" s="10">
        <f t="shared" si="28"/>
        <v>0.29653660584969121</v>
      </c>
      <c r="P272" s="8">
        <f t="shared" si="29"/>
        <v>5.1927208782259111</v>
      </c>
    </row>
    <row r="273" spans="1:16" x14ac:dyDescent="0.2">
      <c r="A273" s="8">
        <v>135.5</v>
      </c>
      <c r="B273" s="8">
        <v>271</v>
      </c>
      <c r="D273">
        <v>759.89342560553996</v>
      </c>
      <c r="E273">
        <v>292.19238754324999</v>
      </c>
      <c r="F273">
        <v>140.49445983379999</v>
      </c>
      <c r="G273">
        <v>118.23822714681</v>
      </c>
      <c r="I273" s="9">
        <f t="shared" si="26"/>
        <v>173.95416039643999</v>
      </c>
      <c r="J273" s="9">
        <f t="shared" si="27"/>
        <v>619.39896577174</v>
      </c>
      <c r="K273" s="9">
        <f t="shared" si="31"/>
        <v>173.95416039643999</v>
      </c>
      <c r="L273" s="10">
        <f t="shared" si="30"/>
        <v>0.28084347893558692</v>
      </c>
      <c r="M273" s="10">
        <f t="shared" si="28"/>
        <v>0.29703985820789874</v>
      </c>
      <c r="P273" s="8">
        <f t="shared" si="29"/>
        <v>5.3712434747753139</v>
      </c>
    </row>
    <row r="274" spans="1:16" x14ac:dyDescent="0.2">
      <c r="A274" s="8">
        <v>136</v>
      </c>
      <c r="B274" s="8">
        <v>272</v>
      </c>
      <c r="D274">
        <v>783.72664359861994</v>
      </c>
      <c r="E274">
        <v>298.28581314879</v>
      </c>
      <c r="F274">
        <v>139.99584487535</v>
      </c>
      <c r="G274">
        <v>118.0027700831</v>
      </c>
      <c r="I274" s="9">
        <f t="shared" si="26"/>
        <v>180.28304306568998</v>
      </c>
      <c r="J274" s="9">
        <f t="shared" si="27"/>
        <v>643.73079872326991</v>
      </c>
      <c r="K274" s="9">
        <f t="shared" si="31"/>
        <v>180.28304306568998</v>
      </c>
      <c r="L274" s="10">
        <f t="shared" si="30"/>
        <v>0.28005968243751983</v>
      </c>
      <c r="M274" s="10">
        <f t="shared" si="28"/>
        <v>0.29631582694699887</v>
      </c>
      <c r="P274" s="8">
        <f t="shared" si="29"/>
        <v>5.1144022726015912</v>
      </c>
    </row>
    <row r="275" spans="1:16" x14ac:dyDescent="0.2">
      <c r="A275" s="8">
        <v>136.5</v>
      </c>
      <c r="B275" s="8">
        <v>273</v>
      </c>
      <c r="D275">
        <v>782.40138408304995</v>
      </c>
      <c r="E275">
        <v>297.75986159169997</v>
      </c>
      <c r="F275">
        <v>140.1703601108</v>
      </c>
      <c r="G275">
        <v>118.51385041551001</v>
      </c>
      <c r="I275" s="9">
        <f>E275-G275</f>
        <v>179.24601117618997</v>
      </c>
      <c r="J275" s="9">
        <f>D275-F275</f>
        <v>642.23102397224989</v>
      </c>
      <c r="K275" s="9">
        <f t="shared" si="31"/>
        <v>179.24601117618997</v>
      </c>
      <c r="L275" s="10">
        <f t="shared" si="30"/>
        <v>0.27909896047615257</v>
      </c>
      <c r="M275" s="10">
        <f>L275+ABS($N$2)*A275</f>
        <v>0.29541487022279883</v>
      </c>
      <c r="O275" s="11"/>
      <c r="P275" s="8">
        <f>(M275-$O$2)/$O$2*100</f>
        <v>4.7947989341180612</v>
      </c>
    </row>
    <row r="276" spans="1:16" x14ac:dyDescent="0.2">
      <c r="A276" s="8">
        <v>137</v>
      </c>
      <c r="B276" s="8">
        <v>274</v>
      </c>
      <c r="D276">
        <v>779.77231833910002</v>
      </c>
      <c r="E276">
        <v>297.82698961938002</v>
      </c>
      <c r="F276">
        <v>139.93421052631999</v>
      </c>
      <c r="G276">
        <v>118.07063711911</v>
      </c>
      <c r="I276" s="9">
        <f t="shared" ref="I276:I291" si="32">E276-G276</f>
        <v>179.75635250027</v>
      </c>
      <c r="J276" s="9">
        <f t="shared" ref="J276:J291" si="33">D276-F276</f>
        <v>639.83810781277998</v>
      </c>
      <c r="K276" s="9">
        <f t="shared" si="31"/>
        <v>179.75635250027</v>
      </c>
      <c r="L276" s="10">
        <f t="shared" si="30"/>
        <v>0.28094036648543552</v>
      </c>
      <c r="M276" s="10">
        <f t="shared" ref="M276:M291" si="34">L276+ABS($N$2)*A276</f>
        <v>0.29731604146924895</v>
      </c>
      <c r="P276" s="8">
        <f t="shared" ref="P276:P291" si="35">(M276-$O$2)/$O$2*100</f>
        <v>5.4692160965337768</v>
      </c>
    </row>
    <row r="277" spans="1:16" x14ac:dyDescent="0.2">
      <c r="A277" s="8">
        <v>137.5</v>
      </c>
      <c r="B277" s="8">
        <v>275</v>
      </c>
      <c r="D277">
        <v>789.33564013840999</v>
      </c>
      <c r="E277">
        <v>300.10865051902999</v>
      </c>
      <c r="F277">
        <v>140.27631578947</v>
      </c>
      <c r="G277">
        <v>118.06371191136</v>
      </c>
      <c r="I277" s="9">
        <f t="shared" si="32"/>
        <v>182.04493860766999</v>
      </c>
      <c r="J277" s="9">
        <f t="shared" si="33"/>
        <v>649.05932434893998</v>
      </c>
      <c r="K277" s="9">
        <f t="shared" si="31"/>
        <v>182.04493860766999</v>
      </c>
      <c r="L277" s="10">
        <f t="shared" si="30"/>
        <v>0.2804750379177991</v>
      </c>
      <c r="M277" s="10">
        <f t="shared" si="34"/>
        <v>0.29691047813877974</v>
      </c>
      <c r="N277" s="1"/>
      <c r="P277" s="8">
        <f t="shared" si="35"/>
        <v>5.3253474834219254</v>
      </c>
    </row>
    <row r="278" spans="1:16" x14ac:dyDescent="0.2">
      <c r="A278" s="8">
        <v>138</v>
      </c>
      <c r="B278" s="8">
        <v>276</v>
      </c>
      <c r="D278">
        <v>781.65745856353999</v>
      </c>
      <c r="E278">
        <v>300.08494475138002</v>
      </c>
      <c r="F278">
        <v>140.57548476453999</v>
      </c>
      <c r="G278">
        <v>118.20637119113999</v>
      </c>
      <c r="I278" s="9">
        <f t="shared" si="32"/>
        <v>181.87857356024003</v>
      </c>
      <c r="J278" s="9">
        <f t="shared" si="33"/>
        <v>641.08197379900002</v>
      </c>
      <c r="K278" s="9">
        <f t="shared" si="31"/>
        <v>181.87857356024003</v>
      </c>
      <c r="L278" s="10">
        <f t="shared" si="30"/>
        <v>0.28370564294990591</v>
      </c>
      <c r="M278" s="10">
        <f t="shared" si="34"/>
        <v>0.30020084840805378</v>
      </c>
      <c r="P278" s="8">
        <f t="shared" si="35"/>
        <v>6.4925659464847945</v>
      </c>
    </row>
    <row r="279" spans="1:16" x14ac:dyDescent="0.2">
      <c r="A279" s="8">
        <v>138.5</v>
      </c>
      <c r="B279" s="8">
        <v>277</v>
      </c>
      <c r="D279">
        <v>770.78314917127</v>
      </c>
      <c r="E279">
        <v>296.07389502761998</v>
      </c>
      <c r="F279">
        <v>140.33725761772999</v>
      </c>
      <c r="G279">
        <v>118.00831024931</v>
      </c>
      <c r="I279" s="9">
        <f t="shared" si="32"/>
        <v>178.06558477830998</v>
      </c>
      <c r="J279" s="9">
        <f t="shared" si="33"/>
        <v>630.44589155354004</v>
      </c>
      <c r="K279" s="9">
        <f t="shared" si="31"/>
        <v>178.06558477830998</v>
      </c>
      <c r="L279" s="10">
        <f t="shared" si="30"/>
        <v>0.28244388164624579</v>
      </c>
      <c r="M279" s="10">
        <f t="shared" si="34"/>
        <v>0.29899885234156082</v>
      </c>
      <c r="P279" s="8">
        <f t="shared" si="35"/>
        <v>6.066172596641807</v>
      </c>
    </row>
    <row r="280" spans="1:16" x14ac:dyDescent="0.2">
      <c r="A280" s="8">
        <v>139</v>
      </c>
      <c r="B280" s="8">
        <v>278</v>
      </c>
      <c r="D280">
        <v>791.52486187845</v>
      </c>
      <c r="E280">
        <v>302.60773480662999</v>
      </c>
      <c r="F280">
        <v>140.39889196676</v>
      </c>
      <c r="G280">
        <v>117.92867036011</v>
      </c>
      <c r="I280" s="9">
        <f t="shared" si="32"/>
        <v>184.67906444651999</v>
      </c>
      <c r="J280" s="9">
        <f t="shared" si="33"/>
        <v>651.12596991168994</v>
      </c>
      <c r="K280" s="9">
        <f t="shared" si="31"/>
        <v>184.67906444651999</v>
      </c>
      <c r="L280" s="10">
        <f t="shared" si="30"/>
        <v>0.28363031576143</v>
      </c>
      <c r="M280" s="10">
        <f t="shared" si="34"/>
        <v>0.30024505169391225</v>
      </c>
      <c r="P280" s="8">
        <f t="shared" si="35"/>
        <v>6.5082465195387922</v>
      </c>
    </row>
    <row r="281" spans="1:16" x14ac:dyDescent="0.2">
      <c r="A281" s="8">
        <v>139.5</v>
      </c>
      <c r="B281" s="8">
        <v>279</v>
      </c>
      <c r="D281">
        <v>786.48895027623996</v>
      </c>
      <c r="E281">
        <v>300.81975138121999</v>
      </c>
      <c r="F281">
        <v>140.31786703601</v>
      </c>
      <c r="G281">
        <v>118.31371191136</v>
      </c>
      <c r="I281" s="9">
        <f t="shared" si="32"/>
        <v>182.50603946985999</v>
      </c>
      <c r="J281" s="9">
        <f t="shared" si="33"/>
        <v>646.17108324023002</v>
      </c>
      <c r="K281" s="9">
        <f t="shared" si="31"/>
        <v>182.50603946985999</v>
      </c>
      <c r="L281" s="10">
        <f t="shared" si="30"/>
        <v>0.28244228843340063</v>
      </c>
      <c r="M281" s="10">
        <f t="shared" si="34"/>
        <v>0.2991167896030501</v>
      </c>
      <c r="P281" s="8">
        <f t="shared" si="35"/>
        <v>6.1080093924513381</v>
      </c>
    </row>
    <row r="282" spans="1:16" x14ac:dyDescent="0.2">
      <c r="A282" s="8">
        <v>140</v>
      </c>
      <c r="B282" s="8">
        <v>280</v>
      </c>
      <c r="D282">
        <v>783.13881215469996</v>
      </c>
      <c r="E282">
        <v>299.79143646409</v>
      </c>
      <c r="F282">
        <v>140.22229916897999</v>
      </c>
      <c r="G282">
        <v>117.93767313019001</v>
      </c>
      <c r="I282" s="9">
        <f t="shared" si="32"/>
        <v>181.85376333389999</v>
      </c>
      <c r="J282" s="9">
        <f t="shared" si="33"/>
        <v>642.91651298571992</v>
      </c>
      <c r="K282" s="9">
        <f t="shared" si="31"/>
        <v>181.85376333389999</v>
      </c>
      <c r="L282" s="10">
        <f t="shared" si="30"/>
        <v>0.28285750896234829</v>
      </c>
      <c r="M282" s="10">
        <f t="shared" si="34"/>
        <v>0.29959177536916493</v>
      </c>
      <c r="P282" s="8">
        <f t="shared" si="35"/>
        <v>6.2765047624340013</v>
      </c>
    </row>
    <row r="283" spans="1:16" x14ac:dyDescent="0.2">
      <c r="A283" s="8">
        <v>140.5</v>
      </c>
      <c r="B283" s="8">
        <v>281</v>
      </c>
      <c r="D283">
        <v>785.52279005524997</v>
      </c>
      <c r="E283">
        <v>301.17196132597002</v>
      </c>
      <c r="F283">
        <v>140.06440443213</v>
      </c>
      <c r="G283">
        <v>118.19944598338</v>
      </c>
      <c r="I283" s="9">
        <f t="shared" si="32"/>
        <v>182.97251534259001</v>
      </c>
      <c r="J283" s="9">
        <f t="shared" si="33"/>
        <v>645.45838562311997</v>
      </c>
      <c r="K283" s="9">
        <f t="shared" si="31"/>
        <v>182.97251534259001</v>
      </c>
      <c r="L283" s="10">
        <f t="shared" si="30"/>
        <v>0.28347685833525876</v>
      </c>
      <c r="M283" s="10">
        <f t="shared" si="34"/>
        <v>0.30027088997924262</v>
      </c>
      <c r="P283" s="8">
        <f t="shared" si="35"/>
        <v>6.5174123340895509</v>
      </c>
    </row>
    <row r="284" spans="1:16" x14ac:dyDescent="0.2">
      <c r="A284" s="8">
        <v>141</v>
      </c>
      <c r="B284" s="8">
        <v>282</v>
      </c>
      <c r="D284">
        <v>785.12845303867005</v>
      </c>
      <c r="E284">
        <v>304.53798342541</v>
      </c>
      <c r="F284">
        <v>140.10041551246999</v>
      </c>
      <c r="G284">
        <v>117.69598337950001</v>
      </c>
      <c r="I284" s="9">
        <f t="shared" si="32"/>
        <v>186.84200004591</v>
      </c>
      <c r="J284" s="9">
        <f t="shared" si="33"/>
        <v>645.02803752620002</v>
      </c>
      <c r="K284" s="9">
        <f t="shared" si="31"/>
        <v>186.84200004591</v>
      </c>
      <c r="L284" s="10">
        <f t="shared" si="30"/>
        <v>0.28966492799674737</v>
      </c>
      <c r="M284" s="10">
        <f t="shared" si="34"/>
        <v>0.30651872487789844</v>
      </c>
      <c r="P284" s="8">
        <f t="shared" si="35"/>
        <v>8.7337550709477334</v>
      </c>
    </row>
    <row r="285" spans="1:16" x14ac:dyDescent="0.2">
      <c r="A285" s="8">
        <v>141.5</v>
      </c>
      <c r="B285" s="8">
        <v>283</v>
      </c>
      <c r="D285">
        <v>768.28107734806997</v>
      </c>
      <c r="E285">
        <v>299.54488950275999</v>
      </c>
      <c r="F285">
        <v>140.10872576176999</v>
      </c>
      <c r="G285">
        <v>117.90027700831</v>
      </c>
      <c r="I285" s="9">
        <f t="shared" si="32"/>
        <v>181.64461249444997</v>
      </c>
      <c r="J285" s="9">
        <f t="shared" si="33"/>
        <v>628.17235158630001</v>
      </c>
      <c r="K285" s="9">
        <f t="shared" si="31"/>
        <v>181.64461249444997</v>
      </c>
      <c r="L285" s="10">
        <f t="shared" si="30"/>
        <v>0.28916365394903115</v>
      </c>
      <c r="M285" s="10">
        <f t="shared" si="34"/>
        <v>0.30607721606734939</v>
      </c>
      <c r="P285" s="8">
        <f t="shared" si="35"/>
        <v>8.5771352400156111</v>
      </c>
    </row>
    <row r="286" spans="1:16" x14ac:dyDescent="0.2">
      <c r="A286" s="8">
        <v>142</v>
      </c>
      <c r="B286" s="8">
        <v>284</v>
      </c>
      <c r="D286">
        <v>792.86947513812004</v>
      </c>
      <c r="E286">
        <v>305.57872928176999</v>
      </c>
      <c r="F286">
        <v>139.98407202216001</v>
      </c>
      <c r="G286">
        <v>117.93975069251999</v>
      </c>
      <c r="I286" s="9">
        <f t="shared" si="32"/>
        <v>187.63897858925</v>
      </c>
      <c r="J286" s="9">
        <f t="shared" si="33"/>
        <v>652.88540311596</v>
      </c>
      <c r="K286" s="9">
        <f t="shared" si="31"/>
        <v>187.63897858925</v>
      </c>
      <c r="L286" s="10">
        <f t="shared" si="30"/>
        <v>0.28739956153671758</v>
      </c>
      <c r="M286" s="10">
        <f t="shared" si="34"/>
        <v>0.30437288889220304</v>
      </c>
      <c r="P286" s="8">
        <f t="shared" si="35"/>
        <v>7.9725460955940282</v>
      </c>
    </row>
    <row r="287" spans="1:16" x14ac:dyDescent="0.2">
      <c r="A287" s="8">
        <v>142.5</v>
      </c>
      <c r="B287" s="8">
        <v>285</v>
      </c>
      <c r="D287">
        <v>793.07320441988998</v>
      </c>
      <c r="E287">
        <v>303.99723756906002</v>
      </c>
      <c r="F287">
        <v>139.78116343490001</v>
      </c>
      <c r="G287">
        <v>117.91620498615001</v>
      </c>
      <c r="I287" s="9">
        <f t="shared" si="32"/>
        <v>186.08103258291001</v>
      </c>
      <c r="J287" s="9">
        <f t="shared" si="33"/>
        <v>653.29204098498997</v>
      </c>
      <c r="K287" s="9">
        <f t="shared" si="31"/>
        <v>186.08103258291001</v>
      </c>
      <c r="L287" s="10">
        <f t="shared" si="30"/>
        <v>0.28483590937729703</v>
      </c>
      <c r="M287" s="10">
        <f t="shared" si="34"/>
        <v>0.3018690019699497</v>
      </c>
      <c r="P287" s="8">
        <f t="shared" si="35"/>
        <v>7.0843229456442263</v>
      </c>
    </row>
    <row r="288" spans="1:16" x14ac:dyDescent="0.2">
      <c r="A288" s="8">
        <v>143</v>
      </c>
      <c r="B288" s="8">
        <v>286</v>
      </c>
      <c r="D288">
        <v>777.35151933702002</v>
      </c>
      <c r="E288">
        <v>300.73756906077</v>
      </c>
      <c r="F288">
        <v>140.35249307479</v>
      </c>
      <c r="G288">
        <v>118.08587257617999</v>
      </c>
      <c r="I288" s="9">
        <f t="shared" si="32"/>
        <v>182.65169648458999</v>
      </c>
      <c r="J288" s="9">
        <f t="shared" si="33"/>
        <v>636.99902626223002</v>
      </c>
      <c r="K288" s="9">
        <f t="shared" si="31"/>
        <v>182.65169648458999</v>
      </c>
      <c r="L288" s="10">
        <f t="shared" si="30"/>
        <v>0.28673779543486888</v>
      </c>
      <c r="M288" s="10">
        <f t="shared" si="34"/>
        <v>0.30383065326468872</v>
      </c>
      <c r="P288" s="8">
        <f t="shared" si="35"/>
        <v>7.7801946627855747</v>
      </c>
    </row>
    <row r="289" spans="1:16" x14ac:dyDescent="0.2">
      <c r="A289" s="8">
        <v>143.5</v>
      </c>
      <c r="B289" s="8">
        <v>287</v>
      </c>
      <c r="D289">
        <v>792.37983425413995</v>
      </c>
      <c r="E289">
        <v>305.44337016575003</v>
      </c>
      <c r="F289">
        <v>140.21675900277</v>
      </c>
      <c r="G289">
        <v>117.67451523546001</v>
      </c>
      <c r="I289" s="9">
        <f t="shared" si="32"/>
        <v>187.76885493029002</v>
      </c>
      <c r="J289" s="9">
        <f t="shared" si="33"/>
        <v>652.16307525136995</v>
      </c>
      <c r="K289" s="9">
        <f t="shared" si="31"/>
        <v>187.76885493029002</v>
      </c>
      <c r="L289" s="10">
        <f t="shared" si="30"/>
        <v>0.28791702881662895</v>
      </c>
      <c r="M289" s="10">
        <f t="shared" si="34"/>
        <v>0.30506965188361601</v>
      </c>
      <c r="P289" s="8">
        <f t="shared" si="35"/>
        <v>8.2197142138908088</v>
      </c>
    </row>
    <row r="290" spans="1:16" x14ac:dyDescent="0.2">
      <c r="A290" s="8">
        <v>144</v>
      </c>
      <c r="B290" s="8">
        <v>288</v>
      </c>
      <c r="D290">
        <v>772.41022099448003</v>
      </c>
      <c r="E290">
        <v>299.16022099448003</v>
      </c>
      <c r="F290">
        <v>139.70567867035999</v>
      </c>
      <c r="G290">
        <v>118.27908587258</v>
      </c>
      <c r="I290" s="9">
        <f t="shared" si="32"/>
        <v>180.88113512190003</v>
      </c>
      <c r="J290" s="9">
        <f t="shared" si="33"/>
        <v>632.70454232411998</v>
      </c>
      <c r="K290" s="9">
        <f t="shared" si="31"/>
        <v>180.88113512190003</v>
      </c>
      <c r="L290" s="10">
        <f t="shared" si="30"/>
        <v>0.28588562752760954</v>
      </c>
      <c r="M290" s="10">
        <f t="shared" si="34"/>
        <v>0.30309801583176382</v>
      </c>
      <c r="P290" s="8">
        <f t="shared" si="35"/>
        <v>7.520300526728481</v>
      </c>
    </row>
    <row r="291" spans="1:16" x14ac:dyDescent="0.2">
      <c r="A291" s="8">
        <v>144.5</v>
      </c>
      <c r="B291" s="8">
        <v>289</v>
      </c>
      <c r="D291">
        <v>730.15814917127</v>
      </c>
      <c r="E291">
        <v>290.46132596684998</v>
      </c>
      <c r="F291">
        <v>140.38781163434999</v>
      </c>
      <c r="G291">
        <v>117.71329639888999</v>
      </c>
      <c r="I291" s="9">
        <f t="shared" si="32"/>
        <v>172.74802956795997</v>
      </c>
      <c r="J291" s="9">
        <f t="shared" si="33"/>
        <v>589.77033753692001</v>
      </c>
      <c r="K291" s="9">
        <f t="shared" si="31"/>
        <v>172.74802956795997</v>
      </c>
      <c r="L291" s="10">
        <f t="shared" si="30"/>
        <v>0.29290728707960129</v>
      </c>
      <c r="M291" s="10">
        <f t="shared" si="34"/>
        <v>0.31017944062092279</v>
      </c>
      <c r="P291" s="8">
        <f t="shared" si="35"/>
        <v>10.032349044757757</v>
      </c>
    </row>
    <row r="292" spans="1:16" x14ac:dyDescent="0.2">
      <c r="A292" s="8">
        <v>145</v>
      </c>
      <c r="B292" s="8">
        <v>290</v>
      </c>
      <c r="D292">
        <v>730.14709944750996</v>
      </c>
      <c r="E292">
        <v>289.41712707182</v>
      </c>
      <c r="F292">
        <v>140.35249307479</v>
      </c>
      <c r="G292">
        <v>118.04501385042001</v>
      </c>
      <c r="I292" s="9">
        <f>E292-G292</f>
        <v>171.37211322140001</v>
      </c>
      <c r="J292" s="9">
        <f>D292-F292</f>
        <v>589.79460637271995</v>
      </c>
      <c r="K292" s="9">
        <f t="shared" si="31"/>
        <v>171.37211322140001</v>
      </c>
      <c r="L292" s="10">
        <f t="shared" si="30"/>
        <v>0.29056236081125097</v>
      </c>
      <c r="M292" s="10">
        <f>L292+ABS($N$2)*A292</f>
        <v>0.30789427958973964</v>
      </c>
      <c r="O292" s="11"/>
      <c r="P292" s="8">
        <f>(M292-$O$2)/$O$2*100</f>
        <v>9.2217162197604523</v>
      </c>
    </row>
    <row r="293" spans="1:16" x14ac:dyDescent="0.2">
      <c r="A293" s="8">
        <v>145.5</v>
      </c>
      <c r="B293" s="8">
        <v>291</v>
      </c>
      <c r="D293">
        <v>728.34185082873</v>
      </c>
      <c r="E293">
        <v>289.63190607734998</v>
      </c>
      <c r="F293">
        <v>140.27008310248999</v>
      </c>
      <c r="G293">
        <v>117.70637119113999</v>
      </c>
      <c r="I293" s="9">
        <f t="shared" ref="I293:I301" si="36">E293-G293</f>
        <v>171.92553488620999</v>
      </c>
      <c r="J293" s="9">
        <f t="shared" ref="J293:J301" si="37">D293-F293</f>
        <v>588.07176772624007</v>
      </c>
      <c r="K293" s="9">
        <f t="shared" si="31"/>
        <v>171.92553488620999</v>
      </c>
      <c r="L293" s="10">
        <f t="shared" si="30"/>
        <v>0.29235468240713947</v>
      </c>
      <c r="M293" s="10">
        <f t="shared" ref="M293:M301" si="38">L293+ABS($N$2)*A293</f>
        <v>0.30974636642279535</v>
      </c>
      <c r="P293" s="8">
        <f t="shared" ref="P293:P301" si="39">(M293-$O$2)/$O$2*100</f>
        <v>9.8787212890456271</v>
      </c>
    </row>
    <row r="294" spans="1:16" x14ac:dyDescent="0.2">
      <c r="A294" s="8">
        <v>146</v>
      </c>
      <c r="B294" s="8">
        <v>292</v>
      </c>
      <c r="D294">
        <v>761.55732044198999</v>
      </c>
      <c r="E294">
        <v>297.23964088397997</v>
      </c>
      <c r="F294">
        <v>140.32340720222001</v>
      </c>
      <c r="G294">
        <v>118.0027700831</v>
      </c>
      <c r="I294" s="9">
        <f t="shared" si="36"/>
        <v>179.23687080087996</v>
      </c>
      <c r="J294" s="9">
        <f t="shared" si="37"/>
        <v>621.23391323977</v>
      </c>
      <c r="K294" s="9">
        <f t="shared" si="31"/>
        <v>179.23687080087996</v>
      </c>
      <c r="L294" s="10">
        <f t="shared" si="30"/>
        <v>0.28851752452815965</v>
      </c>
      <c r="M294" s="10">
        <f t="shared" si="38"/>
        <v>0.30596897378098276</v>
      </c>
      <c r="N294" s="1"/>
      <c r="P294" s="8">
        <f t="shared" si="39"/>
        <v>8.5387376176230578</v>
      </c>
    </row>
    <row r="295" spans="1:16" x14ac:dyDescent="0.2">
      <c r="A295" s="8">
        <v>146.5</v>
      </c>
      <c r="B295" s="8">
        <v>293</v>
      </c>
      <c r="D295">
        <v>732.91643646409</v>
      </c>
      <c r="E295">
        <v>291.17196132597002</v>
      </c>
      <c r="F295">
        <v>140.66897506925</v>
      </c>
      <c r="G295">
        <v>118.00969529085999</v>
      </c>
      <c r="I295" s="9">
        <f t="shared" si="36"/>
        <v>173.16226603511001</v>
      </c>
      <c r="J295" s="9">
        <f t="shared" si="37"/>
        <v>592.24746139484</v>
      </c>
      <c r="K295" s="9">
        <f t="shared" si="31"/>
        <v>173.16226603511001</v>
      </c>
      <c r="L295" s="10">
        <f t="shared" si="30"/>
        <v>0.29238160958475778</v>
      </c>
      <c r="M295" s="10">
        <f t="shared" si="38"/>
        <v>0.30989282407474805</v>
      </c>
      <c r="P295" s="8">
        <f t="shared" si="39"/>
        <v>9.9306753432784785</v>
      </c>
    </row>
    <row r="296" spans="1:16" x14ac:dyDescent="0.2">
      <c r="A296" s="8">
        <v>147</v>
      </c>
      <c r="B296" s="8">
        <v>294</v>
      </c>
      <c r="D296">
        <v>760.20856353591</v>
      </c>
      <c r="E296">
        <v>298.04903314916999</v>
      </c>
      <c r="F296">
        <v>140.36980609418001</v>
      </c>
      <c r="G296">
        <v>117.88850415512999</v>
      </c>
      <c r="I296" s="9">
        <f t="shared" si="36"/>
        <v>180.16052899403999</v>
      </c>
      <c r="J296" s="9">
        <f t="shared" si="37"/>
        <v>619.83875744172997</v>
      </c>
      <c r="K296" s="9">
        <f t="shared" si="31"/>
        <v>180.16052899403999</v>
      </c>
      <c r="L296" s="10">
        <f t="shared" si="30"/>
        <v>0.29065708917206035</v>
      </c>
      <c r="M296" s="10">
        <f t="shared" si="38"/>
        <v>0.30822806889921783</v>
      </c>
      <c r="P296" s="8">
        <f t="shared" si="39"/>
        <v>9.3401238799664004</v>
      </c>
    </row>
    <row r="297" spans="1:16" x14ac:dyDescent="0.2">
      <c r="A297" s="8">
        <v>147.5</v>
      </c>
      <c r="B297" s="8">
        <v>295</v>
      </c>
      <c r="D297">
        <v>762.59461325967004</v>
      </c>
      <c r="E297">
        <v>297.35359116021999</v>
      </c>
      <c r="F297">
        <v>141.11842105263</v>
      </c>
      <c r="G297">
        <v>118.13642659280001</v>
      </c>
      <c r="I297" s="9">
        <f t="shared" si="36"/>
        <v>179.21716456741999</v>
      </c>
      <c r="J297" s="9">
        <f t="shared" si="37"/>
        <v>621.47619220704007</v>
      </c>
      <c r="K297" s="9">
        <f t="shared" si="31"/>
        <v>179.21716456741999</v>
      </c>
      <c r="L297" s="10">
        <f t="shared" si="30"/>
        <v>0.28837333885787075</v>
      </c>
      <c r="M297" s="10">
        <f t="shared" si="38"/>
        <v>0.30600408382219546</v>
      </c>
      <c r="P297" s="8">
        <f t="shared" si="39"/>
        <v>8.5511924737603895</v>
      </c>
    </row>
    <row r="298" spans="1:16" x14ac:dyDescent="0.2">
      <c r="A298" s="8">
        <v>148</v>
      </c>
      <c r="B298" s="8">
        <v>296</v>
      </c>
      <c r="D298">
        <v>732.96270718231995</v>
      </c>
      <c r="E298">
        <v>290.68370165746001</v>
      </c>
      <c r="F298">
        <v>140.27008310248999</v>
      </c>
      <c r="G298">
        <v>118.11565096952999</v>
      </c>
      <c r="I298" s="9">
        <f t="shared" si="36"/>
        <v>172.56805068793</v>
      </c>
      <c r="J298" s="9">
        <f t="shared" si="37"/>
        <v>592.69262407983001</v>
      </c>
      <c r="K298" s="9">
        <f t="shared" si="31"/>
        <v>172.56805068793</v>
      </c>
      <c r="L298" s="10">
        <f t="shared" si="30"/>
        <v>0.29115943691023011</v>
      </c>
      <c r="M298" s="10">
        <f t="shared" si="38"/>
        <v>0.30884994711172198</v>
      </c>
      <c r="P298" s="8">
        <f t="shared" si="39"/>
        <v>9.5607275421711169</v>
      </c>
    </row>
    <row r="299" spans="1:16" x14ac:dyDescent="0.2">
      <c r="A299" s="8">
        <v>148.5</v>
      </c>
      <c r="B299" s="8">
        <v>297</v>
      </c>
      <c r="D299">
        <v>737.98895027623996</v>
      </c>
      <c r="E299">
        <v>294.46892265192997</v>
      </c>
      <c r="F299">
        <v>140.10595567867</v>
      </c>
      <c r="G299">
        <v>118.17243767313001</v>
      </c>
      <c r="I299" s="9">
        <f t="shared" si="36"/>
        <v>176.29648497879998</v>
      </c>
      <c r="J299" s="9">
        <f t="shared" si="37"/>
        <v>597.8829945975699</v>
      </c>
      <c r="K299" s="9">
        <f t="shared" si="31"/>
        <v>176.29648497879998</v>
      </c>
      <c r="L299" s="10">
        <f t="shared" si="30"/>
        <v>0.29486786975345181</v>
      </c>
      <c r="M299" s="10">
        <f t="shared" si="38"/>
        <v>0.3126181451921109</v>
      </c>
      <c r="P299" s="8">
        <f t="shared" si="39"/>
        <v>10.897449555793743</v>
      </c>
    </row>
    <row r="300" spans="1:16" x14ac:dyDescent="0.2">
      <c r="A300" s="8">
        <v>149</v>
      </c>
      <c r="B300" s="8">
        <v>298</v>
      </c>
      <c r="D300">
        <v>715.13466850829002</v>
      </c>
      <c r="E300">
        <v>287.64157458564</v>
      </c>
      <c r="F300">
        <v>140.57617728532</v>
      </c>
      <c r="G300">
        <v>118.11426592798</v>
      </c>
      <c r="I300" s="9">
        <f t="shared" si="36"/>
        <v>169.52730865766</v>
      </c>
      <c r="J300" s="9">
        <f t="shared" si="37"/>
        <v>574.55849122297002</v>
      </c>
      <c r="K300" s="9">
        <f t="shared" si="31"/>
        <v>169.52730865766</v>
      </c>
      <c r="L300" s="10">
        <f t="shared" si="30"/>
        <v>0.29505665871687764</v>
      </c>
      <c r="M300" s="10">
        <f t="shared" si="38"/>
        <v>0.31286669939270395</v>
      </c>
      <c r="P300" s="8">
        <f t="shared" si="39"/>
        <v>10.985621107400927</v>
      </c>
    </row>
    <row r="301" spans="1:16" x14ac:dyDescent="0.2">
      <c r="A301" s="8">
        <v>149.5</v>
      </c>
      <c r="B301" s="8">
        <v>299</v>
      </c>
      <c r="D301">
        <v>747.06491712706998</v>
      </c>
      <c r="E301">
        <v>294.76450276243003</v>
      </c>
      <c r="F301">
        <v>140.44390581718</v>
      </c>
      <c r="G301">
        <v>118.05263157895</v>
      </c>
      <c r="I301" s="9">
        <f t="shared" si="36"/>
        <v>176.71187118348001</v>
      </c>
      <c r="J301" s="9">
        <f t="shared" si="37"/>
        <v>606.62101130989004</v>
      </c>
      <c r="K301" s="9">
        <f t="shared" si="31"/>
        <v>176.71187118348001</v>
      </c>
      <c r="L301" s="10">
        <f t="shared" si="30"/>
        <v>0.29130522663879083</v>
      </c>
      <c r="M301" s="10">
        <f t="shared" si="38"/>
        <v>0.3091750325517843</v>
      </c>
      <c r="P301" s="8">
        <f t="shared" si="39"/>
        <v>9.676047611543547</v>
      </c>
    </row>
    <row r="302" spans="1:16" x14ac:dyDescent="0.2">
      <c r="A302" s="8">
        <v>150</v>
      </c>
      <c r="B302" s="8">
        <v>300</v>
      </c>
      <c r="D302">
        <v>740.56077348066003</v>
      </c>
      <c r="E302">
        <v>294.61395027624002</v>
      </c>
      <c r="F302">
        <v>139.86842105263</v>
      </c>
      <c r="G302">
        <v>118.11426592798</v>
      </c>
      <c r="I302" s="9">
        <f>E302-G302</f>
        <v>176.49968434826002</v>
      </c>
      <c r="J302" s="9">
        <f>D302-F302</f>
        <v>600.69235242803006</v>
      </c>
      <c r="K302" s="9">
        <f t="shared" si="31"/>
        <v>176.49968434826002</v>
      </c>
      <c r="L302" s="10">
        <f t="shared" si="30"/>
        <v>0.29382708741810848</v>
      </c>
      <c r="M302" s="10">
        <f>L302+ABS($N$2)*A302</f>
        <v>0.31175665856826917</v>
      </c>
      <c r="O302" s="11"/>
      <c r="P302" s="8">
        <f>(M302-$O$2)/$O$2*100</f>
        <v>10.591847750908844</v>
      </c>
    </row>
    <row r="303" spans="1:16" x14ac:dyDescent="0.2">
      <c r="A303" s="8">
        <v>150.5</v>
      </c>
      <c r="B303" s="8">
        <v>301</v>
      </c>
      <c r="D303">
        <v>753.29854872148996</v>
      </c>
      <c r="E303">
        <v>297.31098825155999</v>
      </c>
      <c r="F303">
        <v>140.41620498615001</v>
      </c>
      <c r="G303">
        <v>117.91412742382001</v>
      </c>
      <c r="I303" s="9">
        <f t="shared" ref="I303:I309" si="40">E303-G303</f>
        <v>179.39686082774</v>
      </c>
      <c r="J303" s="9">
        <f t="shared" ref="J303:J309" si="41">D303-F303</f>
        <v>612.88234373533999</v>
      </c>
      <c r="K303" s="9">
        <f t="shared" si="31"/>
        <v>179.39686082774</v>
      </c>
      <c r="L303" s="10">
        <f t="shared" si="30"/>
        <v>0.29271011420294507</v>
      </c>
      <c r="M303" s="10">
        <f t="shared" ref="M303:M309" si="42">L303+ABS($N$2)*A303</f>
        <v>0.31069945059027299</v>
      </c>
      <c r="P303" s="8">
        <f t="shared" ref="P303:P309" si="43">(M303-$O$2)/$O$2*100</f>
        <v>10.216816198156948</v>
      </c>
    </row>
    <row r="304" spans="1:16" x14ac:dyDescent="0.2">
      <c r="A304" s="8">
        <v>151</v>
      </c>
      <c r="B304" s="8">
        <v>302</v>
      </c>
      <c r="D304">
        <v>745.15480304077005</v>
      </c>
      <c r="E304">
        <v>294.73669661368001</v>
      </c>
      <c r="F304">
        <v>140.0512465374</v>
      </c>
      <c r="G304">
        <v>117.88573407202</v>
      </c>
      <c r="I304" s="9">
        <f t="shared" si="40"/>
        <v>176.85096254166001</v>
      </c>
      <c r="J304" s="9">
        <f t="shared" si="41"/>
        <v>605.1035565033701</v>
      </c>
      <c r="K304" s="9">
        <f t="shared" si="31"/>
        <v>176.85096254166001</v>
      </c>
      <c r="L304" s="10">
        <f t="shared" si="30"/>
        <v>0.29226561411009494</v>
      </c>
      <c r="M304" s="10">
        <f t="shared" si="42"/>
        <v>0.31031471573459002</v>
      </c>
      <c r="N304" s="1"/>
      <c r="P304" s="8">
        <f t="shared" si="43"/>
        <v>10.080336230801764</v>
      </c>
    </row>
    <row r="305" spans="1:16" x14ac:dyDescent="0.2">
      <c r="A305" s="8">
        <v>151.5</v>
      </c>
      <c r="B305" s="8">
        <v>303</v>
      </c>
      <c r="D305">
        <v>785.06841741534004</v>
      </c>
      <c r="E305">
        <v>305.77125086386002</v>
      </c>
      <c r="F305">
        <v>140.09279778393</v>
      </c>
      <c r="G305">
        <v>117.65720221607</v>
      </c>
      <c r="I305" s="9">
        <f t="shared" si="40"/>
        <v>188.11404864779001</v>
      </c>
      <c r="J305" s="9">
        <f t="shared" si="41"/>
        <v>644.97561963141004</v>
      </c>
      <c r="K305" s="9">
        <f t="shared" si="31"/>
        <v>188.11404864779001</v>
      </c>
      <c r="L305" s="10">
        <f t="shared" si="30"/>
        <v>0.29166071231544105</v>
      </c>
      <c r="M305" s="10">
        <f t="shared" si="42"/>
        <v>0.30976957917710335</v>
      </c>
      <c r="P305" s="8">
        <f t="shared" si="43"/>
        <v>9.8869557286951242</v>
      </c>
    </row>
    <row r="306" spans="1:16" x14ac:dyDescent="0.2">
      <c r="A306" s="8">
        <v>152</v>
      </c>
      <c r="B306" s="8">
        <v>304</v>
      </c>
      <c r="D306">
        <v>792.21008984105003</v>
      </c>
      <c r="E306">
        <v>307.06703524533998</v>
      </c>
      <c r="F306">
        <v>139.92659279777999</v>
      </c>
      <c r="G306">
        <v>117.88850415512999</v>
      </c>
      <c r="I306" s="9">
        <f t="shared" si="40"/>
        <v>189.17853109020999</v>
      </c>
      <c r="J306" s="9">
        <f t="shared" si="41"/>
        <v>652.28349704327002</v>
      </c>
      <c r="K306" s="9">
        <f t="shared" si="31"/>
        <v>189.17853109020999</v>
      </c>
      <c r="L306" s="10">
        <f t="shared" si="30"/>
        <v>0.29002501511648793</v>
      </c>
      <c r="M306" s="10">
        <f t="shared" si="42"/>
        <v>0.30819364721531745</v>
      </c>
      <c r="P306" s="8">
        <f t="shared" si="43"/>
        <v>9.3279132101358861</v>
      </c>
    </row>
    <row r="307" spans="1:16" x14ac:dyDescent="0.2">
      <c r="A307" s="8">
        <v>152.5</v>
      </c>
      <c r="B307" s="8">
        <v>305</v>
      </c>
      <c r="D307">
        <v>783.03455425017</v>
      </c>
      <c r="E307">
        <v>304.74291637872</v>
      </c>
      <c r="F307">
        <v>139.95637119113999</v>
      </c>
      <c r="G307">
        <v>118.08102493075</v>
      </c>
      <c r="I307" s="9">
        <f t="shared" si="40"/>
        <v>186.66189144796999</v>
      </c>
      <c r="J307" s="9">
        <f t="shared" si="41"/>
        <v>643.07818305903004</v>
      </c>
      <c r="K307" s="9">
        <f t="shared" si="31"/>
        <v>186.66189144796999</v>
      </c>
      <c r="L307" s="10">
        <f t="shared" si="30"/>
        <v>0.29026313808384285</v>
      </c>
      <c r="M307" s="10">
        <f t="shared" si="42"/>
        <v>0.30849153541983959</v>
      </c>
      <c r="P307" s="8">
        <f t="shared" si="43"/>
        <v>9.4335853940520167</v>
      </c>
    </row>
    <row r="308" spans="1:16" x14ac:dyDescent="0.2">
      <c r="A308" s="8">
        <v>153</v>
      </c>
      <c r="B308" s="8">
        <v>306</v>
      </c>
      <c r="D308">
        <v>782.18175535591001</v>
      </c>
      <c r="E308">
        <v>305.93849343468997</v>
      </c>
      <c r="F308">
        <v>139.97229916897999</v>
      </c>
      <c r="G308">
        <v>117.84349030471</v>
      </c>
      <c r="I308" s="9">
        <f t="shared" si="40"/>
        <v>188.09500312997997</v>
      </c>
      <c r="J308" s="9">
        <f t="shared" si="41"/>
        <v>642.20945618693008</v>
      </c>
      <c r="K308" s="9">
        <f t="shared" si="31"/>
        <v>188.09500312997997</v>
      </c>
      <c r="L308" s="10">
        <f t="shared" si="30"/>
        <v>0.29288731475051732</v>
      </c>
      <c r="M308" s="10">
        <f t="shared" si="42"/>
        <v>0.31117547732368123</v>
      </c>
      <c r="P308" s="8">
        <f t="shared" si="43"/>
        <v>10.385680838508867</v>
      </c>
    </row>
    <row r="309" spans="1:16" x14ac:dyDescent="0.2">
      <c r="A309" s="8">
        <v>153.5</v>
      </c>
      <c r="B309" s="8">
        <v>307</v>
      </c>
      <c r="D309">
        <v>789.40635798203004</v>
      </c>
      <c r="E309">
        <v>306.01935038009998</v>
      </c>
      <c r="F309">
        <v>139.77146814404</v>
      </c>
      <c r="G309">
        <v>117.84903047090999</v>
      </c>
      <c r="I309" s="9">
        <f t="shared" si="40"/>
        <v>188.17031990918997</v>
      </c>
      <c r="J309" s="9">
        <f t="shared" si="41"/>
        <v>649.63488983799004</v>
      </c>
      <c r="K309" s="9">
        <f t="shared" si="31"/>
        <v>188.17031990918997</v>
      </c>
      <c r="L309" s="10">
        <f t="shared" si="30"/>
        <v>0.2896555016558871</v>
      </c>
      <c r="M309" s="10">
        <f t="shared" si="42"/>
        <v>0.30800342946621823</v>
      </c>
      <c r="P309" s="8">
        <f t="shared" si="43"/>
        <v>9.2604357986043695</v>
      </c>
    </row>
    <row r="310" spans="1:16" x14ac:dyDescent="0.2">
      <c r="A310" s="8">
        <v>154</v>
      </c>
      <c r="B310" s="8">
        <v>308</v>
      </c>
      <c r="D310">
        <v>781.20179682101002</v>
      </c>
      <c r="E310">
        <v>306.34277816170999</v>
      </c>
      <c r="F310">
        <v>140.16135734072</v>
      </c>
      <c r="G310">
        <v>117.95914127424</v>
      </c>
      <c r="I310" s="9">
        <f>E310-G310</f>
        <v>188.38363688747</v>
      </c>
      <c r="J310" s="9">
        <f>D310-F310</f>
        <v>641.04043948029005</v>
      </c>
      <c r="K310" s="9">
        <f t="shared" si="31"/>
        <v>188.38363688747</v>
      </c>
      <c r="L310" s="10">
        <f t="shared" si="30"/>
        <v>0.29387168934334007</v>
      </c>
      <c r="M310" s="10">
        <f>L310+ABS($N$2)*A310</f>
        <v>0.31227938239083841</v>
      </c>
      <c r="O310" s="11"/>
      <c r="P310" s="8">
        <f>(M310-$O$2)/$O$2*100</f>
        <v>10.77727761042439</v>
      </c>
    </row>
    <row r="311" spans="1:16" x14ac:dyDescent="0.2">
      <c r="A311" s="8">
        <v>154.5</v>
      </c>
      <c r="B311" s="8">
        <v>309</v>
      </c>
      <c r="D311">
        <v>778.00414651001995</v>
      </c>
      <c r="E311">
        <v>304.79958534899998</v>
      </c>
      <c r="F311">
        <v>140.3095567867</v>
      </c>
      <c r="G311">
        <v>117.88642659280001</v>
      </c>
      <c r="I311" s="9">
        <f t="shared" ref="I311:I319" si="44">E311-G311</f>
        <v>186.91315875619998</v>
      </c>
      <c r="J311" s="9">
        <f t="shared" ref="J311:J319" si="45">D311-F311</f>
        <v>637.69458972331995</v>
      </c>
      <c r="K311" s="9">
        <f t="shared" si="31"/>
        <v>186.91315875619998</v>
      </c>
      <c r="L311" s="10">
        <f t="shared" si="30"/>
        <v>0.29310764395429012</v>
      </c>
      <c r="M311" s="10">
        <f t="shared" ref="M311:M319" si="46">L311+ABS($N$2)*A311</f>
        <v>0.31157510223895563</v>
      </c>
      <c r="P311" s="8">
        <f t="shared" ref="P311:P319" si="47">(M311-$O$2)/$O$2*100</f>
        <v>10.52744287172561</v>
      </c>
    </row>
    <row r="312" spans="1:16" x14ac:dyDescent="0.2">
      <c r="A312" s="8">
        <v>155</v>
      </c>
      <c r="B312" s="8">
        <v>310</v>
      </c>
      <c r="D312">
        <v>734.06288873531003</v>
      </c>
      <c r="E312">
        <v>291.59295093296998</v>
      </c>
      <c r="F312">
        <v>140.39127423823001</v>
      </c>
      <c r="G312">
        <v>117.86842105263</v>
      </c>
      <c r="I312" s="9">
        <f t="shared" si="44"/>
        <v>173.72452988033999</v>
      </c>
      <c r="J312" s="9">
        <f t="shared" si="45"/>
        <v>593.67161449707999</v>
      </c>
      <c r="K312" s="9">
        <f t="shared" si="31"/>
        <v>173.72452988033999</v>
      </c>
      <c r="L312" s="10">
        <f t="shared" si="30"/>
        <v>0.29262731388548552</v>
      </c>
      <c r="M312" s="10">
        <f t="shared" si="46"/>
        <v>0.31115453740731824</v>
      </c>
      <c r="N312" s="1"/>
      <c r="P312" s="8">
        <f t="shared" si="47"/>
        <v>10.378252660220816</v>
      </c>
    </row>
    <row r="313" spans="1:16" x14ac:dyDescent="0.2">
      <c r="A313" s="8">
        <v>155.5</v>
      </c>
      <c r="B313" s="8">
        <v>311</v>
      </c>
      <c r="D313">
        <v>791.87439613526999</v>
      </c>
      <c r="E313">
        <v>308.61697722566998</v>
      </c>
      <c r="F313">
        <v>140.19390581718</v>
      </c>
      <c r="G313">
        <v>117.9771468144</v>
      </c>
      <c r="I313" s="9">
        <f t="shared" si="44"/>
        <v>190.63983041127</v>
      </c>
      <c r="J313" s="9">
        <f t="shared" si="45"/>
        <v>651.68049031809005</v>
      </c>
      <c r="K313" s="9">
        <f t="shared" si="31"/>
        <v>190.63983041127</v>
      </c>
      <c r="L313" s="10">
        <f t="shared" si="30"/>
        <v>0.2925357337584516</v>
      </c>
      <c r="M313" s="10">
        <f t="shared" si="46"/>
        <v>0.31112272251745154</v>
      </c>
      <c r="P313" s="8">
        <f t="shared" si="47"/>
        <v>10.366966718574828</v>
      </c>
    </row>
    <row r="314" spans="1:16" x14ac:dyDescent="0.2">
      <c r="A314" s="8">
        <v>156</v>
      </c>
      <c r="B314" s="8">
        <v>312</v>
      </c>
      <c r="D314">
        <v>800.21532091097004</v>
      </c>
      <c r="E314">
        <v>310.72394755003</v>
      </c>
      <c r="F314">
        <v>139.90373961219001</v>
      </c>
      <c r="G314">
        <v>117.76731301939</v>
      </c>
      <c r="I314" s="9">
        <f t="shared" si="44"/>
        <v>192.95663453064</v>
      </c>
      <c r="J314" s="9">
        <f t="shared" si="45"/>
        <v>660.31158129878008</v>
      </c>
      <c r="K314" s="9">
        <f t="shared" si="31"/>
        <v>192.95663453064</v>
      </c>
      <c r="L314" s="10">
        <f t="shared" si="30"/>
        <v>0.2922205819124204</v>
      </c>
      <c r="M314" s="10">
        <f t="shared" si="46"/>
        <v>0.31086733590858751</v>
      </c>
      <c r="P314" s="8">
        <f t="shared" si="47"/>
        <v>10.276371454002707</v>
      </c>
    </row>
    <row r="315" spans="1:16" x14ac:dyDescent="0.2">
      <c r="A315" s="8">
        <v>156.5</v>
      </c>
      <c r="B315" s="8">
        <v>313</v>
      </c>
      <c r="D315">
        <v>780.46169772256997</v>
      </c>
      <c r="E315">
        <v>305.33885438233</v>
      </c>
      <c r="F315">
        <v>139.75692520775999</v>
      </c>
      <c r="G315">
        <v>117.97368421053</v>
      </c>
      <c r="I315" s="9">
        <f t="shared" si="44"/>
        <v>187.3651701718</v>
      </c>
      <c r="J315" s="9">
        <f t="shared" si="45"/>
        <v>640.70477251480997</v>
      </c>
      <c r="K315" s="9">
        <f t="shared" si="31"/>
        <v>187.3651701718</v>
      </c>
      <c r="L315" s="10">
        <f t="shared" si="30"/>
        <v>0.29243604575689192</v>
      </c>
      <c r="M315" s="10">
        <f t="shared" si="46"/>
        <v>0.31114256499022624</v>
      </c>
      <c r="P315" s="8">
        <f t="shared" si="47"/>
        <v>10.374005592221277</v>
      </c>
    </row>
    <row r="316" spans="1:16" x14ac:dyDescent="0.2">
      <c r="A316" s="8">
        <v>157</v>
      </c>
      <c r="B316" s="8">
        <v>314</v>
      </c>
      <c r="D316">
        <v>757.00759144236997</v>
      </c>
      <c r="E316">
        <v>298.65700483092002</v>
      </c>
      <c r="F316">
        <v>140.04432132964001</v>
      </c>
      <c r="G316">
        <v>117.66066481995</v>
      </c>
      <c r="I316" s="9">
        <f t="shared" si="44"/>
        <v>180.99634001097002</v>
      </c>
      <c r="J316" s="9">
        <f t="shared" si="45"/>
        <v>616.96327011273002</v>
      </c>
      <c r="K316" s="9">
        <f t="shared" si="31"/>
        <v>180.99634001097002</v>
      </c>
      <c r="L316" s="10">
        <f t="shared" si="30"/>
        <v>0.29336647541092487</v>
      </c>
      <c r="M316" s="10">
        <f t="shared" si="46"/>
        <v>0.31213275988142641</v>
      </c>
      <c r="P316" s="8">
        <f t="shared" si="47"/>
        <v>10.72526507503151</v>
      </c>
    </row>
    <row r="317" spans="1:16" x14ac:dyDescent="0.2">
      <c r="A317" s="8">
        <v>157.5</v>
      </c>
      <c r="B317" s="8">
        <v>315</v>
      </c>
      <c r="D317">
        <v>797.18439226519001</v>
      </c>
      <c r="E317">
        <v>307.89295580111002</v>
      </c>
      <c r="F317">
        <v>139.86842105263</v>
      </c>
      <c r="G317">
        <v>117.67243767313001</v>
      </c>
      <c r="I317" s="9">
        <f t="shared" si="44"/>
        <v>190.22051812798003</v>
      </c>
      <c r="J317" s="9">
        <f t="shared" si="45"/>
        <v>657.31597121256004</v>
      </c>
      <c r="K317" s="9">
        <f t="shared" si="31"/>
        <v>190.22051812798003</v>
      </c>
      <c r="L317" s="10">
        <f t="shared" si="30"/>
        <v>0.28938977061074228</v>
      </c>
      <c r="M317" s="10">
        <f t="shared" si="46"/>
        <v>0.30821582031841099</v>
      </c>
      <c r="P317" s="8">
        <f t="shared" si="47"/>
        <v>9.3357788462789859</v>
      </c>
    </row>
    <row r="318" spans="1:16" x14ac:dyDescent="0.2">
      <c r="A318" s="8">
        <v>158</v>
      </c>
      <c r="B318" s="8">
        <v>316</v>
      </c>
      <c r="D318">
        <v>796.99861878452998</v>
      </c>
      <c r="E318">
        <v>311.12223756906002</v>
      </c>
      <c r="F318">
        <v>139.46468144043999</v>
      </c>
      <c r="G318">
        <v>117.61288088643001</v>
      </c>
      <c r="I318" s="9">
        <f t="shared" si="44"/>
        <v>193.50935668263003</v>
      </c>
      <c r="J318" s="9">
        <f t="shared" si="45"/>
        <v>657.53393734408996</v>
      </c>
      <c r="K318" s="9">
        <f t="shared" si="31"/>
        <v>193.50935668263003</v>
      </c>
      <c r="L318" s="10">
        <f t="shared" si="30"/>
        <v>0.29429561835888307</v>
      </c>
      <c r="M318" s="10">
        <f t="shared" si="46"/>
        <v>0.313181433303719</v>
      </c>
      <c r="P318" s="8">
        <f t="shared" si="47"/>
        <v>11.097269098910957</v>
      </c>
    </row>
    <row r="319" spans="1:16" x14ac:dyDescent="0.2">
      <c r="A319" s="8">
        <v>158.5</v>
      </c>
      <c r="B319" s="8">
        <v>317</v>
      </c>
      <c r="D319">
        <v>774.20718232043998</v>
      </c>
      <c r="E319">
        <v>304.97444751380999</v>
      </c>
      <c r="F319">
        <v>139.27908587258</v>
      </c>
      <c r="G319">
        <v>117.84487534626</v>
      </c>
      <c r="I319" s="9">
        <f t="shared" si="44"/>
        <v>187.12957216755001</v>
      </c>
      <c r="J319" s="9">
        <f t="shared" si="45"/>
        <v>634.92809644785996</v>
      </c>
      <c r="K319" s="9">
        <f t="shared" si="31"/>
        <v>187.12957216755001</v>
      </c>
      <c r="L319" s="10">
        <f t="shared" si="30"/>
        <v>0.29472561257637936</v>
      </c>
      <c r="M319" s="10">
        <f t="shared" si="46"/>
        <v>0.31367119275838251</v>
      </c>
      <c r="P319" s="8">
        <f t="shared" si="47"/>
        <v>11.271005253556243</v>
      </c>
    </row>
    <row r="320" spans="1:16" x14ac:dyDescent="0.2">
      <c r="A320" s="8">
        <v>159</v>
      </c>
      <c r="B320" s="8">
        <v>318</v>
      </c>
      <c r="D320">
        <v>771.06524725275005</v>
      </c>
      <c r="E320">
        <v>302.46771978022002</v>
      </c>
      <c r="F320">
        <v>139.55332409971999</v>
      </c>
      <c r="G320">
        <v>117.75554016621</v>
      </c>
      <c r="I320" s="9">
        <f>E320-G320</f>
        <v>184.71217961401004</v>
      </c>
      <c r="J320" s="9">
        <f>D320-F320</f>
        <v>631.51192315303001</v>
      </c>
      <c r="K320" s="9">
        <f t="shared" si="31"/>
        <v>184.71217961401004</v>
      </c>
      <c r="L320" s="10">
        <f t="shared" si="30"/>
        <v>0.29249199079531868</v>
      </c>
      <c r="M320" s="10">
        <f>L320+ABS($N$2)*A320</f>
        <v>0.31149733621448905</v>
      </c>
      <c r="O320" s="11"/>
      <c r="P320" s="8">
        <f>(M320-$O$2)/$O$2*100</f>
        <v>10.499856329139808</v>
      </c>
    </row>
    <row r="321" spans="1:16" x14ac:dyDescent="0.2">
      <c r="A321" s="8">
        <v>159.5</v>
      </c>
      <c r="B321" s="8">
        <v>319</v>
      </c>
      <c r="D321">
        <v>850.63925362819998</v>
      </c>
      <c r="E321">
        <v>321.28541810642997</v>
      </c>
      <c r="F321">
        <v>139.90166204985999</v>
      </c>
      <c r="G321">
        <v>117.65858725762</v>
      </c>
      <c r="I321" s="9">
        <f t="shared" ref="I321:I322" si="48">E321-G321</f>
        <v>203.62683084880996</v>
      </c>
      <c r="J321" s="9">
        <f t="shared" ref="J321:J322" si="49">D321-F321</f>
        <v>710.73759157834002</v>
      </c>
      <c r="K321" s="9">
        <f t="shared" si="31"/>
        <v>203.62683084880996</v>
      </c>
      <c r="L321" s="10">
        <f t="shared" si="30"/>
        <v>0.28650071877669281</v>
      </c>
      <c r="M321" s="10">
        <f t="shared" ref="M321:M322" si="50">L321+ABS($N$2)*A321</f>
        <v>0.30556582943303034</v>
      </c>
      <c r="P321" s="8">
        <f t="shared" ref="P321:P322" si="51">(M321-$O$2)/$O$2*100</f>
        <v>8.3957271088655379</v>
      </c>
    </row>
    <row r="322" spans="1:16" x14ac:dyDescent="0.2">
      <c r="A322" s="8">
        <v>160</v>
      </c>
      <c r="B322" s="8">
        <v>320</v>
      </c>
      <c r="D322">
        <v>854.08776779543996</v>
      </c>
      <c r="E322">
        <v>322.98479612992003</v>
      </c>
      <c r="F322">
        <v>139.93905817174999</v>
      </c>
      <c r="G322">
        <v>117.40858725762</v>
      </c>
      <c r="I322" s="9">
        <f t="shared" si="48"/>
        <v>205.57620887230001</v>
      </c>
      <c r="J322" s="9">
        <f t="shared" si="49"/>
        <v>714.14870962368991</v>
      </c>
      <c r="K322" s="9">
        <f t="shared" ref="K322" si="52">I322*1</f>
        <v>205.57620887230001</v>
      </c>
      <c r="L322" s="10">
        <f t="shared" ref="L322" si="53">K322/J322</f>
        <v>0.2878619062136587</v>
      </c>
      <c r="M322" s="10">
        <f t="shared" si="50"/>
        <v>0.30698678210716346</v>
      </c>
      <c r="P322" s="8">
        <f t="shared" si="51"/>
        <v>8.8997926275321237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1E8E-7ABF-AE43-A4D0-EFD1C949A44A}">
  <dimension ref="A1:Y798"/>
  <sheetViews>
    <sheetView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701.94484101233002</v>
      </c>
      <c r="E2">
        <v>311.00064892927003</v>
      </c>
      <c r="F2">
        <v>126.61444229529</v>
      </c>
      <c r="G2">
        <v>113.34429400387</v>
      </c>
      <c r="H2" s="4"/>
      <c r="I2" s="5">
        <f>E2-G2</f>
        <v>197.65635492540002</v>
      </c>
      <c r="J2" s="5">
        <f>D2-F2</f>
        <v>575.33039871704</v>
      </c>
      <c r="K2" s="9">
        <f>I2*1</f>
        <v>197.65635492540002</v>
      </c>
      <c r="L2" s="6">
        <f t="shared" ref="L2:L65" si="0">K2/J2</f>
        <v>0.34355277483366858</v>
      </c>
      <c r="M2" s="6">
        <f>L2+ABS($N$2)*A2</f>
        <v>0.34355277483366858</v>
      </c>
      <c r="N2" s="4">
        <f>LINEST(V64:V103,U64:U103)</f>
        <v>-2.2830425789659881E-5</v>
      </c>
      <c r="O2" s="7">
        <f>AVERAGE(M62:M81)</f>
        <v>0.32222222924591115</v>
      </c>
      <c r="P2" s="4">
        <f>(M2-$O$2)/$O$2*100</f>
        <v>6.6198243484556576</v>
      </c>
    </row>
    <row r="3" spans="1:16" x14ac:dyDescent="0.2">
      <c r="A3" s="8">
        <v>0.5</v>
      </c>
      <c r="B3" s="8">
        <v>1</v>
      </c>
      <c r="D3">
        <v>688.39260220636004</v>
      </c>
      <c r="E3">
        <v>299.06035042180002</v>
      </c>
      <c r="F3">
        <v>127.26692456479999</v>
      </c>
      <c r="G3">
        <v>113.20309477756</v>
      </c>
      <c r="I3" s="9">
        <f t="shared" ref="I3:I66" si="1">E3-G3</f>
        <v>185.85725564424001</v>
      </c>
      <c r="J3" s="9">
        <f t="shared" ref="J3:J66" si="2">D3-F3</f>
        <v>561.12567764156006</v>
      </c>
      <c r="K3" s="9">
        <f t="shared" ref="K3:K66" si="3">I3*1</f>
        <v>185.85725564424001</v>
      </c>
      <c r="L3" s="10">
        <f t="shared" si="0"/>
        <v>0.33122215405541156</v>
      </c>
      <c r="M3" s="10">
        <f t="shared" ref="M3:M66" si="4">L3+ABS($N$2)*A3</f>
        <v>0.33123356926830638</v>
      </c>
      <c r="P3" s="8">
        <f t="shared" ref="P3:P66" si="5">(M3-$O$2)/$O$2*100</f>
        <v>2.7966227046111158</v>
      </c>
    </row>
    <row r="4" spans="1:16" ht="16" x14ac:dyDescent="0.2">
      <c r="A4" s="8">
        <v>1</v>
      </c>
      <c r="B4" s="8">
        <v>2</v>
      </c>
      <c r="D4">
        <v>682.51070733289998</v>
      </c>
      <c r="E4">
        <v>304.00713822193001</v>
      </c>
      <c r="F4">
        <v>127.04190844615999</v>
      </c>
      <c r="G4">
        <v>113.14893617021001</v>
      </c>
      <c r="I4" s="9">
        <f t="shared" si="1"/>
        <v>190.85820205172001</v>
      </c>
      <c r="J4" s="9">
        <f t="shared" si="2"/>
        <v>555.46879888673993</v>
      </c>
      <c r="K4" s="9">
        <f t="shared" si="3"/>
        <v>190.85820205172001</v>
      </c>
      <c r="L4" s="10">
        <f t="shared" si="0"/>
        <v>0.34359842071100016</v>
      </c>
      <c r="M4" s="10">
        <f t="shared" si="4"/>
        <v>0.34362125113678982</v>
      </c>
      <c r="N4" s="1" t="s">
        <v>7</v>
      </c>
      <c r="P4" s="8">
        <f t="shared" si="5"/>
        <v>6.6410756144783294</v>
      </c>
    </row>
    <row r="5" spans="1:16" x14ac:dyDescent="0.2">
      <c r="A5" s="8">
        <v>1.5</v>
      </c>
      <c r="B5" s="8">
        <v>3</v>
      </c>
      <c r="D5">
        <v>670.31667748215</v>
      </c>
      <c r="E5">
        <v>296.04088254380002</v>
      </c>
      <c r="F5">
        <v>127.20373952289</v>
      </c>
      <c r="G5">
        <v>113.19664732431001</v>
      </c>
      <c r="I5" s="9">
        <f t="shared" si="1"/>
        <v>182.84423521949003</v>
      </c>
      <c r="J5" s="9">
        <f t="shared" si="2"/>
        <v>543.11293795925997</v>
      </c>
      <c r="K5" s="9">
        <f t="shared" si="3"/>
        <v>182.84423521949003</v>
      </c>
      <c r="L5" s="10">
        <f t="shared" si="0"/>
        <v>0.33665969348203145</v>
      </c>
      <c r="M5" s="10">
        <f t="shared" si="4"/>
        <v>0.33669393912071593</v>
      </c>
      <c r="N5" s="8">
        <f>RSQ(V64:V83,U64:U83)</f>
        <v>5.195192006648032E-2</v>
      </c>
      <c r="P5" s="8">
        <f t="shared" si="5"/>
        <v>4.4912202080758279</v>
      </c>
    </row>
    <row r="6" spans="1:16" x14ac:dyDescent="0.2">
      <c r="A6" s="8">
        <v>2</v>
      </c>
      <c r="B6" s="8">
        <v>4</v>
      </c>
      <c r="D6">
        <v>670.26735885788003</v>
      </c>
      <c r="E6">
        <v>292.75340687865003</v>
      </c>
      <c r="F6">
        <v>127.04448742747</v>
      </c>
      <c r="G6">
        <v>113.12637008382001</v>
      </c>
      <c r="I6" s="9">
        <f t="shared" si="1"/>
        <v>179.62703679483002</v>
      </c>
      <c r="J6" s="9">
        <f t="shared" si="2"/>
        <v>543.22287143041001</v>
      </c>
      <c r="K6" s="9">
        <f t="shared" si="3"/>
        <v>179.62703679483002</v>
      </c>
      <c r="L6" s="10">
        <f t="shared" si="0"/>
        <v>0.33066913460738051</v>
      </c>
      <c r="M6" s="10">
        <f t="shared" si="4"/>
        <v>0.33071479545895982</v>
      </c>
      <c r="P6" s="8">
        <f t="shared" si="5"/>
        <v>2.6356239397026129</v>
      </c>
    </row>
    <row r="7" spans="1:16" x14ac:dyDescent="0.2">
      <c r="A7" s="8">
        <v>2.5</v>
      </c>
      <c r="B7" s="8">
        <v>5</v>
      </c>
      <c r="D7">
        <v>665.00389863548003</v>
      </c>
      <c r="E7">
        <v>284.59779077322997</v>
      </c>
      <c r="F7">
        <v>127.24113475177001</v>
      </c>
      <c r="G7">
        <v>113.25531914894</v>
      </c>
      <c r="I7" s="9">
        <f t="shared" si="1"/>
        <v>171.34247162428997</v>
      </c>
      <c r="J7" s="9">
        <f t="shared" si="2"/>
        <v>537.76276388371002</v>
      </c>
      <c r="K7" s="9">
        <f t="shared" si="3"/>
        <v>171.34247162428997</v>
      </c>
      <c r="L7" s="10">
        <f t="shared" si="0"/>
        <v>0.31862092939804659</v>
      </c>
      <c r="M7" s="10">
        <f t="shared" si="4"/>
        <v>0.31867800546252073</v>
      </c>
      <c r="P7" s="8">
        <f t="shared" si="5"/>
        <v>-1.0999314950073065</v>
      </c>
    </row>
    <row r="8" spans="1:16" x14ac:dyDescent="0.2">
      <c r="A8" s="8">
        <v>3</v>
      </c>
      <c r="B8" s="8">
        <v>6</v>
      </c>
      <c r="D8">
        <v>673.24594419207995</v>
      </c>
      <c r="E8">
        <v>281.63075924724001</v>
      </c>
      <c r="F8">
        <v>127.47388781431</v>
      </c>
      <c r="G8">
        <v>113.17537072856</v>
      </c>
      <c r="I8" s="9">
        <f t="shared" si="1"/>
        <v>168.45538851868002</v>
      </c>
      <c r="J8" s="9">
        <f t="shared" si="2"/>
        <v>545.7720563777699</v>
      </c>
      <c r="K8" s="9">
        <f t="shared" si="3"/>
        <v>168.45538851868002</v>
      </c>
      <c r="L8" s="10">
        <f t="shared" si="0"/>
        <v>0.30865520971648902</v>
      </c>
      <c r="M8" s="10">
        <f t="shared" si="4"/>
        <v>0.30872370099385799</v>
      </c>
      <c r="P8" s="8">
        <f t="shared" si="5"/>
        <v>-4.1891983317362813</v>
      </c>
    </row>
    <row r="9" spans="1:16" x14ac:dyDescent="0.2">
      <c r="A9" s="8">
        <v>3.5</v>
      </c>
      <c r="B9" s="8">
        <v>7</v>
      </c>
      <c r="D9">
        <v>683.33355006501995</v>
      </c>
      <c r="E9">
        <v>281.11313394017998</v>
      </c>
      <c r="F9">
        <v>127.56479690522001</v>
      </c>
      <c r="G9">
        <v>113.44487427465999</v>
      </c>
      <c r="I9" s="9">
        <f t="shared" si="1"/>
        <v>167.66825966552</v>
      </c>
      <c r="J9" s="9">
        <f t="shared" si="2"/>
        <v>555.76875315979999</v>
      </c>
      <c r="K9" s="9">
        <f t="shared" si="3"/>
        <v>167.66825966552</v>
      </c>
      <c r="L9" s="10">
        <f t="shared" si="0"/>
        <v>0.30168709326000992</v>
      </c>
      <c r="M9" s="10">
        <f t="shared" si="4"/>
        <v>0.30176699975027371</v>
      </c>
      <c r="P9" s="8">
        <f t="shared" si="5"/>
        <v>-6.3481745326845749</v>
      </c>
    </row>
    <row r="10" spans="1:16" x14ac:dyDescent="0.2">
      <c r="A10" s="8">
        <v>4</v>
      </c>
      <c r="B10" s="8">
        <v>8</v>
      </c>
      <c r="D10">
        <v>668.76898118104998</v>
      </c>
      <c r="E10">
        <v>275.40363400388998</v>
      </c>
      <c r="F10">
        <v>127.58736299162</v>
      </c>
      <c r="G10">
        <v>113.41715022566</v>
      </c>
      <c r="I10" s="9">
        <f t="shared" si="1"/>
        <v>161.98648377822997</v>
      </c>
      <c r="J10" s="9">
        <f t="shared" si="2"/>
        <v>541.18161818942997</v>
      </c>
      <c r="K10" s="9">
        <f t="shared" si="3"/>
        <v>161.98648377822997</v>
      </c>
      <c r="L10" s="10">
        <f t="shared" si="0"/>
        <v>0.29932000336628173</v>
      </c>
      <c r="M10" s="10">
        <f t="shared" si="4"/>
        <v>0.29941132506944035</v>
      </c>
      <c r="P10" s="8">
        <f t="shared" si="5"/>
        <v>-7.079245969421355</v>
      </c>
    </row>
    <row r="11" spans="1:16" x14ac:dyDescent="0.2">
      <c r="A11" s="8">
        <v>4.5</v>
      </c>
      <c r="B11" s="8">
        <v>9</v>
      </c>
      <c r="D11">
        <v>665.85853341986001</v>
      </c>
      <c r="E11">
        <v>271.67099286178001</v>
      </c>
      <c r="F11">
        <v>127.25918762089</v>
      </c>
      <c r="G11">
        <v>113.23533204384</v>
      </c>
      <c r="I11" s="9">
        <f t="shared" si="1"/>
        <v>158.43566081794</v>
      </c>
      <c r="J11" s="9">
        <f t="shared" si="2"/>
        <v>538.59934579897003</v>
      </c>
      <c r="K11" s="9">
        <f t="shared" si="3"/>
        <v>158.43566081794</v>
      </c>
      <c r="L11" s="10">
        <f t="shared" si="0"/>
        <v>0.29416237144312363</v>
      </c>
      <c r="M11" s="10">
        <f t="shared" si="4"/>
        <v>0.29426510835917707</v>
      </c>
      <c r="P11" s="8">
        <f t="shared" si="5"/>
        <v>-8.6763476722761954</v>
      </c>
    </row>
    <row r="12" spans="1:16" x14ac:dyDescent="0.2">
      <c r="A12" s="8">
        <v>5</v>
      </c>
      <c r="B12" s="8">
        <v>10</v>
      </c>
      <c r="D12">
        <v>658.46442432082995</v>
      </c>
      <c r="E12">
        <v>266.43078913325002</v>
      </c>
      <c r="F12">
        <v>127.86395873630001</v>
      </c>
      <c r="G12">
        <v>113.49194068343</v>
      </c>
      <c r="I12" s="9">
        <f t="shared" si="1"/>
        <v>152.93884844982</v>
      </c>
      <c r="J12" s="9">
        <f t="shared" si="2"/>
        <v>530.60046558452996</v>
      </c>
      <c r="K12" s="9">
        <f t="shared" si="3"/>
        <v>152.93884844982</v>
      </c>
      <c r="L12" s="10">
        <f t="shared" si="0"/>
        <v>0.28823730541083614</v>
      </c>
      <c r="M12" s="10">
        <f t="shared" si="4"/>
        <v>0.28835145753978442</v>
      </c>
      <c r="P12" s="8">
        <f t="shared" si="5"/>
        <v>-10.511618576221037</v>
      </c>
    </row>
    <row r="13" spans="1:16" x14ac:dyDescent="0.2">
      <c r="A13" s="8">
        <v>5.5</v>
      </c>
      <c r="B13" s="8">
        <v>11</v>
      </c>
      <c r="D13">
        <v>666.13842173350997</v>
      </c>
      <c r="E13">
        <v>266.91979301422998</v>
      </c>
      <c r="F13">
        <v>128.53771760155001</v>
      </c>
      <c r="G13">
        <v>113.64281108962</v>
      </c>
      <c r="I13" s="9">
        <f t="shared" si="1"/>
        <v>153.27698192460997</v>
      </c>
      <c r="J13" s="9">
        <f t="shared" si="2"/>
        <v>537.6007041319599</v>
      </c>
      <c r="K13" s="9">
        <f t="shared" si="3"/>
        <v>153.27698192460997</v>
      </c>
      <c r="L13" s="10">
        <f t="shared" si="0"/>
        <v>0.28511306020720256</v>
      </c>
      <c r="M13" s="10">
        <f t="shared" si="4"/>
        <v>0.28523862754904566</v>
      </c>
      <c r="P13" s="8">
        <f t="shared" si="5"/>
        <v>-11.47766924194439</v>
      </c>
    </row>
    <row r="14" spans="1:16" x14ac:dyDescent="0.2">
      <c r="A14" s="8">
        <v>6</v>
      </c>
      <c r="B14" s="8">
        <v>12</v>
      </c>
      <c r="D14">
        <v>659.25637671681</v>
      </c>
      <c r="E14">
        <v>264.34597776324</v>
      </c>
      <c r="F14">
        <v>128.73952288845999</v>
      </c>
      <c r="G14">
        <v>114.06769825919</v>
      </c>
      <c r="I14" s="9">
        <f t="shared" si="1"/>
        <v>150.27827950405</v>
      </c>
      <c r="J14" s="9">
        <f t="shared" si="2"/>
        <v>530.51685382835001</v>
      </c>
      <c r="K14" s="9">
        <f t="shared" si="3"/>
        <v>150.27827950405</v>
      </c>
      <c r="L14" s="10">
        <f t="shared" si="0"/>
        <v>0.28326768210962983</v>
      </c>
      <c r="M14" s="10">
        <f t="shared" si="4"/>
        <v>0.28340466466436781</v>
      </c>
      <c r="P14" s="8">
        <f t="shared" si="5"/>
        <v>-12.046830124782868</v>
      </c>
    </row>
    <row r="15" spans="1:16" x14ac:dyDescent="0.2">
      <c r="A15" s="8">
        <v>6.5</v>
      </c>
      <c r="B15" s="8">
        <v>13</v>
      </c>
      <c r="D15">
        <v>660.74100719424996</v>
      </c>
      <c r="E15">
        <v>262.26095487246999</v>
      </c>
      <c r="F15">
        <v>128.24113475177001</v>
      </c>
      <c r="G15">
        <v>113.71566731141</v>
      </c>
      <c r="I15" s="9">
        <f t="shared" si="1"/>
        <v>148.54528756105998</v>
      </c>
      <c r="J15" s="9">
        <f t="shared" si="2"/>
        <v>532.49987244247995</v>
      </c>
      <c r="K15" s="9">
        <f t="shared" si="3"/>
        <v>148.54528756105998</v>
      </c>
      <c r="L15" s="10">
        <f t="shared" si="0"/>
        <v>0.27895835332262109</v>
      </c>
      <c r="M15" s="10">
        <f t="shared" si="4"/>
        <v>0.2791067510902539</v>
      </c>
      <c r="P15" s="8">
        <f t="shared" si="5"/>
        <v>-13.380665342847189</v>
      </c>
    </row>
    <row r="16" spans="1:16" x14ac:dyDescent="0.2">
      <c r="A16" s="8">
        <v>7</v>
      </c>
      <c r="B16" s="8">
        <v>14</v>
      </c>
      <c r="D16">
        <v>654.07309184994006</v>
      </c>
      <c r="E16">
        <v>258.88745148771</v>
      </c>
      <c r="F16">
        <v>128.66408768535999</v>
      </c>
      <c r="G16">
        <v>113.57382333978001</v>
      </c>
      <c r="I16" s="9">
        <f t="shared" si="1"/>
        <v>145.31362814792999</v>
      </c>
      <c r="J16" s="9">
        <f t="shared" si="2"/>
        <v>525.4090041645801</v>
      </c>
      <c r="K16" s="9">
        <f t="shared" si="3"/>
        <v>145.31362814792999</v>
      </c>
      <c r="L16" s="10">
        <f t="shared" si="0"/>
        <v>0.27657239787693411</v>
      </c>
      <c r="M16" s="10">
        <f t="shared" si="4"/>
        <v>0.27673221085746175</v>
      </c>
      <c r="P16" s="8">
        <f t="shared" si="5"/>
        <v>-14.117591605926316</v>
      </c>
    </row>
    <row r="17" spans="1:16" x14ac:dyDescent="0.2">
      <c r="A17" s="8">
        <v>7.5</v>
      </c>
      <c r="B17" s="8">
        <v>15</v>
      </c>
      <c r="D17">
        <v>637.97189542484</v>
      </c>
      <c r="E17">
        <v>257.33529411764999</v>
      </c>
      <c r="F17">
        <v>128.81431334622999</v>
      </c>
      <c r="G17">
        <v>114.31270148291</v>
      </c>
      <c r="I17" s="9">
        <f t="shared" si="1"/>
        <v>143.02259263473999</v>
      </c>
      <c r="J17" s="9">
        <f t="shared" si="2"/>
        <v>509.15758207861001</v>
      </c>
      <c r="K17" s="9">
        <f t="shared" si="3"/>
        <v>143.02259263473999</v>
      </c>
      <c r="L17" s="10">
        <f t="shared" si="0"/>
        <v>0.28090044746237014</v>
      </c>
      <c r="M17" s="10">
        <f t="shared" si="4"/>
        <v>0.28107167565579261</v>
      </c>
      <c r="P17" s="8">
        <f t="shared" si="5"/>
        <v>-12.770861180627477</v>
      </c>
    </row>
    <row r="18" spans="1:16" x14ac:dyDescent="0.2">
      <c r="A18" s="8">
        <v>8</v>
      </c>
      <c r="B18" s="8">
        <v>16</v>
      </c>
      <c r="D18">
        <v>638.71586475943002</v>
      </c>
      <c r="E18">
        <v>255.80234070220999</v>
      </c>
      <c r="F18">
        <v>128.889103804</v>
      </c>
      <c r="G18">
        <v>113.79626047711</v>
      </c>
      <c r="I18" s="9">
        <f t="shared" si="1"/>
        <v>142.00608022509999</v>
      </c>
      <c r="J18" s="9">
        <f t="shared" si="2"/>
        <v>509.82676095543002</v>
      </c>
      <c r="K18" s="9">
        <f t="shared" si="3"/>
        <v>142.00608022509999</v>
      </c>
      <c r="L18" s="10">
        <f t="shared" si="0"/>
        <v>0.27853790954201091</v>
      </c>
      <c r="M18" s="10">
        <f t="shared" si="4"/>
        <v>0.2787205529483282</v>
      </c>
      <c r="P18" s="8">
        <f t="shared" si="5"/>
        <v>-13.500519936004682</v>
      </c>
    </row>
    <row r="19" spans="1:16" x14ac:dyDescent="0.2">
      <c r="A19" s="8">
        <v>8.5</v>
      </c>
      <c r="B19" s="8">
        <v>17</v>
      </c>
      <c r="D19">
        <v>649.92217135382998</v>
      </c>
      <c r="E19">
        <v>258.01765860039001</v>
      </c>
      <c r="F19">
        <v>128.91424887170001</v>
      </c>
      <c r="G19">
        <v>114.16312056738001</v>
      </c>
      <c r="I19" s="9">
        <f t="shared" si="1"/>
        <v>143.85453803300999</v>
      </c>
      <c r="J19" s="9">
        <f t="shared" si="2"/>
        <v>521.00792248212997</v>
      </c>
      <c r="K19" s="9">
        <f t="shared" si="3"/>
        <v>143.85453803300999</v>
      </c>
      <c r="L19" s="10">
        <f t="shared" si="0"/>
        <v>0.27610815848571679</v>
      </c>
      <c r="M19" s="10">
        <f t="shared" si="4"/>
        <v>0.27630221710492892</v>
      </c>
      <c r="P19" s="8">
        <f t="shared" si="5"/>
        <v>-14.251037940010447</v>
      </c>
    </row>
    <row r="20" spans="1:16" x14ac:dyDescent="0.2">
      <c r="A20" s="8">
        <v>9</v>
      </c>
      <c r="B20" s="8">
        <v>18</v>
      </c>
      <c r="D20">
        <v>653.42571059431998</v>
      </c>
      <c r="E20">
        <v>261.30167958656</v>
      </c>
      <c r="F20">
        <v>128.60670535138999</v>
      </c>
      <c r="G20">
        <v>113.86331399097</v>
      </c>
      <c r="I20" s="9">
        <f t="shared" si="1"/>
        <v>147.43836559559</v>
      </c>
      <c r="J20" s="9">
        <f t="shared" si="2"/>
        <v>524.81900524292996</v>
      </c>
      <c r="K20" s="9">
        <f t="shared" si="3"/>
        <v>147.43836559559</v>
      </c>
      <c r="L20" s="10">
        <f t="shared" si="0"/>
        <v>0.28093183387545817</v>
      </c>
      <c r="M20" s="10">
        <f t="shared" si="4"/>
        <v>0.28113730770756512</v>
      </c>
      <c r="P20" s="8">
        <f t="shared" si="5"/>
        <v>-12.750492613279995</v>
      </c>
    </row>
    <row r="21" spans="1:16" x14ac:dyDescent="0.2">
      <c r="A21" s="8">
        <v>9.5</v>
      </c>
      <c r="B21" s="8">
        <v>19</v>
      </c>
      <c r="D21">
        <v>647.10206718346001</v>
      </c>
      <c r="E21">
        <v>260.07493540052002</v>
      </c>
      <c r="F21">
        <v>128.76273372017999</v>
      </c>
      <c r="G21">
        <v>114.11476466796</v>
      </c>
      <c r="I21" s="9">
        <f t="shared" si="1"/>
        <v>145.96017073256002</v>
      </c>
      <c r="J21" s="9">
        <f t="shared" si="2"/>
        <v>518.33933346328001</v>
      </c>
      <c r="K21" s="9">
        <f t="shared" si="3"/>
        <v>145.96017073256002</v>
      </c>
      <c r="L21" s="10">
        <f t="shared" si="0"/>
        <v>0.28159192503746211</v>
      </c>
      <c r="M21" s="10">
        <f t="shared" si="4"/>
        <v>0.28180881408246389</v>
      </c>
      <c r="P21" s="8">
        <f t="shared" si="5"/>
        <v>-12.542094087681596</v>
      </c>
    </row>
    <row r="22" spans="1:16" x14ac:dyDescent="0.2">
      <c r="A22" s="8">
        <v>10</v>
      </c>
      <c r="B22" s="8">
        <v>20</v>
      </c>
      <c r="D22">
        <v>641.44083224968006</v>
      </c>
      <c r="E22">
        <v>255.70351105332</v>
      </c>
      <c r="F22">
        <v>129.05931656996</v>
      </c>
      <c r="G22">
        <v>114.05867182463</v>
      </c>
      <c r="I22" s="9">
        <f t="shared" si="1"/>
        <v>141.64483922868999</v>
      </c>
      <c r="J22" s="9">
        <f t="shared" si="2"/>
        <v>512.38151567972</v>
      </c>
      <c r="K22" s="9">
        <f t="shared" si="3"/>
        <v>141.64483922868999</v>
      </c>
      <c r="L22" s="10">
        <f t="shared" si="0"/>
        <v>0.27644408491353445</v>
      </c>
      <c r="M22" s="10">
        <f t="shared" si="4"/>
        <v>0.27667238917143105</v>
      </c>
      <c r="P22" s="8">
        <f t="shared" si="5"/>
        <v>-14.136156956358747</v>
      </c>
    </row>
    <row r="23" spans="1:16" x14ac:dyDescent="0.2">
      <c r="A23" s="8">
        <v>10.5</v>
      </c>
      <c r="B23" s="8">
        <v>21</v>
      </c>
      <c r="D23">
        <v>643.64499349804998</v>
      </c>
      <c r="E23">
        <v>256.09297789337</v>
      </c>
      <c r="F23">
        <v>128.86524822695</v>
      </c>
      <c r="G23">
        <v>114.46872985170999</v>
      </c>
      <c r="I23" s="9">
        <f t="shared" si="1"/>
        <v>141.62424804166</v>
      </c>
      <c r="J23" s="9">
        <f t="shared" si="2"/>
        <v>514.77974527109996</v>
      </c>
      <c r="K23" s="9">
        <f t="shared" si="3"/>
        <v>141.62424804166</v>
      </c>
      <c r="L23" s="10">
        <f t="shared" si="0"/>
        <v>0.27511620133203962</v>
      </c>
      <c r="M23" s="10">
        <f t="shared" si="4"/>
        <v>0.27535592080283106</v>
      </c>
      <c r="P23" s="8">
        <f t="shared" si="5"/>
        <v>-14.544716096328978</v>
      </c>
    </row>
    <row r="24" spans="1:16" x14ac:dyDescent="0.2">
      <c r="A24" s="8">
        <v>11</v>
      </c>
      <c r="B24" s="8">
        <v>22</v>
      </c>
      <c r="D24">
        <v>644.14836601307002</v>
      </c>
      <c r="E24">
        <v>257.76339869280997</v>
      </c>
      <c r="F24">
        <v>128.63378465506</v>
      </c>
      <c r="G24">
        <v>113.87749838814</v>
      </c>
      <c r="I24" s="9">
        <f t="shared" si="1"/>
        <v>143.88590030466997</v>
      </c>
      <c r="J24" s="9">
        <f t="shared" si="2"/>
        <v>515.51458135800999</v>
      </c>
      <c r="K24" s="9">
        <f t="shared" si="3"/>
        <v>143.88590030466997</v>
      </c>
      <c r="L24" s="10">
        <f t="shared" si="0"/>
        <v>0.2791112133543035</v>
      </c>
      <c r="M24" s="10">
        <f t="shared" si="4"/>
        <v>0.27936234803798976</v>
      </c>
      <c r="P24" s="8">
        <f t="shared" si="5"/>
        <v>-13.301342153899601</v>
      </c>
    </row>
    <row r="25" spans="1:16" x14ac:dyDescent="0.2">
      <c r="A25" s="8">
        <v>11.5</v>
      </c>
      <c r="B25" s="8">
        <v>23</v>
      </c>
      <c r="D25">
        <v>625.39676375404997</v>
      </c>
      <c r="E25">
        <v>252.13592233009999</v>
      </c>
      <c r="F25">
        <v>129.57059961314999</v>
      </c>
      <c r="G25">
        <v>114.42746615087</v>
      </c>
      <c r="I25" s="9">
        <f t="shared" si="1"/>
        <v>137.70845617922998</v>
      </c>
      <c r="J25" s="9">
        <f t="shared" si="2"/>
        <v>495.8261641409</v>
      </c>
      <c r="K25" s="9">
        <f t="shared" si="3"/>
        <v>137.70845617922998</v>
      </c>
      <c r="L25" s="10">
        <f t="shared" si="0"/>
        <v>0.27773535593433724</v>
      </c>
      <c r="M25" s="10">
        <f t="shared" si="4"/>
        <v>0.27799790583091832</v>
      </c>
      <c r="P25" s="8">
        <f t="shared" si="5"/>
        <v>-13.724789726174366</v>
      </c>
    </row>
    <row r="26" spans="1:16" x14ac:dyDescent="0.2">
      <c r="A26" s="8">
        <v>12</v>
      </c>
      <c r="B26" s="8">
        <v>24</v>
      </c>
      <c r="D26">
        <v>619.53341985724001</v>
      </c>
      <c r="E26">
        <v>256.05970149254</v>
      </c>
      <c r="F26">
        <v>129.25016118632999</v>
      </c>
      <c r="G26">
        <v>114.24887169567999</v>
      </c>
      <c r="I26" s="9">
        <f t="shared" si="1"/>
        <v>141.81082979685999</v>
      </c>
      <c r="J26" s="9">
        <f t="shared" si="2"/>
        <v>490.28325867091002</v>
      </c>
      <c r="K26" s="9">
        <f t="shared" si="3"/>
        <v>141.81082979685999</v>
      </c>
      <c r="L26" s="10">
        <f t="shared" si="0"/>
        <v>0.28924265164853785</v>
      </c>
      <c r="M26" s="10">
        <f t="shared" si="4"/>
        <v>0.28951661675801377</v>
      </c>
      <c r="P26" s="8">
        <f t="shared" si="5"/>
        <v>-10.150017447411228</v>
      </c>
    </row>
    <row r="27" spans="1:16" x14ac:dyDescent="0.2">
      <c r="A27" s="8">
        <v>12.5</v>
      </c>
      <c r="B27" s="8">
        <v>25</v>
      </c>
      <c r="D27">
        <v>616.36469824789003</v>
      </c>
      <c r="E27">
        <v>256.95327709280002</v>
      </c>
      <c r="F27">
        <v>129.23984526112</v>
      </c>
      <c r="G27">
        <v>114.20696324952</v>
      </c>
      <c r="I27" s="9">
        <f t="shared" si="1"/>
        <v>142.74631384328001</v>
      </c>
      <c r="J27" s="9">
        <f t="shared" si="2"/>
        <v>487.12485298677007</v>
      </c>
      <c r="K27" s="9">
        <f t="shared" si="3"/>
        <v>142.74631384328001</v>
      </c>
      <c r="L27" s="10">
        <f t="shared" si="0"/>
        <v>0.29303845403912676</v>
      </c>
      <c r="M27" s="10">
        <f t="shared" si="4"/>
        <v>0.2933238343614975</v>
      </c>
      <c r="P27" s="8">
        <f t="shared" si="5"/>
        <v>-8.9684671824299205</v>
      </c>
    </row>
    <row r="28" spans="1:16" x14ac:dyDescent="0.2">
      <c r="A28" s="8">
        <v>13</v>
      </c>
      <c r="B28" s="8">
        <v>26</v>
      </c>
      <c r="D28">
        <v>613.69046073977995</v>
      </c>
      <c r="E28">
        <v>255.65412070084</v>
      </c>
      <c r="F28">
        <v>129.3726627982</v>
      </c>
      <c r="G28">
        <v>114.33849129594</v>
      </c>
      <c r="I28" s="9">
        <f t="shared" si="1"/>
        <v>141.31562940489999</v>
      </c>
      <c r="J28" s="9">
        <f t="shared" si="2"/>
        <v>484.31779794157995</v>
      </c>
      <c r="K28" s="9">
        <f t="shared" si="3"/>
        <v>141.31562940489999</v>
      </c>
      <c r="L28" s="10">
        <f t="shared" si="0"/>
        <v>0.29178285416210525</v>
      </c>
      <c r="M28" s="10">
        <f t="shared" si="4"/>
        <v>0.29207964969737082</v>
      </c>
      <c r="P28" s="8">
        <f t="shared" si="5"/>
        <v>-9.354593449087071</v>
      </c>
    </row>
    <row r="29" spans="1:16" x14ac:dyDescent="0.2">
      <c r="A29" s="8">
        <v>13.5</v>
      </c>
      <c r="B29" s="8">
        <v>27</v>
      </c>
      <c r="D29">
        <v>628.58701298700998</v>
      </c>
      <c r="E29">
        <v>255.18116883117</v>
      </c>
      <c r="F29">
        <v>129.53578336557001</v>
      </c>
      <c r="G29">
        <v>114.46292714378001</v>
      </c>
      <c r="I29" s="9">
        <f t="shared" si="1"/>
        <v>140.71824168738999</v>
      </c>
      <c r="J29" s="9">
        <f t="shared" si="2"/>
        <v>499.05122962143997</v>
      </c>
      <c r="K29" s="9">
        <f t="shared" si="3"/>
        <v>140.71824168738999</v>
      </c>
      <c r="L29" s="10">
        <f t="shared" si="0"/>
        <v>0.28197153585641527</v>
      </c>
      <c r="M29" s="10">
        <f t="shared" si="4"/>
        <v>0.28227974660457567</v>
      </c>
      <c r="P29" s="8">
        <f t="shared" si="5"/>
        <v>-12.395942618487839</v>
      </c>
    </row>
    <row r="30" spans="1:16" x14ac:dyDescent="0.2">
      <c r="A30" s="8">
        <v>14</v>
      </c>
      <c r="B30" s="8">
        <v>28</v>
      </c>
      <c r="D30">
        <v>637.32270657124002</v>
      </c>
      <c r="E30">
        <v>258.07026675342001</v>
      </c>
      <c r="F30">
        <v>129.78981302386001</v>
      </c>
      <c r="G30">
        <v>114.31463571889</v>
      </c>
      <c r="I30" s="9">
        <f t="shared" si="1"/>
        <v>143.75563103453001</v>
      </c>
      <c r="J30" s="9">
        <f t="shared" si="2"/>
        <v>507.53289354738001</v>
      </c>
      <c r="K30" s="9">
        <f t="shared" si="3"/>
        <v>143.75563103453001</v>
      </c>
      <c r="L30" s="10">
        <f t="shared" si="0"/>
        <v>0.28324396874014612</v>
      </c>
      <c r="M30" s="10">
        <f t="shared" si="4"/>
        <v>0.28356359470120135</v>
      </c>
      <c r="P30" s="8">
        <f t="shared" si="5"/>
        <v>-11.997507010978623</v>
      </c>
    </row>
    <row r="31" spans="1:16" x14ac:dyDescent="0.2">
      <c r="A31" s="8">
        <v>14.5</v>
      </c>
      <c r="B31" s="8">
        <v>29</v>
      </c>
      <c r="D31">
        <v>651.11879895561003</v>
      </c>
      <c r="E31">
        <v>264.48237597910997</v>
      </c>
      <c r="F31">
        <v>129.33913604125999</v>
      </c>
      <c r="G31">
        <v>114.41521598967999</v>
      </c>
      <c r="I31" s="9">
        <f t="shared" si="1"/>
        <v>150.06715998942997</v>
      </c>
      <c r="J31" s="9">
        <f t="shared" si="2"/>
        <v>521.77966291435007</v>
      </c>
      <c r="K31" s="9">
        <f t="shared" si="3"/>
        <v>150.06715998942997</v>
      </c>
      <c r="L31" s="10">
        <f t="shared" si="0"/>
        <v>0.28760637996361205</v>
      </c>
      <c r="M31" s="10">
        <f t="shared" si="4"/>
        <v>0.2879374211375621</v>
      </c>
      <c r="P31" s="8">
        <f t="shared" si="5"/>
        <v>-10.640112629282267</v>
      </c>
    </row>
    <row r="32" spans="1:16" x14ac:dyDescent="0.2">
      <c r="A32" s="8">
        <v>15</v>
      </c>
      <c r="B32" s="8">
        <v>30</v>
      </c>
      <c r="D32">
        <v>640.86749347259001</v>
      </c>
      <c r="E32">
        <v>261.28916449086</v>
      </c>
      <c r="F32">
        <v>129.42553191489</v>
      </c>
      <c r="G32">
        <v>114.43971631206</v>
      </c>
      <c r="I32" s="9">
        <f t="shared" si="1"/>
        <v>146.8494481788</v>
      </c>
      <c r="J32" s="9">
        <f t="shared" si="2"/>
        <v>511.44196155769998</v>
      </c>
      <c r="K32" s="9">
        <f t="shared" si="3"/>
        <v>146.8494481788</v>
      </c>
      <c r="L32" s="10">
        <f t="shared" si="0"/>
        <v>0.28712827498850563</v>
      </c>
      <c r="M32" s="10">
        <f t="shared" si="4"/>
        <v>0.28747073137535051</v>
      </c>
      <c r="P32" s="8">
        <f t="shared" si="5"/>
        <v>-10.784947379915014</v>
      </c>
    </row>
    <row r="33" spans="1:16" x14ac:dyDescent="0.2">
      <c r="A33" s="8">
        <v>15.5</v>
      </c>
      <c r="B33" s="8">
        <v>31</v>
      </c>
      <c r="D33">
        <v>636.98639896373004</v>
      </c>
      <c r="E33">
        <v>261.96696891191999</v>
      </c>
      <c r="F33">
        <v>129.45390070921999</v>
      </c>
      <c r="G33">
        <v>114.22759509994</v>
      </c>
      <c r="I33" s="9">
        <f t="shared" si="1"/>
        <v>147.73937381197999</v>
      </c>
      <c r="J33" s="9">
        <f t="shared" si="2"/>
        <v>507.53249825451007</v>
      </c>
      <c r="K33" s="9">
        <f t="shared" si="3"/>
        <v>147.73937381197999</v>
      </c>
      <c r="L33" s="10">
        <f t="shared" si="0"/>
        <v>0.29109342617483736</v>
      </c>
      <c r="M33" s="10">
        <f t="shared" si="4"/>
        <v>0.29144729777457706</v>
      </c>
      <c r="P33" s="8">
        <f t="shared" si="5"/>
        <v>-9.5508405932625795</v>
      </c>
    </row>
    <row r="34" spans="1:16" x14ac:dyDescent="0.2">
      <c r="A34" s="8">
        <v>16</v>
      </c>
      <c r="B34" s="8">
        <v>32</v>
      </c>
      <c r="D34">
        <v>621.21437823834003</v>
      </c>
      <c r="E34">
        <v>258.22344559586003</v>
      </c>
      <c r="F34">
        <v>129.11476466796</v>
      </c>
      <c r="G34">
        <v>114.14958091554</v>
      </c>
      <c r="I34" s="9">
        <f t="shared" si="1"/>
        <v>144.07386468032001</v>
      </c>
      <c r="J34" s="9">
        <f t="shared" si="2"/>
        <v>492.09961357038003</v>
      </c>
      <c r="K34" s="9">
        <f t="shared" si="3"/>
        <v>144.07386468032001</v>
      </c>
      <c r="L34" s="10">
        <f t="shared" si="0"/>
        <v>0.292773781379356</v>
      </c>
      <c r="M34" s="10">
        <f t="shared" si="4"/>
        <v>0.29313906819199054</v>
      </c>
      <c r="P34" s="8">
        <f t="shared" si="5"/>
        <v>-9.0258084061994204</v>
      </c>
    </row>
    <row r="35" spans="1:16" x14ac:dyDescent="0.2">
      <c r="A35" s="8">
        <v>16.5</v>
      </c>
      <c r="B35" s="8">
        <v>33</v>
      </c>
      <c r="D35">
        <v>628.64785992218003</v>
      </c>
      <c r="E35">
        <v>261.62062256809003</v>
      </c>
      <c r="F35">
        <v>129.52095422308</v>
      </c>
      <c r="G35">
        <v>114.05093488072001</v>
      </c>
      <c r="I35" s="9">
        <f t="shared" si="1"/>
        <v>147.56968768737002</v>
      </c>
      <c r="J35" s="9">
        <f t="shared" si="2"/>
        <v>499.12690569910001</v>
      </c>
      <c r="K35" s="9">
        <f t="shared" si="3"/>
        <v>147.56968768737002</v>
      </c>
      <c r="L35" s="10">
        <f t="shared" si="0"/>
        <v>0.29565564589365734</v>
      </c>
      <c r="M35" s="10">
        <f t="shared" si="4"/>
        <v>0.2960323479191867</v>
      </c>
      <c r="P35" s="8">
        <f t="shared" si="5"/>
        <v>-8.1278940276764864</v>
      </c>
    </row>
    <row r="36" spans="1:16" x14ac:dyDescent="0.2">
      <c r="A36" s="8">
        <v>17</v>
      </c>
      <c r="B36" s="8">
        <v>34</v>
      </c>
      <c r="D36">
        <v>634.24496426251005</v>
      </c>
      <c r="E36">
        <v>260.70435347628</v>
      </c>
      <c r="F36">
        <v>129.63765312702</v>
      </c>
      <c r="G36">
        <v>114.30367504836001</v>
      </c>
      <c r="I36" s="9">
        <f t="shared" si="1"/>
        <v>146.40067842792001</v>
      </c>
      <c r="J36" s="9">
        <f t="shared" si="2"/>
        <v>504.60731113549002</v>
      </c>
      <c r="K36" s="9">
        <f t="shared" si="3"/>
        <v>146.40067842792001</v>
      </c>
      <c r="L36" s="10">
        <f t="shared" si="0"/>
        <v>0.29012793750150517</v>
      </c>
      <c r="M36" s="10">
        <f t="shared" si="4"/>
        <v>0.29051605473992936</v>
      </c>
      <c r="P36" s="8">
        <f t="shared" si="5"/>
        <v>-9.8398470459915117</v>
      </c>
    </row>
    <row r="37" spans="1:16" x14ac:dyDescent="0.2">
      <c r="A37" s="8">
        <v>17.5</v>
      </c>
      <c r="B37" s="8">
        <v>35</v>
      </c>
      <c r="D37">
        <v>634.88932291667004</v>
      </c>
      <c r="E37">
        <v>260.29036458333002</v>
      </c>
      <c r="F37">
        <v>130.16441005803</v>
      </c>
      <c r="G37">
        <v>114.29787234043</v>
      </c>
      <c r="I37" s="9">
        <f t="shared" si="1"/>
        <v>145.99249224290003</v>
      </c>
      <c r="J37" s="9">
        <f t="shared" si="2"/>
        <v>504.72491285864004</v>
      </c>
      <c r="K37" s="9">
        <f t="shared" si="3"/>
        <v>145.99249224290003</v>
      </c>
      <c r="L37" s="10">
        <f t="shared" si="0"/>
        <v>0.28925160720922966</v>
      </c>
      <c r="M37" s="10">
        <f t="shared" si="4"/>
        <v>0.28965113966054873</v>
      </c>
      <c r="P37" s="8">
        <f t="shared" si="5"/>
        <v>-10.108268961327639</v>
      </c>
    </row>
    <row r="38" spans="1:16" x14ac:dyDescent="0.2">
      <c r="A38" s="8">
        <v>18</v>
      </c>
      <c r="B38" s="8">
        <v>36</v>
      </c>
      <c r="D38">
        <v>636.77107652400002</v>
      </c>
      <c r="E38">
        <v>261.45006485084002</v>
      </c>
      <c r="F38">
        <v>129.68858800774001</v>
      </c>
      <c r="G38">
        <v>114.24371373308</v>
      </c>
      <c r="I38" s="9">
        <f t="shared" si="1"/>
        <v>147.20635111776002</v>
      </c>
      <c r="J38" s="9">
        <f t="shared" si="2"/>
        <v>507.08248851626001</v>
      </c>
      <c r="K38" s="9">
        <f t="shared" si="3"/>
        <v>147.20635111776002</v>
      </c>
      <c r="L38" s="10">
        <f t="shared" si="0"/>
        <v>0.29030060089136706</v>
      </c>
      <c r="M38" s="10">
        <f t="shared" si="4"/>
        <v>0.29071154855558096</v>
      </c>
      <c r="P38" s="8">
        <f t="shared" si="5"/>
        <v>-9.7791765528014238</v>
      </c>
    </row>
    <row r="39" spans="1:16" x14ac:dyDescent="0.2">
      <c r="A39" s="8">
        <v>18.5</v>
      </c>
      <c r="B39" s="8">
        <v>37</v>
      </c>
      <c r="D39">
        <v>659.35385612442997</v>
      </c>
      <c r="E39">
        <v>270.89889825016002</v>
      </c>
      <c r="F39">
        <v>129.25531914894</v>
      </c>
      <c r="G39">
        <v>114.10960670535</v>
      </c>
      <c r="I39" s="9">
        <f t="shared" si="1"/>
        <v>156.78929154481</v>
      </c>
      <c r="J39" s="9">
        <f t="shared" si="2"/>
        <v>530.09853697548999</v>
      </c>
      <c r="K39" s="9">
        <f t="shared" si="3"/>
        <v>156.78929154481</v>
      </c>
      <c r="L39" s="10">
        <f t="shared" si="0"/>
        <v>0.29577386204342498</v>
      </c>
      <c r="M39" s="10">
        <f t="shared" si="4"/>
        <v>0.29619622492053371</v>
      </c>
      <c r="P39" s="8">
        <f t="shared" si="5"/>
        <v>-8.0770356490566986</v>
      </c>
    </row>
    <row r="40" spans="1:16" x14ac:dyDescent="0.2">
      <c r="A40" s="8">
        <v>19</v>
      </c>
      <c r="B40" s="8">
        <v>38</v>
      </c>
      <c r="D40">
        <v>653.12443292288003</v>
      </c>
      <c r="E40">
        <v>270.65586519766998</v>
      </c>
      <c r="F40">
        <v>129.36041263701</v>
      </c>
      <c r="G40">
        <v>114.51257253385</v>
      </c>
      <c r="I40" s="9">
        <f t="shared" si="1"/>
        <v>156.14329266381998</v>
      </c>
      <c r="J40" s="9">
        <f t="shared" si="2"/>
        <v>523.76402028587006</v>
      </c>
      <c r="K40" s="9">
        <f t="shared" si="3"/>
        <v>156.14329266381998</v>
      </c>
      <c r="L40" s="10">
        <f t="shared" si="0"/>
        <v>0.29811763812756187</v>
      </c>
      <c r="M40" s="10">
        <f t="shared" si="4"/>
        <v>0.29855141621756542</v>
      </c>
      <c r="P40" s="8">
        <f t="shared" si="5"/>
        <v>-7.3461142279792293</v>
      </c>
    </row>
    <row r="41" spans="1:16" x14ac:dyDescent="0.2">
      <c r="A41" s="8">
        <v>19.5</v>
      </c>
      <c r="B41" s="8">
        <v>39</v>
      </c>
      <c r="D41">
        <v>643.73670557717003</v>
      </c>
      <c r="E41">
        <v>269.79896238651003</v>
      </c>
      <c r="F41">
        <v>129.44745325596</v>
      </c>
      <c r="G41">
        <v>114.48484848485</v>
      </c>
      <c r="I41" s="9">
        <f t="shared" si="1"/>
        <v>155.31411390166002</v>
      </c>
      <c r="J41" s="9">
        <f t="shared" si="2"/>
        <v>514.28925232121003</v>
      </c>
      <c r="K41" s="9">
        <f t="shared" si="3"/>
        <v>155.31411390166002</v>
      </c>
      <c r="L41" s="10">
        <f t="shared" si="0"/>
        <v>0.30199758832341955</v>
      </c>
      <c r="M41" s="10">
        <f t="shared" si="4"/>
        <v>0.30244278162631794</v>
      </c>
      <c r="P41" s="8">
        <f t="shared" si="5"/>
        <v>-6.1384491274492685</v>
      </c>
    </row>
    <row r="42" spans="1:16" x14ac:dyDescent="0.2">
      <c r="A42" s="8">
        <v>20</v>
      </c>
      <c r="B42" s="8">
        <v>40</v>
      </c>
      <c r="D42">
        <v>633.41623036649003</v>
      </c>
      <c r="E42">
        <v>267.10602094241</v>
      </c>
      <c r="F42">
        <v>129.3249516441</v>
      </c>
      <c r="G42">
        <v>114.09929078014</v>
      </c>
      <c r="I42" s="9">
        <f t="shared" si="1"/>
        <v>153.00673016227</v>
      </c>
      <c r="J42" s="9">
        <f t="shared" si="2"/>
        <v>504.09127872239003</v>
      </c>
      <c r="K42" s="9">
        <f t="shared" si="3"/>
        <v>153.00673016227</v>
      </c>
      <c r="L42" s="10">
        <f t="shared" si="0"/>
        <v>0.30352981021624242</v>
      </c>
      <c r="M42" s="10">
        <f t="shared" si="4"/>
        <v>0.30398641873203563</v>
      </c>
      <c r="P42" s="8">
        <f t="shared" si="5"/>
        <v>-5.6593893464620182</v>
      </c>
    </row>
    <row r="43" spans="1:16" x14ac:dyDescent="0.2">
      <c r="A43" s="8">
        <v>20.5</v>
      </c>
      <c r="B43" s="8">
        <v>41</v>
      </c>
      <c r="D43">
        <v>644.11658031087995</v>
      </c>
      <c r="E43">
        <v>273.69106217617002</v>
      </c>
      <c r="F43">
        <v>129.06769825919</v>
      </c>
      <c r="G43">
        <v>114.07156673114</v>
      </c>
      <c r="I43" s="9">
        <f t="shared" si="1"/>
        <v>159.61949544503003</v>
      </c>
      <c r="J43" s="9">
        <f t="shared" si="2"/>
        <v>515.04888205168993</v>
      </c>
      <c r="K43" s="9">
        <f t="shared" si="3"/>
        <v>159.61949544503003</v>
      </c>
      <c r="L43" s="10">
        <f t="shared" si="0"/>
        <v>0.30991135212096377</v>
      </c>
      <c r="M43" s="10">
        <f t="shared" si="4"/>
        <v>0.31037937584965181</v>
      </c>
      <c r="P43" s="8">
        <f t="shared" si="5"/>
        <v>-3.6753682152764222</v>
      </c>
    </row>
    <row r="44" spans="1:16" x14ac:dyDescent="0.2">
      <c r="A44" s="8">
        <v>21</v>
      </c>
      <c r="B44" s="8">
        <v>42</v>
      </c>
      <c r="D44">
        <v>627.96296296295998</v>
      </c>
      <c r="E44">
        <v>272.17543859648998</v>
      </c>
      <c r="F44">
        <v>128.81237911024999</v>
      </c>
      <c r="G44">
        <v>114.45970341715</v>
      </c>
      <c r="I44" s="9">
        <f t="shared" si="1"/>
        <v>157.71573517933999</v>
      </c>
      <c r="J44" s="9">
        <f t="shared" si="2"/>
        <v>499.15058385270999</v>
      </c>
      <c r="K44" s="9">
        <f t="shared" si="3"/>
        <v>157.71573517933999</v>
      </c>
      <c r="L44" s="10">
        <f t="shared" si="0"/>
        <v>0.3159682474214614</v>
      </c>
      <c r="M44" s="10">
        <f t="shared" si="4"/>
        <v>0.31644768636304427</v>
      </c>
      <c r="P44" s="8">
        <f t="shared" si="5"/>
        <v>-1.7920994763089146</v>
      </c>
    </row>
    <row r="45" spans="1:16" x14ac:dyDescent="0.2">
      <c r="A45" s="8">
        <v>21.5</v>
      </c>
      <c r="B45" s="8">
        <v>43</v>
      </c>
      <c r="D45">
        <v>627.26267880364003</v>
      </c>
      <c r="E45">
        <v>267.00325097528997</v>
      </c>
      <c r="F45">
        <v>129.51579626047999</v>
      </c>
      <c r="G45">
        <v>114.52740167634001</v>
      </c>
      <c r="I45" s="9">
        <f t="shared" si="1"/>
        <v>152.47584929894998</v>
      </c>
      <c r="J45" s="9">
        <f t="shared" si="2"/>
        <v>497.74688254316004</v>
      </c>
      <c r="K45" s="9">
        <f t="shared" si="3"/>
        <v>152.47584929894998</v>
      </c>
      <c r="L45" s="10">
        <f t="shared" si="0"/>
        <v>0.30633210301569025</v>
      </c>
      <c r="M45" s="10">
        <f t="shared" si="4"/>
        <v>0.30682295717016794</v>
      </c>
      <c r="P45" s="8">
        <f t="shared" si="5"/>
        <v>-4.779084333126784</v>
      </c>
    </row>
    <row r="46" spans="1:16" x14ac:dyDescent="0.2">
      <c r="A46" s="8">
        <v>22</v>
      </c>
      <c r="B46" s="8">
        <v>44</v>
      </c>
      <c r="D46">
        <v>633.85630689207005</v>
      </c>
      <c r="E46">
        <v>267.79843953186003</v>
      </c>
      <c r="F46">
        <v>129.51901998711</v>
      </c>
      <c r="G46">
        <v>114.36750483559</v>
      </c>
      <c r="I46" s="9">
        <f t="shared" si="1"/>
        <v>153.43093469627001</v>
      </c>
      <c r="J46" s="9">
        <f t="shared" si="2"/>
        <v>504.33728690496002</v>
      </c>
      <c r="K46" s="9">
        <f t="shared" si="3"/>
        <v>153.43093469627001</v>
      </c>
      <c r="L46" s="10">
        <f t="shared" si="0"/>
        <v>0.3042228656894515</v>
      </c>
      <c r="M46" s="10">
        <f t="shared" si="4"/>
        <v>0.30472513505682403</v>
      </c>
      <c r="P46" s="8">
        <f t="shared" si="5"/>
        <v>-5.4301325610077091</v>
      </c>
    </row>
    <row r="47" spans="1:16" x14ac:dyDescent="0.2">
      <c r="A47" s="8">
        <v>22.5</v>
      </c>
      <c r="B47" s="8">
        <v>45</v>
      </c>
      <c r="D47">
        <v>642.00455432660999</v>
      </c>
      <c r="E47">
        <v>273.89525048796003</v>
      </c>
      <c r="F47">
        <v>129.35589941973001</v>
      </c>
      <c r="G47">
        <v>114.57769181173001</v>
      </c>
      <c r="I47" s="9">
        <f t="shared" si="1"/>
        <v>159.31755867623002</v>
      </c>
      <c r="J47" s="9">
        <f t="shared" si="2"/>
        <v>512.64865490687998</v>
      </c>
      <c r="K47" s="9">
        <f t="shared" si="3"/>
        <v>159.31755867623002</v>
      </c>
      <c r="L47" s="10">
        <f t="shared" si="0"/>
        <v>0.31077338670706012</v>
      </c>
      <c r="M47" s="10">
        <f t="shared" si="4"/>
        <v>0.31128707128732747</v>
      </c>
      <c r="P47" s="8">
        <f t="shared" si="5"/>
        <v>-3.3936696373105515</v>
      </c>
    </row>
    <row r="48" spans="1:16" x14ac:dyDescent="0.2">
      <c r="A48" s="8">
        <v>23</v>
      </c>
      <c r="B48" s="8">
        <v>46</v>
      </c>
      <c r="D48">
        <v>611.11450878334006</v>
      </c>
      <c r="E48">
        <v>268.29147690306002</v>
      </c>
      <c r="F48">
        <v>129.40618955513</v>
      </c>
      <c r="G48">
        <v>114.17472598323999</v>
      </c>
      <c r="I48" s="9">
        <f t="shared" si="1"/>
        <v>154.11675091982002</v>
      </c>
      <c r="J48" s="9">
        <f t="shared" si="2"/>
        <v>481.70831922821003</v>
      </c>
      <c r="K48" s="9">
        <f t="shared" si="3"/>
        <v>154.11675091982002</v>
      </c>
      <c r="L48" s="10">
        <f t="shared" si="0"/>
        <v>0.31993790592353666</v>
      </c>
      <c r="M48" s="10">
        <f t="shared" si="4"/>
        <v>0.32046300571669883</v>
      </c>
      <c r="P48" s="8">
        <f t="shared" si="5"/>
        <v>-0.54596591095821823</v>
      </c>
    </row>
    <row r="49" spans="1:25" x14ac:dyDescent="0.2">
      <c r="A49" s="8">
        <v>23.5</v>
      </c>
      <c r="B49" s="8">
        <v>47</v>
      </c>
      <c r="D49">
        <v>623.65695792880001</v>
      </c>
      <c r="E49">
        <v>268.81682847896002</v>
      </c>
      <c r="F49">
        <v>129.44422952933999</v>
      </c>
      <c r="G49">
        <v>114.06125080593</v>
      </c>
      <c r="I49" s="9">
        <f t="shared" si="1"/>
        <v>154.75557767303002</v>
      </c>
      <c r="J49" s="9">
        <f t="shared" si="2"/>
        <v>494.21272839946005</v>
      </c>
      <c r="K49" s="9">
        <f t="shared" si="3"/>
        <v>154.75557767303002</v>
      </c>
      <c r="L49" s="10">
        <f t="shared" si="0"/>
        <v>0.31313555637107121</v>
      </c>
      <c r="M49" s="10">
        <f t="shared" si="4"/>
        <v>0.31367207137712821</v>
      </c>
      <c r="P49" s="8">
        <f t="shared" si="5"/>
        <v>-2.6534972117822733</v>
      </c>
    </row>
    <row r="50" spans="1:25" x14ac:dyDescent="0.2">
      <c r="A50" s="8">
        <v>24</v>
      </c>
      <c r="B50" s="8">
        <v>48</v>
      </c>
      <c r="D50">
        <v>601.76375404530995</v>
      </c>
      <c r="E50">
        <v>264.80388349514999</v>
      </c>
      <c r="F50">
        <v>129.94906511927999</v>
      </c>
      <c r="G50">
        <v>114.52095422308</v>
      </c>
      <c r="I50" s="9">
        <f t="shared" si="1"/>
        <v>150.28292927206999</v>
      </c>
      <c r="J50" s="9">
        <f t="shared" si="2"/>
        <v>471.81468892602993</v>
      </c>
      <c r="K50" s="9">
        <f t="shared" si="3"/>
        <v>150.28292927206999</v>
      </c>
      <c r="L50" s="10">
        <f t="shared" si="0"/>
        <v>0.31852109058781553</v>
      </c>
      <c r="M50" s="10">
        <f t="shared" si="4"/>
        <v>0.31906902080676736</v>
      </c>
      <c r="P50" s="8">
        <f t="shared" si="5"/>
        <v>-0.97858190805866252</v>
      </c>
    </row>
    <row r="51" spans="1:25" x14ac:dyDescent="0.2">
      <c r="A51" s="8">
        <v>24.5</v>
      </c>
      <c r="B51" s="8">
        <v>49</v>
      </c>
      <c r="D51">
        <v>617.66192630899002</v>
      </c>
      <c r="E51">
        <v>267.69489334194998</v>
      </c>
      <c r="F51">
        <v>129.85299806576</v>
      </c>
      <c r="G51">
        <v>114.42424242424001</v>
      </c>
      <c r="I51" s="9">
        <f t="shared" si="1"/>
        <v>153.27065091770999</v>
      </c>
      <c r="J51" s="9">
        <f t="shared" si="2"/>
        <v>487.80892824323001</v>
      </c>
      <c r="K51" s="9">
        <f t="shared" si="3"/>
        <v>153.27065091770999</v>
      </c>
      <c r="L51" s="10">
        <f t="shared" si="0"/>
        <v>0.31420222559207972</v>
      </c>
      <c r="M51" s="10">
        <f t="shared" si="4"/>
        <v>0.31476157102392638</v>
      </c>
      <c r="P51" s="8">
        <f t="shared" si="5"/>
        <v>-2.3153766391116992</v>
      </c>
    </row>
    <row r="52" spans="1:25" x14ac:dyDescent="0.2">
      <c r="A52" s="8">
        <v>25</v>
      </c>
      <c r="B52" s="8">
        <v>50</v>
      </c>
      <c r="D52">
        <v>615.27407886231003</v>
      </c>
      <c r="E52">
        <v>268.04783451842002</v>
      </c>
      <c r="F52">
        <v>129.91360412636999</v>
      </c>
      <c r="G52">
        <v>114.54287556414999</v>
      </c>
      <c r="I52" s="9">
        <f t="shared" si="1"/>
        <v>153.50495895427002</v>
      </c>
      <c r="J52" s="9">
        <f t="shared" si="2"/>
        <v>485.36047473594004</v>
      </c>
      <c r="K52" s="9">
        <f t="shared" si="3"/>
        <v>153.50495895427002</v>
      </c>
      <c r="L52" s="10">
        <f t="shared" si="0"/>
        <v>0.31627000331616262</v>
      </c>
      <c r="M52" s="10">
        <f t="shared" si="4"/>
        <v>0.3168407639609041</v>
      </c>
      <c r="P52" s="8">
        <f t="shared" si="5"/>
        <v>-1.6701098796321905</v>
      </c>
    </row>
    <row r="53" spans="1:25" x14ac:dyDescent="0.2">
      <c r="A53" s="8">
        <v>25.5</v>
      </c>
      <c r="B53" s="8">
        <v>51</v>
      </c>
      <c r="D53">
        <v>617.89586028460997</v>
      </c>
      <c r="E53">
        <v>270.27813712807</v>
      </c>
      <c r="F53">
        <v>129.75757575758001</v>
      </c>
      <c r="G53">
        <v>114.62733720180999</v>
      </c>
      <c r="I53" s="9">
        <f t="shared" si="1"/>
        <v>155.65079992625999</v>
      </c>
      <c r="J53" s="9">
        <f t="shared" si="2"/>
        <v>488.13828452702995</v>
      </c>
      <c r="K53" s="9">
        <f t="shared" si="3"/>
        <v>155.65079992625999</v>
      </c>
      <c r="L53" s="10">
        <f t="shared" si="0"/>
        <v>0.31886620013235423</v>
      </c>
      <c r="M53" s="10">
        <f t="shared" si="4"/>
        <v>0.31944837598999054</v>
      </c>
      <c r="P53" s="8">
        <f t="shared" si="5"/>
        <v>-0.86085099169358748</v>
      </c>
      <c r="S53" s="11"/>
      <c r="U53" s="12"/>
    </row>
    <row r="54" spans="1:25" x14ac:dyDescent="0.2">
      <c r="A54" s="8">
        <v>26</v>
      </c>
      <c r="B54" s="8">
        <v>52</v>
      </c>
      <c r="D54">
        <v>608.55368693401999</v>
      </c>
      <c r="E54">
        <v>268.50388098318001</v>
      </c>
      <c r="F54">
        <v>129.85106382979001</v>
      </c>
      <c r="G54">
        <v>114.32108317215</v>
      </c>
      <c r="I54" s="9">
        <f t="shared" si="1"/>
        <v>154.18279781103001</v>
      </c>
      <c r="J54" s="9">
        <f t="shared" si="2"/>
        <v>478.70262310422999</v>
      </c>
      <c r="K54" s="9">
        <f t="shared" si="3"/>
        <v>154.18279781103001</v>
      </c>
      <c r="L54" s="10">
        <f t="shared" si="0"/>
        <v>0.32208471474671474</v>
      </c>
      <c r="M54" s="10">
        <f t="shared" si="4"/>
        <v>0.32267830581724588</v>
      </c>
      <c r="P54" s="8">
        <f t="shared" si="5"/>
        <v>0.14154100181172297</v>
      </c>
      <c r="S54" s="11"/>
    </row>
    <row r="55" spans="1:25" x14ac:dyDescent="0.2">
      <c r="A55" s="8">
        <v>26.5</v>
      </c>
      <c r="B55" s="8">
        <v>53</v>
      </c>
      <c r="D55">
        <v>614.81245944192005</v>
      </c>
      <c r="E55">
        <v>269.96625567812998</v>
      </c>
      <c r="F55">
        <v>129.96647324307</v>
      </c>
      <c r="G55">
        <v>114.51901998711</v>
      </c>
      <c r="I55" s="9">
        <f t="shared" si="1"/>
        <v>155.44723569101998</v>
      </c>
      <c r="J55" s="9">
        <f t="shared" si="2"/>
        <v>484.84598619885003</v>
      </c>
      <c r="K55" s="9">
        <f t="shared" si="3"/>
        <v>155.44723569101998</v>
      </c>
      <c r="L55" s="10">
        <f t="shared" si="0"/>
        <v>0.32061157587322248</v>
      </c>
      <c r="M55" s="10">
        <f t="shared" si="4"/>
        <v>0.32121658215664844</v>
      </c>
      <c r="P55" s="8">
        <f t="shared" si="5"/>
        <v>-0.31209736572681473</v>
      </c>
      <c r="S55" s="11"/>
    </row>
    <row r="56" spans="1:25" x14ac:dyDescent="0.2">
      <c r="A56" s="8">
        <v>27</v>
      </c>
      <c r="B56" s="8">
        <v>54</v>
      </c>
      <c r="D56">
        <v>624.97106109325</v>
      </c>
      <c r="E56">
        <v>269.57234726688</v>
      </c>
      <c r="F56">
        <v>129.7582205029</v>
      </c>
      <c r="G56">
        <v>114.52869116699</v>
      </c>
      <c r="I56" s="9">
        <f t="shared" si="1"/>
        <v>155.04365609989</v>
      </c>
      <c r="J56" s="9">
        <f t="shared" si="2"/>
        <v>495.21284059034997</v>
      </c>
      <c r="K56" s="9">
        <f t="shared" si="3"/>
        <v>155.04365609989</v>
      </c>
      <c r="L56" s="10">
        <f t="shared" si="0"/>
        <v>0.31308488672276824</v>
      </c>
      <c r="M56" s="10">
        <f t="shared" si="4"/>
        <v>0.31370130821908904</v>
      </c>
      <c r="P56" s="8">
        <f t="shared" si="5"/>
        <v>-2.6444237093025578</v>
      </c>
      <c r="S56" s="11"/>
    </row>
    <row r="57" spans="1:25" x14ac:dyDescent="0.2">
      <c r="A57" s="8">
        <v>27.5</v>
      </c>
      <c r="B57" s="8">
        <v>55</v>
      </c>
      <c r="D57">
        <v>624.21350482314995</v>
      </c>
      <c r="E57">
        <v>268.65980707396</v>
      </c>
      <c r="F57">
        <v>129.65828497742999</v>
      </c>
      <c r="G57">
        <v>114.44165054803</v>
      </c>
      <c r="I57" s="9">
        <f t="shared" si="1"/>
        <v>154.21815652593</v>
      </c>
      <c r="J57" s="9">
        <f t="shared" si="2"/>
        <v>494.55521984571999</v>
      </c>
      <c r="K57" s="9">
        <f t="shared" si="3"/>
        <v>154.21815652593</v>
      </c>
      <c r="L57" s="10">
        <f t="shared" si="0"/>
        <v>0.31183202671289051</v>
      </c>
      <c r="M57" s="10">
        <f t="shared" si="4"/>
        <v>0.31245986342210613</v>
      </c>
      <c r="P57" s="8">
        <f t="shared" si="5"/>
        <v>-3.0296996723818985</v>
      </c>
      <c r="S57" s="11"/>
    </row>
    <row r="58" spans="1:25" x14ac:dyDescent="0.2">
      <c r="A58" s="8">
        <v>28</v>
      </c>
      <c r="B58" s="8">
        <v>56</v>
      </c>
      <c r="D58">
        <v>631.11067961164997</v>
      </c>
      <c r="E58">
        <v>272.24207119740998</v>
      </c>
      <c r="F58">
        <v>129.61250805931999</v>
      </c>
      <c r="G58">
        <v>114.52159896841</v>
      </c>
      <c r="I58" s="9">
        <f t="shared" si="1"/>
        <v>157.72047222899999</v>
      </c>
      <c r="J58" s="9">
        <f t="shared" si="2"/>
        <v>501.49817155232995</v>
      </c>
      <c r="K58" s="9">
        <f t="shared" si="3"/>
        <v>157.72047222899999</v>
      </c>
      <c r="L58" s="10">
        <f t="shared" si="0"/>
        <v>0.31449859875020958</v>
      </c>
      <c r="M58" s="10">
        <f t="shared" si="4"/>
        <v>0.31513785067232003</v>
      </c>
      <c r="P58" s="8">
        <f t="shared" si="5"/>
        <v>-2.1986001990522257</v>
      </c>
      <c r="S58" s="11"/>
    </row>
    <row r="59" spans="1:25" x14ac:dyDescent="0.2">
      <c r="A59" s="8">
        <v>28.5</v>
      </c>
      <c r="B59" s="8">
        <v>57</v>
      </c>
      <c r="D59">
        <v>644.33398692810999</v>
      </c>
      <c r="E59">
        <v>277.65555555556</v>
      </c>
      <c r="F59">
        <v>129.69632495164001</v>
      </c>
      <c r="G59">
        <v>114.23533204384</v>
      </c>
      <c r="I59" s="9">
        <f t="shared" si="1"/>
        <v>163.42022351172</v>
      </c>
      <c r="J59" s="9">
        <f t="shared" si="2"/>
        <v>514.63766197646999</v>
      </c>
      <c r="K59" s="9">
        <f t="shared" si="3"/>
        <v>163.42022351172</v>
      </c>
      <c r="L59" s="10">
        <f t="shared" si="0"/>
        <v>0.31754423662680137</v>
      </c>
      <c r="M59" s="10">
        <f t="shared" si="4"/>
        <v>0.3181949037618067</v>
      </c>
      <c r="P59" s="8">
        <f t="shared" si="5"/>
        <v>-1.2498596057539235</v>
      </c>
      <c r="R59" s="1"/>
      <c r="S59" s="11"/>
    </row>
    <row r="60" spans="1:25" x14ac:dyDescent="0.2">
      <c r="A60" s="8">
        <v>29</v>
      </c>
      <c r="B60" s="8">
        <v>58</v>
      </c>
      <c r="D60">
        <v>635.80823680824005</v>
      </c>
      <c r="E60">
        <v>276.00772200772002</v>
      </c>
      <c r="F60">
        <v>129.45067698259001</v>
      </c>
      <c r="G60">
        <v>113.98839458414</v>
      </c>
      <c r="I60" s="9">
        <f t="shared" si="1"/>
        <v>162.01932742358002</v>
      </c>
      <c r="J60" s="9">
        <f t="shared" si="2"/>
        <v>506.35755982565001</v>
      </c>
      <c r="K60" s="9">
        <f t="shared" si="3"/>
        <v>162.01932742358002</v>
      </c>
      <c r="L60" s="10">
        <f t="shared" si="0"/>
        <v>0.3199701955261946</v>
      </c>
      <c r="M60" s="10">
        <f t="shared" si="4"/>
        <v>0.32063227787409476</v>
      </c>
      <c r="P60" s="8">
        <f t="shared" si="5"/>
        <v>-0.49343317360112426</v>
      </c>
      <c r="S60" s="11"/>
    </row>
    <row r="61" spans="1:25" x14ac:dyDescent="0.2">
      <c r="A61" s="8">
        <v>29.5</v>
      </c>
      <c r="B61" s="8">
        <v>59</v>
      </c>
      <c r="C61" s="2"/>
      <c r="D61">
        <v>644.56262167423995</v>
      </c>
      <c r="E61">
        <v>275.24075275795002</v>
      </c>
      <c r="F61">
        <v>129.56673114119999</v>
      </c>
      <c r="G61">
        <v>114.29400386847</v>
      </c>
      <c r="I61" s="9">
        <f t="shared" si="1"/>
        <v>160.94674888948003</v>
      </c>
      <c r="J61" s="9">
        <f t="shared" si="2"/>
        <v>514.99589053303998</v>
      </c>
      <c r="K61" s="9">
        <f t="shared" si="3"/>
        <v>160.94674888948003</v>
      </c>
      <c r="L61" s="10">
        <f t="shared" si="0"/>
        <v>0.31252045278049528</v>
      </c>
      <c r="M61" s="10">
        <f t="shared" si="4"/>
        <v>0.31319395034129027</v>
      </c>
      <c r="P61" s="8">
        <f t="shared" si="5"/>
        <v>-2.8018795989803498</v>
      </c>
      <c r="S61" s="11"/>
    </row>
    <row r="62" spans="1:25" x14ac:dyDescent="0.2">
      <c r="A62" s="8">
        <v>30</v>
      </c>
      <c r="B62" s="8">
        <v>60</v>
      </c>
      <c r="D62">
        <v>638.16504223521997</v>
      </c>
      <c r="E62">
        <v>276.67056530214001</v>
      </c>
      <c r="F62">
        <v>129.48742746615</v>
      </c>
      <c r="G62">
        <v>114.33784655061</v>
      </c>
      <c r="I62" s="9">
        <f t="shared" si="1"/>
        <v>162.33271875153002</v>
      </c>
      <c r="J62" s="9">
        <f t="shared" si="2"/>
        <v>508.67761476906998</v>
      </c>
      <c r="K62" s="9">
        <f t="shared" si="3"/>
        <v>162.33271875153002</v>
      </c>
      <c r="L62" s="10">
        <f t="shared" si="0"/>
        <v>0.31912691661343501</v>
      </c>
      <c r="M62" s="10">
        <f t="shared" si="4"/>
        <v>0.31981182938712482</v>
      </c>
      <c r="P62" s="8">
        <f t="shared" si="5"/>
        <v>-0.74805511228301269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635.30149447692997</v>
      </c>
      <c r="E63">
        <v>275.44769330733999</v>
      </c>
      <c r="F63">
        <v>129.75112830431999</v>
      </c>
      <c r="G63">
        <v>114.57382333978001</v>
      </c>
      <c r="I63" s="9">
        <f t="shared" si="1"/>
        <v>160.87386996755998</v>
      </c>
      <c r="J63" s="9">
        <f t="shared" si="2"/>
        <v>505.55036617260998</v>
      </c>
      <c r="K63" s="9">
        <f t="shared" si="3"/>
        <v>160.87386996755998</v>
      </c>
      <c r="L63" s="10">
        <f t="shared" si="0"/>
        <v>0.31821531687434845</v>
      </c>
      <c r="M63" s="10">
        <f t="shared" si="4"/>
        <v>0.3189116448609331</v>
      </c>
      <c r="P63" s="8">
        <f t="shared" si="5"/>
        <v>-1.0274227177701969</v>
      </c>
    </row>
    <row r="64" spans="1:25" x14ac:dyDescent="0.2">
      <c r="A64" s="8">
        <v>31</v>
      </c>
      <c r="B64" s="8">
        <v>62</v>
      </c>
      <c r="D64">
        <v>634.82490272374002</v>
      </c>
      <c r="E64">
        <v>274.74448767834002</v>
      </c>
      <c r="F64">
        <v>129.48613797549999</v>
      </c>
      <c r="G64">
        <v>113.82205029014</v>
      </c>
      <c r="I64" s="9">
        <f t="shared" si="1"/>
        <v>160.92243738820002</v>
      </c>
      <c r="J64" s="9">
        <f t="shared" si="2"/>
        <v>505.33876474824001</v>
      </c>
      <c r="K64" s="9">
        <f t="shared" si="3"/>
        <v>160.92243738820002</v>
      </c>
      <c r="L64" s="10">
        <f t="shared" si="0"/>
        <v>0.31844467239391711</v>
      </c>
      <c r="M64" s="10">
        <f t="shared" si="4"/>
        <v>0.31915241559339658</v>
      </c>
      <c r="P64" s="8">
        <f t="shared" si="5"/>
        <v>-0.95270076794477676</v>
      </c>
      <c r="U64" s="8">
        <v>30.5</v>
      </c>
      <c r="V64" s="10">
        <f>L62</f>
        <v>0.31912691661343501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632.89986910995003</v>
      </c>
      <c r="E65">
        <v>275.37696335078999</v>
      </c>
      <c r="F65">
        <v>130.07156673114</v>
      </c>
      <c r="G65">
        <v>114.2998065764</v>
      </c>
      <c r="I65" s="9">
        <f t="shared" si="1"/>
        <v>161.07715677439001</v>
      </c>
      <c r="J65" s="9">
        <f t="shared" si="2"/>
        <v>502.82830237881001</v>
      </c>
      <c r="K65" s="9">
        <f t="shared" si="3"/>
        <v>161.07715677439001</v>
      </c>
      <c r="L65" s="10">
        <f t="shared" si="0"/>
        <v>0.32034226397431614</v>
      </c>
      <c r="M65" s="10">
        <f t="shared" si="4"/>
        <v>0.32106142238669044</v>
      </c>
      <c r="P65" s="8">
        <f t="shared" si="5"/>
        <v>-0.36025039673312326</v>
      </c>
      <c r="U65" s="8">
        <v>31</v>
      </c>
      <c r="V65" s="10">
        <f t="shared" ref="V65:V83" si="6">L63</f>
        <v>0.31821531687434845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623.00838709676998</v>
      </c>
      <c r="E66">
        <v>273.82903225807001</v>
      </c>
      <c r="F66">
        <v>128.87685364281</v>
      </c>
      <c r="G66">
        <v>114.06060606061</v>
      </c>
      <c r="I66" s="9">
        <f t="shared" si="1"/>
        <v>159.76842619746003</v>
      </c>
      <c r="J66" s="9">
        <f t="shared" si="2"/>
        <v>494.13153345395995</v>
      </c>
      <c r="K66" s="9">
        <f t="shared" si="3"/>
        <v>159.76842619746003</v>
      </c>
      <c r="L66" s="10">
        <f t="shared" ref="L66:L129" si="7">K66/J66</f>
        <v>0.3233317758141947</v>
      </c>
      <c r="M66" s="10">
        <f t="shared" si="4"/>
        <v>0.32406234943946383</v>
      </c>
      <c r="P66" s="8">
        <f t="shared" si="5"/>
        <v>0.57107177175797674</v>
      </c>
      <c r="U66" s="8">
        <v>31.5</v>
      </c>
      <c r="V66" s="10">
        <f t="shared" si="6"/>
        <v>0.31844467239391711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619.55419354839</v>
      </c>
      <c r="E67">
        <v>270.55548387097002</v>
      </c>
      <c r="F67">
        <v>130.00644745325999</v>
      </c>
      <c r="G67">
        <v>114.52030947775999</v>
      </c>
      <c r="I67" s="9">
        <f t="shared" ref="I67:I130" si="8">E67-G67</f>
        <v>156.03517439321001</v>
      </c>
      <c r="J67" s="9">
        <f t="shared" ref="J67:J130" si="9">D67-F67</f>
        <v>489.54774609513004</v>
      </c>
      <c r="K67" s="9">
        <f t="shared" ref="K67:K130" si="10">I67*1</f>
        <v>156.03517439321001</v>
      </c>
      <c r="L67" s="10">
        <f t="shared" si="7"/>
        <v>0.31873331179200015</v>
      </c>
      <c r="M67" s="10">
        <f t="shared" ref="M67:M130" si="11">L67+ABS($N$2)*A67</f>
        <v>0.31947530063016411</v>
      </c>
      <c r="P67" s="8">
        <f t="shared" ref="P67:P130" si="12">(M67-$O$2)/$O$2*100</f>
        <v>-0.85249506906324135</v>
      </c>
      <c r="U67" s="8">
        <v>32</v>
      </c>
      <c r="V67" s="10">
        <f t="shared" si="6"/>
        <v>0.32034226397431614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622.41419354839002</v>
      </c>
      <c r="E68">
        <v>272.65354838709999</v>
      </c>
      <c r="F68">
        <v>129.93230174081</v>
      </c>
      <c r="G68">
        <v>114.1586073501</v>
      </c>
      <c r="I68" s="9">
        <f t="shared" si="8"/>
        <v>158.49494103699999</v>
      </c>
      <c r="J68" s="9">
        <f t="shared" si="9"/>
        <v>492.48189180758004</v>
      </c>
      <c r="K68" s="9">
        <f t="shared" si="10"/>
        <v>158.49494103699999</v>
      </c>
      <c r="L68" s="10">
        <f t="shared" si="7"/>
        <v>0.32182897213797723</v>
      </c>
      <c r="M68" s="10">
        <f t="shared" si="11"/>
        <v>0.32258237618903601</v>
      </c>
      <c r="P68" s="8">
        <f t="shared" si="12"/>
        <v>0.1117697385334664</v>
      </c>
      <c r="U68" s="8">
        <v>32.5</v>
      </c>
      <c r="V68" s="10">
        <f t="shared" si="6"/>
        <v>0.3233317758141947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636.24236517219003</v>
      </c>
      <c r="E69">
        <v>278.40285899934997</v>
      </c>
      <c r="F69">
        <v>129.64410058026999</v>
      </c>
      <c r="G69">
        <v>114.33010960671</v>
      </c>
      <c r="I69" s="9">
        <f t="shared" si="8"/>
        <v>164.07274939263999</v>
      </c>
      <c r="J69" s="9">
        <f t="shared" si="9"/>
        <v>506.59826459192004</v>
      </c>
      <c r="K69" s="9">
        <f t="shared" si="10"/>
        <v>164.07274939263999</v>
      </c>
      <c r="L69" s="10">
        <f t="shared" si="7"/>
        <v>0.32387151883515719</v>
      </c>
      <c r="M69" s="10">
        <f t="shared" si="11"/>
        <v>0.3246363380991108</v>
      </c>
      <c r="P69" s="8">
        <f t="shared" si="12"/>
        <v>0.7492061794896423</v>
      </c>
      <c r="U69" s="8">
        <v>33</v>
      </c>
      <c r="V69" s="10">
        <f t="shared" si="6"/>
        <v>0.31873331179200015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626.96361273553998</v>
      </c>
      <c r="E70">
        <v>277.71345029240001</v>
      </c>
      <c r="F70">
        <v>129.77433913604</v>
      </c>
      <c r="G70">
        <v>114.10186976144</v>
      </c>
      <c r="I70" s="9">
        <f t="shared" si="8"/>
        <v>163.61158053096</v>
      </c>
      <c r="J70" s="9">
        <f t="shared" si="9"/>
        <v>497.18927359949998</v>
      </c>
      <c r="K70" s="9">
        <f t="shared" si="10"/>
        <v>163.61158053096</v>
      </c>
      <c r="L70" s="10">
        <f t="shared" si="7"/>
        <v>0.32907302956570572</v>
      </c>
      <c r="M70" s="10">
        <f t="shared" si="11"/>
        <v>0.32984926404255416</v>
      </c>
      <c r="P70" s="8">
        <f t="shared" si="12"/>
        <v>2.3670107473628899</v>
      </c>
      <c r="U70" s="8">
        <v>33.5</v>
      </c>
      <c r="V70" s="10">
        <f t="shared" si="6"/>
        <v>0.32182897213797723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626.26592977892994</v>
      </c>
      <c r="E71">
        <v>276.45578673602</v>
      </c>
      <c r="F71">
        <v>129.32559638942999</v>
      </c>
      <c r="G71">
        <v>114.17021276596</v>
      </c>
      <c r="I71" s="9">
        <f t="shared" si="8"/>
        <v>162.28557397006</v>
      </c>
      <c r="J71" s="9">
        <f t="shared" si="9"/>
        <v>496.94033338949998</v>
      </c>
      <c r="K71" s="9">
        <f t="shared" si="10"/>
        <v>162.28557397006</v>
      </c>
      <c r="L71" s="10">
        <f t="shared" si="7"/>
        <v>0.32656953574919662</v>
      </c>
      <c r="M71" s="10">
        <f t="shared" si="11"/>
        <v>0.32735718543893988</v>
      </c>
      <c r="P71" s="8">
        <f t="shared" si="12"/>
        <v>1.5936070596513288</v>
      </c>
      <c r="U71" s="8">
        <v>34</v>
      </c>
      <c r="V71" s="10">
        <f t="shared" si="6"/>
        <v>0.32387151883515719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617.11768530559004</v>
      </c>
      <c r="E72">
        <v>272.28478543563</v>
      </c>
      <c r="F72">
        <v>129.67698259188001</v>
      </c>
      <c r="G72">
        <v>114.17923920052</v>
      </c>
      <c r="I72" s="9">
        <f t="shared" si="8"/>
        <v>158.10554623511001</v>
      </c>
      <c r="J72" s="9">
        <f t="shared" si="9"/>
        <v>487.44070271371004</v>
      </c>
      <c r="K72" s="9">
        <f t="shared" si="10"/>
        <v>158.10554623511001</v>
      </c>
      <c r="L72" s="10">
        <f t="shared" si="7"/>
        <v>0.32435852269803289</v>
      </c>
      <c r="M72" s="10">
        <f t="shared" si="11"/>
        <v>0.32515758760067098</v>
      </c>
      <c r="P72" s="8">
        <f t="shared" si="12"/>
        <v>0.91097326265459078</v>
      </c>
      <c r="U72" s="8">
        <v>34.5</v>
      </c>
      <c r="V72" s="10">
        <f t="shared" si="6"/>
        <v>0.32907302956570572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629.294921875</v>
      </c>
      <c r="E73">
        <v>272.880859375</v>
      </c>
      <c r="F73">
        <v>129.76273372017999</v>
      </c>
      <c r="G73">
        <v>114.06254029658</v>
      </c>
      <c r="I73" s="9">
        <f t="shared" si="8"/>
        <v>158.81831907842002</v>
      </c>
      <c r="J73" s="9">
        <f t="shared" si="9"/>
        <v>499.53218815482001</v>
      </c>
      <c r="K73" s="9">
        <f t="shared" si="10"/>
        <v>158.81831907842002</v>
      </c>
      <c r="L73" s="10">
        <f t="shared" si="7"/>
        <v>0.31793410483729923</v>
      </c>
      <c r="M73" s="10">
        <f t="shared" si="11"/>
        <v>0.31874458495283214</v>
      </c>
      <c r="P73" s="8">
        <f t="shared" si="12"/>
        <v>-1.0792688950162297</v>
      </c>
      <c r="U73" s="8">
        <v>35</v>
      </c>
      <c r="V73" s="10">
        <f t="shared" si="6"/>
        <v>0.32656953574919662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628.87573194535003</v>
      </c>
      <c r="E74">
        <v>270.72413793102999</v>
      </c>
      <c r="F74">
        <v>129.84074790458001</v>
      </c>
      <c r="G74">
        <v>114.13668600903</v>
      </c>
      <c r="I74" s="9">
        <f t="shared" si="8"/>
        <v>156.58745192199999</v>
      </c>
      <c r="J74" s="9">
        <f t="shared" si="9"/>
        <v>499.03498404077004</v>
      </c>
      <c r="K74" s="9">
        <f t="shared" si="10"/>
        <v>156.58745192199999</v>
      </c>
      <c r="L74" s="10">
        <f t="shared" si="7"/>
        <v>0.31378051024416187</v>
      </c>
      <c r="M74" s="10">
        <f t="shared" si="11"/>
        <v>0.31460240557258962</v>
      </c>
      <c r="P74" s="8">
        <f t="shared" si="12"/>
        <v>-2.3647728125877667</v>
      </c>
      <c r="U74" s="8">
        <v>35.5</v>
      </c>
      <c r="V74" s="10">
        <f t="shared" si="6"/>
        <v>0.32435852269803289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638.44180064309</v>
      </c>
      <c r="E75">
        <v>274.20321543407999</v>
      </c>
      <c r="F75">
        <v>129.44036105737999</v>
      </c>
      <c r="G75">
        <v>114.32301740811999</v>
      </c>
      <c r="I75" s="9">
        <f t="shared" si="8"/>
        <v>159.88019802596</v>
      </c>
      <c r="J75" s="9">
        <f t="shared" si="9"/>
        <v>509.00143958571005</v>
      </c>
      <c r="K75" s="9">
        <f t="shared" si="10"/>
        <v>159.88019802596</v>
      </c>
      <c r="L75" s="10">
        <f t="shared" si="7"/>
        <v>0.31410559104919389</v>
      </c>
      <c r="M75" s="10">
        <f t="shared" si="11"/>
        <v>0.31493890159051646</v>
      </c>
      <c r="P75" s="8">
        <f t="shared" si="12"/>
        <v>-2.2603430161971394</v>
      </c>
      <c r="U75" s="8">
        <v>36</v>
      </c>
      <c r="V75" s="10">
        <f t="shared" si="6"/>
        <v>0.31793410483729923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648.58135048231998</v>
      </c>
      <c r="E76">
        <v>279.86430868167002</v>
      </c>
      <c r="F76">
        <v>129.53062540297</v>
      </c>
      <c r="G76">
        <v>114.07156673114</v>
      </c>
      <c r="I76" s="9">
        <f t="shared" si="8"/>
        <v>165.79274195053003</v>
      </c>
      <c r="J76" s="9">
        <f t="shared" si="9"/>
        <v>519.05072507934995</v>
      </c>
      <c r="K76" s="9">
        <f t="shared" si="10"/>
        <v>165.79274195053003</v>
      </c>
      <c r="L76" s="10">
        <f t="shared" si="7"/>
        <v>0.31941529785009826</v>
      </c>
      <c r="M76" s="10">
        <f t="shared" si="11"/>
        <v>0.32026002360431566</v>
      </c>
      <c r="P76" s="8">
        <f t="shared" si="12"/>
        <v>-0.60896035825572803</v>
      </c>
      <c r="U76" s="8">
        <v>36.5</v>
      </c>
      <c r="V76" s="10">
        <f t="shared" si="6"/>
        <v>0.31378051024416187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655.42392717815005</v>
      </c>
      <c r="E77">
        <v>282.03576072822</v>
      </c>
      <c r="F77">
        <v>129.60928433269001</v>
      </c>
      <c r="G77">
        <v>114.45647969052</v>
      </c>
      <c r="I77" s="9">
        <f t="shared" si="8"/>
        <v>167.57928103770001</v>
      </c>
      <c r="J77" s="9">
        <f t="shared" si="9"/>
        <v>525.81464284546007</v>
      </c>
      <c r="K77" s="9">
        <f t="shared" si="10"/>
        <v>167.57928103770001</v>
      </c>
      <c r="L77" s="10">
        <f t="shared" si="7"/>
        <v>0.31870409719067583</v>
      </c>
      <c r="M77" s="10">
        <f t="shared" si="11"/>
        <v>0.31956023815778806</v>
      </c>
      <c r="P77" s="8">
        <f t="shared" si="12"/>
        <v>-0.82613514727177195</v>
      </c>
      <c r="U77" s="8">
        <v>37</v>
      </c>
      <c r="V77" s="10">
        <f t="shared" si="6"/>
        <v>0.31410559104919389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651.37061118335998</v>
      </c>
      <c r="E78">
        <v>284.0188556567</v>
      </c>
      <c r="F78">
        <v>129.39587362992</v>
      </c>
      <c r="G78">
        <v>113.95293359123001</v>
      </c>
      <c r="I78" s="9">
        <f t="shared" si="8"/>
        <v>170.06592206546998</v>
      </c>
      <c r="J78" s="9">
        <f t="shared" si="9"/>
        <v>521.97473755344004</v>
      </c>
      <c r="K78" s="9">
        <f t="shared" si="10"/>
        <v>170.06592206546998</v>
      </c>
      <c r="L78" s="10">
        <f t="shared" si="7"/>
        <v>0.3258125534246924</v>
      </c>
      <c r="M78" s="10">
        <f t="shared" si="11"/>
        <v>0.32668010960469945</v>
      </c>
      <c r="P78" s="8">
        <f t="shared" si="12"/>
        <v>1.3834800811914718</v>
      </c>
      <c r="U78" s="8">
        <v>37.5</v>
      </c>
      <c r="V78" s="10">
        <f t="shared" si="6"/>
        <v>0.31941529785009826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658.95652173913004</v>
      </c>
      <c r="E79">
        <v>285.06878650226997</v>
      </c>
      <c r="F79">
        <v>129.19084461637999</v>
      </c>
      <c r="G79">
        <v>114.18568665377001</v>
      </c>
      <c r="I79" s="9">
        <f t="shared" si="8"/>
        <v>170.88309984849997</v>
      </c>
      <c r="J79" s="9">
        <f t="shared" si="9"/>
        <v>529.76567712275005</v>
      </c>
      <c r="K79" s="9">
        <f t="shared" si="10"/>
        <v>170.88309984849997</v>
      </c>
      <c r="L79" s="10">
        <f t="shared" si="7"/>
        <v>0.32256355446920598</v>
      </c>
      <c r="M79" s="10">
        <f t="shared" si="11"/>
        <v>0.32344252586210787</v>
      </c>
      <c r="P79" s="8">
        <f t="shared" si="12"/>
        <v>0.3787127347025514</v>
      </c>
      <c r="U79" s="8">
        <v>38</v>
      </c>
      <c r="V79" s="10">
        <f t="shared" si="6"/>
        <v>0.31870409719067583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649.83745123537005</v>
      </c>
      <c r="E80">
        <v>284.29973992198001</v>
      </c>
      <c r="F80">
        <v>129.45390070921999</v>
      </c>
      <c r="G80">
        <v>114.23920051579999</v>
      </c>
      <c r="I80" s="9">
        <f t="shared" si="8"/>
        <v>170.06053940618</v>
      </c>
      <c r="J80" s="9">
        <f t="shared" si="9"/>
        <v>520.38355052615009</v>
      </c>
      <c r="K80" s="9">
        <f t="shared" si="10"/>
        <v>170.06053940618</v>
      </c>
      <c r="L80" s="10">
        <f t="shared" si="7"/>
        <v>0.32679845324517842</v>
      </c>
      <c r="M80" s="10">
        <f t="shared" si="11"/>
        <v>0.32768883985097513</v>
      </c>
      <c r="P80" s="8">
        <f t="shared" si="12"/>
        <v>1.696534288729042</v>
      </c>
      <c r="U80" s="8">
        <v>38.5</v>
      </c>
      <c r="V80" s="10">
        <f t="shared" si="6"/>
        <v>0.3258125534246924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642.52182410422995</v>
      </c>
      <c r="E81">
        <v>281.3986970684</v>
      </c>
      <c r="F81">
        <v>129.3803997421</v>
      </c>
      <c r="G81">
        <v>114.33655705996</v>
      </c>
      <c r="I81" s="9">
        <f t="shared" si="8"/>
        <v>167.06214000844</v>
      </c>
      <c r="J81" s="9">
        <f t="shared" si="9"/>
        <v>513.14142436213001</v>
      </c>
      <c r="K81" s="9">
        <f t="shared" si="10"/>
        <v>167.06214000844</v>
      </c>
      <c r="L81" s="10">
        <f t="shared" si="7"/>
        <v>0.32556744023562256</v>
      </c>
      <c r="M81" s="10">
        <f t="shared" si="11"/>
        <v>0.3264692420543141</v>
      </c>
      <c r="P81" s="8">
        <f t="shared" si="12"/>
        <v>1.3180384290500786</v>
      </c>
      <c r="U81" s="8">
        <v>39</v>
      </c>
      <c r="V81" s="10">
        <f t="shared" si="6"/>
        <v>0.32256355446920598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645.08625162126998</v>
      </c>
      <c r="E82">
        <v>281.18482490271998</v>
      </c>
      <c r="F82">
        <v>129.77949709865001</v>
      </c>
      <c r="G82">
        <v>113.88716956802</v>
      </c>
      <c r="H82" s="13"/>
      <c r="I82" s="14">
        <f t="shared" si="8"/>
        <v>167.29765533469998</v>
      </c>
      <c r="J82" s="14">
        <f t="shared" si="9"/>
        <v>515.30675452261994</v>
      </c>
      <c r="K82" s="9">
        <f t="shared" si="10"/>
        <v>167.29765533469998</v>
      </c>
      <c r="L82" s="15">
        <f t="shared" si="7"/>
        <v>0.32465643787200982</v>
      </c>
      <c r="M82" s="15">
        <f t="shared" si="11"/>
        <v>0.32556965490359624</v>
      </c>
      <c r="N82" s="13"/>
      <c r="O82" s="13"/>
      <c r="P82" s="13">
        <f t="shared" si="12"/>
        <v>1.0388562159472943</v>
      </c>
      <c r="U82" s="8">
        <v>39.5</v>
      </c>
      <c r="V82" s="10">
        <f t="shared" si="6"/>
        <v>0.32679845324517842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648.53259452411999</v>
      </c>
      <c r="E83">
        <v>279.41329856584002</v>
      </c>
      <c r="F83">
        <v>129.52546744035999</v>
      </c>
      <c r="G83">
        <v>114.13281753707</v>
      </c>
      <c r="I83" s="9">
        <f t="shared" si="8"/>
        <v>165.28048102877003</v>
      </c>
      <c r="J83" s="9">
        <f t="shared" si="9"/>
        <v>519.00712708376</v>
      </c>
      <c r="K83" s="9">
        <f t="shared" si="10"/>
        <v>165.28048102877003</v>
      </c>
      <c r="L83" s="10">
        <f t="shared" si="7"/>
        <v>0.31845512788516339</v>
      </c>
      <c r="M83" s="10">
        <f t="shared" si="11"/>
        <v>0.31937976012964464</v>
      </c>
      <c r="P83" s="8">
        <f t="shared" si="12"/>
        <v>-0.88214556857814308</v>
      </c>
      <c r="U83" s="8">
        <v>40</v>
      </c>
      <c r="V83" s="10">
        <f t="shared" si="6"/>
        <v>0.32556744023562256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648.64373783257997</v>
      </c>
      <c r="E84">
        <v>278.63984425697998</v>
      </c>
      <c r="F84">
        <v>129.05609284332999</v>
      </c>
      <c r="G84">
        <v>113.98388136686</v>
      </c>
      <c r="I84" s="9">
        <f t="shared" si="8"/>
        <v>164.65596289011998</v>
      </c>
      <c r="J84" s="9">
        <f t="shared" si="9"/>
        <v>519.58764498924995</v>
      </c>
      <c r="K84" s="9">
        <f t="shared" si="10"/>
        <v>164.65596289011998</v>
      </c>
      <c r="L84" s="10">
        <f t="shared" si="7"/>
        <v>0.31689737906205728</v>
      </c>
      <c r="M84" s="10">
        <f t="shared" si="11"/>
        <v>0.31783342651943336</v>
      </c>
      <c r="P84" s="8">
        <f t="shared" si="12"/>
        <v>-1.3620421957692987</v>
      </c>
      <c r="U84" s="8">
        <v>150.5</v>
      </c>
      <c r="V84" s="10">
        <f>L302</f>
        <v>0.31431352199810014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654.93782722513004</v>
      </c>
      <c r="E85">
        <v>285.60209424084002</v>
      </c>
      <c r="F85">
        <v>129.65635074145999</v>
      </c>
      <c r="G85">
        <v>114.18375241779999</v>
      </c>
      <c r="I85" s="9">
        <f t="shared" si="8"/>
        <v>171.41834182304001</v>
      </c>
      <c r="J85" s="9">
        <f t="shared" si="9"/>
        <v>525.28147648367008</v>
      </c>
      <c r="K85" s="9">
        <f t="shared" si="10"/>
        <v>171.41834182304001</v>
      </c>
      <c r="L85" s="10">
        <f t="shared" si="7"/>
        <v>0.3263361635566242</v>
      </c>
      <c r="M85" s="10">
        <f t="shared" si="11"/>
        <v>0.32728362622689511</v>
      </c>
      <c r="P85" s="8">
        <f t="shared" si="12"/>
        <v>1.5707783391695294</v>
      </c>
      <c r="U85" s="8">
        <v>151</v>
      </c>
      <c r="V85" s="10">
        <f t="shared" ref="V85:V103" si="13">L303</f>
        <v>0.3168035038696933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646.51629726205999</v>
      </c>
      <c r="E86">
        <v>286.97588005214999</v>
      </c>
      <c r="F86">
        <v>128.94132817536999</v>
      </c>
      <c r="G86">
        <v>113.96324951644</v>
      </c>
      <c r="I86" s="9">
        <f t="shared" si="8"/>
        <v>173.01263053571</v>
      </c>
      <c r="J86" s="9">
        <f t="shared" si="9"/>
        <v>517.57496908668998</v>
      </c>
      <c r="K86" s="9">
        <f t="shared" si="10"/>
        <v>173.01263053571</v>
      </c>
      <c r="L86" s="10">
        <f t="shared" si="7"/>
        <v>0.33427549798439282</v>
      </c>
      <c r="M86" s="10">
        <f t="shared" si="11"/>
        <v>0.33523437586755855</v>
      </c>
      <c r="P86" s="8">
        <f t="shared" si="12"/>
        <v>4.0382523117971765</v>
      </c>
      <c r="U86" s="8">
        <v>151.5</v>
      </c>
      <c r="V86" s="10">
        <f t="shared" si="13"/>
        <v>0.32138240582317534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643.31945348081001</v>
      </c>
      <c r="E87">
        <v>280.22836694860001</v>
      </c>
      <c r="F87">
        <v>129.58091553835999</v>
      </c>
      <c r="G87">
        <v>113.82785299807</v>
      </c>
      <c r="I87" s="9">
        <f t="shared" si="8"/>
        <v>166.40051395053001</v>
      </c>
      <c r="J87" s="9">
        <f t="shared" si="9"/>
        <v>513.73853794244997</v>
      </c>
      <c r="K87" s="9">
        <f t="shared" si="10"/>
        <v>166.40051395053001</v>
      </c>
      <c r="L87" s="10">
        <f t="shared" si="7"/>
        <v>0.32390117085039577</v>
      </c>
      <c r="M87" s="10">
        <f t="shared" si="11"/>
        <v>0.32487146394645633</v>
      </c>
      <c r="P87" s="8">
        <f t="shared" si="12"/>
        <v>0.8221762684545747</v>
      </c>
      <c r="U87" s="8">
        <v>152</v>
      </c>
      <c r="V87" s="10">
        <f t="shared" si="13"/>
        <v>0.32153001415047211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636.39144523655</v>
      </c>
      <c r="E88">
        <v>279.67206740117001</v>
      </c>
      <c r="F88">
        <v>129.56802063185</v>
      </c>
      <c r="G88">
        <v>114.22308188266</v>
      </c>
      <c r="I88" s="9">
        <f t="shared" si="8"/>
        <v>165.44898551851003</v>
      </c>
      <c r="J88" s="9">
        <f t="shared" si="9"/>
        <v>506.82342460469999</v>
      </c>
      <c r="K88" s="9">
        <f t="shared" si="10"/>
        <v>165.44898551851003</v>
      </c>
      <c r="L88" s="10">
        <f t="shared" si="7"/>
        <v>0.32644305193184975</v>
      </c>
      <c r="M88" s="10">
        <f t="shared" si="11"/>
        <v>0.32742476024080513</v>
      </c>
      <c r="P88" s="8">
        <f t="shared" si="12"/>
        <v>1.6145785494282441</v>
      </c>
      <c r="U88" s="8">
        <v>152.5</v>
      </c>
      <c r="V88" s="10">
        <f t="shared" si="13"/>
        <v>0.31649475560241508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648.54050550875002</v>
      </c>
      <c r="E89">
        <v>283.56448476993</v>
      </c>
      <c r="F89">
        <v>129.26756931012</v>
      </c>
      <c r="G89">
        <v>113.84397163121</v>
      </c>
      <c r="I89" s="9">
        <f t="shared" si="8"/>
        <v>169.72051313872001</v>
      </c>
      <c r="J89" s="9">
        <f t="shared" si="9"/>
        <v>519.27293619863008</v>
      </c>
      <c r="K89" s="9">
        <f t="shared" si="10"/>
        <v>169.72051313872001</v>
      </c>
      <c r="L89" s="10">
        <f t="shared" si="7"/>
        <v>0.32684259337906113</v>
      </c>
      <c r="M89" s="10">
        <f t="shared" si="11"/>
        <v>0.32783571690091134</v>
      </c>
      <c r="P89" s="8">
        <f t="shared" si="12"/>
        <v>1.7421168204742736</v>
      </c>
      <c r="U89" s="8">
        <v>153</v>
      </c>
      <c r="V89" s="10">
        <f t="shared" si="13"/>
        <v>0.31343820085975033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639.92741412832004</v>
      </c>
      <c r="E90">
        <v>280.64225534673</v>
      </c>
      <c r="F90">
        <v>129.33333333332999</v>
      </c>
      <c r="G90">
        <v>114.16698903933001</v>
      </c>
      <c r="I90" s="9">
        <f t="shared" si="8"/>
        <v>166.47526630739998</v>
      </c>
      <c r="J90" s="9">
        <f t="shared" si="9"/>
        <v>510.59408079499008</v>
      </c>
      <c r="K90" s="9">
        <f t="shared" si="10"/>
        <v>166.47526630739998</v>
      </c>
      <c r="L90" s="10">
        <f t="shared" si="7"/>
        <v>0.32604229576692229</v>
      </c>
      <c r="M90" s="10">
        <f t="shared" si="11"/>
        <v>0.32704683450166733</v>
      </c>
      <c r="P90" s="8">
        <f t="shared" si="12"/>
        <v>1.4972912536317193</v>
      </c>
      <c r="U90" s="8">
        <v>153.5</v>
      </c>
      <c r="V90" s="10">
        <f t="shared" si="13"/>
        <v>0.31550082389163248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651.759765625</v>
      </c>
      <c r="E91">
        <v>300.90755208333002</v>
      </c>
      <c r="F91">
        <v>129.44165054803</v>
      </c>
      <c r="G91">
        <v>114.25789813023999</v>
      </c>
      <c r="I91" s="9">
        <f t="shared" si="8"/>
        <v>186.64965395309002</v>
      </c>
      <c r="J91" s="9">
        <f t="shared" si="9"/>
        <v>522.31811507697</v>
      </c>
      <c r="K91" s="9">
        <f t="shared" si="10"/>
        <v>186.64965395309002</v>
      </c>
      <c r="L91" s="10">
        <f t="shared" si="7"/>
        <v>0.35734861297235476</v>
      </c>
      <c r="M91" s="10">
        <f t="shared" si="11"/>
        <v>0.35836456691999463</v>
      </c>
      <c r="P91" s="8">
        <f t="shared" si="12"/>
        <v>11.216587309530604</v>
      </c>
      <c r="U91" s="8">
        <v>154</v>
      </c>
      <c r="V91" s="10">
        <f t="shared" si="13"/>
        <v>0.31434103281643389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661.791015625</v>
      </c>
      <c r="E92">
        <v>354.384765625</v>
      </c>
      <c r="F92">
        <v>129.56866537718</v>
      </c>
      <c r="G92">
        <v>114.31656995487</v>
      </c>
      <c r="I92" s="9">
        <f t="shared" si="8"/>
        <v>240.06819567013</v>
      </c>
      <c r="J92" s="9">
        <f t="shared" si="9"/>
        <v>532.22235024782003</v>
      </c>
      <c r="K92" s="9">
        <f t="shared" si="10"/>
        <v>240.06819567013</v>
      </c>
      <c r="L92" s="10">
        <f t="shared" si="7"/>
        <v>0.45106748252557682</v>
      </c>
      <c r="M92" s="10">
        <f t="shared" si="11"/>
        <v>0.45209485168611152</v>
      </c>
      <c r="P92" s="8">
        <f t="shared" si="12"/>
        <v>40.305295740811587</v>
      </c>
      <c r="U92" s="8">
        <v>154.5</v>
      </c>
      <c r="V92" s="10">
        <f t="shared" si="13"/>
        <v>0.31272518423074169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678.85546875</v>
      </c>
      <c r="E93">
        <v>438.47721354166998</v>
      </c>
      <c r="F93">
        <v>129.72856221792</v>
      </c>
      <c r="G93">
        <v>114.68149580916</v>
      </c>
      <c r="I93" s="9">
        <f t="shared" si="8"/>
        <v>323.79571773250996</v>
      </c>
      <c r="J93" s="9">
        <f t="shared" si="9"/>
        <v>549.12690653208006</v>
      </c>
      <c r="K93" s="9">
        <f t="shared" si="10"/>
        <v>323.79571773250996</v>
      </c>
      <c r="L93" s="10">
        <f t="shared" si="7"/>
        <v>0.58965553113648739</v>
      </c>
      <c r="M93" s="10">
        <f t="shared" si="11"/>
        <v>0.59069431550991691</v>
      </c>
      <c r="P93" s="8">
        <f t="shared" si="12"/>
        <v>83.318921507154997</v>
      </c>
      <c r="U93" s="8">
        <v>155</v>
      </c>
      <c r="V93" s="10">
        <f t="shared" si="13"/>
        <v>0.31175429389829584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693.81314432989996</v>
      </c>
      <c r="E94">
        <v>515.07538659794</v>
      </c>
      <c r="F94">
        <v>130.00257898129999</v>
      </c>
      <c r="G94">
        <v>114.42359767892</v>
      </c>
      <c r="I94" s="9">
        <f t="shared" si="8"/>
        <v>400.65178891901996</v>
      </c>
      <c r="J94" s="9">
        <f t="shared" si="9"/>
        <v>563.81056534859999</v>
      </c>
      <c r="K94" s="9">
        <f t="shared" si="10"/>
        <v>400.65178891901996</v>
      </c>
      <c r="L94" s="10">
        <f t="shared" si="7"/>
        <v>0.71061419125996661</v>
      </c>
      <c r="M94" s="10">
        <f t="shared" si="11"/>
        <v>0.71166439084629096</v>
      </c>
      <c r="P94" s="8">
        <f t="shared" si="12"/>
        <v>120.86135786217538</v>
      </c>
      <c r="U94" s="8">
        <v>155.5</v>
      </c>
      <c r="V94" s="10">
        <f t="shared" si="13"/>
        <v>0.31314015066791706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675.12628865979002</v>
      </c>
      <c r="E95">
        <v>530.20360824741999</v>
      </c>
      <c r="F95">
        <v>130.28691166989</v>
      </c>
      <c r="G95">
        <v>114.23017408123999</v>
      </c>
      <c r="I95" s="9">
        <f t="shared" si="8"/>
        <v>415.97343416618003</v>
      </c>
      <c r="J95" s="9">
        <f t="shared" si="9"/>
        <v>544.83937698990007</v>
      </c>
      <c r="K95" s="9">
        <f t="shared" si="10"/>
        <v>415.97343416618003</v>
      </c>
      <c r="L95" s="10">
        <f t="shared" si="7"/>
        <v>0.76347902103612297</v>
      </c>
      <c r="M95" s="10">
        <f t="shared" si="11"/>
        <v>0.76454063583534215</v>
      </c>
      <c r="P95" s="8">
        <f t="shared" si="12"/>
        <v>137.27122663901184</v>
      </c>
      <c r="U95" s="8">
        <v>156</v>
      </c>
      <c r="V95" s="10">
        <f t="shared" si="13"/>
        <v>0.31212998429874411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707.82653721683005</v>
      </c>
      <c r="E96">
        <v>615.79029126214004</v>
      </c>
      <c r="F96">
        <v>129.50354609928999</v>
      </c>
      <c r="G96">
        <v>114.33139909736001</v>
      </c>
      <c r="I96" s="9">
        <f t="shared" si="8"/>
        <v>501.45889216478002</v>
      </c>
      <c r="J96" s="9">
        <f t="shared" si="9"/>
        <v>578.32299111754003</v>
      </c>
      <c r="K96" s="9">
        <f t="shared" si="10"/>
        <v>501.45889216478002</v>
      </c>
      <c r="L96" s="10">
        <f t="shared" si="7"/>
        <v>0.86709140024983389</v>
      </c>
      <c r="M96" s="10">
        <f t="shared" si="11"/>
        <v>0.86816443026194789</v>
      </c>
      <c r="P96" s="8">
        <f t="shared" si="12"/>
        <v>169.4303345531722</v>
      </c>
      <c r="U96" s="8">
        <v>156.5</v>
      </c>
      <c r="V96" s="10">
        <f t="shared" si="13"/>
        <v>0.31567014016335104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720.46343042070998</v>
      </c>
      <c r="E97">
        <v>668.60906148867002</v>
      </c>
      <c r="F97">
        <v>129.75370728562001</v>
      </c>
      <c r="G97">
        <v>114.71115409412999</v>
      </c>
      <c r="I97" s="9">
        <f t="shared" si="8"/>
        <v>553.89790739453997</v>
      </c>
      <c r="J97" s="9">
        <f t="shared" si="9"/>
        <v>590.70972313508992</v>
      </c>
      <c r="K97" s="9">
        <f t="shared" si="10"/>
        <v>553.89790739453997</v>
      </c>
      <c r="L97" s="10">
        <f t="shared" si="7"/>
        <v>0.93768205550235806</v>
      </c>
      <c r="M97" s="10">
        <f t="shared" si="11"/>
        <v>0.93876650072736689</v>
      </c>
      <c r="P97" s="8">
        <f t="shared" si="12"/>
        <v>191.34132146138373</v>
      </c>
      <c r="U97" s="8">
        <v>157</v>
      </c>
      <c r="V97" s="10">
        <f t="shared" si="13"/>
        <v>0.31632087720416424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739.58187702265002</v>
      </c>
      <c r="E98">
        <v>715.68673139159</v>
      </c>
      <c r="F98">
        <v>130.09993552546999</v>
      </c>
      <c r="G98">
        <v>114.64796905222001</v>
      </c>
      <c r="I98" s="9">
        <f t="shared" si="8"/>
        <v>601.03876233937001</v>
      </c>
      <c r="J98" s="9">
        <f t="shared" si="9"/>
        <v>609.48194149718006</v>
      </c>
      <c r="K98" s="9">
        <f t="shared" si="10"/>
        <v>601.03876233937001</v>
      </c>
      <c r="L98" s="10">
        <f t="shared" si="7"/>
        <v>0.98614695763246152</v>
      </c>
      <c r="M98" s="10">
        <f t="shared" si="11"/>
        <v>0.98724281807036518</v>
      </c>
      <c r="P98" s="8">
        <f t="shared" si="12"/>
        <v>206.38569548127873</v>
      </c>
      <c r="U98" s="8">
        <v>157.5</v>
      </c>
      <c r="V98" s="10">
        <f t="shared" si="13"/>
        <v>0.31671403861891295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741.44595469256001</v>
      </c>
      <c r="E99">
        <v>727.10614886731003</v>
      </c>
      <c r="F99">
        <v>129.61702127660001</v>
      </c>
      <c r="G99">
        <v>114.72856221792</v>
      </c>
      <c r="I99" s="9">
        <f t="shared" si="8"/>
        <v>612.37758664938997</v>
      </c>
      <c r="J99" s="9">
        <f t="shared" si="9"/>
        <v>611.82893341596002</v>
      </c>
      <c r="K99" s="9">
        <f t="shared" si="10"/>
        <v>612.37758664938997</v>
      </c>
      <c r="L99" s="10">
        <f t="shared" si="7"/>
        <v>1.0008967428695579</v>
      </c>
      <c r="M99" s="10">
        <f t="shared" si="11"/>
        <v>1.0020040185203565</v>
      </c>
      <c r="P99" s="8">
        <f t="shared" si="12"/>
        <v>210.96675759004029</v>
      </c>
      <c r="U99" s="8">
        <v>158</v>
      </c>
      <c r="V99" s="10">
        <f t="shared" si="13"/>
        <v>0.32376996134759889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749.47313915858001</v>
      </c>
      <c r="E100">
        <v>722.53592233009999</v>
      </c>
      <c r="F100">
        <v>130.06060606061001</v>
      </c>
      <c r="G100">
        <v>114.25660863959</v>
      </c>
      <c r="I100" s="9">
        <f t="shared" si="8"/>
        <v>608.27931369050998</v>
      </c>
      <c r="J100" s="9">
        <f t="shared" si="9"/>
        <v>619.41253309797003</v>
      </c>
      <c r="K100" s="9">
        <f t="shared" si="10"/>
        <v>608.27931369050998</v>
      </c>
      <c r="L100" s="10">
        <f t="shared" si="7"/>
        <v>0.9820261638043104</v>
      </c>
      <c r="M100" s="10">
        <f t="shared" si="11"/>
        <v>0.98314485466800372</v>
      </c>
      <c r="P100" s="8">
        <f t="shared" si="12"/>
        <v>205.11391376344014</v>
      </c>
      <c r="U100" s="8">
        <v>158.5</v>
      </c>
      <c r="V100" s="10">
        <f t="shared" si="13"/>
        <v>0.32487307015100181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749.25614489003999</v>
      </c>
      <c r="E101">
        <v>704.18305304010005</v>
      </c>
      <c r="F101">
        <v>129.67569310123</v>
      </c>
      <c r="G101">
        <v>114.24887169567999</v>
      </c>
      <c r="I101" s="9">
        <f t="shared" si="8"/>
        <v>589.93418134442004</v>
      </c>
      <c r="J101" s="9">
        <f t="shared" si="9"/>
        <v>619.58045178881002</v>
      </c>
      <c r="K101" s="9">
        <f t="shared" si="10"/>
        <v>589.93418134442004</v>
      </c>
      <c r="L101" s="10">
        <f t="shared" si="7"/>
        <v>0.95215105583335091</v>
      </c>
      <c r="M101" s="10">
        <f t="shared" si="11"/>
        <v>0.95328116190993906</v>
      </c>
      <c r="P101" s="8">
        <f t="shared" si="12"/>
        <v>195.84587138537267</v>
      </c>
      <c r="U101" s="8">
        <v>159</v>
      </c>
      <c r="V101" s="10">
        <f t="shared" si="13"/>
        <v>0.32696643789183072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748.56403622251003</v>
      </c>
      <c r="E102">
        <v>688.70763260026001</v>
      </c>
      <c r="F102">
        <v>129.49709864604</v>
      </c>
      <c r="G102">
        <v>114.26885880077</v>
      </c>
      <c r="I102" s="9">
        <f t="shared" si="8"/>
        <v>574.43877379949004</v>
      </c>
      <c r="J102" s="9">
        <f t="shared" si="9"/>
        <v>619.06693757647008</v>
      </c>
      <c r="K102" s="9">
        <f t="shared" si="10"/>
        <v>574.43877379949004</v>
      </c>
      <c r="L102" s="10">
        <f t="shared" si="7"/>
        <v>0.92791060050518792</v>
      </c>
      <c r="M102" s="10">
        <f t="shared" si="11"/>
        <v>0.92905212179467089</v>
      </c>
      <c r="P102" s="8">
        <f t="shared" si="12"/>
        <v>188.32651427212485</v>
      </c>
      <c r="U102" s="8">
        <v>159.5</v>
      </c>
      <c r="V102" s="10">
        <f t="shared" si="13"/>
        <v>0.33146051111182528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734.21693811074999</v>
      </c>
      <c r="E103">
        <v>648.57654723126996</v>
      </c>
      <c r="F103">
        <v>129.52740167633999</v>
      </c>
      <c r="G103">
        <v>114.34945196647</v>
      </c>
      <c r="I103" s="9">
        <f t="shared" si="8"/>
        <v>534.22709526479991</v>
      </c>
      <c r="J103" s="9">
        <f t="shared" si="9"/>
        <v>604.68953643441</v>
      </c>
      <c r="K103" s="9">
        <f t="shared" si="10"/>
        <v>534.22709526479991</v>
      </c>
      <c r="L103" s="10">
        <f t="shared" si="7"/>
        <v>0.88347335793985071</v>
      </c>
      <c r="M103" s="10">
        <f t="shared" si="11"/>
        <v>0.88462629444222851</v>
      </c>
      <c r="P103" s="8">
        <f t="shared" si="12"/>
        <v>174.53918884258789</v>
      </c>
      <c r="U103" s="8">
        <v>160</v>
      </c>
      <c r="V103" s="10">
        <f t="shared" si="13"/>
        <v>0.33010332825245076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726.55361757106004</v>
      </c>
      <c r="E104">
        <v>621.87532299741997</v>
      </c>
      <c r="F104">
        <v>129.41263700837999</v>
      </c>
      <c r="G104">
        <v>114.18826563507</v>
      </c>
      <c r="I104" s="9">
        <f t="shared" si="8"/>
        <v>507.68705736234995</v>
      </c>
      <c r="J104" s="9">
        <f t="shared" si="9"/>
        <v>597.14098056268006</v>
      </c>
      <c r="K104" s="9">
        <f t="shared" si="10"/>
        <v>507.68705736234995</v>
      </c>
      <c r="L104" s="10">
        <f t="shared" si="7"/>
        <v>0.85019630855675232</v>
      </c>
      <c r="M104" s="10">
        <f t="shared" si="11"/>
        <v>0.85136066027202495</v>
      </c>
      <c r="P104" s="8">
        <f t="shared" si="12"/>
        <v>164.21537156652525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714.47286821704995</v>
      </c>
      <c r="E105">
        <v>597.24418604650998</v>
      </c>
      <c r="F105">
        <v>129.40941328175001</v>
      </c>
      <c r="G105">
        <v>113.79948420373999</v>
      </c>
      <c r="I105" s="9">
        <f t="shared" si="8"/>
        <v>483.44470184276997</v>
      </c>
      <c r="J105" s="9">
        <f t="shared" si="9"/>
        <v>585.06345493529989</v>
      </c>
      <c r="K105" s="9">
        <f t="shared" si="10"/>
        <v>483.44470184276997</v>
      </c>
      <c r="L105" s="10">
        <f t="shared" si="7"/>
        <v>0.82631156973602538</v>
      </c>
      <c r="M105" s="10">
        <f t="shared" si="11"/>
        <v>0.82748733666419283</v>
      </c>
      <c r="P105" s="8">
        <f t="shared" si="12"/>
        <v>156.80640922904087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705.18952134540996</v>
      </c>
      <c r="E106">
        <v>568.17335058214996</v>
      </c>
      <c r="F106">
        <v>129.29464861380001</v>
      </c>
      <c r="G106">
        <v>114.21792392005</v>
      </c>
      <c r="I106" s="9">
        <f t="shared" si="8"/>
        <v>453.95542666209997</v>
      </c>
      <c r="J106" s="9">
        <f t="shared" si="9"/>
        <v>575.89487273160989</v>
      </c>
      <c r="K106" s="9">
        <f t="shared" si="10"/>
        <v>453.95542666209997</v>
      </c>
      <c r="L106" s="10">
        <f t="shared" si="7"/>
        <v>0.78826092774342416</v>
      </c>
      <c r="M106" s="10">
        <f t="shared" si="11"/>
        <v>0.78944810988448644</v>
      </c>
      <c r="P106" s="8">
        <f t="shared" si="12"/>
        <v>145.00113220990761</v>
      </c>
      <c r="X106" s="8">
        <v>-13</v>
      </c>
    </row>
    <row r="107" spans="1:25" x14ac:dyDescent="0.2">
      <c r="A107" s="8">
        <v>52.5</v>
      </c>
      <c r="B107" s="8">
        <v>105</v>
      </c>
      <c r="D107">
        <v>695.01228978007998</v>
      </c>
      <c r="E107">
        <v>540.44501940492</v>
      </c>
      <c r="F107">
        <v>129.30689877498</v>
      </c>
      <c r="G107">
        <v>114.20502901354</v>
      </c>
      <c r="I107" s="9">
        <f t="shared" si="8"/>
        <v>426.23999039137999</v>
      </c>
      <c r="J107" s="9">
        <f t="shared" si="9"/>
        <v>565.70539100509995</v>
      </c>
      <c r="K107" s="9">
        <f t="shared" si="10"/>
        <v>426.23999039137999</v>
      </c>
      <c r="L107" s="10">
        <f t="shared" si="7"/>
        <v>0.75346637519941428</v>
      </c>
      <c r="M107" s="10">
        <f t="shared" si="11"/>
        <v>0.75466497255337139</v>
      </c>
      <c r="P107" s="8">
        <f t="shared" si="12"/>
        <v>134.20636568727596</v>
      </c>
      <c r="X107" s="8">
        <v>-13</v>
      </c>
    </row>
    <row r="108" spans="1:25" x14ac:dyDescent="0.2">
      <c r="A108" s="8">
        <v>53</v>
      </c>
      <c r="B108" s="8">
        <v>106</v>
      </c>
      <c r="D108">
        <v>694.77012987012995</v>
      </c>
      <c r="E108">
        <v>531.53246753247004</v>
      </c>
      <c r="F108">
        <v>129.57253384913</v>
      </c>
      <c r="G108">
        <v>114.11154094133001</v>
      </c>
      <c r="I108" s="9">
        <f t="shared" si="8"/>
        <v>417.42092659114002</v>
      </c>
      <c r="J108" s="9">
        <f t="shared" si="9"/>
        <v>565.19759602099998</v>
      </c>
      <c r="K108" s="9">
        <f t="shared" si="10"/>
        <v>417.42092659114002</v>
      </c>
      <c r="L108" s="10">
        <f t="shared" si="7"/>
        <v>0.73853981250060141</v>
      </c>
      <c r="M108" s="10">
        <f t="shared" si="11"/>
        <v>0.73974982506745335</v>
      </c>
      <c r="P108" s="8">
        <f t="shared" si="12"/>
        <v>129.57752691323373</v>
      </c>
      <c r="X108" s="8">
        <v>-13</v>
      </c>
    </row>
    <row r="109" spans="1:25" x14ac:dyDescent="0.2">
      <c r="A109" s="8">
        <v>53.5</v>
      </c>
      <c r="B109" s="8">
        <v>107</v>
      </c>
      <c r="D109">
        <v>679.06003873467</v>
      </c>
      <c r="E109">
        <v>505.39444803099002</v>
      </c>
      <c r="F109">
        <v>129.62153449388001</v>
      </c>
      <c r="G109">
        <v>114.3249516441</v>
      </c>
      <c r="I109" s="9">
        <f t="shared" si="8"/>
        <v>391.06949638689002</v>
      </c>
      <c r="J109" s="9">
        <f t="shared" si="9"/>
        <v>549.43850424079005</v>
      </c>
      <c r="K109" s="9">
        <f t="shared" si="10"/>
        <v>391.06949638689002</v>
      </c>
      <c r="L109" s="10">
        <f t="shared" si="7"/>
        <v>0.7117620868731559</v>
      </c>
      <c r="M109" s="10">
        <f t="shared" si="11"/>
        <v>0.71298351465290266</v>
      </c>
      <c r="P109" s="8">
        <f t="shared" si="12"/>
        <v>121.27074110357955</v>
      </c>
      <c r="X109" s="8">
        <v>-13</v>
      </c>
    </row>
    <row r="110" spans="1:25" x14ac:dyDescent="0.2">
      <c r="A110" s="8">
        <v>54</v>
      </c>
      <c r="B110" s="8">
        <v>108</v>
      </c>
      <c r="D110">
        <v>681.23563589413004</v>
      </c>
      <c r="E110">
        <v>494.77146546159003</v>
      </c>
      <c r="F110">
        <v>129.50741457123999</v>
      </c>
      <c r="G110">
        <v>113.90844616376999</v>
      </c>
      <c r="I110" s="9">
        <f t="shared" si="8"/>
        <v>380.86301929782002</v>
      </c>
      <c r="J110" s="9">
        <f t="shared" si="9"/>
        <v>551.72822132289002</v>
      </c>
      <c r="K110" s="9">
        <f t="shared" si="10"/>
        <v>380.86301929782002</v>
      </c>
      <c r="L110" s="10">
        <f t="shared" si="7"/>
        <v>0.69030911339756551</v>
      </c>
      <c r="M110" s="10">
        <f t="shared" si="11"/>
        <v>0.6915419563902071</v>
      </c>
      <c r="P110" s="8">
        <f t="shared" si="12"/>
        <v>114.61646454641132</v>
      </c>
      <c r="X110" s="8">
        <v>-13</v>
      </c>
    </row>
    <row r="111" spans="1:25" x14ac:dyDescent="0.2">
      <c r="A111" s="8">
        <v>54.5</v>
      </c>
      <c r="B111" s="8">
        <v>109</v>
      </c>
      <c r="D111">
        <v>682.83150419625997</v>
      </c>
      <c r="E111">
        <v>484.22143318270003</v>
      </c>
      <c r="F111">
        <v>129.25660863959001</v>
      </c>
      <c r="G111">
        <v>113.95486782720999</v>
      </c>
      <c r="I111" s="9">
        <f t="shared" si="8"/>
        <v>370.26656535549</v>
      </c>
      <c r="J111" s="9">
        <f t="shared" si="9"/>
        <v>553.57489555666996</v>
      </c>
      <c r="K111" s="9">
        <f t="shared" si="10"/>
        <v>370.26656535549</v>
      </c>
      <c r="L111" s="10">
        <f t="shared" si="7"/>
        <v>0.66886444513195142</v>
      </c>
      <c r="M111" s="10">
        <f t="shared" si="11"/>
        <v>0.67010870333748784</v>
      </c>
      <c r="P111" s="8">
        <f t="shared" si="12"/>
        <v>107.96476546814506</v>
      </c>
      <c r="X111" s="8">
        <v>-13</v>
      </c>
    </row>
    <row r="112" spans="1:25" x14ac:dyDescent="0.2">
      <c r="A112" s="8">
        <v>55</v>
      </c>
      <c r="B112" s="8">
        <v>110</v>
      </c>
      <c r="D112">
        <v>675.69528728212003</v>
      </c>
      <c r="E112">
        <v>464.31568754034998</v>
      </c>
      <c r="F112">
        <v>129.09606705351001</v>
      </c>
      <c r="G112">
        <v>114.09155383624</v>
      </c>
      <c r="I112" s="9">
        <f t="shared" si="8"/>
        <v>350.22413370410999</v>
      </c>
      <c r="J112" s="9">
        <f t="shared" si="9"/>
        <v>546.59922022860997</v>
      </c>
      <c r="K112" s="9">
        <f t="shared" si="10"/>
        <v>350.22413370410999</v>
      </c>
      <c r="L112" s="10">
        <f t="shared" si="7"/>
        <v>0.64073295523113272</v>
      </c>
      <c r="M112" s="10">
        <f t="shared" si="11"/>
        <v>0.64198862864956396</v>
      </c>
      <c r="P112" s="8">
        <f t="shared" si="12"/>
        <v>99.237845927636442</v>
      </c>
      <c r="X112" s="8">
        <v>-13</v>
      </c>
    </row>
    <row r="113" spans="1:24" x14ac:dyDescent="0.2">
      <c r="A113" s="8">
        <v>55.5</v>
      </c>
      <c r="B113" s="8">
        <v>111</v>
      </c>
      <c r="D113">
        <v>678.24080051646001</v>
      </c>
      <c r="E113">
        <v>451.85216268559998</v>
      </c>
      <c r="F113">
        <v>129.43391360413</v>
      </c>
      <c r="G113">
        <v>113.83236621535001</v>
      </c>
      <c r="I113" s="9">
        <f t="shared" si="8"/>
        <v>338.01979647024996</v>
      </c>
      <c r="J113" s="9">
        <f t="shared" si="9"/>
        <v>548.80688691233001</v>
      </c>
      <c r="K113" s="9">
        <f t="shared" si="10"/>
        <v>338.01979647024996</v>
      </c>
      <c r="L113" s="10">
        <f t="shared" si="7"/>
        <v>0.61591755594030551</v>
      </c>
      <c r="M113" s="10">
        <f t="shared" si="11"/>
        <v>0.61718464457163158</v>
      </c>
      <c r="P113" s="8">
        <f t="shared" si="12"/>
        <v>91.540057933313221</v>
      </c>
      <c r="X113" s="8">
        <v>-13</v>
      </c>
    </row>
    <row r="114" spans="1:24" x14ac:dyDescent="0.2">
      <c r="A114" s="8">
        <v>56</v>
      </c>
      <c r="B114" s="8">
        <v>112</v>
      </c>
      <c r="D114">
        <v>675.94811932555001</v>
      </c>
      <c r="E114">
        <v>436.40466926070002</v>
      </c>
      <c r="F114">
        <v>129.30238555771001</v>
      </c>
      <c r="G114">
        <v>113.99290780142</v>
      </c>
      <c r="I114" s="9">
        <f t="shared" si="8"/>
        <v>322.41176145928</v>
      </c>
      <c r="J114" s="9">
        <f t="shared" si="9"/>
        <v>546.64573376784006</v>
      </c>
      <c r="K114" s="9">
        <f t="shared" si="10"/>
        <v>322.41176145928</v>
      </c>
      <c r="L114" s="10">
        <f t="shared" si="7"/>
        <v>0.58980019698865516</v>
      </c>
      <c r="M114" s="10">
        <f t="shared" si="11"/>
        <v>0.59107870083287606</v>
      </c>
      <c r="P114" s="8">
        <f t="shared" si="12"/>
        <v>83.438213501335142</v>
      </c>
      <c r="X114" s="8">
        <v>-13</v>
      </c>
    </row>
    <row r="115" spans="1:24" x14ac:dyDescent="0.2">
      <c r="A115" s="8">
        <v>56.5</v>
      </c>
      <c r="B115" s="8">
        <v>113</v>
      </c>
      <c r="D115">
        <v>675.60051880674996</v>
      </c>
      <c r="E115">
        <v>425.18677042802</v>
      </c>
      <c r="F115">
        <v>129.44809800128999</v>
      </c>
      <c r="G115">
        <v>113.77111540941</v>
      </c>
      <c r="I115" s="9">
        <f t="shared" si="8"/>
        <v>311.41565501860998</v>
      </c>
      <c r="J115" s="9">
        <f t="shared" si="9"/>
        <v>546.15242080546</v>
      </c>
      <c r="K115" s="9">
        <f t="shared" si="10"/>
        <v>311.41565501860998</v>
      </c>
      <c r="L115" s="10">
        <f t="shared" si="7"/>
        <v>0.57019916630477874</v>
      </c>
      <c r="M115" s="10">
        <f t="shared" si="11"/>
        <v>0.57148908536189447</v>
      </c>
      <c r="P115" s="8">
        <f t="shared" si="12"/>
        <v>77.358677798032886</v>
      </c>
      <c r="X115" s="8">
        <v>-13</v>
      </c>
    </row>
    <row r="116" spans="1:24" x14ac:dyDescent="0.2">
      <c r="A116" s="8">
        <v>57</v>
      </c>
      <c r="B116" s="8">
        <v>114</v>
      </c>
      <c r="D116">
        <v>670.23605706874002</v>
      </c>
      <c r="E116">
        <v>414.87808041505002</v>
      </c>
      <c r="F116">
        <v>129.40876853642999</v>
      </c>
      <c r="G116">
        <v>113.72533849129999</v>
      </c>
      <c r="I116" s="9">
        <f t="shared" si="8"/>
        <v>301.15274192375</v>
      </c>
      <c r="J116" s="9">
        <f t="shared" si="9"/>
        <v>540.82728853231004</v>
      </c>
      <c r="K116" s="9">
        <f t="shared" si="10"/>
        <v>301.15274192375</v>
      </c>
      <c r="L116" s="10">
        <f t="shared" si="7"/>
        <v>0.55683717946447253</v>
      </c>
      <c r="M116" s="10">
        <f t="shared" si="11"/>
        <v>0.5581385137344832</v>
      </c>
      <c r="P116" s="8">
        <f t="shared" si="12"/>
        <v>73.215397038460438</v>
      </c>
      <c r="X116" s="8">
        <v>-13</v>
      </c>
    </row>
    <row r="117" spans="1:24" x14ac:dyDescent="0.2">
      <c r="A117" s="8">
        <v>57.5</v>
      </c>
      <c r="B117" s="8">
        <v>115</v>
      </c>
      <c r="D117">
        <v>663.93415906127996</v>
      </c>
      <c r="E117">
        <v>400.82268578879001</v>
      </c>
      <c r="F117">
        <v>129.39136041264001</v>
      </c>
      <c r="G117">
        <v>113.8865248227</v>
      </c>
      <c r="I117" s="9">
        <f t="shared" si="8"/>
        <v>286.93616096609003</v>
      </c>
      <c r="J117" s="9">
        <f t="shared" si="9"/>
        <v>534.54279864863997</v>
      </c>
      <c r="K117" s="9">
        <f t="shared" si="10"/>
        <v>286.93616096609003</v>
      </c>
      <c r="L117" s="10">
        <f t="shared" si="7"/>
        <v>0.53678800217958955</v>
      </c>
      <c r="M117" s="10">
        <f t="shared" si="11"/>
        <v>0.53810075166249505</v>
      </c>
      <c r="P117" s="8">
        <f t="shared" si="12"/>
        <v>66.996781358567077</v>
      </c>
      <c r="X117" s="8">
        <v>-13</v>
      </c>
    </row>
    <row r="118" spans="1:24" x14ac:dyDescent="0.2">
      <c r="A118" s="8">
        <v>58</v>
      </c>
      <c r="B118" s="8">
        <v>116</v>
      </c>
      <c r="D118">
        <v>664.12842242502995</v>
      </c>
      <c r="E118">
        <v>398.30052151238999</v>
      </c>
      <c r="F118">
        <v>129.44100580271001</v>
      </c>
      <c r="G118">
        <v>113.88394584139</v>
      </c>
      <c r="I118" s="9">
        <f t="shared" si="8"/>
        <v>284.41657567099998</v>
      </c>
      <c r="J118" s="9">
        <f t="shared" si="9"/>
        <v>534.68741662231992</v>
      </c>
      <c r="K118" s="9">
        <f t="shared" si="10"/>
        <v>284.41657567099998</v>
      </c>
      <c r="L118" s="10">
        <f t="shared" si="7"/>
        <v>0.53193055761007291</v>
      </c>
      <c r="M118" s="10">
        <f t="shared" si="11"/>
        <v>0.53325472230587323</v>
      </c>
      <c r="P118" s="8">
        <f t="shared" si="12"/>
        <v>65.492841246190963</v>
      </c>
      <c r="X118" s="8">
        <v>-13</v>
      </c>
    </row>
    <row r="119" spans="1:24" x14ac:dyDescent="0.2">
      <c r="A119" s="8">
        <v>58.5</v>
      </c>
      <c r="B119" s="8">
        <v>117</v>
      </c>
      <c r="D119">
        <v>662.8741851369</v>
      </c>
      <c r="E119">
        <v>388.96610169491998</v>
      </c>
      <c r="F119">
        <v>129.25338491296</v>
      </c>
      <c r="G119">
        <v>113.92005157963</v>
      </c>
      <c r="I119" s="9">
        <f t="shared" si="8"/>
        <v>275.04605011528997</v>
      </c>
      <c r="J119" s="9">
        <f t="shared" si="9"/>
        <v>533.62080022394002</v>
      </c>
      <c r="K119" s="9">
        <f t="shared" si="10"/>
        <v>275.04605011528997</v>
      </c>
      <c r="L119" s="10">
        <f t="shared" si="7"/>
        <v>0.51543352507972662</v>
      </c>
      <c r="M119" s="10">
        <f t="shared" si="11"/>
        <v>0.51676910498842177</v>
      </c>
      <c r="P119" s="8">
        <f t="shared" si="12"/>
        <v>60.376615293676025</v>
      </c>
      <c r="X119" s="8">
        <v>-13</v>
      </c>
    </row>
    <row r="120" spans="1:24" x14ac:dyDescent="0.2">
      <c r="A120" s="8">
        <v>59</v>
      </c>
      <c r="B120" s="8">
        <v>118</v>
      </c>
      <c r="D120">
        <v>663.89641693810995</v>
      </c>
      <c r="E120">
        <v>387.25863192181998</v>
      </c>
      <c r="F120">
        <v>129.49323017408</v>
      </c>
      <c r="G120">
        <v>113.84268214055</v>
      </c>
      <c r="I120" s="9">
        <f t="shared" si="8"/>
        <v>273.41594978127</v>
      </c>
      <c r="J120" s="9">
        <f t="shared" si="9"/>
        <v>534.4031867640299</v>
      </c>
      <c r="K120" s="9">
        <f t="shared" si="10"/>
        <v>273.41594978127</v>
      </c>
      <c r="L120" s="10">
        <f t="shared" si="7"/>
        <v>0.51162859158248064</v>
      </c>
      <c r="M120" s="10">
        <f t="shared" si="11"/>
        <v>0.51297558670407062</v>
      </c>
      <c r="P120" s="8">
        <f t="shared" si="12"/>
        <v>59.199316541436296</v>
      </c>
      <c r="X120" s="8">
        <v>-13</v>
      </c>
    </row>
    <row r="121" spans="1:24" x14ac:dyDescent="0.2">
      <c r="A121" s="8">
        <v>59.5</v>
      </c>
      <c r="B121" s="8">
        <v>119</v>
      </c>
      <c r="D121">
        <v>665.74788273616002</v>
      </c>
      <c r="E121">
        <v>387.63713355048998</v>
      </c>
      <c r="F121">
        <v>129.28884590587001</v>
      </c>
      <c r="G121">
        <v>113.70857511283</v>
      </c>
      <c r="I121" s="9">
        <f t="shared" si="8"/>
        <v>273.92855843765994</v>
      </c>
      <c r="J121" s="9">
        <f t="shared" si="9"/>
        <v>536.45903683028996</v>
      </c>
      <c r="K121" s="9">
        <f t="shared" si="10"/>
        <v>273.92855843765994</v>
      </c>
      <c r="L121" s="10">
        <f t="shared" si="7"/>
        <v>0.510623439314562</v>
      </c>
      <c r="M121" s="10">
        <f t="shared" si="11"/>
        <v>0.51198184964904681</v>
      </c>
      <c r="P121" s="8">
        <f t="shared" si="12"/>
        <v>58.890915393151332</v>
      </c>
      <c r="X121" s="8">
        <v>-13</v>
      </c>
    </row>
    <row r="122" spans="1:24" x14ac:dyDescent="0.2">
      <c r="A122" s="8">
        <v>60</v>
      </c>
      <c r="B122" s="8">
        <v>120</v>
      </c>
      <c r="D122">
        <v>662.74723127035998</v>
      </c>
      <c r="E122">
        <v>382.88859934853002</v>
      </c>
      <c r="F122">
        <v>129.5441650548</v>
      </c>
      <c r="G122">
        <v>113.79626047711</v>
      </c>
      <c r="I122" s="9">
        <f t="shared" si="8"/>
        <v>269.09233887142</v>
      </c>
      <c r="J122" s="9">
        <f t="shared" si="9"/>
        <v>533.20306621555994</v>
      </c>
      <c r="K122" s="9">
        <f t="shared" si="10"/>
        <v>269.09233887142</v>
      </c>
      <c r="L122" s="10">
        <f t="shared" si="7"/>
        <v>0.50467140180066605</v>
      </c>
      <c r="M122" s="10">
        <f t="shared" si="11"/>
        <v>0.50604122734804569</v>
      </c>
      <c r="P122" s="8">
        <f t="shared" si="12"/>
        <v>57.04727402957942</v>
      </c>
      <c r="X122" s="8">
        <v>-13</v>
      </c>
    </row>
    <row r="123" spans="1:24" x14ac:dyDescent="0.2">
      <c r="A123" s="8">
        <v>60.5</v>
      </c>
      <c r="B123" s="8">
        <v>121</v>
      </c>
      <c r="D123">
        <v>665.67100977199004</v>
      </c>
      <c r="E123">
        <v>383.66449511400998</v>
      </c>
      <c r="F123">
        <v>129.43391360413</v>
      </c>
      <c r="G123">
        <v>113.87878787879001</v>
      </c>
      <c r="I123" s="9">
        <f t="shared" si="8"/>
        <v>269.78570723522</v>
      </c>
      <c r="J123" s="9">
        <f t="shared" si="9"/>
        <v>536.23709616786005</v>
      </c>
      <c r="K123" s="9">
        <f t="shared" si="10"/>
        <v>269.78570723522</v>
      </c>
      <c r="L123" s="10">
        <f t="shared" si="7"/>
        <v>0.50310899630630568</v>
      </c>
      <c r="M123" s="10">
        <f t="shared" si="11"/>
        <v>0.50449023706658014</v>
      </c>
      <c r="P123" s="8">
        <f t="shared" si="12"/>
        <v>56.565932228582241</v>
      </c>
      <c r="X123" s="8">
        <v>-13</v>
      </c>
    </row>
    <row r="124" spans="1:24" x14ac:dyDescent="0.2">
      <c r="A124" s="8">
        <v>61</v>
      </c>
      <c r="B124" s="8">
        <v>122</v>
      </c>
      <c r="D124">
        <v>662.69837133551005</v>
      </c>
      <c r="E124">
        <v>383.65016286644999</v>
      </c>
      <c r="F124">
        <v>129.09800128949001</v>
      </c>
      <c r="G124">
        <v>113.51321727918</v>
      </c>
      <c r="I124" s="9">
        <f t="shared" si="8"/>
        <v>270.13694558727002</v>
      </c>
      <c r="J124" s="9">
        <f t="shared" si="9"/>
        <v>533.60037004602009</v>
      </c>
      <c r="K124" s="9">
        <f t="shared" si="10"/>
        <v>270.13694558727002</v>
      </c>
      <c r="L124" s="10">
        <f t="shared" si="7"/>
        <v>0.50625329507168859</v>
      </c>
      <c r="M124" s="10">
        <f t="shared" si="11"/>
        <v>0.50764595104485788</v>
      </c>
      <c r="P124" s="8">
        <f t="shared" si="12"/>
        <v>57.545291717734479</v>
      </c>
      <c r="X124" s="8">
        <v>-13</v>
      </c>
    </row>
    <row r="125" spans="1:24" x14ac:dyDescent="0.2">
      <c r="A125" s="8">
        <v>61.5</v>
      </c>
      <c r="B125" s="8">
        <v>123</v>
      </c>
      <c r="D125">
        <v>659.01425793908004</v>
      </c>
      <c r="E125">
        <v>378.10887880752</v>
      </c>
      <c r="F125">
        <v>128.84719535783</v>
      </c>
      <c r="G125">
        <v>113.66408768536</v>
      </c>
      <c r="I125" s="9">
        <f t="shared" si="8"/>
        <v>264.44479112215998</v>
      </c>
      <c r="J125" s="9">
        <f t="shared" si="9"/>
        <v>530.16706258125009</v>
      </c>
      <c r="K125" s="9">
        <f t="shared" si="10"/>
        <v>264.44479112215998</v>
      </c>
      <c r="L125" s="10">
        <f t="shared" si="7"/>
        <v>0.4987952096357039</v>
      </c>
      <c r="M125" s="10">
        <f t="shared" si="11"/>
        <v>0.50019928082176801</v>
      </c>
      <c r="P125" s="8">
        <f t="shared" si="12"/>
        <v>55.234256181633469</v>
      </c>
      <c r="X125" s="8">
        <v>-13</v>
      </c>
    </row>
    <row r="126" spans="1:24" x14ac:dyDescent="0.2">
      <c r="A126" s="8">
        <v>62</v>
      </c>
      <c r="B126" s="8">
        <v>124</v>
      </c>
      <c r="D126">
        <v>661.06278317151998</v>
      </c>
      <c r="E126">
        <v>376.88996763754</v>
      </c>
      <c r="F126">
        <v>129.12765957446999</v>
      </c>
      <c r="G126">
        <v>113.57317859446</v>
      </c>
      <c r="I126" s="9">
        <f t="shared" si="8"/>
        <v>263.31678904308001</v>
      </c>
      <c r="J126" s="9">
        <f t="shared" si="9"/>
        <v>531.93512359705005</v>
      </c>
      <c r="K126" s="9">
        <f t="shared" si="10"/>
        <v>263.31678904308001</v>
      </c>
      <c r="L126" s="10">
        <f t="shared" si="7"/>
        <v>0.49501673674503766</v>
      </c>
      <c r="M126" s="10">
        <f t="shared" si="11"/>
        <v>0.49643222314399654</v>
      </c>
      <c r="P126" s="8">
        <f t="shared" si="12"/>
        <v>54.065169341601539</v>
      </c>
      <c r="X126" s="8">
        <v>-13</v>
      </c>
    </row>
    <row r="127" spans="1:24" x14ac:dyDescent="0.2">
      <c r="A127" s="8">
        <v>62.5</v>
      </c>
      <c r="B127" s="8">
        <v>125</v>
      </c>
      <c r="D127">
        <v>660.76828478964001</v>
      </c>
      <c r="E127">
        <v>373.00129449837999</v>
      </c>
      <c r="F127">
        <v>129.27337201805</v>
      </c>
      <c r="G127">
        <v>113.69374597034</v>
      </c>
      <c r="I127" s="9">
        <f t="shared" si="8"/>
        <v>259.30754852804</v>
      </c>
      <c r="J127" s="9">
        <f t="shared" si="9"/>
        <v>531.49491277158995</v>
      </c>
      <c r="K127" s="9">
        <f t="shared" si="10"/>
        <v>259.30754852804</v>
      </c>
      <c r="L127" s="10">
        <f t="shared" si="7"/>
        <v>0.4878834064014409</v>
      </c>
      <c r="M127" s="10">
        <f t="shared" si="11"/>
        <v>0.48931030801329467</v>
      </c>
      <c r="P127" s="8">
        <f t="shared" si="12"/>
        <v>51.854919866458523</v>
      </c>
      <c r="X127" s="8">
        <v>-13</v>
      </c>
    </row>
    <row r="128" spans="1:24" x14ac:dyDescent="0.2">
      <c r="A128" s="8">
        <v>63</v>
      </c>
      <c r="B128" s="8">
        <v>126</v>
      </c>
      <c r="D128">
        <v>652.81229773462996</v>
      </c>
      <c r="E128">
        <v>366.99805825242998</v>
      </c>
      <c r="F128">
        <v>128.98839458414</v>
      </c>
      <c r="G128">
        <v>113.6524822695</v>
      </c>
      <c r="I128" s="9">
        <f t="shared" si="8"/>
        <v>253.34557598292997</v>
      </c>
      <c r="J128" s="9">
        <f t="shared" si="9"/>
        <v>523.82390315048997</v>
      </c>
      <c r="K128" s="9">
        <f t="shared" si="10"/>
        <v>253.34557598292997</v>
      </c>
      <c r="L128" s="10">
        <f t="shared" si="7"/>
        <v>0.48364645916157445</v>
      </c>
      <c r="M128" s="10">
        <f t="shared" si="11"/>
        <v>0.48508477598632305</v>
      </c>
      <c r="P128" s="8">
        <f t="shared" si="12"/>
        <v>50.543547886672854</v>
      </c>
      <c r="X128" s="8">
        <v>-13</v>
      </c>
    </row>
    <row r="129" spans="1:24" x14ac:dyDescent="0.2">
      <c r="A129" s="8">
        <v>63.5</v>
      </c>
      <c r="B129" s="8">
        <v>127</v>
      </c>
      <c r="D129">
        <v>644.61294498381994</v>
      </c>
      <c r="E129">
        <v>365.29320388349998</v>
      </c>
      <c r="F129">
        <v>128.94713088329999</v>
      </c>
      <c r="G129">
        <v>113.64281108962</v>
      </c>
      <c r="I129" s="9">
        <f t="shared" si="8"/>
        <v>251.65039279387997</v>
      </c>
      <c r="J129" s="9">
        <f t="shared" si="9"/>
        <v>515.66581410051992</v>
      </c>
      <c r="K129" s="9">
        <f t="shared" si="10"/>
        <v>251.65039279387997</v>
      </c>
      <c r="L129" s="10">
        <f t="shared" si="7"/>
        <v>0.48801061833589998</v>
      </c>
      <c r="M129" s="10">
        <f t="shared" si="11"/>
        <v>0.48946035037354341</v>
      </c>
      <c r="P129" s="8">
        <f t="shared" si="12"/>
        <v>51.901484735865544</v>
      </c>
      <c r="X129" s="8">
        <v>-13</v>
      </c>
    </row>
    <row r="130" spans="1:24" x14ac:dyDescent="0.2">
      <c r="A130" s="8">
        <v>64</v>
      </c>
      <c r="B130" s="8">
        <v>128</v>
      </c>
      <c r="D130">
        <v>639.74870801034001</v>
      </c>
      <c r="E130">
        <v>360.3023255814</v>
      </c>
      <c r="F130">
        <v>129.11025145068001</v>
      </c>
      <c r="G130">
        <v>113.75370728562</v>
      </c>
      <c r="I130" s="9">
        <f t="shared" si="8"/>
        <v>246.54861829577999</v>
      </c>
      <c r="J130" s="9">
        <f t="shared" si="9"/>
        <v>510.63845655965997</v>
      </c>
      <c r="K130" s="9">
        <f t="shared" si="10"/>
        <v>246.54861829577999</v>
      </c>
      <c r="L130" s="10">
        <f t="shared" ref="L130:L193" si="14">K130/J130</f>
        <v>0.48282422745215764</v>
      </c>
      <c r="M130" s="10">
        <f t="shared" si="11"/>
        <v>0.48428537470269589</v>
      </c>
      <c r="P130" s="8">
        <f t="shared" si="12"/>
        <v>50.295457838541182</v>
      </c>
      <c r="X130" s="8">
        <v>-13</v>
      </c>
    </row>
    <row r="131" spans="1:24" x14ac:dyDescent="0.2">
      <c r="A131" s="8">
        <v>64.5</v>
      </c>
      <c r="B131" s="8">
        <v>129</v>
      </c>
      <c r="D131">
        <v>640.01932989690999</v>
      </c>
      <c r="E131">
        <v>362.86662371134003</v>
      </c>
      <c r="F131">
        <v>128.96647324307</v>
      </c>
      <c r="G131">
        <v>113.70921985816</v>
      </c>
      <c r="I131" s="9">
        <f t="shared" ref="I131:I194" si="15">E131-G131</f>
        <v>249.15740385318003</v>
      </c>
      <c r="J131" s="9">
        <f t="shared" ref="J131:J194" si="16">D131-F131</f>
        <v>511.05285665383997</v>
      </c>
      <c r="K131" s="9">
        <f t="shared" ref="K131:K194" si="17">I131*1</f>
        <v>249.15740385318003</v>
      </c>
      <c r="L131" s="10">
        <f t="shared" si="14"/>
        <v>0.4875374447264777</v>
      </c>
      <c r="M131" s="10">
        <f t="shared" ref="M131:M181" si="18">L131+ABS($N$2)*A131</f>
        <v>0.48901000718991078</v>
      </c>
      <c r="P131" s="8">
        <f t="shared" ref="P131:P194" si="19">(M131-$O$2)/$O$2*100</f>
        <v>51.761723061232935</v>
      </c>
      <c r="X131" s="8">
        <v>-13</v>
      </c>
    </row>
    <row r="132" spans="1:24" x14ac:dyDescent="0.2">
      <c r="A132" s="8">
        <v>65</v>
      </c>
      <c r="B132" s="8">
        <v>130</v>
      </c>
      <c r="D132">
        <v>632.86984536083003</v>
      </c>
      <c r="E132">
        <v>355.25193298968998</v>
      </c>
      <c r="F132">
        <v>129.27981947130999</v>
      </c>
      <c r="G132">
        <v>113.82011605416</v>
      </c>
      <c r="I132" s="9">
        <f t="shared" si="15"/>
        <v>241.43181693552998</v>
      </c>
      <c r="J132" s="9">
        <f t="shared" si="16"/>
        <v>503.59002588952001</v>
      </c>
      <c r="K132" s="9">
        <f t="shared" si="17"/>
        <v>241.43181693552998</v>
      </c>
      <c r="L132" s="10">
        <f t="shared" si="14"/>
        <v>0.47942136365603166</v>
      </c>
      <c r="M132" s="10">
        <f t="shared" si="18"/>
        <v>0.48090534133235957</v>
      </c>
      <c r="P132" s="8">
        <f t="shared" si="19"/>
        <v>49.246481987853741</v>
      </c>
      <c r="X132" s="8">
        <v>-13</v>
      </c>
    </row>
    <row r="133" spans="1:24" x14ac:dyDescent="0.2">
      <c r="A133" s="8">
        <v>65.5</v>
      </c>
      <c r="B133" s="8">
        <v>131</v>
      </c>
      <c r="D133">
        <v>632.83376288659997</v>
      </c>
      <c r="E133">
        <v>352.82345360825002</v>
      </c>
      <c r="F133">
        <v>129.31785944552001</v>
      </c>
      <c r="G133">
        <v>113.61379754997</v>
      </c>
      <c r="I133" s="9">
        <f t="shared" si="15"/>
        <v>239.20965605828002</v>
      </c>
      <c r="J133" s="9">
        <f t="shared" si="16"/>
        <v>503.51590344107996</v>
      </c>
      <c r="K133" s="9">
        <f t="shared" si="17"/>
        <v>239.20965605828002</v>
      </c>
      <c r="L133" s="10">
        <f t="shared" si="14"/>
        <v>0.4750786507903651</v>
      </c>
      <c r="M133" s="10">
        <f t="shared" si="18"/>
        <v>0.47657404367958783</v>
      </c>
      <c r="P133" s="8">
        <f t="shared" si="19"/>
        <v>47.902286193880066</v>
      </c>
      <c r="X133" s="8">
        <v>-13</v>
      </c>
    </row>
    <row r="134" spans="1:24" x14ac:dyDescent="0.2">
      <c r="A134" s="8">
        <v>66</v>
      </c>
      <c r="B134" s="8">
        <v>132</v>
      </c>
      <c r="D134">
        <v>620.74548969071998</v>
      </c>
      <c r="E134">
        <v>342.47487113402002</v>
      </c>
      <c r="F134">
        <v>129.03932946486</v>
      </c>
      <c r="G134">
        <v>113.88136686009</v>
      </c>
      <c r="I134" s="9">
        <f t="shared" si="15"/>
        <v>228.59350427393002</v>
      </c>
      <c r="J134" s="9">
        <f t="shared" si="16"/>
        <v>491.70616022586</v>
      </c>
      <c r="K134" s="9">
        <f t="shared" si="17"/>
        <v>228.59350427393002</v>
      </c>
      <c r="L134" s="10">
        <f t="shared" si="14"/>
        <v>0.46489859750572987</v>
      </c>
      <c r="M134" s="10">
        <f t="shared" si="18"/>
        <v>0.46640540560784743</v>
      </c>
      <c r="P134" s="8">
        <f t="shared" si="19"/>
        <v>44.746502033507952</v>
      </c>
      <c r="X134" s="8">
        <v>-13</v>
      </c>
    </row>
    <row r="135" spans="1:24" x14ac:dyDescent="0.2">
      <c r="A135" s="8">
        <v>66.5</v>
      </c>
      <c r="B135" s="8">
        <v>133</v>
      </c>
      <c r="D135">
        <v>626.85946649316998</v>
      </c>
      <c r="E135">
        <v>342.13077423551999</v>
      </c>
      <c r="F135">
        <v>129.41715022566001</v>
      </c>
      <c r="G135">
        <v>113.64539007092</v>
      </c>
      <c r="I135" s="9">
        <f t="shared" si="15"/>
        <v>228.48538416459999</v>
      </c>
      <c r="J135" s="9">
        <f t="shared" si="16"/>
        <v>497.44231626750997</v>
      </c>
      <c r="K135" s="9">
        <f t="shared" si="17"/>
        <v>228.48538416459999</v>
      </c>
      <c r="L135" s="10">
        <f t="shared" si="14"/>
        <v>0.45932036075862759</v>
      </c>
      <c r="M135" s="10">
        <f t="shared" si="18"/>
        <v>0.46083858407363998</v>
      </c>
      <c r="P135" s="8">
        <f t="shared" si="19"/>
        <v>43.018867801929531</v>
      </c>
      <c r="X135" s="8">
        <v>-13</v>
      </c>
    </row>
    <row r="136" spans="1:24" x14ac:dyDescent="0.2">
      <c r="A136" s="8">
        <v>67</v>
      </c>
      <c r="B136" s="8">
        <v>134</v>
      </c>
      <c r="D136">
        <v>624.78724788549005</v>
      </c>
      <c r="E136">
        <v>340.00715679896001</v>
      </c>
      <c r="F136">
        <v>129.42940038685001</v>
      </c>
      <c r="G136">
        <v>113.54029658285</v>
      </c>
      <c r="I136" s="9">
        <f t="shared" si="15"/>
        <v>226.46686021611001</v>
      </c>
      <c r="J136" s="9">
        <f t="shared" si="16"/>
        <v>495.35784749864001</v>
      </c>
      <c r="K136" s="9">
        <f t="shared" si="17"/>
        <v>226.46686021611001</v>
      </c>
      <c r="L136" s="10">
        <f t="shared" si="14"/>
        <v>0.45717830324012737</v>
      </c>
      <c r="M136" s="10">
        <f t="shared" si="18"/>
        <v>0.45870794176803459</v>
      </c>
      <c r="P136" s="8">
        <f t="shared" si="19"/>
        <v>42.357633997361894</v>
      </c>
      <c r="X136" s="8">
        <v>-13</v>
      </c>
    </row>
    <row r="137" spans="1:24" x14ac:dyDescent="0.2">
      <c r="A137" s="8">
        <v>67.5</v>
      </c>
      <c r="B137" s="8">
        <v>135</v>
      </c>
      <c r="D137">
        <v>620.90826284971001</v>
      </c>
      <c r="E137">
        <v>338.33246584254999</v>
      </c>
      <c r="F137">
        <v>128.84977433914</v>
      </c>
      <c r="G137">
        <v>113.83687943261999</v>
      </c>
      <c r="I137" s="9">
        <f t="shared" si="15"/>
        <v>224.49558640993001</v>
      </c>
      <c r="J137" s="9">
        <f t="shared" si="16"/>
        <v>492.05848851056999</v>
      </c>
      <c r="K137" s="9">
        <f t="shared" si="17"/>
        <v>224.49558640993001</v>
      </c>
      <c r="L137" s="10">
        <f t="shared" si="14"/>
        <v>0.45623760518686302</v>
      </c>
      <c r="M137" s="10">
        <f t="shared" si="18"/>
        <v>0.45777865892766506</v>
      </c>
      <c r="P137" s="8">
        <f t="shared" si="19"/>
        <v>42.06923588077499</v>
      </c>
      <c r="X137" s="8">
        <v>-13</v>
      </c>
    </row>
    <row r="138" spans="1:24" x14ac:dyDescent="0.2">
      <c r="A138" s="8">
        <v>68</v>
      </c>
      <c r="B138" s="8">
        <v>136</v>
      </c>
      <c r="D138">
        <v>616.78724788549005</v>
      </c>
      <c r="E138">
        <v>334.33506831490001</v>
      </c>
      <c r="F138">
        <v>129.36621534494</v>
      </c>
      <c r="G138">
        <v>113.6196002579</v>
      </c>
      <c r="I138" s="9">
        <f t="shared" si="15"/>
        <v>220.71546805700001</v>
      </c>
      <c r="J138" s="9">
        <f t="shared" si="16"/>
        <v>487.42103254055007</v>
      </c>
      <c r="K138" s="9">
        <f t="shared" si="17"/>
        <v>220.71546805700001</v>
      </c>
      <c r="L138" s="10">
        <f t="shared" si="14"/>
        <v>0.45282302839206678</v>
      </c>
      <c r="M138" s="10">
        <f t="shared" si="18"/>
        <v>0.45437549734576366</v>
      </c>
      <c r="P138" s="8">
        <f t="shared" si="19"/>
        <v>41.013082309413477</v>
      </c>
      <c r="X138" s="8">
        <v>-13</v>
      </c>
    </row>
    <row r="139" spans="1:24" x14ac:dyDescent="0.2">
      <c r="A139" s="8">
        <v>68.5</v>
      </c>
      <c r="B139" s="8">
        <v>137</v>
      </c>
      <c r="D139">
        <v>615.52700065062004</v>
      </c>
      <c r="E139">
        <v>334.02992843201002</v>
      </c>
      <c r="F139">
        <v>129.19664732430999</v>
      </c>
      <c r="G139">
        <v>113.34880722115</v>
      </c>
      <c r="I139" s="9">
        <f t="shared" si="15"/>
        <v>220.68112121086003</v>
      </c>
      <c r="J139" s="9">
        <f t="shared" si="16"/>
        <v>486.33035332631005</v>
      </c>
      <c r="K139" s="9">
        <f t="shared" si="17"/>
        <v>220.68112121086003</v>
      </c>
      <c r="L139" s="10">
        <f t="shared" si="14"/>
        <v>0.45376793716757996</v>
      </c>
      <c r="M139" s="10">
        <f t="shared" si="18"/>
        <v>0.45533182133417166</v>
      </c>
      <c r="P139" s="8">
        <f t="shared" si="19"/>
        <v>41.309872506243181</v>
      </c>
      <c r="X139" s="8">
        <v>-13</v>
      </c>
    </row>
    <row r="140" spans="1:24" x14ac:dyDescent="0.2">
      <c r="A140" s="8">
        <v>69</v>
      </c>
      <c r="B140" s="8">
        <v>138</v>
      </c>
      <c r="D140">
        <v>624.49870298313999</v>
      </c>
      <c r="E140">
        <v>336.32166018158</v>
      </c>
      <c r="F140">
        <v>129.33397807866001</v>
      </c>
      <c r="G140">
        <v>113.92392005158</v>
      </c>
      <c r="I140" s="9">
        <f t="shared" si="15"/>
        <v>222.39774012999999</v>
      </c>
      <c r="J140" s="9">
        <f t="shared" si="16"/>
        <v>495.16472490447995</v>
      </c>
      <c r="K140" s="9">
        <f t="shared" si="17"/>
        <v>222.39774012999999</v>
      </c>
      <c r="L140" s="10">
        <f t="shared" si="14"/>
        <v>0.44913890054042471</v>
      </c>
      <c r="M140" s="10">
        <f t="shared" si="18"/>
        <v>0.45071419991991124</v>
      </c>
      <c r="P140" s="8">
        <f t="shared" si="19"/>
        <v>39.876817615813387</v>
      </c>
      <c r="X140" s="8">
        <v>-13</v>
      </c>
    </row>
    <row r="141" spans="1:24" x14ac:dyDescent="0.2">
      <c r="A141" s="8">
        <v>69.5</v>
      </c>
      <c r="B141" s="8">
        <v>139</v>
      </c>
      <c r="D141">
        <v>608.55382619974</v>
      </c>
      <c r="E141">
        <v>321.30025940336998</v>
      </c>
      <c r="F141">
        <v>129.25596389425999</v>
      </c>
      <c r="G141">
        <v>113.79948420373999</v>
      </c>
      <c r="I141" s="9">
        <f t="shared" si="15"/>
        <v>207.50077519962997</v>
      </c>
      <c r="J141" s="9">
        <f t="shared" si="16"/>
        <v>479.29786230548001</v>
      </c>
      <c r="K141" s="9">
        <f t="shared" si="17"/>
        <v>207.50077519962997</v>
      </c>
      <c r="L141" s="10">
        <f t="shared" si="14"/>
        <v>0.43292656095215287</v>
      </c>
      <c r="M141" s="10">
        <f t="shared" si="18"/>
        <v>0.43451327554453423</v>
      </c>
      <c r="P141" s="8">
        <f t="shared" si="19"/>
        <v>34.848944643395676</v>
      </c>
      <c r="X141" s="8">
        <v>-13</v>
      </c>
    </row>
    <row r="142" spans="1:24" x14ac:dyDescent="0.2">
      <c r="A142" s="8">
        <v>70</v>
      </c>
      <c r="B142" s="8">
        <v>140</v>
      </c>
      <c r="D142">
        <v>613.62</v>
      </c>
      <c r="E142">
        <v>320.39999999999998</v>
      </c>
      <c r="F142">
        <v>129.20825274017</v>
      </c>
      <c r="G142">
        <v>113.70083816892</v>
      </c>
      <c r="I142" s="9">
        <f t="shared" si="15"/>
        <v>206.69916183107998</v>
      </c>
      <c r="J142" s="9">
        <f t="shared" si="16"/>
        <v>484.41174725983001</v>
      </c>
      <c r="K142" s="9">
        <f t="shared" si="17"/>
        <v>206.69916183107998</v>
      </c>
      <c r="L142" s="10">
        <f t="shared" si="14"/>
        <v>0.42670138162485594</v>
      </c>
      <c r="M142" s="10">
        <f t="shared" si="18"/>
        <v>0.42829951143013212</v>
      </c>
      <c r="P142" s="8">
        <f t="shared" si="19"/>
        <v>32.920535132684996</v>
      </c>
      <c r="X142" s="8">
        <v>-13</v>
      </c>
    </row>
    <row r="143" spans="1:24" x14ac:dyDescent="0.2">
      <c r="A143" s="8">
        <v>70.5</v>
      </c>
      <c r="B143" s="8">
        <v>141</v>
      </c>
      <c r="D143">
        <v>609.28</v>
      </c>
      <c r="E143">
        <v>317.72967741935997</v>
      </c>
      <c r="F143">
        <v>129.42617666021999</v>
      </c>
      <c r="G143">
        <v>113.70921985816</v>
      </c>
      <c r="I143" s="9">
        <f t="shared" si="15"/>
        <v>204.02045756119998</v>
      </c>
      <c r="J143" s="9">
        <f t="shared" si="16"/>
        <v>479.85382333977998</v>
      </c>
      <c r="K143" s="9">
        <f t="shared" si="17"/>
        <v>204.02045756119998</v>
      </c>
      <c r="L143" s="10">
        <f t="shared" si="14"/>
        <v>0.42517209958069879</v>
      </c>
      <c r="M143" s="10">
        <f t="shared" si="18"/>
        <v>0.4267816445988698</v>
      </c>
      <c r="P143" s="8">
        <f t="shared" si="19"/>
        <v>32.449473022906119</v>
      </c>
      <c r="X143" s="8">
        <v>-13</v>
      </c>
    </row>
    <row r="144" spans="1:24" x14ac:dyDescent="0.2">
      <c r="A144" s="8">
        <v>71</v>
      </c>
      <c r="B144" s="8">
        <v>142</v>
      </c>
      <c r="D144">
        <v>607.49838813668998</v>
      </c>
      <c r="E144">
        <v>312.92585428756001</v>
      </c>
      <c r="F144">
        <v>129.44229529335999</v>
      </c>
      <c r="G144">
        <v>113.61508704062</v>
      </c>
      <c r="I144" s="9">
        <f t="shared" si="15"/>
        <v>199.31076724694003</v>
      </c>
      <c r="J144" s="9">
        <f t="shared" si="16"/>
        <v>478.05609284333002</v>
      </c>
      <c r="K144" s="9">
        <f t="shared" si="17"/>
        <v>199.31076724694003</v>
      </c>
      <c r="L144" s="10">
        <f t="shared" si="14"/>
        <v>0.41691920724511872</v>
      </c>
      <c r="M144" s="10">
        <f t="shared" si="18"/>
        <v>0.41854016747618455</v>
      </c>
      <c r="P144" s="8">
        <f t="shared" si="19"/>
        <v>29.891773281962553</v>
      </c>
    </row>
    <row r="145" spans="1:16" x14ac:dyDescent="0.2">
      <c r="A145" s="8">
        <v>71.5</v>
      </c>
      <c r="B145" s="8">
        <v>143</v>
      </c>
      <c r="D145">
        <v>609.50805931656998</v>
      </c>
      <c r="E145">
        <v>311.84397163121002</v>
      </c>
      <c r="F145">
        <v>129.74210186976001</v>
      </c>
      <c r="G145">
        <v>113.87234042553</v>
      </c>
      <c r="I145" s="9">
        <f t="shared" si="15"/>
        <v>197.97163120568001</v>
      </c>
      <c r="J145" s="9">
        <f t="shared" si="16"/>
        <v>479.76595744680998</v>
      </c>
      <c r="K145" s="9">
        <f t="shared" si="17"/>
        <v>197.97163120568001</v>
      </c>
      <c r="L145" s="10">
        <f t="shared" si="14"/>
        <v>0.41264209794966217</v>
      </c>
      <c r="M145" s="10">
        <f t="shared" si="18"/>
        <v>0.41427447339362283</v>
      </c>
      <c r="P145" s="8">
        <f t="shared" si="19"/>
        <v>28.567937216230955</v>
      </c>
    </row>
    <row r="146" spans="1:16" x14ac:dyDescent="0.2">
      <c r="A146" s="8">
        <v>72</v>
      </c>
      <c r="B146" s="8">
        <v>144</v>
      </c>
      <c r="D146">
        <v>605.01296176280005</v>
      </c>
      <c r="E146">
        <v>306.58651976669</v>
      </c>
      <c r="F146">
        <v>129.19922630561001</v>
      </c>
      <c r="G146">
        <v>113.70535138619999</v>
      </c>
      <c r="I146" s="9">
        <f t="shared" si="15"/>
        <v>192.88116838049001</v>
      </c>
      <c r="J146" s="9">
        <f t="shared" si="16"/>
        <v>475.81373545719003</v>
      </c>
      <c r="K146" s="9">
        <f t="shared" si="17"/>
        <v>192.88116838049001</v>
      </c>
      <c r="L146" s="10">
        <f t="shared" si="14"/>
        <v>0.40537116524212641</v>
      </c>
      <c r="M146" s="10">
        <f t="shared" si="18"/>
        <v>0.4070149558989819</v>
      </c>
      <c r="P146" s="8">
        <f t="shared" si="19"/>
        <v>26.314983560106668</v>
      </c>
    </row>
    <row r="147" spans="1:16" x14ac:dyDescent="0.2">
      <c r="A147" s="8">
        <v>72.5</v>
      </c>
      <c r="B147" s="8">
        <v>145</v>
      </c>
      <c r="D147">
        <v>610.03725490195995</v>
      </c>
      <c r="E147">
        <v>305.48104575163001</v>
      </c>
      <c r="F147">
        <v>129.69825918762001</v>
      </c>
      <c r="G147">
        <v>113.66408768536</v>
      </c>
      <c r="I147" s="9">
        <f t="shared" si="15"/>
        <v>191.81695806626999</v>
      </c>
      <c r="J147" s="9">
        <f t="shared" si="16"/>
        <v>480.33899571433994</v>
      </c>
      <c r="K147" s="9">
        <f t="shared" si="17"/>
        <v>191.81695806626999</v>
      </c>
      <c r="L147" s="10">
        <f t="shared" si="14"/>
        <v>0.39933663470526243</v>
      </c>
      <c r="M147" s="10">
        <f t="shared" si="18"/>
        <v>0.40099184057501275</v>
      </c>
      <c r="P147" s="8">
        <f t="shared" si="19"/>
        <v>24.445740914102732</v>
      </c>
    </row>
    <row r="148" spans="1:16" x14ac:dyDescent="0.2">
      <c r="A148" s="8">
        <v>73</v>
      </c>
      <c r="B148" s="8">
        <v>146</v>
      </c>
      <c r="D148">
        <v>610.40183246073002</v>
      </c>
      <c r="E148">
        <v>305.32591623037001</v>
      </c>
      <c r="F148">
        <v>129.16827852998</v>
      </c>
      <c r="G148">
        <v>113.55254674404</v>
      </c>
      <c r="I148" s="9">
        <f t="shared" si="15"/>
        <v>191.77336948633001</v>
      </c>
      <c r="J148" s="9">
        <f t="shared" si="16"/>
        <v>481.23355393075002</v>
      </c>
      <c r="K148" s="9">
        <f t="shared" si="17"/>
        <v>191.77336948633001</v>
      </c>
      <c r="L148" s="10">
        <f t="shared" si="14"/>
        <v>0.39850373674053158</v>
      </c>
      <c r="M148" s="10">
        <f t="shared" si="18"/>
        <v>0.40017035782317673</v>
      </c>
      <c r="P148" s="8">
        <f t="shared" si="19"/>
        <v>24.190797996676295</v>
      </c>
    </row>
    <row r="149" spans="1:16" x14ac:dyDescent="0.2">
      <c r="A149" s="8">
        <v>73.5</v>
      </c>
      <c r="B149" s="8">
        <v>147</v>
      </c>
      <c r="D149">
        <v>613.18823529411998</v>
      </c>
      <c r="E149">
        <v>307.42222222222</v>
      </c>
      <c r="F149">
        <v>129.68085106383</v>
      </c>
      <c r="G149">
        <v>113.83043197937</v>
      </c>
      <c r="I149" s="9">
        <f t="shared" si="15"/>
        <v>193.59179024284998</v>
      </c>
      <c r="J149" s="9">
        <f t="shared" si="16"/>
        <v>483.50738423028997</v>
      </c>
      <c r="K149" s="9">
        <f t="shared" si="17"/>
        <v>193.59179024284998</v>
      </c>
      <c r="L149" s="10">
        <f t="shared" si="14"/>
        <v>0.40039055567069487</v>
      </c>
      <c r="M149" s="10">
        <f t="shared" si="18"/>
        <v>0.40206859196623485</v>
      </c>
      <c r="P149" s="8">
        <f t="shared" si="19"/>
        <v>24.779905131680767</v>
      </c>
    </row>
    <row r="150" spans="1:16" x14ac:dyDescent="0.2">
      <c r="A150" s="8">
        <v>74</v>
      </c>
      <c r="B150" s="8">
        <v>148</v>
      </c>
      <c r="D150">
        <v>610.46993464052002</v>
      </c>
      <c r="E150">
        <v>306.94509803922</v>
      </c>
      <c r="F150">
        <v>129.34042553192</v>
      </c>
      <c r="G150">
        <v>113.86782720825001</v>
      </c>
      <c r="I150" s="9">
        <f t="shared" si="15"/>
        <v>193.07727083097001</v>
      </c>
      <c r="J150" s="9">
        <f t="shared" si="16"/>
        <v>481.12950910860002</v>
      </c>
      <c r="K150" s="9">
        <f t="shared" si="17"/>
        <v>193.07727083097001</v>
      </c>
      <c r="L150" s="10">
        <f t="shared" si="14"/>
        <v>0.40129999755926177</v>
      </c>
      <c r="M150" s="10">
        <f t="shared" si="18"/>
        <v>0.40298944906769663</v>
      </c>
      <c r="P150" s="8">
        <f t="shared" si="19"/>
        <v>25.065688363836053</v>
      </c>
    </row>
    <row r="151" spans="1:16" x14ac:dyDescent="0.2">
      <c r="A151" s="8">
        <v>74.5</v>
      </c>
      <c r="B151" s="8">
        <v>149</v>
      </c>
      <c r="D151">
        <v>610.35228758170001</v>
      </c>
      <c r="E151">
        <v>306.09934640522999</v>
      </c>
      <c r="F151">
        <v>129.10831721470001</v>
      </c>
      <c r="G151">
        <v>113.94326241135001</v>
      </c>
      <c r="I151" s="9">
        <f t="shared" si="15"/>
        <v>192.15608399387997</v>
      </c>
      <c r="J151" s="9">
        <f t="shared" si="16"/>
        <v>481.24397036699997</v>
      </c>
      <c r="K151" s="9">
        <f t="shared" si="17"/>
        <v>192.15608399387997</v>
      </c>
      <c r="L151" s="10">
        <f t="shared" si="14"/>
        <v>0.399290372089941</v>
      </c>
      <c r="M151" s="10">
        <f t="shared" si="18"/>
        <v>0.40099123881127069</v>
      </c>
      <c r="P151" s="8">
        <f t="shared" si="19"/>
        <v>24.445554159842025</v>
      </c>
    </row>
    <row r="152" spans="1:16" x14ac:dyDescent="0.2">
      <c r="A152" s="8">
        <v>75</v>
      </c>
      <c r="B152" s="8">
        <v>150</v>
      </c>
      <c r="D152">
        <v>610.10326797386006</v>
      </c>
      <c r="E152">
        <v>302.40653594770998</v>
      </c>
      <c r="F152">
        <v>129.19793681496</v>
      </c>
      <c r="G152">
        <v>113.59445519019999</v>
      </c>
      <c r="I152" s="9">
        <f t="shared" si="15"/>
        <v>188.81208075750999</v>
      </c>
      <c r="J152" s="9">
        <f t="shared" si="16"/>
        <v>480.90533115890003</v>
      </c>
      <c r="K152" s="9">
        <f t="shared" si="17"/>
        <v>188.81208075750999</v>
      </c>
      <c r="L152" s="10">
        <f t="shared" si="14"/>
        <v>0.392617982218049</v>
      </c>
      <c r="M152" s="10">
        <f t="shared" si="18"/>
        <v>0.39433026415227351</v>
      </c>
      <c r="P152" s="8">
        <f t="shared" si="19"/>
        <v>22.378355172799544</v>
      </c>
    </row>
    <row r="153" spans="1:16" x14ac:dyDescent="0.2">
      <c r="A153" s="8">
        <v>75.5</v>
      </c>
      <c r="B153" s="8">
        <v>151</v>
      </c>
      <c r="D153">
        <v>607.05032679738997</v>
      </c>
      <c r="E153">
        <v>300.55490196078</v>
      </c>
      <c r="F153">
        <v>129.13926499032999</v>
      </c>
      <c r="G153">
        <v>113.4281108962</v>
      </c>
      <c r="I153" s="9">
        <f t="shared" si="15"/>
        <v>187.12679106458</v>
      </c>
      <c r="J153" s="9">
        <f t="shared" si="16"/>
        <v>477.91106180705998</v>
      </c>
      <c r="K153" s="9">
        <f t="shared" si="17"/>
        <v>187.12679106458</v>
      </c>
      <c r="L153" s="10">
        <f t="shared" si="14"/>
        <v>0.39155149570512759</v>
      </c>
      <c r="M153" s="10">
        <f t="shared" si="18"/>
        <v>0.39327519285224694</v>
      </c>
      <c r="P153" s="8">
        <f t="shared" si="19"/>
        <v>22.050919259238974</v>
      </c>
    </row>
    <row r="154" spans="1:16" x14ac:dyDescent="0.2">
      <c r="A154" s="8">
        <v>76</v>
      </c>
      <c r="B154" s="8">
        <v>152</v>
      </c>
      <c r="D154">
        <v>608.04545454545996</v>
      </c>
      <c r="E154">
        <v>303.16168831169</v>
      </c>
      <c r="F154">
        <v>129.09864603482001</v>
      </c>
      <c r="G154">
        <v>113.45390070921999</v>
      </c>
      <c r="I154" s="9">
        <f t="shared" si="15"/>
        <v>189.70778760247001</v>
      </c>
      <c r="J154" s="9">
        <f t="shared" si="16"/>
        <v>478.94680851063993</v>
      </c>
      <c r="K154" s="9">
        <f t="shared" si="17"/>
        <v>189.70778760247001</v>
      </c>
      <c r="L154" s="10">
        <f t="shared" si="14"/>
        <v>0.39609364595704494</v>
      </c>
      <c r="M154" s="10">
        <f t="shared" si="18"/>
        <v>0.39782875831705911</v>
      </c>
      <c r="P154" s="8">
        <f t="shared" si="19"/>
        <v>23.464094717514701</v>
      </c>
    </row>
    <row r="155" spans="1:16" x14ac:dyDescent="0.2">
      <c r="A155" s="8">
        <v>76.5</v>
      </c>
      <c r="B155" s="8">
        <v>153</v>
      </c>
      <c r="D155">
        <v>603.49935064935005</v>
      </c>
      <c r="E155">
        <v>299.88376623377002</v>
      </c>
      <c r="F155">
        <v>129.54094132818</v>
      </c>
      <c r="G155">
        <v>113.75693101225001</v>
      </c>
      <c r="I155" s="9">
        <f t="shared" si="15"/>
        <v>186.12683522152003</v>
      </c>
      <c r="J155" s="9">
        <f t="shared" si="16"/>
        <v>473.95840932117005</v>
      </c>
      <c r="K155" s="9">
        <f t="shared" si="17"/>
        <v>186.12683522152003</v>
      </c>
      <c r="L155" s="10">
        <f t="shared" si="14"/>
        <v>0.39270710585787766</v>
      </c>
      <c r="M155" s="10">
        <f t="shared" si="18"/>
        <v>0.39445363343078665</v>
      </c>
      <c r="P155" s="8">
        <f t="shared" si="19"/>
        <v>22.416642189434572</v>
      </c>
    </row>
    <row r="156" spans="1:16" x14ac:dyDescent="0.2">
      <c r="A156" s="8">
        <v>77</v>
      </c>
      <c r="B156" s="8">
        <v>154</v>
      </c>
      <c r="D156">
        <v>597.74155844155996</v>
      </c>
      <c r="E156">
        <v>296.31623376623003</v>
      </c>
      <c r="F156">
        <v>129.73500967117999</v>
      </c>
      <c r="G156">
        <v>113.75306254029999</v>
      </c>
      <c r="I156" s="9">
        <f t="shared" si="15"/>
        <v>182.56317122593003</v>
      </c>
      <c r="J156" s="9">
        <f t="shared" si="16"/>
        <v>468.00654877037994</v>
      </c>
      <c r="K156" s="9">
        <f t="shared" si="17"/>
        <v>182.56317122593003</v>
      </c>
      <c r="L156" s="10">
        <f t="shared" si="14"/>
        <v>0.39008678768617355</v>
      </c>
      <c r="M156" s="10">
        <f t="shared" si="18"/>
        <v>0.39184473047197738</v>
      </c>
      <c r="P156" s="8">
        <f t="shared" si="19"/>
        <v>21.60698266814244</v>
      </c>
    </row>
    <row r="157" spans="1:16" x14ac:dyDescent="0.2">
      <c r="A157" s="8">
        <v>77.5</v>
      </c>
      <c r="B157" s="8">
        <v>155</v>
      </c>
      <c r="D157">
        <v>593.64350649351002</v>
      </c>
      <c r="E157">
        <v>293.35000000000002</v>
      </c>
      <c r="F157">
        <v>129.21470019341999</v>
      </c>
      <c r="G157">
        <v>113.59961315280999</v>
      </c>
      <c r="I157" s="9">
        <f t="shared" si="15"/>
        <v>179.75038684719004</v>
      </c>
      <c r="J157" s="9">
        <f t="shared" si="16"/>
        <v>464.42880630009006</v>
      </c>
      <c r="K157" s="9">
        <f t="shared" si="17"/>
        <v>179.75038684719004</v>
      </c>
      <c r="L157" s="10">
        <f t="shared" si="14"/>
        <v>0.38703539575674933</v>
      </c>
      <c r="M157" s="10">
        <f t="shared" si="18"/>
        <v>0.38880475375544798</v>
      </c>
      <c r="P157" s="8">
        <f t="shared" si="19"/>
        <v>20.663541638749848</v>
      </c>
    </row>
    <row r="158" spans="1:16" x14ac:dyDescent="0.2">
      <c r="A158" s="8">
        <v>78</v>
      </c>
      <c r="B158" s="8">
        <v>156</v>
      </c>
      <c r="D158">
        <v>601.82736156351996</v>
      </c>
      <c r="E158">
        <v>295.29576547230999</v>
      </c>
      <c r="F158">
        <v>129.10831721470001</v>
      </c>
      <c r="G158">
        <v>113.4635718891</v>
      </c>
      <c r="I158" s="9">
        <f t="shared" si="15"/>
        <v>181.83219358321</v>
      </c>
      <c r="J158" s="9">
        <f t="shared" si="16"/>
        <v>472.71904434881992</v>
      </c>
      <c r="K158" s="9">
        <f t="shared" si="17"/>
        <v>181.83219358321</v>
      </c>
      <c r="L158" s="10">
        <f t="shared" si="14"/>
        <v>0.38465172020663463</v>
      </c>
      <c r="M158" s="10">
        <f t="shared" si="18"/>
        <v>0.38643249341822811</v>
      </c>
      <c r="P158" s="8">
        <f t="shared" si="19"/>
        <v>19.927322929453588</v>
      </c>
    </row>
    <row r="159" spans="1:16" x14ac:dyDescent="0.2">
      <c r="A159" s="8">
        <v>78.5</v>
      </c>
      <c r="B159" s="8">
        <v>157</v>
      </c>
      <c r="D159">
        <v>601.55895765471996</v>
      </c>
      <c r="E159">
        <v>292.42084690553997</v>
      </c>
      <c r="F159">
        <v>129.138620245</v>
      </c>
      <c r="G159">
        <v>113.56221792392</v>
      </c>
      <c r="I159" s="9">
        <f t="shared" si="15"/>
        <v>178.85862898161997</v>
      </c>
      <c r="J159" s="9">
        <f t="shared" si="16"/>
        <v>472.42033740971999</v>
      </c>
      <c r="K159" s="9">
        <f t="shared" si="17"/>
        <v>178.85862898161997</v>
      </c>
      <c r="L159" s="10">
        <f t="shared" si="14"/>
        <v>0.37860061224777403</v>
      </c>
      <c r="M159" s="10">
        <f t="shared" si="18"/>
        <v>0.38039280067226233</v>
      </c>
      <c r="P159" s="8">
        <f t="shared" si="19"/>
        <v>18.052935566390424</v>
      </c>
    </row>
    <row r="160" spans="1:16" x14ac:dyDescent="0.2">
      <c r="A160" s="8">
        <v>79</v>
      </c>
      <c r="B160" s="8">
        <v>158</v>
      </c>
      <c r="D160">
        <v>601.46188925081003</v>
      </c>
      <c r="E160">
        <v>289.75048859934998</v>
      </c>
      <c r="F160">
        <v>129.48162475821999</v>
      </c>
      <c r="G160">
        <v>113.51708575113</v>
      </c>
      <c r="I160" s="9">
        <f t="shared" si="15"/>
        <v>176.23340284821998</v>
      </c>
      <c r="J160" s="9">
        <f t="shared" si="16"/>
        <v>471.98026449259004</v>
      </c>
      <c r="K160" s="9">
        <f t="shared" si="17"/>
        <v>176.23340284821998</v>
      </c>
      <c r="L160" s="10">
        <f t="shared" si="14"/>
        <v>0.37339146592852251</v>
      </c>
      <c r="M160" s="10">
        <f t="shared" si="18"/>
        <v>0.37519506956590565</v>
      </c>
      <c r="P160" s="8">
        <f t="shared" si="19"/>
        <v>16.43984663751025</v>
      </c>
    </row>
    <row r="161" spans="1:16" x14ac:dyDescent="0.2">
      <c r="A161" s="8">
        <v>79.5</v>
      </c>
      <c r="B161" s="8">
        <v>159</v>
      </c>
      <c r="D161">
        <v>583.84755700326002</v>
      </c>
      <c r="E161">
        <v>285.77589576547001</v>
      </c>
      <c r="F161">
        <v>129.72533849129999</v>
      </c>
      <c r="G161">
        <v>113.84397163121</v>
      </c>
      <c r="I161" s="9">
        <f t="shared" si="15"/>
        <v>171.93192413426002</v>
      </c>
      <c r="J161" s="9">
        <f t="shared" si="16"/>
        <v>454.12221851196</v>
      </c>
      <c r="K161" s="9">
        <f t="shared" si="17"/>
        <v>171.93192413426002</v>
      </c>
      <c r="L161" s="10">
        <f t="shared" si="14"/>
        <v>0.37860275741987709</v>
      </c>
      <c r="M161" s="10">
        <f t="shared" si="18"/>
        <v>0.38041777627015505</v>
      </c>
      <c r="P161" s="8">
        <f t="shared" si="19"/>
        <v>18.060686613843345</v>
      </c>
    </row>
    <row r="162" spans="1:16" x14ac:dyDescent="0.2">
      <c r="A162" s="8">
        <v>80</v>
      </c>
      <c r="B162" s="4">
        <v>160</v>
      </c>
      <c r="C162" s="4" t="s">
        <v>6</v>
      </c>
      <c r="D162">
        <v>580.32335718932995</v>
      </c>
      <c r="E162">
        <v>283.78464541314003</v>
      </c>
      <c r="F162">
        <v>129.13926499032999</v>
      </c>
      <c r="G162">
        <v>113.83558994197</v>
      </c>
      <c r="H162" s="4"/>
      <c r="I162" s="5">
        <f t="shared" si="15"/>
        <v>169.94905547117003</v>
      </c>
      <c r="J162" s="5">
        <f t="shared" si="16"/>
        <v>451.18409219899996</v>
      </c>
      <c r="K162" s="9">
        <f t="shared" si="17"/>
        <v>169.94905547117003</v>
      </c>
      <c r="L162" s="6">
        <f t="shared" si="14"/>
        <v>0.37667342091531902</v>
      </c>
      <c r="M162" s="6">
        <f t="shared" si="18"/>
        <v>0.37849985497849181</v>
      </c>
      <c r="N162" s="4"/>
      <c r="O162" s="4"/>
      <c r="P162" s="4">
        <f t="shared" si="19"/>
        <v>17.465469674232541</v>
      </c>
    </row>
    <row r="163" spans="1:16" x14ac:dyDescent="0.2">
      <c r="A163" s="8">
        <v>80.5</v>
      </c>
      <c r="B163" s="8">
        <v>161</v>
      </c>
      <c r="D163">
        <v>577.33767078724998</v>
      </c>
      <c r="E163">
        <v>283.21210149642002</v>
      </c>
      <c r="F163">
        <v>129.17666021920999</v>
      </c>
      <c r="G163">
        <v>113.66344294004</v>
      </c>
      <c r="I163" s="9">
        <f t="shared" si="15"/>
        <v>169.54865855638002</v>
      </c>
      <c r="J163" s="9">
        <f t="shared" si="16"/>
        <v>448.16101056803996</v>
      </c>
      <c r="K163" s="9">
        <f t="shared" si="17"/>
        <v>169.54865855638002</v>
      </c>
      <c r="L163" s="10">
        <f t="shared" si="14"/>
        <v>0.37832085915166663</v>
      </c>
      <c r="M163" s="10">
        <f t="shared" si="18"/>
        <v>0.38015870842773425</v>
      </c>
      <c r="P163" s="8">
        <f t="shared" si="19"/>
        <v>17.980286250706673</v>
      </c>
    </row>
    <row r="164" spans="1:16" x14ac:dyDescent="0.2">
      <c r="A164" s="8">
        <v>81</v>
      </c>
      <c r="B164" s="8">
        <v>162</v>
      </c>
      <c r="D164">
        <v>584.88809368901002</v>
      </c>
      <c r="E164">
        <v>284.76707872479</v>
      </c>
      <c r="F164">
        <v>129.49516441006</v>
      </c>
      <c r="G164">
        <v>113.68536428111</v>
      </c>
      <c r="I164" s="9">
        <f t="shared" si="15"/>
        <v>171.08171444368</v>
      </c>
      <c r="J164" s="9">
        <f t="shared" si="16"/>
        <v>455.39292927895002</v>
      </c>
      <c r="K164" s="9">
        <f t="shared" si="17"/>
        <v>171.08171444368</v>
      </c>
      <c r="L164" s="10">
        <f t="shared" si="14"/>
        <v>0.37567933853203117</v>
      </c>
      <c r="M164" s="10">
        <f t="shared" si="18"/>
        <v>0.37752860302099361</v>
      </c>
      <c r="P164" s="8">
        <f t="shared" si="19"/>
        <v>17.164046659510309</v>
      </c>
    </row>
    <row r="165" spans="1:16" x14ac:dyDescent="0.2">
      <c r="A165" s="8">
        <v>81.5</v>
      </c>
      <c r="B165" s="8">
        <v>163</v>
      </c>
      <c r="D165">
        <v>584.30644111905997</v>
      </c>
      <c r="E165">
        <v>279.93428757319998</v>
      </c>
      <c r="F165">
        <v>129.49580915537999</v>
      </c>
      <c r="G165">
        <v>113.47582205029001</v>
      </c>
      <c r="I165" s="9">
        <f t="shared" si="15"/>
        <v>166.45846552290999</v>
      </c>
      <c r="J165" s="9">
        <f t="shared" si="16"/>
        <v>454.81063196367995</v>
      </c>
      <c r="K165" s="9">
        <f t="shared" si="17"/>
        <v>166.45846552290999</v>
      </c>
      <c r="L165" s="10">
        <f t="shared" si="14"/>
        <v>0.36599510614827263</v>
      </c>
      <c r="M165" s="10">
        <f t="shared" si="18"/>
        <v>0.3678557858501299</v>
      </c>
      <c r="P165" s="8">
        <f t="shared" si="19"/>
        <v>14.162137947780279</v>
      </c>
    </row>
    <row r="166" spans="1:16" x14ac:dyDescent="0.2">
      <c r="A166" s="8">
        <v>82</v>
      </c>
      <c r="B166" s="8">
        <v>164</v>
      </c>
      <c r="D166">
        <v>579.83604424202997</v>
      </c>
      <c r="E166">
        <v>272.90956408587999</v>
      </c>
      <c r="F166">
        <v>129.32817537073001</v>
      </c>
      <c r="G166">
        <v>113.81044487427999</v>
      </c>
      <c r="I166" s="9">
        <f t="shared" si="15"/>
        <v>159.0991192116</v>
      </c>
      <c r="J166" s="9">
        <f t="shared" si="16"/>
        <v>450.50786887129993</v>
      </c>
      <c r="K166" s="9">
        <f t="shared" si="17"/>
        <v>159.0991192116</v>
      </c>
      <c r="L166" s="10">
        <f t="shared" si="14"/>
        <v>0.35315502836877433</v>
      </c>
      <c r="M166" s="10">
        <f t="shared" si="18"/>
        <v>0.35502712328352642</v>
      </c>
      <c r="P166" s="8">
        <f t="shared" si="19"/>
        <v>10.180828962169299</v>
      </c>
    </row>
    <row r="167" spans="1:16" x14ac:dyDescent="0.2">
      <c r="A167" s="8">
        <v>82.5</v>
      </c>
      <c r="B167" s="8">
        <v>165</v>
      </c>
      <c r="D167">
        <v>580.61158100194996</v>
      </c>
      <c r="E167">
        <v>266.12947299935001</v>
      </c>
      <c r="F167">
        <v>129.45067698259001</v>
      </c>
      <c r="G167">
        <v>113.83430045132</v>
      </c>
      <c r="I167" s="9">
        <f t="shared" si="15"/>
        <v>152.29517254803</v>
      </c>
      <c r="J167" s="9">
        <f t="shared" si="16"/>
        <v>451.16090401935992</v>
      </c>
      <c r="K167" s="9">
        <f t="shared" si="17"/>
        <v>152.29517254803</v>
      </c>
      <c r="L167" s="10">
        <f t="shared" si="14"/>
        <v>0.33756287655078998</v>
      </c>
      <c r="M167" s="10">
        <f t="shared" si="18"/>
        <v>0.33944638667843691</v>
      </c>
      <c r="P167" s="8">
        <f t="shared" si="19"/>
        <v>5.3454280521970921</v>
      </c>
    </row>
    <row r="168" spans="1:16" x14ac:dyDescent="0.2">
      <c r="A168" s="8">
        <v>83</v>
      </c>
      <c r="B168" s="8">
        <v>166</v>
      </c>
      <c r="D168">
        <v>579.81067013663005</v>
      </c>
      <c r="E168">
        <v>262.21535458685997</v>
      </c>
      <c r="F168">
        <v>128.79561573179001</v>
      </c>
      <c r="G168">
        <v>113.57059961314999</v>
      </c>
      <c r="I168" s="9">
        <f t="shared" si="15"/>
        <v>148.64475497370998</v>
      </c>
      <c r="J168" s="9">
        <f t="shared" si="16"/>
        <v>451.01505440484004</v>
      </c>
      <c r="K168" s="9">
        <f t="shared" si="17"/>
        <v>148.64475497370998</v>
      </c>
      <c r="L168" s="10">
        <f t="shared" si="14"/>
        <v>0.32957825580758443</v>
      </c>
      <c r="M168" s="10">
        <f t="shared" si="18"/>
        <v>0.33147318114812618</v>
      </c>
      <c r="P168" s="8">
        <f t="shared" si="19"/>
        <v>2.8709850105204753</v>
      </c>
    </row>
    <row r="169" spans="1:16" x14ac:dyDescent="0.2">
      <c r="A169" s="8">
        <v>83.5</v>
      </c>
      <c r="B169" s="8">
        <v>167</v>
      </c>
      <c r="D169">
        <v>579.78074170462003</v>
      </c>
      <c r="E169">
        <v>256.74235523748001</v>
      </c>
      <c r="F169">
        <v>129.64281108962001</v>
      </c>
      <c r="G169">
        <v>113.69374597034</v>
      </c>
      <c r="I169" s="9">
        <f t="shared" si="15"/>
        <v>143.04860926714002</v>
      </c>
      <c r="J169" s="9">
        <f t="shared" si="16"/>
        <v>450.13793061500002</v>
      </c>
      <c r="K169" s="9">
        <f t="shared" si="17"/>
        <v>143.04860926714002</v>
      </c>
      <c r="L169" s="10">
        <f t="shared" si="14"/>
        <v>0.31778839226390043</v>
      </c>
      <c r="M169" s="10">
        <f t="shared" si="18"/>
        <v>0.31969473281733701</v>
      </c>
      <c r="P169" s="8">
        <f t="shared" si="19"/>
        <v>-0.7843954262526136</v>
      </c>
    </row>
    <row r="170" spans="1:16" x14ac:dyDescent="0.2">
      <c r="A170" s="8">
        <v>84</v>
      </c>
      <c r="B170" s="8">
        <v>168</v>
      </c>
      <c r="D170">
        <v>575.89655172413995</v>
      </c>
      <c r="E170">
        <v>252.40273259597001</v>
      </c>
      <c r="F170">
        <v>129.37653127015</v>
      </c>
      <c r="G170">
        <v>114.07930367505</v>
      </c>
      <c r="I170" s="9">
        <f t="shared" si="15"/>
        <v>138.32342892092001</v>
      </c>
      <c r="J170" s="9">
        <f t="shared" si="16"/>
        <v>446.52002045398996</v>
      </c>
      <c r="K170" s="9">
        <f t="shared" si="17"/>
        <v>138.32342892092001</v>
      </c>
      <c r="L170" s="10">
        <f t="shared" si="14"/>
        <v>0.3097810234360433</v>
      </c>
      <c r="M170" s="10">
        <f t="shared" si="18"/>
        <v>0.31169877920237471</v>
      </c>
      <c r="P170" s="8">
        <f t="shared" si="19"/>
        <v>-3.2658982181844549</v>
      </c>
    </row>
    <row r="171" spans="1:16" x14ac:dyDescent="0.2">
      <c r="A171" s="8">
        <v>84.5</v>
      </c>
      <c r="B171" s="8">
        <v>169</v>
      </c>
      <c r="D171">
        <v>586.09014267186001</v>
      </c>
      <c r="E171">
        <v>248.85862516213001</v>
      </c>
      <c r="F171">
        <v>129.54738878142999</v>
      </c>
      <c r="G171">
        <v>113.97549967763</v>
      </c>
      <c r="I171" s="9">
        <f t="shared" si="15"/>
        <v>134.8831254845</v>
      </c>
      <c r="J171" s="9">
        <f t="shared" si="16"/>
        <v>456.54275389043005</v>
      </c>
      <c r="K171" s="9">
        <f t="shared" si="17"/>
        <v>134.8831254845</v>
      </c>
      <c r="L171" s="10">
        <f t="shared" si="14"/>
        <v>0.29544467486362047</v>
      </c>
      <c r="M171" s="10">
        <f t="shared" si="18"/>
        <v>0.29737384584284671</v>
      </c>
      <c r="P171" s="8">
        <f t="shared" si="19"/>
        <v>-7.7115670949259183</v>
      </c>
    </row>
    <row r="172" spans="1:16" x14ac:dyDescent="0.2">
      <c r="A172" s="8">
        <v>85</v>
      </c>
      <c r="B172" s="8">
        <v>170</v>
      </c>
      <c r="D172">
        <v>575.92023346303995</v>
      </c>
      <c r="E172">
        <v>241.00518806745001</v>
      </c>
      <c r="F172">
        <v>129.44616376530999</v>
      </c>
      <c r="G172">
        <v>113.47517730497</v>
      </c>
      <c r="I172" s="9">
        <f t="shared" si="15"/>
        <v>127.53001076248</v>
      </c>
      <c r="J172" s="9">
        <f t="shared" si="16"/>
        <v>446.47406969772999</v>
      </c>
      <c r="K172" s="9">
        <f t="shared" si="17"/>
        <v>127.53001076248</v>
      </c>
      <c r="L172" s="10">
        <f t="shared" si="14"/>
        <v>0.28563811297892361</v>
      </c>
      <c r="M172" s="10">
        <f t="shared" si="18"/>
        <v>0.28757869917104467</v>
      </c>
      <c r="P172" s="8">
        <f t="shared" si="19"/>
        <v>-10.751440133705826</v>
      </c>
    </row>
    <row r="173" spans="1:16" x14ac:dyDescent="0.2">
      <c r="A173" s="8">
        <v>85.5</v>
      </c>
      <c r="B173" s="8">
        <v>171</v>
      </c>
      <c r="D173">
        <v>579.78314826911003</v>
      </c>
      <c r="E173">
        <v>241.1894186806</v>
      </c>
      <c r="F173">
        <v>129.31721470018999</v>
      </c>
      <c r="G173">
        <v>113.67375886524999</v>
      </c>
      <c r="I173" s="9">
        <f t="shared" si="15"/>
        <v>127.51565981535001</v>
      </c>
      <c r="J173" s="9">
        <f t="shared" si="16"/>
        <v>450.46593356892004</v>
      </c>
      <c r="K173" s="9">
        <f t="shared" si="17"/>
        <v>127.51565981535001</v>
      </c>
      <c r="L173" s="10">
        <f t="shared" si="14"/>
        <v>0.28307503478693236</v>
      </c>
      <c r="M173" s="10">
        <f t="shared" si="18"/>
        <v>0.2850270361919483</v>
      </c>
      <c r="P173" s="8">
        <f t="shared" si="19"/>
        <v>-11.543335523750132</v>
      </c>
    </row>
    <row r="174" spans="1:16" x14ac:dyDescent="0.2">
      <c r="A174" s="8">
        <v>86</v>
      </c>
      <c r="B174" s="8">
        <v>172</v>
      </c>
      <c r="D174">
        <v>586.68990228013001</v>
      </c>
      <c r="E174">
        <v>237.18306188925001</v>
      </c>
      <c r="F174">
        <v>129.30883301096</v>
      </c>
      <c r="G174">
        <v>113.32624113475001</v>
      </c>
      <c r="I174" s="9">
        <f t="shared" si="15"/>
        <v>123.85682075450001</v>
      </c>
      <c r="J174" s="9">
        <f t="shared" si="16"/>
        <v>457.38106926916998</v>
      </c>
      <c r="K174" s="9">
        <f t="shared" si="17"/>
        <v>123.85682075450001</v>
      </c>
      <c r="L174" s="10">
        <f t="shared" si="14"/>
        <v>0.27079568673973681</v>
      </c>
      <c r="M174" s="10">
        <f t="shared" si="18"/>
        <v>0.27275910335764758</v>
      </c>
      <c r="P174" s="8">
        <f t="shared" si="19"/>
        <v>-15.350624941060373</v>
      </c>
    </row>
    <row r="175" spans="1:16" x14ac:dyDescent="0.2">
      <c r="A175" s="8">
        <v>86.5</v>
      </c>
      <c r="B175" s="8">
        <v>173</v>
      </c>
      <c r="D175">
        <v>601.40466926069996</v>
      </c>
      <c r="E175">
        <v>238.33722438391999</v>
      </c>
      <c r="F175">
        <v>129.42295293359001</v>
      </c>
      <c r="G175">
        <v>113.46937459703</v>
      </c>
      <c r="I175" s="9">
        <f t="shared" si="15"/>
        <v>124.86784978688999</v>
      </c>
      <c r="J175" s="9">
        <f t="shared" si="16"/>
        <v>471.98171632710995</v>
      </c>
      <c r="K175" s="9">
        <f t="shared" si="17"/>
        <v>124.86784978688999</v>
      </c>
      <c r="L175" s="10">
        <f t="shared" si="14"/>
        <v>0.26456077739322753</v>
      </c>
      <c r="M175" s="10">
        <f t="shared" si="18"/>
        <v>0.26653560922403313</v>
      </c>
      <c r="P175" s="8">
        <f t="shared" si="19"/>
        <v>-17.282054112840093</v>
      </c>
    </row>
    <row r="176" spans="1:16" x14ac:dyDescent="0.2">
      <c r="A176" s="8">
        <v>87</v>
      </c>
      <c r="B176" s="8">
        <v>174</v>
      </c>
      <c r="D176">
        <v>632.25979112272</v>
      </c>
      <c r="E176">
        <v>242.37793733682</v>
      </c>
      <c r="F176">
        <v>129.20825274017</v>
      </c>
      <c r="G176">
        <v>113.5718891038</v>
      </c>
      <c r="I176" s="9">
        <f t="shared" si="15"/>
        <v>128.80604823301999</v>
      </c>
      <c r="J176" s="9">
        <f t="shared" si="16"/>
        <v>503.05153838255001</v>
      </c>
      <c r="K176" s="9">
        <f t="shared" si="17"/>
        <v>128.80604823301999</v>
      </c>
      <c r="L176" s="10">
        <f t="shared" si="14"/>
        <v>0.25604940727776543</v>
      </c>
      <c r="M176" s="10">
        <f t="shared" si="18"/>
        <v>0.25803565432146586</v>
      </c>
      <c r="P176" s="8">
        <f t="shared" si="19"/>
        <v>-19.919971094067463</v>
      </c>
    </row>
    <row r="177" spans="1:16" x14ac:dyDescent="0.2">
      <c r="A177" s="8">
        <v>87.5</v>
      </c>
      <c r="B177" s="8">
        <v>175</v>
      </c>
      <c r="D177">
        <v>625.70953002610997</v>
      </c>
      <c r="E177">
        <v>235.44386422977001</v>
      </c>
      <c r="F177">
        <v>129.10831721470001</v>
      </c>
      <c r="G177">
        <v>113.51450676983001</v>
      </c>
      <c r="I177" s="9">
        <f t="shared" si="15"/>
        <v>121.92935745994001</v>
      </c>
      <c r="J177" s="9">
        <f t="shared" si="16"/>
        <v>496.60121281140994</v>
      </c>
      <c r="K177" s="9">
        <f t="shared" si="17"/>
        <v>121.92935745994001</v>
      </c>
      <c r="L177" s="10">
        <f t="shared" si="14"/>
        <v>0.24552770777514007</v>
      </c>
      <c r="M177" s="10">
        <f t="shared" si="18"/>
        <v>0.2475253700317353</v>
      </c>
      <c r="P177" s="8">
        <f t="shared" si="19"/>
        <v>-23.181783388746048</v>
      </c>
    </row>
    <row r="178" spans="1:16" x14ac:dyDescent="0.2">
      <c r="A178" s="8">
        <v>88</v>
      </c>
      <c r="B178" s="8">
        <v>176</v>
      </c>
      <c r="D178">
        <v>618.68284789643997</v>
      </c>
      <c r="E178">
        <v>230.48867313916</v>
      </c>
      <c r="F178">
        <v>128.81689232753001</v>
      </c>
      <c r="G178">
        <v>113.166344294</v>
      </c>
      <c r="I178" s="9">
        <f t="shared" si="15"/>
        <v>117.32232884516</v>
      </c>
      <c r="J178" s="9">
        <f t="shared" si="16"/>
        <v>489.86595556890995</v>
      </c>
      <c r="K178" s="9">
        <f t="shared" si="17"/>
        <v>117.32232884516</v>
      </c>
      <c r="L178" s="10">
        <f t="shared" si="14"/>
        <v>0.23949884149207046</v>
      </c>
      <c r="M178" s="10">
        <f t="shared" si="18"/>
        <v>0.24150791896156051</v>
      </c>
      <c r="P178" s="8">
        <f t="shared" si="19"/>
        <v>-25.049268162921091</v>
      </c>
    </row>
    <row r="179" spans="1:16" x14ac:dyDescent="0.2">
      <c r="A179" s="8">
        <v>88.5</v>
      </c>
      <c r="B179" s="8">
        <v>177</v>
      </c>
      <c r="D179">
        <v>613.09773462783005</v>
      </c>
      <c r="E179">
        <v>226.34174757282</v>
      </c>
      <c r="F179">
        <v>129.17343649259001</v>
      </c>
      <c r="G179">
        <v>113.41521598967999</v>
      </c>
      <c r="I179" s="9">
        <f t="shared" si="15"/>
        <v>112.92653158314</v>
      </c>
      <c r="J179" s="9">
        <f t="shared" si="16"/>
        <v>483.92429813524006</v>
      </c>
      <c r="K179" s="9">
        <f t="shared" si="17"/>
        <v>112.92653158314</v>
      </c>
      <c r="L179" s="10">
        <f t="shared" si="14"/>
        <v>0.23335577903050644</v>
      </c>
      <c r="M179" s="10">
        <f t="shared" si="18"/>
        <v>0.23537627171289136</v>
      </c>
      <c r="P179" s="8">
        <f t="shared" si="19"/>
        <v>-26.952193129649459</v>
      </c>
    </row>
    <row r="180" spans="1:16" x14ac:dyDescent="0.2">
      <c r="A180" s="8">
        <v>89</v>
      </c>
      <c r="B180" s="8">
        <v>178</v>
      </c>
      <c r="D180">
        <v>621.44163424124997</v>
      </c>
      <c r="E180">
        <v>228.39105058365999</v>
      </c>
      <c r="F180">
        <v>128.55705996131999</v>
      </c>
      <c r="G180">
        <v>113.30689877498</v>
      </c>
      <c r="I180" s="9">
        <f t="shared" si="15"/>
        <v>115.08415180867999</v>
      </c>
      <c r="J180" s="9">
        <f t="shared" si="16"/>
        <v>492.88457427993001</v>
      </c>
      <c r="K180" s="9">
        <f t="shared" si="17"/>
        <v>115.08415180867999</v>
      </c>
      <c r="L180" s="10">
        <f t="shared" si="14"/>
        <v>0.23349108049650349</v>
      </c>
      <c r="M180" s="10">
        <f t="shared" si="18"/>
        <v>0.23552298839178323</v>
      </c>
      <c r="P180" s="8">
        <f t="shared" si="19"/>
        <v>-26.906660368227246</v>
      </c>
    </row>
    <row r="181" spans="1:16" x14ac:dyDescent="0.2">
      <c r="A181" s="8">
        <v>89.5</v>
      </c>
      <c r="B181" s="8">
        <v>179</v>
      </c>
      <c r="D181">
        <v>634.90013054830001</v>
      </c>
      <c r="E181">
        <v>232.34203655352999</v>
      </c>
      <c r="F181">
        <v>128.56157317859001</v>
      </c>
      <c r="G181">
        <v>112.91747259832</v>
      </c>
      <c r="I181" s="9">
        <f t="shared" si="15"/>
        <v>119.42456395520999</v>
      </c>
      <c r="J181" s="9">
        <f t="shared" si="16"/>
        <v>506.33855736970997</v>
      </c>
      <c r="K181" s="9">
        <f t="shared" si="17"/>
        <v>119.42456395520999</v>
      </c>
      <c r="L181" s="10">
        <f t="shared" si="14"/>
        <v>0.23585911484913941</v>
      </c>
      <c r="M181" s="10">
        <f t="shared" si="18"/>
        <v>0.23790243795731397</v>
      </c>
      <c r="P181" s="8">
        <f t="shared" si="19"/>
        <v>-26.168210519159008</v>
      </c>
    </row>
    <row r="182" spans="1:16" x14ac:dyDescent="0.2">
      <c r="A182" s="8">
        <v>90</v>
      </c>
      <c r="B182" s="8">
        <v>180</v>
      </c>
      <c r="D182">
        <v>643.10313315926999</v>
      </c>
      <c r="E182">
        <v>232.13381201044001</v>
      </c>
      <c r="F182">
        <v>128.70599613152999</v>
      </c>
      <c r="G182">
        <v>112.972275951</v>
      </c>
      <c r="I182" s="9">
        <f t="shared" si="15"/>
        <v>119.16153605944001</v>
      </c>
      <c r="J182" s="9">
        <f t="shared" si="16"/>
        <v>514.39713702773997</v>
      </c>
      <c r="K182" s="9">
        <f t="shared" si="17"/>
        <v>119.16153605944001</v>
      </c>
      <c r="L182" s="10">
        <f t="shared" si="14"/>
        <v>0.23165279796845753</v>
      </c>
      <c r="M182" s="10">
        <f>L182+ABS($N$2)*A182</f>
        <v>0.23370753628952692</v>
      </c>
      <c r="P182" s="8">
        <f t="shared" si="19"/>
        <v>-27.470076525611848</v>
      </c>
    </row>
    <row r="183" spans="1:16" x14ac:dyDescent="0.2">
      <c r="A183" s="8">
        <v>90.5</v>
      </c>
      <c r="B183" s="8">
        <v>181</v>
      </c>
      <c r="D183">
        <v>618.77154046996998</v>
      </c>
      <c r="E183">
        <v>226.35639686683999</v>
      </c>
      <c r="F183">
        <v>128.77240490006</v>
      </c>
      <c r="G183">
        <v>113.34880722115</v>
      </c>
      <c r="I183" s="9">
        <f t="shared" si="15"/>
        <v>113.00758964568999</v>
      </c>
      <c r="J183" s="9">
        <f t="shared" si="16"/>
        <v>489.99913556990998</v>
      </c>
      <c r="K183" s="9">
        <f t="shared" si="17"/>
        <v>113.00758964568999</v>
      </c>
      <c r="L183" s="10">
        <f t="shared" si="14"/>
        <v>0.23062814083182556</v>
      </c>
      <c r="M183" s="10">
        <f t="shared" ref="M183:M241" si="20">L183+ABS($N$2)*A183</f>
        <v>0.23269429436578978</v>
      </c>
      <c r="P183" s="8">
        <f t="shared" si="19"/>
        <v>-27.7845309088828</v>
      </c>
    </row>
    <row r="184" spans="1:16" x14ac:dyDescent="0.2">
      <c r="A184" s="8">
        <v>91</v>
      </c>
      <c r="B184" s="8">
        <v>182</v>
      </c>
      <c r="D184">
        <v>630.47687296416996</v>
      </c>
      <c r="E184">
        <v>224.39348534202</v>
      </c>
      <c r="F184">
        <v>128.96840747905</v>
      </c>
      <c r="G184">
        <v>113.50032237265999</v>
      </c>
      <c r="I184" s="9">
        <f t="shared" si="15"/>
        <v>110.89316296936001</v>
      </c>
      <c r="J184" s="9">
        <f t="shared" si="16"/>
        <v>501.50846548511993</v>
      </c>
      <c r="K184" s="9">
        <f t="shared" si="17"/>
        <v>110.89316296936001</v>
      </c>
      <c r="L184" s="10">
        <f t="shared" si="14"/>
        <v>0.22111922450220389</v>
      </c>
      <c r="M184" s="10">
        <f t="shared" si="20"/>
        <v>0.22319679324906294</v>
      </c>
      <c r="P184" s="8">
        <f t="shared" si="19"/>
        <v>-30.732031191204602</v>
      </c>
    </row>
    <row r="185" spans="1:16" x14ac:dyDescent="0.2">
      <c r="A185" s="8">
        <v>91.5</v>
      </c>
      <c r="B185" s="8">
        <v>183</v>
      </c>
      <c r="D185">
        <v>624.29511400651995</v>
      </c>
      <c r="E185">
        <v>221.87166123778999</v>
      </c>
      <c r="F185">
        <v>128.57317859445999</v>
      </c>
      <c r="G185">
        <v>113.166344294</v>
      </c>
      <c r="I185" s="9">
        <f t="shared" si="15"/>
        <v>108.70531694379</v>
      </c>
      <c r="J185" s="9">
        <f t="shared" si="16"/>
        <v>495.72193541205996</v>
      </c>
      <c r="K185" s="9">
        <f t="shared" si="17"/>
        <v>108.70531694379</v>
      </c>
      <c r="L185" s="10">
        <f t="shared" si="14"/>
        <v>0.21928688076598962</v>
      </c>
      <c r="M185" s="10">
        <f t="shared" si="20"/>
        <v>0.2213758647257435</v>
      </c>
      <c r="P185" s="8">
        <f t="shared" si="19"/>
        <v>-31.297146927502784</v>
      </c>
    </row>
    <row r="186" spans="1:16" x14ac:dyDescent="0.2">
      <c r="A186" s="8">
        <v>92</v>
      </c>
      <c r="B186" s="8">
        <v>184</v>
      </c>
      <c r="D186">
        <v>620.72508143323</v>
      </c>
      <c r="E186">
        <v>220.90879478827</v>
      </c>
      <c r="F186">
        <v>128.83043197936999</v>
      </c>
      <c r="G186">
        <v>113.45325596389</v>
      </c>
      <c r="I186" s="9">
        <f t="shared" si="15"/>
        <v>107.45553882438</v>
      </c>
      <c r="J186" s="9">
        <f t="shared" si="16"/>
        <v>491.89464945385998</v>
      </c>
      <c r="K186" s="9">
        <f t="shared" si="17"/>
        <v>107.45553882438</v>
      </c>
      <c r="L186" s="10">
        <f t="shared" si="14"/>
        <v>0.21845234328872162</v>
      </c>
      <c r="M186" s="10">
        <f t="shared" si="20"/>
        <v>0.22055274246137033</v>
      </c>
      <c r="P186" s="8">
        <f t="shared" si="19"/>
        <v>-31.552598659153791</v>
      </c>
    </row>
    <row r="187" spans="1:16" x14ac:dyDescent="0.2">
      <c r="A187" s="8">
        <v>92.5</v>
      </c>
      <c r="B187" s="8">
        <v>185</v>
      </c>
      <c r="D187">
        <v>616.49902280130004</v>
      </c>
      <c r="E187">
        <v>219.22149837134</v>
      </c>
      <c r="F187">
        <v>129.07607994841999</v>
      </c>
      <c r="G187">
        <v>113.58671824629</v>
      </c>
      <c r="I187" s="9">
        <f t="shared" si="15"/>
        <v>105.63478012505</v>
      </c>
      <c r="J187" s="9">
        <f t="shared" si="16"/>
        <v>487.42294285288006</v>
      </c>
      <c r="K187" s="9">
        <f t="shared" si="17"/>
        <v>105.63478012505</v>
      </c>
      <c r="L187" s="10">
        <f t="shared" si="14"/>
        <v>0.21672098466840939</v>
      </c>
      <c r="M187" s="10">
        <f t="shared" si="20"/>
        <v>0.21883279905395292</v>
      </c>
      <c r="P187" s="8">
        <f t="shared" si="19"/>
        <v>-32.086374187751723</v>
      </c>
    </row>
    <row r="188" spans="1:16" x14ac:dyDescent="0.2">
      <c r="A188" s="8">
        <v>93</v>
      </c>
      <c r="B188" s="8">
        <v>186</v>
      </c>
      <c r="D188">
        <v>615.13745928338994</v>
      </c>
      <c r="E188">
        <v>219.28664495114</v>
      </c>
      <c r="F188">
        <v>129.1031592521</v>
      </c>
      <c r="G188">
        <v>113.45325596389</v>
      </c>
      <c r="I188" s="9">
        <f t="shared" si="15"/>
        <v>105.83338898725</v>
      </c>
      <c r="J188" s="9">
        <f t="shared" si="16"/>
        <v>486.03430003128994</v>
      </c>
      <c r="K188" s="9">
        <f t="shared" si="17"/>
        <v>105.83338898725</v>
      </c>
      <c r="L188" s="10">
        <f t="shared" si="14"/>
        <v>0.2177488069883888</v>
      </c>
      <c r="M188" s="10">
        <f t="shared" si="20"/>
        <v>0.21987203658682716</v>
      </c>
      <c r="P188" s="8">
        <f t="shared" si="19"/>
        <v>-31.763852201820981</v>
      </c>
    </row>
    <row r="189" spans="1:16" x14ac:dyDescent="0.2">
      <c r="A189" s="8">
        <v>93.5</v>
      </c>
      <c r="B189" s="8">
        <v>187</v>
      </c>
      <c r="D189">
        <v>618.35114006515005</v>
      </c>
      <c r="E189">
        <v>218.3009771987</v>
      </c>
      <c r="F189">
        <v>129.01998710509</v>
      </c>
      <c r="G189">
        <v>113.71566731141</v>
      </c>
      <c r="I189" s="9">
        <f t="shared" si="15"/>
        <v>104.58530988728999</v>
      </c>
      <c r="J189" s="9">
        <f t="shared" si="16"/>
        <v>489.33115296006008</v>
      </c>
      <c r="K189" s="9">
        <f t="shared" si="17"/>
        <v>104.58530988728999</v>
      </c>
      <c r="L189" s="10">
        <f t="shared" si="14"/>
        <v>0.21373114966139586</v>
      </c>
      <c r="M189" s="10">
        <f t="shared" si="20"/>
        <v>0.21586579447272905</v>
      </c>
      <c r="P189" s="8">
        <f t="shared" si="19"/>
        <v>-33.007168692887973</v>
      </c>
    </row>
    <row r="190" spans="1:16" x14ac:dyDescent="0.2">
      <c r="A190" s="8">
        <v>94</v>
      </c>
      <c r="B190" s="8">
        <v>188</v>
      </c>
      <c r="D190">
        <v>621.83127035831001</v>
      </c>
      <c r="E190">
        <v>218.90814332247999</v>
      </c>
      <c r="F190">
        <v>128.89813023855999</v>
      </c>
      <c r="G190">
        <v>113.06189555125999</v>
      </c>
      <c r="I190" s="9">
        <f t="shared" si="15"/>
        <v>105.84624777121999</v>
      </c>
      <c r="J190" s="9">
        <f t="shared" si="16"/>
        <v>492.93314011975002</v>
      </c>
      <c r="K190" s="9">
        <f t="shared" si="17"/>
        <v>105.84624777121999</v>
      </c>
      <c r="L190" s="10">
        <f t="shared" si="14"/>
        <v>0.2147273923305428</v>
      </c>
      <c r="M190" s="10">
        <f t="shared" si="20"/>
        <v>0.21687345235477085</v>
      </c>
      <c r="P190" s="8">
        <f t="shared" si="19"/>
        <v>-32.694447288036422</v>
      </c>
    </row>
    <row r="191" spans="1:16" x14ac:dyDescent="0.2">
      <c r="A191" s="8">
        <v>94.5</v>
      </c>
      <c r="B191" s="8">
        <v>189</v>
      </c>
      <c r="D191">
        <v>627.43492478743997</v>
      </c>
      <c r="E191">
        <v>221.71877043820001</v>
      </c>
      <c r="F191">
        <v>128.43068987749999</v>
      </c>
      <c r="G191">
        <v>113.22695035461</v>
      </c>
      <c r="I191" s="9">
        <f t="shared" si="15"/>
        <v>108.49182008359001</v>
      </c>
      <c r="J191" s="9">
        <f t="shared" si="16"/>
        <v>499.00423490994001</v>
      </c>
      <c r="K191" s="9">
        <f t="shared" si="17"/>
        <v>108.49182008359001</v>
      </c>
      <c r="L191" s="10">
        <f t="shared" si="14"/>
        <v>0.21741663195137123</v>
      </c>
      <c r="M191" s="10">
        <f t="shared" si="20"/>
        <v>0.2195741071884941</v>
      </c>
      <c r="P191" s="8">
        <f t="shared" si="19"/>
        <v>-31.856313047564083</v>
      </c>
    </row>
    <row r="192" spans="1:16" x14ac:dyDescent="0.2">
      <c r="A192" s="8">
        <v>95</v>
      </c>
      <c r="B192" s="8">
        <v>190</v>
      </c>
      <c r="D192">
        <v>621.53172007848002</v>
      </c>
      <c r="E192">
        <v>220.48986265533</v>
      </c>
      <c r="F192">
        <v>128.54287556414999</v>
      </c>
      <c r="G192">
        <v>113.09348807220999</v>
      </c>
      <c r="I192" s="9">
        <f t="shared" si="15"/>
        <v>107.39637458312001</v>
      </c>
      <c r="J192" s="9">
        <f t="shared" si="16"/>
        <v>492.98884451433003</v>
      </c>
      <c r="K192" s="9">
        <f t="shared" si="17"/>
        <v>107.39637458312001</v>
      </c>
      <c r="L192" s="10">
        <f t="shared" si="14"/>
        <v>0.21784747419370509</v>
      </c>
      <c r="M192" s="10">
        <f t="shared" si="20"/>
        <v>0.22001636464372279</v>
      </c>
      <c r="P192" s="8">
        <f t="shared" si="19"/>
        <v>-31.719060736864201</v>
      </c>
    </row>
    <row r="193" spans="1:16" x14ac:dyDescent="0.2">
      <c r="A193" s="8">
        <v>95.5</v>
      </c>
      <c r="B193" s="8">
        <v>191</v>
      </c>
      <c r="D193">
        <v>617.91824722040997</v>
      </c>
      <c r="E193">
        <v>218.79986919555</v>
      </c>
      <c r="F193">
        <v>129.19406834301</v>
      </c>
      <c r="G193">
        <v>113.5164410058</v>
      </c>
      <c r="I193" s="9">
        <f t="shared" si="15"/>
        <v>105.28342818975</v>
      </c>
      <c r="J193" s="9">
        <f t="shared" si="16"/>
        <v>488.72417887739994</v>
      </c>
      <c r="K193" s="9">
        <f t="shared" si="17"/>
        <v>105.28342818975</v>
      </c>
      <c r="L193" s="10">
        <f t="shared" si="14"/>
        <v>0.21542504492326564</v>
      </c>
      <c r="M193" s="10">
        <f t="shared" si="20"/>
        <v>0.21760535058617816</v>
      </c>
      <c r="P193" s="8">
        <f t="shared" si="19"/>
        <v>-32.467306462550802</v>
      </c>
    </row>
    <row r="194" spans="1:16" x14ac:dyDescent="0.2">
      <c r="A194" s="8">
        <v>96</v>
      </c>
      <c r="B194" s="8">
        <v>192</v>
      </c>
      <c r="D194">
        <v>614.98299542183997</v>
      </c>
      <c r="E194">
        <v>219.50032701111999</v>
      </c>
      <c r="F194">
        <v>129.07607994841999</v>
      </c>
      <c r="G194">
        <v>113.29658284977</v>
      </c>
      <c r="I194" s="9">
        <f t="shared" si="15"/>
        <v>106.20374416134999</v>
      </c>
      <c r="J194" s="9">
        <f t="shared" si="16"/>
        <v>485.90691547341999</v>
      </c>
      <c r="K194" s="9">
        <f t="shared" si="17"/>
        <v>106.20374416134999</v>
      </c>
      <c r="L194" s="10">
        <f t="shared" ref="L194:L257" si="21">K194/J194</f>
        <v>0.2185680853253045</v>
      </c>
      <c r="M194" s="10">
        <f t="shared" si="20"/>
        <v>0.22075980620111185</v>
      </c>
      <c r="P194" s="8">
        <f t="shared" si="19"/>
        <v>-31.488337499945096</v>
      </c>
    </row>
    <row r="195" spans="1:16" x14ac:dyDescent="0.2">
      <c r="A195" s="8">
        <v>96.5</v>
      </c>
      <c r="B195" s="8">
        <v>193</v>
      </c>
      <c r="D195">
        <v>617.33506156836995</v>
      </c>
      <c r="E195">
        <v>217.97083603370001</v>
      </c>
      <c r="F195">
        <v>129.14506769825999</v>
      </c>
      <c r="G195">
        <v>113.54223081883001</v>
      </c>
      <c r="I195" s="9">
        <f t="shared" ref="I195:I241" si="22">E195-G195</f>
        <v>104.42860521487</v>
      </c>
      <c r="J195" s="9">
        <f t="shared" ref="J195:J241" si="23">D195-F195</f>
        <v>488.18999387010996</v>
      </c>
      <c r="K195" s="9">
        <f t="shared" ref="K195:K258" si="24">I195*1</f>
        <v>104.42860521487</v>
      </c>
      <c r="L195" s="10">
        <f t="shared" si="21"/>
        <v>0.21390976162173195</v>
      </c>
      <c r="M195" s="10">
        <f t="shared" si="20"/>
        <v>0.21611289771043413</v>
      </c>
      <c r="P195" s="8">
        <f t="shared" ref="P195:P241" si="25">(M195-$O$2)/$O$2*100</f>
        <v>-32.930481482857999</v>
      </c>
    </row>
    <row r="196" spans="1:16" x14ac:dyDescent="0.2">
      <c r="A196" s="8">
        <v>97</v>
      </c>
      <c r="B196" s="8">
        <v>194</v>
      </c>
      <c r="D196">
        <v>621.48347375242997</v>
      </c>
      <c r="E196">
        <v>218.93454309786</v>
      </c>
      <c r="F196">
        <v>128.46228239844999</v>
      </c>
      <c r="G196">
        <v>113.55383623469</v>
      </c>
      <c r="I196" s="9">
        <f t="shared" si="22"/>
        <v>105.38070686317</v>
      </c>
      <c r="J196" s="9">
        <f t="shared" si="23"/>
        <v>493.02119135397999</v>
      </c>
      <c r="K196" s="9">
        <f t="shared" si="24"/>
        <v>105.38070686317</v>
      </c>
      <c r="L196" s="10">
        <f t="shared" si="21"/>
        <v>0.2137447815858865</v>
      </c>
      <c r="M196" s="10">
        <f t="shared" si="20"/>
        <v>0.21595933288748351</v>
      </c>
      <c r="P196" s="8">
        <f t="shared" si="25"/>
        <v>-32.97813953032108</v>
      </c>
    </row>
    <row r="197" spans="1:16" x14ac:dyDescent="0.2">
      <c r="A197" s="8">
        <v>97.5</v>
      </c>
      <c r="B197" s="8">
        <v>195</v>
      </c>
      <c r="D197">
        <v>618.62727272727</v>
      </c>
      <c r="E197">
        <v>223.00779220779</v>
      </c>
      <c r="F197">
        <v>128.64216634428999</v>
      </c>
      <c r="G197">
        <v>113.41457124436</v>
      </c>
      <c r="I197" s="9">
        <f t="shared" si="22"/>
        <v>109.59322096343</v>
      </c>
      <c r="J197" s="9">
        <f t="shared" si="23"/>
        <v>489.98510638298001</v>
      </c>
      <c r="K197" s="9">
        <f t="shared" si="24"/>
        <v>109.59322096343</v>
      </c>
      <c r="L197" s="10">
        <f t="shared" si="21"/>
        <v>0.22366643299106775</v>
      </c>
      <c r="M197" s="10">
        <f t="shared" si="20"/>
        <v>0.22589239950555959</v>
      </c>
      <c r="P197" s="8">
        <f t="shared" si="25"/>
        <v>-29.895463750527057</v>
      </c>
    </row>
    <row r="198" spans="1:16" x14ac:dyDescent="0.2">
      <c r="A198" s="8">
        <v>98</v>
      </c>
      <c r="B198" s="8">
        <v>196</v>
      </c>
      <c r="D198">
        <v>618.34935064934996</v>
      </c>
      <c r="E198">
        <v>222.50649350648999</v>
      </c>
      <c r="F198">
        <v>128.81624758221</v>
      </c>
      <c r="G198">
        <v>113.14442295293</v>
      </c>
      <c r="I198" s="9">
        <f t="shared" si="22"/>
        <v>109.36207055355999</v>
      </c>
      <c r="J198" s="9">
        <f t="shared" si="23"/>
        <v>489.53310306713996</v>
      </c>
      <c r="K198" s="9">
        <f t="shared" si="24"/>
        <v>109.36207055355999</v>
      </c>
      <c r="L198" s="10">
        <f t="shared" si="21"/>
        <v>0.22340076670680403</v>
      </c>
      <c r="M198" s="10">
        <f t="shared" si="20"/>
        <v>0.22563814843419069</v>
      </c>
      <c r="P198" s="8">
        <f t="shared" si="25"/>
        <v>-29.974369253714688</v>
      </c>
    </row>
    <row r="199" spans="1:16" x14ac:dyDescent="0.2">
      <c r="A199" s="8">
        <v>98.5</v>
      </c>
      <c r="B199" s="8">
        <v>197</v>
      </c>
      <c r="D199">
        <v>605.38766233766</v>
      </c>
      <c r="E199">
        <v>220.36623376623001</v>
      </c>
      <c r="F199">
        <v>129.04126370084001</v>
      </c>
      <c r="G199">
        <v>113.01547388781</v>
      </c>
      <c r="I199" s="9">
        <f t="shared" si="22"/>
        <v>107.35075987842001</v>
      </c>
      <c r="J199" s="9">
        <f t="shared" si="23"/>
        <v>476.34639863682003</v>
      </c>
      <c r="K199" s="9">
        <f t="shared" si="24"/>
        <v>107.35075987842001</v>
      </c>
      <c r="L199" s="10">
        <f t="shared" si="21"/>
        <v>0.22536280359341451</v>
      </c>
      <c r="M199" s="10">
        <f t="shared" si="20"/>
        <v>0.227611600533696</v>
      </c>
      <c r="P199" s="8">
        <f t="shared" si="25"/>
        <v>-29.361918615494066</v>
      </c>
    </row>
    <row r="200" spans="1:16" x14ac:dyDescent="0.2">
      <c r="A200" s="8">
        <v>99</v>
      </c>
      <c r="B200" s="8">
        <v>198</v>
      </c>
      <c r="D200">
        <v>621.12800519817995</v>
      </c>
      <c r="E200">
        <v>222.94931773879</v>
      </c>
      <c r="F200">
        <v>128.98130238556001</v>
      </c>
      <c r="G200">
        <v>113.31914893617</v>
      </c>
      <c r="I200" s="9">
        <f t="shared" si="22"/>
        <v>109.63016880262001</v>
      </c>
      <c r="J200" s="9">
        <f t="shared" si="23"/>
        <v>492.14670281261994</v>
      </c>
      <c r="K200" s="9">
        <f t="shared" si="24"/>
        <v>109.63016880262001</v>
      </c>
      <c r="L200" s="10">
        <f t="shared" si="21"/>
        <v>0.22275912482209725</v>
      </c>
      <c r="M200" s="10">
        <f t="shared" si="20"/>
        <v>0.22501933697527357</v>
      </c>
      <c r="P200" s="8">
        <f t="shared" si="25"/>
        <v>-30.166414185054563</v>
      </c>
    </row>
    <row r="201" spans="1:16" x14ac:dyDescent="0.2">
      <c r="A201" s="8">
        <v>99.5</v>
      </c>
      <c r="B201" s="8">
        <v>199</v>
      </c>
      <c r="D201">
        <v>610.32488628980002</v>
      </c>
      <c r="E201">
        <v>220.47368421053</v>
      </c>
      <c r="F201">
        <v>128.79883945840999</v>
      </c>
      <c r="G201">
        <v>113.51837524178001</v>
      </c>
      <c r="I201" s="9">
        <f t="shared" si="22"/>
        <v>106.95530896874999</v>
      </c>
      <c r="J201" s="9">
        <f t="shared" si="23"/>
        <v>481.52604683139003</v>
      </c>
      <c r="K201" s="9">
        <f t="shared" si="24"/>
        <v>106.95530896874999</v>
      </c>
      <c r="L201" s="10">
        <f t="shared" si="21"/>
        <v>0.22211739047670082</v>
      </c>
      <c r="M201" s="10">
        <f t="shared" si="20"/>
        <v>0.22438901784277199</v>
      </c>
      <c r="P201" s="8">
        <f t="shared" si="25"/>
        <v>-30.362030463291077</v>
      </c>
    </row>
    <row r="202" spans="1:16" x14ac:dyDescent="0.2">
      <c r="A202" s="8">
        <v>100</v>
      </c>
      <c r="B202" s="8">
        <v>200</v>
      </c>
      <c r="D202">
        <v>627.65172189734005</v>
      </c>
      <c r="E202">
        <v>224.73034437947001</v>
      </c>
      <c r="F202">
        <v>128.70664087685</v>
      </c>
      <c r="G202">
        <v>113.5415860735</v>
      </c>
      <c r="I202" s="9">
        <f t="shared" si="22"/>
        <v>111.18875830597001</v>
      </c>
      <c r="J202" s="9">
        <f t="shared" si="23"/>
        <v>498.94508102049008</v>
      </c>
      <c r="K202" s="9">
        <f t="shared" si="24"/>
        <v>111.18875830597001</v>
      </c>
      <c r="L202" s="10">
        <f t="shared" si="21"/>
        <v>0.22284768912553693</v>
      </c>
      <c r="M202" s="10">
        <f t="shared" si="20"/>
        <v>0.22513073170450293</v>
      </c>
      <c r="P202" s="8">
        <f t="shared" si="25"/>
        <v>-30.131843407771431</v>
      </c>
    </row>
    <row r="203" spans="1:16" x14ac:dyDescent="0.2">
      <c r="A203" s="8">
        <v>100.5</v>
      </c>
      <c r="B203" s="8">
        <v>201</v>
      </c>
      <c r="D203">
        <v>619.25942782835</v>
      </c>
      <c r="E203">
        <v>222.15084525358</v>
      </c>
      <c r="F203">
        <v>129.05157962605</v>
      </c>
      <c r="G203">
        <v>113.56673114119999</v>
      </c>
      <c r="I203" s="9">
        <f t="shared" si="22"/>
        <v>108.58411411238001</v>
      </c>
      <c r="J203" s="9">
        <f t="shared" si="23"/>
        <v>490.2078482023</v>
      </c>
      <c r="K203" s="9">
        <f t="shared" si="24"/>
        <v>108.58411411238001</v>
      </c>
      <c r="L203" s="10">
        <f t="shared" si="21"/>
        <v>0.22150627434991471</v>
      </c>
      <c r="M203" s="10">
        <f t="shared" si="20"/>
        <v>0.22380073214177554</v>
      </c>
      <c r="P203" s="8">
        <f t="shared" si="25"/>
        <v>-30.544601883758627</v>
      </c>
    </row>
    <row r="204" spans="1:16" x14ac:dyDescent="0.2">
      <c r="A204" s="8">
        <v>101</v>
      </c>
      <c r="B204" s="8">
        <v>202</v>
      </c>
      <c r="D204">
        <v>631.87435233161</v>
      </c>
      <c r="E204">
        <v>228.6975388601</v>
      </c>
      <c r="F204">
        <v>128.71179883945999</v>
      </c>
      <c r="G204">
        <v>113.35783365571</v>
      </c>
      <c r="I204" s="9">
        <f t="shared" si="22"/>
        <v>115.33970520439</v>
      </c>
      <c r="J204" s="9">
        <f t="shared" si="23"/>
        <v>503.16255349214998</v>
      </c>
      <c r="K204" s="9">
        <f t="shared" si="24"/>
        <v>115.33970520439</v>
      </c>
      <c r="L204" s="10">
        <f t="shared" si="21"/>
        <v>0.22922950923888546</v>
      </c>
      <c r="M204" s="10">
        <f t="shared" si="20"/>
        <v>0.23153538224364112</v>
      </c>
      <c r="P204" s="8">
        <f t="shared" si="25"/>
        <v>-28.144193283778797</v>
      </c>
    </row>
    <row r="205" spans="1:16" x14ac:dyDescent="0.2">
      <c r="A205" s="8">
        <v>101.5</v>
      </c>
      <c r="B205" s="8">
        <v>203</v>
      </c>
      <c r="D205">
        <v>606.99287564766996</v>
      </c>
      <c r="E205">
        <v>224.69106217616999</v>
      </c>
      <c r="F205">
        <v>129.14055448098</v>
      </c>
      <c r="G205">
        <v>113.13475177305</v>
      </c>
      <c r="I205" s="9">
        <f t="shared" si="22"/>
        <v>111.55631040311999</v>
      </c>
      <c r="J205" s="9">
        <f t="shared" si="23"/>
        <v>477.85232116668999</v>
      </c>
      <c r="K205" s="9">
        <f t="shared" si="24"/>
        <v>111.55631040311999</v>
      </c>
      <c r="L205" s="10">
        <f t="shared" si="21"/>
        <v>0.23345352834271496</v>
      </c>
      <c r="M205" s="10">
        <f t="shared" si="20"/>
        <v>0.23577081656036544</v>
      </c>
      <c r="P205" s="8">
        <f t="shared" si="25"/>
        <v>-26.8297481796541</v>
      </c>
    </row>
    <row r="206" spans="1:16" x14ac:dyDescent="0.2">
      <c r="A206" s="8">
        <v>102</v>
      </c>
      <c r="B206" s="8">
        <v>204</v>
      </c>
      <c r="D206">
        <v>616.38089089735001</v>
      </c>
      <c r="E206">
        <v>227.17688831504</v>
      </c>
      <c r="F206">
        <v>129.31979368149999</v>
      </c>
      <c r="G206">
        <v>113.38684719536001</v>
      </c>
      <c r="I206" s="9">
        <f t="shared" si="22"/>
        <v>113.79004111968</v>
      </c>
      <c r="J206" s="9">
        <f t="shared" si="23"/>
        <v>487.06109721585005</v>
      </c>
      <c r="K206" s="9">
        <f t="shared" si="24"/>
        <v>113.79004111968</v>
      </c>
      <c r="L206" s="10">
        <f t="shared" si="21"/>
        <v>0.23362580540743097</v>
      </c>
      <c r="M206" s="10">
        <f t="shared" si="20"/>
        <v>0.23595450883797628</v>
      </c>
      <c r="P206" s="8">
        <f t="shared" si="25"/>
        <v>-26.772740232672689</v>
      </c>
    </row>
    <row r="207" spans="1:16" x14ac:dyDescent="0.2">
      <c r="A207" s="8">
        <v>102.5</v>
      </c>
      <c r="B207" s="8">
        <v>205</v>
      </c>
      <c r="D207">
        <v>631.32472562943997</v>
      </c>
      <c r="E207">
        <v>230.71078114913001</v>
      </c>
      <c r="F207">
        <v>129.20116054159001</v>
      </c>
      <c r="G207">
        <v>113.52869116699</v>
      </c>
      <c r="I207" s="9">
        <f t="shared" si="22"/>
        <v>117.18208998214001</v>
      </c>
      <c r="J207" s="9">
        <f t="shared" si="23"/>
        <v>502.12356508784995</v>
      </c>
      <c r="K207" s="9">
        <f t="shared" si="24"/>
        <v>117.18208998214001</v>
      </c>
      <c r="L207" s="10">
        <f t="shared" si="21"/>
        <v>0.23337301439265892</v>
      </c>
      <c r="M207" s="10">
        <f t="shared" si="20"/>
        <v>0.23571313303609906</v>
      </c>
      <c r="P207" s="8">
        <f t="shared" si="25"/>
        <v>-26.847649962656899</v>
      </c>
    </row>
    <row r="208" spans="1:16" x14ac:dyDescent="0.2">
      <c r="A208" s="8">
        <v>103</v>
      </c>
      <c r="B208" s="8">
        <v>206</v>
      </c>
      <c r="D208">
        <v>608.86066104990005</v>
      </c>
      <c r="E208">
        <v>225.59624108879001</v>
      </c>
      <c r="F208">
        <v>129.31979368149999</v>
      </c>
      <c r="G208">
        <v>113.36492585428999</v>
      </c>
      <c r="I208" s="9">
        <f t="shared" si="22"/>
        <v>112.23131523450002</v>
      </c>
      <c r="J208" s="9">
        <f t="shared" si="23"/>
        <v>479.54086736840009</v>
      </c>
      <c r="K208" s="9">
        <f t="shared" si="24"/>
        <v>112.23131523450002</v>
      </c>
      <c r="L208" s="10">
        <f t="shared" si="21"/>
        <v>0.23403910463439187</v>
      </c>
      <c r="M208" s="10">
        <f t="shared" si="20"/>
        <v>0.23639063849072683</v>
      </c>
      <c r="P208" s="8">
        <f t="shared" si="25"/>
        <v>-26.63738965373491</v>
      </c>
    </row>
    <row r="209" spans="1:16" x14ac:dyDescent="0.2">
      <c r="A209" s="8">
        <v>103.5</v>
      </c>
      <c r="B209" s="8">
        <v>207</v>
      </c>
      <c r="D209">
        <v>607.59554973822003</v>
      </c>
      <c r="E209">
        <v>223.79057591623001</v>
      </c>
      <c r="F209">
        <v>128.72598323662001</v>
      </c>
      <c r="G209">
        <v>113.41070277241</v>
      </c>
      <c r="I209" s="9">
        <f t="shared" si="22"/>
        <v>110.37987314382001</v>
      </c>
      <c r="J209" s="9">
        <f t="shared" si="23"/>
        <v>478.86956650160005</v>
      </c>
      <c r="K209" s="9">
        <f t="shared" si="24"/>
        <v>110.37987314382001</v>
      </c>
      <c r="L209" s="10">
        <f t="shared" si="21"/>
        <v>0.23050091479023066</v>
      </c>
      <c r="M209" s="10">
        <f t="shared" si="20"/>
        <v>0.23286386385946045</v>
      </c>
      <c r="P209" s="8">
        <f t="shared" si="25"/>
        <v>-27.731905894752796</v>
      </c>
    </row>
    <row r="210" spans="1:16" x14ac:dyDescent="0.2">
      <c r="A210" s="8">
        <v>104</v>
      </c>
      <c r="B210" s="8">
        <v>208</v>
      </c>
      <c r="D210">
        <v>614.13023560209001</v>
      </c>
      <c r="E210">
        <v>228.44633507853001</v>
      </c>
      <c r="F210">
        <v>128.45390070921999</v>
      </c>
      <c r="G210">
        <v>113.14119922630999</v>
      </c>
      <c r="I210" s="9">
        <f t="shared" si="22"/>
        <v>115.30513585222002</v>
      </c>
      <c r="J210" s="9">
        <f t="shared" si="23"/>
        <v>485.67633489287005</v>
      </c>
      <c r="K210" s="9">
        <f t="shared" si="24"/>
        <v>115.30513585222002</v>
      </c>
      <c r="L210" s="10">
        <f t="shared" si="21"/>
        <v>0.23741147667335674</v>
      </c>
      <c r="M210" s="10">
        <f t="shared" si="20"/>
        <v>0.23978584095548136</v>
      </c>
      <c r="P210" s="8">
        <f t="shared" si="25"/>
        <v>-25.583706153158232</v>
      </c>
    </row>
    <row r="211" spans="1:16" x14ac:dyDescent="0.2">
      <c r="A211" s="8">
        <v>104.5</v>
      </c>
      <c r="B211" s="8">
        <v>209</v>
      </c>
      <c r="D211">
        <v>635.92217898832996</v>
      </c>
      <c r="E211">
        <v>232.02723735409</v>
      </c>
      <c r="F211">
        <v>128.58736299162001</v>
      </c>
      <c r="G211">
        <v>113.03223726628001</v>
      </c>
      <c r="I211" s="9">
        <f t="shared" si="22"/>
        <v>118.99500008781</v>
      </c>
      <c r="J211" s="9">
        <f t="shared" si="23"/>
        <v>507.33481599670995</v>
      </c>
      <c r="K211" s="9">
        <f t="shared" si="24"/>
        <v>118.99500008781</v>
      </c>
      <c r="L211" s="10">
        <f t="shared" si="21"/>
        <v>0.23454924900833471</v>
      </c>
      <c r="M211" s="10">
        <f t="shared" si="20"/>
        <v>0.23693502850335416</v>
      </c>
      <c r="P211" s="8">
        <f t="shared" si="25"/>
        <v>-26.468441032809114</v>
      </c>
    </row>
    <row r="212" spans="1:16" x14ac:dyDescent="0.2">
      <c r="A212" s="8">
        <v>105</v>
      </c>
      <c r="B212" s="8">
        <v>210</v>
      </c>
      <c r="D212">
        <v>633.90985732815</v>
      </c>
      <c r="E212">
        <v>232.70298313878001</v>
      </c>
      <c r="F212">
        <v>128.38426821406</v>
      </c>
      <c r="G212">
        <v>112.93165699549</v>
      </c>
      <c r="I212" s="9">
        <f t="shared" si="22"/>
        <v>119.77132614329001</v>
      </c>
      <c r="J212" s="9">
        <f t="shared" si="23"/>
        <v>505.52558911409</v>
      </c>
      <c r="K212" s="9">
        <f t="shared" si="24"/>
        <v>119.77132614329001</v>
      </c>
      <c r="L212" s="10">
        <f t="shared" si="21"/>
        <v>0.23692435896901612</v>
      </c>
      <c r="M212" s="10">
        <f t="shared" si="20"/>
        <v>0.23932155367693039</v>
      </c>
      <c r="P212" s="8">
        <f t="shared" si="25"/>
        <v>-25.727795305429797</v>
      </c>
    </row>
    <row r="213" spans="1:16" x14ac:dyDescent="0.2">
      <c r="A213" s="8">
        <v>105.5</v>
      </c>
      <c r="B213" s="8">
        <v>211</v>
      </c>
      <c r="D213">
        <v>636.49740596627998</v>
      </c>
      <c r="E213">
        <v>233.5804150454</v>
      </c>
      <c r="F213">
        <v>128.90070921986</v>
      </c>
      <c r="G213">
        <v>113.27659574467999</v>
      </c>
      <c r="I213" s="9">
        <f t="shared" si="22"/>
        <v>120.30381930072001</v>
      </c>
      <c r="J213" s="9">
        <f t="shared" si="23"/>
        <v>507.59669674641998</v>
      </c>
      <c r="K213" s="9">
        <f t="shared" si="24"/>
        <v>120.30381930072001</v>
      </c>
      <c r="L213" s="10">
        <f t="shared" si="21"/>
        <v>0.23700670250976863</v>
      </c>
      <c r="M213" s="10">
        <f t="shared" si="20"/>
        <v>0.23941531243057776</v>
      </c>
      <c r="P213" s="8">
        <f t="shared" si="25"/>
        <v>-25.698697761828665</v>
      </c>
    </row>
    <row r="214" spans="1:16" x14ac:dyDescent="0.2">
      <c r="A214" s="8">
        <v>106</v>
      </c>
      <c r="B214" s="8">
        <v>212</v>
      </c>
      <c r="D214">
        <v>623.04342190538</v>
      </c>
      <c r="E214">
        <v>234.08813998703999</v>
      </c>
      <c r="F214">
        <v>128.54674403611</v>
      </c>
      <c r="G214">
        <v>112.84655061251</v>
      </c>
      <c r="I214" s="9">
        <f t="shared" si="22"/>
        <v>121.24158937452999</v>
      </c>
      <c r="J214" s="9">
        <f t="shared" si="23"/>
        <v>494.49667786927</v>
      </c>
      <c r="K214" s="9">
        <f t="shared" si="24"/>
        <v>121.24158937452999</v>
      </c>
      <c r="L214" s="10">
        <f t="shared" si="21"/>
        <v>0.24518180768563749</v>
      </c>
      <c r="M214" s="10">
        <f t="shared" si="20"/>
        <v>0.24760183281934145</v>
      </c>
      <c r="P214" s="8">
        <f t="shared" si="25"/>
        <v>-23.158053558626914</v>
      </c>
    </row>
    <row r="215" spans="1:16" x14ac:dyDescent="0.2">
      <c r="A215" s="8">
        <v>106.5</v>
      </c>
      <c r="B215" s="8">
        <v>213</v>
      </c>
      <c r="D215">
        <v>633.59300064808997</v>
      </c>
      <c r="E215">
        <v>236.80492546986</v>
      </c>
      <c r="F215">
        <v>128.89297227595</v>
      </c>
      <c r="G215">
        <v>113.19342359768</v>
      </c>
      <c r="I215" s="9">
        <f t="shared" si="22"/>
        <v>123.61150187218</v>
      </c>
      <c r="J215" s="9">
        <f t="shared" si="23"/>
        <v>504.70002837213997</v>
      </c>
      <c r="K215" s="9">
        <f t="shared" si="24"/>
        <v>123.61150187218</v>
      </c>
      <c r="L215" s="10">
        <f t="shared" si="21"/>
        <v>0.24492073493809119</v>
      </c>
      <c r="M215" s="10">
        <f t="shared" si="20"/>
        <v>0.24735217528468997</v>
      </c>
      <c r="P215" s="8">
        <f t="shared" si="25"/>
        <v>-23.235533481485042</v>
      </c>
    </row>
    <row r="216" spans="1:16" x14ac:dyDescent="0.2">
      <c r="A216" s="8">
        <v>107</v>
      </c>
      <c r="B216" s="8">
        <v>214</v>
      </c>
      <c r="D216">
        <v>622.79650032404004</v>
      </c>
      <c r="E216">
        <v>233.61114711600999</v>
      </c>
      <c r="F216">
        <v>128.67053513862001</v>
      </c>
      <c r="G216">
        <v>113.17214700193</v>
      </c>
      <c r="I216" s="9">
        <f t="shared" si="22"/>
        <v>120.43900011407999</v>
      </c>
      <c r="J216" s="9">
        <f t="shared" si="23"/>
        <v>494.12596518542</v>
      </c>
      <c r="K216" s="9">
        <f t="shared" si="24"/>
        <v>120.43900011407999</v>
      </c>
      <c r="L216" s="10">
        <f t="shared" si="21"/>
        <v>0.24374149225063582</v>
      </c>
      <c r="M216" s="10">
        <f t="shared" si="20"/>
        <v>0.24618434781012943</v>
      </c>
      <c r="P216" s="8">
        <f t="shared" si="25"/>
        <v>-23.597962689827863</v>
      </c>
    </row>
    <row r="217" spans="1:16" x14ac:dyDescent="0.2">
      <c r="A217" s="8">
        <v>107.5</v>
      </c>
      <c r="B217" s="8">
        <v>215</v>
      </c>
      <c r="D217">
        <v>631.65042235218004</v>
      </c>
      <c r="E217">
        <v>236.94866796621</v>
      </c>
      <c r="F217">
        <v>129.21341070277001</v>
      </c>
      <c r="G217">
        <v>113.21212121212</v>
      </c>
      <c r="I217" s="9">
        <f t="shared" si="22"/>
        <v>123.73654675409</v>
      </c>
      <c r="J217" s="9">
        <f t="shared" si="23"/>
        <v>502.43701164941001</v>
      </c>
      <c r="K217" s="9">
        <f t="shared" si="24"/>
        <v>123.73654675409</v>
      </c>
      <c r="L217" s="10">
        <f t="shared" si="21"/>
        <v>0.24627275436553778</v>
      </c>
      <c r="M217" s="10">
        <f t="shared" si="20"/>
        <v>0.24872702513792622</v>
      </c>
      <c r="P217" s="8">
        <f t="shared" si="25"/>
        <v>-22.808855950126087</v>
      </c>
    </row>
    <row r="218" spans="1:16" x14ac:dyDescent="0.2">
      <c r="A218" s="8">
        <v>108</v>
      </c>
      <c r="B218" s="8">
        <v>216</v>
      </c>
      <c r="D218">
        <v>613.54244977317001</v>
      </c>
      <c r="E218">
        <v>231.7764095917</v>
      </c>
      <c r="F218">
        <v>128.96067053514</v>
      </c>
      <c r="G218">
        <v>113.09671179884</v>
      </c>
      <c r="I218" s="9">
        <f t="shared" si="22"/>
        <v>118.67969779286</v>
      </c>
      <c r="J218" s="9">
        <f t="shared" si="23"/>
        <v>484.58177923802998</v>
      </c>
      <c r="K218" s="9">
        <f t="shared" si="24"/>
        <v>118.67969779286</v>
      </c>
      <c r="L218" s="10">
        <f t="shared" si="21"/>
        <v>0.24491159774821764</v>
      </c>
      <c r="M218" s="10">
        <f t="shared" si="20"/>
        <v>0.2473772837335009</v>
      </c>
      <c r="P218" s="8">
        <f t="shared" si="25"/>
        <v>-23.227741204437713</v>
      </c>
    </row>
    <row r="219" spans="1:16" x14ac:dyDescent="0.2">
      <c r="A219" s="8">
        <v>108.5</v>
      </c>
      <c r="B219" s="8">
        <v>217</v>
      </c>
      <c r="D219">
        <v>625.94568062827</v>
      </c>
      <c r="E219">
        <v>235.76963350784999</v>
      </c>
      <c r="F219">
        <v>128.74145712443999</v>
      </c>
      <c r="G219">
        <v>113.11218568664999</v>
      </c>
      <c r="I219" s="9">
        <f t="shared" si="22"/>
        <v>122.65744782119999</v>
      </c>
      <c r="J219" s="9">
        <f t="shared" si="23"/>
        <v>497.20422350383001</v>
      </c>
      <c r="K219" s="9">
        <f t="shared" si="24"/>
        <v>122.65744782119999</v>
      </c>
      <c r="L219" s="10">
        <f t="shared" si="21"/>
        <v>0.2466942998931608</v>
      </c>
      <c r="M219" s="10">
        <f t="shared" si="20"/>
        <v>0.2491714010913389</v>
      </c>
      <c r="P219" s="8">
        <f t="shared" si="25"/>
        <v>-22.670946174486886</v>
      </c>
    </row>
    <row r="220" spans="1:16" x14ac:dyDescent="0.2">
      <c r="A220" s="8">
        <v>109</v>
      </c>
      <c r="B220" s="8">
        <v>218</v>
      </c>
      <c r="D220">
        <v>642.38089089735001</v>
      </c>
      <c r="E220">
        <v>246.52808263396</v>
      </c>
      <c r="F220">
        <v>128.61702127660001</v>
      </c>
      <c r="G220">
        <v>113.47001934236</v>
      </c>
      <c r="I220" s="9">
        <f t="shared" si="22"/>
        <v>133.05806329159998</v>
      </c>
      <c r="J220" s="9">
        <f t="shared" si="23"/>
        <v>513.76386962075003</v>
      </c>
      <c r="K220" s="9">
        <f t="shared" si="24"/>
        <v>133.05806329159998</v>
      </c>
      <c r="L220" s="10">
        <f t="shared" si="21"/>
        <v>0.25898680533884316</v>
      </c>
      <c r="M220" s="10">
        <f t="shared" si="20"/>
        <v>0.26147532174991611</v>
      </c>
      <c r="P220" s="8">
        <f t="shared" si="25"/>
        <v>-18.8524881222998</v>
      </c>
    </row>
    <row r="221" spans="1:16" x14ac:dyDescent="0.2">
      <c r="A221" s="8">
        <v>109.5</v>
      </c>
      <c r="B221" s="8">
        <v>219</v>
      </c>
      <c r="D221">
        <v>634.91752577320005</v>
      </c>
      <c r="E221">
        <v>242.10115979381001</v>
      </c>
      <c r="F221">
        <v>128.74339136040999</v>
      </c>
      <c r="G221">
        <v>112.98323662153</v>
      </c>
      <c r="I221" s="9">
        <f t="shared" si="22"/>
        <v>129.11792317228003</v>
      </c>
      <c r="J221" s="9">
        <f t="shared" si="23"/>
        <v>506.17413441279007</v>
      </c>
      <c r="K221" s="9">
        <f t="shared" si="24"/>
        <v>129.11792317228003</v>
      </c>
      <c r="L221" s="10">
        <f t="shared" si="21"/>
        <v>0.25508597613757772</v>
      </c>
      <c r="M221" s="10">
        <f t="shared" si="20"/>
        <v>0.2575859077615455</v>
      </c>
      <c r="P221" s="8">
        <f t="shared" si="25"/>
        <v>-20.059547609620996</v>
      </c>
    </row>
    <row r="222" spans="1:16" x14ac:dyDescent="0.2">
      <c r="A222" s="8">
        <v>110</v>
      </c>
      <c r="B222" s="8">
        <v>220</v>
      </c>
      <c r="D222">
        <v>638.13029315961001</v>
      </c>
      <c r="E222">
        <v>240.95504885994001</v>
      </c>
      <c r="F222">
        <v>128.91295938104</v>
      </c>
      <c r="G222">
        <v>113.15215989684</v>
      </c>
      <c r="I222" s="9">
        <f t="shared" si="22"/>
        <v>127.8028889631</v>
      </c>
      <c r="J222" s="9">
        <f t="shared" si="23"/>
        <v>509.21733377857004</v>
      </c>
      <c r="K222" s="9">
        <f t="shared" si="24"/>
        <v>127.8028889631</v>
      </c>
      <c r="L222" s="10">
        <f t="shared" si="21"/>
        <v>0.25097906234801171</v>
      </c>
      <c r="M222" s="10">
        <f t="shared" si="20"/>
        <v>0.25349040918487431</v>
      </c>
      <c r="P222" s="8">
        <f t="shared" si="25"/>
        <v>-21.330564381572383</v>
      </c>
    </row>
    <row r="223" spans="1:16" x14ac:dyDescent="0.2">
      <c r="A223" s="8">
        <v>110.5</v>
      </c>
      <c r="B223" s="8">
        <v>221</v>
      </c>
      <c r="D223">
        <v>640.92247557002997</v>
      </c>
      <c r="E223">
        <v>245.62931596090999</v>
      </c>
      <c r="F223">
        <v>128.50290135397</v>
      </c>
      <c r="G223">
        <v>113.35589941972999</v>
      </c>
      <c r="I223" s="9">
        <f t="shared" si="22"/>
        <v>132.27341654117998</v>
      </c>
      <c r="J223" s="9">
        <f t="shared" si="23"/>
        <v>512.41957421606003</v>
      </c>
      <c r="K223" s="9">
        <f t="shared" si="24"/>
        <v>132.27341654117998</v>
      </c>
      <c r="L223" s="10">
        <f t="shared" si="21"/>
        <v>0.25813497999865115</v>
      </c>
      <c r="M223" s="10">
        <f t="shared" si="20"/>
        <v>0.26065774204840858</v>
      </c>
      <c r="P223" s="8">
        <f t="shared" si="25"/>
        <v>-19.106219748271386</v>
      </c>
    </row>
    <row r="224" spans="1:16" x14ac:dyDescent="0.2">
      <c r="A224" s="8">
        <v>111</v>
      </c>
      <c r="B224" s="8">
        <v>222</v>
      </c>
      <c r="D224">
        <v>643.58220502900997</v>
      </c>
      <c r="E224">
        <v>246.77304964538999</v>
      </c>
      <c r="F224">
        <v>128.45519019987</v>
      </c>
      <c r="G224">
        <v>113.00322372663</v>
      </c>
      <c r="I224" s="9">
        <f t="shared" si="22"/>
        <v>133.76982591875998</v>
      </c>
      <c r="J224" s="9">
        <f t="shared" si="23"/>
        <v>515.12701482913997</v>
      </c>
      <c r="K224" s="9">
        <f t="shared" si="24"/>
        <v>133.76982591875998</v>
      </c>
      <c r="L224" s="10">
        <f t="shared" si="21"/>
        <v>0.25968318893764375</v>
      </c>
      <c r="M224" s="10">
        <f t="shared" si="20"/>
        <v>0.26221736620029601</v>
      </c>
      <c r="P224" s="8">
        <f t="shared" si="25"/>
        <v>-18.622198470305126</v>
      </c>
    </row>
    <row r="225" spans="1:16" x14ac:dyDescent="0.2">
      <c r="A225" s="8">
        <v>111.5</v>
      </c>
      <c r="B225" s="8">
        <v>223</v>
      </c>
      <c r="D225">
        <v>637.81168831168998</v>
      </c>
      <c r="E225">
        <v>243.00779220779</v>
      </c>
      <c r="F225">
        <v>128.57059961314999</v>
      </c>
      <c r="G225">
        <v>113.0303030303</v>
      </c>
      <c r="I225" s="9">
        <f t="shared" si="22"/>
        <v>129.97748917748999</v>
      </c>
      <c r="J225" s="9">
        <f t="shared" si="23"/>
        <v>509.24108869854001</v>
      </c>
      <c r="K225" s="9">
        <f t="shared" si="24"/>
        <v>129.97748917748999</v>
      </c>
      <c r="L225" s="10">
        <f t="shared" si="21"/>
        <v>0.25523763117715337</v>
      </c>
      <c r="M225" s="10">
        <f t="shared" si="20"/>
        <v>0.25778322365270046</v>
      </c>
      <c r="P225" s="8">
        <f t="shared" si="25"/>
        <v>-19.998311644735292</v>
      </c>
    </row>
    <row r="226" spans="1:16" x14ac:dyDescent="0.2">
      <c r="A226" s="8">
        <v>112</v>
      </c>
      <c r="B226" s="8">
        <v>224</v>
      </c>
      <c r="D226">
        <v>630.29805194804999</v>
      </c>
      <c r="E226">
        <v>242.70909090909001</v>
      </c>
      <c r="F226">
        <v>128.71437782076001</v>
      </c>
      <c r="G226">
        <v>113.14377820761</v>
      </c>
      <c r="I226" s="9">
        <f t="shared" si="22"/>
        <v>129.56531270148002</v>
      </c>
      <c r="J226" s="9">
        <f t="shared" si="23"/>
        <v>501.58367412729001</v>
      </c>
      <c r="K226" s="9">
        <f t="shared" si="24"/>
        <v>129.56531270148002</v>
      </c>
      <c r="L226" s="10">
        <f t="shared" si="21"/>
        <v>0.25831245988401014</v>
      </c>
      <c r="M226" s="10">
        <f t="shared" si="20"/>
        <v>0.26086946757245205</v>
      </c>
      <c r="P226" s="8">
        <f t="shared" si="25"/>
        <v>-19.040511828448796</v>
      </c>
    </row>
    <row r="227" spans="1:16" x14ac:dyDescent="0.2">
      <c r="A227" s="8">
        <v>112.5</v>
      </c>
      <c r="B227" s="8">
        <v>225</v>
      </c>
      <c r="D227">
        <v>635.53826366559997</v>
      </c>
      <c r="E227">
        <v>247.44501607717001</v>
      </c>
      <c r="F227">
        <v>128.82076079948001</v>
      </c>
      <c r="G227">
        <v>113.13797549968</v>
      </c>
      <c r="I227" s="9">
        <f t="shared" si="22"/>
        <v>134.30704057749</v>
      </c>
      <c r="J227" s="9">
        <f t="shared" si="23"/>
        <v>506.71750286611996</v>
      </c>
      <c r="K227" s="9">
        <f t="shared" si="24"/>
        <v>134.30704057749</v>
      </c>
      <c r="L227" s="10">
        <f t="shared" si="21"/>
        <v>0.26505309135330052</v>
      </c>
      <c r="M227" s="10">
        <f t="shared" si="20"/>
        <v>0.26762151425463726</v>
      </c>
      <c r="P227" s="8">
        <f t="shared" si="25"/>
        <v>-16.945049110688178</v>
      </c>
    </row>
    <row r="228" spans="1:16" x14ac:dyDescent="0.2">
      <c r="A228" s="8">
        <v>113</v>
      </c>
      <c r="B228" s="8">
        <v>226</v>
      </c>
      <c r="D228">
        <v>631.06796116504995</v>
      </c>
      <c r="E228">
        <v>246.61553398058001</v>
      </c>
      <c r="F228">
        <v>128.50548033526999</v>
      </c>
      <c r="G228">
        <v>112.91038039974001</v>
      </c>
      <c r="I228" s="9">
        <f t="shared" si="22"/>
        <v>133.70515358084</v>
      </c>
      <c r="J228" s="9">
        <f t="shared" si="23"/>
        <v>502.56248082977993</v>
      </c>
      <c r="K228" s="9">
        <f t="shared" si="24"/>
        <v>133.70515358084</v>
      </c>
      <c r="L228" s="10">
        <f t="shared" si="21"/>
        <v>0.26604682737175223</v>
      </c>
      <c r="M228" s="10">
        <f t="shared" si="20"/>
        <v>0.2686266654859838</v>
      </c>
      <c r="P228" s="8">
        <f t="shared" si="25"/>
        <v>-16.633105631897511</v>
      </c>
    </row>
    <row r="229" spans="1:16" x14ac:dyDescent="0.2">
      <c r="A229" s="8">
        <v>113.5</v>
      </c>
      <c r="B229" s="8">
        <v>227</v>
      </c>
      <c r="D229">
        <v>617.26675257731995</v>
      </c>
      <c r="E229">
        <v>243.39690721650001</v>
      </c>
      <c r="F229">
        <v>128.52675693101</v>
      </c>
      <c r="G229">
        <v>113.49774339136</v>
      </c>
      <c r="I229" s="9">
        <f t="shared" si="22"/>
        <v>129.89916382514002</v>
      </c>
      <c r="J229" s="9">
        <f t="shared" si="23"/>
        <v>488.73999564630992</v>
      </c>
      <c r="K229" s="9">
        <f t="shared" si="24"/>
        <v>129.89916382514002</v>
      </c>
      <c r="L229" s="10">
        <f t="shared" si="21"/>
        <v>0.26578378070606096</v>
      </c>
      <c r="M229" s="10">
        <f t="shared" si="20"/>
        <v>0.26837503403318735</v>
      </c>
      <c r="P229" s="8">
        <f t="shared" si="25"/>
        <v>-16.711198150028654</v>
      </c>
    </row>
    <row r="230" spans="1:16" x14ac:dyDescent="0.2">
      <c r="A230" s="8">
        <v>114</v>
      </c>
      <c r="B230" s="8">
        <v>228</v>
      </c>
      <c r="D230">
        <v>605.76101036268994</v>
      </c>
      <c r="E230">
        <v>240.7920984456</v>
      </c>
      <c r="F230">
        <v>129.16827852998</v>
      </c>
      <c r="G230">
        <v>113.47646679562</v>
      </c>
      <c r="I230" s="9">
        <f t="shared" si="22"/>
        <v>127.31563164998001</v>
      </c>
      <c r="J230" s="9">
        <f t="shared" si="23"/>
        <v>476.59273183270994</v>
      </c>
      <c r="K230" s="9">
        <f t="shared" si="24"/>
        <v>127.31563164998001</v>
      </c>
      <c r="L230" s="10">
        <f t="shared" si="21"/>
        <v>0.26713716585730352</v>
      </c>
      <c r="M230" s="10">
        <f t="shared" si="20"/>
        <v>0.26973983439732474</v>
      </c>
      <c r="P230" s="8">
        <f t="shared" si="25"/>
        <v>-16.287639425563434</v>
      </c>
    </row>
    <row r="231" spans="1:16" x14ac:dyDescent="0.2">
      <c r="A231" s="8">
        <v>114.5</v>
      </c>
      <c r="B231" s="8">
        <v>229</v>
      </c>
      <c r="D231">
        <v>602.5</v>
      </c>
      <c r="E231">
        <v>242.45336787565</v>
      </c>
      <c r="F231">
        <v>129.01676337846999</v>
      </c>
      <c r="G231">
        <v>113.34171502257</v>
      </c>
      <c r="I231" s="9">
        <f t="shared" si="22"/>
        <v>129.11165285307999</v>
      </c>
      <c r="J231" s="9">
        <f t="shared" si="23"/>
        <v>473.48323662153001</v>
      </c>
      <c r="K231" s="9">
        <f t="shared" si="24"/>
        <v>129.11165285307999</v>
      </c>
      <c r="L231" s="10">
        <f t="shared" si="21"/>
        <v>0.27268473911418112</v>
      </c>
      <c r="M231" s="10">
        <f t="shared" si="20"/>
        <v>0.27529882286709717</v>
      </c>
      <c r="P231" s="8">
        <f t="shared" si="25"/>
        <v>-14.562436144963584</v>
      </c>
    </row>
    <row r="232" spans="1:16" x14ac:dyDescent="0.2">
      <c r="A232" s="8">
        <v>115</v>
      </c>
      <c r="B232" s="8">
        <v>230</v>
      </c>
      <c r="D232">
        <v>604.64495114007002</v>
      </c>
      <c r="E232">
        <v>239.55179153095</v>
      </c>
      <c r="F232">
        <v>128.74081237911</v>
      </c>
      <c r="G232">
        <v>113.0580270793</v>
      </c>
      <c r="I232" s="9">
        <f t="shared" si="22"/>
        <v>126.49376445164999</v>
      </c>
      <c r="J232" s="9">
        <f t="shared" si="23"/>
        <v>475.90413876096</v>
      </c>
      <c r="K232" s="9">
        <f t="shared" si="24"/>
        <v>126.49376445164999</v>
      </c>
      <c r="L232" s="10">
        <f t="shared" si="21"/>
        <v>0.2657967312093204</v>
      </c>
      <c r="M232" s="10">
        <f t="shared" si="20"/>
        <v>0.26842223017513128</v>
      </c>
      <c r="P232" s="8">
        <f t="shared" si="25"/>
        <v>-16.696551071813605</v>
      </c>
    </row>
    <row r="233" spans="1:16" x14ac:dyDescent="0.2">
      <c r="A233" s="8">
        <v>115.5</v>
      </c>
      <c r="B233" s="8">
        <v>231</v>
      </c>
      <c r="D233">
        <v>617.92714377821005</v>
      </c>
      <c r="E233">
        <v>243.96002578981</v>
      </c>
      <c r="F233">
        <v>128.30883301096</v>
      </c>
      <c r="G233">
        <v>113.09542230819</v>
      </c>
      <c r="I233" s="9">
        <f t="shared" si="22"/>
        <v>130.86460348162001</v>
      </c>
      <c r="J233" s="9">
        <f t="shared" si="23"/>
        <v>489.61831076725002</v>
      </c>
      <c r="K233" s="9">
        <f t="shared" si="24"/>
        <v>130.86460348162001</v>
      </c>
      <c r="L233" s="10">
        <f t="shared" si="21"/>
        <v>0.26727881822179061</v>
      </c>
      <c r="M233" s="10">
        <f t="shared" si="20"/>
        <v>0.26991573240049632</v>
      </c>
      <c r="P233" s="8">
        <f t="shared" si="25"/>
        <v>-16.233050391286302</v>
      </c>
    </row>
    <row r="234" spans="1:16" x14ac:dyDescent="0.2">
      <c r="A234" s="8">
        <v>116</v>
      </c>
      <c r="B234" s="8">
        <v>232</v>
      </c>
      <c r="D234">
        <v>627.80784313725997</v>
      </c>
      <c r="E234">
        <v>247.78169934640999</v>
      </c>
      <c r="F234">
        <v>128.71050934881001</v>
      </c>
      <c r="G234">
        <v>112.83043197937</v>
      </c>
      <c r="I234" s="9">
        <f t="shared" si="22"/>
        <v>134.95126736703997</v>
      </c>
      <c r="J234" s="9">
        <f t="shared" si="23"/>
        <v>499.09733378844999</v>
      </c>
      <c r="K234" s="9">
        <f t="shared" si="24"/>
        <v>134.95126736703997</v>
      </c>
      <c r="L234" s="10">
        <f t="shared" si="21"/>
        <v>0.2703906797952183</v>
      </c>
      <c r="M234" s="10">
        <f t="shared" si="20"/>
        <v>0.27303900918681884</v>
      </c>
      <c r="P234" s="8">
        <f t="shared" si="25"/>
        <v>-15.263757616659349</v>
      </c>
    </row>
    <row r="235" spans="1:16" x14ac:dyDescent="0.2">
      <c r="A235" s="8">
        <v>116.5</v>
      </c>
      <c r="B235" s="8">
        <v>233</v>
      </c>
      <c r="D235">
        <v>618.96013071895004</v>
      </c>
      <c r="E235">
        <v>247.20457516339999</v>
      </c>
      <c r="F235">
        <v>128.10380399741999</v>
      </c>
      <c r="G235">
        <v>113.19922630561</v>
      </c>
      <c r="I235" s="9">
        <f t="shared" si="22"/>
        <v>134.00534885779001</v>
      </c>
      <c r="J235" s="9">
        <f t="shared" si="23"/>
        <v>490.85632672153008</v>
      </c>
      <c r="K235" s="9">
        <f t="shared" si="24"/>
        <v>134.00534885779001</v>
      </c>
      <c r="L235" s="10">
        <f t="shared" si="21"/>
        <v>0.27300320187950472</v>
      </c>
      <c r="M235" s="10">
        <f t="shared" si="20"/>
        <v>0.27566294648400008</v>
      </c>
      <c r="P235" s="8">
        <f t="shared" si="25"/>
        <v>-14.449432266319</v>
      </c>
    </row>
    <row r="236" spans="1:16" x14ac:dyDescent="0.2">
      <c r="A236" s="8">
        <v>117</v>
      </c>
      <c r="B236" s="8">
        <v>234</v>
      </c>
      <c r="D236">
        <v>612.07385620914999</v>
      </c>
      <c r="E236">
        <v>245.24248366013001</v>
      </c>
      <c r="F236">
        <v>128.19600257898</v>
      </c>
      <c r="G236">
        <v>112.74597034172</v>
      </c>
      <c r="I236" s="9">
        <f t="shared" si="22"/>
        <v>132.49651331841</v>
      </c>
      <c r="J236" s="9">
        <f t="shared" si="23"/>
        <v>483.87785363016997</v>
      </c>
      <c r="K236" s="9">
        <f t="shared" si="24"/>
        <v>132.49651331841</v>
      </c>
      <c r="L236" s="10">
        <f t="shared" si="21"/>
        <v>0.27382223080554063</v>
      </c>
      <c r="M236" s="10">
        <f t="shared" si="20"/>
        <v>0.27649339062293082</v>
      </c>
      <c r="P236" s="8">
        <f t="shared" si="25"/>
        <v>-14.191708228820342</v>
      </c>
    </row>
    <row r="237" spans="1:16" x14ac:dyDescent="0.2">
      <c r="A237" s="8">
        <v>117.5</v>
      </c>
      <c r="B237" s="8">
        <v>235</v>
      </c>
      <c r="D237">
        <v>608.14967320260996</v>
      </c>
      <c r="E237">
        <v>243.51437908496999</v>
      </c>
      <c r="F237">
        <v>128.40167633785001</v>
      </c>
      <c r="G237">
        <v>113.23726627982001</v>
      </c>
      <c r="I237" s="9">
        <f t="shared" si="22"/>
        <v>130.27711280514998</v>
      </c>
      <c r="J237" s="9">
        <f t="shared" si="23"/>
        <v>479.74799686475995</v>
      </c>
      <c r="K237" s="9">
        <f t="shared" si="24"/>
        <v>130.27711280514998</v>
      </c>
      <c r="L237" s="10">
        <f t="shared" si="21"/>
        <v>0.27155321889103134</v>
      </c>
      <c r="M237" s="10">
        <f t="shared" si="20"/>
        <v>0.27423579392131636</v>
      </c>
      <c r="P237" s="8">
        <f t="shared" si="25"/>
        <v>-14.892341672669907</v>
      </c>
    </row>
    <row r="238" spans="1:16" x14ac:dyDescent="0.2">
      <c r="A238" s="8">
        <v>118</v>
      </c>
      <c r="B238" s="8">
        <v>236</v>
      </c>
      <c r="D238">
        <v>603.95228758170003</v>
      </c>
      <c r="E238">
        <v>244.12941176471</v>
      </c>
      <c r="F238">
        <v>128.41328175371001</v>
      </c>
      <c r="G238">
        <v>112.71308833011</v>
      </c>
      <c r="I238" s="9">
        <f t="shared" si="22"/>
        <v>131.4163234346</v>
      </c>
      <c r="J238" s="9">
        <f t="shared" si="23"/>
        <v>475.53900582799002</v>
      </c>
      <c r="K238" s="9">
        <f t="shared" si="24"/>
        <v>131.4163234346</v>
      </c>
      <c r="L238" s="10">
        <f t="shared" si="21"/>
        <v>0.27635235348524778</v>
      </c>
      <c r="M238" s="10">
        <f t="shared" si="20"/>
        <v>0.27904634372842763</v>
      </c>
      <c r="P238" s="8">
        <f t="shared" si="25"/>
        <v>-13.399412454729459</v>
      </c>
    </row>
    <row r="239" spans="1:16" x14ac:dyDescent="0.2">
      <c r="A239" s="8">
        <v>118.5</v>
      </c>
      <c r="B239" s="8">
        <v>237</v>
      </c>
      <c r="D239">
        <v>627.07091737149995</v>
      </c>
      <c r="E239">
        <v>251.98698763825999</v>
      </c>
      <c r="F239">
        <v>128.17279174725999</v>
      </c>
      <c r="G239">
        <v>112.96067053514</v>
      </c>
      <c r="I239" s="9">
        <f t="shared" si="22"/>
        <v>139.02631710311999</v>
      </c>
      <c r="J239" s="9">
        <f t="shared" si="23"/>
        <v>498.89812562423992</v>
      </c>
      <c r="K239" s="9">
        <f t="shared" si="24"/>
        <v>139.02631710311999</v>
      </c>
      <c r="L239" s="10">
        <f t="shared" si="21"/>
        <v>0.27866674569916472</v>
      </c>
      <c r="M239" s="10">
        <f t="shared" si="20"/>
        <v>0.28137215115523939</v>
      </c>
      <c r="P239" s="8">
        <f t="shared" si="25"/>
        <v>-12.677610165590439</v>
      </c>
    </row>
    <row r="240" spans="1:16" x14ac:dyDescent="0.2">
      <c r="A240" s="8">
        <v>119</v>
      </c>
      <c r="B240" s="8">
        <v>238</v>
      </c>
      <c r="D240">
        <v>605.36955107352003</v>
      </c>
      <c r="E240">
        <v>245.54847104749999</v>
      </c>
      <c r="F240">
        <v>128.60348162476001</v>
      </c>
      <c r="G240">
        <v>113.1334622824</v>
      </c>
      <c r="I240" s="9">
        <f t="shared" si="22"/>
        <v>132.41500876509997</v>
      </c>
      <c r="J240" s="9">
        <f t="shared" si="23"/>
        <v>476.76606944876005</v>
      </c>
      <c r="K240" s="9">
        <f t="shared" si="24"/>
        <v>132.41500876509997</v>
      </c>
      <c r="L240" s="10">
        <f t="shared" si="21"/>
        <v>0.27773580640543283</v>
      </c>
      <c r="M240" s="10">
        <f t="shared" si="20"/>
        <v>0.28045262707440233</v>
      </c>
      <c r="P240" s="8">
        <f t="shared" si="25"/>
        <v>-12.962979701698796</v>
      </c>
    </row>
    <row r="241" spans="1:16" x14ac:dyDescent="0.2">
      <c r="A241" s="8">
        <v>119.5</v>
      </c>
      <c r="B241" s="8">
        <v>239</v>
      </c>
      <c r="D241">
        <v>615.36269430052005</v>
      </c>
      <c r="E241">
        <v>248.82577720206999</v>
      </c>
      <c r="F241">
        <v>128.64861379755001</v>
      </c>
      <c r="G241">
        <v>113.15215989684</v>
      </c>
      <c r="I241" s="9">
        <f t="shared" si="22"/>
        <v>135.67361730522998</v>
      </c>
      <c r="J241" s="9">
        <f t="shared" si="23"/>
        <v>486.71408050297003</v>
      </c>
      <c r="K241" s="9">
        <f t="shared" si="24"/>
        <v>135.67361730522998</v>
      </c>
      <c r="L241" s="10">
        <f t="shared" si="21"/>
        <v>0.27875424759650458</v>
      </c>
      <c r="M241" s="10">
        <f t="shared" si="20"/>
        <v>0.28148248347836896</v>
      </c>
      <c r="P241" s="8">
        <f t="shared" si="25"/>
        <v>-12.643369100537981</v>
      </c>
    </row>
    <row r="242" spans="1:16" x14ac:dyDescent="0.2">
      <c r="A242" s="8">
        <v>120</v>
      </c>
      <c r="B242" s="8">
        <v>240</v>
      </c>
      <c r="D242">
        <v>624.08419689119</v>
      </c>
      <c r="E242">
        <v>251.52137305700001</v>
      </c>
      <c r="F242">
        <v>128.18117343649001</v>
      </c>
      <c r="G242">
        <v>112.92907801418001</v>
      </c>
      <c r="I242" s="9">
        <f>E242-G242</f>
        <v>138.59229504282001</v>
      </c>
      <c r="J242" s="9">
        <f>D242-F242</f>
        <v>495.90302345470002</v>
      </c>
      <c r="K242" s="9">
        <f t="shared" si="24"/>
        <v>138.59229504282001</v>
      </c>
      <c r="L242" s="10">
        <f t="shared" si="21"/>
        <v>0.27947459178070572</v>
      </c>
      <c r="M242" s="10">
        <f>L242+ABS($N$2)*A242</f>
        <v>0.28221424287546493</v>
      </c>
      <c r="O242" s="11"/>
      <c r="P242" s="8">
        <f>(M242-$O$2)/$O$2*100</f>
        <v>-12.416271361561845</v>
      </c>
    </row>
    <row r="243" spans="1:16" x14ac:dyDescent="0.2">
      <c r="A243" s="8">
        <v>120.5</v>
      </c>
      <c r="B243" s="8">
        <v>241</v>
      </c>
      <c r="D243">
        <v>628.87394411955995</v>
      </c>
      <c r="E243">
        <v>251.91487979207</v>
      </c>
      <c r="F243">
        <v>128.4912959381</v>
      </c>
      <c r="G243">
        <v>112.93036750484001</v>
      </c>
      <c r="I243" s="9">
        <f t="shared" ref="I243:I274" si="26">E243-G243</f>
        <v>138.98451228722999</v>
      </c>
      <c r="J243" s="9">
        <f t="shared" ref="J243:J274" si="27">D243-F243</f>
        <v>500.38264818145996</v>
      </c>
      <c r="K243" s="9">
        <f t="shared" si="24"/>
        <v>138.98451228722999</v>
      </c>
      <c r="L243" s="10">
        <f t="shared" si="21"/>
        <v>0.2777564585669412</v>
      </c>
      <c r="M243" s="10">
        <f t="shared" ref="M243:M274" si="28">L243+ABS($N$2)*A243</f>
        <v>0.28050752487459524</v>
      </c>
      <c r="P243" s="8">
        <f t="shared" ref="P243:P274" si="29">(M243-$O$2)/$O$2*100</f>
        <v>-12.945942453734439</v>
      </c>
    </row>
    <row r="244" spans="1:16" x14ac:dyDescent="0.2">
      <c r="A244" s="8">
        <v>121</v>
      </c>
      <c r="B244" s="8">
        <v>242</v>
      </c>
      <c r="D244">
        <v>625.56595191683004</v>
      </c>
      <c r="E244">
        <v>251.42690058479999</v>
      </c>
      <c r="F244">
        <v>128.49323017408</v>
      </c>
      <c r="G244">
        <v>112.81173436493</v>
      </c>
      <c r="I244" s="9">
        <f t="shared" si="26"/>
        <v>138.61516621986999</v>
      </c>
      <c r="J244" s="9">
        <f t="shared" si="27"/>
        <v>497.07272174275005</v>
      </c>
      <c r="K244" s="9">
        <f t="shared" si="24"/>
        <v>138.61516621986999</v>
      </c>
      <c r="L244" s="10">
        <f t="shared" si="21"/>
        <v>0.27886295134820832</v>
      </c>
      <c r="M244" s="10">
        <f t="shared" si="28"/>
        <v>0.28162543286875719</v>
      </c>
      <c r="N244" s="1"/>
      <c r="P244" s="8">
        <f t="shared" si="29"/>
        <v>-12.599005497591417</v>
      </c>
    </row>
    <row r="245" spans="1:16" x14ac:dyDescent="0.2">
      <c r="A245" s="8">
        <v>121.5</v>
      </c>
      <c r="B245" s="8">
        <v>243</v>
      </c>
      <c r="D245">
        <v>634.61833550065001</v>
      </c>
      <c r="E245">
        <v>254.79778933680001</v>
      </c>
      <c r="F245">
        <v>128.48226950354999</v>
      </c>
      <c r="G245">
        <v>112.78014184397</v>
      </c>
      <c r="I245" s="9">
        <f t="shared" si="26"/>
        <v>142.01764749283001</v>
      </c>
      <c r="J245" s="9">
        <f t="shared" si="27"/>
        <v>506.13606599709999</v>
      </c>
      <c r="K245" s="9">
        <f t="shared" si="24"/>
        <v>142.01764749283001</v>
      </c>
      <c r="L245" s="10">
        <f t="shared" si="21"/>
        <v>0.28059183495065088</v>
      </c>
      <c r="M245" s="10">
        <f t="shared" si="28"/>
        <v>0.28336573168409457</v>
      </c>
      <c r="P245" s="8">
        <f t="shared" si="29"/>
        <v>-12.058912773569812</v>
      </c>
    </row>
    <row r="246" spans="1:16" x14ac:dyDescent="0.2">
      <c r="A246" s="8">
        <v>122</v>
      </c>
      <c r="B246" s="8">
        <v>244</v>
      </c>
      <c r="D246">
        <v>616.83745123537005</v>
      </c>
      <c r="E246">
        <v>250.99349804942</v>
      </c>
      <c r="F246">
        <v>128.43971631206</v>
      </c>
      <c r="G246">
        <v>112.95873629915999</v>
      </c>
      <c r="I246" s="9">
        <f t="shared" si="26"/>
        <v>138.03476175026</v>
      </c>
      <c r="J246" s="9">
        <f t="shared" si="27"/>
        <v>488.39773492331005</v>
      </c>
      <c r="K246" s="9">
        <f t="shared" si="24"/>
        <v>138.03476175026</v>
      </c>
      <c r="L246" s="10">
        <f t="shared" si="21"/>
        <v>0.28262776806680873</v>
      </c>
      <c r="M246" s="10">
        <f t="shared" si="28"/>
        <v>0.28541308001314725</v>
      </c>
      <c r="P246" s="8">
        <f t="shared" si="29"/>
        <v>-11.42352882323093</v>
      </c>
    </row>
    <row r="247" spans="1:16" x14ac:dyDescent="0.2">
      <c r="A247" s="8">
        <v>122.5</v>
      </c>
      <c r="B247" s="8">
        <v>245</v>
      </c>
      <c r="D247">
        <v>618.49609882965001</v>
      </c>
      <c r="E247">
        <v>251.64174252276001</v>
      </c>
      <c r="F247">
        <v>128.35976789168001</v>
      </c>
      <c r="G247">
        <v>112.81560283688</v>
      </c>
      <c r="I247" s="9">
        <f t="shared" si="26"/>
        <v>138.82613968588001</v>
      </c>
      <c r="J247" s="9">
        <f t="shared" si="27"/>
        <v>490.13633093797</v>
      </c>
      <c r="K247" s="9">
        <f t="shared" si="24"/>
        <v>138.82613968588001</v>
      </c>
      <c r="L247" s="10">
        <f t="shared" si="21"/>
        <v>0.28323984761588583</v>
      </c>
      <c r="M247" s="10">
        <f t="shared" si="28"/>
        <v>0.28603657477511918</v>
      </c>
      <c r="P247" s="8">
        <f t="shared" si="29"/>
        <v>-11.230030453043659</v>
      </c>
    </row>
    <row r="248" spans="1:16" x14ac:dyDescent="0.2">
      <c r="A248" s="8">
        <v>123</v>
      </c>
      <c r="B248" s="8">
        <v>246</v>
      </c>
      <c r="D248">
        <v>627.77712418300996</v>
      </c>
      <c r="E248">
        <v>256.01568627451002</v>
      </c>
      <c r="F248">
        <v>128.34622823985001</v>
      </c>
      <c r="G248">
        <v>112.88974854932</v>
      </c>
      <c r="I248" s="9">
        <f t="shared" si="26"/>
        <v>143.12593772519</v>
      </c>
      <c r="J248" s="9">
        <f t="shared" si="27"/>
        <v>499.43089594315995</v>
      </c>
      <c r="K248" s="9">
        <f t="shared" si="24"/>
        <v>143.12593772519</v>
      </c>
      <c r="L248" s="10">
        <f t="shared" si="21"/>
        <v>0.28657806092452698</v>
      </c>
      <c r="M248" s="10">
        <f t="shared" si="28"/>
        <v>0.28938620329665515</v>
      </c>
      <c r="P248" s="8">
        <f t="shared" si="29"/>
        <v>-10.190490589709267</v>
      </c>
    </row>
    <row r="249" spans="1:16" x14ac:dyDescent="0.2">
      <c r="A249" s="8">
        <v>123.5</v>
      </c>
      <c r="B249" s="8">
        <v>247</v>
      </c>
      <c r="D249">
        <v>621.76732026143998</v>
      </c>
      <c r="E249">
        <v>252.3</v>
      </c>
      <c r="F249">
        <v>128.44551901999</v>
      </c>
      <c r="G249">
        <v>112.58994197292</v>
      </c>
      <c r="I249" s="9">
        <f t="shared" si="26"/>
        <v>139.71005802708001</v>
      </c>
      <c r="J249" s="9">
        <f t="shared" si="27"/>
        <v>493.32180124144998</v>
      </c>
      <c r="K249" s="9">
        <f t="shared" si="24"/>
        <v>139.71005802708001</v>
      </c>
      <c r="L249" s="10">
        <f t="shared" si="21"/>
        <v>0.28320268367523599</v>
      </c>
      <c r="M249" s="10">
        <f t="shared" si="28"/>
        <v>0.28602224126025899</v>
      </c>
      <c r="P249" s="8">
        <f t="shared" si="29"/>
        <v>-11.234478785144685</v>
      </c>
    </row>
    <row r="250" spans="1:16" x14ac:dyDescent="0.2">
      <c r="A250" s="8">
        <v>124</v>
      </c>
      <c r="B250" s="8">
        <v>248</v>
      </c>
      <c r="D250">
        <v>637.07412223666995</v>
      </c>
      <c r="E250">
        <v>256.38816644994</v>
      </c>
      <c r="F250">
        <v>128.59961315281001</v>
      </c>
      <c r="G250">
        <v>112.82656350742</v>
      </c>
      <c r="I250" s="9">
        <f t="shared" si="26"/>
        <v>143.56160294251998</v>
      </c>
      <c r="J250" s="9">
        <f t="shared" si="27"/>
        <v>508.47450908385997</v>
      </c>
      <c r="K250" s="9">
        <f t="shared" si="24"/>
        <v>143.56160294251998</v>
      </c>
      <c r="L250" s="10">
        <f t="shared" si="21"/>
        <v>0.28233785642702325</v>
      </c>
      <c r="M250" s="10">
        <f t="shared" si="28"/>
        <v>0.28516882922494108</v>
      </c>
      <c r="P250" s="8">
        <f t="shared" si="29"/>
        <v>-11.499330790332264</v>
      </c>
    </row>
    <row r="251" spans="1:16" x14ac:dyDescent="0.2">
      <c r="A251" s="8">
        <v>124.5</v>
      </c>
      <c r="B251" s="8">
        <v>249</v>
      </c>
      <c r="D251">
        <v>610.35240572171995</v>
      </c>
      <c r="E251">
        <v>250.75292587775999</v>
      </c>
      <c r="F251">
        <v>128.32301740811999</v>
      </c>
      <c r="G251">
        <v>112.93101225015999</v>
      </c>
      <c r="I251" s="9">
        <f t="shared" si="26"/>
        <v>137.8219136276</v>
      </c>
      <c r="J251" s="9">
        <f t="shared" si="27"/>
        <v>482.02938831359995</v>
      </c>
      <c r="K251" s="9">
        <f t="shared" si="24"/>
        <v>137.8219136276</v>
      </c>
      <c r="L251" s="10">
        <f t="shared" si="21"/>
        <v>0.28592014712998259</v>
      </c>
      <c r="M251" s="10">
        <f t="shared" si="28"/>
        <v>0.28876253514079525</v>
      </c>
      <c r="P251" s="8">
        <f t="shared" si="29"/>
        <v>-10.384042771791632</v>
      </c>
    </row>
    <row r="252" spans="1:16" x14ac:dyDescent="0.2">
      <c r="A252" s="8">
        <v>125</v>
      </c>
      <c r="B252" s="8">
        <v>250</v>
      </c>
      <c r="D252">
        <v>605.50555192684999</v>
      </c>
      <c r="E252">
        <v>249.06466361854999</v>
      </c>
      <c r="F252">
        <v>128.36814958092</v>
      </c>
      <c r="G252">
        <v>113.14442295293</v>
      </c>
      <c r="I252" s="9">
        <f t="shared" si="26"/>
        <v>135.92024066561999</v>
      </c>
      <c r="J252" s="9">
        <f t="shared" si="27"/>
        <v>477.13740234593001</v>
      </c>
      <c r="K252" s="9">
        <f t="shared" si="24"/>
        <v>135.92024066561999</v>
      </c>
      <c r="L252" s="10">
        <f t="shared" si="21"/>
        <v>0.28486603648622849</v>
      </c>
      <c r="M252" s="10">
        <f t="shared" si="28"/>
        <v>0.28771983970993598</v>
      </c>
      <c r="P252" s="8">
        <f t="shared" si="29"/>
        <v>-10.707637898452965</v>
      </c>
    </row>
    <row r="253" spans="1:16" x14ac:dyDescent="0.2">
      <c r="A253" s="8">
        <v>125.5</v>
      </c>
      <c r="B253" s="8">
        <v>251</v>
      </c>
      <c r="D253">
        <v>595.83540169824005</v>
      </c>
      <c r="E253">
        <v>247.94448073154999</v>
      </c>
      <c r="F253">
        <v>129.01096067053999</v>
      </c>
      <c r="G253">
        <v>112.9974210187</v>
      </c>
      <c r="I253" s="9">
        <f t="shared" si="26"/>
        <v>134.94705971284998</v>
      </c>
      <c r="J253" s="9">
        <f t="shared" si="27"/>
        <v>466.82444102770006</v>
      </c>
      <c r="K253" s="9">
        <f t="shared" si="24"/>
        <v>134.94705971284998</v>
      </c>
      <c r="L253" s="10">
        <f t="shared" si="21"/>
        <v>0.28907453820491502</v>
      </c>
      <c r="M253" s="10">
        <f t="shared" si="28"/>
        <v>0.29193975664151733</v>
      </c>
      <c r="P253" s="8">
        <f t="shared" si="29"/>
        <v>-9.3980085344400823</v>
      </c>
    </row>
    <row r="254" spans="1:16" x14ac:dyDescent="0.2">
      <c r="A254" s="8">
        <v>126</v>
      </c>
      <c r="B254" s="8">
        <v>252</v>
      </c>
      <c r="D254">
        <v>595.35397653194002</v>
      </c>
      <c r="E254">
        <v>253.88461538461999</v>
      </c>
      <c r="F254">
        <v>129.13539651837999</v>
      </c>
      <c r="G254">
        <v>112.80980012895</v>
      </c>
      <c r="I254" s="9">
        <f t="shared" si="26"/>
        <v>141.07481525566999</v>
      </c>
      <c r="J254" s="9">
        <f t="shared" si="27"/>
        <v>466.21858001356003</v>
      </c>
      <c r="K254" s="9">
        <f t="shared" si="24"/>
        <v>141.07481525566999</v>
      </c>
      <c r="L254" s="10">
        <f t="shared" si="21"/>
        <v>0.30259372170788817</v>
      </c>
      <c r="M254" s="10">
        <f t="shared" si="28"/>
        <v>0.30547035535738531</v>
      </c>
      <c r="P254" s="8">
        <f t="shared" si="29"/>
        <v>-5.198857300357532</v>
      </c>
    </row>
    <row r="255" spans="1:16" x14ac:dyDescent="0.2">
      <c r="A255" s="8">
        <v>126.5</v>
      </c>
      <c r="B255" s="8">
        <v>253</v>
      </c>
      <c r="D255">
        <v>602.27076520601997</v>
      </c>
      <c r="E255">
        <v>253.83126226292001</v>
      </c>
      <c r="F255">
        <v>128.38942617666001</v>
      </c>
      <c r="G255">
        <v>112.62927143778001</v>
      </c>
      <c r="I255" s="9">
        <f t="shared" si="26"/>
        <v>141.20199082514</v>
      </c>
      <c r="J255" s="9">
        <f t="shared" si="27"/>
        <v>473.88133902935999</v>
      </c>
      <c r="K255" s="9">
        <f t="shared" si="24"/>
        <v>141.20199082514</v>
      </c>
      <c r="L255" s="10">
        <f t="shared" si="21"/>
        <v>0.2979690888743598</v>
      </c>
      <c r="M255" s="10">
        <f t="shared" si="28"/>
        <v>0.30085713773675177</v>
      </c>
      <c r="P255" s="8">
        <f t="shared" si="29"/>
        <v>-6.630545496243256</v>
      </c>
    </row>
    <row r="256" spans="1:16" x14ac:dyDescent="0.2">
      <c r="A256" s="8">
        <v>127</v>
      </c>
      <c r="B256" s="8">
        <v>254</v>
      </c>
      <c r="D256">
        <v>615.16481360366004</v>
      </c>
      <c r="E256">
        <v>257.51536952255998</v>
      </c>
      <c r="F256">
        <v>128.10702772405</v>
      </c>
      <c r="G256">
        <v>112.45003223726999</v>
      </c>
      <c r="I256" s="9">
        <f t="shared" si="26"/>
        <v>145.06533728528998</v>
      </c>
      <c r="J256" s="9">
        <f t="shared" si="27"/>
        <v>487.05778587961004</v>
      </c>
      <c r="K256" s="9">
        <f t="shared" si="24"/>
        <v>145.06533728528998</v>
      </c>
      <c r="L256" s="10">
        <f t="shared" si="21"/>
        <v>0.29784009514047055</v>
      </c>
      <c r="M256" s="10">
        <f t="shared" si="28"/>
        <v>0.30073955921575735</v>
      </c>
      <c r="P256" s="8">
        <f t="shared" si="29"/>
        <v>-6.6670353812737169</v>
      </c>
    </row>
    <row r="257" spans="1:16" x14ac:dyDescent="0.2">
      <c r="A257" s="8">
        <v>127.5</v>
      </c>
      <c r="B257" s="8">
        <v>255</v>
      </c>
      <c r="D257">
        <v>610.30544747082001</v>
      </c>
      <c r="E257">
        <v>253.98962386510999</v>
      </c>
      <c r="F257">
        <v>128.64345583495</v>
      </c>
      <c r="G257">
        <v>112.59767891683001</v>
      </c>
      <c r="I257" s="9">
        <f t="shared" si="26"/>
        <v>141.39194494827998</v>
      </c>
      <c r="J257" s="9">
        <f t="shared" si="27"/>
        <v>481.66199163586998</v>
      </c>
      <c r="K257" s="9">
        <f t="shared" si="24"/>
        <v>141.39194494827998</v>
      </c>
      <c r="L257" s="10">
        <f t="shared" si="21"/>
        <v>0.2935501397319521</v>
      </c>
      <c r="M257" s="10">
        <f t="shared" si="28"/>
        <v>0.29646101902013372</v>
      </c>
      <c r="P257" s="8">
        <f t="shared" si="29"/>
        <v>-7.9948581716617646</v>
      </c>
    </row>
    <row r="258" spans="1:16" x14ac:dyDescent="0.2">
      <c r="A258" s="8">
        <v>128</v>
      </c>
      <c r="B258" s="8">
        <v>256</v>
      </c>
      <c r="D258">
        <v>608.71465629053</v>
      </c>
      <c r="E258">
        <v>254.38261997405999</v>
      </c>
      <c r="F258">
        <v>128.01482914248999</v>
      </c>
      <c r="G258">
        <v>112.48549323016999</v>
      </c>
      <c r="I258" s="9">
        <f t="shared" si="26"/>
        <v>141.89712674389</v>
      </c>
      <c r="J258" s="9">
        <f t="shared" si="27"/>
        <v>480.69982714804001</v>
      </c>
      <c r="K258" s="9">
        <f t="shared" si="24"/>
        <v>141.89712674389</v>
      </c>
      <c r="L258" s="10">
        <f t="shared" ref="L258:L321" si="30">K258/J258</f>
        <v>0.29518863692079145</v>
      </c>
      <c r="M258" s="10">
        <f t="shared" si="28"/>
        <v>0.2981109314218679</v>
      </c>
      <c r="P258" s="8">
        <f t="shared" si="29"/>
        <v>-7.4828164029745361</v>
      </c>
    </row>
    <row r="259" spans="1:16" x14ac:dyDescent="0.2">
      <c r="A259" s="8">
        <v>128.5</v>
      </c>
      <c r="B259" s="8">
        <v>257</v>
      </c>
      <c r="D259">
        <v>619.87945560595995</v>
      </c>
      <c r="E259">
        <v>256.85806869734</v>
      </c>
      <c r="F259">
        <v>128.24951644101</v>
      </c>
      <c r="G259">
        <v>112.87814313346</v>
      </c>
      <c r="I259" s="9">
        <f t="shared" si="26"/>
        <v>143.97992556387999</v>
      </c>
      <c r="J259" s="9">
        <f t="shared" si="27"/>
        <v>491.62993916494997</v>
      </c>
      <c r="K259" s="9">
        <f t="shared" ref="K259:K322" si="31">I259*1</f>
        <v>143.97992556387999</v>
      </c>
      <c r="L259" s="10">
        <f t="shared" si="30"/>
        <v>0.29286240339315939</v>
      </c>
      <c r="M259" s="10">
        <f t="shared" si="28"/>
        <v>0.29579611310713066</v>
      </c>
      <c r="P259" s="8">
        <f t="shared" si="29"/>
        <v>-8.2012082780957982</v>
      </c>
    </row>
    <row r="260" spans="1:16" x14ac:dyDescent="0.2">
      <c r="A260" s="8">
        <v>129</v>
      </c>
      <c r="B260" s="8">
        <v>258</v>
      </c>
      <c r="D260">
        <v>619.31885936487004</v>
      </c>
      <c r="E260">
        <v>256.73233959818998</v>
      </c>
      <c r="F260">
        <v>128.38297872339999</v>
      </c>
      <c r="G260">
        <v>112.56092843327001</v>
      </c>
      <c r="I260" s="9">
        <f t="shared" si="26"/>
        <v>144.17141116491996</v>
      </c>
      <c r="J260" s="9">
        <f t="shared" si="27"/>
        <v>490.93588064147002</v>
      </c>
      <c r="K260" s="9">
        <f t="shared" si="31"/>
        <v>144.17141116491996</v>
      </c>
      <c r="L260" s="10">
        <f t="shared" si="30"/>
        <v>0.29366647835261445</v>
      </c>
      <c r="M260" s="10">
        <f t="shared" si="28"/>
        <v>0.29661160327948055</v>
      </c>
      <c r="P260" s="8">
        <f t="shared" si="29"/>
        <v>-7.9481251266762465</v>
      </c>
    </row>
    <row r="261" spans="1:16" x14ac:dyDescent="0.2">
      <c r="A261" s="8">
        <v>129.5</v>
      </c>
      <c r="B261" s="8">
        <v>259</v>
      </c>
      <c r="D261">
        <v>625.08523096941997</v>
      </c>
      <c r="E261">
        <v>260.41704619388003</v>
      </c>
      <c r="F261">
        <v>128.35138620244999</v>
      </c>
      <c r="G261">
        <v>113.01676337847</v>
      </c>
      <c r="I261" s="9">
        <f t="shared" si="26"/>
        <v>147.40028281541004</v>
      </c>
      <c r="J261" s="9">
        <f t="shared" si="27"/>
        <v>496.73384476696998</v>
      </c>
      <c r="K261" s="9">
        <f t="shared" si="31"/>
        <v>147.40028281541004</v>
      </c>
      <c r="L261" s="10">
        <f t="shared" si="30"/>
        <v>0.29673895662285527</v>
      </c>
      <c r="M261" s="10">
        <f t="shared" si="28"/>
        <v>0.2996954967626162</v>
      </c>
      <c r="P261" s="8">
        <f t="shared" si="29"/>
        <v>-6.9910547562201772</v>
      </c>
    </row>
    <row r="262" spans="1:16" x14ac:dyDescent="0.2">
      <c r="A262" s="8">
        <v>130</v>
      </c>
      <c r="B262" s="8">
        <v>260</v>
      </c>
      <c r="D262">
        <v>621.15224463239997</v>
      </c>
      <c r="E262">
        <v>261.03903708523001</v>
      </c>
      <c r="F262">
        <v>128.28562217923999</v>
      </c>
      <c r="G262">
        <v>112.68665377176001</v>
      </c>
      <c r="I262" s="9">
        <f t="shared" si="26"/>
        <v>148.35238331347</v>
      </c>
      <c r="J262" s="9">
        <f t="shared" si="27"/>
        <v>492.86662245315995</v>
      </c>
      <c r="K262" s="9">
        <f t="shared" si="31"/>
        <v>148.35238331347</v>
      </c>
      <c r="L262" s="10">
        <f t="shared" si="30"/>
        <v>0.30099904630399033</v>
      </c>
      <c r="M262" s="10">
        <f t="shared" si="28"/>
        <v>0.30396700165664609</v>
      </c>
      <c r="P262" s="8">
        <f t="shared" si="29"/>
        <v>-5.6654153352446643</v>
      </c>
    </row>
    <row r="263" spans="1:16" x14ac:dyDescent="0.2">
      <c r="A263" s="8">
        <v>130.5</v>
      </c>
      <c r="B263" s="8">
        <v>261</v>
      </c>
      <c r="D263">
        <v>614.76968119714002</v>
      </c>
      <c r="E263">
        <v>258.65842550423002</v>
      </c>
      <c r="F263">
        <v>128.28239845261001</v>
      </c>
      <c r="G263">
        <v>112.87298517086001</v>
      </c>
      <c r="I263" s="9">
        <f t="shared" si="26"/>
        <v>145.78544033337002</v>
      </c>
      <c r="J263" s="9">
        <f t="shared" si="27"/>
        <v>486.48728274453003</v>
      </c>
      <c r="K263" s="9">
        <f t="shared" si="31"/>
        <v>145.78544033337002</v>
      </c>
      <c r="L263" s="10">
        <f t="shared" si="30"/>
        <v>0.29966958131139182</v>
      </c>
      <c r="M263" s="10">
        <f t="shared" si="28"/>
        <v>0.30264895187694241</v>
      </c>
      <c r="P263" s="8">
        <f t="shared" si="29"/>
        <v>-6.0744652579605107</v>
      </c>
    </row>
    <row r="264" spans="1:16" x14ac:dyDescent="0.2">
      <c r="A264" s="8">
        <v>131</v>
      </c>
      <c r="B264" s="8">
        <v>262</v>
      </c>
      <c r="D264">
        <v>615.57839947951004</v>
      </c>
      <c r="E264">
        <v>260.20039037085002</v>
      </c>
      <c r="F264">
        <v>128.18117343649001</v>
      </c>
      <c r="G264">
        <v>112.56673114119999</v>
      </c>
      <c r="I264" s="9">
        <f t="shared" si="26"/>
        <v>147.63365922965002</v>
      </c>
      <c r="J264" s="9">
        <f t="shared" si="27"/>
        <v>487.39722604302005</v>
      </c>
      <c r="K264" s="9">
        <f t="shared" si="31"/>
        <v>147.63365922965002</v>
      </c>
      <c r="L264" s="10">
        <f t="shared" si="30"/>
        <v>0.30290213267774968</v>
      </c>
      <c r="M264" s="10">
        <f t="shared" si="28"/>
        <v>0.30589291845619515</v>
      </c>
      <c r="P264" s="8">
        <f t="shared" si="29"/>
        <v>-5.0677170311716511</v>
      </c>
    </row>
    <row r="265" spans="1:16" x14ac:dyDescent="0.2">
      <c r="A265" s="8">
        <v>131.5</v>
      </c>
      <c r="B265" s="8">
        <v>263</v>
      </c>
      <c r="D265">
        <v>632.73194534807999</v>
      </c>
      <c r="E265">
        <v>263.63240078074</v>
      </c>
      <c r="F265">
        <v>128.10444874275001</v>
      </c>
      <c r="G265">
        <v>112.70921985816</v>
      </c>
      <c r="I265" s="9">
        <f t="shared" si="26"/>
        <v>150.92318092258</v>
      </c>
      <c r="J265" s="9">
        <f t="shared" si="27"/>
        <v>504.62749660532995</v>
      </c>
      <c r="K265" s="9">
        <f t="shared" si="31"/>
        <v>150.92318092258</v>
      </c>
      <c r="L265" s="10">
        <f t="shared" si="30"/>
        <v>0.29907839334529424</v>
      </c>
      <c r="M265" s="10">
        <f t="shared" si="28"/>
        <v>0.30208059433663453</v>
      </c>
      <c r="P265" s="8">
        <f t="shared" si="29"/>
        <v>-6.2508520769698599</v>
      </c>
    </row>
    <row r="266" spans="1:16" x14ac:dyDescent="0.2">
      <c r="A266" s="8">
        <v>132</v>
      </c>
      <c r="B266" s="8">
        <v>264</v>
      </c>
      <c r="D266">
        <v>620.81335061567995</v>
      </c>
      <c r="E266">
        <v>259.50032404407</v>
      </c>
      <c r="F266">
        <v>128.63958736299</v>
      </c>
      <c r="G266">
        <v>112.67891682785</v>
      </c>
      <c r="I266" s="9">
        <f t="shared" si="26"/>
        <v>146.82140721622</v>
      </c>
      <c r="J266" s="9">
        <f t="shared" si="27"/>
        <v>492.17376325268992</v>
      </c>
      <c r="K266" s="9">
        <f t="shared" si="31"/>
        <v>146.82140721622</v>
      </c>
      <c r="L266" s="10">
        <f t="shared" si="30"/>
        <v>0.29831213725393063</v>
      </c>
      <c r="M266" s="10">
        <f t="shared" si="28"/>
        <v>0.30132575345816576</v>
      </c>
      <c r="P266" s="8">
        <f t="shared" si="29"/>
        <v>-6.4851130341469334</v>
      </c>
    </row>
    <row r="267" spans="1:16" x14ac:dyDescent="0.2">
      <c r="A267" s="8">
        <v>132.5</v>
      </c>
      <c r="B267" s="8">
        <v>265</v>
      </c>
      <c r="D267">
        <v>624.69539857421</v>
      </c>
      <c r="E267">
        <v>261.92287751134</v>
      </c>
      <c r="F267">
        <v>128.14184397163001</v>
      </c>
      <c r="G267">
        <v>113.03159252095</v>
      </c>
      <c r="I267" s="9">
        <f t="shared" si="26"/>
        <v>148.89128499039001</v>
      </c>
      <c r="J267" s="9">
        <f t="shared" si="27"/>
        <v>496.55355460257999</v>
      </c>
      <c r="K267" s="9">
        <f t="shared" si="31"/>
        <v>148.89128499039001</v>
      </c>
      <c r="L267" s="10">
        <f t="shared" si="30"/>
        <v>0.29984939914397785</v>
      </c>
      <c r="M267" s="10">
        <f t="shared" si="28"/>
        <v>0.3028744305611078</v>
      </c>
      <c r="P267" s="8">
        <f t="shared" si="29"/>
        <v>-6.0044891161241534</v>
      </c>
    </row>
    <row r="268" spans="1:16" x14ac:dyDescent="0.2">
      <c r="A268" s="8">
        <v>133</v>
      </c>
      <c r="B268" s="8">
        <v>266</v>
      </c>
      <c r="D268">
        <v>620.56578094621</v>
      </c>
      <c r="E268">
        <v>260.68308489955001</v>
      </c>
      <c r="F268">
        <v>128.30174081237999</v>
      </c>
      <c r="G268">
        <v>112.69374597034</v>
      </c>
      <c r="I268" s="9">
        <f t="shared" si="26"/>
        <v>147.98933892921002</v>
      </c>
      <c r="J268" s="9">
        <f t="shared" si="27"/>
        <v>492.26404013383001</v>
      </c>
      <c r="K268" s="9">
        <f t="shared" si="31"/>
        <v>147.98933892921002</v>
      </c>
      <c r="L268" s="10">
        <f t="shared" si="30"/>
        <v>0.30063000110464438</v>
      </c>
      <c r="M268" s="10">
        <f t="shared" si="28"/>
        <v>0.30366644773466916</v>
      </c>
      <c r="P268" s="8">
        <f t="shared" si="29"/>
        <v>-5.7586906883077651</v>
      </c>
    </row>
    <row r="269" spans="1:16" x14ac:dyDescent="0.2">
      <c r="A269" s="8">
        <v>133.5</v>
      </c>
      <c r="B269" s="8">
        <v>267</v>
      </c>
      <c r="D269">
        <v>634.67798824297995</v>
      </c>
      <c r="E269">
        <v>269.16786414107997</v>
      </c>
      <c r="F269">
        <v>127.7833655706</v>
      </c>
      <c r="G269">
        <v>112.81044487427999</v>
      </c>
      <c r="I269" s="9">
        <f t="shared" si="26"/>
        <v>156.35741926679998</v>
      </c>
      <c r="J269" s="9">
        <f t="shared" si="27"/>
        <v>506.89462267237997</v>
      </c>
      <c r="K269" s="9">
        <f t="shared" si="31"/>
        <v>156.35741926679998</v>
      </c>
      <c r="L269" s="10">
        <f t="shared" si="30"/>
        <v>0.30846138876454032</v>
      </c>
      <c r="M269" s="10">
        <f t="shared" si="28"/>
        <v>0.31150925060745993</v>
      </c>
      <c r="P269" s="8">
        <f t="shared" si="29"/>
        <v>-3.3247174360138168</v>
      </c>
    </row>
    <row r="270" spans="1:16" x14ac:dyDescent="0.2">
      <c r="A270" s="8">
        <v>134</v>
      </c>
      <c r="B270" s="8">
        <v>268</v>
      </c>
      <c r="D270">
        <v>627.85481770832996</v>
      </c>
      <c r="E270">
        <v>265.73567708333002</v>
      </c>
      <c r="F270">
        <v>128.40554480980001</v>
      </c>
      <c r="G270">
        <v>112.85041908446</v>
      </c>
      <c r="I270" s="9">
        <f t="shared" si="26"/>
        <v>152.88525799887003</v>
      </c>
      <c r="J270" s="9">
        <f t="shared" si="27"/>
        <v>499.44927289852996</v>
      </c>
      <c r="K270" s="9">
        <f t="shared" si="31"/>
        <v>152.88525799887003</v>
      </c>
      <c r="L270" s="10">
        <f t="shared" si="30"/>
        <v>0.30610767958797447</v>
      </c>
      <c r="M270" s="10">
        <f t="shared" si="28"/>
        <v>0.3091669566437889</v>
      </c>
      <c r="P270" s="8">
        <f t="shared" si="29"/>
        <v>-4.0516362364803893</v>
      </c>
    </row>
    <row r="271" spans="1:16" x14ac:dyDescent="0.2">
      <c r="A271" s="8">
        <v>134.5</v>
      </c>
      <c r="B271" s="8">
        <v>269</v>
      </c>
      <c r="D271">
        <v>617.76033591731004</v>
      </c>
      <c r="E271">
        <v>260.64211886304997</v>
      </c>
      <c r="F271">
        <v>128.46292714378001</v>
      </c>
      <c r="G271">
        <v>112.90264345584001</v>
      </c>
      <c r="I271" s="9">
        <f t="shared" si="26"/>
        <v>147.73947540720997</v>
      </c>
      <c r="J271" s="9">
        <f t="shared" si="27"/>
        <v>489.29740877353004</v>
      </c>
      <c r="K271" s="9">
        <f t="shared" si="31"/>
        <v>147.73947540720997</v>
      </c>
      <c r="L271" s="10">
        <f t="shared" si="30"/>
        <v>0.30194207604232537</v>
      </c>
      <c r="M271" s="10">
        <f t="shared" si="28"/>
        <v>0.30501276831103463</v>
      </c>
      <c r="P271" s="8">
        <f t="shared" si="29"/>
        <v>-5.3408670702674366</v>
      </c>
    </row>
    <row r="272" spans="1:16" x14ac:dyDescent="0.2">
      <c r="A272" s="8">
        <v>135</v>
      </c>
      <c r="B272" s="8">
        <v>270</v>
      </c>
      <c r="D272">
        <v>613.77748691099998</v>
      </c>
      <c r="E272">
        <v>262.91623036649003</v>
      </c>
      <c r="F272">
        <v>128.11863313991</v>
      </c>
      <c r="G272">
        <v>112.89941972921</v>
      </c>
      <c r="I272" s="9">
        <f t="shared" si="26"/>
        <v>150.01681063728003</v>
      </c>
      <c r="J272" s="9">
        <f t="shared" si="27"/>
        <v>485.65885377108998</v>
      </c>
      <c r="K272" s="9">
        <f t="shared" si="31"/>
        <v>150.01681063728003</v>
      </c>
      <c r="L272" s="10">
        <f t="shared" si="30"/>
        <v>0.30889339187871334</v>
      </c>
      <c r="M272" s="10">
        <f t="shared" si="28"/>
        <v>0.31197549936031743</v>
      </c>
      <c r="P272" s="8">
        <f t="shared" si="29"/>
        <v>-3.1800195503500466</v>
      </c>
    </row>
    <row r="273" spans="1:16" x14ac:dyDescent="0.2">
      <c r="A273" s="8">
        <v>135.5</v>
      </c>
      <c r="B273" s="8">
        <v>271</v>
      </c>
      <c r="D273">
        <v>592.65445026177997</v>
      </c>
      <c r="E273">
        <v>258.44109947644</v>
      </c>
      <c r="F273">
        <v>128.5718891038</v>
      </c>
      <c r="G273">
        <v>112.80012894907</v>
      </c>
      <c r="I273" s="9">
        <f t="shared" si="26"/>
        <v>145.64097052737</v>
      </c>
      <c r="J273" s="9">
        <f t="shared" si="27"/>
        <v>464.08256115797997</v>
      </c>
      <c r="K273" s="9">
        <f t="shared" si="31"/>
        <v>145.64097052737</v>
      </c>
      <c r="L273" s="10">
        <f t="shared" si="30"/>
        <v>0.31382556190856709</v>
      </c>
      <c r="M273" s="10">
        <f t="shared" si="28"/>
        <v>0.316919084603066</v>
      </c>
      <c r="P273" s="8">
        <f t="shared" si="29"/>
        <v>-1.6458034739738374</v>
      </c>
    </row>
    <row r="274" spans="1:16" x14ac:dyDescent="0.2">
      <c r="A274" s="8">
        <v>136</v>
      </c>
      <c r="B274" s="8">
        <v>272</v>
      </c>
      <c r="D274">
        <v>587.88634879163999</v>
      </c>
      <c r="E274">
        <v>255.16198563031</v>
      </c>
      <c r="F274">
        <v>128.31399097356999</v>
      </c>
      <c r="G274">
        <v>112.81818181817999</v>
      </c>
      <c r="I274" s="9">
        <f t="shared" si="26"/>
        <v>142.34380381213001</v>
      </c>
      <c r="J274" s="9">
        <f t="shared" si="27"/>
        <v>459.57235781807003</v>
      </c>
      <c r="K274" s="9">
        <f t="shared" si="31"/>
        <v>142.34380381213001</v>
      </c>
      <c r="L274" s="10">
        <f t="shared" si="30"/>
        <v>0.3097309953277898</v>
      </c>
      <c r="M274" s="10">
        <f t="shared" si="28"/>
        <v>0.31283593323518355</v>
      </c>
      <c r="P274" s="8">
        <f t="shared" si="29"/>
        <v>-2.912988353626043</v>
      </c>
    </row>
    <row r="275" spans="1:16" x14ac:dyDescent="0.2">
      <c r="A275" s="8">
        <v>136.5</v>
      </c>
      <c r="B275" s="8">
        <v>273</v>
      </c>
      <c r="D275">
        <v>598.27106466362</v>
      </c>
      <c r="E275">
        <v>258.4317439582</v>
      </c>
      <c r="F275">
        <v>128.13217279175001</v>
      </c>
      <c r="G275">
        <v>112.85557704707</v>
      </c>
      <c r="I275" s="9">
        <f>E275-G275</f>
        <v>145.57616691113</v>
      </c>
      <c r="J275" s="9">
        <f>D275-F275</f>
        <v>470.13889187186999</v>
      </c>
      <c r="K275" s="9">
        <f t="shared" si="31"/>
        <v>145.57616691113</v>
      </c>
      <c r="L275" s="10">
        <f t="shared" si="30"/>
        <v>0.3096450207118896</v>
      </c>
      <c r="M275" s="10">
        <f>L275+ABS($N$2)*A275</f>
        <v>0.31276137383217817</v>
      </c>
      <c r="O275" s="11"/>
      <c r="P275" s="8">
        <f>(M275-$O$2)/$O$2*100</f>
        <v>-2.9361274781922999</v>
      </c>
    </row>
    <row r="276" spans="1:16" x14ac:dyDescent="0.2">
      <c r="A276" s="8">
        <v>137</v>
      </c>
      <c r="B276" s="8">
        <v>274</v>
      </c>
      <c r="D276">
        <v>603.28674069236001</v>
      </c>
      <c r="E276">
        <v>260.66753755715001</v>
      </c>
      <c r="F276">
        <v>128.34042553192</v>
      </c>
      <c r="G276">
        <v>112.86266924565</v>
      </c>
      <c r="I276" s="9">
        <f t="shared" ref="I276:I291" si="32">E276-G276</f>
        <v>147.8048683115</v>
      </c>
      <c r="J276" s="9">
        <f t="shared" ref="J276:J291" si="33">D276-F276</f>
        <v>474.94631516044001</v>
      </c>
      <c r="K276" s="9">
        <f t="shared" si="31"/>
        <v>147.8048683115</v>
      </c>
      <c r="L276" s="10">
        <f t="shared" si="30"/>
        <v>0.31120331623495284</v>
      </c>
      <c r="M276" s="10">
        <f t="shared" ref="M276:M291" si="34">L276+ABS($N$2)*A276</f>
        <v>0.31433108456813624</v>
      </c>
      <c r="P276" s="8">
        <f t="shared" ref="P276:P291" si="35">(M276-$O$2)/$O$2*100</f>
        <v>-2.448975881099936</v>
      </c>
    </row>
    <row r="277" spans="1:16" x14ac:dyDescent="0.2">
      <c r="A277" s="8">
        <v>137.5</v>
      </c>
      <c r="B277" s="8">
        <v>275</v>
      </c>
      <c r="D277">
        <v>599.04702808622005</v>
      </c>
      <c r="E277">
        <v>258.78118876551002</v>
      </c>
      <c r="F277">
        <v>127.87814313346</v>
      </c>
      <c r="G277">
        <v>112.77756286267</v>
      </c>
      <c r="I277" s="9">
        <f t="shared" si="32"/>
        <v>146.00362590284004</v>
      </c>
      <c r="J277" s="9">
        <f t="shared" si="33"/>
        <v>471.16888495276004</v>
      </c>
      <c r="K277" s="9">
        <f t="shared" si="31"/>
        <v>146.00362590284004</v>
      </c>
      <c r="L277" s="10">
        <f t="shared" si="30"/>
        <v>0.30987535587686044</v>
      </c>
      <c r="M277" s="10">
        <f t="shared" si="34"/>
        <v>0.31301453942293866</v>
      </c>
      <c r="N277" s="1"/>
      <c r="P277" s="8">
        <f t="shared" si="35"/>
        <v>-2.8575588482895853</v>
      </c>
    </row>
    <row r="278" spans="1:16" x14ac:dyDescent="0.2">
      <c r="A278" s="8">
        <v>138</v>
      </c>
      <c r="B278" s="8">
        <v>276</v>
      </c>
      <c r="D278">
        <v>612.19375812743999</v>
      </c>
      <c r="E278">
        <v>262.46879063719001</v>
      </c>
      <c r="F278">
        <v>127.47904577692</v>
      </c>
      <c r="G278">
        <v>112.28239845261</v>
      </c>
      <c r="I278" s="9">
        <f t="shared" si="32"/>
        <v>150.18639218458003</v>
      </c>
      <c r="J278" s="9">
        <f t="shared" si="33"/>
        <v>484.71471235052002</v>
      </c>
      <c r="K278" s="9">
        <f t="shared" si="31"/>
        <v>150.18639218458003</v>
      </c>
      <c r="L278" s="10">
        <f t="shared" si="30"/>
        <v>0.30984492188463464</v>
      </c>
      <c r="M278" s="10">
        <f t="shared" si="34"/>
        <v>0.31299552064360769</v>
      </c>
      <c r="P278" s="8">
        <f t="shared" si="35"/>
        <v>-2.8634612279532976</v>
      </c>
    </row>
    <row r="279" spans="1:16" x14ac:dyDescent="0.2">
      <c r="A279" s="8">
        <v>138.5</v>
      </c>
      <c r="B279" s="8">
        <v>277</v>
      </c>
      <c r="D279">
        <v>618.88166449934999</v>
      </c>
      <c r="E279">
        <v>266.01690507152</v>
      </c>
      <c r="F279">
        <v>128.08575112829999</v>
      </c>
      <c r="G279">
        <v>112.72662798195</v>
      </c>
      <c r="I279" s="9">
        <f t="shared" si="32"/>
        <v>153.29027708957</v>
      </c>
      <c r="J279" s="9">
        <f t="shared" si="33"/>
        <v>490.79591337105001</v>
      </c>
      <c r="K279" s="9">
        <f t="shared" si="31"/>
        <v>153.29027708957</v>
      </c>
      <c r="L279" s="10">
        <f t="shared" si="30"/>
        <v>0.31232997853769812</v>
      </c>
      <c r="M279" s="10">
        <f t="shared" si="34"/>
        <v>0.315491992509566</v>
      </c>
      <c r="P279" s="8">
        <f t="shared" si="35"/>
        <v>-2.0886941140267576</v>
      </c>
    </row>
    <row r="280" spans="1:16" x14ac:dyDescent="0.2">
      <c r="A280" s="8">
        <v>139</v>
      </c>
      <c r="B280" s="8">
        <v>278</v>
      </c>
      <c r="D280">
        <v>612.77698309492996</v>
      </c>
      <c r="E280">
        <v>263.95318595578999</v>
      </c>
      <c r="F280">
        <v>128.24435847839999</v>
      </c>
      <c r="G280">
        <v>112.63829787234</v>
      </c>
      <c r="I280" s="9">
        <f t="shared" si="32"/>
        <v>151.31488808345</v>
      </c>
      <c r="J280" s="9">
        <f t="shared" si="33"/>
        <v>484.53262461652997</v>
      </c>
      <c r="K280" s="9">
        <f t="shared" si="31"/>
        <v>151.31488808345</v>
      </c>
      <c r="L280" s="10">
        <f t="shared" si="30"/>
        <v>0.31229040191711344</v>
      </c>
      <c r="M280" s="10">
        <f t="shared" si="34"/>
        <v>0.31546383110187615</v>
      </c>
      <c r="P280" s="8">
        <f t="shared" si="35"/>
        <v>-2.097433861050344</v>
      </c>
    </row>
    <row r="281" spans="1:16" x14ac:dyDescent="0.2">
      <c r="A281" s="8">
        <v>139.5</v>
      </c>
      <c r="B281" s="8">
        <v>279</v>
      </c>
      <c r="D281">
        <v>625.13524057217001</v>
      </c>
      <c r="E281">
        <v>266.45123537060999</v>
      </c>
      <c r="F281">
        <v>128.13990973565001</v>
      </c>
      <c r="G281">
        <v>112.69890393295</v>
      </c>
      <c r="I281" s="9">
        <f t="shared" si="32"/>
        <v>153.75233143765999</v>
      </c>
      <c r="J281" s="9">
        <f t="shared" si="33"/>
        <v>496.99533083652</v>
      </c>
      <c r="K281" s="9">
        <f t="shared" si="31"/>
        <v>153.75233143765999</v>
      </c>
      <c r="L281" s="10">
        <f t="shared" si="30"/>
        <v>0.30936373422034175</v>
      </c>
      <c r="M281" s="10">
        <f t="shared" si="34"/>
        <v>0.31254857861799928</v>
      </c>
      <c r="P281" s="8">
        <f t="shared" si="35"/>
        <v>-3.002167370808301</v>
      </c>
    </row>
    <row r="282" spans="1:16" x14ac:dyDescent="0.2">
      <c r="A282" s="8">
        <v>140</v>
      </c>
      <c r="B282" s="8">
        <v>280</v>
      </c>
      <c r="D282">
        <v>612.66254876462995</v>
      </c>
      <c r="E282">
        <v>265.03446033810002</v>
      </c>
      <c r="F282">
        <v>128.15989684075001</v>
      </c>
      <c r="G282">
        <v>112.58736299162</v>
      </c>
      <c r="I282" s="9">
        <f t="shared" si="32"/>
        <v>152.44709734648001</v>
      </c>
      <c r="J282" s="9">
        <f t="shared" si="33"/>
        <v>484.50265192387997</v>
      </c>
      <c r="K282" s="9">
        <f t="shared" si="31"/>
        <v>152.44709734648001</v>
      </c>
      <c r="L282" s="10">
        <f t="shared" si="30"/>
        <v>0.3146465695102757</v>
      </c>
      <c r="M282" s="10">
        <f t="shared" si="34"/>
        <v>0.31784282912082806</v>
      </c>
      <c r="P282" s="8">
        <f t="shared" si="35"/>
        <v>-1.3591241471242042</v>
      </c>
    </row>
    <row r="283" spans="1:16" x14ac:dyDescent="0.2">
      <c r="A283" s="8">
        <v>140.5</v>
      </c>
      <c r="B283" s="8">
        <v>281</v>
      </c>
      <c r="D283">
        <v>609.80624187256001</v>
      </c>
      <c r="E283">
        <v>263.52925877762999</v>
      </c>
      <c r="F283">
        <v>128.20954223082001</v>
      </c>
      <c r="G283">
        <v>112.63894261767</v>
      </c>
      <c r="I283" s="9">
        <f t="shared" si="32"/>
        <v>150.89031615995998</v>
      </c>
      <c r="J283" s="9">
        <f t="shared" si="33"/>
        <v>481.59669964173997</v>
      </c>
      <c r="K283" s="9">
        <f t="shared" si="31"/>
        <v>150.89031615995998</v>
      </c>
      <c r="L283" s="10">
        <f t="shared" si="30"/>
        <v>0.31331260424377361</v>
      </c>
      <c r="M283" s="10">
        <f t="shared" si="34"/>
        <v>0.3165202790672208</v>
      </c>
      <c r="P283" s="8">
        <f t="shared" si="35"/>
        <v>-1.7695707065383064</v>
      </c>
    </row>
    <row r="284" spans="1:16" x14ac:dyDescent="0.2">
      <c r="A284" s="8">
        <v>141</v>
      </c>
      <c r="B284" s="8">
        <v>282</v>
      </c>
      <c r="D284">
        <v>599.47769877181997</v>
      </c>
      <c r="E284">
        <v>259.62184873950002</v>
      </c>
      <c r="F284">
        <v>128.32366215344999</v>
      </c>
      <c r="G284">
        <v>112.61895551257</v>
      </c>
      <c r="I284" s="9">
        <f t="shared" si="32"/>
        <v>147.00289322693004</v>
      </c>
      <c r="J284" s="9">
        <f t="shared" si="33"/>
        <v>471.15403661837001</v>
      </c>
      <c r="K284" s="9">
        <f t="shared" si="31"/>
        <v>147.00289322693004</v>
      </c>
      <c r="L284" s="10">
        <f t="shared" si="30"/>
        <v>0.31200601459772886</v>
      </c>
      <c r="M284" s="10">
        <f t="shared" si="34"/>
        <v>0.31522510463407089</v>
      </c>
      <c r="P284" s="8">
        <f t="shared" si="35"/>
        <v>-2.1715213839266978</v>
      </c>
    </row>
    <row r="285" spans="1:16" x14ac:dyDescent="0.2">
      <c r="A285" s="8">
        <v>141.5</v>
      </c>
      <c r="B285" s="8">
        <v>283</v>
      </c>
      <c r="D285">
        <v>591.38426527957995</v>
      </c>
      <c r="E285">
        <v>255.86736020806001</v>
      </c>
      <c r="F285">
        <v>128.66215344938999</v>
      </c>
      <c r="G285">
        <v>112.93101225015999</v>
      </c>
      <c r="I285" s="9">
        <f t="shared" si="32"/>
        <v>142.93634795790001</v>
      </c>
      <c r="J285" s="9">
        <f t="shared" si="33"/>
        <v>462.72211183018999</v>
      </c>
      <c r="K285" s="9">
        <f t="shared" si="31"/>
        <v>142.93634795790001</v>
      </c>
      <c r="L285" s="10">
        <f t="shared" si="30"/>
        <v>0.30890321491780121</v>
      </c>
      <c r="M285" s="10">
        <f t="shared" si="34"/>
        <v>0.31213372016703805</v>
      </c>
      <c r="P285" s="8">
        <f t="shared" si="35"/>
        <v>-3.1309165424381149</v>
      </c>
    </row>
    <row r="286" spans="1:16" x14ac:dyDescent="0.2">
      <c r="A286" s="8">
        <v>142</v>
      </c>
      <c r="B286" s="8">
        <v>284</v>
      </c>
      <c r="D286">
        <v>591.58777633290003</v>
      </c>
      <c r="E286">
        <v>258.47724317295001</v>
      </c>
      <c r="F286">
        <v>128.69439071567001</v>
      </c>
      <c r="G286">
        <v>112.57124435848</v>
      </c>
      <c r="I286" s="9">
        <f t="shared" si="32"/>
        <v>145.90599881447002</v>
      </c>
      <c r="J286" s="9">
        <f t="shared" si="33"/>
        <v>462.89338561723002</v>
      </c>
      <c r="K286" s="9">
        <f t="shared" si="31"/>
        <v>145.90599881447002</v>
      </c>
      <c r="L286" s="10">
        <f t="shared" si="30"/>
        <v>0.31520432857323388</v>
      </c>
      <c r="M286" s="10">
        <f t="shared" si="34"/>
        <v>0.31844624903536556</v>
      </c>
      <c r="P286" s="8">
        <f t="shared" si="35"/>
        <v>-1.1718559018669903</v>
      </c>
    </row>
    <row r="287" spans="1:16" x14ac:dyDescent="0.2">
      <c r="A287" s="8">
        <v>142.5</v>
      </c>
      <c r="B287" s="8">
        <v>285</v>
      </c>
      <c r="D287">
        <v>595.52145643692995</v>
      </c>
      <c r="E287">
        <v>258.54616384916</v>
      </c>
      <c r="F287">
        <v>129.12830431979</v>
      </c>
      <c r="G287">
        <v>112.92972275951</v>
      </c>
      <c r="I287" s="9">
        <f t="shared" si="32"/>
        <v>145.61644108964998</v>
      </c>
      <c r="J287" s="9">
        <f t="shared" si="33"/>
        <v>466.39315211713995</v>
      </c>
      <c r="K287" s="9">
        <f t="shared" si="31"/>
        <v>145.61644108964998</v>
      </c>
      <c r="L287" s="10">
        <f t="shared" si="30"/>
        <v>0.31221822282046874</v>
      </c>
      <c r="M287" s="10">
        <f t="shared" si="34"/>
        <v>0.3154715584954953</v>
      </c>
      <c r="P287" s="8">
        <f t="shared" si="35"/>
        <v>-2.0950357044621923</v>
      </c>
    </row>
    <row r="288" spans="1:16" x14ac:dyDescent="0.2">
      <c r="A288" s="8">
        <v>143</v>
      </c>
      <c r="B288" s="8">
        <v>286</v>
      </c>
      <c r="D288">
        <v>574.48504551364999</v>
      </c>
      <c r="E288">
        <v>255.09297789337</v>
      </c>
      <c r="F288">
        <v>128.75112830431999</v>
      </c>
      <c r="G288">
        <v>112.65570599613</v>
      </c>
      <c r="I288" s="9">
        <f t="shared" si="32"/>
        <v>142.43727189724001</v>
      </c>
      <c r="J288" s="9">
        <f t="shared" si="33"/>
        <v>445.73391720933</v>
      </c>
      <c r="K288" s="9">
        <f t="shared" si="31"/>
        <v>142.43727189724001</v>
      </c>
      <c r="L288" s="10">
        <f t="shared" si="30"/>
        <v>0.31955672745080155</v>
      </c>
      <c r="M288" s="10">
        <f t="shared" si="34"/>
        <v>0.32282147833872293</v>
      </c>
      <c r="P288" s="8">
        <f t="shared" si="35"/>
        <v>0.18597385233606953</v>
      </c>
    </row>
    <row r="289" spans="1:16" x14ac:dyDescent="0.2">
      <c r="A289" s="8">
        <v>143.5</v>
      </c>
      <c r="B289" s="8">
        <v>287</v>
      </c>
      <c r="D289">
        <v>590.52359108781002</v>
      </c>
      <c r="E289">
        <v>260.77457404979998</v>
      </c>
      <c r="F289">
        <v>128.29206963249999</v>
      </c>
      <c r="G289">
        <v>112.6247582205</v>
      </c>
      <c r="I289" s="9">
        <f t="shared" si="32"/>
        <v>148.1498158293</v>
      </c>
      <c r="J289" s="9">
        <f t="shared" si="33"/>
        <v>462.23152145531003</v>
      </c>
      <c r="K289" s="9">
        <f t="shared" si="31"/>
        <v>148.1498158293</v>
      </c>
      <c r="L289" s="10">
        <f t="shared" si="30"/>
        <v>0.32050998028619643</v>
      </c>
      <c r="M289" s="10">
        <f t="shared" si="34"/>
        <v>0.32378614638701264</v>
      </c>
      <c r="P289" s="8">
        <f t="shared" si="35"/>
        <v>0.48535358493468522</v>
      </c>
    </row>
    <row r="290" spans="1:16" x14ac:dyDescent="0.2">
      <c r="A290" s="8">
        <v>144</v>
      </c>
      <c r="B290" s="8">
        <v>288</v>
      </c>
      <c r="D290">
        <v>604.89760207387997</v>
      </c>
      <c r="E290">
        <v>263.51847051199002</v>
      </c>
      <c r="F290">
        <v>127.95035460993</v>
      </c>
      <c r="G290">
        <v>112.59638942618</v>
      </c>
      <c r="I290" s="9">
        <f t="shared" si="32"/>
        <v>150.92208108581002</v>
      </c>
      <c r="J290" s="9">
        <f t="shared" si="33"/>
        <v>476.94724746394996</v>
      </c>
      <c r="K290" s="9">
        <f t="shared" si="31"/>
        <v>150.92208108581002</v>
      </c>
      <c r="L290" s="10">
        <f t="shared" si="30"/>
        <v>0.31643348795553633</v>
      </c>
      <c r="M290" s="10">
        <f t="shared" si="34"/>
        <v>0.31972106926924737</v>
      </c>
      <c r="P290" s="8">
        <f t="shared" si="35"/>
        <v>-0.77622204480342172</v>
      </c>
    </row>
    <row r="291" spans="1:16" x14ac:dyDescent="0.2">
      <c r="A291" s="8">
        <v>144.5</v>
      </c>
      <c r="B291" s="8">
        <v>289</v>
      </c>
      <c r="D291">
        <v>606.60790667531001</v>
      </c>
      <c r="E291">
        <v>265.47764095917</v>
      </c>
      <c r="F291">
        <v>128.00838168922999</v>
      </c>
      <c r="G291">
        <v>112.50548033526999</v>
      </c>
      <c r="I291" s="9">
        <f t="shared" si="32"/>
        <v>152.97216062390001</v>
      </c>
      <c r="J291" s="9">
        <f t="shared" si="33"/>
        <v>478.59952498608004</v>
      </c>
      <c r="K291" s="9">
        <f t="shared" si="31"/>
        <v>152.97216062390001</v>
      </c>
      <c r="L291" s="10">
        <f t="shared" si="30"/>
        <v>0.31962455589221317</v>
      </c>
      <c r="M291" s="10">
        <f t="shared" si="34"/>
        <v>0.32292355241881904</v>
      </c>
      <c r="P291" s="8">
        <f t="shared" si="35"/>
        <v>0.21765201443400589</v>
      </c>
    </row>
    <row r="292" spans="1:16" x14ac:dyDescent="0.2">
      <c r="A292" s="8">
        <v>145</v>
      </c>
      <c r="B292" s="8">
        <v>290</v>
      </c>
      <c r="D292">
        <v>595.23448726322999</v>
      </c>
      <c r="E292">
        <v>261.50359242324998</v>
      </c>
      <c r="F292">
        <v>127.79239200516</v>
      </c>
      <c r="G292">
        <v>112.63507414571001</v>
      </c>
      <c r="I292" s="9">
        <f>E292-G292</f>
        <v>148.86851827753998</v>
      </c>
      <c r="J292" s="9">
        <f>D292-F292</f>
        <v>467.44209525807003</v>
      </c>
      <c r="K292" s="9">
        <f t="shared" si="31"/>
        <v>148.86851827753998</v>
      </c>
      <c r="L292" s="10">
        <f t="shared" si="30"/>
        <v>0.31847477963094267</v>
      </c>
      <c r="M292" s="10">
        <f>L292+ABS($N$2)*A292</f>
        <v>0.32178519137044337</v>
      </c>
      <c r="O292" s="11"/>
      <c r="P292" s="8">
        <f>(M292-$O$2)/$O$2*100</f>
        <v>-0.13563244115422204</v>
      </c>
    </row>
    <row r="293" spans="1:16" x14ac:dyDescent="0.2">
      <c r="A293" s="8">
        <v>145.5</v>
      </c>
      <c r="B293" s="8">
        <v>291</v>
      </c>
      <c r="D293">
        <v>584.96822308690003</v>
      </c>
      <c r="E293">
        <v>257.40142671855</v>
      </c>
      <c r="F293">
        <v>128.32237266280001</v>
      </c>
      <c r="G293">
        <v>112.95551257253</v>
      </c>
      <c r="I293" s="9">
        <f t="shared" ref="I293:I301" si="36">E293-G293</f>
        <v>144.44591414602002</v>
      </c>
      <c r="J293" s="9">
        <f t="shared" ref="J293:J301" si="37">D293-F293</f>
        <v>456.64585042409999</v>
      </c>
      <c r="K293" s="9">
        <f t="shared" si="31"/>
        <v>144.44591414602002</v>
      </c>
      <c r="L293" s="10">
        <f t="shared" si="30"/>
        <v>0.31631934027620962</v>
      </c>
      <c r="M293" s="10">
        <f t="shared" ref="M293:M301" si="38">L293+ABS($N$2)*A293</f>
        <v>0.31964116722860514</v>
      </c>
      <c r="P293" s="8">
        <f t="shared" ref="P293:P301" si="39">(M293-$O$2)/$O$2*100</f>
        <v>-0.80101922928980085</v>
      </c>
    </row>
    <row r="294" spans="1:16" x14ac:dyDescent="0.2">
      <c r="A294" s="8">
        <v>146</v>
      </c>
      <c r="B294" s="8">
        <v>292</v>
      </c>
      <c r="D294">
        <v>608.49641693810997</v>
      </c>
      <c r="E294">
        <v>266.97589576547</v>
      </c>
      <c r="F294">
        <v>128.24564796905</v>
      </c>
      <c r="G294">
        <v>112.67891682785</v>
      </c>
      <c r="I294" s="9">
        <f t="shared" si="36"/>
        <v>154.29697893762</v>
      </c>
      <c r="J294" s="9">
        <f t="shared" si="37"/>
        <v>480.25076896906</v>
      </c>
      <c r="K294" s="9">
        <f t="shared" si="31"/>
        <v>154.29697893762</v>
      </c>
      <c r="L294" s="10">
        <f t="shared" si="30"/>
        <v>0.32128418923481311</v>
      </c>
      <c r="M294" s="10">
        <f t="shared" si="38"/>
        <v>0.32461743140010346</v>
      </c>
      <c r="N294" s="1"/>
      <c r="P294" s="8">
        <f t="shared" si="39"/>
        <v>0.74333858337388581</v>
      </c>
    </row>
    <row r="295" spans="1:16" x14ac:dyDescent="0.2">
      <c r="A295" s="8">
        <v>146.5</v>
      </c>
      <c r="B295" s="8">
        <v>293</v>
      </c>
      <c r="D295">
        <v>611.13786407766997</v>
      </c>
      <c r="E295">
        <v>269.02783171521003</v>
      </c>
      <c r="F295">
        <v>127.88394584139</v>
      </c>
      <c r="G295">
        <v>112.18181818182001</v>
      </c>
      <c r="I295" s="9">
        <f t="shared" si="36"/>
        <v>156.84601353339002</v>
      </c>
      <c r="J295" s="9">
        <f t="shared" si="37"/>
        <v>483.25391823627996</v>
      </c>
      <c r="K295" s="9">
        <f t="shared" si="31"/>
        <v>156.84601353339002</v>
      </c>
      <c r="L295" s="10">
        <f t="shared" si="30"/>
        <v>0.32456232141029934</v>
      </c>
      <c r="M295" s="10">
        <f t="shared" si="38"/>
        <v>0.32790697878848452</v>
      </c>
      <c r="P295" s="8">
        <f t="shared" si="39"/>
        <v>1.7642325782045654</v>
      </c>
    </row>
    <row r="296" spans="1:16" x14ac:dyDescent="0.2">
      <c r="A296" s="8">
        <v>147</v>
      </c>
      <c r="B296" s="8">
        <v>294</v>
      </c>
      <c r="D296">
        <v>626.63099870298004</v>
      </c>
      <c r="E296">
        <v>272.3028534371</v>
      </c>
      <c r="F296">
        <v>127.71437782076001</v>
      </c>
      <c r="G296">
        <v>112.69374597034</v>
      </c>
      <c r="I296" s="9">
        <f t="shared" si="36"/>
        <v>159.60910746676001</v>
      </c>
      <c r="J296" s="9">
        <f t="shared" si="37"/>
        <v>498.91662088222006</v>
      </c>
      <c r="K296" s="9">
        <f t="shared" si="31"/>
        <v>159.60910746676001</v>
      </c>
      <c r="L296" s="10">
        <f t="shared" si="30"/>
        <v>0.31991138556283766</v>
      </c>
      <c r="M296" s="10">
        <f t="shared" si="38"/>
        <v>0.32326745815391766</v>
      </c>
      <c r="P296" s="8">
        <f t="shared" si="39"/>
        <v>0.32438137817264695</v>
      </c>
    </row>
    <row r="297" spans="1:16" x14ac:dyDescent="0.2">
      <c r="A297" s="8">
        <v>147.5</v>
      </c>
      <c r="B297" s="8">
        <v>295</v>
      </c>
      <c r="D297">
        <v>635.06479057592003</v>
      </c>
      <c r="E297">
        <v>272.87827225131002</v>
      </c>
      <c r="F297">
        <v>128.30625402966001</v>
      </c>
      <c r="G297">
        <v>112.61379754997</v>
      </c>
      <c r="I297" s="9">
        <f t="shared" si="36"/>
        <v>160.26447470134002</v>
      </c>
      <c r="J297" s="9">
        <f t="shared" si="37"/>
        <v>506.75853654626002</v>
      </c>
      <c r="K297" s="9">
        <f t="shared" si="31"/>
        <v>160.26447470134002</v>
      </c>
      <c r="L297" s="10">
        <f t="shared" si="30"/>
        <v>0.31625411935554065</v>
      </c>
      <c r="M297" s="10">
        <f t="shared" si="38"/>
        <v>0.31962160715951549</v>
      </c>
      <c r="P297" s="8">
        <f t="shared" si="39"/>
        <v>-0.80708959542668357</v>
      </c>
    </row>
    <row r="298" spans="1:16" x14ac:dyDescent="0.2">
      <c r="A298" s="8">
        <v>148</v>
      </c>
      <c r="B298" s="8">
        <v>296</v>
      </c>
      <c r="D298">
        <v>641.06217277486996</v>
      </c>
      <c r="E298">
        <v>273.78534031414</v>
      </c>
      <c r="F298">
        <v>128.07930367505</v>
      </c>
      <c r="G298">
        <v>112.49516441006</v>
      </c>
      <c r="I298" s="9">
        <f t="shared" si="36"/>
        <v>161.29017590408</v>
      </c>
      <c r="J298" s="9">
        <f t="shared" si="37"/>
        <v>512.98286909981994</v>
      </c>
      <c r="K298" s="9">
        <f t="shared" si="31"/>
        <v>161.29017590408</v>
      </c>
      <c r="L298" s="10">
        <f t="shared" si="30"/>
        <v>0.31441630046459695</v>
      </c>
      <c r="M298" s="10">
        <f t="shared" si="38"/>
        <v>0.31779520348146661</v>
      </c>
      <c r="P298" s="8">
        <f t="shared" si="39"/>
        <v>-1.3739045176383384</v>
      </c>
    </row>
    <row r="299" spans="1:16" x14ac:dyDescent="0.2">
      <c r="A299" s="8">
        <v>148.5</v>
      </c>
      <c r="B299" s="8">
        <v>297</v>
      </c>
      <c r="D299">
        <v>635.77356020942</v>
      </c>
      <c r="E299">
        <v>272.93782722512998</v>
      </c>
      <c r="F299">
        <v>128.07092198582001</v>
      </c>
      <c r="G299">
        <v>112.54094132818</v>
      </c>
      <c r="I299" s="9">
        <f t="shared" si="36"/>
        <v>160.39688589694998</v>
      </c>
      <c r="J299" s="9">
        <f t="shared" si="37"/>
        <v>507.70263822359999</v>
      </c>
      <c r="K299" s="9">
        <f t="shared" si="31"/>
        <v>160.39688589694998</v>
      </c>
      <c r="L299" s="10">
        <f t="shared" si="30"/>
        <v>0.31592683161577101</v>
      </c>
      <c r="M299" s="10">
        <f t="shared" si="38"/>
        <v>0.3193171498455355</v>
      </c>
      <c r="P299" s="8">
        <f t="shared" si="39"/>
        <v>-0.90157634598157332</v>
      </c>
    </row>
    <row r="300" spans="1:16" x14ac:dyDescent="0.2">
      <c r="A300" s="8">
        <v>149</v>
      </c>
      <c r="B300" s="8">
        <v>298</v>
      </c>
      <c r="D300">
        <v>603.62491846054002</v>
      </c>
      <c r="E300">
        <v>261.21265492497997</v>
      </c>
      <c r="F300">
        <v>128.35589941973001</v>
      </c>
      <c r="G300">
        <v>112.64861379755</v>
      </c>
      <c r="I300" s="9">
        <f t="shared" si="36"/>
        <v>148.56404112742996</v>
      </c>
      <c r="J300" s="9">
        <f t="shared" si="37"/>
        <v>475.26901904081001</v>
      </c>
      <c r="K300" s="9">
        <f t="shared" si="31"/>
        <v>148.56404112742996</v>
      </c>
      <c r="L300" s="10">
        <f t="shared" si="30"/>
        <v>0.31258936554977335</v>
      </c>
      <c r="M300" s="10">
        <f t="shared" si="38"/>
        <v>0.31599109899243266</v>
      </c>
      <c r="P300" s="8">
        <f t="shared" si="39"/>
        <v>-1.9337990020306954</v>
      </c>
    </row>
    <row r="301" spans="1:16" x14ac:dyDescent="0.2">
      <c r="A301" s="8">
        <v>149.5</v>
      </c>
      <c r="B301" s="8">
        <v>299</v>
      </c>
      <c r="D301">
        <v>593.04663212435003</v>
      </c>
      <c r="E301">
        <v>258.64507772021</v>
      </c>
      <c r="F301">
        <v>128.26241134751999</v>
      </c>
      <c r="G301">
        <v>112.84526112186001</v>
      </c>
      <c r="I301" s="9">
        <f t="shared" si="36"/>
        <v>145.79981659834999</v>
      </c>
      <c r="J301" s="9">
        <f t="shared" si="37"/>
        <v>464.78422077683001</v>
      </c>
      <c r="K301" s="9">
        <f t="shared" si="31"/>
        <v>145.79981659834999</v>
      </c>
      <c r="L301" s="10">
        <f t="shared" si="30"/>
        <v>0.31369355946435407</v>
      </c>
      <c r="M301" s="10">
        <f t="shared" si="38"/>
        <v>0.31710670811990821</v>
      </c>
      <c r="P301" s="8">
        <f t="shared" si="39"/>
        <v>-1.5875754872575587</v>
      </c>
    </row>
    <row r="302" spans="1:16" x14ac:dyDescent="0.2">
      <c r="A302" s="8">
        <v>150</v>
      </c>
      <c r="B302" s="8">
        <v>300</v>
      </c>
      <c r="D302">
        <v>586.55612903225995</v>
      </c>
      <c r="E302">
        <v>256.78709677418999</v>
      </c>
      <c r="F302">
        <v>128.51579626047999</v>
      </c>
      <c r="G302">
        <v>112.81882656351</v>
      </c>
      <c r="I302" s="9">
        <f>E302-G302</f>
        <v>143.96827021067998</v>
      </c>
      <c r="J302" s="9">
        <f>D302-F302</f>
        <v>458.04033277177996</v>
      </c>
      <c r="K302" s="9">
        <f t="shared" si="31"/>
        <v>143.96827021067998</v>
      </c>
      <c r="L302" s="10">
        <f t="shared" si="30"/>
        <v>0.31431352199810014</v>
      </c>
      <c r="M302" s="10">
        <f>L302+ABS($N$2)*A302</f>
        <v>0.31773808586654911</v>
      </c>
      <c r="O302" s="11"/>
      <c r="P302" s="8">
        <f>(M302-$O$2)/$O$2*100</f>
        <v>-1.391630673605657</v>
      </c>
    </row>
    <row r="303" spans="1:16" x14ac:dyDescent="0.2">
      <c r="A303" s="8">
        <v>150.5</v>
      </c>
      <c r="B303" s="8">
        <v>301</v>
      </c>
      <c r="D303">
        <v>577.28044041451005</v>
      </c>
      <c r="E303">
        <v>255.0524611399</v>
      </c>
      <c r="F303">
        <v>128.34816247582</v>
      </c>
      <c r="G303">
        <v>112.82914248872</v>
      </c>
      <c r="I303" s="9">
        <f t="shared" ref="I303:I309" si="40">E303-G303</f>
        <v>142.22331865118002</v>
      </c>
      <c r="J303" s="9">
        <f t="shared" ref="J303:J309" si="41">D303-F303</f>
        <v>448.93227793869005</v>
      </c>
      <c r="K303" s="9">
        <f t="shared" si="31"/>
        <v>142.22331865118002</v>
      </c>
      <c r="L303" s="10">
        <f t="shared" si="30"/>
        <v>0.3168035038696933</v>
      </c>
      <c r="M303" s="10">
        <f t="shared" ref="M303:M309" si="42">L303+ABS($N$2)*A303</f>
        <v>0.3202394829510371</v>
      </c>
      <c r="P303" s="8">
        <f t="shared" ref="P303:P309" si="43">(M303-$O$2)/$O$2*100</f>
        <v>-0.61533504361701619</v>
      </c>
    </row>
    <row r="304" spans="1:16" x14ac:dyDescent="0.2">
      <c r="A304" s="8">
        <v>151</v>
      </c>
      <c r="B304" s="8">
        <v>302</v>
      </c>
      <c r="D304">
        <v>606.22976501306005</v>
      </c>
      <c r="E304">
        <v>266.37924281983999</v>
      </c>
      <c r="F304">
        <v>127.63120567375999</v>
      </c>
      <c r="G304">
        <v>112.56608639587</v>
      </c>
      <c r="I304" s="9">
        <f t="shared" si="40"/>
        <v>153.81315642396999</v>
      </c>
      <c r="J304" s="9">
        <f t="shared" si="41"/>
        <v>478.59855933930004</v>
      </c>
      <c r="K304" s="9">
        <f t="shared" si="31"/>
        <v>153.81315642396999</v>
      </c>
      <c r="L304" s="10">
        <f t="shared" si="30"/>
        <v>0.32138240582317534</v>
      </c>
      <c r="M304" s="10">
        <f t="shared" si="42"/>
        <v>0.32482980011741397</v>
      </c>
      <c r="N304" s="1"/>
      <c r="P304" s="8">
        <f t="shared" si="43"/>
        <v>0.80924611489568943</v>
      </c>
    </row>
    <row r="305" spans="1:16" x14ac:dyDescent="0.2">
      <c r="A305" s="8">
        <v>151.5</v>
      </c>
      <c r="B305" s="8">
        <v>303</v>
      </c>
      <c r="D305">
        <v>598.92558746735995</v>
      </c>
      <c r="E305">
        <v>263.74934725848999</v>
      </c>
      <c r="F305">
        <v>128.28691166989</v>
      </c>
      <c r="G305">
        <v>112.42488716957</v>
      </c>
      <c r="I305" s="9">
        <f t="shared" si="40"/>
        <v>151.32446008891998</v>
      </c>
      <c r="J305" s="9">
        <f t="shared" si="41"/>
        <v>470.63867579746994</v>
      </c>
      <c r="K305" s="9">
        <f t="shared" si="31"/>
        <v>151.32446008891998</v>
      </c>
      <c r="L305" s="10">
        <f t="shared" si="30"/>
        <v>0.32153001415047211</v>
      </c>
      <c r="M305" s="10">
        <f t="shared" si="42"/>
        <v>0.32498882365760556</v>
      </c>
      <c r="P305" s="8">
        <f t="shared" si="43"/>
        <v>0.85859824698283715</v>
      </c>
    </row>
    <row r="306" spans="1:16" x14ac:dyDescent="0.2">
      <c r="A306" s="8">
        <v>152</v>
      </c>
      <c r="B306" s="8">
        <v>304</v>
      </c>
      <c r="D306">
        <v>594.11255692908003</v>
      </c>
      <c r="E306">
        <v>260.07612231619999</v>
      </c>
      <c r="F306">
        <v>127.36814958092</v>
      </c>
      <c r="G306">
        <v>112.35396518375001</v>
      </c>
      <c r="I306" s="9">
        <f t="shared" si="40"/>
        <v>147.72215713244998</v>
      </c>
      <c r="J306" s="9">
        <f t="shared" si="41"/>
        <v>466.74440734816005</v>
      </c>
      <c r="K306" s="9">
        <f t="shared" si="31"/>
        <v>147.72215713244998</v>
      </c>
      <c r="L306" s="10">
        <f t="shared" si="30"/>
        <v>0.31649475560241508</v>
      </c>
      <c r="M306" s="10">
        <f t="shared" si="42"/>
        <v>0.31996498032244336</v>
      </c>
      <c r="P306" s="8">
        <f t="shared" si="43"/>
        <v>-0.70052551270294927</v>
      </c>
    </row>
    <row r="307" spans="1:16" x14ac:dyDescent="0.2">
      <c r="A307" s="8">
        <v>152.5</v>
      </c>
      <c r="B307" s="8">
        <v>305</v>
      </c>
      <c r="D307">
        <v>592.76397919375995</v>
      </c>
      <c r="E307">
        <v>258.46814044212999</v>
      </c>
      <c r="F307">
        <v>127.87556415216</v>
      </c>
      <c r="G307">
        <v>112.75435203095</v>
      </c>
      <c r="I307" s="9">
        <f t="shared" si="40"/>
        <v>145.71378841117999</v>
      </c>
      <c r="J307" s="9">
        <f t="shared" si="41"/>
        <v>464.88841504159996</v>
      </c>
      <c r="K307" s="9">
        <f t="shared" si="31"/>
        <v>145.71378841117999</v>
      </c>
      <c r="L307" s="10">
        <f t="shared" si="30"/>
        <v>0.31343820085975033</v>
      </c>
      <c r="M307" s="10">
        <f t="shared" si="42"/>
        <v>0.31691984079267344</v>
      </c>
      <c r="P307" s="8">
        <f t="shared" si="43"/>
        <v>-1.6455687944456121</v>
      </c>
    </row>
    <row r="308" spans="1:16" x14ac:dyDescent="0.2">
      <c r="A308" s="8">
        <v>153</v>
      </c>
      <c r="B308" s="8">
        <v>306</v>
      </c>
      <c r="D308">
        <v>593.70221066320005</v>
      </c>
      <c r="E308">
        <v>259.55136540962002</v>
      </c>
      <c r="F308">
        <v>127.97421018698</v>
      </c>
      <c r="G308">
        <v>112.61379754997</v>
      </c>
      <c r="I308" s="9">
        <f t="shared" si="40"/>
        <v>146.93756785965002</v>
      </c>
      <c r="J308" s="9">
        <f t="shared" si="41"/>
        <v>465.72800047622002</v>
      </c>
      <c r="K308" s="9">
        <f t="shared" si="31"/>
        <v>146.93756785965002</v>
      </c>
      <c r="L308" s="10">
        <f t="shared" si="30"/>
        <v>0.31550082389163248</v>
      </c>
      <c r="M308" s="10">
        <f t="shared" si="42"/>
        <v>0.31899387903745041</v>
      </c>
      <c r="P308" s="8">
        <f t="shared" si="43"/>
        <v>-1.0019017669935339</v>
      </c>
    </row>
    <row r="309" spans="1:16" x14ac:dyDescent="0.2">
      <c r="A309" s="8">
        <v>153.5</v>
      </c>
      <c r="B309" s="8">
        <v>307</v>
      </c>
      <c r="D309">
        <v>597.88816644993994</v>
      </c>
      <c r="E309">
        <v>260.00260078023001</v>
      </c>
      <c r="F309">
        <v>127.62798194713</v>
      </c>
      <c r="G309">
        <v>112.18052869117</v>
      </c>
      <c r="I309" s="9">
        <f t="shared" si="40"/>
        <v>147.82207208906001</v>
      </c>
      <c r="J309" s="9">
        <f t="shared" si="41"/>
        <v>470.26018450280992</v>
      </c>
      <c r="K309" s="9">
        <f t="shared" si="31"/>
        <v>147.82207208906001</v>
      </c>
      <c r="L309" s="10">
        <f t="shared" si="30"/>
        <v>0.31434103281643389</v>
      </c>
      <c r="M309" s="10">
        <f t="shared" si="42"/>
        <v>0.3178455031751467</v>
      </c>
      <c r="P309" s="8">
        <f t="shared" si="43"/>
        <v>-1.358294268215819</v>
      </c>
    </row>
    <row r="310" spans="1:16" x14ac:dyDescent="0.2">
      <c r="A310" s="8">
        <v>154</v>
      </c>
      <c r="B310" s="8">
        <v>308</v>
      </c>
      <c r="D310">
        <v>603.51986970684004</v>
      </c>
      <c r="E310">
        <v>261.40521172638</v>
      </c>
      <c r="F310">
        <v>128.20438426820999</v>
      </c>
      <c r="G310">
        <v>112.76208897486001</v>
      </c>
      <c r="I310" s="9">
        <f>E310-G310</f>
        <v>148.64312275152</v>
      </c>
      <c r="J310" s="9">
        <f>D310-F310</f>
        <v>475.31548543863005</v>
      </c>
      <c r="K310" s="9">
        <f t="shared" si="31"/>
        <v>148.64312275152</v>
      </c>
      <c r="L310" s="10">
        <f t="shared" si="30"/>
        <v>0.31272518423074169</v>
      </c>
      <c r="M310" s="10">
        <f>L310+ABS($N$2)*A310</f>
        <v>0.31624106980234934</v>
      </c>
      <c r="O310" s="11"/>
      <c r="P310" s="8">
        <f>(M310-$O$2)/$O$2*100</f>
        <v>-1.8562218558165196</v>
      </c>
    </row>
    <row r="311" spans="1:16" x14ac:dyDescent="0.2">
      <c r="A311" s="8">
        <v>154.5</v>
      </c>
      <c r="B311" s="8">
        <v>309</v>
      </c>
      <c r="D311">
        <v>604.67296416937995</v>
      </c>
      <c r="E311">
        <v>261.14853420194999</v>
      </c>
      <c r="F311">
        <v>128.71502256609</v>
      </c>
      <c r="G311">
        <v>112.76660219212999</v>
      </c>
      <c r="I311" s="9">
        <f t="shared" ref="I311:I319" si="44">E311-G311</f>
        <v>148.38193200981999</v>
      </c>
      <c r="J311" s="9">
        <f t="shared" ref="J311:J319" si="45">D311-F311</f>
        <v>475.95794160328995</v>
      </c>
      <c r="K311" s="9">
        <f t="shared" si="31"/>
        <v>148.38193200981999</v>
      </c>
      <c r="L311" s="10">
        <f t="shared" si="30"/>
        <v>0.31175429389829584</v>
      </c>
      <c r="M311" s="10">
        <f t="shared" ref="M311:M319" si="46">L311+ABS($N$2)*A311</f>
        <v>0.31528159468279832</v>
      </c>
      <c r="P311" s="8">
        <f t="shared" ref="P311:P319" si="47">(M311-$O$2)/$O$2*100</f>
        <v>-2.1539899898761901</v>
      </c>
    </row>
    <row r="312" spans="1:16" x14ac:dyDescent="0.2">
      <c r="A312" s="8">
        <v>155</v>
      </c>
      <c r="B312" s="8">
        <v>310</v>
      </c>
      <c r="D312">
        <v>597.91602067183999</v>
      </c>
      <c r="E312">
        <v>259.52519379845</v>
      </c>
      <c r="F312">
        <v>127.91231463571999</v>
      </c>
      <c r="G312">
        <v>112.34816247582</v>
      </c>
      <c r="I312" s="9">
        <f t="shared" si="44"/>
        <v>147.17703132263</v>
      </c>
      <c r="J312" s="9">
        <f t="shared" si="45"/>
        <v>470.00370603611998</v>
      </c>
      <c r="K312" s="9">
        <f t="shared" si="31"/>
        <v>147.17703132263</v>
      </c>
      <c r="L312" s="10">
        <f t="shared" si="30"/>
        <v>0.31314015066791706</v>
      </c>
      <c r="M312" s="10">
        <f t="shared" si="46"/>
        <v>0.31667886666531436</v>
      </c>
      <c r="N312" s="1"/>
      <c r="P312" s="8">
        <f t="shared" si="47"/>
        <v>-1.7203538668234608</v>
      </c>
    </row>
    <row r="313" spans="1:16" x14ac:dyDescent="0.2">
      <c r="A313" s="8">
        <v>155.5</v>
      </c>
      <c r="B313" s="8">
        <v>311</v>
      </c>
      <c r="D313">
        <v>588.53277092796998</v>
      </c>
      <c r="E313">
        <v>256.43932511356002</v>
      </c>
      <c r="F313">
        <v>127.93552546744</v>
      </c>
      <c r="G313">
        <v>112.67311411992</v>
      </c>
      <c r="I313" s="9">
        <f t="shared" si="44"/>
        <v>143.76621099364002</v>
      </c>
      <c r="J313" s="9">
        <f t="shared" si="45"/>
        <v>460.59724546052996</v>
      </c>
      <c r="K313" s="9">
        <f t="shared" si="31"/>
        <v>143.76621099364002</v>
      </c>
      <c r="L313" s="10">
        <f t="shared" si="30"/>
        <v>0.31212998429874411</v>
      </c>
      <c r="M313" s="10">
        <f t="shared" si="46"/>
        <v>0.31568011550903624</v>
      </c>
      <c r="P313" s="8">
        <f t="shared" si="47"/>
        <v>-2.0303111154637778</v>
      </c>
    </row>
    <row r="314" spans="1:16" x14ac:dyDescent="0.2">
      <c r="A314" s="8">
        <v>156</v>
      </c>
      <c r="B314" s="8">
        <v>312</v>
      </c>
      <c r="D314">
        <v>595.62919896640994</v>
      </c>
      <c r="E314">
        <v>260.19638242894001</v>
      </c>
      <c r="F314">
        <v>127.81560283688</v>
      </c>
      <c r="G314">
        <v>112.52159896841</v>
      </c>
      <c r="I314" s="9">
        <f t="shared" si="44"/>
        <v>147.67478346053002</v>
      </c>
      <c r="J314" s="9">
        <f t="shared" si="45"/>
        <v>467.81359612952997</v>
      </c>
      <c r="K314" s="9">
        <f t="shared" si="31"/>
        <v>147.67478346053002</v>
      </c>
      <c r="L314" s="10">
        <f t="shared" si="30"/>
        <v>0.31567014016335104</v>
      </c>
      <c r="M314" s="10">
        <f t="shared" si="46"/>
        <v>0.319231686586538</v>
      </c>
      <c r="P314" s="8">
        <f t="shared" si="47"/>
        <v>-0.92809942578196625</v>
      </c>
    </row>
    <row r="315" spans="1:16" x14ac:dyDescent="0.2">
      <c r="A315" s="8">
        <v>156.5</v>
      </c>
      <c r="B315" s="8">
        <v>313</v>
      </c>
      <c r="D315">
        <v>596.00258397932998</v>
      </c>
      <c r="E315">
        <v>260.65310077519001</v>
      </c>
      <c r="F315">
        <v>127.91747259832</v>
      </c>
      <c r="G315">
        <v>112.58800773694</v>
      </c>
      <c r="I315" s="9">
        <f t="shared" si="44"/>
        <v>148.06509303825001</v>
      </c>
      <c r="J315" s="9">
        <f t="shared" si="45"/>
        <v>468.08511138100999</v>
      </c>
      <c r="K315" s="9">
        <f t="shared" si="31"/>
        <v>148.06509303825001</v>
      </c>
      <c r="L315" s="10">
        <f t="shared" si="30"/>
        <v>0.31632087720416424</v>
      </c>
      <c r="M315" s="10">
        <f t="shared" si="46"/>
        <v>0.31989383884024603</v>
      </c>
      <c r="P315" s="8">
        <f t="shared" si="47"/>
        <v>-0.72260390324845103</v>
      </c>
    </row>
    <row r="316" spans="1:16" x14ac:dyDescent="0.2">
      <c r="A316" s="8">
        <v>157</v>
      </c>
      <c r="B316" s="8">
        <v>314</v>
      </c>
      <c r="D316">
        <v>586.96382428941001</v>
      </c>
      <c r="E316">
        <v>257.97932816538002</v>
      </c>
      <c r="F316">
        <v>127.53965183752</v>
      </c>
      <c r="G316">
        <v>112.47324306899</v>
      </c>
      <c r="I316" s="9">
        <f t="shared" si="44"/>
        <v>145.50608509639002</v>
      </c>
      <c r="J316" s="9">
        <f t="shared" si="45"/>
        <v>459.42417245189</v>
      </c>
      <c r="K316" s="9">
        <f t="shared" si="31"/>
        <v>145.50608509639002</v>
      </c>
      <c r="L316" s="10">
        <f t="shared" si="30"/>
        <v>0.31671403861891295</v>
      </c>
      <c r="M316" s="10">
        <f t="shared" si="46"/>
        <v>0.32029841546788956</v>
      </c>
      <c r="P316" s="8">
        <f t="shared" si="47"/>
        <v>-0.5970456422338839</v>
      </c>
    </row>
    <row r="317" spans="1:16" x14ac:dyDescent="0.2">
      <c r="A317" s="8">
        <v>157.5</v>
      </c>
      <c r="B317" s="8">
        <v>315</v>
      </c>
      <c r="D317">
        <v>596.45113268607997</v>
      </c>
      <c r="E317">
        <v>264.00258899675998</v>
      </c>
      <c r="F317">
        <v>127.9696969697</v>
      </c>
      <c r="G317">
        <v>112.32237266280001</v>
      </c>
      <c r="I317" s="9">
        <f t="shared" si="44"/>
        <v>151.68021633395998</v>
      </c>
      <c r="J317" s="9">
        <f t="shared" si="45"/>
        <v>468.48143571637996</v>
      </c>
      <c r="K317" s="9">
        <f t="shared" si="31"/>
        <v>151.68021633395998</v>
      </c>
      <c r="L317" s="10">
        <f t="shared" si="30"/>
        <v>0.32376996134759889</v>
      </c>
      <c r="M317" s="10">
        <f t="shared" si="46"/>
        <v>0.32736575340947033</v>
      </c>
      <c r="P317" s="8">
        <f t="shared" si="47"/>
        <v>1.5962660849304038</v>
      </c>
    </row>
    <row r="318" spans="1:16" x14ac:dyDescent="0.2">
      <c r="A318" s="8">
        <v>158</v>
      </c>
      <c r="B318" s="8">
        <v>316</v>
      </c>
      <c r="D318">
        <v>570.38964401295004</v>
      </c>
      <c r="E318">
        <v>256.46537216829</v>
      </c>
      <c r="F318">
        <v>128.12637008382001</v>
      </c>
      <c r="G318">
        <v>112.7859445519</v>
      </c>
      <c r="I318" s="9">
        <f t="shared" si="44"/>
        <v>143.67942761639</v>
      </c>
      <c r="J318" s="9">
        <f t="shared" si="45"/>
        <v>442.26327392913004</v>
      </c>
      <c r="K318" s="9">
        <f t="shared" si="31"/>
        <v>143.67942761639</v>
      </c>
      <c r="L318" s="10">
        <f t="shared" si="30"/>
        <v>0.32487307015100181</v>
      </c>
      <c r="M318" s="10">
        <f t="shared" si="46"/>
        <v>0.32848027742576807</v>
      </c>
      <c r="P318" s="8">
        <f t="shared" si="47"/>
        <v>1.9421528410694948</v>
      </c>
    </row>
    <row r="319" spans="1:16" x14ac:dyDescent="0.2">
      <c r="A319" s="8">
        <v>158.5</v>
      </c>
      <c r="B319" s="8">
        <v>317</v>
      </c>
      <c r="D319">
        <v>564.76116504853997</v>
      </c>
      <c r="E319">
        <v>255.42394822007</v>
      </c>
      <c r="F319">
        <v>127.93874919407</v>
      </c>
      <c r="G319">
        <v>112.59767891683001</v>
      </c>
      <c r="I319" s="9">
        <f t="shared" si="44"/>
        <v>142.82626930324</v>
      </c>
      <c r="J319" s="9">
        <f t="shared" si="45"/>
        <v>436.82241585446997</v>
      </c>
      <c r="K319" s="9">
        <f t="shared" si="31"/>
        <v>142.82626930324</v>
      </c>
      <c r="L319" s="10">
        <f t="shared" si="30"/>
        <v>0.32696643789183072</v>
      </c>
      <c r="M319" s="10">
        <f t="shared" si="46"/>
        <v>0.33058506037949181</v>
      </c>
      <c r="P319" s="8">
        <f t="shared" si="47"/>
        <v>2.5953613297108618</v>
      </c>
    </row>
    <row r="320" spans="1:16" x14ac:dyDescent="0.2">
      <c r="A320" s="8">
        <v>159</v>
      </c>
      <c r="B320" s="8">
        <v>318</v>
      </c>
      <c r="D320">
        <v>570.88867313916001</v>
      </c>
      <c r="E320">
        <v>259.40323624595999</v>
      </c>
      <c r="F320">
        <v>128.04190844615999</v>
      </c>
      <c r="G320">
        <v>112.6170212766</v>
      </c>
      <c r="I320" s="9">
        <f>E320-G320</f>
        <v>146.78621496936</v>
      </c>
      <c r="J320" s="9">
        <f>D320-F320</f>
        <v>442.84676469300001</v>
      </c>
      <c r="K320" s="9">
        <f t="shared" si="31"/>
        <v>146.78621496936</v>
      </c>
      <c r="L320" s="10">
        <f t="shared" si="30"/>
        <v>0.33146051111182528</v>
      </c>
      <c r="M320" s="10">
        <f>L320+ABS($N$2)*A320</f>
        <v>0.33509054881238121</v>
      </c>
      <c r="O320" s="11"/>
      <c r="P320" s="8">
        <f>(M320-$O$2)/$O$2*100</f>
        <v>3.9936163301288894</v>
      </c>
    </row>
    <row r="321" spans="1:16" x14ac:dyDescent="0.2">
      <c r="A321" s="8">
        <v>159.5</v>
      </c>
      <c r="B321" s="8">
        <v>319</v>
      </c>
      <c r="D321">
        <v>575.15213114753999</v>
      </c>
      <c r="E321">
        <v>260.23081967213</v>
      </c>
      <c r="F321">
        <v>128.15925209541999</v>
      </c>
      <c r="G321">
        <v>112.67698259188001</v>
      </c>
      <c r="I321" s="9">
        <f t="shared" ref="I321:I322" si="48">E321-G321</f>
        <v>147.55383708024999</v>
      </c>
      <c r="J321" s="9">
        <f t="shared" ref="J321:J322" si="49">D321-F321</f>
        <v>446.99287905211997</v>
      </c>
      <c r="K321" s="9">
        <f t="shared" si="31"/>
        <v>147.55383708024999</v>
      </c>
      <c r="L321" s="10">
        <f t="shared" si="30"/>
        <v>0.33010332825245076</v>
      </c>
      <c r="M321" s="10">
        <f t="shared" ref="M321:M322" si="50">L321+ABS($N$2)*A321</f>
        <v>0.33374478116590151</v>
      </c>
      <c r="P321" s="8">
        <f t="shared" ref="P321:P322" si="51">(M321-$O$2)/$O$2*100</f>
        <v>3.5759643110148862</v>
      </c>
    </row>
    <row r="322" spans="1:16" x14ac:dyDescent="0.2">
      <c r="A322" s="8">
        <v>160</v>
      </c>
      <c r="B322" s="8">
        <v>320</v>
      </c>
      <c r="D322">
        <v>588.22323759791004</v>
      </c>
      <c r="E322">
        <v>260.89164490861998</v>
      </c>
      <c r="F322">
        <v>128.04964539007</v>
      </c>
      <c r="G322">
        <v>112.55448098001</v>
      </c>
      <c r="I322" s="9">
        <f t="shared" si="48"/>
        <v>148.33716392860998</v>
      </c>
      <c r="J322" s="9">
        <f t="shared" si="49"/>
        <v>460.17359220784004</v>
      </c>
      <c r="K322" s="9">
        <f t="shared" si="31"/>
        <v>148.33716392860998</v>
      </c>
      <c r="L322" s="10">
        <f t="shared" ref="L322" si="52">K322/J322</f>
        <v>0.32235044870113416</v>
      </c>
      <c r="M322" s="10">
        <f t="shared" si="50"/>
        <v>0.32600331682747974</v>
      </c>
      <c r="P322" s="8">
        <f t="shared" si="51"/>
        <v>1.1734409480119901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149B-C215-C44D-BFE1-5A04C3A2EEC8}">
  <dimension ref="A1:Y798"/>
  <sheetViews>
    <sheetView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1417.5460237945999</v>
      </c>
      <c r="E2">
        <v>445.20350657482999</v>
      </c>
      <c r="F2">
        <v>138.74453466583</v>
      </c>
      <c r="G2">
        <v>117.33978763272999</v>
      </c>
      <c r="H2" s="4"/>
      <c r="I2" s="5">
        <f>E2-G2</f>
        <v>327.86371894209998</v>
      </c>
      <c r="J2" s="5">
        <f>D2-F2</f>
        <v>1278.8014891287698</v>
      </c>
      <c r="K2" s="9">
        <f>I2*1</f>
        <v>327.86371894209998</v>
      </c>
      <c r="L2" s="6">
        <f t="shared" ref="L2:L65" si="0">K2/J2</f>
        <v>0.25638359176878117</v>
      </c>
      <c r="M2" s="6">
        <f>L2+ABS($N$2)*A2</f>
        <v>0.25638359176878117</v>
      </c>
      <c r="N2" s="4">
        <f>LINEST(V64:V103,U64:U103)</f>
        <v>6.4630582047151642E-5</v>
      </c>
      <c r="O2" s="7">
        <f>AVERAGE(M62:M81)</f>
        <v>0.2244077572376959</v>
      </c>
      <c r="P2" s="4">
        <f>(M2-$O$2)/$O$2*100</f>
        <v>14.248988058472509</v>
      </c>
    </row>
    <row r="3" spans="1:16" x14ac:dyDescent="0.2">
      <c r="A3" s="8">
        <v>0.5</v>
      </c>
      <c r="B3" s="8">
        <v>1</v>
      </c>
      <c r="D3">
        <v>1318.1496556043001</v>
      </c>
      <c r="E3">
        <v>441.88541014402</v>
      </c>
      <c r="F3">
        <v>138.81636477201999</v>
      </c>
      <c r="G3">
        <v>117.28419737663999</v>
      </c>
      <c r="I3" s="9">
        <f t="shared" ref="I3:I66" si="1">E3-G3</f>
        <v>324.60121276737999</v>
      </c>
      <c r="J3" s="9">
        <f t="shared" ref="J3:J66" si="2">D3-F3</f>
        <v>1179.33329083228</v>
      </c>
      <c r="K3" s="9">
        <f t="shared" ref="K3:K66" si="3">I3*1</f>
        <v>324.60121276737999</v>
      </c>
      <c r="L3" s="10">
        <f t="shared" si="0"/>
        <v>0.27524128699725092</v>
      </c>
      <c r="M3" s="10">
        <f t="shared" ref="M3:M66" si="4">L3+ABS($N$2)*A3</f>
        <v>0.27527360228827452</v>
      </c>
      <c r="P3" s="8">
        <f t="shared" ref="P3:P66" si="5">(M3-$O$2)/$O$2*100</f>
        <v>22.666705321020071</v>
      </c>
    </row>
    <row r="4" spans="1:16" ht="16" x14ac:dyDescent="0.2">
      <c r="A4" s="8">
        <v>1</v>
      </c>
      <c r="B4" s="8">
        <v>2</v>
      </c>
      <c r="D4">
        <v>1682.1845574388001</v>
      </c>
      <c r="E4">
        <v>575.94350282486005</v>
      </c>
      <c r="F4">
        <v>138.54216114927999</v>
      </c>
      <c r="G4">
        <v>117.16489693941</v>
      </c>
      <c r="I4" s="9">
        <f t="shared" si="1"/>
        <v>458.77860588545002</v>
      </c>
      <c r="J4" s="9">
        <f t="shared" si="2"/>
        <v>1543.6423962895201</v>
      </c>
      <c r="K4" s="9">
        <f t="shared" si="3"/>
        <v>458.77860588545002</v>
      </c>
      <c r="L4" s="10">
        <f t="shared" si="0"/>
        <v>0.29720523807082788</v>
      </c>
      <c r="M4" s="10">
        <f t="shared" si="4"/>
        <v>0.29726986865287502</v>
      </c>
      <c r="N4" s="1" t="s">
        <v>7</v>
      </c>
      <c r="P4" s="8">
        <f t="shared" si="5"/>
        <v>32.468624218726326</v>
      </c>
    </row>
    <row r="5" spans="1:16" x14ac:dyDescent="0.2">
      <c r="A5" s="8">
        <v>1.5</v>
      </c>
      <c r="B5" s="8">
        <v>3</v>
      </c>
      <c r="D5">
        <v>1362.4325172629999</v>
      </c>
      <c r="E5">
        <v>499.29755178907999</v>
      </c>
      <c r="F5">
        <v>139.05996252342001</v>
      </c>
      <c r="G5">
        <v>117.15427857589</v>
      </c>
      <c r="I5" s="9">
        <f t="shared" si="1"/>
        <v>382.14327321319001</v>
      </c>
      <c r="J5" s="9">
        <f t="shared" si="2"/>
        <v>1223.37255473958</v>
      </c>
      <c r="K5" s="9">
        <f t="shared" si="3"/>
        <v>382.14327321319001</v>
      </c>
      <c r="L5" s="10">
        <f t="shared" si="0"/>
        <v>0.31236868256745964</v>
      </c>
      <c r="M5" s="10">
        <f t="shared" si="4"/>
        <v>0.31246562844053039</v>
      </c>
      <c r="N5" s="8">
        <f>RSQ(V64:V83,U64:U83)</f>
        <v>0.669666771399686</v>
      </c>
      <c r="P5" s="8">
        <f t="shared" si="5"/>
        <v>39.240119096935814</v>
      </c>
    </row>
    <row r="6" spans="1:16" x14ac:dyDescent="0.2">
      <c r="A6" s="8">
        <v>2</v>
      </c>
      <c r="B6" s="8">
        <v>4</v>
      </c>
      <c r="D6">
        <v>1860.483125</v>
      </c>
      <c r="E6">
        <v>595.26437499999997</v>
      </c>
      <c r="F6">
        <v>139.30668332292001</v>
      </c>
      <c r="G6">
        <v>116.82073703935001</v>
      </c>
      <c r="I6" s="9">
        <f t="shared" si="1"/>
        <v>478.44363796064999</v>
      </c>
      <c r="J6" s="9">
        <f t="shared" si="2"/>
        <v>1721.17644167708</v>
      </c>
      <c r="K6" s="9">
        <f t="shared" si="3"/>
        <v>478.44363796064999</v>
      </c>
      <c r="L6" s="10">
        <f t="shared" si="0"/>
        <v>0.27797477723693687</v>
      </c>
      <c r="M6" s="10">
        <f t="shared" si="4"/>
        <v>0.27810403840103115</v>
      </c>
      <c r="P6" s="8">
        <f t="shared" si="5"/>
        <v>23.92799688580256</v>
      </c>
    </row>
    <row r="7" spans="1:16" x14ac:dyDescent="0.2">
      <c r="A7" s="8">
        <v>2.5</v>
      </c>
      <c r="B7" s="8">
        <v>5</v>
      </c>
      <c r="D7">
        <v>1712.6118750000001</v>
      </c>
      <c r="E7">
        <v>558.61749999999995</v>
      </c>
      <c r="F7">
        <v>139.22923173017</v>
      </c>
      <c r="G7">
        <v>117.73079325422</v>
      </c>
      <c r="I7" s="9">
        <f t="shared" si="1"/>
        <v>440.88670674577997</v>
      </c>
      <c r="J7" s="9">
        <f t="shared" si="2"/>
        <v>1573.3826432698302</v>
      </c>
      <c r="K7" s="9">
        <f t="shared" si="3"/>
        <v>440.88670674577997</v>
      </c>
      <c r="L7" s="10">
        <f t="shared" si="0"/>
        <v>0.28021581948401431</v>
      </c>
      <c r="M7" s="10">
        <f t="shared" si="4"/>
        <v>0.28037739593913219</v>
      </c>
      <c r="P7" s="8">
        <f t="shared" si="5"/>
        <v>24.941044547828373</v>
      </c>
    </row>
    <row r="8" spans="1:16" x14ac:dyDescent="0.2">
      <c r="A8" s="8">
        <v>3</v>
      </c>
      <c r="B8" s="8">
        <v>6</v>
      </c>
      <c r="D8">
        <v>1786.2076875388</v>
      </c>
      <c r="E8">
        <v>553.59950402976006</v>
      </c>
      <c r="F8">
        <v>138.81761399126</v>
      </c>
      <c r="G8">
        <v>117.39100562149</v>
      </c>
      <c r="I8" s="9">
        <f t="shared" si="1"/>
        <v>436.20849840827009</v>
      </c>
      <c r="J8" s="9">
        <f t="shared" si="2"/>
        <v>1647.3900735475399</v>
      </c>
      <c r="K8" s="9">
        <f t="shared" si="3"/>
        <v>436.20849840827009</v>
      </c>
      <c r="L8" s="10">
        <f t="shared" si="0"/>
        <v>0.26478762098458286</v>
      </c>
      <c r="M8" s="10">
        <f t="shared" si="4"/>
        <v>0.26498151273072429</v>
      </c>
      <c r="P8" s="8">
        <f t="shared" si="5"/>
        <v>18.080371192361273</v>
      </c>
    </row>
    <row r="9" spans="1:16" x14ac:dyDescent="0.2">
      <c r="A9" s="8">
        <v>3.5</v>
      </c>
      <c r="B9" s="8">
        <v>7</v>
      </c>
      <c r="D9">
        <v>1649.6162430254001</v>
      </c>
      <c r="E9">
        <v>524.24674519529003</v>
      </c>
      <c r="F9">
        <v>139.41349156777</v>
      </c>
      <c r="G9">
        <v>117.37039350406</v>
      </c>
      <c r="I9" s="9">
        <f t="shared" si="1"/>
        <v>406.87635169123001</v>
      </c>
      <c r="J9" s="9">
        <f t="shared" si="2"/>
        <v>1510.20275145763</v>
      </c>
      <c r="K9" s="9">
        <f t="shared" si="3"/>
        <v>406.87635169123001</v>
      </c>
      <c r="L9" s="10">
        <f t="shared" si="0"/>
        <v>0.26941836206993908</v>
      </c>
      <c r="M9" s="10">
        <f t="shared" si="4"/>
        <v>0.2696445691071041</v>
      </c>
      <c r="P9" s="8">
        <f t="shared" si="5"/>
        <v>20.15831022342633</v>
      </c>
    </row>
    <row r="10" spans="1:16" x14ac:dyDescent="0.2">
      <c r="A10" s="8">
        <v>4</v>
      </c>
      <c r="B10" s="8">
        <v>8</v>
      </c>
      <c r="D10">
        <v>1807.3665214686</v>
      </c>
      <c r="E10">
        <v>542.43559427504999</v>
      </c>
      <c r="F10">
        <v>139.53341661461999</v>
      </c>
      <c r="G10">
        <v>117.35540287320001</v>
      </c>
      <c r="I10" s="9">
        <f t="shared" si="1"/>
        <v>425.08019140185002</v>
      </c>
      <c r="J10" s="9">
        <f t="shared" si="2"/>
        <v>1667.8331048539801</v>
      </c>
      <c r="K10" s="9">
        <f t="shared" si="3"/>
        <v>425.08019140185002</v>
      </c>
      <c r="L10" s="10">
        <f t="shared" si="0"/>
        <v>0.25486974096192083</v>
      </c>
      <c r="M10" s="10">
        <f t="shared" si="4"/>
        <v>0.25512826329010946</v>
      </c>
      <c r="P10" s="8">
        <f t="shared" si="5"/>
        <v>13.689591853045416</v>
      </c>
    </row>
    <row r="11" spans="1:16" x14ac:dyDescent="0.2">
      <c r="A11" s="8">
        <v>4.5</v>
      </c>
      <c r="B11" s="8">
        <v>9</v>
      </c>
      <c r="D11">
        <v>1715.808338519</v>
      </c>
      <c r="E11">
        <v>519.31113876789004</v>
      </c>
      <c r="F11">
        <v>139.54091193004001</v>
      </c>
      <c r="G11">
        <v>117.49718925672001</v>
      </c>
      <c r="I11" s="9">
        <f t="shared" si="1"/>
        <v>401.81394951117005</v>
      </c>
      <c r="J11" s="9">
        <f t="shared" si="2"/>
        <v>1576.26742658896</v>
      </c>
      <c r="K11" s="9">
        <f t="shared" si="3"/>
        <v>401.81394951117005</v>
      </c>
      <c r="L11" s="10">
        <f t="shared" si="0"/>
        <v>0.25491483407780285</v>
      </c>
      <c r="M11" s="10">
        <f t="shared" si="4"/>
        <v>0.25520567169701502</v>
      </c>
      <c r="P11" s="8">
        <f t="shared" si="5"/>
        <v>13.724086385613457</v>
      </c>
    </row>
    <row r="12" spans="1:16" x14ac:dyDescent="0.2">
      <c r="A12" s="8">
        <v>5</v>
      </c>
      <c r="B12" s="8">
        <v>10</v>
      </c>
      <c r="D12">
        <v>1695.8297738694</v>
      </c>
      <c r="E12">
        <v>515.54020100502999</v>
      </c>
      <c r="F12">
        <v>139.47595252967</v>
      </c>
      <c r="G12">
        <v>117.48969394129</v>
      </c>
      <c r="I12" s="9">
        <f t="shared" si="1"/>
        <v>398.05050706373999</v>
      </c>
      <c r="J12" s="9">
        <f t="shared" si="2"/>
        <v>1556.3538213397301</v>
      </c>
      <c r="K12" s="9">
        <f t="shared" si="3"/>
        <v>398.05050706373999</v>
      </c>
      <c r="L12" s="10">
        <f t="shared" si="0"/>
        <v>0.25575836394393453</v>
      </c>
      <c r="M12" s="10">
        <f t="shared" si="4"/>
        <v>0.2560815168541703</v>
      </c>
      <c r="P12" s="8">
        <f t="shared" si="5"/>
        <v>14.114378222195365</v>
      </c>
    </row>
    <row r="13" spans="1:16" x14ac:dyDescent="0.2">
      <c r="A13" s="8">
        <v>5.5</v>
      </c>
      <c r="B13" s="8">
        <v>11</v>
      </c>
      <c r="D13">
        <v>1628.93</v>
      </c>
      <c r="E13">
        <v>505.28437500000001</v>
      </c>
      <c r="F13">
        <v>139.46970643348001</v>
      </c>
      <c r="G13">
        <v>117.44846970643</v>
      </c>
      <c r="I13" s="9">
        <f t="shared" si="1"/>
        <v>387.83590529357002</v>
      </c>
      <c r="J13" s="9">
        <f t="shared" si="2"/>
        <v>1489.46029356652</v>
      </c>
      <c r="K13" s="9">
        <f t="shared" si="3"/>
        <v>387.83590529357002</v>
      </c>
      <c r="L13" s="10">
        <f t="shared" si="0"/>
        <v>0.26038687098190111</v>
      </c>
      <c r="M13" s="10">
        <f t="shared" si="4"/>
        <v>0.26074233918316042</v>
      </c>
      <c r="P13" s="8">
        <f t="shared" si="5"/>
        <v>16.191321722884297</v>
      </c>
    </row>
    <row r="14" spans="1:16" x14ac:dyDescent="0.2">
      <c r="A14" s="8">
        <v>6</v>
      </c>
      <c r="B14" s="8">
        <v>12</v>
      </c>
      <c r="D14">
        <v>1665.0482154039</v>
      </c>
      <c r="E14">
        <v>509.69693174703002</v>
      </c>
      <c r="F14">
        <v>139.93254216115</v>
      </c>
      <c r="G14">
        <v>117.32854465958999</v>
      </c>
      <c r="I14" s="9">
        <f t="shared" si="1"/>
        <v>392.36838708744006</v>
      </c>
      <c r="J14" s="9">
        <f t="shared" si="2"/>
        <v>1525.1156732427501</v>
      </c>
      <c r="K14" s="9">
        <f t="shared" si="3"/>
        <v>392.36838708744006</v>
      </c>
      <c r="L14" s="10">
        <f t="shared" si="0"/>
        <v>0.25727123127203444</v>
      </c>
      <c r="M14" s="10">
        <f t="shared" si="4"/>
        <v>0.25765901476431735</v>
      </c>
      <c r="P14" s="8">
        <f t="shared" si="5"/>
        <v>14.817338730140794</v>
      </c>
    </row>
    <row r="15" spans="1:16" x14ac:dyDescent="0.2">
      <c r="A15" s="8">
        <v>6.5</v>
      </c>
      <c r="B15" s="8">
        <v>13</v>
      </c>
      <c r="D15">
        <v>1655.1139636819</v>
      </c>
      <c r="E15">
        <v>497.65122103944998</v>
      </c>
      <c r="F15">
        <v>139.54153653966</v>
      </c>
      <c r="G15">
        <v>117.55153029357</v>
      </c>
      <c r="I15" s="9">
        <f t="shared" si="1"/>
        <v>380.09969074587997</v>
      </c>
      <c r="J15" s="9">
        <f t="shared" si="2"/>
        <v>1515.57242714224</v>
      </c>
      <c r="K15" s="9">
        <f t="shared" si="3"/>
        <v>380.09969074587997</v>
      </c>
      <c r="L15" s="10">
        <f t="shared" si="0"/>
        <v>0.25079612424897113</v>
      </c>
      <c r="M15" s="10">
        <f t="shared" si="4"/>
        <v>0.25121622303227764</v>
      </c>
      <c r="P15" s="8">
        <f t="shared" si="5"/>
        <v>11.946318667667903</v>
      </c>
    </row>
    <row r="16" spans="1:16" x14ac:dyDescent="0.2">
      <c r="A16" s="8">
        <v>7</v>
      </c>
      <c r="B16" s="8">
        <v>14</v>
      </c>
      <c r="D16">
        <v>1644.2642454602001</v>
      </c>
      <c r="E16">
        <v>491.34877896055002</v>
      </c>
      <c r="F16">
        <v>139.54778263585001</v>
      </c>
      <c r="G16">
        <v>117.54091193004</v>
      </c>
      <c r="I16" s="9">
        <f t="shared" si="1"/>
        <v>373.80786703051001</v>
      </c>
      <c r="J16" s="9">
        <f t="shared" si="2"/>
        <v>1504.7164628243499</v>
      </c>
      <c r="K16" s="9">
        <f t="shared" si="3"/>
        <v>373.80786703051001</v>
      </c>
      <c r="L16" s="10">
        <f t="shared" si="0"/>
        <v>0.24842412259441446</v>
      </c>
      <c r="M16" s="10">
        <f t="shared" si="4"/>
        <v>0.24887653666874451</v>
      </c>
      <c r="P16" s="8">
        <f t="shared" si="5"/>
        <v>10.903713727298173</v>
      </c>
    </row>
    <row r="17" spans="1:16" x14ac:dyDescent="0.2">
      <c r="A17" s="8">
        <v>7.5</v>
      </c>
      <c r="B17" s="8">
        <v>15</v>
      </c>
      <c r="D17">
        <v>1620.9039548022999</v>
      </c>
      <c r="E17">
        <v>477.21092278718999</v>
      </c>
      <c r="F17">
        <v>139.70331043098</v>
      </c>
      <c r="G17">
        <v>117.70955652716999</v>
      </c>
      <c r="I17" s="9">
        <f t="shared" si="1"/>
        <v>359.50136626002001</v>
      </c>
      <c r="J17" s="9">
        <f t="shared" si="2"/>
        <v>1481.2006443713199</v>
      </c>
      <c r="K17" s="9">
        <f t="shared" si="3"/>
        <v>359.50136626002001</v>
      </c>
      <c r="L17" s="10">
        <f t="shared" si="0"/>
        <v>0.2427094314508664</v>
      </c>
      <c r="M17" s="10">
        <f t="shared" si="4"/>
        <v>0.24319416081622003</v>
      </c>
      <c r="P17" s="8">
        <f t="shared" si="5"/>
        <v>8.3715482075003749</v>
      </c>
    </row>
    <row r="18" spans="1:16" x14ac:dyDescent="0.2">
      <c r="A18" s="8">
        <v>8</v>
      </c>
      <c r="B18" s="8">
        <v>16</v>
      </c>
      <c r="D18">
        <v>1658.8719397364</v>
      </c>
      <c r="E18">
        <v>485.74639045826001</v>
      </c>
      <c r="F18">
        <v>139.76264834478999</v>
      </c>
      <c r="G18">
        <v>117.72767020612</v>
      </c>
      <c r="I18" s="9">
        <f t="shared" si="1"/>
        <v>368.01872025214004</v>
      </c>
      <c r="J18" s="9">
        <f t="shared" si="2"/>
        <v>1519.10929139161</v>
      </c>
      <c r="K18" s="9">
        <f t="shared" si="3"/>
        <v>368.01872025214004</v>
      </c>
      <c r="L18" s="10">
        <f t="shared" si="0"/>
        <v>0.24225954138889458</v>
      </c>
      <c r="M18" s="10">
        <f t="shared" si="4"/>
        <v>0.2427765860452718</v>
      </c>
      <c r="P18" s="8">
        <f t="shared" si="5"/>
        <v>8.1854696262212414</v>
      </c>
    </row>
    <row r="19" spans="1:16" x14ac:dyDescent="0.2">
      <c r="A19" s="8">
        <v>8.5</v>
      </c>
      <c r="B19" s="8">
        <v>17</v>
      </c>
      <c r="D19">
        <v>1661.7495291902001</v>
      </c>
      <c r="E19">
        <v>485.4406779661</v>
      </c>
      <c r="F19">
        <v>140.43035602748</v>
      </c>
      <c r="G19">
        <v>117.79887570269</v>
      </c>
      <c r="I19" s="9">
        <f t="shared" si="1"/>
        <v>367.64180226341</v>
      </c>
      <c r="J19" s="9">
        <f t="shared" si="2"/>
        <v>1521.3191731627201</v>
      </c>
      <c r="K19" s="9">
        <f t="shared" si="3"/>
        <v>367.64180226341</v>
      </c>
      <c r="L19" s="10">
        <f t="shared" si="0"/>
        <v>0.24165987568480285</v>
      </c>
      <c r="M19" s="10">
        <f t="shared" si="4"/>
        <v>0.24220923563220365</v>
      </c>
      <c r="P19" s="8">
        <f t="shared" si="5"/>
        <v>7.9326484135983586</v>
      </c>
    </row>
    <row r="20" spans="1:16" x14ac:dyDescent="0.2">
      <c r="A20" s="8">
        <v>9</v>
      </c>
      <c r="B20" s="8">
        <v>18</v>
      </c>
      <c r="D20">
        <v>1656.4174513497001</v>
      </c>
      <c r="E20">
        <v>479.34651600753</v>
      </c>
      <c r="F20">
        <v>140.15302935664999</v>
      </c>
      <c r="G20">
        <v>118.14615865083999</v>
      </c>
      <c r="I20" s="9">
        <f t="shared" si="1"/>
        <v>361.20035735669001</v>
      </c>
      <c r="J20" s="9">
        <f t="shared" si="2"/>
        <v>1516.2644219930501</v>
      </c>
      <c r="K20" s="9">
        <f t="shared" si="3"/>
        <v>361.20035735669001</v>
      </c>
      <c r="L20" s="10">
        <f t="shared" si="0"/>
        <v>0.2382172608666179</v>
      </c>
      <c r="M20" s="10">
        <f t="shared" si="4"/>
        <v>0.23879893610504227</v>
      </c>
      <c r="P20" s="8">
        <f t="shared" si="5"/>
        <v>6.4129596251447856</v>
      </c>
    </row>
    <row r="21" spans="1:16" x14ac:dyDescent="0.2">
      <c r="A21" s="8">
        <v>9.5</v>
      </c>
      <c r="B21" s="8">
        <v>19</v>
      </c>
      <c r="D21">
        <v>1634.5411173886</v>
      </c>
      <c r="E21">
        <v>479.75078468299</v>
      </c>
      <c r="F21">
        <v>140.60899437851</v>
      </c>
      <c r="G21">
        <v>117.83198001249001</v>
      </c>
      <c r="I21" s="9">
        <f t="shared" si="1"/>
        <v>361.91880467049998</v>
      </c>
      <c r="J21" s="9">
        <f t="shared" si="2"/>
        <v>1493.93212301009</v>
      </c>
      <c r="K21" s="9">
        <f t="shared" si="3"/>
        <v>361.91880467049998</v>
      </c>
      <c r="L21" s="10">
        <f t="shared" si="0"/>
        <v>0.24225920247385671</v>
      </c>
      <c r="M21" s="10">
        <f t="shared" si="4"/>
        <v>0.24287319300330465</v>
      </c>
      <c r="P21" s="8">
        <f t="shared" si="5"/>
        <v>8.2285193671134511</v>
      </c>
    </row>
    <row r="22" spans="1:16" x14ac:dyDescent="0.2">
      <c r="A22" s="8">
        <v>10</v>
      </c>
      <c r="B22" s="8">
        <v>20</v>
      </c>
      <c r="D22">
        <v>1625.5197740112999</v>
      </c>
      <c r="E22">
        <v>474.45888261143</v>
      </c>
      <c r="F22">
        <v>140.40474703309999</v>
      </c>
      <c r="G22">
        <v>117.99687695191</v>
      </c>
      <c r="I22" s="9">
        <f t="shared" si="1"/>
        <v>356.46200565952</v>
      </c>
      <c r="J22" s="9">
        <f t="shared" si="2"/>
        <v>1485.1150269781999</v>
      </c>
      <c r="K22" s="9">
        <f t="shared" si="3"/>
        <v>356.46200565952</v>
      </c>
      <c r="L22" s="10">
        <f t="shared" si="0"/>
        <v>0.24002316264001586</v>
      </c>
      <c r="M22" s="10">
        <f t="shared" si="4"/>
        <v>0.24066946846048737</v>
      </c>
      <c r="P22" s="8">
        <f t="shared" si="5"/>
        <v>7.2465013789905788</v>
      </c>
    </row>
    <row r="23" spans="1:16" x14ac:dyDescent="0.2">
      <c r="A23" s="8">
        <v>10.5</v>
      </c>
      <c r="B23" s="8">
        <v>21</v>
      </c>
      <c r="D23">
        <v>1652.2931575642999</v>
      </c>
      <c r="E23">
        <v>478.43753923414999</v>
      </c>
      <c r="F23">
        <v>140.37663960025</v>
      </c>
      <c r="G23">
        <v>117.61898813242</v>
      </c>
      <c r="I23" s="9">
        <f t="shared" si="1"/>
        <v>360.81855110173001</v>
      </c>
      <c r="J23" s="9">
        <f t="shared" si="2"/>
        <v>1511.9165179640499</v>
      </c>
      <c r="K23" s="9">
        <f t="shared" si="3"/>
        <v>360.81855110173001</v>
      </c>
      <c r="L23" s="10">
        <f t="shared" si="0"/>
        <v>0.23864978443889814</v>
      </c>
      <c r="M23" s="10">
        <f t="shared" si="4"/>
        <v>0.23932840555039323</v>
      </c>
      <c r="P23" s="8">
        <f t="shared" si="5"/>
        <v>6.6489004196468828</v>
      </c>
    </row>
    <row r="24" spans="1:16" x14ac:dyDescent="0.2">
      <c r="A24" s="8">
        <v>11</v>
      </c>
      <c r="B24" s="8">
        <v>22</v>
      </c>
      <c r="D24">
        <v>1625.5216572505001</v>
      </c>
      <c r="E24">
        <v>471.11487758944997</v>
      </c>
      <c r="F24">
        <v>140.59775140536999</v>
      </c>
      <c r="G24">
        <v>117.98251093067</v>
      </c>
      <c r="I24" s="9">
        <f t="shared" si="1"/>
        <v>353.13236665877997</v>
      </c>
      <c r="J24" s="9">
        <f t="shared" si="2"/>
        <v>1484.9239058451301</v>
      </c>
      <c r="K24" s="9">
        <f t="shared" si="3"/>
        <v>353.13236665877997</v>
      </c>
      <c r="L24" s="10">
        <f t="shared" si="0"/>
        <v>0.23781175942332081</v>
      </c>
      <c r="M24" s="10">
        <f t="shared" si="4"/>
        <v>0.23852269582583949</v>
      </c>
      <c r="P24" s="8">
        <f t="shared" si="5"/>
        <v>6.2898621517761697</v>
      </c>
    </row>
    <row r="25" spans="1:16" x14ac:dyDescent="0.2">
      <c r="A25" s="8">
        <v>11.5</v>
      </c>
      <c r="B25" s="8">
        <v>23</v>
      </c>
      <c r="D25">
        <v>1593.1565053426</v>
      </c>
      <c r="E25">
        <v>448.67127592708999</v>
      </c>
      <c r="F25">
        <v>140.45658963148</v>
      </c>
      <c r="G25">
        <v>117.81886321048999</v>
      </c>
      <c r="I25" s="9">
        <f t="shared" si="1"/>
        <v>330.85241271659999</v>
      </c>
      <c r="J25" s="9">
        <f t="shared" si="2"/>
        <v>1452.69991571112</v>
      </c>
      <c r="K25" s="9">
        <f t="shared" si="3"/>
        <v>330.85241271659999</v>
      </c>
      <c r="L25" s="10">
        <f t="shared" si="0"/>
        <v>0.22775000475899554</v>
      </c>
      <c r="M25" s="10">
        <f t="shared" si="4"/>
        <v>0.22849325645253779</v>
      </c>
      <c r="P25" s="8">
        <f t="shared" si="5"/>
        <v>1.820569513786668</v>
      </c>
    </row>
    <row r="26" spans="1:16" x14ac:dyDescent="0.2">
      <c r="A26" s="8">
        <v>12</v>
      </c>
      <c r="B26" s="8">
        <v>24</v>
      </c>
      <c r="D26">
        <v>1598.7567567568001</v>
      </c>
      <c r="E26">
        <v>450.10747957260003</v>
      </c>
      <c r="F26">
        <v>140.32354778263999</v>
      </c>
      <c r="G26">
        <v>117.75140537164</v>
      </c>
      <c r="I26" s="9">
        <f t="shared" si="1"/>
        <v>332.35607420096005</v>
      </c>
      <c r="J26" s="9">
        <f t="shared" si="2"/>
        <v>1458.4332089741602</v>
      </c>
      <c r="K26" s="9">
        <f t="shared" si="3"/>
        <v>332.35607420096005</v>
      </c>
      <c r="L26" s="10">
        <f t="shared" si="0"/>
        <v>0.22788570100836794</v>
      </c>
      <c r="M26" s="10">
        <f t="shared" si="4"/>
        <v>0.22866126799293376</v>
      </c>
      <c r="P26" s="8">
        <f t="shared" si="5"/>
        <v>1.8954383785995781</v>
      </c>
    </row>
    <row r="27" spans="1:16" x14ac:dyDescent="0.2">
      <c r="A27" s="8">
        <v>12.5</v>
      </c>
      <c r="B27" s="8">
        <v>25</v>
      </c>
      <c r="D27">
        <v>1573.2903834066999</v>
      </c>
      <c r="E27">
        <v>437.69578881207002</v>
      </c>
      <c r="F27">
        <v>140.66021236726999</v>
      </c>
      <c r="G27">
        <v>118.01873828857001</v>
      </c>
      <c r="I27" s="9">
        <f t="shared" si="1"/>
        <v>319.67705052350004</v>
      </c>
      <c r="J27" s="9">
        <f t="shared" si="2"/>
        <v>1432.63017103943</v>
      </c>
      <c r="K27" s="9">
        <f t="shared" si="3"/>
        <v>319.67705052350004</v>
      </c>
      <c r="L27" s="10">
        <f t="shared" si="0"/>
        <v>0.22313996800134514</v>
      </c>
      <c r="M27" s="10">
        <f t="shared" si="4"/>
        <v>0.22394785027693453</v>
      </c>
      <c r="P27" s="8">
        <f t="shared" si="5"/>
        <v>-0.20494254139095081</v>
      </c>
    </row>
    <row r="28" spans="1:16" x14ac:dyDescent="0.2">
      <c r="A28" s="8">
        <v>13</v>
      </c>
      <c r="B28" s="8">
        <v>26</v>
      </c>
      <c r="D28">
        <v>1530.3683218102001</v>
      </c>
      <c r="E28">
        <v>429.96920175989999</v>
      </c>
      <c r="F28">
        <v>140.11430356028001</v>
      </c>
      <c r="G28">
        <v>118.02998126171001</v>
      </c>
      <c r="I28" s="9">
        <f t="shared" si="1"/>
        <v>311.93922049818997</v>
      </c>
      <c r="J28" s="9">
        <f t="shared" si="2"/>
        <v>1390.2540182499201</v>
      </c>
      <c r="K28" s="9">
        <f t="shared" si="3"/>
        <v>311.93922049818997</v>
      </c>
      <c r="L28" s="10">
        <f t="shared" si="0"/>
        <v>0.2243757014210003</v>
      </c>
      <c r="M28" s="10">
        <f t="shared" si="4"/>
        <v>0.22521589898761327</v>
      </c>
      <c r="P28" s="8">
        <f t="shared" si="5"/>
        <v>0.36012202067567894</v>
      </c>
    </row>
    <row r="29" spans="1:16" x14ac:dyDescent="0.2">
      <c r="A29" s="8">
        <v>13.5</v>
      </c>
      <c r="B29" s="8">
        <v>27</v>
      </c>
      <c r="D29">
        <v>1534.4267756127999</v>
      </c>
      <c r="E29">
        <v>432.72658705216998</v>
      </c>
      <c r="F29">
        <v>140.50780762023999</v>
      </c>
      <c r="G29">
        <v>118.18925671455</v>
      </c>
      <c r="I29" s="9">
        <f t="shared" si="1"/>
        <v>314.53733033762001</v>
      </c>
      <c r="J29" s="9">
        <f t="shared" si="2"/>
        <v>1393.9189679925598</v>
      </c>
      <c r="K29" s="9">
        <f t="shared" si="3"/>
        <v>314.53733033762001</v>
      </c>
      <c r="L29" s="10">
        <f t="shared" si="0"/>
        <v>0.22564965221084421</v>
      </c>
      <c r="M29" s="10">
        <f t="shared" si="4"/>
        <v>0.22652216506848075</v>
      </c>
      <c r="P29" s="8">
        <f t="shared" si="5"/>
        <v>0.94221690765583976</v>
      </c>
    </row>
    <row r="30" spans="1:16" x14ac:dyDescent="0.2">
      <c r="A30" s="8">
        <v>14</v>
      </c>
      <c r="B30" s="8">
        <v>28</v>
      </c>
      <c r="D30">
        <v>1554.0295411691</v>
      </c>
      <c r="E30">
        <v>434.23381521056001</v>
      </c>
      <c r="F30">
        <v>140.76951905058999</v>
      </c>
      <c r="G30">
        <v>118.00687070581</v>
      </c>
      <c r="I30" s="9">
        <f t="shared" si="1"/>
        <v>316.22694450475001</v>
      </c>
      <c r="J30" s="9">
        <f t="shared" si="2"/>
        <v>1413.2600221185101</v>
      </c>
      <c r="K30" s="9">
        <f t="shared" si="3"/>
        <v>316.22694450475001</v>
      </c>
      <c r="L30" s="10">
        <f t="shared" si="0"/>
        <v>0.22375708613813217</v>
      </c>
      <c r="M30" s="10">
        <f t="shared" si="4"/>
        <v>0.2246619142867923</v>
      </c>
      <c r="P30" s="8">
        <f t="shared" si="5"/>
        <v>0.11325680191491407</v>
      </c>
    </row>
    <row r="31" spans="1:16" x14ac:dyDescent="0.2">
      <c r="A31" s="8">
        <v>14.5</v>
      </c>
      <c r="B31" s="8">
        <v>29</v>
      </c>
      <c r="D31">
        <v>1553.4142049026</v>
      </c>
      <c r="E31">
        <v>433.72344437460998</v>
      </c>
      <c r="F31">
        <v>140.36976889444</v>
      </c>
      <c r="G31">
        <v>118.1380387258</v>
      </c>
      <c r="I31" s="9">
        <f t="shared" si="1"/>
        <v>315.58540564880997</v>
      </c>
      <c r="J31" s="9">
        <f t="shared" si="2"/>
        <v>1413.0444360081599</v>
      </c>
      <c r="K31" s="9">
        <f t="shared" si="3"/>
        <v>315.58540564880997</v>
      </c>
      <c r="L31" s="10">
        <f t="shared" si="0"/>
        <v>0.22333721262180289</v>
      </c>
      <c r="M31" s="10">
        <f t="shared" si="4"/>
        <v>0.2242743560614866</v>
      </c>
      <c r="P31" s="8">
        <f t="shared" si="5"/>
        <v>-5.9445884514590083E-2</v>
      </c>
    </row>
    <row r="32" spans="1:16" x14ac:dyDescent="0.2">
      <c r="A32" s="8">
        <v>15</v>
      </c>
      <c r="B32" s="8">
        <v>30</v>
      </c>
      <c r="D32">
        <v>1492.7008170961999</v>
      </c>
      <c r="E32">
        <v>414.55813953488001</v>
      </c>
      <c r="F32">
        <v>141.07245471580001</v>
      </c>
      <c r="G32">
        <v>117.88569643973</v>
      </c>
      <c r="I32" s="9">
        <f t="shared" si="1"/>
        <v>296.67244309515002</v>
      </c>
      <c r="J32" s="9">
        <f t="shared" si="2"/>
        <v>1351.6283623803999</v>
      </c>
      <c r="K32" s="9">
        <f t="shared" si="3"/>
        <v>296.67244309515002</v>
      </c>
      <c r="L32" s="10">
        <f t="shared" si="0"/>
        <v>0.21949261450290211</v>
      </c>
      <c r="M32" s="10">
        <f t="shared" si="4"/>
        <v>0.22046207323360939</v>
      </c>
      <c r="P32" s="8">
        <f t="shared" si="5"/>
        <v>-1.7582654239118787</v>
      </c>
    </row>
    <row r="33" spans="1:16" x14ac:dyDescent="0.2">
      <c r="A33" s="8">
        <v>15.5</v>
      </c>
      <c r="B33" s="8">
        <v>31</v>
      </c>
      <c r="D33">
        <v>1540.0954773869</v>
      </c>
      <c r="E33">
        <v>426.09045226131002</v>
      </c>
      <c r="F33">
        <v>141.22923173017</v>
      </c>
      <c r="G33">
        <v>118.34291068082</v>
      </c>
      <c r="I33" s="9">
        <f t="shared" si="1"/>
        <v>307.74754158049001</v>
      </c>
      <c r="J33" s="9">
        <f t="shared" si="2"/>
        <v>1398.8662456567299</v>
      </c>
      <c r="K33" s="9">
        <f t="shared" si="3"/>
        <v>307.74754158049001</v>
      </c>
      <c r="L33" s="10">
        <f t="shared" si="0"/>
        <v>0.21999783219875382</v>
      </c>
      <c r="M33" s="10">
        <f t="shared" si="4"/>
        <v>0.22099960622048467</v>
      </c>
      <c r="P33" s="8">
        <f t="shared" si="5"/>
        <v>-1.5187313750483538</v>
      </c>
    </row>
    <row r="34" spans="1:16" x14ac:dyDescent="0.2">
      <c r="A34" s="8">
        <v>16</v>
      </c>
      <c r="B34" s="8">
        <v>32</v>
      </c>
      <c r="D34">
        <v>1568.5785175879</v>
      </c>
      <c r="E34">
        <v>429.93341708542999</v>
      </c>
      <c r="F34">
        <v>141.07120549657</v>
      </c>
      <c r="G34">
        <v>118.16114928170001</v>
      </c>
      <c r="I34" s="9">
        <f t="shared" si="1"/>
        <v>311.77226780372996</v>
      </c>
      <c r="J34" s="9">
        <f t="shared" si="2"/>
        <v>1427.50731209133</v>
      </c>
      <c r="K34" s="9">
        <f t="shared" si="3"/>
        <v>311.77226780372996</v>
      </c>
      <c r="L34" s="10">
        <f t="shared" si="0"/>
        <v>0.21840327202736121</v>
      </c>
      <c r="M34" s="10">
        <f t="shared" si="4"/>
        <v>0.21943736134011563</v>
      </c>
      <c r="P34" s="8">
        <f t="shared" si="5"/>
        <v>-2.2148948676117119</v>
      </c>
    </row>
    <row r="35" spans="1:16" x14ac:dyDescent="0.2">
      <c r="A35" s="8">
        <v>16.5</v>
      </c>
      <c r="B35" s="8">
        <v>33</v>
      </c>
      <c r="D35">
        <v>1568.6953517587999</v>
      </c>
      <c r="E35">
        <v>431.21608040200999</v>
      </c>
      <c r="F35">
        <v>140.72579637726</v>
      </c>
      <c r="G35">
        <v>118.47845096815</v>
      </c>
      <c r="I35" s="9">
        <f t="shared" si="1"/>
        <v>312.73762943385998</v>
      </c>
      <c r="J35" s="9">
        <f t="shared" si="2"/>
        <v>1427.96955538154</v>
      </c>
      <c r="K35" s="9">
        <f t="shared" si="3"/>
        <v>312.73762943385998</v>
      </c>
      <c r="L35" s="10">
        <f t="shared" si="0"/>
        <v>0.21900861139178801</v>
      </c>
      <c r="M35" s="10">
        <f t="shared" si="4"/>
        <v>0.220075015995566</v>
      </c>
      <c r="P35" s="8">
        <f t="shared" si="5"/>
        <v>-1.9307448617030647</v>
      </c>
    </row>
    <row r="36" spans="1:16" x14ac:dyDescent="0.2">
      <c r="A36" s="8">
        <v>17</v>
      </c>
      <c r="B36" s="8">
        <v>34</v>
      </c>
      <c r="D36">
        <v>1562.3129675811001</v>
      </c>
      <c r="E36">
        <v>426.77493765586001</v>
      </c>
      <c r="F36">
        <v>141.10993129293999</v>
      </c>
      <c r="G36">
        <v>117.98938163648</v>
      </c>
      <c r="I36" s="9">
        <f t="shared" si="1"/>
        <v>308.78555601938001</v>
      </c>
      <c r="J36" s="9">
        <f t="shared" si="2"/>
        <v>1421.2030362881601</v>
      </c>
      <c r="K36" s="9">
        <f t="shared" si="3"/>
        <v>308.78555601938001</v>
      </c>
      <c r="L36" s="10">
        <f t="shared" si="0"/>
        <v>0.2172705434304823</v>
      </c>
      <c r="M36" s="10">
        <f t="shared" si="4"/>
        <v>0.21836926332528386</v>
      </c>
      <c r="P36" s="8">
        <f t="shared" si="5"/>
        <v>-2.6908579216430479</v>
      </c>
    </row>
    <row r="37" spans="1:16" x14ac:dyDescent="0.2">
      <c r="A37" s="8">
        <v>17.5</v>
      </c>
      <c r="B37" s="8">
        <v>35</v>
      </c>
      <c r="D37">
        <v>1556.9351620948</v>
      </c>
      <c r="E37">
        <v>427.67456359101999</v>
      </c>
      <c r="F37">
        <v>140.71767645221999</v>
      </c>
      <c r="G37">
        <v>118.06870705809</v>
      </c>
      <c r="I37" s="9">
        <f t="shared" si="1"/>
        <v>309.60585653292998</v>
      </c>
      <c r="J37" s="9">
        <f t="shared" si="2"/>
        <v>1416.21748564258</v>
      </c>
      <c r="K37" s="9">
        <f t="shared" si="3"/>
        <v>309.60585653292998</v>
      </c>
      <c r="L37" s="10">
        <f t="shared" si="0"/>
        <v>0.21861462640567003</v>
      </c>
      <c r="M37" s="10">
        <f t="shared" si="4"/>
        <v>0.21974566159149519</v>
      </c>
      <c r="P37" s="8">
        <f t="shared" si="5"/>
        <v>-2.0775109129861988</v>
      </c>
    </row>
    <row r="38" spans="1:16" x14ac:dyDescent="0.2">
      <c r="A38" s="8">
        <v>18</v>
      </c>
      <c r="B38" s="8">
        <v>36</v>
      </c>
      <c r="D38">
        <v>1574.858478803</v>
      </c>
      <c r="E38">
        <v>433.33728179551002</v>
      </c>
      <c r="F38">
        <v>141.13491567770001</v>
      </c>
      <c r="G38">
        <v>117.73329169269</v>
      </c>
      <c r="I38" s="9">
        <f t="shared" si="1"/>
        <v>315.60399010282003</v>
      </c>
      <c r="J38" s="9">
        <f t="shared" si="2"/>
        <v>1433.7235631253</v>
      </c>
      <c r="K38" s="9">
        <f t="shared" si="3"/>
        <v>315.60399010282003</v>
      </c>
      <c r="L38" s="10">
        <f t="shared" si="0"/>
        <v>0.22012889947546876</v>
      </c>
      <c r="M38" s="10">
        <f t="shared" si="4"/>
        <v>0.2212922499523175</v>
      </c>
      <c r="P38" s="8">
        <f t="shared" si="5"/>
        <v>-1.3883242378642084</v>
      </c>
    </row>
    <row r="39" spans="1:16" x14ac:dyDescent="0.2">
      <c r="A39" s="8">
        <v>18.5</v>
      </c>
      <c r="B39" s="8">
        <v>37</v>
      </c>
      <c r="D39">
        <v>1531.5871617369</v>
      </c>
      <c r="E39">
        <v>419.89112649465</v>
      </c>
      <c r="F39">
        <v>141.12991880075</v>
      </c>
      <c r="G39">
        <v>117.92629606496</v>
      </c>
      <c r="I39" s="9">
        <f t="shared" si="1"/>
        <v>301.96483042968998</v>
      </c>
      <c r="J39" s="9">
        <f t="shared" si="2"/>
        <v>1390.4572429361501</v>
      </c>
      <c r="K39" s="9">
        <f t="shared" si="3"/>
        <v>301.96483042968998</v>
      </c>
      <c r="L39" s="10">
        <f t="shared" si="0"/>
        <v>0.21716944693103105</v>
      </c>
      <c r="M39" s="10">
        <f t="shared" si="4"/>
        <v>0.21836511269890335</v>
      </c>
      <c r="P39" s="8">
        <f t="shared" si="5"/>
        <v>-2.6927075129546862</v>
      </c>
    </row>
    <row r="40" spans="1:16" x14ac:dyDescent="0.2">
      <c r="A40" s="8">
        <v>19</v>
      </c>
      <c r="B40" s="8">
        <v>38</v>
      </c>
      <c r="D40">
        <v>1546.2797992471999</v>
      </c>
      <c r="E40">
        <v>423.34378920953998</v>
      </c>
      <c r="F40">
        <v>140.99562773266999</v>
      </c>
      <c r="G40">
        <v>118.532792005</v>
      </c>
      <c r="I40" s="9">
        <f t="shared" si="1"/>
        <v>304.81099720453994</v>
      </c>
      <c r="J40" s="9">
        <f t="shared" si="2"/>
        <v>1405.2841715145298</v>
      </c>
      <c r="K40" s="9">
        <f t="shared" si="3"/>
        <v>304.81099720453994</v>
      </c>
      <c r="L40" s="10">
        <f t="shared" si="0"/>
        <v>0.21690345866205352</v>
      </c>
      <c r="M40" s="10">
        <f t="shared" si="4"/>
        <v>0.21813143972094939</v>
      </c>
      <c r="P40" s="8">
        <f t="shared" si="5"/>
        <v>-2.7968362564661899</v>
      </c>
    </row>
    <row r="41" spans="1:16" x14ac:dyDescent="0.2">
      <c r="A41" s="8">
        <v>19.5</v>
      </c>
      <c r="B41" s="8">
        <v>39</v>
      </c>
      <c r="D41">
        <v>1502.6367628606999</v>
      </c>
      <c r="E41">
        <v>412.76223337516001</v>
      </c>
      <c r="F41">
        <v>141.47470331042999</v>
      </c>
      <c r="G41">
        <v>118.30543410369</v>
      </c>
      <c r="I41" s="9">
        <f t="shared" si="1"/>
        <v>294.45679927147</v>
      </c>
      <c r="J41" s="9">
        <f t="shared" si="2"/>
        <v>1361.16205955027</v>
      </c>
      <c r="K41" s="9">
        <f t="shared" si="3"/>
        <v>294.45679927147</v>
      </c>
      <c r="L41" s="10">
        <f t="shared" si="0"/>
        <v>0.21632751016345472</v>
      </c>
      <c r="M41" s="10">
        <f t="shared" si="4"/>
        <v>0.21758780651337417</v>
      </c>
      <c r="P41" s="8">
        <f t="shared" si="5"/>
        <v>-3.0390886697815636</v>
      </c>
    </row>
    <row r="42" spans="1:16" x14ac:dyDescent="0.2">
      <c r="A42" s="8">
        <v>20</v>
      </c>
      <c r="B42" s="8">
        <v>40</v>
      </c>
      <c r="D42">
        <v>1519.0432873274999</v>
      </c>
      <c r="E42">
        <v>417.29799247176999</v>
      </c>
      <c r="F42">
        <v>141.08494690818</v>
      </c>
      <c r="G42">
        <v>118.44846970643</v>
      </c>
      <c r="I42" s="9">
        <f t="shared" si="1"/>
        <v>298.84952276534</v>
      </c>
      <c r="J42" s="9">
        <f t="shared" si="2"/>
        <v>1377.9583404193199</v>
      </c>
      <c r="K42" s="9">
        <f t="shared" si="3"/>
        <v>298.84952276534</v>
      </c>
      <c r="L42" s="10">
        <f t="shared" si="0"/>
        <v>0.2168784889929245</v>
      </c>
      <c r="M42" s="10">
        <f t="shared" si="4"/>
        <v>0.21817110063386752</v>
      </c>
      <c r="P42" s="8">
        <f t="shared" si="5"/>
        <v>-2.7791626638032958</v>
      </c>
    </row>
    <row r="43" spans="1:16" x14ac:dyDescent="0.2">
      <c r="A43" s="8">
        <v>20.5</v>
      </c>
      <c r="B43" s="8">
        <v>41</v>
      </c>
      <c r="D43">
        <v>1530.3582183187</v>
      </c>
      <c r="E43">
        <v>418.87452948557001</v>
      </c>
      <c r="F43">
        <v>141.42785758900999</v>
      </c>
      <c r="G43">
        <v>118.27732667083001</v>
      </c>
      <c r="I43" s="9">
        <f t="shared" si="1"/>
        <v>300.59720281474</v>
      </c>
      <c r="J43" s="9">
        <f t="shared" si="2"/>
        <v>1388.9303607296899</v>
      </c>
      <c r="K43" s="9">
        <f t="shared" si="3"/>
        <v>300.59720281474</v>
      </c>
      <c r="L43" s="10">
        <f t="shared" si="0"/>
        <v>0.21642352367963066</v>
      </c>
      <c r="M43" s="10">
        <f t="shared" si="4"/>
        <v>0.21774845061159728</v>
      </c>
      <c r="P43" s="8">
        <f t="shared" si="5"/>
        <v>-2.9675028653510354</v>
      </c>
    </row>
    <row r="44" spans="1:16" x14ac:dyDescent="0.2">
      <c r="A44" s="8">
        <v>21</v>
      </c>
      <c r="B44" s="8">
        <v>42</v>
      </c>
      <c r="D44">
        <v>1572.8538268507</v>
      </c>
      <c r="E44">
        <v>428.64429109158999</v>
      </c>
      <c r="F44">
        <v>141.01873828857001</v>
      </c>
      <c r="G44">
        <v>118.25421611493</v>
      </c>
      <c r="I44" s="9">
        <f t="shared" si="1"/>
        <v>310.39007497666</v>
      </c>
      <c r="J44" s="9">
        <f t="shared" si="2"/>
        <v>1431.8350885621301</v>
      </c>
      <c r="K44" s="9">
        <f t="shared" si="3"/>
        <v>310.39007497666</v>
      </c>
      <c r="L44" s="10">
        <f t="shared" si="0"/>
        <v>0.21677781013758946</v>
      </c>
      <c r="M44" s="10">
        <f t="shared" si="4"/>
        <v>0.21813505236057965</v>
      </c>
      <c r="P44" s="8">
        <f t="shared" si="5"/>
        <v>-2.7952264014082724</v>
      </c>
    </row>
    <row r="45" spans="1:16" x14ac:dyDescent="0.2">
      <c r="A45" s="8">
        <v>21.5</v>
      </c>
      <c r="B45" s="8">
        <v>43</v>
      </c>
      <c r="D45">
        <v>1456.7280099812999</v>
      </c>
      <c r="E45">
        <v>407.44791016842998</v>
      </c>
      <c r="F45">
        <v>141.84946908181999</v>
      </c>
      <c r="G45">
        <v>118.51342910680999</v>
      </c>
      <c r="I45" s="9">
        <f t="shared" si="1"/>
        <v>288.93448106161998</v>
      </c>
      <c r="J45" s="9">
        <f t="shared" si="2"/>
        <v>1314.87854089948</v>
      </c>
      <c r="K45" s="9">
        <f t="shared" si="3"/>
        <v>288.93448106161998</v>
      </c>
      <c r="L45" s="10">
        <f t="shared" si="0"/>
        <v>0.21974233518478911</v>
      </c>
      <c r="M45" s="10">
        <f t="shared" si="4"/>
        <v>0.22113189269880287</v>
      </c>
      <c r="P45" s="8">
        <f t="shared" si="5"/>
        <v>-1.459782219303225</v>
      </c>
    </row>
    <row r="46" spans="1:16" x14ac:dyDescent="0.2">
      <c r="A46" s="8">
        <v>22</v>
      </c>
      <c r="B46" s="8">
        <v>44</v>
      </c>
      <c r="D46">
        <v>1441.1607818411001</v>
      </c>
      <c r="E46">
        <v>401.22950819672002</v>
      </c>
      <c r="F46">
        <v>141.43597751404999</v>
      </c>
      <c r="G46">
        <v>118.38226108681999</v>
      </c>
      <c r="I46" s="9">
        <f t="shared" si="1"/>
        <v>282.84724710990002</v>
      </c>
      <c r="J46" s="9">
        <f t="shared" si="2"/>
        <v>1299.7248043270502</v>
      </c>
      <c r="K46" s="9">
        <f t="shared" si="3"/>
        <v>282.84724710990002</v>
      </c>
      <c r="L46" s="10">
        <f t="shared" si="0"/>
        <v>0.21762087340969688</v>
      </c>
      <c r="M46" s="10">
        <f t="shared" si="4"/>
        <v>0.21904274621473421</v>
      </c>
      <c r="P46" s="8">
        <f t="shared" si="5"/>
        <v>-2.390742231463503</v>
      </c>
    </row>
    <row r="47" spans="1:16" x14ac:dyDescent="0.2">
      <c r="A47" s="8">
        <v>22.5</v>
      </c>
      <c r="B47" s="8">
        <v>45</v>
      </c>
      <c r="D47">
        <v>1433.6626733922001</v>
      </c>
      <c r="E47">
        <v>399.33732660781999</v>
      </c>
      <c r="F47">
        <v>141.46408494690999</v>
      </c>
      <c r="G47">
        <v>118.30168644597001</v>
      </c>
      <c r="I47" s="9">
        <f t="shared" si="1"/>
        <v>281.03564016184998</v>
      </c>
      <c r="J47" s="9">
        <f t="shared" si="2"/>
        <v>1292.1985884452902</v>
      </c>
      <c r="K47" s="9">
        <f t="shared" si="3"/>
        <v>281.03564016184998</v>
      </c>
      <c r="L47" s="10">
        <f t="shared" si="0"/>
        <v>0.21748641631003346</v>
      </c>
      <c r="M47" s="10">
        <f t="shared" si="4"/>
        <v>0.21894060440609436</v>
      </c>
      <c r="P47" s="8">
        <f t="shared" si="5"/>
        <v>-2.4362583980600339</v>
      </c>
    </row>
    <row r="48" spans="1:16" x14ac:dyDescent="0.2">
      <c r="A48" s="8">
        <v>23</v>
      </c>
      <c r="B48" s="8">
        <v>46</v>
      </c>
      <c r="D48">
        <v>1444.5485498108001</v>
      </c>
      <c r="E48">
        <v>399.81651954603001</v>
      </c>
      <c r="F48">
        <v>141.44846970642999</v>
      </c>
      <c r="G48">
        <v>118.30855715177999</v>
      </c>
      <c r="I48" s="9">
        <f t="shared" si="1"/>
        <v>281.50796239425</v>
      </c>
      <c r="J48" s="9">
        <f t="shared" si="2"/>
        <v>1303.1000801043701</v>
      </c>
      <c r="K48" s="9">
        <f t="shared" si="3"/>
        <v>281.50796239425</v>
      </c>
      <c r="L48" s="10">
        <f t="shared" si="0"/>
        <v>0.21602942605275796</v>
      </c>
      <c r="M48" s="10">
        <f t="shared" si="4"/>
        <v>0.21751592943984244</v>
      </c>
      <c r="P48" s="8">
        <f t="shared" si="5"/>
        <v>-3.071118343985562</v>
      </c>
    </row>
    <row r="49" spans="1:25" x14ac:dyDescent="0.2">
      <c r="A49" s="8">
        <v>23.5</v>
      </c>
      <c r="B49" s="8">
        <v>47</v>
      </c>
      <c r="D49">
        <v>1408.8152585119999</v>
      </c>
      <c r="E49">
        <v>391.02585119797999</v>
      </c>
      <c r="F49">
        <v>141.6645846346</v>
      </c>
      <c r="G49">
        <v>118.35977514053999</v>
      </c>
      <c r="I49" s="9">
        <f t="shared" si="1"/>
        <v>272.66607605744002</v>
      </c>
      <c r="J49" s="9">
        <f t="shared" si="2"/>
        <v>1267.1506738773999</v>
      </c>
      <c r="K49" s="9">
        <f t="shared" si="3"/>
        <v>272.66607605744002</v>
      </c>
      <c r="L49" s="10">
        <f t="shared" si="0"/>
        <v>0.21518046880967936</v>
      </c>
      <c r="M49" s="10">
        <f t="shared" si="4"/>
        <v>0.21669928748778744</v>
      </c>
      <c r="P49" s="8">
        <f t="shared" si="5"/>
        <v>-3.4350282025872856</v>
      </c>
    </row>
    <row r="50" spans="1:25" x14ac:dyDescent="0.2">
      <c r="A50" s="8">
        <v>24</v>
      </c>
      <c r="B50" s="8">
        <v>48</v>
      </c>
      <c r="D50">
        <v>1504.5913370998001</v>
      </c>
      <c r="E50">
        <v>414.50847457626998</v>
      </c>
      <c r="F50">
        <v>141.54778263585001</v>
      </c>
      <c r="G50">
        <v>118.46346033729</v>
      </c>
      <c r="I50" s="9">
        <f t="shared" si="1"/>
        <v>296.04501423898</v>
      </c>
      <c r="J50" s="9">
        <f t="shared" si="2"/>
        <v>1363.0435544639499</v>
      </c>
      <c r="K50" s="9">
        <f t="shared" si="3"/>
        <v>296.04501423898</v>
      </c>
      <c r="L50" s="10">
        <f t="shared" si="0"/>
        <v>0.21719409718745702</v>
      </c>
      <c r="M50" s="10">
        <f t="shared" si="4"/>
        <v>0.21874523115658867</v>
      </c>
      <c r="P50" s="8">
        <f t="shared" si="5"/>
        <v>-2.5233201163850163</v>
      </c>
    </row>
    <row r="51" spans="1:25" x14ac:dyDescent="0.2">
      <c r="A51" s="8">
        <v>24.5</v>
      </c>
      <c r="B51" s="8">
        <v>49</v>
      </c>
      <c r="D51">
        <v>1490.6170747018</v>
      </c>
      <c r="E51">
        <v>412.12178279975001</v>
      </c>
      <c r="F51">
        <v>142.15365396627001</v>
      </c>
      <c r="G51">
        <v>118.57401623985</v>
      </c>
      <c r="I51" s="9">
        <f t="shared" si="1"/>
        <v>293.54776655990003</v>
      </c>
      <c r="J51" s="9">
        <f t="shared" si="2"/>
        <v>1348.46342073553</v>
      </c>
      <c r="K51" s="9">
        <f t="shared" si="3"/>
        <v>293.54776655990003</v>
      </c>
      <c r="L51" s="10">
        <f t="shared" si="0"/>
        <v>0.21769056694158012</v>
      </c>
      <c r="M51" s="10">
        <f t="shared" si="4"/>
        <v>0.21927401620173534</v>
      </c>
      <c r="P51" s="8">
        <f t="shared" si="5"/>
        <v>-2.2876843025184881</v>
      </c>
    </row>
    <row r="52" spans="1:25" x14ac:dyDescent="0.2">
      <c r="A52" s="8">
        <v>25</v>
      </c>
      <c r="B52" s="8">
        <v>50</v>
      </c>
      <c r="D52">
        <v>1520.5778197858001</v>
      </c>
      <c r="E52">
        <v>419.86326402015999</v>
      </c>
      <c r="F52">
        <v>141.54403497813999</v>
      </c>
      <c r="G52">
        <v>118.29668956902</v>
      </c>
      <c r="I52" s="9">
        <f t="shared" si="1"/>
        <v>301.56657445114001</v>
      </c>
      <c r="J52" s="9">
        <f t="shared" si="2"/>
        <v>1379.0337848076601</v>
      </c>
      <c r="K52" s="9">
        <f t="shared" si="3"/>
        <v>301.56657445114001</v>
      </c>
      <c r="L52" s="10">
        <f t="shared" si="0"/>
        <v>0.2186796130547308</v>
      </c>
      <c r="M52" s="10">
        <f t="shared" si="4"/>
        <v>0.22029537760590959</v>
      </c>
      <c r="P52" s="8">
        <f t="shared" si="5"/>
        <v>-1.8325478951382355</v>
      </c>
    </row>
    <row r="53" spans="1:25" x14ac:dyDescent="0.2">
      <c r="A53" s="8">
        <v>25.5</v>
      </c>
      <c r="B53" s="8">
        <v>51</v>
      </c>
      <c r="D53">
        <v>1483.2835538751999</v>
      </c>
      <c r="E53">
        <v>411.86830497795</v>
      </c>
      <c r="F53">
        <v>141.92504684572</v>
      </c>
      <c r="G53">
        <v>118.40537164272</v>
      </c>
      <c r="I53" s="9">
        <f t="shared" si="1"/>
        <v>293.46293333522999</v>
      </c>
      <c r="J53" s="9">
        <f t="shared" si="2"/>
        <v>1341.3585070294798</v>
      </c>
      <c r="K53" s="9">
        <f t="shared" si="3"/>
        <v>293.46293333522999</v>
      </c>
      <c r="L53" s="10">
        <f t="shared" si="0"/>
        <v>0.21878038704590733</v>
      </c>
      <c r="M53" s="10">
        <f t="shared" si="4"/>
        <v>0.22042846688810969</v>
      </c>
      <c r="P53" s="8">
        <f t="shared" si="5"/>
        <v>-1.773240996019267</v>
      </c>
      <c r="S53" s="11"/>
      <c r="U53" s="12"/>
    </row>
    <row r="54" spans="1:25" x14ac:dyDescent="0.2">
      <c r="A54" s="8">
        <v>26</v>
      </c>
      <c r="B54" s="8">
        <v>52</v>
      </c>
      <c r="D54">
        <v>1495.2415730337</v>
      </c>
      <c r="E54">
        <v>416.31710362046999</v>
      </c>
      <c r="F54">
        <v>141.78388507183001</v>
      </c>
      <c r="G54">
        <v>118.75015615241</v>
      </c>
      <c r="I54" s="9">
        <f t="shared" si="1"/>
        <v>297.56694746805999</v>
      </c>
      <c r="J54" s="9">
        <f t="shared" si="2"/>
        <v>1353.4576879618699</v>
      </c>
      <c r="K54" s="9">
        <f t="shared" si="3"/>
        <v>297.56694746805999</v>
      </c>
      <c r="L54" s="10">
        <f t="shared" si="0"/>
        <v>0.21985685264838745</v>
      </c>
      <c r="M54" s="10">
        <f t="shared" si="4"/>
        <v>0.22153724778161338</v>
      </c>
      <c r="P54" s="8">
        <f t="shared" si="5"/>
        <v>-1.2791489436089509</v>
      </c>
      <c r="S54" s="11"/>
    </row>
    <row r="55" spans="1:25" x14ac:dyDescent="0.2">
      <c r="A55" s="8">
        <v>26.5</v>
      </c>
      <c r="B55" s="8">
        <v>53</v>
      </c>
      <c r="D55">
        <v>1500.1546197360001</v>
      </c>
      <c r="E55">
        <v>418.73098680074997</v>
      </c>
      <c r="F55">
        <v>141.29169269207</v>
      </c>
      <c r="G55">
        <v>118.88881948782</v>
      </c>
      <c r="I55" s="9">
        <f t="shared" si="1"/>
        <v>299.84216731292997</v>
      </c>
      <c r="J55" s="9">
        <f t="shared" si="2"/>
        <v>1358.8629270439301</v>
      </c>
      <c r="K55" s="9">
        <f t="shared" si="3"/>
        <v>299.84216731292997</v>
      </c>
      <c r="L55" s="10">
        <f t="shared" si="0"/>
        <v>0.22065666914999774</v>
      </c>
      <c r="M55" s="10">
        <f t="shared" si="4"/>
        <v>0.22236937957424727</v>
      </c>
      <c r="P55" s="8">
        <f t="shared" si="5"/>
        <v>-0.90833654261316765</v>
      </c>
      <c r="S55" s="11"/>
    </row>
    <row r="56" spans="1:25" x14ac:dyDescent="0.2">
      <c r="A56" s="8">
        <v>27</v>
      </c>
      <c r="B56" s="8">
        <v>54</v>
      </c>
      <c r="D56">
        <v>1515.7291011942</v>
      </c>
      <c r="E56">
        <v>424.24324324323999</v>
      </c>
      <c r="F56">
        <v>142.02061211743001</v>
      </c>
      <c r="G56">
        <v>118.5790131168</v>
      </c>
      <c r="I56" s="9">
        <f t="shared" si="1"/>
        <v>305.66423012643997</v>
      </c>
      <c r="J56" s="9">
        <f t="shared" si="2"/>
        <v>1373.7084890767701</v>
      </c>
      <c r="K56" s="9">
        <f t="shared" si="3"/>
        <v>305.66423012643997</v>
      </c>
      <c r="L56" s="10">
        <f t="shared" si="0"/>
        <v>0.22251025785817782</v>
      </c>
      <c r="M56" s="10">
        <f t="shared" si="4"/>
        <v>0.22425528357345093</v>
      </c>
      <c r="P56" s="8">
        <f t="shared" si="5"/>
        <v>-6.7944916932384108E-2</v>
      </c>
      <c r="S56" s="11"/>
    </row>
    <row r="57" spans="1:25" x14ac:dyDescent="0.2">
      <c r="A57" s="8">
        <v>27.5</v>
      </c>
      <c r="B57" s="8">
        <v>55</v>
      </c>
      <c r="D57">
        <v>1517.2168447516999</v>
      </c>
      <c r="E57">
        <v>424.25267127593003</v>
      </c>
      <c r="F57">
        <v>141.99000624609999</v>
      </c>
      <c r="G57">
        <v>118.99875078076001</v>
      </c>
      <c r="I57" s="9">
        <f t="shared" si="1"/>
        <v>305.25392049517001</v>
      </c>
      <c r="J57" s="9">
        <f t="shared" si="2"/>
        <v>1375.2268385056</v>
      </c>
      <c r="K57" s="9">
        <f t="shared" si="3"/>
        <v>305.25392049517001</v>
      </c>
      <c r="L57" s="10">
        <f t="shared" si="0"/>
        <v>0.22196623273210428</v>
      </c>
      <c r="M57" s="10">
        <f t="shared" si="4"/>
        <v>0.22374357373840095</v>
      </c>
      <c r="P57" s="8">
        <f t="shared" si="5"/>
        <v>-0.29597172017161538</v>
      </c>
      <c r="S57" s="11"/>
    </row>
    <row r="58" spans="1:25" x14ac:dyDescent="0.2">
      <c r="A58" s="8">
        <v>28</v>
      </c>
      <c r="B58" s="8">
        <v>56</v>
      </c>
      <c r="D58">
        <v>1519.3877679697</v>
      </c>
      <c r="E58">
        <v>423.09836065574001</v>
      </c>
      <c r="F58">
        <v>142.08369768893999</v>
      </c>
      <c r="G58">
        <v>118.75202998125999</v>
      </c>
      <c r="I58" s="9">
        <f t="shared" si="1"/>
        <v>304.34633067447999</v>
      </c>
      <c r="J58" s="9">
        <f t="shared" si="2"/>
        <v>1377.30407028076</v>
      </c>
      <c r="K58" s="9">
        <f t="shared" si="3"/>
        <v>304.34633067447999</v>
      </c>
      <c r="L58" s="10">
        <f t="shared" si="0"/>
        <v>0.22097250508556163</v>
      </c>
      <c r="M58" s="10">
        <f t="shared" si="4"/>
        <v>0.22278216138288187</v>
      </c>
      <c r="P58" s="8">
        <f t="shared" si="5"/>
        <v>-0.72439378871033333</v>
      </c>
      <c r="S58" s="11"/>
    </row>
    <row r="59" spans="1:25" x14ac:dyDescent="0.2">
      <c r="A59" s="8">
        <v>28.5</v>
      </c>
      <c r="B59" s="8">
        <v>57</v>
      </c>
      <c r="D59">
        <v>1495.5416141236001</v>
      </c>
      <c r="E59">
        <v>414.5605296343</v>
      </c>
      <c r="F59">
        <v>142.00562148656999</v>
      </c>
      <c r="G59">
        <v>118.63460337289</v>
      </c>
      <c r="I59" s="9">
        <f t="shared" si="1"/>
        <v>295.92592626140998</v>
      </c>
      <c r="J59" s="9">
        <f t="shared" si="2"/>
        <v>1353.5359926370302</v>
      </c>
      <c r="K59" s="9">
        <f t="shared" si="3"/>
        <v>295.92592626140998</v>
      </c>
      <c r="L59" s="10">
        <f t="shared" si="0"/>
        <v>0.21863173781206327</v>
      </c>
      <c r="M59" s="10">
        <f t="shared" si="4"/>
        <v>0.22047370940040709</v>
      </c>
      <c r="P59" s="8">
        <f t="shared" si="5"/>
        <v>-1.7530801455859737</v>
      </c>
      <c r="R59" s="1"/>
      <c r="S59" s="11"/>
    </row>
    <row r="60" spans="1:25" x14ac:dyDescent="0.2">
      <c r="A60" s="8">
        <v>29</v>
      </c>
      <c r="B60" s="8">
        <v>58</v>
      </c>
      <c r="D60">
        <v>1464.4489281210999</v>
      </c>
      <c r="E60">
        <v>407.08701134930999</v>
      </c>
      <c r="F60">
        <v>141.77826358525999</v>
      </c>
      <c r="G60">
        <v>118.48282323548</v>
      </c>
      <c r="I60" s="9">
        <f t="shared" si="1"/>
        <v>288.60418811382999</v>
      </c>
      <c r="J60" s="9">
        <f t="shared" si="2"/>
        <v>1322.6706645358399</v>
      </c>
      <c r="K60" s="9">
        <f t="shared" si="3"/>
        <v>288.60418811382999</v>
      </c>
      <c r="L60" s="10">
        <f t="shared" si="0"/>
        <v>0.21819807141115422</v>
      </c>
      <c r="M60" s="10">
        <f t="shared" si="4"/>
        <v>0.2200723582905216</v>
      </c>
      <c r="P60" s="8">
        <f t="shared" si="5"/>
        <v>-1.9319291812992831</v>
      </c>
      <c r="S60" s="11"/>
    </row>
    <row r="61" spans="1:25" x14ac:dyDescent="0.2">
      <c r="A61" s="8">
        <v>29.5</v>
      </c>
      <c r="B61" s="8">
        <v>59</v>
      </c>
      <c r="C61" s="2"/>
      <c r="D61">
        <v>1517.65625</v>
      </c>
      <c r="E61">
        <v>422.270625</v>
      </c>
      <c r="F61">
        <v>141.83885071829999</v>
      </c>
      <c r="G61">
        <v>118.79325421612</v>
      </c>
      <c r="I61" s="9">
        <f t="shared" si="1"/>
        <v>303.47737078388002</v>
      </c>
      <c r="J61" s="9">
        <f t="shared" si="2"/>
        <v>1375.8173992817001</v>
      </c>
      <c r="K61" s="9">
        <f t="shared" si="3"/>
        <v>303.47737078388002</v>
      </c>
      <c r="L61" s="10">
        <f t="shared" si="0"/>
        <v>0.22057968662289223</v>
      </c>
      <c r="M61" s="10">
        <f t="shared" si="4"/>
        <v>0.22248628879328322</v>
      </c>
      <c r="P61" s="8">
        <f t="shared" si="5"/>
        <v>-0.8562397610780611</v>
      </c>
      <c r="S61" s="11"/>
    </row>
    <row r="62" spans="1:25" x14ac:dyDescent="0.2">
      <c r="A62" s="8">
        <v>30</v>
      </c>
      <c r="B62" s="8">
        <v>60</v>
      </c>
      <c r="D62">
        <v>1531.905</v>
      </c>
      <c r="E62">
        <v>426.495</v>
      </c>
      <c r="F62">
        <v>142.00249843847999</v>
      </c>
      <c r="G62">
        <v>118.90755777638999</v>
      </c>
      <c r="I62" s="9">
        <f t="shared" si="1"/>
        <v>307.58744222361003</v>
      </c>
      <c r="J62" s="9">
        <f t="shared" si="2"/>
        <v>1389.90250156152</v>
      </c>
      <c r="K62" s="9">
        <f t="shared" si="3"/>
        <v>307.58744222361003</v>
      </c>
      <c r="L62" s="10">
        <f t="shared" si="0"/>
        <v>0.22130145235226456</v>
      </c>
      <c r="M62" s="10">
        <f t="shared" si="4"/>
        <v>0.22324036981367912</v>
      </c>
      <c r="P62" s="8">
        <f t="shared" si="5"/>
        <v>-0.5202081418158252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1536.94875</v>
      </c>
      <c r="E63">
        <v>429.05500000000001</v>
      </c>
      <c r="F63">
        <v>142.43035602748</v>
      </c>
      <c r="G63">
        <v>118.95627732667</v>
      </c>
      <c r="I63" s="9">
        <f t="shared" si="1"/>
        <v>310.09872267333003</v>
      </c>
      <c r="J63" s="9">
        <f t="shared" si="2"/>
        <v>1394.51839397252</v>
      </c>
      <c r="K63" s="9">
        <f t="shared" si="3"/>
        <v>310.09872267333003</v>
      </c>
      <c r="L63" s="10">
        <f t="shared" si="0"/>
        <v>0.22236976149877929</v>
      </c>
      <c r="M63" s="10">
        <f t="shared" si="4"/>
        <v>0.22434099425121742</v>
      </c>
      <c r="P63" s="8">
        <f t="shared" si="5"/>
        <v>-2.9750748058037901E-2</v>
      </c>
    </row>
    <row r="64" spans="1:25" x14ac:dyDescent="0.2">
      <c r="A64" s="8">
        <v>31</v>
      </c>
      <c r="B64" s="8">
        <v>62</v>
      </c>
      <c r="D64">
        <v>1496.8587500000001</v>
      </c>
      <c r="E64">
        <v>415.263125</v>
      </c>
      <c r="F64">
        <v>142.09244222360999</v>
      </c>
      <c r="G64">
        <v>118.98188632105</v>
      </c>
      <c r="I64" s="9">
        <f t="shared" si="1"/>
        <v>296.28123867894999</v>
      </c>
      <c r="J64" s="9">
        <f t="shared" si="2"/>
        <v>1354.76630777639</v>
      </c>
      <c r="K64" s="9">
        <f t="shared" si="3"/>
        <v>296.28123867894999</v>
      </c>
      <c r="L64" s="10">
        <f t="shared" si="0"/>
        <v>0.2186954583814853</v>
      </c>
      <c r="M64" s="10">
        <f t="shared" si="4"/>
        <v>0.220699006424947</v>
      </c>
      <c r="P64" s="8">
        <f t="shared" si="5"/>
        <v>-1.6526838726080868</v>
      </c>
      <c r="U64" s="8">
        <v>30.5</v>
      </c>
      <c r="V64" s="10">
        <f>L62</f>
        <v>0.22130145235226456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1461.5318749999999</v>
      </c>
      <c r="E65">
        <v>405.88187499999998</v>
      </c>
      <c r="F65">
        <v>142.15615240475</v>
      </c>
      <c r="G65">
        <v>118.40849469082001</v>
      </c>
      <c r="I65" s="9">
        <f t="shared" si="1"/>
        <v>287.47338030917996</v>
      </c>
      <c r="J65" s="9">
        <f t="shared" si="2"/>
        <v>1319.37572259525</v>
      </c>
      <c r="K65" s="9">
        <f t="shared" si="3"/>
        <v>287.47338030917996</v>
      </c>
      <c r="L65" s="10">
        <f t="shared" si="0"/>
        <v>0.21788591027255796</v>
      </c>
      <c r="M65" s="10">
        <f t="shared" si="4"/>
        <v>0.21992177360704324</v>
      </c>
      <c r="P65" s="8">
        <f t="shared" si="5"/>
        <v>-1.9990323355449116</v>
      </c>
      <c r="U65" s="8">
        <v>31</v>
      </c>
      <c r="V65" s="10">
        <f t="shared" ref="V65:V83" si="6">L63</f>
        <v>0.22236976149877929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1482.5318749999999</v>
      </c>
      <c r="E66">
        <v>411.09</v>
      </c>
      <c r="F66">
        <v>142.33354153654</v>
      </c>
      <c r="G66">
        <v>118.81386633354001</v>
      </c>
      <c r="I66" s="9">
        <f t="shared" si="1"/>
        <v>292.27613366645994</v>
      </c>
      <c r="J66" s="9">
        <f t="shared" si="2"/>
        <v>1340.1983334634599</v>
      </c>
      <c r="K66" s="9">
        <f t="shared" si="3"/>
        <v>292.27613366645994</v>
      </c>
      <c r="L66" s="10">
        <f t="shared" ref="L66:L129" si="7">K66/J66</f>
        <v>0.21808423900299437</v>
      </c>
      <c r="M66" s="10">
        <f t="shared" si="4"/>
        <v>0.22015241762850321</v>
      </c>
      <c r="P66" s="8">
        <f t="shared" si="5"/>
        <v>-1.8962533477331518</v>
      </c>
      <c r="U66" s="8">
        <v>31.5</v>
      </c>
      <c r="V66" s="10">
        <f t="shared" si="6"/>
        <v>0.2186954583814853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1519.5059337913999</v>
      </c>
      <c r="E67">
        <v>421.32292317302</v>
      </c>
      <c r="F67">
        <v>142.16489693941</v>
      </c>
      <c r="G67">
        <v>119.05746408495</v>
      </c>
      <c r="I67" s="9">
        <f t="shared" ref="I67:I130" si="8">E67-G67</f>
        <v>302.26545908806997</v>
      </c>
      <c r="J67" s="9">
        <f t="shared" ref="J67:J130" si="9">D67-F67</f>
        <v>1377.3410368519899</v>
      </c>
      <c r="K67" s="9">
        <f t="shared" ref="K67:K130" si="10">I67*1</f>
        <v>302.26545908806997</v>
      </c>
      <c r="L67" s="10">
        <f t="shared" si="7"/>
        <v>0.21945578545958305</v>
      </c>
      <c r="M67" s="10">
        <f t="shared" ref="M67:M130" si="11">L67+ABS($N$2)*A67</f>
        <v>0.22155627937611549</v>
      </c>
      <c r="P67" s="8">
        <f t="shared" ref="P67:P130" si="12">(M67-$O$2)/$O$2*100</f>
        <v>-1.2706681340610178</v>
      </c>
      <c r="U67" s="8">
        <v>32</v>
      </c>
      <c r="V67" s="10">
        <f t="shared" si="6"/>
        <v>0.21788591027255796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1532.7757651468</v>
      </c>
      <c r="E68">
        <v>425.73454091193003</v>
      </c>
      <c r="F68">
        <v>142.00249843847999</v>
      </c>
      <c r="G68">
        <v>118.69019362898</v>
      </c>
      <c r="I68" s="9">
        <f t="shared" si="8"/>
        <v>307.04434728295001</v>
      </c>
      <c r="J68" s="9">
        <f t="shared" si="9"/>
        <v>1390.7732667083201</v>
      </c>
      <c r="K68" s="9">
        <f t="shared" si="10"/>
        <v>307.04434728295001</v>
      </c>
      <c r="L68" s="10">
        <f t="shared" si="7"/>
        <v>0.22077239664640813</v>
      </c>
      <c r="M68" s="10">
        <f t="shared" si="11"/>
        <v>0.22290520585396414</v>
      </c>
      <c r="P68" s="8">
        <f t="shared" si="12"/>
        <v>-0.6695630321460927</v>
      </c>
      <c r="U68" s="8">
        <v>32.5</v>
      </c>
      <c r="V68" s="10">
        <f t="shared" si="6"/>
        <v>0.21808423900299437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1533.6402248595</v>
      </c>
      <c r="E69">
        <v>428.20049968770002</v>
      </c>
      <c r="F69">
        <v>141.93941286696</v>
      </c>
      <c r="G69">
        <v>118.67582760774999</v>
      </c>
      <c r="I69" s="9">
        <f t="shared" si="8"/>
        <v>309.52467207995005</v>
      </c>
      <c r="J69" s="9">
        <f t="shared" si="9"/>
        <v>1391.7008119925399</v>
      </c>
      <c r="K69" s="9">
        <f t="shared" si="10"/>
        <v>309.52467207995005</v>
      </c>
      <c r="L69" s="10">
        <f t="shared" si="7"/>
        <v>0.2224074811286445</v>
      </c>
      <c r="M69" s="10">
        <f t="shared" si="11"/>
        <v>0.22457260562722409</v>
      </c>
      <c r="P69" s="8">
        <f t="shared" si="12"/>
        <v>7.3459309766004621E-2</v>
      </c>
      <c r="U69" s="8">
        <v>33</v>
      </c>
      <c r="V69" s="10">
        <f t="shared" si="6"/>
        <v>0.21945578545958305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1524.4489414694999</v>
      </c>
      <c r="E70">
        <v>423.65504358654999</v>
      </c>
      <c r="F70">
        <v>142.05559025609</v>
      </c>
      <c r="G70">
        <v>118.75515302936</v>
      </c>
      <c r="I70" s="9">
        <f t="shared" si="8"/>
        <v>304.89989055719002</v>
      </c>
      <c r="J70" s="9">
        <f t="shared" si="9"/>
        <v>1382.3933512134099</v>
      </c>
      <c r="K70" s="9">
        <f t="shared" si="10"/>
        <v>304.89989055719002</v>
      </c>
      <c r="L70" s="10">
        <f t="shared" si="7"/>
        <v>0.22055943070730269</v>
      </c>
      <c r="M70" s="10">
        <f t="shared" si="11"/>
        <v>0.22275687049690585</v>
      </c>
      <c r="P70" s="8">
        <f t="shared" si="12"/>
        <v>-0.73566384741389113</v>
      </c>
      <c r="U70" s="8">
        <v>33.5</v>
      </c>
      <c r="V70" s="10">
        <f t="shared" si="6"/>
        <v>0.22077239664640813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1537.4769613947999</v>
      </c>
      <c r="E71">
        <v>428.86674968866998</v>
      </c>
      <c r="F71">
        <v>141.76077451593</v>
      </c>
      <c r="G71">
        <v>118.97813866334</v>
      </c>
      <c r="I71" s="9">
        <f t="shared" si="8"/>
        <v>309.88861102532996</v>
      </c>
      <c r="J71" s="9">
        <f t="shared" si="9"/>
        <v>1395.7161868788698</v>
      </c>
      <c r="K71" s="9">
        <f t="shared" si="10"/>
        <v>309.88861102532996</v>
      </c>
      <c r="L71" s="10">
        <f t="shared" si="7"/>
        <v>0.22202838509619169</v>
      </c>
      <c r="M71" s="10">
        <f t="shared" si="11"/>
        <v>0.22425814017681842</v>
      </c>
      <c r="P71" s="8">
        <f t="shared" si="12"/>
        <v>-6.6671964783735951E-2</v>
      </c>
      <c r="U71" s="8">
        <v>34</v>
      </c>
      <c r="V71" s="10">
        <f t="shared" si="6"/>
        <v>0.2224074811286445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1533.6768941765999</v>
      </c>
      <c r="E72">
        <v>428.02254226675001</v>
      </c>
      <c r="F72">
        <v>141.98938163648</v>
      </c>
      <c r="G72">
        <v>118.71330418488</v>
      </c>
      <c r="I72" s="9">
        <f t="shared" si="8"/>
        <v>309.30923808187003</v>
      </c>
      <c r="J72" s="9">
        <f t="shared" si="9"/>
        <v>1391.68751254012</v>
      </c>
      <c r="K72" s="9">
        <f t="shared" si="10"/>
        <v>309.30923808187003</v>
      </c>
      <c r="L72" s="10">
        <f t="shared" si="7"/>
        <v>0.22225480597818698</v>
      </c>
      <c r="M72" s="10">
        <f t="shared" si="11"/>
        <v>0.22451687634983727</v>
      </c>
      <c r="P72" s="8">
        <f t="shared" si="12"/>
        <v>4.8625374400845627E-2</v>
      </c>
      <c r="U72" s="8">
        <v>34.5</v>
      </c>
      <c r="V72" s="10">
        <f t="shared" si="6"/>
        <v>0.22055943070730269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1511.6424546024</v>
      </c>
      <c r="E73">
        <v>421.56355666874998</v>
      </c>
      <c r="F73">
        <v>142.28357276701999</v>
      </c>
      <c r="G73">
        <v>118.9244222361</v>
      </c>
      <c r="I73" s="9">
        <f t="shared" si="8"/>
        <v>302.63913443265</v>
      </c>
      <c r="J73" s="9">
        <f t="shared" si="9"/>
        <v>1369.3588818353801</v>
      </c>
      <c r="K73" s="9">
        <f t="shared" si="10"/>
        <v>302.63913443265</v>
      </c>
      <c r="L73" s="10">
        <f t="shared" si="7"/>
        <v>0.22100790263763179</v>
      </c>
      <c r="M73" s="10">
        <f t="shared" si="11"/>
        <v>0.22330228830030566</v>
      </c>
      <c r="P73" s="8">
        <f t="shared" si="12"/>
        <v>-0.4926161871576118</v>
      </c>
      <c r="U73" s="8">
        <v>35</v>
      </c>
      <c r="V73" s="10">
        <f t="shared" si="6"/>
        <v>0.22202838509619169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1557.8321853474999</v>
      </c>
      <c r="E74">
        <v>436.31496556042998</v>
      </c>
      <c r="F74">
        <v>142.31168019987999</v>
      </c>
      <c r="G74">
        <v>119.29793878826</v>
      </c>
      <c r="I74" s="9">
        <f t="shared" si="8"/>
        <v>317.01702677216997</v>
      </c>
      <c r="J74" s="9">
        <f t="shared" si="9"/>
        <v>1415.52050514762</v>
      </c>
      <c r="K74" s="9">
        <f t="shared" si="10"/>
        <v>317.01702677216997</v>
      </c>
      <c r="L74" s="10">
        <f t="shared" si="7"/>
        <v>0.22395791909712343</v>
      </c>
      <c r="M74" s="10">
        <f t="shared" si="11"/>
        <v>0.22628462005082089</v>
      </c>
      <c r="P74" s="8">
        <f t="shared" si="12"/>
        <v>0.83636271590067679</v>
      </c>
      <c r="U74" s="8">
        <v>35.5</v>
      </c>
      <c r="V74" s="10">
        <f t="shared" si="6"/>
        <v>0.22225480597818698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1505.2003757044999</v>
      </c>
      <c r="E75">
        <v>422.16656230432</v>
      </c>
      <c r="F75">
        <v>142.91505309182</v>
      </c>
      <c r="G75">
        <v>118.78450968145</v>
      </c>
      <c r="I75" s="9">
        <f t="shared" si="8"/>
        <v>303.38205262286999</v>
      </c>
      <c r="J75" s="9">
        <f t="shared" si="9"/>
        <v>1362.2853226126799</v>
      </c>
      <c r="K75" s="9">
        <f t="shared" si="10"/>
        <v>303.38205262286999</v>
      </c>
      <c r="L75" s="10">
        <f t="shared" si="7"/>
        <v>0.22270081574469586</v>
      </c>
      <c r="M75" s="10">
        <f t="shared" si="11"/>
        <v>0.2250598319894169</v>
      </c>
      <c r="P75" s="8">
        <f t="shared" si="12"/>
        <v>0.29057585163168248</v>
      </c>
      <c r="U75" s="8">
        <v>36</v>
      </c>
      <c r="V75" s="10">
        <f t="shared" si="6"/>
        <v>0.22100790263763179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1539.6612398247</v>
      </c>
      <c r="E76">
        <v>432.21289918597</v>
      </c>
      <c r="F76">
        <v>142.01061836352</v>
      </c>
      <c r="G76">
        <v>118.48282323548</v>
      </c>
      <c r="I76" s="9">
        <f t="shared" si="8"/>
        <v>313.73007595049</v>
      </c>
      <c r="J76" s="9">
        <f t="shared" si="9"/>
        <v>1397.65062146118</v>
      </c>
      <c r="K76" s="9">
        <f t="shared" si="10"/>
        <v>313.73007595049</v>
      </c>
      <c r="L76" s="10">
        <f t="shared" si="7"/>
        <v>0.224469600008119</v>
      </c>
      <c r="M76" s="10">
        <f t="shared" si="11"/>
        <v>0.22686093154386361</v>
      </c>
      <c r="P76" s="8">
        <f t="shared" si="12"/>
        <v>1.0931771416302991</v>
      </c>
      <c r="U76" s="8">
        <v>36.5</v>
      </c>
      <c r="V76" s="10">
        <f t="shared" si="6"/>
        <v>0.22395791909712343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1556.3957420162999</v>
      </c>
      <c r="E77">
        <v>436.56543519098</v>
      </c>
      <c r="F77">
        <v>142.63772642098999</v>
      </c>
      <c r="G77">
        <v>118.82823235478</v>
      </c>
      <c r="I77" s="9">
        <f t="shared" si="8"/>
        <v>317.73720283620003</v>
      </c>
      <c r="J77" s="9">
        <f t="shared" si="9"/>
        <v>1413.7580155953099</v>
      </c>
      <c r="K77" s="9">
        <f t="shared" si="10"/>
        <v>317.73720283620003</v>
      </c>
      <c r="L77" s="10">
        <f t="shared" si="7"/>
        <v>0.22474652616021151</v>
      </c>
      <c r="M77" s="10">
        <f t="shared" si="11"/>
        <v>0.2271701729869797</v>
      </c>
      <c r="P77" s="8">
        <f t="shared" si="12"/>
        <v>1.2309805076648048</v>
      </c>
      <c r="U77" s="8">
        <v>37</v>
      </c>
      <c r="V77" s="10">
        <f t="shared" si="6"/>
        <v>0.22270081574469586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1536.6418284283</v>
      </c>
      <c r="E78">
        <v>434.06199123355998</v>
      </c>
      <c r="F78">
        <v>142.90318550905999</v>
      </c>
      <c r="G78">
        <v>118.91630231105999</v>
      </c>
      <c r="I78" s="9">
        <f t="shared" si="8"/>
        <v>315.14568892249997</v>
      </c>
      <c r="J78" s="9">
        <f t="shared" si="9"/>
        <v>1393.73864291924</v>
      </c>
      <c r="K78" s="9">
        <f t="shared" si="10"/>
        <v>315.14568892249997</v>
      </c>
      <c r="L78" s="10">
        <f t="shared" si="7"/>
        <v>0.22611534129699887</v>
      </c>
      <c r="M78" s="10">
        <f t="shared" si="11"/>
        <v>0.22857130341479062</v>
      </c>
      <c r="P78" s="8">
        <f t="shared" si="12"/>
        <v>1.8553485977245563</v>
      </c>
      <c r="U78" s="8">
        <v>37.5</v>
      </c>
      <c r="V78" s="10">
        <f t="shared" si="6"/>
        <v>0.224469600008119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1540.7765293383</v>
      </c>
      <c r="E79">
        <v>432.52247191011003</v>
      </c>
      <c r="F79">
        <v>142.56527170518001</v>
      </c>
      <c r="G79">
        <v>118.64459712679999</v>
      </c>
      <c r="I79" s="9">
        <f t="shared" si="8"/>
        <v>313.87787478331006</v>
      </c>
      <c r="J79" s="9">
        <f t="shared" si="9"/>
        <v>1398.2112576331199</v>
      </c>
      <c r="K79" s="9">
        <f t="shared" si="10"/>
        <v>313.87787478331006</v>
      </c>
      <c r="L79" s="10">
        <f t="shared" si="7"/>
        <v>0.22448530082259519</v>
      </c>
      <c r="M79" s="10">
        <f t="shared" si="11"/>
        <v>0.22697357823141051</v>
      </c>
      <c r="P79" s="8">
        <f t="shared" si="12"/>
        <v>1.1433744649909106</v>
      </c>
      <c r="U79" s="8">
        <v>38</v>
      </c>
      <c r="V79" s="10">
        <f t="shared" si="6"/>
        <v>0.22474652616021151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1562.0942571784999</v>
      </c>
      <c r="E80">
        <v>437.36392009987998</v>
      </c>
      <c r="F80">
        <v>142.44034978139001</v>
      </c>
      <c r="G80">
        <v>118.44159900063001</v>
      </c>
      <c r="I80" s="9">
        <f t="shared" si="8"/>
        <v>318.92232109924998</v>
      </c>
      <c r="J80" s="9">
        <f t="shared" si="9"/>
        <v>1419.6539073971098</v>
      </c>
      <c r="K80" s="9">
        <f t="shared" si="10"/>
        <v>318.92232109924998</v>
      </c>
      <c r="L80" s="10">
        <f t="shared" si="7"/>
        <v>0.22464793668196489</v>
      </c>
      <c r="M80" s="10">
        <f t="shared" si="11"/>
        <v>0.22716852938180382</v>
      </c>
      <c r="P80" s="8">
        <f t="shared" si="12"/>
        <v>1.2302480886093725</v>
      </c>
      <c r="U80" s="8">
        <v>38.5</v>
      </c>
      <c r="V80" s="10">
        <f t="shared" si="6"/>
        <v>0.22611534129699887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1566.049937578</v>
      </c>
      <c r="E81">
        <v>439.70599250935999</v>
      </c>
      <c r="F81">
        <v>142.80199875078</v>
      </c>
      <c r="G81">
        <v>119.06183635228</v>
      </c>
      <c r="I81" s="9">
        <f t="shared" si="8"/>
        <v>320.64415615707998</v>
      </c>
      <c r="J81" s="9">
        <f t="shared" si="9"/>
        <v>1423.24793882722</v>
      </c>
      <c r="K81" s="9">
        <f t="shared" si="10"/>
        <v>320.64415615707998</v>
      </c>
      <c r="L81" s="10">
        <f t="shared" si="7"/>
        <v>0.22529044125740741</v>
      </c>
      <c r="M81" s="10">
        <f t="shared" si="11"/>
        <v>0.22784334924826991</v>
      </c>
      <c r="P81" s="8">
        <f t="shared" si="12"/>
        <v>1.5309595590026654</v>
      </c>
      <c r="U81" s="8">
        <v>39</v>
      </c>
      <c r="V81" s="10">
        <f t="shared" si="6"/>
        <v>0.22448530082259519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1545.0093691443001</v>
      </c>
      <c r="E82">
        <v>431.83447845096998</v>
      </c>
      <c r="F82">
        <v>142.21798875703001</v>
      </c>
      <c r="G82">
        <v>119.08307307933001</v>
      </c>
      <c r="H82" s="13"/>
      <c r="I82" s="14">
        <f t="shared" si="8"/>
        <v>312.75140537163998</v>
      </c>
      <c r="J82" s="14">
        <f t="shared" si="9"/>
        <v>1402.79138038727</v>
      </c>
      <c r="K82" s="9">
        <f t="shared" si="10"/>
        <v>312.75140537163998</v>
      </c>
      <c r="L82" s="15">
        <f t="shared" si="7"/>
        <v>0.22294933497901762</v>
      </c>
      <c r="M82" s="15">
        <f t="shared" si="11"/>
        <v>0.22553455826090368</v>
      </c>
      <c r="N82" s="13"/>
      <c r="O82" s="13"/>
      <c r="P82" s="13">
        <f t="shared" si="12"/>
        <v>0.50212213565071007</v>
      </c>
      <c r="U82" s="8">
        <v>39.5</v>
      </c>
      <c r="V82" s="10">
        <f t="shared" si="6"/>
        <v>0.22464793668196489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1614.5352904434999</v>
      </c>
      <c r="E83">
        <v>446.77638975640002</v>
      </c>
      <c r="F83">
        <v>142.65396627108001</v>
      </c>
      <c r="G83">
        <v>118.9113054341</v>
      </c>
      <c r="I83" s="9">
        <f t="shared" si="8"/>
        <v>327.86508432230005</v>
      </c>
      <c r="J83" s="9">
        <f t="shared" si="9"/>
        <v>1471.8813241724199</v>
      </c>
      <c r="K83" s="9">
        <f t="shared" si="10"/>
        <v>327.86508432230005</v>
      </c>
      <c r="L83" s="10">
        <f t="shared" si="7"/>
        <v>0.2227523910643037</v>
      </c>
      <c r="M83" s="10">
        <f t="shared" si="11"/>
        <v>0.22536992963721333</v>
      </c>
      <c r="P83" s="8">
        <f t="shared" si="12"/>
        <v>0.42876075736467678</v>
      </c>
      <c r="U83" s="8">
        <v>40</v>
      </c>
      <c r="V83" s="10">
        <f t="shared" si="6"/>
        <v>0.22529044125740741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1542.3884349466</v>
      </c>
      <c r="E84">
        <v>433.74921433061002</v>
      </c>
      <c r="F84">
        <v>142.57276702061</v>
      </c>
      <c r="G84">
        <v>119.1086820737</v>
      </c>
      <c r="I84" s="9">
        <f t="shared" si="8"/>
        <v>314.64053225691003</v>
      </c>
      <c r="J84" s="9">
        <f t="shared" si="9"/>
        <v>1399.8156679259901</v>
      </c>
      <c r="K84" s="9">
        <f t="shared" si="10"/>
        <v>314.64053225691003</v>
      </c>
      <c r="L84" s="10">
        <f t="shared" si="7"/>
        <v>0.22477283221375222</v>
      </c>
      <c r="M84" s="10">
        <f t="shared" si="11"/>
        <v>0.22742268607768543</v>
      </c>
      <c r="P84" s="8">
        <f t="shared" si="12"/>
        <v>1.343504733125632</v>
      </c>
      <c r="U84" s="8">
        <v>150.5</v>
      </c>
      <c r="V84" s="10">
        <f>L302</f>
        <v>0.22507137214025524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1542.665</v>
      </c>
      <c r="E85">
        <v>435.10187500000001</v>
      </c>
      <c r="F85">
        <v>141.92692067458</v>
      </c>
      <c r="G85">
        <v>118.83198001249001</v>
      </c>
      <c r="I85" s="9">
        <f t="shared" si="8"/>
        <v>316.26989498750999</v>
      </c>
      <c r="J85" s="9">
        <f t="shared" si="9"/>
        <v>1400.7380793254199</v>
      </c>
      <c r="K85" s="9">
        <f t="shared" si="10"/>
        <v>316.26989498750999</v>
      </c>
      <c r="L85" s="10">
        <f t="shared" si="7"/>
        <v>0.22578803250627846</v>
      </c>
      <c r="M85" s="10">
        <f t="shared" si="11"/>
        <v>0.22847020166123524</v>
      </c>
      <c r="P85" s="8">
        <f t="shared" si="12"/>
        <v>1.8102958977645065</v>
      </c>
      <c r="U85" s="8">
        <v>151</v>
      </c>
      <c r="V85" s="10">
        <f t="shared" ref="V85:V103" si="13">L303</f>
        <v>0.22816635998768289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1514.410625</v>
      </c>
      <c r="E86">
        <v>427.15</v>
      </c>
      <c r="F86">
        <v>142.24422236102001</v>
      </c>
      <c r="G86">
        <v>118.97314178638</v>
      </c>
      <c r="I86" s="9">
        <f t="shared" si="8"/>
        <v>308.17685821361999</v>
      </c>
      <c r="J86" s="9">
        <f t="shared" si="9"/>
        <v>1372.1664026389799</v>
      </c>
      <c r="K86" s="9">
        <f t="shared" si="10"/>
        <v>308.17685821361999</v>
      </c>
      <c r="L86" s="10">
        <f t="shared" si="7"/>
        <v>0.2245914618088066</v>
      </c>
      <c r="M86" s="10">
        <f t="shared" si="11"/>
        <v>0.22730594625478698</v>
      </c>
      <c r="P86" s="8">
        <f t="shared" si="12"/>
        <v>1.2914834374558946</v>
      </c>
      <c r="U86" s="8">
        <v>151.5</v>
      </c>
      <c r="V86" s="10">
        <f t="shared" si="13"/>
        <v>0.22665671260762604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1584.1102803737999</v>
      </c>
      <c r="E87">
        <v>444.25669781931998</v>
      </c>
      <c r="F87">
        <v>142.63272954403999</v>
      </c>
      <c r="G87">
        <v>118.75140537164</v>
      </c>
      <c r="I87" s="9">
        <f t="shared" si="8"/>
        <v>325.50529244767995</v>
      </c>
      <c r="J87" s="9">
        <f t="shared" si="9"/>
        <v>1441.4775508297598</v>
      </c>
      <c r="K87" s="9">
        <f t="shared" si="10"/>
        <v>325.50529244767995</v>
      </c>
      <c r="L87" s="10">
        <f t="shared" si="7"/>
        <v>0.22581363980334543</v>
      </c>
      <c r="M87" s="10">
        <f t="shared" si="11"/>
        <v>0.22856043954034938</v>
      </c>
      <c r="P87" s="8">
        <f t="shared" si="12"/>
        <v>1.8505074663060315</v>
      </c>
      <c r="U87" s="8">
        <v>152</v>
      </c>
      <c r="V87" s="10">
        <f t="shared" si="13"/>
        <v>0.22968143388460818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1549.9906542056001</v>
      </c>
      <c r="E88">
        <v>438.12149532709998</v>
      </c>
      <c r="F88">
        <v>142.46033728918999</v>
      </c>
      <c r="G88">
        <v>118.44159900063001</v>
      </c>
      <c r="I88" s="9">
        <f t="shared" si="8"/>
        <v>319.67989632646999</v>
      </c>
      <c r="J88" s="9">
        <f t="shared" si="9"/>
        <v>1407.5303169164101</v>
      </c>
      <c r="K88" s="9">
        <f t="shared" si="10"/>
        <v>319.67989632646999</v>
      </c>
      <c r="L88" s="10">
        <f t="shared" si="7"/>
        <v>0.22712114437919778</v>
      </c>
      <c r="M88" s="10">
        <f t="shared" si="11"/>
        <v>0.2299002594072253</v>
      </c>
      <c r="P88" s="8">
        <f t="shared" si="12"/>
        <v>2.4475545039700495</v>
      </c>
      <c r="U88" s="8">
        <v>152.5</v>
      </c>
      <c r="V88" s="10">
        <f t="shared" si="13"/>
        <v>0.22972506122090691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1542.3395638628999</v>
      </c>
      <c r="E89">
        <v>436.48785046729</v>
      </c>
      <c r="F89">
        <v>142.61024359775001</v>
      </c>
      <c r="G89">
        <v>118.56027482823001</v>
      </c>
      <c r="I89" s="9">
        <f t="shared" si="8"/>
        <v>317.92757563906002</v>
      </c>
      <c r="J89" s="9">
        <f t="shared" si="9"/>
        <v>1399.7293202651499</v>
      </c>
      <c r="K89" s="9">
        <f t="shared" si="10"/>
        <v>317.92757563906002</v>
      </c>
      <c r="L89" s="10">
        <f t="shared" si="7"/>
        <v>0.22713504035111245</v>
      </c>
      <c r="M89" s="10">
        <f t="shared" si="11"/>
        <v>0.22994647067016355</v>
      </c>
      <c r="P89" s="8">
        <f t="shared" si="12"/>
        <v>2.4681470465394657</v>
      </c>
      <c r="U89" s="8">
        <v>153</v>
      </c>
      <c r="V89" s="10">
        <f t="shared" si="13"/>
        <v>0.22872078538698601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1551.5775700935001</v>
      </c>
      <c r="E90">
        <v>439.25358255451999</v>
      </c>
      <c r="F90">
        <v>142.82386008744999</v>
      </c>
      <c r="G90">
        <v>119.16052467208</v>
      </c>
      <c r="I90" s="9">
        <f t="shared" si="8"/>
        <v>320.09305788244001</v>
      </c>
      <c r="J90" s="9">
        <f t="shared" si="9"/>
        <v>1408.7537100060501</v>
      </c>
      <c r="K90" s="9">
        <f t="shared" si="10"/>
        <v>320.09305788244001</v>
      </c>
      <c r="L90" s="10">
        <f t="shared" si="7"/>
        <v>0.22721718893011136</v>
      </c>
      <c r="M90" s="10">
        <f t="shared" si="11"/>
        <v>0.23006093454018603</v>
      </c>
      <c r="P90" s="8">
        <f t="shared" si="12"/>
        <v>2.5191541380194802</v>
      </c>
      <c r="U90" s="8">
        <v>153.5</v>
      </c>
      <c r="V90" s="10">
        <f t="shared" si="13"/>
        <v>0.22989326512231487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1558.3456712673001</v>
      </c>
      <c r="E91">
        <v>439.38770388959</v>
      </c>
      <c r="F91">
        <v>142.64959400375</v>
      </c>
      <c r="G91">
        <v>118.63772642099001</v>
      </c>
      <c r="I91" s="9">
        <f t="shared" si="8"/>
        <v>320.74997746859998</v>
      </c>
      <c r="J91" s="9">
        <f t="shared" si="9"/>
        <v>1415.69607726355</v>
      </c>
      <c r="K91" s="9">
        <f t="shared" si="10"/>
        <v>320.74997746859998</v>
      </c>
      <c r="L91" s="10">
        <f t="shared" si="7"/>
        <v>0.22656697480478238</v>
      </c>
      <c r="M91" s="10">
        <f t="shared" si="11"/>
        <v>0.22944303570588062</v>
      </c>
      <c r="P91" s="8">
        <f t="shared" si="12"/>
        <v>2.2438076696481035</v>
      </c>
      <c r="U91" s="8">
        <v>154</v>
      </c>
      <c r="V91" s="10">
        <f t="shared" si="13"/>
        <v>0.22984611294052607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1557.643663739</v>
      </c>
      <c r="E92">
        <v>442.07779171894998</v>
      </c>
      <c r="F92">
        <v>142.73828856963999</v>
      </c>
      <c r="G92">
        <v>118.90630855715</v>
      </c>
      <c r="I92" s="9">
        <f t="shared" si="8"/>
        <v>323.17148316179998</v>
      </c>
      <c r="J92" s="9">
        <f t="shared" si="9"/>
        <v>1414.90537516936</v>
      </c>
      <c r="K92" s="9">
        <f t="shared" si="10"/>
        <v>323.17148316179998</v>
      </c>
      <c r="L92" s="10">
        <f t="shared" si="7"/>
        <v>0.22840501480398809</v>
      </c>
      <c r="M92" s="10">
        <f t="shared" si="11"/>
        <v>0.23131339099610992</v>
      </c>
      <c r="P92" s="8">
        <f t="shared" si="12"/>
        <v>3.0772705201538439</v>
      </c>
      <c r="U92" s="8">
        <v>154.5</v>
      </c>
      <c r="V92" s="10">
        <f t="shared" si="13"/>
        <v>0.23007959686622212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1550.4401496258999</v>
      </c>
      <c r="E93">
        <v>474.34788029924999</v>
      </c>
      <c r="F93">
        <v>142.73141786383999</v>
      </c>
      <c r="G93">
        <v>118.74141161774</v>
      </c>
      <c r="I93" s="9">
        <f t="shared" si="8"/>
        <v>355.60646868151002</v>
      </c>
      <c r="J93" s="9">
        <f t="shared" si="9"/>
        <v>1407.7087317620599</v>
      </c>
      <c r="K93" s="9">
        <f t="shared" si="10"/>
        <v>355.60646868151002</v>
      </c>
      <c r="L93" s="10">
        <f t="shared" si="7"/>
        <v>0.25261366975850863</v>
      </c>
      <c r="M93" s="10">
        <f t="shared" si="11"/>
        <v>0.25555436124165404</v>
      </c>
      <c r="P93" s="8">
        <f t="shared" si="12"/>
        <v>13.879468511851488</v>
      </c>
      <c r="U93" s="8">
        <v>155</v>
      </c>
      <c r="V93" s="10">
        <f t="shared" si="13"/>
        <v>0.23361194064492105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1497.4052369077001</v>
      </c>
      <c r="E94">
        <v>543.99750623441003</v>
      </c>
      <c r="F94">
        <v>142.34790755777999</v>
      </c>
      <c r="G94">
        <v>119.06121174266001</v>
      </c>
      <c r="I94" s="9">
        <f t="shared" si="8"/>
        <v>424.93629449175</v>
      </c>
      <c r="J94" s="9">
        <f t="shared" si="9"/>
        <v>1355.0573293499201</v>
      </c>
      <c r="K94" s="9">
        <f t="shared" si="10"/>
        <v>424.93629449175</v>
      </c>
      <c r="L94" s="10">
        <f t="shared" si="7"/>
        <v>0.31359285344451843</v>
      </c>
      <c r="M94" s="10">
        <f t="shared" si="11"/>
        <v>0.31656586021868738</v>
      </c>
      <c r="P94" s="8">
        <f t="shared" si="12"/>
        <v>41.067253697195632</v>
      </c>
      <c r="U94" s="8">
        <v>155.5</v>
      </c>
      <c r="V94" s="10">
        <f t="shared" si="13"/>
        <v>0.23149019604794355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1564.6016209475999</v>
      </c>
      <c r="E95">
        <v>638.54177057357003</v>
      </c>
      <c r="F95">
        <v>141.77451592755</v>
      </c>
      <c r="G95">
        <v>119.06058713304</v>
      </c>
      <c r="I95" s="9">
        <f t="shared" si="8"/>
        <v>519.48118344053</v>
      </c>
      <c r="J95" s="9">
        <f t="shared" si="9"/>
        <v>1422.8271050200499</v>
      </c>
      <c r="K95" s="9">
        <f t="shared" si="10"/>
        <v>519.48118344053</v>
      </c>
      <c r="L95" s="10">
        <f t="shared" si="7"/>
        <v>0.36510492498187941</v>
      </c>
      <c r="M95" s="10">
        <f t="shared" si="11"/>
        <v>0.36811024704707196</v>
      </c>
      <c r="P95" s="8">
        <f t="shared" si="12"/>
        <v>64.036329037041412</v>
      </c>
      <c r="U95" s="8">
        <v>156</v>
      </c>
      <c r="V95" s="10">
        <f t="shared" si="13"/>
        <v>0.23270105364488725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1617.8160703076001</v>
      </c>
      <c r="E96">
        <v>713.06779661017003</v>
      </c>
      <c r="F96">
        <v>142.05059337914</v>
      </c>
      <c r="G96">
        <v>118.88757026858001</v>
      </c>
      <c r="I96" s="9">
        <f t="shared" si="8"/>
        <v>594.18022634159001</v>
      </c>
      <c r="J96" s="9">
        <f t="shared" si="9"/>
        <v>1475.76547692846</v>
      </c>
      <c r="K96" s="9">
        <f t="shared" si="10"/>
        <v>594.18022634159001</v>
      </c>
      <c r="L96" s="10">
        <f t="shared" si="7"/>
        <v>0.40262510245074246</v>
      </c>
      <c r="M96" s="10">
        <f t="shared" si="11"/>
        <v>0.40566273980695861</v>
      </c>
      <c r="P96" s="8">
        <f t="shared" si="12"/>
        <v>80.770373003315939</v>
      </c>
      <c r="U96" s="8">
        <v>156.5</v>
      </c>
      <c r="V96" s="10">
        <f t="shared" si="13"/>
        <v>0.23089046239815678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1652.4092906466001</v>
      </c>
      <c r="E97">
        <v>767.87696170746995</v>
      </c>
      <c r="F97">
        <v>142.46158650843</v>
      </c>
      <c r="G97">
        <v>118.90630855715</v>
      </c>
      <c r="I97" s="9">
        <f t="shared" si="8"/>
        <v>648.97065315032</v>
      </c>
      <c r="J97" s="9">
        <f t="shared" si="9"/>
        <v>1509.9477041381701</v>
      </c>
      <c r="K97" s="9">
        <f t="shared" si="10"/>
        <v>648.97065315032</v>
      </c>
      <c r="L97" s="10">
        <f t="shared" si="7"/>
        <v>0.42979677466427996</v>
      </c>
      <c r="M97" s="10">
        <f t="shared" si="11"/>
        <v>0.43286672731151965</v>
      </c>
      <c r="P97" s="8">
        <f t="shared" si="12"/>
        <v>92.892943024701694</v>
      </c>
      <c r="U97" s="8">
        <v>157</v>
      </c>
      <c r="V97" s="10">
        <f t="shared" si="13"/>
        <v>0.23075138780270896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1687.9629629630001</v>
      </c>
      <c r="E98">
        <v>814.83615819209001</v>
      </c>
      <c r="F98">
        <v>142.90381011868001</v>
      </c>
      <c r="G98">
        <v>118.72079950030999</v>
      </c>
      <c r="I98" s="9">
        <f t="shared" si="8"/>
        <v>696.11535869177999</v>
      </c>
      <c r="J98" s="9">
        <f t="shared" si="9"/>
        <v>1545.0591528443201</v>
      </c>
      <c r="K98" s="9">
        <f t="shared" si="10"/>
        <v>696.11535869177999</v>
      </c>
      <c r="L98" s="10">
        <f t="shared" si="7"/>
        <v>0.45054285294533342</v>
      </c>
      <c r="M98" s="10">
        <f t="shared" si="11"/>
        <v>0.45364512088359671</v>
      </c>
      <c r="P98" s="8">
        <f t="shared" si="12"/>
        <v>102.15215662223713</v>
      </c>
      <c r="U98" s="8">
        <v>157.5</v>
      </c>
      <c r="V98" s="10">
        <f t="shared" si="13"/>
        <v>0.22859640705986933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1726.5461393597</v>
      </c>
      <c r="E99">
        <v>851.01506591336999</v>
      </c>
      <c r="F99">
        <v>142.54091193004001</v>
      </c>
      <c r="G99">
        <v>119.11555277951</v>
      </c>
      <c r="I99" s="9">
        <f t="shared" si="8"/>
        <v>731.89951313385995</v>
      </c>
      <c r="J99" s="9">
        <f t="shared" si="9"/>
        <v>1584.00522742966</v>
      </c>
      <c r="K99" s="9">
        <f t="shared" si="10"/>
        <v>731.89951313385995</v>
      </c>
      <c r="L99" s="10">
        <f t="shared" si="7"/>
        <v>0.46205624859048072</v>
      </c>
      <c r="M99" s="10">
        <f t="shared" si="11"/>
        <v>0.46519083181976756</v>
      </c>
      <c r="P99" s="8">
        <f t="shared" si="12"/>
        <v>107.29712624284676</v>
      </c>
      <c r="U99" s="8">
        <v>158</v>
      </c>
      <c r="V99" s="10">
        <f t="shared" si="13"/>
        <v>0.2270867154527135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1736.9460138104</v>
      </c>
      <c r="E100">
        <v>866.87445072190997</v>
      </c>
      <c r="F100">
        <v>142.21923797626999</v>
      </c>
      <c r="G100">
        <v>118.65396627107999</v>
      </c>
      <c r="I100" s="9">
        <f t="shared" si="8"/>
        <v>748.22048445082999</v>
      </c>
      <c r="J100" s="9">
        <f t="shared" si="9"/>
        <v>1594.72677583413</v>
      </c>
      <c r="K100" s="9">
        <f t="shared" si="10"/>
        <v>748.22048445082999</v>
      </c>
      <c r="L100" s="10">
        <f t="shared" si="7"/>
        <v>0.46918412344300764</v>
      </c>
      <c r="M100" s="10">
        <f t="shared" si="11"/>
        <v>0.47235102196331807</v>
      </c>
      <c r="P100" s="8">
        <f t="shared" si="12"/>
        <v>110.48783151600108</v>
      </c>
      <c r="U100" s="8">
        <v>158.5</v>
      </c>
      <c r="V100" s="10">
        <f t="shared" si="13"/>
        <v>0.22995250693896779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1728.313283208</v>
      </c>
      <c r="E101">
        <v>882.36904761904998</v>
      </c>
      <c r="F101">
        <v>142.65084322299001</v>
      </c>
      <c r="G101">
        <v>119.24234853217</v>
      </c>
      <c r="I101" s="9">
        <f t="shared" si="8"/>
        <v>763.12669908687997</v>
      </c>
      <c r="J101" s="9">
        <f t="shared" si="9"/>
        <v>1585.66243998501</v>
      </c>
      <c r="K101" s="9">
        <f t="shared" si="10"/>
        <v>763.12669908687997</v>
      </c>
      <c r="L101" s="10">
        <f t="shared" si="7"/>
        <v>0.48126680675749256</v>
      </c>
      <c r="M101" s="10">
        <f t="shared" si="11"/>
        <v>0.48446602056882659</v>
      </c>
      <c r="P101" s="8">
        <f t="shared" si="12"/>
        <v>115.88648562432415</v>
      </c>
      <c r="U101" s="8">
        <v>159</v>
      </c>
      <c r="V101" s="10">
        <f t="shared" si="13"/>
        <v>0.23058164222913424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1776.9179197994999</v>
      </c>
      <c r="E102">
        <v>912.32142857143003</v>
      </c>
      <c r="F102">
        <v>142.63647720175001</v>
      </c>
      <c r="G102">
        <v>118.76139912555</v>
      </c>
      <c r="I102" s="9">
        <f t="shared" si="8"/>
        <v>793.56002944587999</v>
      </c>
      <c r="J102" s="9">
        <f t="shared" si="9"/>
        <v>1634.2814425977499</v>
      </c>
      <c r="K102" s="9">
        <f t="shared" si="10"/>
        <v>793.56002944587999</v>
      </c>
      <c r="L102" s="10">
        <f t="shared" si="7"/>
        <v>0.48557121727117419</v>
      </c>
      <c r="M102" s="10">
        <f t="shared" si="11"/>
        <v>0.48880274637353177</v>
      </c>
      <c r="P102" s="8">
        <f t="shared" si="12"/>
        <v>117.8190060764187</v>
      </c>
      <c r="U102" s="8">
        <v>159.5</v>
      </c>
      <c r="V102" s="10">
        <f t="shared" si="13"/>
        <v>0.23052218219878645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1773.6184210526001</v>
      </c>
      <c r="E103">
        <v>915.88972431078003</v>
      </c>
      <c r="F103">
        <v>142.31542785759001</v>
      </c>
      <c r="G103">
        <v>118.96814490942999</v>
      </c>
      <c r="I103" s="9">
        <f t="shared" si="8"/>
        <v>796.92157940135007</v>
      </c>
      <c r="J103" s="9">
        <f t="shared" si="9"/>
        <v>1631.30299319501</v>
      </c>
      <c r="K103" s="9">
        <f t="shared" si="10"/>
        <v>796.92157940135007</v>
      </c>
      <c r="L103" s="10">
        <f t="shared" si="7"/>
        <v>0.48851843141691831</v>
      </c>
      <c r="M103" s="10">
        <f t="shared" si="11"/>
        <v>0.49178227581029949</v>
      </c>
      <c r="P103" s="8">
        <f t="shared" si="12"/>
        <v>119.14673621972732</v>
      </c>
      <c r="U103" s="8">
        <v>160</v>
      </c>
      <c r="V103" s="10">
        <f t="shared" si="13"/>
        <v>0.23189759694687356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1774.6046365914999</v>
      </c>
      <c r="E104">
        <v>912.77819548872003</v>
      </c>
      <c r="F104">
        <v>141.97251717677</v>
      </c>
      <c r="G104">
        <v>118.59712679575</v>
      </c>
      <c r="I104" s="9">
        <f t="shared" si="8"/>
        <v>794.18106869297003</v>
      </c>
      <c r="J104" s="9">
        <f t="shared" si="9"/>
        <v>1632.6321194147299</v>
      </c>
      <c r="K104" s="9">
        <f t="shared" si="10"/>
        <v>794.18106869297003</v>
      </c>
      <c r="L104" s="10">
        <f t="shared" si="7"/>
        <v>0.48644214409898417</v>
      </c>
      <c r="M104" s="10">
        <f t="shared" si="11"/>
        <v>0.4897383037833889</v>
      </c>
      <c r="P104" s="8">
        <f t="shared" si="12"/>
        <v>118.23590673144648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1777.9523809524001</v>
      </c>
      <c r="E105">
        <v>912.67794486215996</v>
      </c>
      <c r="F105">
        <v>142.16489693941</v>
      </c>
      <c r="G105">
        <v>118.84759525297</v>
      </c>
      <c r="I105" s="9">
        <f t="shared" si="8"/>
        <v>793.83034960918997</v>
      </c>
      <c r="J105" s="9">
        <f t="shared" si="9"/>
        <v>1635.78748401299</v>
      </c>
      <c r="K105" s="9">
        <f t="shared" si="10"/>
        <v>793.83034960918997</v>
      </c>
      <c r="L105" s="10">
        <f t="shared" si="7"/>
        <v>0.48528941403911979</v>
      </c>
      <c r="M105" s="10">
        <f t="shared" si="11"/>
        <v>0.48861788901454811</v>
      </c>
      <c r="P105" s="8">
        <f t="shared" si="12"/>
        <v>117.73663042182498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1774.4567669173</v>
      </c>
      <c r="E106">
        <v>900.62343358396004</v>
      </c>
      <c r="F106">
        <v>142.32354778263999</v>
      </c>
      <c r="G106">
        <v>118.52342286071</v>
      </c>
      <c r="I106" s="9">
        <f t="shared" si="8"/>
        <v>782.10001072325008</v>
      </c>
      <c r="J106" s="9">
        <f t="shared" si="9"/>
        <v>1632.1332191346601</v>
      </c>
      <c r="K106" s="9">
        <f t="shared" si="10"/>
        <v>782.10001072325008</v>
      </c>
      <c r="L106" s="10">
        <f t="shared" si="7"/>
        <v>0.4791888318638054</v>
      </c>
      <c r="M106" s="10">
        <f t="shared" si="11"/>
        <v>0.48254962213025726</v>
      </c>
      <c r="P106" s="8">
        <f t="shared" si="12"/>
        <v>115.03250514603816</v>
      </c>
      <c r="X106" s="8">
        <v>-13</v>
      </c>
    </row>
    <row r="107" spans="1:25" x14ac:dyDescent="0.2">
      <c r="A107" s="8">
        <v>52.5</v>
      </c>
      <c r="B107" s="8">
        <v>105</v>
      </c>
      <c r="D107">
        <v>1769.1052631579</v>
      </c>
      <c r="E107">
        <v>895.22556390977002</v>
      </c>
      <c r="F107">
        <v>142.44722048720001</v>
      </c>
      <c r="G107">
        <v>118.57526545909001</v>
      </c>
      <c r="I107" s="9">
        <f t="shared" si="8"/>
        <v>776.65029845068</v>
      </c>
      <c r="J107" s="9">
        <f t="shared" si="9"/>
        <v>1626.6580426707001</v>
      </c>
      <c r="K107" s="9">
        <f t="shared" si="10"/>
        <v>776.65029845068</v>
      </c>
      <c r="L107" s="10">
        <f t="shared" si="7"/>
        <v>0.47745148523997721</v>
      </c>
      <c r="M107" s="10">
        <f t="shared" si="11"/>
        <v>0.48084459079745268</v>
      </c>
      <c r="P107" s="8">
        <f t="shared" si="12"/>
        <v>114.2727135266252</v>
      </c>
      <c r="X107" s="8">
        <v>-13</v>
      </c>
    </row>
    <row r="108" spans="1:25" x14ac:dyDescent="0.2">
      <c r="A108" s="8">
        <v>53</v>
      </c>
      <c r="B108" s="8">
        <v>106</v>
      </c>
      <c r="D108">
        <v>1793.828320802</v>
      </c>
      <c r="E108">
        <v>894.44298245614004</v>
      </c>
      <c r="F108">
        <v>142.46096189881001</v>
      </c>
      <c r="G108">
        <v>119.04497189257</v>
      </c>
      <c r="I108" s="9">
        <f t="shared" si="8"/>
        <v>775.3980105635701</v>
      </c>
      <c r="J108" s="9">
        <f t="shared" si="9"/>
        <v>1651.3673589031901</v>
      </c>
      <c r="K108" s="9">
        <f t="shared" si="10"/>
        <v>775.3980105635701</v>
      </c>
      <c r="L108" s="10">
        <f t="shared" si="7"/>
        <v>0.4695490717937989</v>
      </c>
      <c r="M108" s="10">
        <f t="shared" si="11"/>
        <v>0.47297449264229796</v>
      </c>
      <c r="P108" s="8">
        <f t="shared" si="12"/>
        <v>110.76566089527672</v>
      </c>
      <c r="X108" s="8">
        <v>-13</v>
      </c>
    </row>
    <row r="109" spans="1:25" x14ac:dyDescent="0.2">
      <c r="A109" s="8">
        <v>53.5</v>
      </c>
      <c r="B109" s="8">
        <v>107</v>
      </c>
      <c r="D109">
        <v>1754.7203282828</v>
      </c>
      <c r="E109">
        <v>855.14835858586002</v>
      </c>
      <c r="F109">
        <v>142.39662710805999</v>
      </c>
      <c r="G109">
        <v>118.85071830106</v>
      </c>
      <c r="I109" s="9">
        <f t="shared" si="8"/>
        <v>736.29764028480008</v>
      </c>
      <c r="J109" s="9">
        <f t="shared" si="9"/>
        <v>1612.3237011747401</v>
      </c>
      <c r="K109" s="9">
        <f t="shared" si="10"/>
        <v>736.29764028480008</v>
      </c>
      <c r="L109" s="10">
        <f t="shared" si="7"/>
        <v>0.4566686204192949</v>
      </c>
      <c r="M109" s="10">
        <f t="shared" si="11"/>
        <v>0.46012635655881751</v>
      </c>
      <c r="P109" s="8">
        <f t="shared" si="12"/>
        <v>105.04030797448998</v>
      </c>
      <c r="X109" s="8">
        <v>-13</v>
      </c>
    </row>
    <row r="110" spans="1:25" x14ac:dyDescent="0.2">
      <c r="A110" s="8">
        <v>54</v>
      </c>
      <c r="B110" s="8">
        <v>108</v>
      </c>
      <c r="D110">
        <v>1761.1313131313</v>
      </c>
      <c r="E110">
        <v>855.13194444444002</v>
      </c>
      <c r="F110">
        <v>142.63085571517999</v>
      </c>
      <c r="G110">
        <v>118.92941911305</v>
      </c>
      <c r="I110" s="9">
        <f t="shared" si="8"/>
        <v>736.20252533139001</v>
      </c>
      <c r="J110" s="9">
        <f t="shared" si="9"/>
        <v>1618.5004574161201</v>
      </c>
      <c r="K110" s="9">
        <f t="shared" si="10"/>
        <v>736.20252533139001</v>
      </c>
      <c r="L110" s="10">
        <f t="shared" si="7"/>
        <v>0.45486704804934802</v>
      </c>
      <c r="M110" s="10">
        <f t="shared" si="11"/>
        <v>0.45835709947989423</v>
      </c>
      <c r="P110" s="8">
        <f t="shared" si="12"/>
        <v>104.25189624545636</v>
      </c>
      <c r="X110" s="8">
        <v>-13</v>
      </c>
    </row>
    <row r="111" spans="1:25" x14ac:dyDescent="0.2">
      <c r="A111" s="8">
        <v>54.5</v>
      </c>
      <c r="B111" s="8">
        <v>109</v>
      </c>
      <c r="D111">
        <v>1715.5785536159999</v>
      </c>
      <c r="E111">
        <v>815.17331670823</v>
      </c>
      <c r="F111">
        <v>142.12742036226999</v>
      </c>
      <c r="G111">
        <v>118.89631480324999</v>
      </c>
      <c r="I111" s="9">
        <f t="shared" si="8"/>
        <v>696.27700190498001</v>
      </c>
      <c r="J111" s="9">
        <f t="shared" si="9"/>
        <v>1573.4511332537299</v>
      </c>
      <c r="K111" s="9">
        <f t="shared" si="10"/>
        <v>696.27700190498001</v>
      </c>
      <c r="L111" s="10">
        <f t="shared" si="7"/>
        <v>0.44251580947744662</v>
      </c>
      <c r="M111" s="10">
        <f t="shared" si="11"/>
        <v>0.44603817619901637</v>
      </c>
      <c r="P111" s="8">
        <f t="shared" si="12"/>
        <v>98.762369754698966</v>
      </c>
      <c r="X111" s="8">
        <v>-13</v>
      </c>
    </row>
    <row r="112" spans="1:25" x14ac:dyDescent="0.2">
      <c r="A112" s="8">
        <v>55</v>
      </c>
      <c r="B112" s="8">
        <v>110</v>
      </c>
      <c r="D112">
        <v>1728.4731920199999</v>
      </c>
      <c r="E112">
        <v>821.21633416458997</v>
      </c>
      <c r="F112">
        <v>142.52654590880999</v>
      </c>
      <c r="G112">
        <v>118.4834478451</v>
      </c>
      <c r="I112" s="9">
        <f t="shared" si="8"/>
        <v>702.73288631948992</v>
      </c>
      <c r="J112" s="9">
        <f t="shared" si="9"/>
        <v>1585.9466461111899</v>
      </c>
      <c r="K112" s="9">
        <f t="shared" si="10"/>
        <v>702.73288631948992</v>
      </c>
      <c r="L112" s="10">
        <f t="shared" si="7"/>
        <v>0.4430999542403406</v>
      </c>
      <c r="M112" s="10">
        <f t="shared" si="11"/>
        <v>0.44665463625293395</v>
      </c>
      <c r="P112" s="8">
        <f t="shared" si="12"/>
        <v>99.037075077503218</v>
      </c>
      <c r="X112" s="8">
        <v>-13</v>
      </c>
    </row>
    <row r="113" spans="1:24" x14ac:dyDescent="0.2">
      <c r="A113" s="8">
        <v>55.5</v>
      </c>
      <c r="B113" s="8">
        <v>111</v>
      </c>
      <c r="D113">
        <v>1729.3896508728001</v>
      </c>
      <c r="E113">
        <v>807.68640897755995</v>
      </c>
      <c r="F113">
        <v>142.18675827608001</v>
      </c>
      <c r="G113">
        <v>118.90318550905999</v>
      </c>
      <c r="I113" s="9">
        <f t="shared" si="8"/>
        <v>688.78322346849995</v>
      </c>
      <c r="J113" s="9">
        <f t="shared" si="9"/>
        <v>1587.2028925967202</v>
      </c>
      <c r="K113" s="9">
        <f t="shared" si="10"/>
        <v>688.78322346849995</v>
      </c>
      <c r="L113" s="10">
        <f t="shared" si="7"/>
        <v>0.43396041342995928</v>
      </c>
      <c r="M113" s="10">
        <f t="shared" si="11"/>
        <v>0.43754741073357617</v>
      </c>
      <c r="P113" s="8">
        <f t="shared" si="12"/>
        <v>94.978736973927198</v>
      </c>
      <c r="X113" s="8">
        <v>-13</v>
      </c>
    </row>
    <row r="114" spans="1:24" x14ac:dyDescent="0.2">
      <c r="A114" s="8">
        <v>56</v>
      </c>
      <c r="B114" s="8">
        <v>112</v>
      </c>
      <c r="D114">
        <v>1713.9576059850001</v>
      </c>
      <c r="E114">
        <v>790.05673316707998</v>
      </c>
      <c r="F114">
        <v>142.40537164272001</v>
      </c>
      <c r="G114">
        <v>118.58650843223</v>
      </c>
      <c r="I114" s="9">
        <f t="shared" si="8"/>
        <v>671.47022473485004</v>
      </c>
      <c r="J114" s="9">
        <f t="shared" si="9"/>
        <v>1571.5522343422801</v>
      </c>
      <c r="K114" s="9">
        <f t="shared" si="10"/>
        <v>671.47022473485004</v>
      </c>
      <c r="L114" s="10">
        <f t="shared" si="7"/>
        <v>0.42726561043379579</v>
      </c>
      <c r="M114" s="10">
        <f t="shared" si="11"/>
        <v>0.43088492302843628</v>
      </c>
      <c r="P114" s="8">
        <f t="shared" si="12"/>
        <v>92.009816564423303</v>
      </c>
      <c r="X114" s="8">
        <v>-13</v>
      </c>
    </row>
    <row r="115" spans="1:24" x14ac:dyDescent="0.2">
      <c r="A115" s="8">
        <v>56.5</v>
      </c>
      <c r="B115" s="8">
        <v>113</v>
      </c>
      <c r="D115">
        <v>1716.6708229425999</v>
      </c>
      <c r="E115">
        <v>777.18703241895003</v>
      </c>
      <c r="F115">
        <v>141.95315427858</v>
      </c>
      <c r="G115">
        <v>118.50468457213999</v>
      </c>
      <c r="I115" s="9">
        <f t="shared" si="8"/>
        <v>658.68234784680999</v>
      </c>
      <c r="J115" s="9">
        <f t="shared" si="9"/>
        <v>1574.7176686640198</v>
      </c>
      <c r="K115" s="9">
        <f t="shared" si="10"/>
        <v>658.68234784680999</v>
      </c>
      <c r="L115" s="10">
        <f t="shared" si="7"/>
        <v>0.41828599561318935</v>
      </c>
      <c r="M115" s="10">
        <f t="shared" si="11"/>
        <v>0.42193762349885344</v>
      </c>
      <c r="P115" s="8">
        <f t="shared" si="12"/>
        <v>88.02274426366246</v>
      </c>
      <c r="X115" s="8">
        <v>-13</v>
      </c>
    </row>
    <row r="116" spans="1:24" x14ac:dyDescent="0.2">
      <c r="A116" s="8">
        <v>57</v>
      </c>
      <c r="B116" s="8">
        <v>114</v>
      </c>
      <c r="D116">
        <v>1728.9501246883001</v>
      </c>
      <c r="E116">
        <v>769.86034912718003</v>
      </c>
      <c r="F116">
        <v>142.05996252342001</v>
      </c>
      <c r="G116">
        <v>118.62960649594</v>
      </c>
      <c r="I116" s="9">
        <f t="shared" si="8"/>
        <v>651.23074263123999</v>
      </c>
      <c r="J116" s="9">
        <f t="shared" si="9"/>
        <v>1586.8901621648802</v>
      </c>
      <c r="K116" s="9">
        <f t="shared" si="10"/>
        <v>651.23074263123999</v>
      </c>
      <c r="L116" s="10">
        <f t="shared" si="7"/>
        <v>0.41038173791613447</v>
      </c>
      <c r="M116" s="10">
        <f t="shared" si="11"/>
        <v>0.4140656810928221</v>
      </c>
      <c r="P116" s="8">
        <f t="shared" si="12"/>
        <v>84.514869802044231</v>
      </c>
      <c r="X116" s="8">
        <v>-13</v>
      </c>
    </row>
    <row r="117" spans="1:24" x14ac:dyDescent="0.2">
      <c r="A117" s="8">
        <v>57.5</v>
      </c>
      <c r="B117" s="8">
        <v>115</v>
      </c>
      <c r="D117">
        <v>1705.1627182044999</v>
      </c>
      <c r="E117">
        <v>753.61346633416997</v>
      </c>
      <c r="F117">
        <v>141.95377888819999</v>
      </c>
      <c r="G117">
        <v>118.11867582761001</v>
      </c>
      <c r="I117" s="9">
        <f t="shared" si="8"/>
        <v>635.49479050655998</v>
      </c>
      <c r="J117" s="9">
        <f t="shared" si="9"/>
        <v>1563.2089393162998</v>
      </c>
      <c r="K117" s="9">
        <f t="shared" si="10"/>
        <v>635.49479050655998</v>
      </c>
      <c r="L117" s="10">
        <f t="shared" si="7"/>
        <v>0.40653221365565251</v>
      </c>
      <c r="M117" s="10">
        <f t="shared" si="11"/>
        <v>0.41024847212336374</v>
      </c>
      <c r="P117" s="8">
        <f t="shared" si="12"/>
        <v>82.813855088272504</v>
      </c>
      <c r="X117" s="8">
        <v>-13</v>
      </c>
    </row>
    <row r="118" spans="1:24" x14ac:dyDescent="0.2">
      <c r="A118" s="8">
        <v>58</v>
      </c>
      <c r="B118" s="8">
        <v>116</v>
      </c>
      <c r="D118">
        <v>1666.9563591021999</v>
      </c>
      <c r="E118">
        <v>730.86845386534003</v>
      </c>
      <c r="F118">
        <v>142.12679575266</v>
      </c>
      <c r="G118">
        <v>118.67520299813</v>
      </c>
      <c r="I118" s="9">
        <f t="shared" si="8"/>
        <v>612.19325086721005</v>
      </c>
      <c r="J118" s="9">
        <f t="shared" si="9"/>
        <v>1524.82956334954</v>
      </c>
      <c r="K118" s="9">
        <f t="shared" si="10"/>
        <v>612.19325086721005</v>
      </c>
      <c r="L118" s="10">
        <f t="shared" si="7"/>
        <v>0.40148306773540415</v>
      </c>
      <c r="M118" s="10">
        <f t="shared" si="11"/>
        <v>0.40523164149413893</v>
      </c>
      <c r="P118" s="8">
        <f t="shared" si="12"/>
        <v>80.578268096548811</v>
      </c>
      <c r="X118" s="8">
        <v>-13</v>
      </c>
    </row>
    <row r="119" spans="1:24" x14ac:dyDescent="0.2">
      <c r="A119" s="8">
        <v>58.5</v>
      </c>
      <c r="B119" s="8">
        <v>117</v>
      </c>
      <c r="D119">
        <v>1651.2381546135</v>
      </c>
      <c r="E119">
        <v>718.19825436408996</v>
      </c>
      <c r="F119">
        <v>142.01873828857001</v>
      </c>
      <c r="G119">
        <v>118.48219862585999</v>
      </c>
      <c r="I119" s="9">
        <f t="shared" si="8"/>
        <v>599.71605573823001</v>
      </c>
      <c r="J119" s="9">
        <f t="shared" si="9"/>
        <v>1509.2194163249301</v>
      </c>
      <c r="K119" s="9">
        <f t="shared" si="10"/>
        <v>599.71605573823001</v>
      </c>
      <c r="L119" s="10">
        <f t="shared" si="7"/>
        <v>0.39736836754895888</v>
      </c>
      <c r="M119" s="10">
        <f t="shared" si="11"/>
        <v>0.40114925659871725</v>
      </c>
      <c r="P119" s="8">
        <f t="shared" si="12"/>
        <v>78.759086377666634</v>
      </c>
      <c r="X119" s="8">
        <v>-13</v>
      </c>
    </row>
    <row r="120" spans="1:24" x14ac:dyDescent="0.2">
      <c r="A120" s="8">
        <v>59</v>
      </c>
      <c r="B120" s="8">
        <v>118</v>
      </c>
      <c r="D120">
        <v>1661.6857855362</v>
      </c>
      <c r="E120">
        <v>715.50748129676003</v>
      </c>
      <c r="F120">
        <v>142.29231730168999</v>
      </c>
      <c r="G120">
        <v>118.03435352904</v>
      </c>
      <c r="I120" s="9">
        <f t="shared" si="8"/>
        <v>597.47312776772003</v>
      </c>
      <c r="J120" s="9">
        <f t="shared" si="9"/>
        <v>1519.39346823451</v>
      </c>
      <c r="K120" s="9">
        <f t="shared" si="10"/>
        <v>597.47312776772003</v>
      </c>
      <c r="L120" s="10">
        <f t="shared" si="7"/>
        <v>0.39323133885916073</v>
      </c>
      <c r="M120" s="10">
        <f t="shared" si="11"/>
        <v>0.3970445431999427</v>
      </c>
      <c r="P120" s="8">
        <f t="shared" si="12"/>
        <v>76.929954689305788</v>
      </c>
      <c r="X120" s="8">
        <v>-13</v>
      </c>
    </row>
    <row r="121" spans="1:24" x14ac:dyDescent="0.2">
      <c r="A121" s="8">
        <v>59.5</v>
      </c>
      <c r="B121" s="8">
        <v>119</v>
      </c>
      <c r="D121">
        <v>1651.4663341646001</v>
      </c>
      <c r="E121">
        <v>706.14962593515997</v>
      </c>
      <c r="F121">
        <v>142.11305434104</v>
      </c>
      <c r="G121">
        <v>118.38850718301001</v>
      </c>
      <c r="I121" s="9">
        <f t="shared" si="8"/>
        <v>587.76111875214997</v>
      </c>
      <c r="J121" s="9">
        <f t="shared" si="9"/>
        <v>1509.3532798235601</v>
      </c>
      <c r="K121" s="9">
        <f t="shared" si="10"/>
        <v>587.76111875214997</v>
      </c>
      <c r="L121" s="10">
        <f t="shared" si="7"/>
        <v>0.38941255609876696</v>
      </c>
      <c r="M121" s="10">
        <f t="shared" si="11"/>
        <v>0.39325807573057248</v>
      </c>
      <c r="P121" s="8">
        <f t="shared" si="12"/>
        <v>75.242638922694596</v>
      </c>
      <c r="X121" s="8">
        <v>-13</v>
      </c>
    </row>
    <row r="122" spans="1:24" x14ac:dyDescent="0.2">
      <c r="A122" s="8">
        <v>60</v>
      </c>
      <c r="B122" s="8">
        <v>120</v>
      </c>
      <c r="D122">
        <v>1608.3155917345</v>
      </c>
      <c r="E122">
        <v>679.52160300564003</v>
      </c>
      <c r="F122">
        <v>141.97938788256999</v>
      </c>
      <c r="G122">
        <v>118.64209868832</v>
      </c>
      <c r="I122" s="9">
        <f t="shared" si="8"/>
        <v>560.87950431731997</v>
      </c>
      <c r="J122" s="9">
        <f t="shared" si="9"/>
        <v>1466.3362038519299</v>
      </c>
      <c r="K122" s="9">
        <f t="shared" si="10"/>
        <v>560.87950431731997</v>
      </c>
      <c r="L122" s="10">
        <f t="shared" si="7"/>
        <v>0.3825040279602599</v>
      </c>
      <c r="M122" s="10">
        <f t="shared" si="11"/>
        <v>0.38638186288308901</v>
      </c>
      <c r="P122" s="8">
        <f t="shared" si="12"/>
        <v>72.178478872202191</v>
      </c>
      <c r="X122" s="8">
        <v>-13</v>
      </c>
    </row>
    <row r="123" spans="1:24" x14ac:dyDescent="0.2">
      <c r="A123" s="8">
        <v>60.5</v>
      </c>
      <c r="B123" s="8">
        <v>121</v>
      </c>
      <c r="D123">
        <v>1614.499686913</v>
      </c>
      <c r="E123">
        <v>677.25109580463004</v>
      </c>
      <c r="F123">
        <v>142.61773891318001</v>
      </c>
      <c r="G123">
        <v>118.37101811367999</v>
      </c>
      <c r="I123" s="9">
        <f t="shared" si="8"/>
        <v>558.88007769095009</v>
      </c>
      <c r="J123" s="9">
        <f t="shared" si="9"/>
        <v>1471.8819479998201</v>
      </c>
      <c r="K123" s="9">
        <f t="shared" si="10"/>
        <v>558.88007769095009</v>
      </c>
      <c r="L123" s="10">
        <f t="shared" si="7"/>
        <v>0.37970441749790274</v>
      </c>
      <c r="M123" s="10">
        <f t="shared" si="11"/>
        <v>0.38361456771175539</v>
      </c>
      <c r="P123" s="8">
        <f t="shared" si="12"/>
        <v>70.945324009198742</v>
      </c>
      <c r="X123" s="8">
        <v>-13</v>
      </c>
    </row>
    <row r="124" spans="1:24" x14ac:dyDescent="0.2">
      <c r="A124" s="8">
        <v>61</v>
      </c>
      <c r="B124" s="8">
        <v>122</v>
      </c>
      <c r="D124">
        <v>1588.368816531</v>
      </c>
      <c r="E124">
        <v>659.80400751409002</v>
      </c>
      <c r="F124">
        <v>141.71143035603001</v>
      </c>
      <c r="G124">
        <v>118.35165521549</v>
      </c>
      <c r="I124" s="9">
        <f t="shared" si="8"/>
        <v>541.45235229859998</v>
      </c>
      <c r="J124" s="9">
        <f t="shared" si="9"/>
        <v>1446.65738617497</v>
      </c>
      <c r="K124" s="9">
        <f t="shared" si="10"/>
        <v>541.45235229859998</v>
      </c>
      <c r="L124" s="10">
        <f t="shared" si="7"/>
        <v>0.37427822058837673</v>
      </c>
      <c r="M124" s="10">
        <f t="shared" si="11"/>
        <v>0.37822068609325299</v>
      </c>
      <c r="P124" s="8">
        <f t="shared" si="12"/>
        <v>68.541716538183763</v>
      </c>
      <c r="X124" s="8">
        <v>-13</v>
      </c>
    </row>
    <row r="125" spans="1:24" x14ac:dyDescent="0.2">
      <c r="A125" s="8">
        <v>61.5</v>
      </c>
      <c r="B125" s="8">
        <v>123</v>
      </c>
      <c r="D125">
        <v>1658.2003757044999</v>
      </c>
      <c r="E125">
        <v>684.00626174076001</v>
      </c>
      <c r="F125">
        <v>141.23735165522001</v>
      </c>
      <c r="G125">
        <v>118.43785134290999</v>
      </c>
      <c r="I125" s="9">
        <f t="shared" si="8"/>
        <v>565.56841039785002</v>
      </c>
      <c r="J125" s="9">
        <f t="shared" si="9"/>
        <v>1516.96302404928</v>
      </c>
      <c r="K125" s="9">
        <f t="shared" si="10"/>
        <v>565.56841039785002</v>
      </c>
      <c r="L125" s="10">
        <f t="shared" si="7"/>
        <v>0.37282939757368599</v>
      </c>
      <c r="M125" s="10">
        <f t="shared" si="11"/>
        <v>0.3768041783695858</v>
      </c>
      <c r="P125" s="8">
        <f t="shared" si="12"/>
        <v>67.910496057615973</v>
      </c>
      <c r="X125" s="8">
        <v>-13</v>
      </c>
    </row>
    <row r="126" spans="1:24" x14ac:dyDescent="0.2">
      <c r="A126" s="8">
        <v>62</v>
      </c>
      <c r="B126" s="8">
        <v>124</v>
      </c>
      <c r="D126">
        <v>1659.0212367270999</v>
      </c>
      <c r="E126">
        <v>673.75327920049995</v>
      </c>
      <c r="F126">
        <v>142.31417863835</v>
      </c>
      <c r="G126">
        <v>118.40412242348999</v>
      </c>
      <c r="I126" s="9">
        <f t="shared" si="8"/>
        <v>555.34915677700997</v>
      </c>
      <c r="J126" s="9">
        <f t="shared" si="9"/>
        <v>1516.7070580887498</v>
      </c>
      <c r="K126" s="9">
        <f t="shared" si="10"/>
        <v>555.34915677700997</v>
      </c>
      <c r="L126" s="10">
        <f t="shared" si="7"/>
        <v>0.36615452787357822</v>
      </c>
      <c r="M126" s="10">
        <f t="shared" si="11"/>
        <v>0.37016162396050162</v>
      </c>
      <c r="P126" s="8">
        <f t="shared" si="12"/>
        <v>64.950458271556599</v>
      </c>
      <c r="X126" s="8">
        <v>-13</v>
      </c>
    </row>
    <row r="127" spans="1:24" x14ac:dyDescent="0.2">
      <c r="A127" s="8">
        <v>62.5</v>
      </c>
      <c r="B127" s="8">
        <v>125</v>
      </c>
      <c r="D127">
        <v>1651.2735790131001</v>
      </c>
      <c r="E127">
        <v>659.72392254840997</v>
      </c>
      <c r="F127">
        <v>141.88507183011001</v>
      </c>
      <c r="G127">
        <v>118.28544659588</v>
      </c>
      <c r="I127" s="9">
        <f t="shared" si="8"/>
        <v>541.43847595252998</v>
      </c>
      <c r="J127" s="9">
        <f t="shared" si="9"/>
        <v>1509.38850718299</v>
      </c>
      <c r="K127" s="9">
        <f t="shared" si="10"/>
        <v>541.43847595252998</v>
      </c>
      <c r="L127" s="10">
        <f t="shared" si="7"/>
        <v>0.35871379262257025</v>
      </c>
      <c r="M127" s="10">
        <f t="shared" si="11"/>
        <v>0.36275320400051725</v>
      </c>
      <c r="P127" s="8">
        <f t="shared" si="12"/>
        <v>61.649137474460773</v>
      </c>
      <c r="X127" s="8">
        <v>-13</v>
      </c>
    </row>
    <row r="128" spans="1:24" x14ac:dyDescent="0.2">
      <c r="A128" s="8">
        <v>63</v>
      </c>
      <c r="B128" s="8">
        <v>126</v>
      </c>
      <c r="D128">
        <v>1622.8563397876001</v>
      </c>
      <c r="E128">
        <v>639.90693316677005</v>
      </c>
      <c r="F128">
        <v>141.42535915053</v>
      </c>
      <c r="G128">
        <v>118.67957526546</v>
      </c>
      <c r="I128" s="9">
        <f t="shared" si="8"/>
        <v>521.22735790131003</v>
      </c>
      <c r="J128" s="9">
        <f t="shared" si="9"/>
        <v>1481.43098063707</v>
      </c>
      <c r="K128" s="9">
        <f t="shared" si="10"/>
        <v>521.22735790131003</v>
      </c>
      <c r="L128" s="10">
        <f t="shared" si="7"/>
        <v>0.35184046014561071</v>
      </c>
      <c r="M128" s="10">
        <f t="shared" si="11"/>
        <v>0.35591218681458126</v>
      </c>
      <c r="P128" s="8">
        <f t="shared" si="12"/>
        <v>58.600661222951388</v>
      </c>
      <c r="X128" s="8">
        <v>-13</v>
      </c>
    </row>
    <row r="129" spans="1:24" x14ac:dyDescent="0.2">
      <c r="A129" s="8">
        <v>63.5</v>
      </c>
      <c r="B129" s="8">
        <v>127</v>
      </c>
      <c r="D129">
        <v>1581.8513429106999</v>
      </c>
      <c r="E129">
        <v>617.01873828857003</v>
      </c>
      <c r="F129">
        <v>142.12554653341999</v>
      </c>
      <c r="G129">
        <v>118.45034353529</v>
      </c>
      <c r="I129" s="9">
        <f t="shared" si="8"/>
        <v>498.56839475328002</v>
      </c>
      <c r="J129" s="9">
        <f t="shared" si="9"/>
        <v>1439.7257963772799</v>
      </c>
      <c r="K129" s="9">
        <f t="shared" si="10"/>
        <v>498.56839475328002</v>
      </c>
      <c r="L129" s="10">
        <f t="shared" si="7"/>
        <v>0.34629399293101937</v>
      </c>
      <c r="M129" s="10">
        <f t="shared" si="11"/>
        <v>0.35039803489101351</v>
      </c>
      <c r="P129" s="8">
        <f t="shared" si="12"/>
        <v>56.143459212003485</v>
      </c>
      <c r="X129" s="8">
        <v>-13</v>
      </c>
    </row>
    <row r="130" spans="1:24" x14ac:dyDescent="0.2">
      <c r="A130" s="8">
        <v>64</v>
      </c>
      <c r="B130" s="8">
        <v>128</v>
      </c>
      <c r="D130">
        <v>1611.4003747658001</v>
      </c>
      <c r="E130">
        <v>621.68394753278994</v>
      </c>
      <c r="F130">
        <v>141.72891942536</v>
      </c>
      <c r="G130">
        <v>118.26670830731</v>
      </c>
      <c r="I130" s="9">
        <f t="shared" si="8"/>
        <v>503.41723922547993</v>
      </c>
      <c r="J130" s="9">
        <f t="shared" si="9"/>
        <v>1469.6714553404399</v>
      </c>
      <c r="K130" s="9">
        <f t="shared" si="10"/>
        <v>503.41723922547993</v>
      </c>
      <c r="L130" s="10">
        <f t="shared" ref="L130:L193" si="14">K130/J130</f>
        <v>0.34253726395527401</v>
      </c>
      <c r="M130" s="10">
        <f t="shared" si="11"/>
        <v>0.34667362120629169</v>
      </c>
      <c r="P130" s="8">
        <f t="shared" si="12"/>
        <v>54.483795691202438</v>
      </c>
      <c r="X130" s="8">
        <v>-13</v>
      </c>
    </row>
    <row r="131" spans="1:24" x14ac:dyDescent="0.2">
      <c r="A131" s="8">
        <v>64.5</v>
      </c>
      <c r="B131" s="8">
        <v>129</v>
      </c>
      <c r="D131">
        <v>1589.2345215759999</v>
      </c>
      <c r="E131">
        <v>616.70168855534996</v>
      </c>
      <c r="F131">
        <v>141.79013116802</v>
      </c>
      <c r="G131">
        <v>118.2467207995</v>
      </c>
      <c r="I131" s="9">
        <f t="shared" ref="I131:I194" si="15">E131-G131</f>
        <v>498.45496775584996</v>
      </c>
      <c r="J131" s="9">
        <f t="shared" ref="J131:J194" si="16">D131-F131</f>
        <v>1447.4443904079799</v>
      </c>
      <c r="K131" s="9">
        <f t="shared" ref="K131:K194" si="17">I131*1</f>
        <v>498.45496775584996</v>
      </c>
      <c r="L131" s="10">
        <f t="shared" si="14"/>
        <v>0.34436899341974331</v>
      </c>
      <c r="M131" s="10">
        <f t="shared" ref="M131:M181" si="18">L131+ABS($N$2)*A131</f>
        <v>0.34853766596178459</v>
      </c>
      <c r="P131" s="8">
        <f t="shared" ref="P131:P194" si="19">(M131-$O$2)/$O$2*100</f>
        <v>55.314446457663458</v>
      </c>
      <c r="X131" s="8">
        <v>-13</v>
      </c>
    </row>
    <row r="132" spans="1:24" x14ac:dyDescent="0.2">
      <c r="A132" s="8">
        <v>65</v>
      </c>
      <c r="B132" s="8">
        <v>130</v>
      </c>
      <c r="D132">
        <v>1587.8661663539999</v>
      </c>
      <c r="E132">
        <v>613.61163227017005</v>
      </c>
      <c r="F132">
        <v>141.95128044972</v>
      </c>
      <c r="G132">
        <v>118.15865084322</v>
      </c>
      <c r="I132" s="9">
        <f t="shared" si="15"/>
        <v>495.45298142695003</v>
      </c>
      <c r="J132" s="9">
        <f t="shared" si="16"/>
        <v>1445.9148859042798</v>
      </c>
      <c r="K132" s="9">
        <f t="shared" si="17"/>
        <v>495.45298142695003</v>
      </c>
      <c r="L132" s="10">
        <f t="shared" si="14"/>
        <v>0.34265708601311767</v>
      </c>
      <c r="M132" s="10">
        <f t="shared" si="18"/>
        <v>0.3468580738461825</v>
      </c>
      <c r="P132" s="8">
        <f t="shared" si="19"/>
        <v>54.565990995928658</v>
      </c>
      <c r="X132" s="8">
        <v>-13</v>
      </c>
    </row>
    <row r="133" spans="1:24" x14ac:dyDescent="0.2">
      <c r="A133" s="8">
        <v>65.5</v>
      </c>
      <c r="B133" s="8">
        <v>131</v>
      </c>
      <c r="D133">
        <v>1554.2914321451001</v>
      </c>
      <c r="E133">
        <v>598.87116948093001</v>
      </c>
      <c r="F133">
        <v>142.04809494066001</v>
      </c>
      <c r="G133">
        <v>118.50968144909</v>
      </c>
      <c r="I133" s="9">
        <f t="shared" si="15"/>
        <v>480.36148803184</v>
      </c>
      <c r="J133" s="9">
        <f t="shared" si="16"/>
        <v>1412.2433372044402</v>
      </c>
      <c r="K133" s="9">
        <f t="shared" si="17"/>
        <v>480.36148803184</v>
      </c>
      <c r="L133" s="10">
        <f t="shared" si="14"/>
        <v>0.34014073593204114</v>
      </c>
      <c r="M133" s="10">
        <f t="shared" si="18"/>
        <v>0.34437403905612957</v>
      </c>
      <c r="P133" s="8">
        <f t="shared" si="19"/>
        <v>53.459061885888225</v>
      </c>
      <c r="X133" s="8">
        <v>-13</v>
      </c>
    </row>
    <row r="134" spans="1:24" x14ac:dyDescent="0.2">
      <c r="A134" s="8">
        <v>66</v>
      </c>
      <c r="B134" s="8">
        <v>132</v>
      </c>
      <c r="D134">
        <v>1447.2013758599001</v>
      </c>
      <c r="E134">
        <v>555.08067542213996</v>
      </c>
      <c r="F134">
        <v>141.36539662710999</v>
      </c>
      <c r="G134">
        <v>118.26545908807</v>
      </c>
      <c r="I134" s="9">
        <f t="shared" si="15"/>
        <v>436.81521633406999</v>
      </c>
      <c r="J134" s="9">
        <f t="shared" si="16"/>
        <v>1305.8359792327901</v>
      </c>
      <c r="K134" s="9">
        <f t="shared" si="17"/>
        <v>436.81521633406999</v>
      </c>
      <c r="L134" s="10">
        <f t="shared" si="14"/>
        <v>0.33451001755267101</v>
      </c>
      <c r="M134" s="10">
        <f t="shared" si="18"/>
        <v>0.33877563596778304</v>
      </c>
      <c r="P134" s="8">
        <f t="shared" si="19"/>
        <v>50.964316090440242</v>
      </c>
      <c r="X134" s="8">
        <v>-13</v>
      </c>
    </row>
    <row r="135" spans="1:24" x14ac:dyDescent="0.2">
      <c r="A135" s="8">
        <v>66.5</v>
      </c>
      <c r="B135" s="8">
        <v>133</v>
      </c>
      <c r="D135">
        <v>1435.2741020794001</v>
      </c>
      <c r="E135">
        <v>554.16950220542003</v>
      </c>
      <c r="F135">
        <v>141.84009993754</v>
      </c>
      <c r="G135">
        <v>118.41848844472</v>
      </c>
      <c r="I135" s="9">
        <f t="shared" si="15"/>
        <v>435.75101376070006</v>
      </c>
      <c r="J135" s="9">
        <f t="shared" si="16"/>
        <v>1293.4340021418602</v>
      </c>
      <c r="K135" s="9">
        <f t="shared" si="17"/>
        <v>435.75101376070006</v>
      </c>
      <c r="L135" s="10">
        <f t="shared" si="14"/>
        <v>0.33689466415690233</v>
      </c>
      <c r="M135" s="10">
        <f t="shared" si="18"/>
        <v>0.34119259786303791</v>
      </c>
      <c r="P135" s="8">
        <f t="shared" si="19"/>
        <v>52.041356351884858</v>
      </c>
      <c r="X135" s="8">
        <v>-13</v>
      </c>
    </row>
    <row r="136" spans="1:24" x14ac:dyDescent="0.2">
      <c r="A136" s="8">
        <v>67</v>
      </c>
      <c r="B136" s="8">
        <v>134</v>
      </c>
      <c r="D136">
        <v>1472.7624448644999</v>
      </c>
      <c r="E136">
        <v>566.81789540013006</v>
      </c>
      <c r="F136">
        <v>141.48782011243</v>
      </c>
      <c r="G136">
        <v>118.03310430981</v>
      </c>
      <c r="I136" s="9">
        <f t="shared" si="15"/>
        <v>448.78479109032003</v>
      </c>
      <c r="J136" s="9">
        <f t="shared" si="16"/>
        <v>1331.2746247520699</v>
      </c>
      <c r="K136" s="9">
        <f t="shared" si="17"/>
        <v>448.78479109032003</v>
      </c>
      <c r="L136" s="10">
        <f t="shared" si="14"/>
        <v>0.33710910036604919</v>
      </c>
      <c r="M136" s="10">
        <f t="shared" si="18"/>
        <v>0.34143934936320836</v>
      </c>
      <c r="P136" s="8">
        <f t="shared" si="19"/>
        <v>52.151313112385381</v>
      </c>
      <c r="X136" s="8">
        <v>-13</v>
      </c>
    </row>
    <row r="137" spans="1:24" x14ac:dyDescent="0.2">
      <c r="A137" s="8">
        <v>67.5</v>
      </c>
      <c r="B137" s="8">
        <v>135</v>
      </c>
      <c r="D137">
        <v>1447.7245657568001</v>
      </c>
      <c r="E137">
        <v>558.41997518610003</v>
      </c>
      <c r="F137">
        <v>141.87008119925</v>
      </c>
      <c r="G137">
        <v>117.98750780762001</v>
      </c>
      <c r="I137" s="9">
        <f t="shared" si="15"/>
        <v>440.43246737848006</v>
      </c>
      <c r="J137" s="9">
        <f t="shared" si="16"/>
        <v>1305.85448455755</v>
      </c>
      <c r="K137" s="9">
        <f t="shared" si="17"/>
        <v>440.43246737848006</v>
      </c>
      <c r="L137" s="10">
        <f t="shared" si="14"/>
        <v>0.33727530332578176</v>
      </c>
      <c r="M137" s="10">
        <f t="shared" si="18"/>
        <v>0.34163786761396447</v>
      </c>
      <c r="P137" s="8">
        <f t="shared" si="19"/>
        <v>52.239776297972071</v>
      </c>
      <c r="X137" s="8">
        <v>-13</v>
      </c>
    </row>
    <row r="138" spans="1:24" x14ac:dyDescent="0.2">
      <c r="A138" s="8">
        <v>68</v>
      </c>
      <c r="B138" s="8">
        <v>136</v>
      </c>
      <c r="D138">
        <v>1421.0467581047001</v>
      </c>
      <c r="E138">
        <v>542.61845386534003</v>
      </c>
      <c r="F138">
        <v>141.23672704559999</v>
      </c>
      <c r="G138">
        <v>117.84134915678</v>
      </c>
      <c r="I138" s="9">
        <f t="shared" si="15"/>
        <v>424.77710470856005</v>
      </c>
      <c r="J138" s="9">
        <f t="shared" si="16"/>
        <v>1279.8100310591001</v>
      </c>
      <c r="K138" s="9">
        <f t="shared" si="17"/>
        <v>424.77710470856005</v>
      </c>
      <c r="L138" s="10">
        <f t="shared" si="14"/>
        <v>0.3319063723520263</v>
      </c>
      <c r="M138" s="10">
        <f t="shared" si="18"/>
        <v>0.33630125193123261</v>
      </c>
      <c r="P138" s="8">
        <f t="shared" si="19"/>
        <v>49.861687524026863</v>
      </c>
      <c r="X138" s="8">
        <v>-13</v>
      </c>
    </row>
    <row r="139" spans="1:24" x14ac:dyDescent="0.2">
      <c r="A139" s="8">
        <v>68.5</v>
      </c>
      <c r="B139" s="8">
        <v>137</v>
      </c>
      <c r="D139">
        <v>1442.8865336658</v>
      </c>
      <c r="E139">
        <v>548.20822942642997</v>
      </c>
      <c r="F139">
        <v>141.95752654591001</v>
      </c>
      <c r="G139">
        <v>118.34291068082</v>
      </c>
      <c r="I139" s="9">
        <f t="shared" si="15"/>
        <v>429.86531874560995</v>
      </c>
      <c r="J139" s="9">
        <f t="shared" si="16"/>
        <v>1300.92900711989</v>
      </c>
      <c r="K139" s="9">
        <f t="shared" si="17"/>
        <v>429.86531874560995</v>
      </c>
      <c r="L139" s="10">
        <f t="shared" si="14"/>
        <v>0.33042949799181071</v>
      </c>
      <c r="M139" s="10">
        <f t="shared" si="18"/>
        <v>0.33485669286204062</v>
      </c>
      <c r="P139" s="8">
        <f t="shared" si="19"/>
        <v>49.217966875964819</v>
      </c>
      <c r="X139" s="8">
        <v>-13</v>
      </c>
    </row>
    <row r="140" spans="1:24" x14ac:dyDescent="0.2">
      <c r="A140" s="8">
        <v>69</v>
      </c>
      <c r="B140" s="8">
        <v>138</v>
      </c>
      <c r="D140">
        <v>1468.0473815461</v>
      </c>
      <c r="E140">
        <v>548.72132169576003</v>
      </c>
      <c r="F140">
        <v>141.95003123047999</v>
      </c>
      <c r="G140">
        <v>118.06933166771</v>
      </c>
      <c r="I140" s="9">
        <f t="shared" si="15"/>
        <v>430.65199002805002</v>
      </c>
      <c r="J140" s="9">
        <f t="shared" si="16"/>
        <v>1326.0973503156201</v>
      </c>
      <c r="K140" s="9">
        <f t="shared" si="17"/>
        <v>430.65199002805002</v>
      </c>
      <c r="L140" s="10">
        <f t="shared" si="14"/>
        <v>0.32475141431023291</v>
      </c>
      <c r="M140" s="10">
        <f t="shared" si="18"/>
        <v>0.32921092447148637</v>
      </c>
      <c r="P140" s="8">
        <f t="shared" si="19"/>
        <v>46.702114277975447</v>
      </c>
      <c r="X140" s="8">
        <v>-13</v>
      </c>
    </row>
    <row r="141" spans="1:24" x14ac:dyDescent="0.2">
      <c r="A141" s="8">
        <v>69.5</v>
      </c>
      <c r="B141" s="8">
        <v>139</v>
      </c>
      <c r="D141">
        <v>1482.1271820449001</v>
      </c>
      <c r="E141">
        <v>546.71134663342002</v>
      </c>
      <c r="F141">
        <v>141.18925671455</v>
      </c>
      <c r="G141">
        <v>118.19925046845999</v>
      </c>
      <c r="I141" s="9">
        <f t="shared" si="15"/>
        <v>428.51209616496004</v>
      </c>
      <c r="J141" s="9">
        <f t="shared" si="16"/>
        <v>1340.93792533035</v>
      </c>
      <c r="K141" s="9">
        <f t="shared" si="17"/>
        <v>428.51209616496004</v>
      </c>
      <c r="L141" s="10">
        <f t="shared" si="14"/>
        <v>0.31956147116906469</v>
      </c>
      <c r="M141" s="10">
        <f t="shared" si="18"/>
        <v>0.32405329662134175</v>
      </c>
      <c r="P141" s="8">
        <f t="shared" si="19"/>
        <v>44.403785595566497</v>
      </c>
      <c r="X141" s="8">
        <v>-13</v>
      </c>
    </row>
    <row r="142" spans="1:24" x14ac:dyDescent="0.2">
      <c r="A142" s="8">
        <v>70</v>
      </c>
      <c r="B142" s="8">
        <v>140</v>
      </c>
      <c r="D142">
        <v>1462.3279301745999</v>
      </c>
      <c r="E142">
        <v>536.56234413965001</v>
      </c>
      <c r="F142">
        <v>141.45034353528999</v>
      </c>
      <c r="G142">
        <v>117.9375390381</v>
      </c>
      <c r="I142" s="9">
        <f t="shared" si="15"/>
        <v>418.62480510155001</v>
      </c>
      <c r="J142" s="9">
        <f t="shared" si="16"/>
        <v>1320.87758663931</v>
      </c>
      <c r="K142" s="9">
        <f t="shared" si="17"/>
        <v>418.62480510155001</v>
      </c>
      <c r="L142" s="10">
        <f t="shared" si="14"/>
        <v>0.31692929710969742</v>
      </c>
      <c r="M142" s="10">
        <f t="shared" si="18"/>
        <v>0.32145343785299801</v>
      </c>
      <c r="P142" s="8">
        <f t="shared" si="19"/>
        <v>43.245243306143799</v>
      </c>
      <c r="X142" s="8">
        <v>-13</v>
      </c>
    </row>
    <row r="143" spans="1:24" x14ac:dyDescent="0.2">
      <c r="A143" s="8">
        <v>70.5</v>
      </c>
      <c r="B143" s="8">
        <v>141</v>
      </c>
      <c r="D143">
        <v>1527.1740763932</v>
      </c>
      <c r="E143">
        <v>554.62680025046996</v>
      </c>
      <c r="F143">
        <v>141.64709556527001</v>
      </c>
      <c r="G143">
        <v>117.91942535915</v>
      </c>
      <c r="I143" s="9">
        <f t="shared" si="15"/>
        <v>436.70737489131994</v>
      </c>
      <c r="J143" s="9">
        <f t="shared" si="16"/>
        <v>1385.5269808279299</v>
      </c>
      <c r="K143" s="9">
        <f t="shared" si="17"/>
        <v>436.70737489131994</v>
      </c>
      <c r="L143" s="10">
        <f t="shared" si="14"/>
        <v>0.31519225603990969</v>
      </c>
      <c r="M143" s="10">
        <f t="shared" si="18"/>
        <v>0.31974871207423389</v>
      </c>
      <c r="P143" s="8">
        <f t="shared" si="19"/>
        <v>42.485587846926109</v>
      </c>
      <c r="X143" s="8">
        <v>-13</v>
      </c>
    </row>
    <row r="144" spans="1:24" x14ac:dyDescent="0.2">
      <c r="A144" s="8">
        <v>71</v>
      </c>
      <c r="B144" s="8">
        <v>142</v>
      </c>
      <c r="D144">
        <v>1527.1383844709001</v>
      </c>
      <c r="E144">
        <v>546.76518472135001</v>
      </c>
      <c r="F144">
        <v>141.86758276078001</v>
      </c>
      <c r="G144">
        <v>117.99312929419</v>
      </c>
      <c r="I144" s="9">
        <f t="shared" si="15"/>
        <v>428.77205542716001</v>
      </c>
      <c r="J144" s="9">
        <f t="shared" si="16"/>
        <v>1385.2708017101199</v>
      </c>
      <c r="K144" s="9">
        <f t="shared" si="17"/>
        <v>428.77205542716001</v>
      </c>
      <c r="L144" s="10">
        <f t="shared" si="14"/>
        <v>0.30952219226582983</v>
      </c>
      <c r="M144" s="10">
        <f t="shared" si="18"/>
        <v>0.31411096359117757</v>
      </c>
      <c r="P144" s="8">
        <f t="shared" si="19"/>
        <v>39.97330905921703</v>
      </c>
    </row>
    <row r="145" spans="1:16" x14ac:dyDescent="0.2">
      <c r="A145" s="8">
        <v>71.5</v>
      </c>
      <c r="B145" s="8">
        <v>143</v>
      </c>
      <c r="D145">
        <v>1483.6837820914</v>
      </c>
      <c r="E145">
        <v>524.90482154039</v>
      </c>
      <c r="F145">
        <v>141.74203622735999</v>
      </c>
      <c r="G145">
        <v>117.82635852592</v>
      </c>
      <c r="I145" s="9">
        <f t="shared" si="15"/>
        <v>407.07846301447</v>
      </c>
      <c r="J145" s="9">
        <f t="shared" si="16"/>
        <v>1341.9417458640401</v>
      </c>
      <c r="K145" s="9">
        <f t="shared" si="17"/>
        <v>407.07846301447</v>
      </c>
      <c r="L145" s="10">
        <f t="shared" si="14"/>
        <v>0.30335032371495618</v>
      </c>
      <c r="M145" s="10">
        <f t="shared" si="18"/>
        <v>0.30797141033132752</v>
      </c>
      <c r="P145" s="8">
        <f t="shared" si="19"/>
        <v>37.237417334517453</v>
      </c>
    </row>
    <row r="146" spans="1:16" x14ac:dyDescent="0.2">
      <c r="A146" s="8">
        <v>72</v>
      </c>
      <c r="B146" s="8">
        <v>144</v>
      </c>
      <c r="D146">
        <v>1487.4741161616</v>
      </c>
      <c r="E146">
        <v>520.75820707071</v>
      </c>
      <c r="F146">
        <v>141.55652717052001</v>
      </c>
      <c r="G146">
        <v>118.02435977514</v>
      </c>
      <c r="I146" s="9">
        <f t="shared" si="15"/>
        <v>402.73384729557</v>
      </c>
      <c r="J146" s="9">
        <f t="shared" si="16"/>
        <v>1345.91758899108</v>
      </c>
      <c r="K146" s="9">
        <f t="shared" si="17"/>
        <v>402.73384729557</v>
      </c>
      <c r="L146" s="10">
        <f t="shared" si="14"/>
        <v>0.2992262309295366</v>
      </c>
      <c r="M146" s="10">
        <f t="shared" si="18"/>
        <v>0.30387963283693153</v>
      </c>
      <c r="P146" s="8">
        <f t="shared" si="19"/>
        <v>35.414050110156346</v>
      </c>
    </row>
    <row r="147" spans="1:16" x14ac:dyDescent="0.2">
      <c r="A147" s="8">
        <v>72.5</v>
      </c>
      <c r="B147" s="8">
        <v>145</v>
      </c>
      <c r="D147">
        <v>1478.6767676768</v>
      </c>
      <c r="E147">
        <v>515.47664141413998</v>
      </c>
      <c r="F147">
        <v>141.50593379137999</v>
      </c>
      <c r="G147">
        <v>118.01811367895</v>
      </c>
      <c r="I147" s="9">
        <f t="shared" si="15"/>
        <v>397.45852773518999</v>
      </c>
      <c r="J147" s="9">
        <f t="shared" si="16"/>
        <v>1337.1708338854201</v>
      </c>
      <c r="K147" s="9">
        <f t="shared" si="17"/>
        <v>397.45852773518999</v>
      </c>
      <c r="L147" s="10">
        <f t="shared" si="14"/>
        <v>0.29723840638992544</v>
      </c>
      <c r="M147" s="10">
        <f t="shared" si="18"/>
        <v>0.30192412358834392</v>
      </c>
      <c r="P147" s="8">
        <f t="shared" si="19"/>
        <v>34.542641174628187</v>
      </c>
    </row>
    <row r="148" spans="1:16" x14ac:dyDescent="0.2">
      <c r="A148" s="8">
        <v>73</v>
      </c>
      <c r="B148" s="8">
        <v>146</v>
      </c>
      <c r="D148">
        <v>1452.5523989899</v>
      </c>
      <c r="E148">
        <v>501.28535353535</v>
      </c>
      <c r="F148">
        <v>141.51280449718999</v>
      </c>
      <c r="G148">
        <v>118.20799500312</v>
      </c>
      <c r="I148" s="9">
        <f t="shared" si="15"/>
        <v>383.07735853222999</v>
      </c>
      <c r="J148" s="9">
        <f t="shared" si="16"/>
        <v>1311.03959449271</v>
      </c>
      <c r="K148" s="9">
        <f t="shared" si="17"/>
        <v>383.07735853222999</v>
      </c>
      <c r="L148" s="10">
        <f t="shared" si="14"/>
        <v>0.29219358449693267</v>
      </c>
      <c r="M148" s="10">
        <f t="shared" si="18"/>
        <v>0.29691161698637475</v>
      </c>
      <c r="P148" s="8">
        <f t="shared" si="19"/>
        <v>32.308981044662247</v>
      </c>
    </row>
    <row r="149" spans="1:16" x14ac:dyDescent="0.2">
      <c r="A149" s="8">
        <v>73.5</v>
      </c>
      <c r="B149" s="8">
        <v>147</v>
      </c>
      <c r="D149">
        <v>1498.7791063561999</v>
      </c>
      <c r="E149">
        <v>510.88797986154998</v>
      </c>
      <c r="F149">
        <v>141.56714553404001</v>
      </c>
      <c r="G149">
        <v>118.02685821362</v>
      </c>
      <c r="I149" s="9">
        <f t="shared" si="15"/>
        <v>392.86112164792996</v>
      </c>
      <c r="J149" s="9">
        <f t="shared" si="16"/>
        <v>1357.2119608221599</v>
      </c>
      <c r="K149" s="9">
        <f t="shared" si="17"/>
        <v>392.86112164792996</v>
      </c>
      <c r="L149" s="10">
        <f t="shared" si="14"/>
        <v>0.28946187698636699</v>
      </c>
      <c r="M149" s="10">
        <f t="shared" si="18"/>
        <v>0.29421222476683262</v>
      </c>
      <c r="P149" s="8">
        <f t="shared" si="19"/>
        <v>31.106084918089007</v>
      </c>
    </row>
    <row r="150" spans="1:16" x14ac:dyDescent="0.2">
      <c r="A150" s="8">
        <v>74</v>
      </c>
      <c r="B150" s="8">
        <v>148</v>
      </c>
      <c r="D150">
        <v>1521.1781249999999</v>
      </c>
      <c r="E150">
        <v>514.32749999999999</v>
      </c>
      <c r="F150">
        <v>141.02373516552001</v>
      </c>
      <c r="G150">
        <v>118.25296689568999</v>
      </c>
      <c r="I150" s="9">
        <f t="shared" si="15"/>
        <v>396.07453310430998</v>
      </c>
      <c r="J150" s="9">
        <f t="shared" si="16"/>
        <v>1380.1543898344798</v>
      </c>
      <c r="K150" s="9">
        <f t="shared" si="17"/>
        <v>396.07453310430998</v>
      </c>
      <c r="L150" s="10">
        <f t="shared" si="14"/>
        <v>0.28697842503823845</v>
      </c>
      <c r="M150" s="10">
        <f t="shared" si="18"/>
        <v>0.29176108810972767</v>
      </c>
      <c r="P150" s="8">
        <f t="shared" si="19"/>
        <v>30.013815788324177</v>
      </c>
    </row>
    <row r="151" spans="1:16" x14ac:dyDescent="0.2">
      <c r="A151" s="8">
        <v>74.5</v>
      </c>
      <c r="B151" s="8">
        <v>149</v>
      </c>
      <c r="D151">
        <v>1522.31125</v>
      </c>
      <c r="E151">
        <v>514.10749999999996</v>
      </c>
      <c r="F151">
        <v>141.12429731418001</v>
      </c>
      <c r="G151">
        <v>118.1086820737</v>
      </c>
      <c r="I151" s="9">
        <f t="shared" si="15"/>
        <v>395.99881792629998</v>
      </c>
      <c r="J151" s="9">
        <f t="shared" si="16"/>
        <v>1381.18695268582</v>
      </c>
      <c r="K151" s="9">
        <f t="shared" si="17"/>
        <v>395.99881792629998</v>
      </c>
      <c r="L151" s="10">
        <f t="shared" si="14"/>
        <v>0.28670906364721377</v>
      </c>
      <c r="M151" s="10">
        <f t="shared" si="18"/>
        <v>0.29152404200972659</v>
      </c>
      <c r="P151" s="8">
        <f t="shared" si="19"/>
        <v>29.908183922955995</v>
      </c>
    </row>
    <row r="152" spans="1:16" x14ac:dyDescent="0.2">
      <c r="A152" s="8">
        <v>75</v>
      </c>
      <c r="B152" s="8">
        <v>150</v>
      </c>
      <c r="D152">
        <v>1537.9207547169999</v>
      </c>
      <c r="E152">
        <v>507.87295597484001</v>
      </c>
      <c r="F152">
        <v>140.64959400375</v>
      </c>
      <c r="G152">
        <v>118.15927545284001</v>
      </c>
      <c r="I152" s="9">
        <f t="shared" si="15"/>
        <v>389.713680522</v>
      </c>
      <c r="J152" s="9">
        <f t="shared" si="16"/>
        <v>1397.2711607132499</v>
      </c>
      <c r="K152" s="9">
        <f t="shared" si="17"/>
        <v>389.713680522</v>
      </c>
      <c r="L152" s="10">
        <f t="shared" si="14"/>
        <v>0.27891055900922418</v>
      </c>
      <c r="M152" s="10">
        <f t="shared" si="18"/>
        <v>0.28375785266276055</v>
      </c>
      <c r="P152" s="8">
        <f t="shared" si="19"/>
        <v>26.447434863938401</v>
      </c>
    </row>
    <row r="153" spans="1:16" x14ac:dyDescent="0.2">
      <c r="A153" s="8">
        <v>75.5</v>
      </c>
      <c r="B153" s="8">
        <v>151</v>
      </c>
      <c r="D153">
        <v>1523.4238993711001</v>
      </c>
      <c r="E153">
        <v>500.30628930818</v>
      </c>
      <c r="F153">
        <v>140.99250468457001</v>
      </c>
      <c r="G153">
        <v>118.40537164272</v>
      </c>
      <c r="I153" s="9">
        <f t="shared" si="15"/>
        <v>381.90091766545999</v>
      </c>
      <c r="J153" s="9">
        <f t="shared" si="16"/>
        <v>1382.43139468653</v>
      </c>
      <c r="K153" s="9">
        <f t="shared" si="17"/>
        <v>381.90091766545999</v>
      </c>
      <c r="L153" s="10">
        <f t="shared" si="14"/>
        <v>0.27625307059237975</v>
      </c>
      <c r="M153" s="10">
        <f t="shared" si="18"/>
        <v>0.28113267953693971</v>
      </c>
      <c r="P153" s="8">
        <f t="shared" si="19"/>
        <v>25.277612056503003</v>
      </c>
    </row>
    <row r="154" spans="1:16" x14ac:dyDescent="0.2">
      <c r="A154" s="8">
        <v>76</v>
      </c>
      <c r="B154" s="8">
        <v>152</v>
      </c>
      <c r="D154">
        <v>1522.8998740554</v>
      </c>
      <c r="E154">
        <v>497.03022670025001</v>
      </c>
      <c r="F154">
        <v>141.50281074329001</v>
      </c>
      <c r="G154">
        <v>118.23610243598</v>
      </c>
      <c r="I154" s="9">
        <f t="shared" si="15"/>
        <v>378.79412426427001</v>
      </c>
      <c r="J154" s="9">
        <f t="shared" si="16"/>
        <v>1381.39706331211</v>
      </c>
      <c r="K154" s="9">
        <f t="shared" si="17"/>
        <v>378.79412426427001</v>
      </c>
      <c r="L154" s="10">
        <f t="shared" si="14"/>
        <v>0.27421089440863106</v>
      </c>
      <c r="M154" s="10">
        <f t="shared" si="18"/>
        <v>0.27912281864421457</v>
      </c>
      <c r="P154" s="8">
        <f t="shared" si="19"/>
        <v>24.381983082948281</v>
      </c>
    </row>
    <row r="155" spans="1:16" x14ac:dyDescent="0.2">
      <c r="A155" s="8">
        <v>76.5</v>
      </c>
      <c r="B155" s="8">
        <v>153</v>
      </c>
      <c r="D155">
        <v>1530.9307304786</v>
      </c>
      <c r="E155">
        <v>498.14924433249001</v>
      </c>
      <c r="F155">
        <v>140.93191755153001</v>
      </c>
      <c r="G155">
        <v>117.79200499688</v>
      </c>
      <c r="I155" s="9">
        <f t="shared" si="15"/>
        <v>380.35723933561002</v>
      </c>
      <c r="J155" s="9">
        <f t="shared" si="16"/>
        <v>1389.99881292707</v>
      </c>
      <c r="K155" s="9">
        <f t="shared" si="17"/>
        <v>380.35723933561002</v>
      </c>
      <c r="L155" s="10">
        <f t="shared" si="14"/>
        <v>0.27363853537014959</v>
      </c>
      <c r="M155" s="10">
        <f t="shared" si="18"/>
        <v>0.2785827748967567</v>
      </c>
      <c r="P155" s="8">
        <f t="shared" si="19"/>
        <v>24.141330195496693</v>
      </c>
    </row>
    <row r="156" spans="1:16" x14ac:dyDescent="0.2">
      <c r="A156" s="8">
        <v>77</v>
      </c>
      <c r="B156" s="8">
        <v>154</v>
      </c>
      <c r="D156">
        <v>1558.9559193954999</v>
      </c>
      <c r="E156">
        <v>505.73866498741</v>
      </c>
      <c r="F156">
        <v>141.14990630855999</v>
      </c>
      <c r="G156">
        <v>117.82510930668001</v>
      </c>
      <c r="I156" s="9">
        <f t="shared" si="15"/>
        <v>387.91355568072998</v>
      </c>
      <c r="J156" s="9">
        <f t="shared" si="16"/>
        <v>1417.8060130869399</v>
      </c>
      <c r="K156" s="9">
        <f t="shared" si="17"/>
        <v>387.91355568072998</v>
      </c>
      <c r="L156" s="10">
        <f t="shared" si="14"/>
        <v>0.27360129107940462</v>
      </c>
      <c r="M156" s="10">
        <f t="shared" si="18"/>
        <v>0.27857784589703527</v>
      </c>
      <c r="P156" s="8">
        <f t="shared" si="19"/>
        <v>24.139133747485221</v>
      </c>
    </row>
    <row r="157" spans="1:16" x14ac:dyDescent="0.2">
      <c r="A157" s="8">
        <v>77.5</v>
      </c>
      <c r="B157" s="8">
        <v>155</v>
      </c>
      <c r="D157">
        <v>1531.9149874054999</v>
      </c>
      <c r="E157">
        <v>489.04219143577001</v>
      </c>
      <c r="F157">
        <v>141.64272329793999</v>
      </c>
      <c r="G157">
        <v>118.02248594628</v>
      </c>
      <c r="I157" s="9">
        <f t="shared" si="15"/>
        <v>371.01970548948998</v>
      </c>
      <c r="J157" s="9">
        <f t="shared" si="16"/>
        <v>1390.27226410756</v>
      </c>
      <c r="K157" s="9">
        <f t="shared" si="17"/>
        <v>371.01970548948998</v>
      </c>
      <c r="L157" s="10">
        <f t="shared" si="14"/>
        <v>0.26686837899888194</v>
      </c>
      <c r="M157" s="10">
        <f t="shared" si="18"/>
        <v>0.27187724910753619</v>
      </c>
      <c r="P157" s="8">
        <f t="shared" si="19"/>
        <v>21.153231267116993</v>
      </c>
    </row>
    <row r="158" spans="1:16" x14ac:dyDescent="0.2">
      <c r="A158" s="8">
        <v>78</v>
      </c>
      <c r="B158" s="8">
        <v>156</v>
      </c>
      <c r="D158">
        <v>1561.1372795970001</v>
      </c>
      <c r="E158">
        <v>493.42821158689998</v>
      </c>
      <c r="F158">
        <v>141.64834478450999</v>
      </c>
      <c r="G158">
        <v>117.85446595878</v>
      </c>
      <c r="I158" s="9">
        <f t="shared" si="15"/>
        <v>375.57374562811998</v>
      </c>
      <c r="J158" s="9">
        <f t="shared" si="16"/>
        <v>1419.48893481249</v>
      </c>
      <c r="K158" s="9">
        <f t="shared" si="17"/>
        <v>375.57374562811998</v>
      </c>
      <c r="L158" s="10">
        <f t="shared" si="14"/>
        <v>0.26458377830027402</v>
      </c>
      <c r="M158" s="10">
        <f t="shared" si="18"/>
        <v>0.26962496369995187</v>
      </c>
      <c r="P158" s="8">
        <f t="shared" si="19"/>
        <v>20.149573712980544</v>
      </c>
    </row>
    <row r="159" spans="1:16" x14ac:dyDescent="0.2">
      <c r="A159" s="8">
        <v>78.5</v>
      </c>
      <c r="B159" s="8">
        <v>157</v>
      </c>
      <c r="D159">
        <v>1527.0788485607</v>
      </c>
      <c r="E159">
        <v>488.08135168961002</v>
      </c>
      <c r="F159">
        <v>141.33041848844999</v>
      </c>
      <c r="G159">
        <v>118.00437226733</v>
      </c>
      <c r="I159" s="9">
        <f t="shared" si="15"/>
        <v>370.07697942228003</v>
      </c>
      <c r="J159" s="9">
        <f t="shared" si="16"/>
        <v>1385.7484300722499</v>
      </c>
      <c r="K159" s="9">
        <f t="shared" si="17"/>
        <v>370.07697942228003</v>
      </c>
      <c r="L159" s="10">
        <f t="shared" si="14"/>
        <v>0.26705928102908622</v>
      </c>
      <c r="M159" s="10">
        <f t="shared" si="18"/>
        <v>0.27213278171978761</v>
      </c>
      <c r="P159" s="8">
        <f t="shared" si="19"/>
        <v>21.267101043900492</v>
      </c>
    </row>
    <row r="160" spans="1:16" x14ac:dyDescent="0.2">
      <c r="A160" s="8">
        <v>79</v>
      </c>
      <c r="B160" s="8">
        <v>158</v>
      </c>
      <c r="D160">
        <v>1440.6051314143001</v>
      </c>
      <c r="E160">
        <v>456.02440550687999</v>
      </c>
      <c r="F160">
        <v>141.21923797626999</v>
      </c>
      <c r="G160">
        <v>117.80824484697</v>
      </c>
      <c r="I160" s="9">
        <f t="shared" si="15"/>
        <v>338.21616065990997</v>
      </c>
      <c r="J160" s="9">
        <f t="shared" si="16"/>
        <v>1299.3858934380301</v>
      </c>
      <c r="K160" s="9">
        <f t="shared" si="17"/>
        <v>338.21616065990997</v>
      </c>
      <c r="L160" s="10">
        <f t="shared" si="14"/>
        <v>0.26028923537489523</v>
      </c>
      <c r="M160" s="10">
        <f t="shared" si="18"/>
        <v>0.26539505135662023</v>
      </c>
      <c r="P160" s="8">
        <f t="shared" si="19"/>
        <v>18.264651197199925</v>
      </c>
    </row>
    <row r="161" spans="1:16" x14ac:dyDescent="0.2">
      <c r="A161" s="8">
        <v>79.5</v>
      </c>
      <c r="B161" s="8">
        <v>159</v>
      </c>
      <c r="D161">
        <v>1513.3988764045</v>
      </c>
      <c r="E161">
        <v>480.57990012483998</v>
      </c>
      <c r="F161">
        <v>141.56839475327999</v>
      </c>
      <c r="G161">
        <v>117.95003123047999</v>
      </c>
      <c r="I161" s="9">
        <f t="shared" si="15"/>
        <v>362.62986889436002</v>
      </c>
      <c r="J161" s="9">
        <f t="shared" si="16"/>
        <v>1371.83048165122</v>
      </c>
      <c r="K161" s="9">
        <f t="shared" si="17"/>
        <v>362.62986889436002</v>
      </c>
      <c r="L161" s="10">
        <f t="shared" si="14"/>
        <v>0.26434014533477657</v>
      </c>
      <c r="M161" s="10">
        <f t="shared" si="18"/>
        <v>0.2694782766075251</v>
      </c>
      <c r="P161" s="8">
        <f t="shared" si="19"/>
        <v>20.084207393102663</v>
      </c>
    </row>
    <row r="162" spans="1:16" x14ac:dyDescent="0.2">
      <c r="A162" s="8">
        <v>80</v>
      </c>
      <c r="B162" s="4">
        <v>160</v>
      </c>
      <c r="C162" s="4" t="s">
        <v>6</v>
      </c>
      <c r="D162">
        <v>1485.8483146066999</v>
      </c>
      <c r="E162">
        <v>468.11735330837001</v>
      </c>
      <c r="F162">
        <v>140.58650843223</v>
      </c>
      <c r="G162">
        <v>117.85883822611</v>
      </c>
      <c r="H162" s="4"/>
      <c r="I162" s="5">
        <f t="shared" si="15"/>
        <v>350.25851508226003</v>
      </c>
      <c r="J162" s="5">
        <f t="shared" si="16"/>
        <v>1345.2618061744699</v>
      </c>
      <c r="K162" s="9">
        <f t="shared" si="17"/>
        <v>350.25851508226003</v>
      </c>
      <c r="L162" s="6">
        <f t="shared" si="14"/>
        <v>0.26036457251268624</v>
      </c>
      <c r="M162" s="6">
        <f t="shared" si="18"/>
        <v>0.26553501907645838</v>
      </c>
      <c r="N162" s="4"/>
      <c r="O162" s="4"/>
      <c r="P162" s="4">
        <f t="shared" si="19"/>
        <v>18.327023247774761</v>
      </c>
    </row>
    <row r="163" spans="1:16" x14ac:dyDescent="0.2">
      <c r="A163" s="8">
        <v>80.5</v>
      </c>
      <c r="B163" s="8">
        <v>161</v>
      </c>
      <c r="D163">
        <v>1505.8807740325001</v>
      </c>
      <c r="E163">
        <v>463.69787765293</v>
      </c>
      <c r="F163">
        <v>140.99750156152001</v>
      </c>
      <c r="G163">
        <v>117.80387257964</v>
      </c>
      <c r="I163" s="9">
        <f t="shared" si="15"/>
        <v>345.89400507329003</v>
      </c>
      <c r="J163" s="9">
        <f t="shared" si="16"/>
        <v>1364.88327247098</v>
      </c>
      <c r="K163" s="9">
        <f t="shared" si="17"/>
        <v>345.89400507329003</v>
      </c>
      <c r="L163" s="10">
        <f t="shared" si="14"/>
        <v>0.25342387297859159</v>
      </c>
      <c r="M163" s="10">
        <f t="shared" si="18"/>
        <v>0.25862663483338733</v>
      </c>
      <c r="P163" s="8">
        <f t="shared" si="19"/>
        <v>15.248527063815489</v>
      </c>
    </row>
    <row r="164" spans="1:16" x14ac:dyDescent="0.2">
      <c r="A164" s="8">
        <v>81</v>
      </c>
      <c r="B164" s="8">
        <v>162</v>
      </c>
      <c r="D164">
        <v>1512.6021370207</v>
      </c>
      <c r="E164">
        <v>458.13199245756999</v>
      </c>
      <c r="F164">
        <v>141.16677076827</v>
      </c>
      <c r="G164">
        <v>117.5921299188</v>
      </c>
      <c r="I164" s="9">
        <f t="shared" si="15"/>
        <v>340.53986253876997</v>
      </c>
      <c r="J164" s="9">
        <f t="shared" si="16"/>
        <v>1371.43536625243</v>
      </c>
      <c r="K164" s="9">
        <f t="shared" si="17"/>
        <v>340.53986253876997</v>
      </c>
      <c r="L164" s="10">
        <f t="shared" si="14"/>
        <v>0.24830908617248632</v>
      </c>
      <c r="M164" s="10">
        <f t="shared" si="18"/>
        <v>0.25354416331830559</v>
      </c>
      <c r="P164" s="8">
        <f t="shared" si="19"/>
        <v>12.983689351588676</v>
      </c>
    </row>
    <row r="165" spans="1:16" x14ac:dyDescent="0.2">
      <c r="A165" s="8">
        <v>81.5</v>
      </c>
      <c r="B165" s="8">
        <v>163</v>
      </c>
      <c r="D165">
        <v>1423.3709981167999</v>
      </c>
      <c r="E165">
        <v>437.01946013809999</v>
      </c>
      <c r="F165">
        <v>140.84447220486999</v>
      </c>
      <c r="G165">
        <v>117.75140537164</v>
      </c>
      <c r="I165" s="9">
        <f t="shared" si="15"/>
        <v>319.26805476645995</v>
      </c>
      <c r="J165" s="9">
        <f t="shared" si="16"/>
        <v>1282.5265259119299</v>
      </c>
      <c r="K165" s="9">
        <f t="shared" si="17"/>
        <v>319.26805476645995</v>
      </c>
      <c r="L165" s="10">
        <f t="shared" si="14"/>
        <v>0.24893680428125808</v>
      </c>
      <c r="M165" s="10">
        <f t="shared" si="18"/>
        <v>0.25420419671810096</v>
      </c>
      <c r="P165" s="8">
        <f t="shared" si="19"/>
        <v>13.277811715235959</v>
      </c>
    </row>
    <row r="166" spans="1:16" x14ac:dyDescent="0.2">
      <c r="A166" s="8">
        <v>82</v>
      </c>
      <c r="B166" s="8">
        <v>164</v>
      </c>
      <c r="D166">
        <v>1404.3712311557999</v>
      </c>
      <c r="E166">
        <v>433.27135678392</v>
      </c>
      <c r="F166">
        <v>141.13304184884001</v>
      </c>
      <c r="G166">
        <v>117.36727045597</v>
      </c>
      <c r="I166" s="9">
        <f t="shared" si="15"/>
        <v>315.90408632794998</v>
      </c>
      <c r="J166" s="9">
        <f t="shared" si="16"/>
        <v>1263.2381893069598</v>
      </c>
      <c r="K166" s="9">
        <f t="shared" si="17"/>
        <v>315.90408632794998</v>
      </c>
      <c r="L166" s="10">
        <f t="shared" si="14"/>
        <v>0.25007483861872626</v>
      </c>
      <c r="M166" s="10">
        <f t="shared" si="18"/>
        <v>0.25537454634659268</v>
      </c>
      <c r="P166" s="8">
        <f t="shared" si="19"/>
        <v>13.799339866890747</v>
      </c>
    </row>
    <row r="167" spans="1:16" x14ac:dyDescent="0.2">
      <c r="A167" s="8">
        <v>82.5</v>
      </c>
      <c r="B167" s="8">
        <v>165</v>
      </c>
      <c r="D167">
        <v>1363.2575376883999</v>
      </c>
      <c r="E167">
        <v>422.59987437185998</v>
      </c>
      <c r="F167">
        <v>140.79200499688</v>
      </c>
      <c r="G167">
        <v>117.63210493442</v>
      </c>
      <c r="I167" s="9">
        <f t="shared" si="15"/>
        <v>304.96776943743998</v>
      </c>
      <c r="J167" s="9">
        <f t="shared" si="16"/>
        <v>1222.4655326915199</v>
      </c>
      <c r="K167" s="9">
        <f t="shared" si="17"/>
        <v>304.96776943743998</v>
      </c>
      <c r="L167" s="10">
        <f t="shared" si="14"/>
        <v>0.24946942165803895</v>
      </c>
      <c r="M167" s="10">
        <f t="shared" si="18"/>
        <v>0.25480144467692895</v>
      </c>
      <c r="P167" s="8">
        <f t="shared" si="19"/>
        <v>13.543955794290843</v>
      </c>
    </row>
    <row r="168" spans="1:16" x14ac:dyDescent="0.2">
      <c r="A168" s="8">
        <v>83</v>
      </c>
      <c r="B168" s="8">
        <v>166</v>
      </c>
      <c r="D168">
        <v>1412.7040302267001</v>
      </c>
      <c r="E168">
        <v>433.66624685138999</v>
      </c>
      <c r="F168">
        <v>140.73079325422</v>
      </c>
      <c r="G168">
        <v>117.83322923173</v>
      </c>
      <c r="I168" s="9">
        <f t="shared" si="15"/>
        <v>315.83301761965998</v>
      </c>
      <c r="J168" s="9">
        <f t="shared" si="16"/>
        <v>1271.97323697248</v>
      </c>
      <c r="K168" s="9">
        <f t="shared" si="17"/>
        <v>315.83301761965998</v>
      </c>
      <c r="L168" s="10">
        <f t="shared" si="14"/>
        <v>0.24830162179465198</v>
      </c>
      <c r="M168" s="10">
        <f t="shared" si="18"/>
        <v>0.25366596010456555</v>
      </c>
      <c r="P168" s="8">
        <f t="shared" si="19"/>
        <v>13.037964118093715</v>
      </c>
    </row>
    <row r="169" spans="1:16" x14ac:dyDescent="0.2">
      <c r="A169" s="8">
        <v>83.5</v>
      </c>
      <c r="B169" s="8">
        <v>167</v>
      </c>
      <c r="D169">
        <v>1416.3683879093001</v>
      </c>
      <c r="E169">
        <v>435.69143576826002</v>
      </c>
      <c r="F169">
        <v>141.35477826358999</v>
      </c>
      <c r="G169">
        <v>117.70955652716999</v>
      </c>
      <c r="I169" s="9">
        <f t="shared" si="15"/>
        <v>317.98187924109004</v>
      </c>
      <c r="J169" s="9">
        <f t="shared" si="16"/>
        <v>1275.0136096457099</v>
      </c>
      <c r="K169" s="9">
        <f t="shared" si="17"/>
        <v>317.98187924109004</v>
      </c>
      <c r="L169" s="10">
        <f t="shared" si="14"/>
        <v>0.24939489024705247</v>
      </c>
      <c r="M169" s="10">
        <f t="shared" si="18"/>
        <v>0.25479154384798963</v>
      </c>
      <c r="P169" s="8">
        <f t="shared" si="19"/>
        <v>13.539543812699304</v>
      </c>
    </row>
    <row r="170" spans="1:16" x14ac:dyDescent="0.2">
      <c r="A170" s="8">
        <v>84</v>
      </c>
      <c r="B170" s="8">
        <v>168</v>
      </c>
      <c r="D170">
        <v>1345.3766396003</v>
      </c>
      <c r="E170">
        <v>414.94128669582</v>
      </c>
      <c r="F170">
        <v>140.82760774516001</v>
      </c>
      <c r="G170">
        <v>117.8419737664</v>
      </c>
      <c r="I170" s="9">
        <f t="shared" si="15"/>
        <v>297.09931292941997</v>
      </c>
      <c r="J170" s="9">
        <f t="shared" si="16"/>
        <v>1204.5490318551399</v>
      </c>
      <c r="K170" s="9">
        <f t="shared" si="17"/>
        <v>297.09931292941997</v>
      </c>
      <c r="L170" s="10">
        <f t="shared" si="14"/>
        <v>0.24664775370069733</v>
      </c>
      <c r="M170" s="10">
        <f t="shared" si="18"/>
        <v>0.25207672259265806</v>
      </c>
      <c r="P170" s="8">
        <f t="shared" si="19"/>
        <v>12.329772239403827</v>
      </c>
    </row>
    <row r="171" spans="1:16" x14ac:dyDescent="0.2">
      <c r="A171" s="8">
        <v>84.5</v>
      </c>
      <c r="B171" s="8">
        <v>169</v>
      </c>
      <c r="D171">
        <v>1343.0762023735001</v>
      </c>
      <c r="E171">
        <v>414.09743910056</v>
      </c>
      <c r="F171">
        <v>140.92816989382001</v>
      </c>
      <c r="G171">
        <v>118.00687070581</v>
      </c>
      <c r="I171" s="9">
        <f t="shared" si="15"/>
        <v>296.09056839474999</v>
      </c>
      <c r="J171" s="9">
        <f t="shared" si="16"/>
        <v>1202.1480324796801</v>
      </c>
      <c r="K171" s="9">
        <f t="shared" si="17"/>
        <v>296.09056839474999</v>
      </c>
      <c r="L171" s="10">
        <f t="shared" si="14"/>
        <v>0.24630125441706349</v>
      </c>
      <c r="M171" s="10">
        <f t="shared" si="18"/>
        <v>0.25176253860004782</v>
      </c>
      <c r="P171" s="8">
        <f t="shared" si="19"/>
        <v>12.18976638734344</v>
      </c>
    </row>
    <row r="172" spans="1:16" x14ac:dyDescent="0.2">
      <c r="A172" s="8">
        <v>85</v>
      </c>
      <c r="B172" s="8">
        <v>170</v>
      </c>
      <c r="D172">
        <v>1327.3647720174999</v>
      </c>
      <c r="E172">
        <v>409.62710805746002</v>
      </c>
      <c r="F172">
        <v>140.61586508432001</v>
      </c>
      <c r="G172">
        <v>117.91880074953001</v>
      </c>
      <c r="I172" s="9">
        <f t="shared" si="15"/>
        <v>291.70830730793</v>
      </c>
      <c r="J172" s="9">
        <f t="shared" si="16"/>
        <v>1186.74890693318</v>
      </c>
      <c r="K172" s="9">
        <f t="shared" si="17"/>
        <v>291.70830730793</v>
      </c>
      <c r="L172" s="10">
        <f t="shared" si="14"/>
        <v>0.24580457214135412</v>
      </c>
      <c r="M172" s="10">
        <f t="shared" si="18"/>
        <v>0.251298171615362</v>
      </c>
      <c r="P172" s="8">
        <f t="shared" si="19"/>
        <v>11.982836381713572</v>
      </c>
    </row>
    <row r="173" spans="1:16" x14ac:dyDescent="0.2">
      <c r="A173" s="8">
        <v>85.5</v>
      </c>
      <c r="B173" s="8">
        <v>171</v>
      </c>
      <c r="D173">
        <v>1331.754517134</v>
      </c>
      <c r="E173">
        <v>413.82616822429998</v>
      </c>
      <c r="F173">
        <v>141.22923173017</v>
      </c>
      <c r="G173">
        <v>118.03560274828</v>
      </c>
      <c r="I173" s="9">
        <f t="shared" si="15"/>
        <v>295.79056547601999</v>
      </c>
      <c r="J173" s="9">
        <f t="shared" si="16"/>
        <v>1190.5252854038299</v>
      </c>
      <c r="K173" s="9">
        <f t="shared" si="17"/>
        <v>295.79056547601999</v>
      </c>
      <c r="L173" s="10">
        <f t="shared" si="14"/>
        <v>0.24845382882874839</v>
      </c>
      <c r="M173" s="10">
        <f t="shared" si="18"/>
        <v>0.25397974359377984</v>
      </c>
      <c r="P173" s="8">
        <f t="shared" si="19"/>
        <v>13.177791498874464</v>
      </c>
    </row>
    <row r="174" spans="1:16" x14ac:dyDescent="0.2">
      <c r="A174" s="8">
        <v>86</v>
      </c>
      <c r="B174" s="8">
        <v>172</v>
      </c>
      <c r="D174">
        <v>1319.1489096573</v>
      </c>
      <c r="E174">
        <v>406.07040498442001</v>
      </c>
      <c r="F174">
        <v>141.26171143036001</v>
      </c>
      <c r="G174">
        <v>117.40474703309999</v>
      </c>
      <c r="I174" s="9">
        <f t="shared" si="15"/>
        <v>288.66565795131999</v>
      </c>
      <c r="J174" s="9">
        <f t="shared" si="16"/>
        <v>1177.88719822694</v>
      </c>
      <c r="K174" s="9">
        <f t="shared" si="17"/>
        <v>288.66565795131999</v>
      </c>
      <c r="L174" s="10">
        <f t="shared" si="14"/>
        <v>0.24507071507852796</v>
      </c>
      <c r="M174" s="10">
        <f t="shared" si="18"/>
        <v>0.250628945134583</v>
      </c>
      <c r="P174" s="8">
        <f t="shared" si="19"/>
        <v>11.684617421274455</v>
      </c>
    </row>
    <row r="175" spans="1:16" x14ac:dyDescent="0.2">
      <c r="A175" s="8">
        <v>86.5</v>
      </c>
      <c r="B175" s="8">
        <v>173</v>
      </c>
      <c r="D175">
        <v>1331.214953271</v>
      </c>
      <c r="E175">
        <v>411.33582554517</v>
      </c>
      <c r="F175">
        <v>141.37976264835001</v>
      </c>
      <c r="G175">
        <v>117.71892567146</v>
      </c>
      <c r="I175" s="9">
        <f t="shared" si="15"/>
        <v>293.61689987371</v>
      </c>
      <c r="J175" s="9">
        <f t="shared" si="16"/>
        <v>1189.8351906226501</v>
      </c>
      <c r="K175" s="9">
        <f t="shared" si="17"/>
        <v>293.61689987371</v>
      </c>
      <c r="L175" s="10">
        <f t="shared" si="14"/>
        <v>0.24677106727702175</v>
      </c>
      <c r="M175" s="10">
        <f t="shared" si="18"/>
        <v>0.25236161262410034</v>
      </c>
      <c r="P175" s="8">
        <f t="shared" si="19"/>
        <v>12.456724192825169</v>
      </c>
    </row>
    <row r="176" spans="1:16" x14ac:dyDescent="0.2">
      <c r="A176" s="8">
        <v>87</v>
      </c>
      <c r="B176" s="8">
        <v>174</v>
      </c>
      <c r="D176">
        <v>1332.5406579764001</v>
      </c>
      <c r="E176">
        <v>408.66790813159997</v>
      </c>
      <c r="F176">
        <v>141.26483447845001</v>
      </c>
      <c r="G176">
        <v>117.80699562773</v>
      </c>
      <c r="I176" s="9">
        <f t="shared" si="15"/>
        <v>290.86091250386994</v>
      </c>
      <c r="J176" s="9">
        <f t="shared" si="16"/>
        <v>1191.2758234979501</v>
      </c>
      <c r="K176" s="9">
        <f t="shared" si="17"/>
        <v>290.86091250386994</v>
      </c>
      <c r="L176" s="10">
        <f t="shared" si="14"/>
        <v>0.24415916680808089</v>
      </c>
      <c r="M176" s="10">
        <f t="shared" si="18"/>
        <v>0.24978202744618308</v>
      </c>
      <c r="P176" s="8">
        <f t="shared" si="19"/>
        <v>11.307216167937719</v>
      </c>
    </row>
    <row r="177" spans="1:16" x14ac:dyDescent="0.2">
      <c r="A177" s="8">
        <v>87.5</v>
      </c>
      <c r="B177" s="8">
        <v>175</v>
      </c>
      <c r="D177">
        <v>1308.1800124147001</v>
      </c>
      <c r="E177">
        <v>398.69522036003002</v>
      </c>
      <c r="F177">
        <v>140.98875702685999</v>
      </c>
      <c r="G177">
        <v>117.91380387258</v>
      </c>
      <c r="I177" s="9">
        <f t="shared" si="15"/>
        <v>280.78141648745003</v>
      </c>
      <c r="J177" s="9">
        <f t="shared" si="16"/>
        <v>1167.1912553878401</v>
      </c>
      <c r="K177" s="9">
        <f t="shared" si="17"/>
        <v>280.78141648745003</v>
      </c>
      <c r="L177" s="10">
        <f t="shared" si="14"/>
        <v>0.2405616176366491</v>
      </c>
      <c r="M177" s="10">
        <f t="shared" si="18"/>
        <v>0.24621679356577486</v>
      </c>
      <c r="P177" s="8">
        <f t="shared" si="19"/>
        <v>9.7184859367310175</v>
      </c>
    </row>
    <row r="178" spans="1:16" x14ac:dyDescent="0.2">
      <c r="A178" s="8">
        <v>88</v>
      </c>
      <c r="B178" s="8">
        <v>176</v>
      </c>
      <c r="D178">
        <v>1328.4735849056999</v>
      </c>
      <c r="E178">
        <v>403.13396226415</v>
      </c>
      <c r="F178">
        <v>141.09119300437001</v>
      </c>
      <c r="G178">
        <v>117.94503435353</v>
      </c>
      <c r="I178" s="9">
        <f t="shared" si="15"/>
        <v>285.18892791062001</v>
      </c>
      <c r="J178" s="9">
        <f t="shared" si="16"/>
        <v>1187.3823919013298</v>
      </c>
      <c r="K178" s="9">
        <f t="shared" si="17"/>
        <v>285.18892791062001</v>
      </c>
      <c r="L178" s="10">
        <f t="shared" si="14"/>
        <v>0.24018288451621145</v>
      </c>
      <c r="M178" s="10">
        <f t="shared" si="18"/>
        <v>0.24587037573636078</v>
      </c>
      <c r="P178" s="8">
        <f t="shared" si="19"/>
        <v>9.5641161263116956</v>
      </c>
    </row>
    <row r="179" spans="1:16" x14ac:dyDescent="0.2">
      <c r="A179" s="8">
        <v>88.5</v>
      </c>
      <c r="B179" s="8">
        <v>177</v>
      </c>
      <c r="D179">
        <v>1321.5188679245</v>
      </c>
      <c r="E179">
        <v>399.73522012579002</v>
      </c>
      <c r="F179">
        <v>140.56964397252</v>
      </c>
      <c r="G179">
        <v>117.67832604621999</v>
      </c>
      <c r="I179" s="9">
        <f t="shared" si="15"/>
        <v>282.05689407957004</v>
      </c>
      <c r="J179" s="9">
        <f t="shared" si="16"/>
        <v>1180.94922395198</v>
      </c>
      <c r="K179" s="9">
        <f t="shared" si="17"/>
        <v>282.05689407957004</v>
      </c>
      <c r="L179" s="10">
        <f t="shared" si="14"/>
        <v>0.23883913749964841</v>
      </c>
      <c r="M179" s="10">
        <f t="shared" si="18"/>
        <v>0.24455894401082134</v>
      </c>
      <c r="P179" s="8">
        <f t="shared" si="19"/>
        <v>8.9797193382138811</v>
      </c>
    </row>
    <row r="180" spans="1:16" x14ac:dyDescent="0.2">
      <c r="A180" s="8">
        <v>89</v>
      </c>
      <c r="B180" s="8">
        <v>178</v>
      </c>
      <c r="D180">
        <v>1324.0955974843</v>
      </c>
      <c r="E180">
        <v>398.20566037736</v>
      </c>
      <c r="F180">
        <v>141.56839475327999</v>
      </c>
      <c r="G180">
        <v>118.09806371018</v>
      </c>
      <c r="I180" s="9">
        <f t="shared" si="15"/>
        <v>280.10759666718002</v>
      </c>
      <c r="J180" s="9">
        <f t="shared" si="16"/>
        <v>1182.52720273102</v>
      </c>
      <c r="K180" s="9">
        <f t="shared" si="17"/>
        <v>280.10759666718002</v>
      </c>
      <c r="L180" s="10">
        <f t="shared" si="14"/>
        <v>0.23687201107955724</v>
      </c>
      <c r="M180" s="10">
        <f t="shared" si="18"/>
        <v>0.24262413288175375</v>
      </c>
      <c r="P180" s="8">
        <f t="shared" si="19"/>
        <v>8.1175338447693655</v>
      </c>
    </row>
    <row r="181" spans="1:16" x14ac:dyDescent="0.2">
      <c r="A181" s="8">
        <v>89.5</v>
      </c>
      <c r="B181" s="8">
        <v>179</v>
      </c>
      <c r="D181">
        <v>1320.4194968554</v>
      </c>
      <c r="E181">
        <v>391.71761006289</v>
      </c>
      <c r="F181">
        <v>140.79700187383</v>
      </c>
      <c r="G181">
        <v>117.93316677077</v>
      </c>
      <c r="I181" s="9">
        <f t="shared" si="15"/>
        <v>273.78444329211999</v>
      </c>
      <c r="J181" s="9">
        <f t="shared" si="16"/>
        <v>1179.6224949815701</v>
      </c>
      <c r="K181" s="9">
        <f t="shared" si="17"/>
        <v>273.78444329211999</v>
      </c>
      <c r="L181" s="10">
        <f t="shared" si="14"/>
        <v>0.23209496636158797</v>
      </c>
      <c r="M181" s="10">
        <f t="shared" si="18"/>
        <v>0.23787940345480804</v>
      </c>
      <c r="P181" s="8">
        <f t="shared" si="19"/>
        <v>6.0031998817415113</v>
      </c>
    </row>
    <row r="182" spans="1:16" x14ac:dyDescent="0.2">
      <c r="A182" s="8">
        <v>90</v>
      </c>
      <c r="B182" s="8">
        <v>180</v>
      </c>
      <c r="D182">
        <v>1315.127672956</v>
      </c>
      <c r="E182">
        <v>390.06540880503002</v>
      </c>
      <c r="F182">
        <v>140.96564647096</v>
      </c>
      <c r="G182">
        <v>117.76826983136</v>
      </c>
      <c r="I182" s="9">
        <f t="shared" si="15"/>
        <v>272.29713897367003</v>
      </c>
      <c r="J182" s="9">
        <f t="shared" si="16"/>
        <v>1174.1620264850399</v>
      </c>
      <c r="K182" s="9">
        <f t="shared" si="17"/>
        <v>272.29713897367003</v>
      </c>
      <c r="L182" s="10">
        <f t="shared" si="14"/>
        <v>0.23190763525951877</v>
      </c>
      <c r="M182" s="10">
        <f>L182+ABS($N$2)*A182</f>
        <v>0.23772438764376241</v>
      </c>
      <c r="P182" s="8">
        <f t="shared" si="19"/>
        <v>5.934122139976358</v>
      </c>
    </row>
    <row r="183" spans="1:16" x14ac:dyDescent="0.2">
      <c r="A183" s="8">
        <v>90.5</v>
      </c>
      <c r="B183" s="8">
        <v>181</v>
      </c>
      <c r="D183">
        <v>1322.0691823899001</v>
      </c>
      <c r="E183">
        <v>387.97295597483998</v>
      </c>
      <c r="F183">
        <v>141.09743910056</v>
      </c>
      <c r="G183">
        <v>117.72142410993</v>
      </c>
      <c r="I183" s="9">
        <f t="shared" si="15"/>
        <v>270.25153186490996</v>
      </c>
      <c r="J183" s="9">
        <f t="shared" si="16"/>
        <v>1180.9717432893401</v>
      </c>
      <c r="K183" s="9">
        <f t="shared" si="17"/>
        <v>270.25153186490996</v>
      </c>
      <c r="L183" s="10">
        <f t="shared" si="14"/>
        <v>0.22883827102601376</v>
      </c>
      <c r="M183" s="10">
        <f t="shared" ref="M183:M241" si="20">L183+ABS($N$2)*A183</f>
        <v>0.23468733870128097</v>
      </c>
      <c r="P183" s="8">
        <f t="shared" si="19"/>
        <v>4.5807603044206662</v>
      </c>
    </row>
    <row r="184" spans="1:16" x14ac:dyDescent="0.2">
      <c r="A184" s="8">
        <v>91</v>
      </c>
      <c r="B184" s="8">
        <v>182</v>
      </c>
      <c r="D184">
        <v>1307.4471698113</v>
      </c>
      <c r="E184">
        <v>378.49748427673001</v>
      </c>
      <c r="F184">
        <v>141.38788257338999</v>
      </c>
      <c r="G184">
        <v>117.8257339163</v>
      </c>
      <c r="I184" s="9">
        <f t="shared" si="15"/>
        <v>260.67175036043</v>
      </c>
      <c r="J184" s="9">
        <f t="shared" si="16"/>
        <v>1166.05928723791</v>
      </c>
      <c r="K184" s="9">
        <f t="shared" si="17"/>
        <v>260.67175036043</v>
      </c>
      <c r="L184" s="10">
        <f t="shared" si="14"/>
        <v>0.22354931109711695</v>
      </c>
      <c r="M184" s="10">
        <f t="shared" si="20"/>
        <v>0.22943069406340774</v>
      </c>
      <c r="P184" s="8">
        <f t="shared" si="19"/>
        <v>2.2383080190902094</v>
      </c>
    </row>
    <row r="185" spans="1:16" x14ac:dyDescent="0.2">
      <c r="A185" s="8">
        <v>91.5</v>
      </c>
      <c r="B185" s="8">
        <v>183</v>
      </c>
      <c r="D185">
        <v>1296.8830188679001</v>
      </c>
      <c r="E185">
        <v>372.05849056604001</v>
      </c>
      <c r="F185">
        <v>140.95752654591001</v>
      </c>
      <c r="G185">
        <v>117.94503435353</v>
      </c>
      <c r="I185" s="9">
        <f t="shared" si="15"/>
        <v>254.11345621251002</v>
      </c>
      <c r="J185" s="9">
        <f t="shared" si="16"/>
        <v>1155.9254923219901</v>
      </c>
      <c r="K185" s="9">
        <f t="shared" si="17"/>
        <v>254.11345621251002</v>
      </c>
      <c r="L185" s="10">
        <f t="shared" si="14"/>
        <v>0.21983549796280916</v>
      </c>
      <c r="M185" s="10">
        <f t="shared" si="20"/>
        <v>0.22574919622012354</v>
      </c>
      <c r="P185" s="8">
        <f t="shared" si="19"/>
        <v>0.59776854371694832</v>
      </c>
    </row>
    <row r="186" spans="1:16" x14ac:dyDescent="0.2">
      <c r="A186" s="8">
        <v>92</v>
      </c>
      <c r="B186" s="8">
        <v>184</v>
      </c>
      <c r="D186">
        <v>1315.4754716980999</v>
      </c>
      <c r="E186">
        <v>373.64905660377002</v>
      </c>
      <c r="F186">
        <v>141.08119925047001</v>
      </c>
      <c r="G186">
        <v>117.78825733916</v>
      </c>
      <c r="I186" s="9">
        <f t="shared" si="15"/>
        <v>255.86079926461002</v>
      </c>
      <c r="J186" s="9">
        <f t="shared" si="16"/>
        <v>1174.3942724476299</v>
      </c>
      <c r="K186" s="9">
        <f t="shared" si="17"/>
        <v>255.86079926461002</v>
      </c>
      <c r="L186" s="10">
        <f t="shared" si="14"/>
        <v>0.21786618452366446</v>
      </c>
      <c r="M186" s="10">
        <f t="shared" si="20"/>
        <v>0.22381219807200242</v>
      </c>
      <c r="P186" s="8">
        <f t="shared" si="19"/>
        <v>-0.26539152345908323</v>
      </c>
    </row>
    <row r="187" spans="1:16" x14ac:dyDescent="0.2">
      <c r="A187" s="8">
        <v>92.5</v>
      </c>
      <c r="B187" s="8">
        <v>185</v>
      </c>
      <c r="D187">
        <v>1307.1220125786001</v>
      </c>
      <c r="E187">
        <v>368.05849056604001</v>
      </c>
      <c r="F187">
        <v>141.29044347282999</v>
      </c>
      <c r="G187">
        <v>117.91880074953001</v>
      </c>
      <c r="I187" s="9">
        <f t="shared" si="15"/>
        <v>250.13968981650999</v>
      </c>
      <c r="J187" s="9">
        <f t="shared" si="16"/>
        <v>1165.8315691057701</v>
      </c>
      <c r="K187" s="9">
        <f t="shared" si="17"/>
        <v>250.13968981650999</v>
      </c>
      <c r="L187" s="10">
        <f t="shared" si="14"/>
        <v>0.2145590293187678</v>
      </c>
      <c r="M187" s="10">
        <f t="shared" si="20"/>
        <v>0.22053735815812933</v>
      </c>
      <c r="P187" s="8">
        <f t="shared" si="19"/>
        <v>-1.7247171520309745</v>
      </c>
    </row>
    <row r="188" spans="1:16" x14ac:dyDescent="0.2">
      <c r="A188" s="8">
        <v>93</v>
      </c>
      <c r="B188" s="8">
        <v>186</v>
      </c>
      <c r="D188">
        <v>1318.4547169811001</v>
      </c>
      <c r="E188">
        <v>368.00943396226</v>
      </c>
      <c r="F188">
        <v>141.53966271081001</v>
      </c>
      <c r="G188">
        <v>117.59025608994</v>
      </c>
      <c r="I188" s="9">
        <f t="shared" si="15"/>
        <v>250.41917787232001</v>
      </c>
      <c r="J188" s="9">
        <f t="shared" si="16"/>
        <v>1176.9150542702901</v>
      </c>
      <c r="K188" s="9">
        <f t="shared" si="17"/>
        <v>250.41917787232001</v>
      </c>
      <c r="L188" s="10">
        <f t="shared" si="14"/>
        <v>0.21277591527417813</v>
      </c>
      <c r="M188" s="10">
        <f t="shared" si="20"/>
        <v>0.21878655940456324</v>
      </c>
      <c r="P188" s="8">
        <f t="shared" si="19"/>
        <v>-2.5049035302191514</v>
      </c>
    </row>
    <row r="189" spans="1:16" x14ac:dyDescent="0.2">
      <c r="A189" s="8">
        <v>93.5</v>
      </c>
      <c r="B189" s="8">
        <v>187</v>
      </c>
      <c r="D189">
        <v>1330.7271016310999</v>
      </c>
      <c r="E189">
        <v>367.51944792974001</v>
      </c>
      <c r="F189">
        <v>140.88507183011001</v>
      </c>
      <c r="G189">
        <v>117.90630855715</v>
      </c>
      <c r="I189" s="9">
        <f t="shared" si="15"/>
        <v>249.61313937259001</v>
      </c>
      <c r="J189" s="9">
        <f t="shared" si="16"/>
        <v>1189.8420298009898</v>
      </c>
      <c r="K189" s="9">
        <f t="shared" si="17"/>
        <v>249.61313937259001</v>
      </c>
      <c r="L189" s="10">
        <f t="shared" si="14"/>
        <v>0.20978678943988868</v>
      </c>
      <c r="M189" s="10">
        <f t="shared" si="20"/>
        <v>0.21582974886129735</v>
      </c>
      <c r="P189" s="8">
        <f t="shared" si="19"/>
        <v>-3.8225097394082508</v>
      </c>
    </row>
    <row r="190" spans="1:16" x14ac:dyDescent="0.2">
      <c r="A190" s="8">
        <v>94</v>
      </c>
      <c r="B190" s="8">
        <v>188</v>
      </c>
      <c r="D190">
        <v>1338.9598494354</v>
      </c>
      <c r="E190">
        <v>368.15495608532001</v>
      </c>
      <c r="F190">
        <v>140.90943160525001</v>
      </c>
      <c r="G190">
        <v>117.65833853841001</v>
      </c>
      <c r="I190" s="9">
        <f t="shared" si="15"/>
        <v>250.49661754690999</v>
      </c>
      <c r="J190" s="9">
        <f t="shared" si="16"/>
        <v>1198.0504178301499</v>
      </c>
      <c r="K190" s="9">
        <f t="shared" si="17"/>
        <v>250.49661754690999</v>
      </c>
      <c r="L190" s="10">
        <f t="shared" si="14"/>
        <v>0.20908687465807757</v>
      </c>
      <c r="M190" s="10">
        <f t="shared" si="20"/>
        <v>0.21516214937050981</v>
      </c>
      <c r="P190" s="8">
        <f t="shared" si="19"/>
        <v>-4.1200036848071209</v>
      </c>
    </row>
    <row r="191" spans="1:16" x14ac:dyDescent="0.2">
      <c r="A191" s="8">
        <v>94.5</v>
      </c>
      <c r="B191" s="8">
        <v>189</v>
      </c>
      <c r="D191">
        <v>1344.2760351316999</v>
      </c>
      <c r="E191">
        <v>369.11229611041</v>
      </c>
      <c r="F191">
        <v>141.23048094941001</v>
      </c>
      <c r="G191">
        <v>117.82261086821001</v>
      </c>
      <c r="I191" s="9">
        <f t="shared" si="15"/>
        <v>251.28968524219999</v>
      </c>
      <c r="J191" s="9">
        <f t="shared" si="16"/>
        <v>1203.0455541822898</v>
      </c>
      <c r="K191" s="9">
        <f t="shared" si="17"/>
        <v>251.28968524219999</v>
      </c>
      <c r="L191" s="10">
        <f t="shared" si="14"/>
        <v>0.20887794678149291</v>
      </c>
      <c r="M191" s="10">
        <f t="shared" si="20"/>
        <v>0.21498553678494875</v>
      </c>
      <c r="P191" s="8">
        <f t="shared" si="19"/>
        <v>-4.1987053249531847</v>
      </c>
    </row>
    <row r="192" spans="1:16" x14ac:dyDescent="0.2">
      <c r="A192" s="8">
        <v>95</v>
      </c>
      <c r="B192" s="8">
        <v>190</v>
      </c>
      <c r="D192">
        <v>1337.8023839397999</v>
      </c>
      <c r="E192">
        <v>362.94542032622002</v>
      </c>
      <c r="F192">
        <v>141.25046845720999</v>
      </c>
      <c r="G192">
        <v>117.48969394129</v>
      </c>
      <c r="I192" s="9">
        <f t="shared" si="15"/>
        <v>245.45572638493002</v>
      </c>
      <c r="J192" s="9">
        <f t="shared" si="16"/>
        <v>1196.5519154825899</v>
      </c>
      <c r="K192" s="9">
        <f t="shared" si="17"/>
        <v>245.45572638493002</v>
      </c>
      <c r="L192" s="10">
        <f t="shared" si="14"/>
        <v>0.20513587685489895</v>
      </c>
      <c r="M192" s="10">
        <f t="shared" si="20"/>
        <v>0.21127578214937837</v>
      </c>
      <c r="P192" s="8">
        <f t="shared" si="19"/>
        <v>-5.8518365184711341</v>
      </c>
    </row>
    <row r="193" spans="1:16" x14ac:dyDescent="0.2">
      <c r="A193" s="8">
        <v>95.5</v>
      </c>
      <c r="B193" s="8">
        <v>191</v>
      </c>
      <c r="D193">
        <v>1402.3603491271999</v>
      </c>
      <c r="E193">
        <v>376.57605985036997</v>
      </c>
      <c r="F193">
        <v>140.92941911304999</v>
      </c>
      <c r="G193">
        <v>117.90006246096</v>
      </c>
      <c r="I193" s="9">
        <f t="shared" si="15"/>
        <v>258.67599738940999</v>
      </c>
      <c r="J193" s="9">
        <f t="shared" si="16"/>
        <v>1261.4309300141499</v>
      </c>
      <c r="K193" s="9">
        <f t="shared" si="17"/>
        <v>258.67599738940999</v>
      </c>
      <c r="L193" s="10">
        <f t="shared" si="14"/>
        <v>0.20506552616916435</v>
      </c>
      <c r="M193" s="10">
        <f t="shared" si="20"/>
        <v>0.21123774675466733</v>
      </c>
      <c r="P193" s="8">
        <f t="shared" si="19"/>
        <v>-5.8687857519464925</v>
      </c>
    </row>
    <row r="194" spans="1:16" x14ac:dyDescent="0.2">
      <c r="A194" s="8">
        <v>96</v>
      </c>
      <c r="B194" s="8">
        <v>192</v>
      </c>
      <c r="D194">
        <v>1406.608478803</v>
      </c>
      <c r="E194">
        <v>372.89089775561001</v>
      </c>
      <c r="F194">
        <v>141.33291692692001</v>
      </c>
      <c r="G194">
        <v>117.84634603373</v>
      </c>
      <c r="I194" s="9">
        <f t="shared" si="15"/>
        <v>255.04455172188</v>
      </c>
      <c r="J194" s="9">
        <f t="shared" si="16"/>
        <v>1265.27556187608</v>
      </c>
      <c r="K194" s="9">
        <f t="shared" si="17"/>
        <v>255.04455172188</v>
      </c>
      <c r="L194" s="10">
        <f t="shared" ref="L194:L257" si="21">K194/J194</f>
        <v>0.20157233681468895</v>
      </c>
      <c r="M194" s="10">
        <f t="shared" si="20"/>
        <v>0.2077768726912155</v>
      </c>
      <c r="P194" s="8">
        <f t="shared" si="19"/>
        <v>-7.4110114334705157</v>
      </c>
    </row>
    <row r="195" spans="1:16" x14ac:dyDescent="0.2">
      <c r="A195" s="8">
        <v>96.5</v>
      </c>
      <c r="B195" s="8">
        <v>193</v>
      </c>
      <c r="D195">
        <v>1410.4644638404</v>
      </c>
      <c r="E195">
        <v>372.39027431420999</v>
      </c>
      <c r="F195">
        <v>140.17239225483999</v>
      </c>
      <c r="G195">
        <v>117.83947532792</v>
      </c>
      <c r="I195" s="9">
        <f t="shared" ref="I195:I241" si="22">E195-G195</f>
        <v>254.55079898628998</v>
      </c>
      <c r="J195" s="9">
        <f t="shared" ref="J195:J241" si="23">D195-F195</f>
        <v>1270.2920715855601</v>
      </c>
      <c r="K195" s="9">
        <f t="shared" ref="K195:K258" si="24">I195*1</f>
        <v>254.55079898628998</v>
      </c>
      <c r="L195" s="10">
        <f t="shared" si="21"/>
        <v>0.20038761532106816</v>
      </c>
      <c r="M195" s="10">
        <f t="shared" si="20"/>
        <v>0.20662446648861829</v>
      </c>
      <c r="P195" s="8">
        <f t="shared" ref="P195:P241" si="25">(M195-$O$2)/$O$2*100</f>
        <v>-7.9245436824366537</v>
      </c>
    </row>
    <row r="196" spans="1:16" x14ac:dyDescent="0.2">
      <c r="A196" s="8">
        <v>97</v>
      </c>
      <c r="B196" s="8">
        <v>194</v>
      </c>
      <c r="D196">
        <v>1412.1558603491001</v>
      </c>
      <c r="E196">
        <v>371.42456359101999</v>
      </c>
      <c r="F196">
        <v>141.21236727045999</v>
      </c>
      <c r="G196">
        <v>117.60587133042</v>
      </c>
      <c r="I196" s="9">
        <f t="shared" si="22"/>
        <v>253.81869226059999</v>
      </c>
      <c r="J196" s="9">
        <f t="shared" si="23"/>
        <v>1270.9434930786401</v>
      </c>
      <c r="K196" s="9">
        <f t="shared" si="24"/>
        <v>253.81869226059999</v>
      </c>
      <c r="L196" s="10">
        <f t="shared" si="21"/>
        <v>0.19970887269407095</v>
      </c>
      <c r="M196" s="10">
        <f t="shared" si="20"/>
        <v>0.20597803915264465</v>
      </c>
      <c r="P196" s="8">
        <f t="shared" si="25"/>
        <v>-8.2126029473795032</v>
      </c>
    </row>
    <row r="197" spans="1:16" x14ac:dyDescent="0.2">
      <c r="A197" s="8">
        <v>97.5</v>
      </c>
      <c r="B197" s="8">
        <v>195</v>
      </c>
      <c r="D197">
        <v>1420.3273067332</v>
      </c>
      <c r="E197">
        <v>371.85536159601003</v>
      </c>
      <c r="F197">
        <v>141.23860087444999</v>
      </c>
      <c r="G197">
        <v>117.50530918176</v>
      </c>
      <c r="I197" s="9">
        <f t="shared" si="22"/>
        <v>254.35005241425003</v>
      </c>
      <c r="J197" s="9">
        <f t="shared" si="23"/>
        <v>1279.08870585875</v>
      </c>
      <c r="K197" s="9">
        <f t="shared" si="24"/>
        <v>254.35005241425003</v>
      </c>
      <c r="L197" s="10">
        <f t="shared" si="21"/>
        <v>0.19885255123372025</v>
      </c>
      <c r="M197" s="10">
        <f t="shared" si="20"/>
        <v>0.20515403298331755</v>
      </c>
      <c r="P197" s="8">
        <f t="shared" si="25"/>
        <v>-8.5797944292917343</v>
      </c>
    </row>
    <row r="198" spans="1:16" x14ac:dyDescent="0.2">
      <c r="A198" s="8">
        <v>98</v>
      </c>
      <c r="B198" s="8">
        <v>196</v>
      </c>
      <c r="D198">
        <v>1403.3591022444</v>
      </c>
      <c r="E198">
        <v>364.00311720697999</v>
      </c>
      <c r="F198">
        <v>140.99188007494999</v>
      </c>
      <c r="G198">
        <v>117.45221736415</v>
      </c>
      <c r="I198" s="9">
        <f t="shared" si="22"/>
        <v>246.55089984283001</v>
      </c>
      <c r="J198" s="9">
        <f t="shared" si="23"/>
        <v>1262.3672221694501</v>
      </c>
      <c r="K198" s="9">
        <f t="shared" si="24"/>
        <v>246.55089984283001</v>
      </c>
      <c r="L198" s="10">
        <f t="shared" si="21"/>
        <v>0.19530838215136656</v>
      </c>
      <c r="M198" s="10">
        <f t="shared" si="20"/>
        <v>0.20164217919198743</v>
      </c>
      <c r="P198" s="8">
        <f t="shared" si="25"/>
        <v>-10.144737564305698</v>
      </c>
    </row>
    <row r="199" spans="1:16" x14ac:dyDescent="0.2">
      <c r="A199" s="8">
        <v>98.5</v>
      </c>
      <c r="B199" s="8">
        <v>197</v>
      </c>
      <c r="D199">
        <v>1409.5384615385001</v>
      </c>
      <c r="E199">
        <v>362.57598499061999</v>
      </c>
      <c r="F199">
        <v>141.25421611492999</v>
      </c>
      <c r="G199">
        <v>117.51280449719</v>
      </c>
      <c r="I199" s="9">
        <f t="shared" si="22"/>
        <v>245.06318049342997</v>
      </c>
      <c r="J199" s="9">
        <f t="shared" si="23"/>
        <v>1268.2842454235702</v>
      </c>
      <c r="K199" s="9">
        <f t="shared" si="24"/>
        <v>245.06318049342997</v>
      </c>
      <c r="L199" s="10">
        <f t="shared" si="21"/>
        <v>0.19322417776433545</v>
      </c>
      <c r="M199" s="10">
        <f t="shared" si="20"/>
        <v>0.19959029009597989</v>
      </c>
      <c r="P199" s="8">
        <f t="shared" si="25"/>
        <v>-11.059095036286555</v>
      </c>
    </row>
    <row r="200" spans="1:16" x14ac:dyDescent="0.2">
      <c r="A200" s="8">
        <v>99</v>
      </c>
      <c r="B200" s="8">
        <v>198</v>
      </c>
      <c r="D200">
        <v>1409.8599124453001</v>
      </c>
      <c r="E200">
        <v>363.02501563477</v>
      </c>
      <c r="F200">
        <v>140.34291068082001</v>
      </c>
      <c r="G200">
        <v>117.34603372892001</v>
      </c>
      <c r="I200" s="9">
        <f t="shared" si="22"/>
        <v>245.67898190584998</v>
      </c>
      <c r="J200" s="9">
        <f t="shared" si="23"/>
        <v>1269.51700176448</v>
      </c>
      <c r="K200" s="9">
        <f t="shared" si="24"/>
        <v>245.67898190584998</v>
      </c>
      <c r="L200" s="10">
        <f t="shared" si="21"/>
        <v>0.19352161614565613</v>
      </c>
      <c r="M200" s="10">
        <f t="shared" si="20"/>
        <v>0.19992004376832415</v>
      </c>
      <c r="P200" s="8">
        <f t="shared" si="25"/>
        <v>-10.912151064115855</v>
      </c>
    </row>
    <row r="201" spans="1:16" x14ac:dyDescent="0.2">
      <c r="A201" s="8">
        <v>99.5</v>
      </c>
      <c r="B201" s="8">
        <v>199</v>
      </c>
      <c r="D201">
        <v>1378.3833646029</v>
      </c>
      <c r="E201">
        <v>353.56535334583998</v>
      </c>
      <c r="F201">
        <v>140.55465334166001</v>
      </c>
      <c r="G201">
        <v>117.44472204872</v>
      </c>
      <c r="I201" s="9">
        <f t="shared" si="22"/>
        <v>236.12063129711998</v>
      </c>
      <c r="J201" s="9">
        <f t="shared" si="23"/>
        <v>1237.82871126124</v>
      </c>
      <c r="K201" s="9">
        <f t="shared" si="24"/>
        <v>236.12063129711998</v>
      </c>
      <c r="L201" s="10">
        <f t="shared" si="21"/>
        <v>0.19075388149345282</v>
      </c>
      <c r="M201" s="10">
        <f t="shared" si="20"/>
        <v>0.1971846244071444</v>
      </c>
      <c r="P201" s="8">
        <f t="shared" si="25"/>
        <v>-12.13110151166315</v>
      </c>
    </row>
    <row r="202" spans="1:16" x14ac:dyDescent="0.2">
      <c r="A202" s="8">
        <v>100</v>
      </c>
      <c r="B202" s="8">
        <v>200</v>
      </c>
      <c r="D202">
        <v>1437.4908632639999</v>
      </c>
      <c r="E202">
        <v>364.88846880906999</v>
      </c>
      <c r="F202">
        <v>140.97626483447999</v>
      </c>
      <c r="G202">
        <v>117.38788257339</v>
      </c>
      <c r="I202" s="9">
        <f t="shared" si="22"/>
        <v>247.50058623567998</v>
      </c>
      <c r="J202" s="9">
        <f t="shared" si="23"/>
        <v>1296.51459842952</v>
      </c>
      <c r="K202" s="9">
        <f t="shared" si="24"/>
        <v>247.50058623567998</v>
      </c>
      <c r="L202" s="10">
        <f t="shared" si="21"/>
        <v>0.19089687577407899</v>
      </c>
      <c r="M202" s="10">
        <f t="shared" si="20"/>
        <v>0.19735993397879414</v>
      </c>
      <c r="P202" s="8">
        <f t="shared" si="25"/>
        <v>-12.05298051718075</v>
      </c>
    </row>
    <row r="203" spans="1:16" x14ac:dyDescent="0.2">
      <c r="A203" s="8">
        <v>100.5</v>
      </c>
      <c r="B203" s="8">
        <v>201</v>
      </c>
      <c r="D203">
        <v>1381.0756143666999</v>
      </c>
      <c r="E203">
        <v>357.26969124134001</v>
      </c>
      <c r="F203">
        <v>140.75078076202001</v>
      </c>
      <c r="G203">
        <v>117.44034978139</v>
      </c>
      <c r="I203" s="9">
        <f t="shared" si="22"/>
        <v>239.82934145995</v>
      </c>
      <c r="J203" s="9">
        <f t="shared" si="23"/>
        <v>1240.32483360468</v>
      </c>
      <c r="K203" s="9">
        <f t="shared" si="24"/>
        <v>239.82934145995</v>
      </c>
      <c r="L203" s="10">
        <f t="shared" si="21"/>
        <v>0.19336010612877008</v>
      </c>
      <c r="M203" s="10">
        <f t="shared" si="20"/>
        <v>0.19985547962450884</v>
      </c>
      <c r="P203" s="8">
        <f t="shared" si="25"/>
        <v>-10.940921969636257</v>
      </c>
    </row>
    <row r="204" spans="1:16" x14ac:dyDescent="0.2">
      <c r="A204" s="8">
        <v>101</v>
      </c>
      <c r="B204" s="8">
        <v>202</v>
      </c>
      <c r="D204">
        <v>1422.8210459986999</v>
      </c>
      <c r="E204">
        <v>362.97227473219999</v>
      </c>
      <c r="F204">
        <v>140.96752029980999</v>
      </c>
      <c r="G204">
        <v>117.52779512805</v>
      </c>
      <c r="I204" s="9">
        <f t="shared" si="22"/>
        <v>245.44447960414999</v>
      </c>
      <c r="J204" s="9">
        <f t="shared" si="23"/>
        <v>1281.8535256988898</v>
      </c>
      <c r="K204" s="9">
        <f t="shared" si="24"/>
        <v>245.44447960414999</v>
      </c>
      <c r="L204" s="10">
        <f t="shared" si="21"/>
        <v>0.19147622929096303</v>
      </c>
      <c r="M204" s="10">
        <f t="shared" si="20"/>
        <v>0.19800391807772535</v>
      </c>
      <c r="P204" s="8">
        <f t="shared" si="25"/>
        <v>-11.766010001161959</v>
      </c>
    </row>
    <row r="205" spans="1:16" x14ac:dyDescent="0.2">
      <c r="A205" s="8">
        <v>101.5</v>
      </c>
      <c r="B205" s="8">
        <v>203</v>
      </c>
      <c r="D205">
        <v>1526.085199005</v>
      </c>
      <c r="E205">
        <v>364.99626865672002</v>
      </c>
      <c r="F205">
        <v>141.20737039350001</v>
      </c>
      <c r="G205">
        <v>117.58276077452</v>
      </c>
      <c r="I205" s="9">
        <f t="shared" si="22"/>
        <v>247.41350788220001</v>
      </c>
      <c r="J205" s="9">
        <f t="shared" si="23"/>
        <v>1384.8778286115</v>
      </c>
      <c r="K205" s="9">
        <f t="shared" si="24"/>
        <v>247.41350788220001</v>
      </c>
      <c r="L205" s="10">
        <f t="shared" si="21"/>
        <v>0.1786536709380788</v>
      </c>
      <c r="M205" s="10">
        <f t="shared" si="20"/>
        <v>0.18521367501586469</v>
      </c>
      <c r="P205" s="8">
        <f t="shared" si="25"/>
        <v>-17.465564784516911</v>
      </c>
    </row>
    <row r="206" spans="1:16" x14ac:dyDescent="0.2">
      <c r="A206" s="8">
        <v>102</v>
      </c>
      <c r="B206" s="8">
        <v>204</v>
      </c>
      <c r="D206">
        <v>1579.1802252816001</v>
      </c>
      <c r="E206">
        <v>374.42678347934998</v>
      </c>
      <c r="F206">
        <v>141.34291068082001</v>
      </c>
      <c r="G206">
        <v>117.53591505308999</v>
      </c>
      <c r="I206" s="9">
        <f t="shared" si="22"/>
        <v>256.89086842626</v>
      </c>
      <c r="J206" s="9">
        <f t="shared" si="23"/>
        <v>1437.83731460078</v>
      </c>
      <c r="K206" s="9">
        <f t="shared" si="24"/>
        <v>256.89086842626</v>
      </c>
      <c r="L206" s="10">
        <f t="shared" si="21"/>
        <v>0.17866476674211682</v>
      </c>
      <c r="M206" s="10">
        <f t="shared" si="20"/>
        <v>0.18525708611092628</v>
      </c>
      <c r="P206" s="8">
        <f t="shared" si="25"/>
        <v>-17.446220045459778</v>
      </c>
    </row>
    <row r="207" spans="1:16" x14ac:dyDescent="0.2">
      <c r="A207" s="8">
        <v>102.5</v>
      </c>
      <c r="B207" s="8">
        <v>205</v>
      </c>
      <c r="D207">
        <v>1545.3136762861</v>
      </c>
      <c r="E207">
        <v>369.11856963614002</v>
      </c>
      <c r="F207">
        <v>140.99500312305</v>
      </c>
      <c r="G207">
        <v>117.65271705184</v>
      </c>
      <c r="I207" s="9">
        <f t="shared" si="22"/>
        <v>251.46585258430002</v>
      </c>
      <c r="J207" s="9">
        <f t="shared" si="23"/>
        <v>1404.3186731630499</v>
      </c>
      <c r="K207" s="9">
        <f t="shared" si="24"/>
        <v>251.46585258430002</v>
      </c>
      <c r="L207" s="10">
        <f t="shared" si="21"/>
        <v>0.17906608905078863</v>
      </c>
      <c r="M207" s="10">
        <f t="shared" si="20"/>
        <v>0.18569072371062167</v>
      </c>
      <c r="P207" s="8">
        <f t="shared" si="25"/>
        <v>-17.252983588292178</v>
      </c>
    </row>
    <row r="208" spans="1:16" x14ac:dyDescent="0.2">
      <c r="A208" s="8">
        <v>103</v>
      </c>
      <c r="B208" s="8">
        <v>206</v>
      </c>
      <c r="D208">
        <v>1556.4766063631</v>
      </c>
      <c r="E208">
        <v>374.63006862134</v>
      </c>
      <c r="F208">
        <v>141.10243597751</v>
      </c>
      <c r="G208">
        <v>117.26608369768999</v>
      </c>
      <c r="I208" s="9">
        <f t="shared" si="22"/>
        <v>257.36398492365004</v>
      </c>
      <c r="J208" s="9">
        <f t="shared" si="23"/>
        <v>1415.3741703855901</v>
      </c>
      <c r="K208" s="9">
        <f t="shared" si="24"/>
        <v>257.36398492365004</v>
      </c>
      <c r="L208" s="10">
        <f t="shared" si="21"/>
        <v>0.18183459208778441</v>
      </c>
      <c r="M208" s="10">
        <f t="shared" si="20"/>
        <v>0.18849154203864102</v>
      </c>
      <c r="P208" s="8">
        <f t="shared" si="25"/>
        <v>-16.004890223563848</v>
      </c>
    </row>
    <row r="209" spans="1:16" x14ac:dyDescent="0.2">
      <c r="A209" s="8">
        <v>103.5</v>
      </c>
      <c r="B209" s="8">
        <v>207</v>
      </c>
      <c r="D209">
        <v>1562.4092326887001</v>
      </c>
      <c r="E209">
        <v>375.3056768559</v>
      </c>
      <c r="F209">
        <v>140.95627732667</v>
      </c>
      <c r="G209">
        <v>117.37539038101001</v>
      </c>
      <c r="I209" s="9">
        <f t="shared" si="22"/>
        <v>257.93028647489001</v>
      </c>
      <c r="J209" s="9">
        <f t="shared" si="23"/>
        <v>1421.45295536203</v>
      </c>
      <c r="K209" s="9">
        <f t="shared" si="24"/>
        <v>257.93028647489001</v>
      </c>
      <c r="L209" s="10">
        <f t="shared" si="21"/>
        <v>0.18145538021636298</v>
      </c>
      <c r="M209" s="10">
        <f t="shared" si="20"/>
        <v>0.18814464545824316</v>
      </c>
      <c r="P209" s="8">
        <f t="shared" si="25"/>
        <v>-16.159473373748988</v>
      </c>
    </row>
    <row r="210" spans="1:16" x14ac:dyDescent="0.2">
      <c r="A210" s="8">
        <v>104</v>
      </c>
      <c r="B210" s="8">
        <v>208</v>
      </c>
      <c r="D210">
        <v>1549.6749844041999</v>
      </c>
      <c r="E210">
        <v>375.48471615721002</v>
      </c>
      <c r="F210">
        <v>140.78950655840001</v>
      </c>
      <c r="G210">
        <v>117.18363522798001</v>
      </c>
      <c r="I210" s="9">
        <f t="shared" si="22"/>
        <v>258.30108092923001</v>
      </c>
      <c r="J210" s="9">
        <f t="shared" si="23"/>
        <v>1408.8854778457999</v>
      </c>
      <c r="K210" s="9">
        <f t="shared" si="24"/>
        <v>258.30108092923001</v>
      </c>
      <c r="L210" s="10">
        <f t="shared" si="21"/>
        <v>0.18333717324148657</v>
      </c>
      <c r="M210" s="10">
        <f t="shared" si="20"/>
        <v>0.19005875377439035</v>
      </c>
      <c r="P210" s="8">
        <f t="shared" si="25"/>
        <v>-15.306513413848968</v>
      </c>
    </row>
    <row r="211" spans="1:16" x14ac:dyDescent="0.2">
      <c r="A211" s="8">
        <v>104.5</v>
      </c>
      <c r="B211" s="8">
        <v>209</v>
      </c>
      <c r="D211">
        <v>1620.1802763819001</v>
      </c>
      <c r="E211">
        <v>385.59987437185998</v>
      </c>
      <c r="F211">
        <v>140.70143660212</v>
      </c>
      <c r="G211">
        <v>117.59088069956</v>
      </c>
      <c r="I211" s="9">
        <f t="shared" si="22"/>
        <v>268.00899367229999</v>
      </c>
      <c r="J211" s="9">
        <f t="shared" si="23"/>
        <v>1479.4788397797802</v>
      </c>
      <c r="K211" s="9">
        <f t="shared" si="24"/>
        <v>268.00899367229999</v>
      </c>
      <c r="L211" s="10">
        <f t="shared" si="21"/>
        <v>0.18115094752703123</v>
      </c>
      <c r="M211" s="10">
        <f t="shared" si="20"/>
        <v>0.18790484335095858</v>
      </c>
      <c r="P211" s="8">
        <f t="shared" si="25"/>
        <v>-16.266333363901015</v>
      </c>
    </row>
    <row r="212" spans="1:16" x14ac:dyDescent="0.2">
      <c r="A212" s="8">
        <v>105</v>
      </c>
      <c r="B212" s="8">
        <v>210</v>
      </c>
      <c r="D212">
        <v>1619.4309045226</v>
      </c>
      <c r="E212">
        <v>386.72110552764002</v>
      </c>
      <c r="F212">
        <v>140.43222985634</v>
      </c>
      <c r="G212">
        <v>117.62086196126999</v>
      </c>
      <c r="I212" s="9">
        <f t="shared" si="22"/>
        <v>269.10024356637001</v>
      </c>
      <c r="J212" s="9">
        <f t="shared" si="23"/>
        <v>1478.9986746662601</v>
      </c>
      <c r="K212" s="9">
        <f t="shared" si="24"/>
        <v>269.10024356637001</v>
      </c>
      <c r="L212" s="10">
        <f t="shared" si="21"/>
        <v>0.18194758938989122</v>
      </c>
      <c r="M212" s="10">
        <f t="shared" si="20"/>
        <v>0.18873380050484215</v>
      </c>
      <c r="P212" s="8">
        <f t="shared" si="25"/>
        <v>-15.896935637152415</v>
      </c>
    </row>
    <row r="213" spans="1:16" x14ac:dyDescent="0.2">
      <c r="A213" s="8">
        <v>105.5</v>
      </c>
      <c r="B213" s="8">
        <v>211</v>
      </c>
      <c r="D213">
        <v>1572.5332914573</v>
      </c>
      <c r="E213">
        <v>377.78831658292</v>
      </c>
      <c r="F213">
        <v>141.01374141162</v>
      </c>
      <c r="G213">
        <v>117.40662086195999</v>
      </c>
      <c r="I213" s="9">
        <f t="shared" si="22"/>
        <v>260.38169572096001</v>
      </c>
      <c r="J213" s="9">
        <f t="shared" si="23"/>
        <v>1431.51955004568</v>
      </c>
      <c r="K213" s="9">
        <f t="shared" si="24"/>
        <v>260.38169572096001</v>
      </c>
      <c r="L213" s="10">
        <f t="shared" si="21"/>
        <v>0.18189181957916759</v>
      </c>
      <c r="M213" s="10">
        <f t="shared" si="20"/>
        <v>0.18871034598514208</v>
      </c>
      <c r="P213" s="8">
        <f t="shared" si="25"/>
        <v>-15.907387379101435</v>
      </c>
    </row>
    <row r="214" spans="1:16" x14ac:dyDescent="0.2">
      <c r="A214" s="8">
        <v>106</v>
      </c>
      <c r="B214" s="8">
        <v>212</v>
      </c>
      <c r="D214">
        <v>1558.5667506297</v>
      </c>
      <c r="E214">
        <v>374.56675062971999</v>
      </c>
      <c r="F214">
        <v>140.64584634603</v>
      </c>
      <c r="G214">
        <v>117.49031855091</v>
      </c>
      <c r="I214" s="9">
        <f t="shared" si="22"/>
        <v>257.07643207881</v>
      </c>
      <c r="J214" s="9">
        <f t="shared" si="23"/>
        <v>1417.9209042836701</v>
      </c>
      <c r="K214" s="9">
        <f t="shared" si="24"/>
        <v>257.07643207881</v>
      </c>
      <c r="L214" s="10">
        <f t="shared" si="21"/>
        <v>0.1813051992548797</v>
      </c>
      <c r="M214" s="10">
        <f t="shared" si="20"/>
        <v>0.18815604095187777</v>
      </c>
      <c r="P214" s="8">
        <f t="shared" si="25"/>
        <v>-16.154395343570854</v>
      </c>
    </row>
    <row r="215" spans="1:16" x14ac:dyDescent="0.2">
      <c r="A215" s="8">
        <v>106.5</v>
      </c>
      <c r="B215" s="8">
        <v>213</v>
      </c>
      <c r="D215">
        <v>1515.8872795970001</v>
      </c>
      <c r="E215">
        <v>364.79156171285001</v>
      </c>
      <c r="F215">
        <v>140.59900062461</v>
      </c>
      <c r="G215">
        <v>117.28856964397001</v>
      </c>
      <c r="I215" s="9">
        <f t="shared" si="22"/>
        <v>247.50299206888002</v>
      </c>
      <c r="J215" s="9">
        <f t="shared" si="23"/>
        <v>1375.2882789723901</v>
      </c>
      <c r="K215" s="9">
        <f t="shared" si="24"/>
        <v>247.50299206888002</v>
      </c>
      <c r="L215" s="10">
        <f t="shared" si="21"/>
        <v>0.17996444516622601</v>
      </c>
      <c r="M215" s="10">
        <f t="shared" si="20"/>
        <v>0.18684760215424764</v>
      </c>
      <c r="P215" s="8">
        <f t="shared" si="25"/>
        <v>-16.737458430932943</v>
      </c>
    </row>
    <row r="216" spans="1:16" x14ac:dyDescent="0.2">
      <c r="A216" s="8">
        <v>107</v>
      </c>
      <c r="B216" s="8">
        <v>214</v>
      </c>
      <c r="D216">
        <v>1502.4337499999999</v>
      </c>
      <c r="E216">
        <v>364.39375000000001</v>
      </c>
      <c r="F216">
        <v>139.46908182385999</v>
      </c>
      <c r="G216">
        <v>117.22298563398</v>
      </c>
      <c r="I216" s="9">
        <f t="shared" si="22"/>
        <v>247.17076436602002</v>
      </c>
      <c r="J216" s="9">
        <f t="shared" si="23"/>
        <v>1362.9646681761399</v>
      </c>
      <c r="K216" s="9">
        <f t="shared" si="24"/>
        <v>247.17076436602002</v>
      </c>
      <c r="L216" s="10">
        <f t="shared" si="21"/>
        <v>0.18134788827414963</v>
      </c>
      <c r="M216" s="10">
        <f t="shared" si="20"/>
        <v>0.18826336055319487</v>
      </c>
      <c r="P216" s="8">
        <f t="shared" si="25"/>
        <v>-16.106571862494206</v>
      </c>
    </row>
    <row r="217" spans="1:16" x14ac:dyDescent="0.2">
      <c r="A217" s="8">
        <v>107.5</v>
      </c>
      <c r="B217" s="8">
        <v>215</v>
      </c>
      <c r="D217">
        <v>1494.84375</v>
      </c>
      <c r="E217">
        <v>364.63312500000001</v>
      </c>
      <c r="F217">
        <v>140.79200499688</v>
      </c>
      <c r="G217">
        <v>117.31730168644999</v>
      </c>
      <c r="I217" s="9">
        <f t="shared" si="22"/>
        <v>247.31582331355003</v>
      </c>
      <c r="J217" s="9">
        <f t="shared" si="23"/>
        <v>1354.05174500312</v>
      </c>
      <c r="K217" s="9">
        <f t="shared" si="24"/>
        <v>247.31582331355003</v>
      </c>
      <c r="L217" s="10">
        <f t="shared" si="21"/>
        <v>0.18264872389568845</v>
      </c>
      <c r="M217" s="10">
        <f t="shared" si="20"/>
        <v>0.18959651146575726</v>
      </c>
      <c r="P217" s="8">
        <f t="shared" si="25"/>
        <v>-15.512496626872874</v>
      </c>
    </row>
    <row r="218" spans="1:16" x14ac:dyDescent="0.2">
      <c r="A218" s="8">
        <v>108</v>
      </c>
      <c r="B218" s="8">
        <v>216</v>
      </c>
      <c r="D218">
        <v>1505.595267746</v>
      </c>
      <c r="E218">
        <v>367.31631382315999</v>
      </c>
      <c r="F218">
        <v>140.79138038726001</v>
      </c>
      <c r="G218">
        <v>117.54778263585</v>
      </c>
      <c r="I218" s="9">
        <f t="shared" si="22"/>
        <v>249.76853118730997</v>
      </c>
      <c r="J218" s="9">
        <f t="shared" si="23"/>
        <v>1364.80388735874</v>
      </c>
      <c r="K218" s="9">
        <f t="shared" si="24"/>
        <v>249.76853118730997</v>
      </c>
      <c r="L218" s="10">
        <f t="shared" si="21"/>
        <v>0.18300690194448288</v>
      </c>
      <c r="M218" s="10">
        <f t="shared" si="20"/>
        <v>0.18998700480557526</v>
      </c>
      <c r="P218" s="8">
        <f t="shared" si="25"/>
        <v>-15.338486002362961</v>
      </c>
    </row>
    <row r="219" spans="1:16" x14ac:dyDescent="0.2">
      <c r="A219" s="8">
        <v>108.5</v>
      </c>
      <c r="B219" s="8">
        <v>217</v>
      </c>
      <c r="D219">
        <v>1501.0161892901999</v>
      </c>
      <c r="E219">
        <v>367.71855541718998</v>
      </c>
      <c r="F219">
        <v>140.69831355402999</v>
      </c>
      <c r="G219">
        <v>117.85259212992</v>
      </c>
      <c r="I219" s="9">
        <f t="shared" si="22"/>
        <v>249.86596328726998</v>
      </c>
      <c r="J219" s="9">
        <f t="shared" si="23"/>
        <v>1360.31787573617</v>
      </c>
      <c r="K219" s="9">
        <f t="shared" si="24"/>
        <v>249.86596328726998</v>
      </c>
      <c r="L219" s="10">
        <f t="shared" si="21"/>
        <v>0.1836820406054348</v>
      </c>
      <c r="M219" s="10">
        <f t="shared" si="20"/>
        <v>0.19069445875755076</v>
      </c>
      <c r="P219" s="8">
        <f t="shared" si="25"/>
        <v>-15.02323221582556</v>
      </c>
    </row>
    <row r="220" spans="1:16" x14ac:dyDescent="0.2">
      <c r="A220" s="8">
        <v>109</v>
      </c>
      <c r="B220" s="8">
        <v>218</v>
      </c>
      <c r="D220">
        <v>1516.1164383562</v>
      </c>
      <c r="E220">
        <v>364.56102117060999</v>
      </c>
      <c r="F220">
        <v>140.48344784509999</v>
      </c>
      <c r="G220">
        <v>117.30231105559</v>
      </c>
      <c r="I220" s="9">
        <f t="shared" si="22"/>
        <v>247.25871011501999</v>
      </c>
      <c r="J220" s="9">
        <f t="shared" si="23"/>
        <v>1375.6329905110999</v>
      </c>
      <c r="K220" s="9">
        <f t="shared" si="24"/>
        <v>247.25871011501999</v>
      </c>
      <c r="L220" s="10">
        <f t="shared" si="21"/>
        <v>0.1797417711123328</v>
      </c>
      <c r="M220" s="10">
        <f t="shared" si="20"/>
        <v>0.18678650455547233</v>
      </c>
      <c r="P220" s="8">
        <f t="shared" si="25"/>
        <v>-16.76468458368603</v>
      </c>
    </row>
    <row r="221" spans="1:16" x14ac:dyDescent="0.2">
      <c r="A221" s="8">
        <v>109.5</v>
      </c>
      <c r="B221" s="8">
        <v>219</v>
      </c>
      <c r="D221">
        <v>1506.5498132005</v>
      </c>
      <c r="E221">
        <v>363.96077210460999</v>
      </c>
      <c r="F221">
        <v>140.42785758900999</v>
      </c>
      <c r="G221">
        <v>117.26108682074</v>
      </c>
      <c r="I221" s="9">
        <f t="shared" si="22"/>
        <v>246.69968528387</v>
      </c>
      <c r="J221" s="9">
        <f t="shared" si="23"/>
        <v>1366.12195561149</v>
      </c>
      <c r="K221" s="9">
        <f t="shared" si="24"/>
        <v>246.69968528387</v>
      </c>
      <c r="L221" s="10">
        <f t="shared" si="21"/>
        <v>0.18058394001393874</v>
      </c>
      <c r="M221" s="10">
        <f t="shared" si="20"/>
        <v>0.18766098874810183</v>
      </c>
      <c r="P221" s="8">
        <f t="shared" si="25"/>
        <v>-16.374999216569584</v>
      </c>
    </row>
    <row r="222" spans="1:16" x14ac:dyDescent="0.2">
      <c r="A222" s="8">
        <v>110</v>
      </c>
      <c r="B222" s="8">
        <v>220</v>
      </c>
      <c r="D222">
        <v>1490.8392745466001</v>
      </c>
      <c r="E222">
        <v>362.20262664165</v>
      </c>
      <c r="F222">
        <v>140.75265459088001</v>
      </c>
      <c r="G222">
        <v>117.10056214866</v>
      </c>
      <c r="I222" s="9">
        <f t="shared" si="22"/>
        <v>245.10206449299</v>
      </c>
      <c r="J222" s="9">
        <f t="shared" si="23"/>
        <v>1350.0866199557202</v>
      </c>
      <c r="K222" s="9">
        <f t="shared" si="24"/>
        <v>245.10206449299</v>
      </c>
      <c r="L222" s="10">
        <f t="shared" si="21"/>
        <v>0.18154543632247003</v>
      </c>
      <c r="M222" s="10">
        <f t="shared" si="20"/>
        <v>0.18865480034765672</v>
      </c>
      <c r="P222" s="8">
        <f t="shared" si="25"/>
        <v>-15.932139481332253</v>
      </c>
    </row>
    <row r="223" spans="1:16" x14ac:dyDescent="0.2">
      <c r="A223" s="8">
        <v>110.5</v>
      </c>
      <c r="B223" s="8">
        <v>221</v>
      </c>
      <c r="D223">
        <v>1503.6710444027999</v>
      </c>
      <c r="E223">
        <v>368.86929330831998</v>
      </c>
      <c r="F223">
        <v>140.49531542785999</v>
      </c>
      <c r="G223">
        <v>117.2829481574</v>
      </c>
      <c r="I223" s="9">
        <f t="shared" si="22"/>
        <v>251.58634515091998</v>
      </c>
      <c r="J223" s="9">
        <f t="shared" si="23"/>
        <v>1363.1757289749398</v>
      </c>
      <c r="K223" s="9">
        <f t="shared" si="24"/>
        <v>251.58634515091998</v>
      </c>
      <c r="L223" s="10">
        <f t="shared" si="21"/>
        <v>0.18455899690944766</v>
      </c>
      <c r="M223" s="10">
        <f t="shared" si="20"/>
        <v>0.19170067622565792</v>
      </c>
      <c r="P223" s="8">
        <f t="shared" si="25"/>
        <v>-14.574844209772204</v>
      </c>
    </row>
    <row r="224" spans="1:16" x14ac:dyDescent="0.2">
      <c r="A224" s="8">
        <v>111</v>
      </c>
      <c r="B224" s="8">
        <v>222</v>
      </c>
      <c r="D224">
        <v>1513.190926276</v>
      </c>
      <c r="E224">
        <v>369.27788279773</v>
      </c>
      <c r="F224">
        <v>140.59962523422999</v>
      </c>
      <c r="G224">
        <v>117.63210493442</v>
      </c>
      <c r="I224" s="9">
        <f t="shared" si="22"/>
        <v>251.64577786331</v>
      </c>
      <c r="J224" s="9">
        <f t="shared" si="23"/>
        <v>1372.5913010417701</v>
      </c>
      <c r="K224" s="9">
        <f t="shared" si="24"/>
        <v>251.64577786331</v>
      </c>
      <c r="L224" s="10">
        <f t="shared" si="21"/>
        <v>0.18333627618965365</v>
      </c>
      <c r="M224" s="10">
        <f t="shared" si="20"/>
        <v>0.19051027079688748</v>
      </c>
      <c r="P224" s="8">
        <f t="shared" si="25"/>
        <v>-15.105309574884135</v>
      </c>
    </row>
    <row r="225" spans="1:16" x14ac:dyDescent="0.2">
      <c r="A225" s="8">
        <v>111.5</v>
      </c>
      <c r="B225" s="8">
        <v>223</v>
      </c>
      <c r="D225">
        <v>1482.9386733417</v>
      </c>
      <c r="E225">
        <v>363.31476846058001</v>
      </c>
      <c r="F225">
        <v>140.56901936290001</v>
      </c>
      <c r="G225">
        <v>117.12304809494</v>
      </c>
      <c r="I225" s="9">
        <f t="shared" si="22"/>
        <v>246.19172036564001</v>
      </c>
      <c r="J225" s="9">
        <f t="shared" si="23"/>
        <v>1342.3696539788</v>
      </c>
      <c r="K225" s="9">
        <f t="shared" si="24"/>
        <v>246.19172036564001</v>
      </c>
      <c r="L225" s="10">
        <f t="shared" si="21"/>
        <v>0.18340083868547294</v>
      </c>
      <c r="M225" s="10">
        <f t="shared" si="20"/>
        <v>0.19060714858373035</v>
      </c>
      <c r="P225" s="8">
        <f t="shared" si="25"/>
        <v>-15.062139147963352</v>
      </c>
    </row>
    <row r="226" spans="1:16" x14ac:dyDescent="0.2">
      <c r="A226" s="8">
        <v>112</v>
      </c>
      <c r="B226" s="8">
        <v>224</v>
      </c>
      <c r="D226">
        <v>1487.1188986233001</v>
      </c>
      <c r="E226">
        <v>365.20963704630998</v>
      </c>
      <c r="F226">
        <v>140.65021861336999</v>
      </c>
      <c r="G226">
        <v>117.31855090568</v>
      </c>
      <c r="I226" s="9">
        <f t="shared" si="22"/>
        <v>247.89108614062997</v>
      </c>
      <c r="J226" s="9">
        <f t="shared" si="23"/>
        <v>1346.46868000993</v>
      </c>
      <c r="K226" s="9">
        <f t="shared" si="24"/>
        <v>247.89108614062997</v>
      </c>
      <c r="L226" s="10">
        <f t="shared" si="21"/>
        <v>0.18410460623473382</v>
      </c>
      <c r="M226" s="10">
        <f t="shared" si="20"/>
        <v>0.1913432314240148</v>
      </c>
      <c r="P226" s="8">
        <f t="shared" si="25"/>
        <v>-14.734127830821233</v>
      </c>
    </row>
    <row r="227" spans="1:16" x14ac:dyDescent="0.2">
      <c r="A227" s="8">
        <v>112.5</v>
      </c>
      <c r="B227" s="8">
        <v>225</v>
      </c>
      <c r="D227">
        <v>1478.1251564455999</v>
      </c>
      <c r="E227">
        <v>365.42365456821</v>
      </c>
      <c r="F227">
        <v>140.59712679575</v>
      </c>
      <c r="G227">
        <v>117.42848219862999</v>
      </c>
      <c r="I227" s="9">
        <f t="shared" si="22"/>
        <v>247.99517236958002</v>
      </c>
      <c r="J227" s="9">
        <f t="shared" si="23"/>
        <v>1337.5280296498499</v>
      </c>
      <c r="K227" s="9">
        <f t="shared" si="24"/>
        <v>247.99517236958002</v>
      </c>
      <c r="L227" s="10">
        <f t="shared" si="21"/>
        <v>0.18541306564954935</v>
      </c>
      <c r="M227" s="10">
        <f t="shared" si="20"/>
        <v>0.1926840061298539</v>
      </c>
      <c r="P227" s="8">
        <f t="shared" si="25"/>
        <v>-14.136655300306645</v>
      </c>
    </row>
    <row r="228" spans="1:16" x14ac:dyDescent="0.2">
      <c r="A228" s="8">
        <v>113</v>
      </c>
      <c r="B228" s="8">
        <v>226</v>
      </c>
      <c r="D228">
        <v>1534.625</v>
      </c>
      <c r="E228">
        <v>373.15062499999999</v>
      </c>
      <c r="F228">
        <v>140.80012492192</v>
      </c>
      <c r="G228">
        <v>116.98313554028999</v>
      </c>
      <c r="I228" s="9">
        <f t="shared" si="22"/>
        <v>256.16748945971</v>
      </c>
      <c r="J228" s="9">
        <f t="shared" si="23"/>
        <v>1393.8248750780799</v>
      </c>
      <c r="K228" s="9">
        <f t="shared" si="24"/>
        <v>256.16748945971</v>
      </c>
      <c r="L228" s="10">
        <f t="shared" si="21"/>
        <v>0.18378742842091972</v>
      </c>
      <c r="M228" s="10">
        <f t="shared" si="20"/>
        <v>0.19109068419224787</v>
      </c>
      <c r="P228" s="8">
        <f t="shared" si="25"/>
        <v>-14.846667270132786</v>
      </c>
    </row>
    <row r="229" spans="1:16" x14ac:dyDescent="0.2">
      <c r="A229" s="8">
        <v>113.5</v>
      </c>
      <c r="B229" s="8">
        <v>227</v>
      </c>
      <c r="D229">
        <v>1517.6587500000001</v>
      </c>
      <c r="E229">
        <v>368.5</v>
      </c>
      <c r="F229">
        <v>140.07870081198999</v>
      </c>
      <c r="G229">
        <v>117.31792629607</v>
      </c>
      <c r="I229" s="9">
        <f t="shared" si="22"/>
        <v>251.18207370393</v>
      </c>
      <c r="J229" s="9">
        <f t="shared" si="23"/>
        <v>1377.58004918801</v>
      </c>
      <c r="K229" s="9">
        <f t="shared" si="24"/>
        <v>251.18207370393</v>
      </c>
      <c r="L229" s="10">
        <f t="shared" si="21"/>
        <v>0.18233573711522957</v>
      </c>
      <c r="M229" s="10">
        <f t="shared" si="20"/>
        <v>0.18967130817758129</v>
      </c>
      <c r="P229" s="8">
        <f t="shared" si="25"/>
        <v>-15.479165911061296</v>
      </c>
    </row>
    <row r="230" spans="1:16" x14ac:dyDescent="0.2">
      <c r="A230" s="8">
        <v>114</v>
      </c>
      <c r="B230" s="8">
        <v>228</v>
      </c>
      <c r="D230">
        <v>1543.3231249999999</v>
      </c>
      <c r="E230">
        <v>375.46749999999997</v>
      </c>
      <c r="F230">
        <v>140.51780137413999</v>
      </c>
      <c r="G230">
        <v>117.24797001874001</v>
      </c>
      <c r="I230" s="9">
        <f t="shared" si="22"/>
        <v>258.21952998125994</v>
      </c>
      <c r="J230" s="9">
        <f t="shared" si="23"/>
        <v>1402.80532362586</v>
      </c>
      <c r="K230" s="9">
        <f t="shared" si="24"/>
        <v>258.21952998125994</v>
      </c>
      <c r="L230" s="10">
        <f t="shared" si="21"/>
        <v>0.18407367411027112</v>
      </c>
      <c r="M230" s="10">
        <f t="shared" si="20"/>
        <v>0.19144156046364641</v>
      </c>
      <c r="P230" s="8">
        <f t="shared" si="25"/>
        <v>-14.690310700414527</v>
      </c>
    </row>
    <row r="231" spans="1:16" x14ac:dyDescent="0.2">
      <c r="A231" s="8">
        <v>114.5</v>
      </c>
      <c r="B231" s="8">
        <v>229</v>
      </c>
      <c r="D231">
        <v>1542.6575</v>
      </c>
      <c r="E231">
        <v>375.05374999999998</v>
      </c>
      <c r="F231">
        <v>140.50718301062</v>
      </c>
      <c r="G231">
        <v>117.30168644597001</v>
      </c>
      <c r="I231" s="9">
        <f t="shared" si="22"/>
        <v>257.75206355402997</v>
      </c>
      <c r="J231" s="9">
        <f t="shared" si="23"/>
        <v>1402.1503169893799</v>
      </c>
      <c r="K231" s="9">
        <f t="shared" si="24"/>
        <v>257.75206355402997</v>
      </c>
      <c r="L231" s="10">
        <f t="shared" si="21"/>
        <v>0.18382627057237419</v>
      </c>
      <c r="M231" s="10">
        <f t="shared" si="20"/>
        <v>0.19122647221677305</v>
      </c>
      <c r="P231" s="8">
        <f t="shared" si="25"/>
        <v>-14.78615776449152</v>
      </c>
    </row>
    <row r="232" spans="1:16" x14ac:dyDescent="0.2">
      <c r="A232" s="8">
        <v>115</v>
      </c>
      <c r="B232" s="8">
        <v>230</v>
      </c>
      <c r="D232">
        <v>1521.3091364205</v>
      </c>
      <c r="E232">
        <v>374.41489361702003</v>
      </c>
      <c r="F232">
        <v>140.24234853217001</v>
      </c>
      <c r="G232">
        <v>117.35727670206001</v>
      </c>
      <c r="I232" s="9">
        <f t="shared" si="22"/>
        <v>257.05761691496002</v>
      </c>
      <c r="J232" s="9">
        <f t="shared" si="23"/>
        <v>1381.0667878883301</v>
      </c>
      <c r="K232" s="9">
        <f t="shared" si="24"/>
        <v>257.05761691496002</v>
      </c>
      <c r="L232" s="10">
        <f t="shared" si="21"/>
        <v>0.18612975068932375</v>
      </c>
      <c r="M232" s="10">
        <f t="shared" si="20"/>
        <v>0.19356226762474618</v>
      </c>
      <c r="P232" s="8">
        <f t="shared" si="25"/>
        <v>-13.745286701599063</v>
      </c>
    </row>
    <row r="233" spans="1:16" x14ac:dyDescent="0.2">
      <c r="A233" s="8">
        <v>115.5</v>
      </c>
      <c r="B233" s="8">
        <v>231</v>
      </c>
      <c r="D233">
        <v>1447.0725907384001</v>
      </c>
      <c r="E233">
        <v>360.71526908636002</v>
      </c>
      <c r="F233">
        <v>140.32792004997</v>
      </c>
      <c r="G233">
        <v>117.22298563398</v>
      </c>
      <c r="I233" s="9">
        <f t="shared" si="22"/>
        <v>243.49228345238004</v>
      </c>
      <c r="J233" s="9">
        <f t="shared" si="23"/>
        <v>1306.74467068843</v>
      </c>
      <c r="K233" s="9">
        <f t="shared" si="24"/>
        <v>243.49228345238004</v>
      </c>
      <c r="L233" s="10">
        <f t="shared" si="21"/>
        <v>0.18633501166230235</v>
      </c>
      <c r="M233" s="10">
        <f t="shared" si="20"/>
        <v>0.19379984388874835</v>
      </c>
      <c r="P233" s="8">
        <f t="shared" si="25"/>
        <v>-13.63941858593026</v>
      </c>
    </row>
    <row r="234" spans="1:16" x14ac:dyDescent="0.2">
      <c r="A234" s="8">
        <v>116</v>
      </c>
      <c r="B234" s="8">
        <v>232</v>
      </c>
      <c r="D234">
        <v>1360.171641791</v>
      </c>
      <c r="E234">
        <v>347.93159203980002</v>
      </c>
      <c r="F234">
        <v>140.43472829481999</v>
      </c>
      <c r="G234">
        <v>117.23173016865</v>
      </c>
      <c r="I234" s="9">
        <f t="shared" si="22"/>
        <v>230.69986187115001</v>
      </c>
      <c r="J234" s="9">
        <f t="shared" si="23"/>
        <v>1219.73691349618</v>
      </c>
      <c r="K234" s="9">
        <f t="shared" si="24"/>
        <v>230.69986187115001</v>
      </c>
      <c r="L234" s="10">
        <f t="shared" si="21"/>
        <v>0.18913903426099149</v>
      </c>
      <c r="M234" s="10">
        <f t="shared" si="20"/>
        <v>0.19663618177846109</v>
      </c>
      <c r="P234" s="8">
        <f t="shared" si="25"/>
        <v>-12.375497086679923</v>
      </c>
    </row>
    <row r="235" spans="1:16" x14ac:dyDescent="0.2">
      <c r="A235" s="8">
        <v>116.5</v>
      </c>
      <c r="B235" s="8">
        <v>233</v>
      </c>
      <c r="D235">
        <v>1414.7752808989001</v>
      </c>
      <c r="E235">
        <v>356.71535580523999</v>
      </c>
      <c r="F235">
        <v>140.28607120550001</v>
      </c>
      <c r="G235">
        <v>117.22361024360001</v>
      </c>
      <c r="I235" s="9">
        <f t="shared" si="22"/>
        <v>239.49174556163999</v>
      </c>
      <c r="J235" s="9">
        <f t="shared" si="23"/>
        <v>1274.4892096934</v>
      </c>
      <c r="K235" s="9">
        <f t="shared" si="24"/>
        <v>239.49174556163999</v>
      </c>
      <c r="L235" s="10">
        <f t="shared" si="21"/>
        <v>0.18791194444027801</v>
      </c>
      <c r="M235" s="10">
        <f t="shared" si="20"/>
        <v>0.19544140724877118</v>
      </c>
      <c r="P235" s="8">
        <f t="shared" si="25"/>
        <v>-12.907909399158227</v>
      </c>
    </row>
    <row r="236" spans="1:16" x14ac:dyDescent="0.2">
      <c r="A236" s="8">
        <v>117</v>
      </c>
      <c r="B236" s="8">
        <v>234</v>
      </c>
      <c r="D236">
        <v>1448.8682896380001</v>
      </c>
      <c r="E236">
        <v>365.39762796503999</v>
      </c>
      <c r="F236">
        <v>140.51280449718999</v>
      </c>
      <c r="G236">
        <v>117.3322923173</v>
      </c>
      <c r="I236" s="9">
        <f t="shared" si="22"/>
        <v>248.06533564773997</v>
      </c>
      <c r="J236" s="9">
        <f t="shared" si="23"/>
        <v>1308.3554851408101</v>
      </c>
      <c r="K236" s="9">
        <f t="shared" si="24"/>
        <v>248.06533564773997</v>
      </c>
      <c r="L236" s="10">
        <f t="shared" si="21"/>
        <v>0.18960086800953968</v>
      </c>
      <c r="M236" s="10">
        <f t="shared" si="20"/>
        <v>0.19716264610905643</v>
      </c>
      <c r="P236" s="8">
        <f t="shared" si="25"/>
        <v>-12.140895423584249</v>
      </c>
    </row>
    <row r="237" spans="1:16" x14ac:dyDescent="0.2">
      <c r="A237" s="8">
        <v>117.5</v>
      </c>
      <c r="B237" s="8">
        <v>235</v>
      </c>
      <c r="D237">
        <v>1552.5991271820001</v>
      </c>
      <c r="E237">
        <v>383.04862842892999</v>
      </c>
      <c r="F237">
        <v>140.467207995</v>
      </c>
      <c r="G237">
        <v>117.30980637102</v>
      </c>
      <c r="I237" s="9">
        <f t="shared" si="22"/>
        <v>265.73882205791</v>
      </c>
      <c r="J237" s="9">
        <f t="shared" si="23"/>
        <v>1412.131919187</v>
      </c>
      <c r="K237" s="9">
        <f t="shared" si="24"/>
        <v>265.73882205791</v>
      </c>
      <c r="L237" s="10">
        <f t="shared" si="21"/>
        <v>0.18818271752606694</v>
      </c>
      <c r="M237" s="10">
        <f t="shared" si="20"/>
        <v>0.19577681091660726</v>
      </c>
      <c r="P237" s="8">
        <f t="shared" si="25"/>
        <v>-12.758447690719683</v>
      </c>
    </row>
    <row r="238" spans="1:16" x14ac:dyDescent="0.2">
      <c r="A238" s="8">
        <v>118</v>
      </c>
      <c r="B238" s="8">
        <v>236</v>
      </c>
      <c r="D238">
        <v>1578.3890274314001</v>
      </c>
      <c r="E238">
        <v>388.04613466334001</v>
      </c>
      <c r="F238">
        <v>140.56089943785</v>
      </c>
      <c r="G238">
        <v>117.00749531543001</v>
      </c>
      <c r="I238" s="9">
        <f t="shared" si="22"/>
        <v>271.03863934791002</v>
      </c>
      <c r="J238" s="9">
        <f t="shared" si="23"/>
        <v>1437.8281279935502</v>
      </c>
      <c r="K238" s="9">
        <f t="shared" si="24"/>
        <v>271.03863934791002</v>
      </c>
      <c r="L238" s="10">
        <f t="shared" si="21"/>
        <v>0.18850558983439628</v>
      </c>
      <c r="M238" s="10">
        <f t="shared" si="20"/>
        <v>0.19613199851596017</v>
      </c>
      <c r="P238" s="8">
        <f t="shared" si="25"/>
        <v>-12.600169918273213</v>
      </c>
    </row>
    <row r="239" spans="1:16" x14ac:dyDescent="0.2">
      <c r="A239" s="8">
        <v>118.5</v>
      </c>
      <c r="B239" s="8">
        <v>237</v>
      </c>
      <c r="D239">
        <v>1564.9039900248999</v>
      </c>
      <c r="E239">
        <v>387.65960099750998</v>
      </c>
      <c r="F239">
        <v>140.38663335415001</v>
      </c>
      <c r="G239">
        <v>117.31855090568</v>
      </c>
      <c r="I239" s="9">
        <f t="shared" si="22"/>
        <v>270.34105009182997</v>
      </c>
      <c r="J239" s="9">
        <f t="shared" si="23"/>
        <v>1424.5173566707499</v>
      </c>
      <c r="K239" s="9">
        <f t="shared" si="24"/>
        <v>270.34105009182997</v>
      </c>
      <c r="L239" s="10">
        <f t="shared" si="21"/>
        <v>0.18977729462254223</v>
      </c>
      <c r="M239" s="10">
        <f t="shared" si="20"/>
        <v>0.19743601859512969</v>
      </c>
      <c r="P239" s="8">
        <f t="shared" si="25"/>
        <v>-12.01907588871688</v>
      </c>
    </row>
    <row r="240" spans="1:16" x14ac:dyDescent="0.2">
      <c r="A240" s="8">
        <v>119</v>
      </c>
      <c r="B240" s="8">
        <v>238</v>
      </c>
      <c r="D240">
        <v>1572.1290523691</v>
      </c>
      <c r="E240">
        <v>390.54177057356998</v>
      </c>
      <c r="F240">
        <v>140.25296689569001</v>
      </c>
      <c r="G240">
        <v>117.22485946284</v>
      </c>
      <c r="I240" s="9">
        <f t="shared" si="22"/>
        <v>273.31691111072996</v>
      </c>
      <c r="J240" s="9">
        <f t="shared" si="23"/>
        <v>1431.8760854734101</v>
      </c>
      <c r="K240" s="9">
        <f t="shared" si="24"/>
        <v>273.31691111072996</v>
      </c>
      <c r="L240" s="10">
        <f t="shared" si="21"/>
        <v>0.19088028208835217</v>
      </c>
      <c r="M240" s="10">
        <f t="shared" si="20"/>
        <v>0.1985713213519632</v>
      </c>
      <c r="P240" s="8">
        <f t="shared" si="25"/>
        <v>-11.513165232682388</v>
      </c>
    </row>
    <row r="241" spans="1:16" x14ac:dyDescent="0.2">
      <c r="A241" s="8">
        <v>119.5</v>
      </c>
      <c r="B241" s="8">
        <v>239</v>
      </c>
      <c r="D241">
        <v>1497.1851620948</v>
      </c>
      <c r="E241">
        <v>374.54301745636002</v>
      </c>
      <c r="F241">
        <v>140.60899437851</v>
      </c>
      <c r="G241">
        <v>117.02873204247</v>
      </c>
      <c r="I241" s="9">
        <f t="shared" si="22"/>
        <v>257.51428541389004</v>
      </c>
      <c r="J241" s="9">
        <f t="shared" si="23"/>
        <v>1356.57616771629</v>
      </c>
      <c r="K241" s="9">
        <f t="shared" si="24"/>
        <v>257.51428541389004</v>
      </c>
      <c r="L241" s="10">
        <f t="shared" si="21"/>
        <v>0.18982663232791344</v>
      </c>
      <c r="M241" s="10">
        <f t="shared" si="20"/>
        <v>0.19754998688254807</v>
      </c>
      <c r="P241" s="8">
        <f t="shared" si="25"/>
        <v>-11.968289637465473</v>
      </c>
    </row>
    <row r="242" spans="1:16" x14ac:dyDescent="0.2">
      <c r="A242" s="8">
        <v>120</v>
      </c>
      <c r="B242" s="8">
        <v>240</v>
      </c>
      <c r="D242">
        <v>1519.3732747803999</v>
      </c>
      <c r="E242">
        <v>384.07151819323002</v>
      </c>
      <c r="F242">
        <v>140.06808244846999</v>
      </c>
      <c r="G242">
        <v>117.16052467208</v>
      </c>
      <c r="I242" s="9">
        <f>E242-G242</f>
        <v>266.91099352115003</v>
      </c>
      <c r="J242" s="9">
        <f>D242-F242</f>
        <v>1379.3051923319299</v>
      </c>
      <c r="K242" s="9">
        <f t="shared" si="24"/>
        <v>266.91099352115003</v>
      </c>
      <c r="L242" s="10">
        <f t="shared" si="21"/>
        <v>0.19351119317538093</v>
      </c>
      <c r="M242" s="10">
        <f>L242+ABS($N$2)*A242</f>
        <v>0.20126686302103913</v>
      </c>
      <c r="O242" s="11"/>
      <c r="P242" s="8">
        <f>(M242-$O$2)/$O$2*100</f>
        <v>-10.311984978373811</v>
      </c>
    </row>
    <row r="243" spans="1:16" x14ac:dyDescent="0.2">
      <c r="A243" s="8">
        <v>120.5</v>
      </c>
      <c r="B243" s="8">
        <v>241</v>
      </c>
      <c r="D243">
        <v>1470.0238393976999</v>
      </c>
      <c r="E243">
        <v>375.30991217064002</v>
      </c>
      <c r="F243">
        <v>140.7795128045</v>
      </c>
      <c r="G243">
        <v>117.32042473454</v>
      </c>
      <c r="I243" s="9">
        <f t="shared" ref="I243:I274" si="26">E243-G243</f>
        <v>257.98948743610003</v>
      </c>
      <c r="J243" s="9">
        <f t="shared" ref="J243:J274" si="27">D243-F243</f>
        <v>1329.2443265932</v>
      </c>
      <c r="K243" s="9">
        <f t="shared" si="24"/>
        <v>257.98948743610003</v>
      </c>
      <c r="L243" s="10">
        <f t="shared" si="21"/>
        <v>0.19408733388941127</v>
      </c>
      <c r="M243" s="10">
        <f t="shared" ref="M243:M274" si="28">L243+ABS($N$2)*A243</f>
        <v>0.20187531902609304</v>
      </c>
      <c r="P243" s="8">
        <f t="shared" ref="P243:P274" si="29">(M243-$O$2)/$O$2*100</f>
        <v>-10.040846398966584</v>
      </c>
    </row>
    <row r="244" spans="1:16" x14ac:dyDescent="0.2">
      <c r="A244" s="8">
        <v>121</v>
      </c>
      <c r="B244" s="8">
        <v>242</v>
      </c>
      <c r="D244">
        <v>1540.9787100814001</v>
      </c>
      <c r="E244">
        <v>390.58985597996002</v>
      </c>
      <c r="F244">
        <v>140.14553404122</v>
      </c>
      <c r="G244">
        <v>116.89444097438999</v>
      </c>
      <c r="I244" s="9">
        <f t="shared" si="26"/>
        <v>273.69541500557</v>
      </c>
      <c r="J244" s="9">
        <f t="shared" si="27"/>
        <v>1400.8331760401802</v>
      </c>
      <c r="K244" s="9">
        <f t="shared" si="24"/>
        <v>273.69541500557</v>
      </c>
      <c r="L244" s="10">
        <f t="shared" si="21"/>
        <v>0.19538044906906143</v>
      </c>
      <c r="M244" s="10">
        <f t="shared" si="28"/>
        <v>0.20320074949676678</v>
      </c>
      <c r="N244" s="1"/>
      <c r="P244" s="8">
        <f t="shared" si="29"/>
        <v>-9.4502115265411071</v>
      </c>
    </row>
    <row r="245" spans="1:16" x14ac:dyDescent="0.2">
      <c r="A245" s="8">
        <v>121.5</v>
      </c>
      <c r="B245" s="8">
        <v>243</v>
      </c>
      <c r="D245">
        <v>1508.9749530368999</v>
      </c>
      <c r="E245">
        <v>385.79837194740003</v>
      </c>
      <c r="F245">
        <v>140.32667083073</v>
      </c>
      <c r="G245">
        <v>117.03123048095</v>
      </c>
      <c r="I245" s="9">
        <f t="shared" si="26"/>
        <v>268.76714146645003</v>
      </c>
      <c r="J245" s="9">
        <f t="shared" si="27"/>
        <v>1368.6482822061698</v>
      </c>
      <c r="K245" s="9">
        <f t="shared" si="24"/>
        <v>268.76714146645003</v>
      </c>
      <c r="L245" s="10">
        <f t="shared" si="21"/>
        <v>0.19637414883041779</v>
      </c>
      <c r="M245" s="10">
        <f t="shared" si="28"/>
        <v>0.20422676454914671</v>
      </c>
      <c r="P245" s="8">
        <f t="shared" si="29"/>
        <v>-8.9930013725743017</v>
      </c>
    </row>
    <row r="246" spans="1:16" x14ac:dyDescent="0.2">
      <c r="A246" s="8">
        <v>122</v>
      </c>
      <c r="B246" s="8">
        <v>244</v>
      </c>
      <c r="D246">
        <v>1520.6574827802001</v>
      </c>
      <c r="E246">
        <v>391.21352536005003</v>
      </c>
      <c r="F246">
        <v>140.18238600875</v>
      </c>
      <c r="G246">
        <v>116.96752029981</v>
      </c>
      <c r="I246" s="9">
        <f t="shared" si="26"/>
        <v>274.24600506024001</v>
      </c>
      <c r="J246" s="9">
        <f t="shared" si="27"/>
        <v>1380.4750967714501</v>
      </c>
      <c r="K246" s="9">
        <f t="shared" si="24"/>
        <v>274.24600506024001</v>
      </c>
      <c r="L246" s="10">
        <f t="shared" si="21"/>
        <v>0.19866059569029942</v>
      </c>
      <c r="M246" s="10">
        <f t="shared" si="28"/>
        <v>0.20654552670005191</v>
      </c>
      <c r="P246" s="8">
        <f t="shared" si="29"/>
        <v>-7.9597206253097852</v>
      </c>
    </row>
    <row r="247" spans="1:16" x14ac:dyDescent="0.2">
      <c r="A247" s="8">
        <v>122.5</v>
      </c>
      <c r="B247" s="8">
        <v>245</v>
      </c>
      <c r="D247">
        <v>1549.9868503444</v>
      </c>
      <c r="E247">
        <v>395.74139010645001</v>
      </c>
      <c r="F247">
        <v>140.31105559026</v>
      </c>
      <c r="G247">
        <v>117.17176764522</v>
      </c>
      <c r="I247" s="9">
        <f t="shared" si="26"/>
        <v>278.56962246122998</v>
      </c>
      <c r="J247" s="9">
        <f t="shared" si="27"/>
        <v>1409.67579475414</v>
      </c>
      <c r="K247" s="9">
        <f t="shared" si="24"/>
        <v>278.56962246122998</v>
      </c>
      <c r="L247" s="10">
        <f t="shared" si="21"/>
        <v>0.19761254573418777</v>
      </c>
      <c r="M247" s="10">
        <f t="shared" si="28"/>
        <v>0.20552979203496385</v>
      </c>
      <c r="P247" s="8">
        <f t="shared" si="29"/>
        <v>-8.4123496598810696</v>
      </c>
    </row>
    <row r="248" spans="1:16" x14ac:dyDescent="0.2">
      <c r="A248" s="8">
        <v>123</v>
      </c>
      <c r="B248" s="8">
        <v>246</v>
      </c>
      <c r="D248">
        <v>1533.0314465409001</v>
      </c>
      <c r="E248">
        <v>390.94213836478002</v>
      </c>
      <c r="F248">
        <v>140.48532167395001</v>
      </c>
      <c r="G248">
        <v>117.19675202998</v>
      </c>
      <c r="I248" s="9">
        <f t="shared" si="26"/>
        <v>273.7453863348</v>
      </c>
      <c r="J248" s="9">
        <f t="shared" si="27"/>
        <v>1392.5461248669501</v>
      </c>
      <c r="K248" s="9">
        <f t="shared" si="24"/>
        <v>273.7453863348</v>
      </c>
      <c r="L248" s="10">
        <f t="shared" si="21"/>
        <v>0.19657904427471287</v>
      </c>
      <c r="M248" s="10">
        <f t="shared" si="28"/>
        <v>0.20452860586651253</v>
      </c>
      <c r="P248" s="8">
        <f t="shared" si="29"/>
        <v>-8.8584956312927687</v>
      </c>
    </row>
    <row r="249" spans="1:16" x14ac:dyDescent="0.2">
      <c r="A249" s="8">
        <v>123.5</v>
      </c>
      <c r="B249" s="8">
        <v>247</v>
      </c>
      <c r="D249">
        <v>1492.2411214952999</v>
      </c>
      <c r="E249">
        <v>384.06230529595001</v>
      </c>
      <c r="F249">
        <v>140.55715178014</v>
      </c>
      <c r="G249">
        <v>116.87632729544001</v>
      </c>
      <c r="I249" s="9">
        <f t="shared" si="26"/>
        <v>267.18597800050998</v>
      </c>
      <c r="J249" s="9">
        <f t="shared" si="27"/>
        <v>1351.6839697151599</v>
      </c>
      <c r="K249" s="9">
        <f t="shared" si="24"/>
        <v>267.18597800050998</v>
      </c>
      <c r="L249" s="10">
        <f t="shared" si="21"/>
        <v>0.19766896995664898</v>
      </c>
      <c r="M249" s="10">
        <f t="shared" si="28"/>
        <v>0.20565084683947221</v>
      </c>
      <c r="P249" s="8">
        <f t="shared" si="29"/>
        <v>-8.3584055333506608</v>
      </c>
    </row>
    <row r="250" spans="1:16" x14ac:dyDescent="0.2">
      <c r="A250" s="8">
        <v>124</v>
      </c>
      <c r="B250" s="8">
        <v>248</v>
      </c>
      <c r="D250">
        <v>1403.9028037383</v>
      </c>
      <c r="E250">
        <v>363.63364485980998</v>
      </c>
      <c r="F250">
        <v>139.78950655840001</v>
      </c>
      <c r="G250">
        <v>117.05121798876</v>
      </c>
      <c r="I250" s="9">
        <f t="shared" si="26"/>
        <v>246.58242687104996</v>
      </c>
      <c r="J250" s="9">
        <f t="shared" si="27"/>
        <v>1264.1132971799</v>
      </c>
      <c r="K250" s="9">
        <f t="shared" si="24"/>
        <v>246.58242687104996</v>
      </c>
      <c r="L250" s="10">
        <f t="shared" si="21"/>
        <v>0.19506354962102582</v>
      </c>
      <c r="M250" s="10">
        <f t="shared" si="28"/>
        <v>0.20307774179487262</v>
      </c>
      <c r="P250" s="8">
        <f t="shared" si="29"/>
        <v>-9.5050258981155569</v>
      </c>
    </row>
    <row r="251" spans="1:16" x14ac:dyDescent="0.2">
      <c r="A251" s="8">
        <v>124.5</v>
      </c>
      <c r="B251" s="8">
        <v>249</v>
      </c>
      <c r="D251">
        <v>1425.4704049843999</v>
      </c>
      <c r="E251">
        <v>371.39750778816</v>
      </c>
      <c r="F251">
        <v>140.02123672705</v>
      </c>
      <c r="G251">
        <v>117.37851342911</v>
      </c>
      <c r="I251" s="9">
        <f t="shared" si="26"/>
        <v>254.01899435905</v>
      </c>
      <c r="J251" s="9">
        <f t="shared" si="27"/>
        <v>1285.4491682573498</v>
      </c>
      <c r="K251" s="9">
        <f t="shared" si="24"/>
        <v>254.01899435905</v>
      </c>
      <c r="L251" s="10">
        <f t="shared" si="21"/>
        <v>0.19761107683738049</v>
      </c>
      <c r="M251" s="10">
        <f t="shared" si="28"/>
        <v>0.20565758430225087</v>
      </c>
      <c r="P251" s="8">
        <f t="shared" si="29"/>
        <v>-8.3554032027442737</v>
      </c>
    </row>
    <row r="252" spans="1:16" x14ac:dyDescent="0.2">
      <c r="A252" s="8">
        <v>125</v>
      </c>
      <c r="B252" s="8">
        <v>250</v>
      </c>
      <c r="D252">
        <v>1462.4236760125</v>
      </c>
      <c r="E252">
        <v>382.14953271028003</v>
      </c>
      <c r="F252">
        <v>140.06620861960999</v>
      </c>
      <c r="G252">
        <v>117.04747033104</v>
      </c>
      <c r="I252" s="9">
        <f t="shared" si="26"/>
        <v>265.10206237924001</v>
      </c>
      <c r="J252" s="9">
        <f t="shared" si="27"/>
        <v>1322.3574673928899</v>
      </c>
      <c r="K252" s="9">
        <f t="shared" si="24"/>
        <v>265.10206237924001</v>
      </c>
      <c r="L252" s="10">
        <f t="shared" si="21"/>
        <v>0.20047685207382329</v>
      </c>
      <c r="M252" s="10">
        <f t="shared" si="28"/>
        <v>0.20855567482971724</v>
      </c>
      <c r="P252" s="8">
        <f t="shared" si="29"/>
        <v>-7.0639636539782877</v>
      </c>
    </row>
    <row r="253" spans="1:16" x14ac:dyDescent="0.2">
      <c r="A253" s="8">
        <v>125.5</v>
      </c>
      <c r="B253" s="8">
        <v>251</v>
      </c>
      <c r="D253">
        <v>1524.9102803738001</v>
      </c>
      <c r="E253">
        <v>397.56199376947001</v>
      </c>
      <c r="F253">
        <v>139.87008119925</v>
      </c>
      <c r="G253">
        <v>117.17364147408</v>
      </c>
      <c r="I253" s="9">
        <f t="shared" si="26"/>
        <v>280.38835229539001</v>
      </c>
      <c r="J253" s="9">
        <f t="shared" si="27"/>
        <v>1385.04019917455</v>
      </c>
      <c r="K253" s="9">
        <f t="shared" si="24"/>
        <v>280.38835229539001</v>
      </c>
      <c r="L253" s="10">
        <f t="shared" si="21"/>
        <v>0.20244058797895872</v>
      </c>
      <c r="M253" s="10">
        <f t="shared" si="28"/>
        <v>0.21055172602587627</v>
      </c>
      <c r="P253" s="8">
        <f t="shared" si="29"/>
        <v>-6.1744885214209111</v>
      </c>
    </row>
    <row r="254" spans="1:16" x14ac:dyDescent="0.2">
      <c r="A254" s="8">
        <v>126</v>
      </c>
      <c r="B254" s="8">
        <v>252</v>
      </c>
      <c r="D254">
        <v>1549.816199377</v>
      </c>
      <c r="E254">
        <v>401.76884735202998</v>
      </c>
      <c r="F254">
        <v>139.80074953153999</v>
      </c>
      <c r="G254">
        <v>116.77014366021</v>
      </c>
      <c r="I254" s="9">
        <f t="shared" si="26"/>
        <v>284.99870369181997</v>
      </c>
      <c r="J254" s="9">
        <f t="shared" si="27"/>
        <v>1410.0154498454599</v>
      </c>
      <c r="K254" s="9">
        <f t="shared" si="24"/>
        <v>284.99870369181997</v>
      </c>
      <c r="L254" s="10">
        <f t="shared" si="21"/>
        <v>0.20212452546038154</v>
      </c>
      <c r="M254" s="10">
        <f t="shared" si="28"/>
        <v>0.21026797879832265</v>
      </c>
      <c r="P254" s="8">
        <f t="shared" si="29"/>
        <v>-6.3009312215513997</v>
      </c>
    </row>
    <row r="255" spans="1:16" x14ac:dyDescent="0.2">
      <c r="A255" s="8">
        <v>126.5</v>
      </c>
      <c r="B255" s="8">
        <v>253</v>
      </c>
      <c r="D255">
        <v>1580.7202492212</v>
      </c>
      <c r="E255">
        <v>408.20498442368</v>
      </c>
      <c r="F255">
        <v>140.28169893815999</v>
      </c>
      <c r="G255">
        <v>117.50093691443</v>
      </c>
      <c r="I255" s="9">
        <f t="shared" si="26"/>
        <v>290.70404750925002</v>
      </c>
      <c r="J255" s="9">
        <f t="shared" si="27"/>
        <v>1440.4385502830401</v>
      </c>
      <c r="K255" s="9">
        <f t="shared" si="24"/>
        <v>290.70404750925002</v>
      </c>
      <c r="L255" s="10">
        <f t="shared" si="21"/>
        <v>0.20181634784220953</v>
      </c>
      <c r="M255" s="10">
        <f t="shared" si="28"/>
        <v>0.20999211647117422</v>
      </c>
      <c r="P255" s="8">
        <f t="shared" si="29"/>
        <v>-6.4238602729104564</v>
      </c>
    </row>
    <row r="256" spans="1:16" x14ac:dyDescent="0.2">
      <c r="A256" s="8">
        <v>127</v>
      </c>
      <c r="B256" s="8">
        <v>254</v>
      </c>
      <c r="D256">
        <v>1588.3268506900999</v>
      </c>
      <c r="E256">
        <v>409.54516938518998</v>
      </c>
      <c r="F256">
        <v>140.00811992505001</v>
      </c>
      <c r="G256">
        <v>117.50968144909</v>
      </c>
      <c r="I256" s="9">
        <f t="shared" si="26"/>
        <v>292.03548793609997</v>
      </c>
      <c r="J256" s="9">
        <f t="shared" si="27"/>
        <v>1448.3187307650498</v>
      </c>
      <c r="K256" s="9">
        <f t="shared" si="24"/>
        <v>292.03548793609997</v>
      </c>
      <c r="L256" s="10">
        <f t="shared" si="21"/>
        <v>0.20163758275903618</v>
      </c>
      <c r="M256" s="10">
        <f t="shared" si="28"/>
        <v>0.20984566667902443</v>
      </c>
      <c r="P256" s="8">
        <f t="shared" si="29"/>
        <v>-6.4891208476572828</v>
      </c>
    </row>
    <row r="257" spans="1:16" x14ac:dyDescent="0.2">
      <c r="A257" s="8">
        <v>127.5</v>
      </c>
      <c r="B257" s="8">
        <v>255</v>
      </c>
      <c r="D257">
        <v>1601.7925</v>
      </c>
      <c r="E257">
        <v>411.94062500000001</v>
      </c>
      <c r="F257">
        <v>140.41661461587</v>
      </c>
      <c r="G257">
        <v>116.50655840100001</v>
      </c>
      <c r="I257" s="9">
        <f t="shared" si="26"/>
        <v>295.434066599</v>
      </c>
      <c r="J257" s="9">
        <f t="shared" si="27"/>
        <v>1461.37588538413</v>
      </c>
      <c r="K257" s="9">
        <f t="shared" si="24"/>
        <v>295.434066599</v>
      </c>
      <c r="L257" s="10">
        <f t="shared" si="21"/>
        <v>0.20216158590939365</v>
      </c>
      <c r="M257" s="10">
        <f t="shared" si="28"/>
        <v>0.21040198512040548</v>
      </c>
      <c r="P257" s="8">
        <f t="shared" si="29"/>
        <v>-6.2412156735095898</v>
      </c>
    </row>
    <row r="258" spans="1:16" x14ac:dyDescent="0.2">
      <c r="A258" s="8">
        <v>128</v>
      </c>
      <c r="B258" s="8">
        <v>256</v>
      </c>
      <c r="D258">
        <v>1494.4974999999999</v>
      </c>
      <c r="E258">
        <v>386.19687499999998</v>
      </c>
      <c r="F258">
        <v>139.74578388507001</v>
      </c>
      <c r="G258">
        <v>117.24547158026</v>
      </c>
      <c r="I258" s="9">
        <f t="shared" si="26"/>
        <v>268.95140341973996</v>
      </c>
      <c r="J258" s="9">
        <f t="shared" si="27"/>
        <v>1354.7517161149299</v>
      </c>
      <c r="K258" s="9">
        <f t="shared" si="24"/>
        <v>268.95140341973996</v>
      </c>
      <c r="L258" s="10">
        <f t="shared" ref="L258:L321" si="30">K258/J258</f>
        <v>0.19852449730864452</v>
      </c>
      <c r="M258" s="10">
        <f t="shared" si="28"/>
        <v>0.20679721181067992</v>
      </c>
      <c r="P258" s="8">
        <f t="shared" si="29"/>
        <v>-7.8475653621735724</v>
      </c>
    </row>
    <row r="259" spans="1:16" x14ac:dyDescent="0.2">
      <c r="A259" s="8">
        <v>128.5</v>
      </c>
      <c r="B259" s="8">
        <v>257</v>
      </c>
      <c r="D259">
        <v>1477.6556250000001</v>
      </c>
      <c r="E259">
        <v>386.05500000000001</v>
      </c>
      <c r="F259">
        <v>140.13179262961</v>
      </c>
      <c r="G259">
        <v>117.00312304809999</v>
      </c>
      <c r="I259" s="9">
        <f t="shared" si="26"/>
        <v>269.0518769519</v>
      </c>
      <c r="J259" s="9">
        <f t="shared" si="27"/>
        <v>1337.5238323703902</v>
      </c>
      <c r="K259" s="9">
        <f t="shared" ref="K259:K322" si="31">I259*1</f>
        <v>269.0518769519</v>
      </c>
      <c r="L259" s="10">
        <f t="shared" si="30"/>
        <v>0.20115669750353543</v>
      </c>
      <c r="M259" s="10">
        <f t="shared" si="28"/>
        <v>0.20946172729659443</v>
      </c>
      <c r="P259" s="8">
        <f t="shared" si="29"/>
        <v>-6.6602109147547983</v>
      </c>
    </row>
    <row r="260" spans="1:16" x14ac:dyDescent="0.2">
      <c r="A260" s="8">
        <v>129</v>
      </c>
      <c r="B260" s="8">
        <v>258</v>
      </c>
      <c r="D260">
        <v>1460.5124378109999</v>
      </c>
      <c r="E260">
        <v>390.62251243780997</v>
      </c>
      <c r="F260">
        <v>139.89881324172001</v>
      </c>
      <c r="G260">
        <v>116.75952529669</v>
      </c>
      <c r="I260" s="9">
        <f t="shared" si="26"/>
        <v>273.86298714111996</v>
      </c>
      <c r="J260" s="9">
        <f t="shared" si="27"/>
        <v>1320.6136245692799</v>
      </c>
      <c r="K260" s="9">
        <f t="shared" si="31"/>
        <v>273.86298714111996</v>
      </c>
      <c r="L260" s="10">
        <f t="shared" si="30"/>
        <v>0.20737555788161793</v>
      </c>
      <c r="M260" s="10">
        <f t="shared" si="28"/>
        <v>0.2157129029657005</v>
      </c>
      <c r="P260" s="8">
        <f t="shared" si="29"/>
        <v>-3.874578302917437</v>
      </c>
    </row>
    <row r="261" spans="1:16" x14ac:dyDescent="0.2">
      <c r="A261" s="8">
        <v>129.5</v>
      </c>
      <c r="B261" s="8">
        <v>259</v>
      </c>
      <c r="D261">
        <v>1430.1672885572</v>
      </c>
      <c r="E261">
        <v>384.15920398010002</v>
      </c>
      <c r="F261">
        <v>139.44097439101</v>
      </c>
      <c r="G261">
        <v>116.67145534041001</v>
      </c>
      <c r="I261" s="9">
        <f t="shared" si="26"/>
        <v>267.48774863969004</v>
      </c>
      <c r="J261" s="9">
        <f t="shared" si="27"/>
        <v>1290.7263141661899</v>
      </c>
      <c r="K261" s="9">
        <f t="shared" si="31"/>
        <v>267.48774863969004</v>
      </c>
      <c r="L261" s="10">
        <f t="shared" si="30"/>
        <v>0.20723816172639767</v>
      </c>
      <c r="M261" s="10">
        <f t="shared" si="28"/>
        <v>0.21560782210150381</v>
      </c>
      <c r="P261" s="8">
        <f t="shared" si="29"/>
        <v>-3.921404163792376</v>
      </c>
    </row>
    <row r="262" spans="1:16" x14ac:dyDescent="0.2">
      <c r="A262" s="8">
        <v>130</v>
      </c>
      <c r="B262" s="8">
        <v>260</v>
      </c>
      <c r="D262">
        <v>1486.2542161148999</v>
      </c>
      <c r="E262">
        <v>400.19175515302999</v>
      </c>
      <c r="F262">
        <v>139.64522173642001</v>
      </c>
      <c r="G262">
        <v>116.75765146783</v>
      </c>
      <c r="I262" s="9">
        <f t="shared" si="26"/>
        <v>283.4341036852</v>
      </c>
      <c r="J262" s="9">
        <f t="shared" si="27"/>
        <v>1346.60899437848</v>
      </c>
      <c r="K262" s="9">
        <f t="shared" si="31"/>
        <v>283.4341036852</v>
      </c>
      <c r="L262" s="10">
        <f t="shared" si="30"/>
        <v>0.21047988307550067</v>
      </c>
      <c r="M262" s="10">
        <f t="shared" si="28"/>
        <v>0.21888185874163038</v>
      </c>
      <c r="P262" s="8">
        <f t="shared" si="29"/>
        <v>-2.4624364879741711</v>
      </c>
    </row>
    <row r="263" spans="1:16" x14ac:dyDescent="0.2">
      <c r="A263" s="8">
        <v>130.5</v>
      </c>
      <c r="B263" s="8">
        <v>261</v>
      </c>
      <c r="D263">
        <v>1514.8576802508001</v>
      </c>
      <c r="E263">
        <v>401.43761755486003</v>
      </c>
      <c r="F263">
        <v>139.99875078075999</v>
      </c>
      <c r="G263">
        <v>116.66333541537</v>
      </c>
      <c r="I263" s="9">
        <f t="shared" si="26"/>
        <v>284.77428213949003</v>
      </c>
      <c r="J263" s="9">
        <f t="shared" si="27"/>
        <v>1374.85892947004</v>
      </c>
      <c r="K263" s="9">
        <f t="shared" si="31"/>
        <v>284.77428213949003</v>
      </c>
      <c r="L263" s="10">
        <f t="shared" si="30"/>
        <v>0.20712981967485242</v>
      </c>
      <c r="M263" s="10">
        <f t="shared" si="28"/>
        <v>0.2155641106320057</v>
      </c>
      <c r="P263" s="8">
        <f t="shared" si="29"/>
        <v>-3.9408827549231669</v>
      </c>
    </row>
    <row r="264" spans="1:16" x14ac:dyDescent="0.2">
      <c r="A264" s="8">
        <v>131</v>
      </c>
      <c r="B264" s="8">
        <v>262</v>
      </c>
      <c r="D264">
        <v>1505.0970996217</v>
      </c>
      <c r="E264">
        <v>394.88335435057002</v>
      </c>
      <c r="F264">
        <v>139.50093691443001</v>
      </c>
      <c r="G264">
        <v>116.60399750156</v>
      </c>
      <c r="I264" s="9">
        <f t="shared" si="26"/>
        <v>278.27935684901001</v>
      </c>
      <c r="J264" s="9">
        <f t="shared" si="27"/>
        <v>1365.59616270727</v>
      </c>
      <c r="K264" s="9">
        <f t="shared" si="31"/>
        <v>278.27935684901001</v>
      </c>
      <c r="L264" s="10">
        <f t="shared" si="30"/>
        <v>0.20377866052093041</v>
      </c>
      <c r="M264" s="10">
        <f t="shared" si="28"/>
        <v>0.21224526676910727</v>
      </c>
      <c r="P264" s="8">
        <f t="shared" si="29"/>
        <v>-5.4198173085906092</v>
      </c>
    </row>
    <row r="265" spans="1:16" x14ac:dyDescent="0.2">
      <c r="A265" s="8">
        <v>131.5</v>
      </c>
      <c r="B265" s="8">
        <v>263</v>
      </c>
      <c r="D265">
        <v>1443.3284993694999</v>
      </c>
      <c r="E265">
        <v>382.52332912988999</v>
      </c>
      <c r="F265">
        <v>139.98813241724</v>
      </c>
      <c r="G265">
        <v>116.6908182386</v>
      </c>
      <c r="I265" s="9">
        <f t="shared" si="26"/>
        <v>265.83251089128999</v>
      </c>
      <c r="J265" s="9">
        <f t="shared" si="27"/>
        <v>1303.34036695226</v>
      </c>
      <c r="K265" s="9">
        <f t="shared" si="31"/>
        <v>265.83251089128999</v>
      </c>
      <c r="L265" s="10">
        <f t="shared" si="30"/>
        <v>0.20396246263200959</v>
      </c>
      <c r="M265" s="10">
        <f t="shared" si="28"/>
        <v>0.21246138417121002</v>
      </c>
      <c r="P265" s="8">
        <f t="shared" si="29"/>
        <v>-5.3235116350421494</v>
      </c>
    </row>
    <row r="266" spans="1:16" x14ac:dyDescent="0.2">
      <c r="A266" s="8">
        <v>132</v>
      </c>
      <c r="B266" s="8">
        <v>264</v>
      </c>
      <c r="D266">
        <v>1466.5237500000001</v>
      </c>
      <c r="E266">
        <v>396.14</v>
      </c>
      <c r="F266">
        <v>139.79887570269</v>
      </c>
      <c r="G266">
        <v>117.06808244846999</v>
      </c>
      <c r="I266" s="9">
        <f t="shared" si="26"/>
        <v>279.07191755152996</v>
      </c>
      <c r="J266" s="9">
        <f t="shared" si="27"/>
        <v>1326.7248742973102</v>
      </c>
      <c r="K266" s="9">
        <f t="shared" si="31"/>
        <v>279.07191755152996</v>
      </c>
      <c r="L266" s="10">
        <f t="shared" si="30"/>
        <v>0.21034648777451942</v>
      </c>
      <c r="M266" s="10">
        <f t="shared" si="28"/>
        <v>0.21887772460474345</v>
      </c>
      <c r="P266" s="8">
        <f t="shared" si="29"/>
        <v>-2.4642787312806522</v>
      </c>
    </row>
    <row r="267" spans="1:16" x14ac:dyDescent="0.2">
      <c r="A267" s="8">
        <v>132.5</v>
      </c>
      <c r="B267" s="8">
        <v>265</v>
      </c>
      <c r="D267">
        <v>1411.6468749999999</v>
      </c>
      <c r="E267">
        <v>389.46312499999999</v>
      </c>
      <c r="F267">
        <v>139.82573391630001</v>
      </c>
      <c r="G267">
        <v>116.92629606496</v>
      </c>
      <c r="I267" s="9">
        <f t="shared" si="26"/>
        <v>272.53682893503998</v>
      </c>
      <c r="J267" s="9">
        <f t="shared" si="27"/>
        <v>1271.8211410836998</v>
      </c>
      <c r="K267" s="9">
        <f t="shared" si="31"/>
        <v>272.53682893503998</v>
      </c>
      <c r="L267" s="10">
        <f t="shared" si="30"/>
        <v>0.21428864494485084</v>
      </c>
      <c r="M267" s="10">
        <f t="shared" si="28"/>
        <v>0.22285219706609843</v>
      </c>
      <c r="P267" s="8">
        <f t="shared" si="29"/>
        <v>-0.6931846700601344</v>
      </c>
    </row>
    <row r="268" spans="1:16" x14ac:dyDescent="0.2">
      <c r="A268" s="8">
        <v>133</v>
      </c>
      <c r="B268" s="8">
        <v>266</v>
      </c>
      <c r="D268">
        <v>1426.7049999999999</v>
      </c>
      <c r="E268">
        <v>391.23500000000001</v>
      </c>
      <c r="F268">
        <v>139.68332292317001</v>
      </c>
      <c r="G268">
        <v>117.20112429731</v>
      </c>
      <c r="I268" s="9">
        <f t="shared" si="26"/>
        <v>274.03387570269001</v>
      </c>
      <c r="J268" s="9">
        <f t="shared" si="27"/>
        <v>1287.02167707683</v>
      </c>
      <c r="K268" s="9">
        <f t="shared" si="31"/>
        <v>274.03387570269001</v>
      </c>
      <c r="L268" s="10">
        <f t="shared" si="30"/>
        <v>0.21292094809552403</v>
      </c>
      <c r="M268" s="10">
        <f t="shared" si="28"/>
        <v>0.2215168155077952</v>
      </c>
      <c r="P268" s="8">
        <f t="shared" si="29"/>
        <v>-1.2882539202237009</v>
      </c>
    </row>
    <row r="269" spans="1:16" x14ac:dyDescent="0.2">
      <c r="A269" s="8">
        <v>133.5</v>
      </c>
      <c r="B269" s="8">
        <v>267</v>
      </c>
      <c r="D269">
        <v>1411.3675000000001</v>
      </c>
      <c r="E269">
        <v>388.13499999999999</v>
      </c>
      <c r="F269">
        <v>139.53903810118999</v>
      </c>
      <c r="G269">
        <v>116.76327295439999</v>
      </c>
      <c r="I269" s="9">
        <f t="shared" si="26"/>
        <v>271.37172704559998</v>
      </c>
      <c r="J269" s="9">
        <f t="shared" si="27"/>
        <v>1271.82846189881</v>
      </c>
      <c r="K269" s="9">
        <f t="shared" si="31"/>
        <v>271.37172704559998</v>
      </c>
      <c r="L269" s="10">
        <f t="shared" si="30"/>
        <v>0.21337132732542277</v>
      </c>
      <c r="M269" s="10">
        <f t="shared" si="28"/>
        <v>0.22199951002871751</v>
      </c>
      <c r="P269" s="8">
        <f t="shared" si="29"/>
        <v>-1.0731568456555369</v>
      </c>
    </row>
    <row r="270" spans="1:16" x14ac:dyDescent="0.2">
      <c r="A270" s="8">
        <v>134</v>
      </c>
      <c r="B270" s="8">
        <v>268</v>
      </c>
      <c r="D270">
        <v>1406.036875</v>
      </c>
      <c r="E270">
        <v>386.22375</v>
      </c>
      <c r="F270">
        <v>139.62086196127001</v>
      </c>
      <c r="G270">
        <v>116.6645846346</v>
      </c>
      <c r="I270" s="9">
        <f t="shared" si="26"/>
        <v>269.55916536539996</v>
      </c>
      <c r="J270" s="9">
        <f t="shared" si="27"/>
        <v>1266.4160130387299</v>
      </c>
      <c r="K270" s="9">
        <f t="shared" si="31"/>
        <v>269.55916536539996</v>
      </c>
      <c r="L270" s="10">
        <f t="shared" si="30"/>
        <v>0.21285198749074583</v>
      </c>
      <c r="M270" s="10">
        <f t="shared" si="28"/>
        <v>0.22151248548506414</v>
      </c>
      <c r="P270" s="8">
        <f t="shared" si="29"/>
        <v>-1.2901834536695869</v>
      </c>
    </row>
    <row r="271" spans="1:16" x14ac:dyDescent="0.2">
      <c r="A271" s="8">
        <v>134.5</v>
      </c>
      <c r="B271" s="8">
        <v>269</v>
      </c>
      <c r="D271">
        <v>1340.6767485821999</v>
      </c>
      <c r="E271">
        <v>373.15689981096</v>
      </c>
      <c r="F271">
        <v>139.85446595878</v>
      </c>
      <c r="G271">
        <v>117.04247345409</v>
      </c>
      <c r="I271" s="9">
        <f t="shared" si="26"/>
        <v>256.11442635687001</v>
      </c>
      <c r="J271" s="9">
        <f t="shared" si="27"/>
        <v>1200.8222826234201</v>
      </c>
      <c r="K271" s="9">
        <f t="shared" si="31"/>
        <v>256.11442635687001</v>
      </c>
      <c r="L271" s="10">
        <f t="shared" si="30"/>
        <v>0.21328253985872109</v>
      </c>
      <c r="M271" s="10">
        <f t="shared" si="28"/>
        <v>0.22197535314406297</v>
      </c>
      <c r="P271" s="8">
        <f t="shared" si="29"/>
        <v>-1.0839215736452892</v>
      </c>
    </row>
    <row r="272" spans="1:16" x14ac:dyDescent="0.2">
      <c r="A272" s="8">
        <v>135</v>
      </c>
      <c r="B272" s="8">
        <v>270</v>
      </c>
      <c r="D272">
        <v>1361.2130325815001</v>
      </c>
      <c r="E272">
        <v>373.27694235589001</v>
      </c>
      <c r="F272">
        <v>139.54715802622999</v>
      </c>
      <c r="G272">
        <v>116.64834478451</v>
      </c>
      <c r="I272" s="9">
        <f t="shared" si="26"/>
        <v>256.62859757138</v>
      </c>
      <c r="J272" s="9">
        <f t="shared" si="27"/>
        <v>1221.6658745552702</v>
      </c>
      <c r="K272" s="9">
        <f t="shared" si="31"/>
        <v>256.62859757138</v>
      </c>
      <c r="L272" s="10">
        <f t="shared" si="30"/>
        <v>0.21006447255048516</v>
      </c>
      <c r="M272" s="10">
        <f t="shared" si="28"/>
        <v>0.21878960112685064</v>
      </c>
      <c r="P272" s="8">
        <f t="shared" si="29"/>
        <v>-2.5035480858598089</v>
      </c>
    </row>
    <row r="273" spans="1:16" x14ac:dyDescent="0.2">
      <c r="A273" s="8">
        <v>135.5</v>
      </c>
      <c r="B273" s="8">
        <v>271</v>
      </c>
      <c r="D273">
        <v>1423.3082706767</v>
      </c>
      <c r="E273">
        <v>389.08897243107998</v>
      </c>
      <c r="F273">
        <v>140.20924422236001</v>
      </c>
      <c r="G273">
        <v>116.91567770144</v>
      </c>
      <c r="I273" s="9">
        <f t="shared" si="26"/>
        <v>272.17329472963996</v>
      </c>
      <c r="J273" s="9">
        <f t="shared" si="27"/>
        <v>1283.09902645434</v>
      </c>
      <c r="K273" s="9">
        <f t="shared" si="31"/>
        <v>272.17329472963996</v>
      </c>
      <c r="L273" s="10">
        <f t="shared" si="30"/>
        <v>0.21212181532219831</v>
      </c>
      <c r="M273" s="10">
        <f t="shared" si="28"/>
        <v>0.22087925918958737</v>
      </c>
      <c r="P273" s="8">
        <f t="shared" si="29"/>
        <v>-1.5723601053465814</v>
      </c>
    </row>
    <row r="274" spans="1:16" x14ac:dyDescent="0.2">
      <c r="A274" s="8">
        <v>136</v>
      </c>
      <c r="B274" s="8">
        <v>272</v>
      </c>
      <c r="D274">
        <v>1411.7006931317001</v>
      </c>
      <c r="E274">
        <v>381.29489603025002</v>
      </c>
      <c r="F274">
        <v>139.89319175515001</v>
      </c>
      <c r="G274">
        <v>116.532792005</v>
      </c>
      <c r="I274" s="9">
        <f t="shared" si="26"/>
        <v>264.76210402524998</v>
      </c>
      <c r="J274" s="9">
        <f t="shared" si="27"/>
        <v>1271.8075013765501</v>
      </c>
      <c r="K274" s="9">
        <f t="shared" si="31"/>
        <v>264.76210402524998</v>
      </c>
      <c r="L274" s="10">
        <f t="shared" si="30"/>
        <v>0.20817781286765707</v>
      </c>
      <c r="M274" s="10">
        <f t="shared" si="28"/>
        <v>0.2169675720260697</v>
      </c>
      <c r="P274" s="8">
        <f t="shared" si="29"/>
        <v>-3.3154759457559453</v>
      </c>
    </row>
    <row r="275" spans="1:16" x14ac:dyDescent="0.2">
      <c r="A275" s="8">
        <v>136.5</v>
      </c>
      <c r="B275" s="8">
        <v>273</v>
      </c>
      <c r="D275">
        <v>1325.5274102078999</v>
      </c>
      <c r="E275">
        <v>366.56395715186</v>
      </c>
      <c r="F275">
        <v>139.72579637726</v>
      </c>
      <c r="G275">
        <v>116.71892567146</v>
      </c>
      <c r="I275" s="9">
        <f>E275-G275</f>
        <v>249.8450314804</v>
      </c>
      <c r="J275" s="9">
        <f>D275-F275</f>
        <v>1185.80161383064</v>
      </c>
      <c r="K275" s="9">
        <f t="shared" si="31"/>
        <v>249.8450314804</v>
      </c>
      <c r="L275" s="10">
        <f t="shared" si="30"/>
        <v>0.21069715926030411</v>
      </c>
      <c r="M275" s="10">
        <f>L275+ABS($N$2)*A275</f>
        <v>0.2195192337097403</v>
      </c>
      <c r="O275" s="11"/>
      <c r="P275" s="8">
        <f>(M275-$O$2)/$O$2*100</f>
        <v>-2.1784111156093449</v>
      </c>
    </row>
    <row r="276" spans="1:16" x14ac:dyDescent="0.2">
      <c r="A276" s="8">
        <v>137</v>
      </c>
      <c r="B276" s="8">
        <v>274</v>
      </c>
      <c r="D276">
        <v>1394.3494657448</v>
      </c>
      <c r="E276">
        <v>387.17850408547997</v>
      </c>
      <c r="F276">
        <v>139.51967520299999</v>
      </c>
      <c r="G276">
        <v>116.94565896315</v>
      </c>
      <c r="I276" s="9">
        <f t="shared" ref="I276:I291" si="32">E276-G276</f>
        <v>270.23284512232999</v>
      </c>
      <c r="J276" s="9">
        <f t="shared" ref="J276:J291" si="33">D276-F276</f>
        <v>1254.8297905418001</v>
      </c>
      <c r="K276" s="9">
        <f t="shared" si="31"/>
        <v>270.23284512232999</v>
      </c>
      <c r="L276" s="10">
        <f t="shared" si="30"/>
        <v>0.21535418361852174</v>
      </c>
      <c r="M276" s="10">
        <f t="shared" ref="M276:M291" si="34">L276+ABS($N$2)*A276</f>
        <v>0.22420857335898151</v>
      </c>
      <c r="P276" s="8">
        <f t="shared" ref="P276:P291" si="35">(M276-$O$2)/$O$2*100</f>
        <v>-8.8759800982913459E-2</v>
      </c>
    </row>
    <row r="277" spans="1:16" x14ac:dyDescent="0.2">
      <c r="A277" s="8">
        <v>137.5</v>
      </c>
      <c r="B277" s="8">
        <v>275</v>
      </c>
      <c r="D277">
        <v>1464.2905447715</v>
      </c>
      <c r="E277">
        <v>407.29931120852001</v>
      </c>
      <c r="F277">
        <v>139.85259212992</v>
      </c>
      <c r="G277">
        <v>116.47595252967</v>
      </c>
      <c r="I277" s="9">
        <f t="shared" si="32"/>
        <v>290.82335867885001</v>
      </c>
      <c r="J277" s="9">
        <f t="shared" si="33"/>
        <v>1324.4379526415801</v>
      </c>
      <c r="K277" s="9">
        <f t="shared" si="31"/>
        <v>290.82335867885001</v>
      </c>
      <c r="L277" s="10">
        <f t="shared" si="30"/>
        <v>0.21958247126549441</v>
      </c>
      <c r="M277" s="10">
        <f t="shared" si="34"/>
        <v>0.22846917629697774</v>
      </c>
      <c r="N277" s="1"/>
      <c r="P277" s="8">
        <f t="shared" si="35"/>
        <v>1.8098389776160577</v>
      </c>
    </row>
    <row r="278" spans="1:16" x14ac:dyDescent="0.2">
      <c r="A278" s="8">
        <v>138</v>
      </c>
      <c r="B278" s="8">
        <v>276</v>
      </c>
      <c r="D278">
        <v>1525.3463476070999</v>
      </c>
      <c r="E278">
        <v>417.75755667506002</v>
      </c>
      <c r="F278">
        <v>139.7795128045</v>
      </c>
      <c r="G278">
        <v>116.81386633354001</v>
      </c>
      <c r="I278" s="9">
        <f t="shared" si="32"/>
        <v>300.94369034151998</v>
      </c>
      <c r="J278" s="9">
        <f t="shared" si="33"/>
        <v>1385.5668348025999</v>
      </c>
      <c r="K278" s="9">
        <f t="shared" si="31"/>
        <v>300.94369034151998</v>
      </c>
      <c r="L278" s="10">
        <f t="shared" si="30"/>
        <v>0.21719897069014002</v>
      </c>
      <c r="M278" s="10">
        <f t="shared" si="34"/>
        <v>0.22611799101264696</v>
      </c>
      <c r="P278" s="8">
        <f t="shared" si="35"/>
        <v>0.76210991812531204</v>
      </c>
    </row>
    <row r="279" spans="1:16" x14ac:dyDescent="0.2">
      <c r="A279" s="8">
        <v>138.5</v>
      </c>
      <c r="B279" s="8">
        <v>277</v>
      </c>
      <c r="D279">
        <v>1517.064861461</v>
      </c>
      <c r="E279">
        <v>415.37594458438002</v>
      </c>
      <c r="F279">
        <v>139.63460337289001</v>
      </c>
      <c r="G279">
        <v>117.19862585884</v>
      </c>
      <c r="I279" s="9">
        <f t="shared" si="32"/>
        <v>298.17731872554003</v>
      </c>
      <c r="J279" s="9">
        <f t="shared" si="33"/>
        <v>1377.4302580881099</v>
      </c>
      <c r="K279" s="9">
        <f t="shared" si="31"/>
        <v>298.17731872554003</v>
      </c>
      <c r="L279" s="10">
        <f t="shared" si="30"/>
        <v>0.2164736232376758</v>
      </c>
      <c r="M279" s="10">
        <f t="shared" si="34"/>
        <v>0.22542495885120631</v>
      </c>
      <c r="P279" s="8">
        <f t="shared" si="35"/>
        <v>0.45328273230455668</v>
      </c>
    </row>
    <row r="280" spans="1:16" x14ac:dyDescent="0.2">
      <c r="A280" s="8">
        <v>139</v>
      </c>
      <c r="B280" s="8">
        <v>278</v>
      </c>
      <c r="D280">
        <v>1575.7173501576999</v>
      </c>
      <c r="E280">
        <v>429.70914826498</v>
      </c>
      <c r="F280">
        <v>139.94003747657999</v>
      </c>
      <c r="G280">
        <v>116.77514053716</v>
      </c>
      <c r="I280" s="9">
        <f t="shared" si="32"/>
        <v>312.93400772782002</v>
      </c>
      <c r="J280" s="9">
        <f t="shared" si="33"/>
        <v>1435.7773126811198</v>
      </c>
      <c r="K280" s="9">
        <f t="shared" si="31"/>
        <v>312.93400772782002</v>
      </c>
      <c r="L280" s="10">
        <f t="shared" si="30"/>
        <v>0.21795441741829594</v>
      </c>
      <c r="M280" s="10">
        <f t="shared" si="34"/>
        <v>0.22693806832285002</v>
      </c>
      <c r="P280" s="8">
        <f t="shared" si="35"/>
        <v>1.127550632072835</v>
      </c>
    </row>
    <row r="281" spans="1:16" x14ac:dyDescent="0.2">
      <c r="A281" s="8">
        <v>139.5</v>
      </c>
      <c r="B281" s="8">
        <v>279</v>
      </c>
      <c r="D281">
        <v>1562.2296529969001</v>
      </c>
      <c r="E281">
        <v>427.87634069401003</v>
      </c>
      <c r="F281">
        <v>139.43035602748</v>
      </c>
      <c r="G281">
        <v>117.19362898189</v>
      </c>
      <c r="I281" s="9">
        <f t="shared" si="32"/>
        <v>310.68271171212001</v>
      </c>
      <c r="J281" s="9">
        <f t="shared" si="33"/>
        <v>1422.7992969694201</v>
      </c>
      <c r="K281" s="9">
        <f t="shared" si="31"/>
        <v>310.68271171212001</v>
      </c>
      <c r="L281" s="10">
        <f t="shared" si="30"/>
        <v>0.21836018078858907</v>
      </c>
      <c r="M281" s="10">
        <f t="shared" si="34"/>
        <v>0.22737614698416672</v>
      </c>
      <c r="P281" s="8">
        <f t="shared" si="35"/>
        <v>1.3227661035472391</v>
      </c>
    </row>
    <row r="282" spans="1:16" x14ac:dyDescent="0.2">
      <c r="A282" s="8">
        <v>140</v>
      </c>
      <c r="B282" s="8">
        <v>280</v>
      </c>
      <c r="D282">
        <v>1549.8076681333</v>
      </c>
      <c r="E282">
        <v>422.31175361407998</v>
      </c>
      <c r="F282">
        <v>139.52467207994999</v>
      </c>
      <c r="G282">
        <v>116.80262336040001</v>
      </c>
      <c r="I282" s="9">
        <f t="shared" si="32"/>
        <v>305.50913025367998</v>
      </c>
      <c r="J282" s="9">
        <f t="shared" si="33"/>
        <v>1410.28299605335</v>
      </c>
      <c r="K282" s="9">
        <f t="shared" si="31"/>
        <v>305.50913025367998</v>
      </c>
      <c r="L282" s="10">
        <f t="shared" si="30"/>
        <v>0.21662966305957135</v>
      </c>
      <c r="M282" s="10">
        <f t="shared" si="34"/>
        <v>0.22567794454617257</v>
      </c>
      <c r="P282" s="8">
        <f t="shared" si="35"/>
        <v>0.56601755844441071</v>
      </c>
    </row>
    <row r="283" spans="1:16" x14ac:dyDescent="0.2">
      <c r="A283" s="8">
        <v>140.5</v>
      </c>
      <c r="B283" s="8">
        <v>281</v>
      </c>
      <c r="D283">
        <v>1560.6379635449</v>
      </c>
      <c r="E283">
        <v>423.93400377120997</v>
      </c>
      <c r="F283">
        <v>139.61648969394</v>
      </c>
      <c r="G283">
        <v>116.47095565271999</v>
      </c>
      <c r="I283" s="9">
        <f t="shared" si="32"/>
        <v>307.46304811848995</v>
      </c>
      <c r="J283" s="9">
        <f t="shared" si="33"/>
        <v>1421.0214738509601</v>
      </c>
      <c r="K283" s="9">
        <f t="shared" si="31"/>
        <v>307.46304811848995</v>
      </c>
      <c r="L283" s="10">
        <f t="shared" si="30"/>
        <v>0.216367629748245</v>
      </c>
      <c r="M283" s="10">
        <f t="shared" si="34"/>
        <v>0.22544822652586979</v>
      </c>
      <c r="P283" s="8">
        <f t="shared" si="35"/>
        <v>0.46365121285527122</v>
      </c>
    </row>
    <row r="284" spans="1:16" x14ac:dyDescent="0.2">
      <c r="A284" s="8">
        <v>141</v>
      </c>
      <c r="B284" s="8">
        <v>282</v>
      </c>
      <c r="D284">
        <v>1504.9773727216</v>
      </c>
      <c r="E284">
        <v>417.53551225643997</v>
      </c>
      <c r="F284">
        <v>139.75890068707</v>
      </c>
      <c r="G284">
        <v>116.99500312305</v>
      </c>
      <c r="I284" s="9">
        <f t="shared" si="32"/>
        <v>300.54050913338995</v>
      </c>
      <c r="J284" s="9">
        <f t="shared" si="33"/>
        <v>1365.2184720345299</v>
      </c>
      <c r="K284" s="9">
        <f t="shared" si="31"/>
        <v>300.54050913338995</v>
      </c>
      <c r="L284" s="10">
        <f t="shared" si="30"/>
        <v>0.22014096299583946</v>
      </c>
      <c r="M284" s="10">
        <f t="shared" si="34"/>
        <v>0.22925387506448786</v>
      </c>
      <c r="P284" s="8">
        <f t="shared" si="35"/>
        <v>2.1595143975610762</v>
      </c>
    </row>
    <row r="285" spans="1:16" x14ac:dyDescent="0.2">
      <c r="A285" s="8">
        <v>141.5</v>
      </c>
      <c r="B285" s="8">
        <v>283</v>
      </c>
      <c r="D285">
        <v>1430.9725514659999</v>
      </c>
      <c r="E285">
        <v>406.44978165939</v>
      </c>
      <c r="F285">
        <v>139.47595252967</v>
      </c>
      <c r="G285">
        <v>116.78825733916</v>
      </c>
      <c r="I285" s="9">
        <f t="shared" si="32"/>
        <v>289.66152432023</v>
      </c>
      <c r="J285" s="9">
        <f t="shared" si="33"/>
        <v>1291.49659893633</v>
      </c>
      <c r="K285" s="9">
        <f t="shared" si="31"/>
        <v>289.66152432023</v>
      </c>
      <c r="L285" s="10">
        <f t="shared" si="30"/>
        <v>0.2242836137228652</v>
      </c>
      <c r="M285" s="10">
        <f t="shared" si="34"/>
        <v>0.23342884108253717</v>
      </c>
      <c r="P285" s="8">
        <f t="shared" si="35"/>
        <v>4.0199518750530556</v>
      </c>
    </row>
    <row r="286" spans="1:16" x14ac:dyDescent="0.2">
      <c r="A286" s="8">
        <v>142</v>
      </c>
      <c r="B286" s="8">
        <v>284</v>
      </c>
      <c r="D286">
        <v>1403.2850904554</v>
      </c>
      <c r="E286">
        <v>398.51777916407002</v>
      </c>
      <c r="F286">
        <v>139.44409743910001</v>
      </c>
      <c r="G286">
        <v>116.73141786383999</v>
      </c>
      <c r="I286" s="9">
        <f t="shared" si="32"/>
        <v>281.78636130023006</v>
      </c>
      <c r="J286" s="9">
        <f t="shared" si="33"/>
        <v>1263.8409930163</v>
      </c>
      <c r="K286" s="9">
        <f t="shared" si="31"/>
        <v>281.78636130023006</v>
      </c>
      <c r="L286" s="10">
        <f t="shared" si="30"/>
        <v>0.22296029552555888</v>
      </c>
      <c r="M286" s="10">
        <f t="shared" si="34"/>
        <v>0.23213783817625441</v>
      </c>
      <c r="P286" s="8">
        <f t="shared" si="35"/>
        <v>3.4446585241572985</v>
      </c>
    </row>
    <row r="287" spans="1:16" x14ac:dyDescent="0.2">
      <c r="A287" s="8">
        <v>142.5</v>
      </c>
      <c r="B287" s="8">
        <v>285</v>
      </c>
      <c r="D287">
        <v>1395.4647535869999</v>
      </c>
      <c r="E287">
        <v>397.24703680598998</v>
      </c>
      <c r="F287">
        <v>139.08806995628001</v>
      </c>
      <c r="G287">
        <v>116.73454091193</v>
      </c>
      <c r="I287" s="9">
        <f t="shared" si="32"/>
        <v>280.51249589405995</v>
      </c>
      <c r="J287" s="9">
        <f t="shared" si="33"/>
        <v>1256.37668363072</v>
      </c>
      <c r="K287" s="9">
        <f t="shared" si="31"/>
        <v>280.51249589405995</v>
      </c>
      <c r="L287" s="10">
        <f t="shared" si="30"/>
        <v>0.22327101382001568</v>
      </c>
      <c r="M287" s="10">
        <f t="shared" si="34"/>
        <v>0.23248087176173479</v>
      </c>
      <c r="P287" s="8">
        <f t="shared" si="35"/>
        <v>3.5975202566138251</v>
      </c>
    </row>
    <row r="288" spans="1:16" x14ac:dyDescent="0.2">
      <c r="A288" s="8">
        <v>143</v>
      </c>
      <c r="B288" s="8">
        <v>286</v>
      </c>
      <c r="D288">
        <v>1360.7547051443</v>
      </c>
      <c r="E288">
        <v>389.82308657466001</v>
      </c>
      <c r="F288">
        <v>139.40849469081999</v>
      </c>
      <c r="G288">
        <v>116.50156152405</v>
      </c>
      <c r="I288" s="9">
        <f t="shared" si="32"/>
        <v>273.32152505061003</v>
      </c>
      <c r="J288" s="9">
        <f t="shared" si="33"/>
        <v>1221.3462104534801</v>
      </c>
      <c r="K288" s="9">
        <f t="shared" si="31"/>
        <v>273.32152505061003</v>
      </c>
      <c r="L288" s="10">
        <f t="shared" si="30"/>
        <v>0.22378709878595934</v>
      </c>
      <c r="M288" s="10">
        <f t="shared" si="34"/>
        <v>0.23302927201870202</v>
      </c>
      <c r="P288" s="8">
        <f t="shared" si="35"/>
        <v>3.8418969500568938</v>
      </c>
    </row>
    <row r="289" spans="1:16" x14ac:dyDescent="0.2">
      <c r="A289" s="8">
        <v>143.5</v>
      </c>
      <c r="B289" s="8">
        <v>287</v>
      </c>
      <c r="D289">
        <v>1491.5851528384001</v>
      </c>
      <c r="E289">
        <v>412.03181534623002</v>
      </c>
      <c r="F289">
        <v>139.16052467207999</v>
      </c>
      <c r="G289">
        <v>116.96127420361999</v>
      </c>
      <c r="I289" s="9">
        <f t="shared" si="32"/>
        <v>295.07054114261001</v>
      </c>
      <c r="J289" s="9">
        <f t="shared" si="33"/>
        <v>1352.42462816632</v>
      </c>
      <c r="K289" s="9">
        <f t="shared" si="31"/>
        <v>295.07054114261001</v>
      </c>
      <c r="L289" s="10">
        <f t="shared" si="30"/>
        <v>0.21817891732915301</v>
      </c>
      <c r="M289" s="10">
        <f t="shared" si="34"/>
        <v>0.22745340585291926</v>
      </c>
      <c r="P289" s="8">
        <f t="shared" si="35"/>
        <v>1.3571939993132065</v>
      </c>
    </row>
    <row r="290" spans="1:16" x14ac:dyDescent="0.2">
      <c r="A290" s="8">
        <v>144</v>
      </c>
      <c r="B290" s="8">
        <v>288</v>
      </c>
      <c r="D290">
        <v>1432.768070396</v>
      </c>
      <c r="E290">
        <v>397.59773727215997</v>
      </c>
      <c r="F290">
        <v>139.47782635853</v>
      </c>
      <c r="G290">
        <v>116.69581511555</v>
      </c>
      <c r="I290" s="9">
        <f t="shared" si="32"/>
        <v>280.90192215661</v>
      </c>
      <c r="J290" s="9">
        <f t="shared" si="33"/>
        <v>1293.2902440374701</v>
      </c>
      <c r="K290" s="9">
        <f t="shared" si="31"/>
        <v>280.90192215661</v>
      </c>
      <c r="L290" s="10">
        <f t="shared" si="30"/>
        <v>0.21719944417091847</v>
      </c>
      <c r="M290" s="10">
        <f t="shared" si="34"/>
        <v>0.22650624798570831</v>
      </c>
      <c r="P290" s="8">
        <f t="shared" si="35"/>
        <v>0.93512397870883712</v>
      </c>
    </row>
    <row r="291" spans="1:16" x14ac:dyDescent="0.2">
      <c r="A291" s="8">
        <v>144.5</v>
      </c>
      <c r="B291" s="8">
        <v>289</v>
      </c>
      <c r="D291">
        <v>1386.0835952231</v>
      </c>
      <c r="E291">
        <v>392.38403519798999</v>
      </c>
      <c r="F291">
        <v>139.01249219237999</v>
      </c>
      <c r="G291">
        <v>116.34853216739999</v>
      </c>
      <c r="I291" s="9">
        <f t="shared" si="32"/>
        <v>276.03550303059001</v>
      </c>
      <c r="J291" s="9">
        <f t="shared" si="33"/>
        <v>1247.07110303072</v>
      </c>
      <c r="K291" s="9">
        <f t="shared" si="31"/>
        <v>276.03550303059001</v>
      </c>
      <c r="L291" s="10">
        <f t="shared" si="30"/>
        <v>0.22134704457488358</v>
      </c>
      <c r="M291" s="10">
        <f t="shared" si="34"/>
        <v>0.230686163680697</v>
      </c>
      <c r="P291" s="8">
        <f t="shared" si="35"/>
        <v>2.7977671183402615</v>
      </c>
    </row>
    <row r="292" spans="1:16" x14ac:dyDescent="0.2">
      <c r="A292" s="8">
        <v>145</v>
      </c>
      <c r="B292" s="8">
        <v>290</v>
      </c>
      <c r="D292">
        <v>1363.7151780137001</v>
      </c>
      <c r="E292">
        <v>390.97938788256999</v>
      </c>
      <c r="F292">
        <v>139.36352279824999</v>
      </c>
      <c r="G292">
        <v>116.60462211118001</v>
      </c>
      <c r="I292" s="9">
        <f>E292-G292</f>
        <v>274.37476577139</v>
      </c>
      <c r="J292" s="9">
        <f>D292-F292</f>
        <v>1224.3516552154501</v>
      </c>
      <c r="K292" s="9">
        <f t="shared" si="31"/>
        <v>274.37476577139</v>
      </c>
      <c r="L292" s="10">
        <f t="shared" si="30"/>
        <v>0.22409800697587007</v>
      </c>
      <c r="M292" s="10">
        <f>L292+ABS($N$2)*A292</f>
        <v>0.23346944137270706</v>
      </c>
      <c r="O292" s="11"/>
      <c r="P292" s="8">
        <f>(M292-$O$2)/$O$2*100</f>
        <v>4.038044070558974</v>
      </c>
    </row>
    <row r="293" spans="1:16" x14ac:dyDescent="0.2">
      <c r="A293" s="8">
        <v>145.5</v>
      </c>
      <c r="B293" s="8">
        <v>291</v>
      </c>
      <c r="D293">
        <v>1303.6108682074</v>
      </c>
      <c r="E293">
        <v>376.94378513429001</v>
      </c>
      <c r="F293">
        <v>139.20674578389</v>
      </c>
      <c r="G293">
        <v>116.41224234853</v>
      </c>
      <c r="I293" s="9">
        <f t="shared" ref="I293:I301" si="36">E293-G293</f>
        <v>260.53154278576</v>
      </c>
      <c r="J293" s="9">
        <f t="shared" ref="J293:J301" si="37">D293-F293</f>
        <v>1164.40412242351</v>
      </c>
      <c r="K293" s="9">
        <f t="shared" si="31"/>
        <v>260.53154278576</v>
      </c>
      <c r="L293" s="10">
        <f t="shared" si="30"/>
        <v>0.2237466681614865</v>
      </c>
      <c r="M293" s="10">
        <f t="shared" ref="M293:M301" si="38">L293+ABS($N$2)*A293</f>
        <v>0.23315041784934706</v>
      </c>
      <c r="P293" s="8">
        <f t="shared" ref="P293:P301" si="39">(M293-$O$2)/$O$2*100</f>
        <v>3.8958816394171292</v>
      </c>
    </row>
    <row r="294" spans="1:16" x14ac:dyDescent="0.2">
      <c r="A294" s="8">
        <v>146</v>
      </c>
      <c r="B294" s="8">
        <v>292</v>
      </c>
      <c r="D294">
        <v>1353.6471329553001</v>
      </c>
      <c r="E294">
        <v>390.91556395715003</v>
      </c>
      <c r="F294">
        <v>139.32417239226001</v>
      </c>
      <c r="G294">
        <v>116.61898813242</v>
      </c>
      <c r="I294" s="9">
        <f t="shared" si="36"/>
        <v>274.29657582473004</v>
      </c>
      <c r="J294" s="9">
        <f t="shared" si="37"/>
        <v>1214.3229605630402</v>
      </c>
      <c r="K294" s="9">
        <f t="shared" si="31"/>
        <v>274.29657582473004</v>
      </c>
      <c r="L294" s="10">
        <f t="shared" si="30"/>
        <v>0.22588436909530893</v>
      </c>
      <c r="M294" s="10">
        <f t="shared" si="38"/>
        <v>0.23532043407419306</v>
      </c>
      <c r="N294" s="1"/>
      <c r="P294" s="8">
        <f t="shared" si="39"/>
        <v>4.8628786147255578</v>
      </c>
    </row>
    <row r="295" spans="1:16" x14ac:dyDescent="0.2">
      <c r="A295" s="8">
        <v>146.5</v>
      </c>
      <c r="B295" s="8">
        <v>293</v>
      </c>
      <c r="D295">
        <v>1395.8917396746001</v>
      </c>
      <c r="E295">
        <v>397.02878598247997</v>
      </c>
      <c r="F295">
        <v>139.44784509681</v>
      </c>
      <c r="G295">
        <v>116.49594003748</v>
      </c>
      <c r="I295" s="9">
        <f t="shared" si="36"/>
        <v>280.53284594499996</v>
      </c>
      <c r="J295" s="9">
        <f t="shared" si="37"/>
        <v>1256.4438945777902</v>
      </c>
      <c r="K295" s="9">
        <f t="shared" si="31"/>
        <v>280.53284594499996</v>
      </c>
      <c r="L295" s="10">
        <f t="shared" si="30"/>
        <v>0.22327526693045771</v>
      </c>
      <c r="M295" s="10">
        <f t="shared" si="38"/>
        <v>0.23274364720036542</v>
      </c>
      <c r="P295" s="8">
        <f t="shared" si="39"/>
        <v>3.7146175628144698</v>
      </c>
    </row>
    <row r="296" spans="1:16" x14ac:dyDescent="0.2">
      <c r="A296" s="8">
        <v>147</v>
      </c>
      <c r="B296" s="8">
        <v>294</v>
      </c>
      <c r="D296">
        <v>1296.6420525656999</v>
      </c>
      <c r="E296">
        <v>373.46245306633</v>
      </c>
      <c r="F296">
        <v>139.48219862586001</v>
      </c>
      <c r="G296">
        <v>116.53029356652</v>
      </c>
      <c r="I296" s="9">
        <f t="shared" si="36"/>
        <v>256.93215949980998</v>
      </c>
      <c r="J296" s="9">
        <f t="shared" si="37"/>
        <v>1157.1598539398399</v>
      </c>
      <c r="K296" s="9">
        <f t="shared" si="31"/>
        <v>256.93215949980998</v>
      </c>
      <c r="L296" s="10">
        <f t="shared" si="30"/>
        <v>0.2220368764307025</v>
      </c>
      <c r="M296" s="10">
        <f t="shared" si="38"/>
        <v>0.23153757199163377</v>
      </c>
      <c r="P296" s="8">
        <f t="shared" si="39"/>
        <v>3.1771694711898335</v>
      </c>
    </row>
    <row r="297" spans="1:16" x14ac:dyDescent="0.2">
      <c r="A297" s="8">
        <v>147.5</v>
      </c>
      <c r="B297" s="8">
        <v>295</v>
      </c>
      <c r="D297">
        <v>1422.3222985634</v>
      </c>
      <c r="E297">
        <v>409.46346033728997</v>
      </c>
      <c r="F297">
        <v>138.83385384134999</v>
      </c>
      <c r="G297">
        <v>116.69331667708001</v>
      </c>
      <c r="I297" s="9">
        <f t="shared" si="36"/>
        <v>292.77014366020995</v>
      </c>
      <c r="J297" s="9">
        <f t="shared" si="37"/>
        <v>1283.48844472205</v>
      </c>
      <c r="K297" s="9">
        <f t="shared" si="31"/>
        <v>292.77014366020995</v>
      </c>
      <c r="L297" s="10">
        <f t="shared" si="30"/>
        <v>0.22810500933151115</v>
      </c>
      <c r="M297" s="10">
        <f t="shared" si="38"/>
        <v>0.23763802018346603</v>
      </c>
      <c r="P297" s="8">
        <f t="shared" si="39"/>
        <v>5.8956352973825403</v>
      </c>
    </row>
    <row r="298" spans="1:16" x14ac:dyDescent="0.2">
      <c r="A298" s="8">
        <v>148</v>
      </c>
      <c r="B298" s="8">
        <v>296</v>
      </c>
      <c r="D298">
        <v>1502.1124371859</v>
      </c>
      <c r="E298">
        <v>428.82223618090001</v>
      </c>
      <c r="F298">
        <v>139.06558400999</v>
      </c>
      <c r="G298">
        <v>116.5427857589</v>
      </c>
      <c r="I298" s="9">
        <f t="shared" si="36"/>
        <v>312.27945042200002</v>
      </c>
      <c r="J298" s="9">
        <f t="shared" si="37"/>
        <v>1363.04685317591</v>
      </c>
      <c r="K298" s="9">
        <f t="shared" si="31"/>
        <v>312.27945042200002</v>
      </c>
      <c r="L298" s="10">
        <f t="shared" si="30"/>
        <v>0.22910397371476002</v>
      </c>
      <c r="M298" s="10">
        <f t="shared" si="38"/>
        <v>0.23866929985773847</v>
      </c>
      <c r="P298" s="8">
        <f t="shared" si="39"/>
        <v>6.3551914584381013</v>
      </c>
    </row>
    <row r="299" spans="1:16" x14ac:dyDescent="0.2">
      <c r="A299" s="8">
        <v>148.5</v>
      </c>
      <c r="B299" s="8">
        <v>297</v>
      </c>
      <c r="D299">
        <v>1475.9874371859</v>
      </c>
      <c r="E299">
        <v>423.90326633166001</v>
      </c>
      <c r="F299">
        <v>139.22485946283999</v>
      </c>
      <c r="G299">
        <v>116.75765146783</v>
      </c>
      <c r="I299" s="9">
        <f t="shared" si="36"/>
        <v>307.14561486383002</v>
      </c>
      <c r="J299" s="9">
        <f t="shared" si="37"/>
        <v>1336.7625777230601</v>
      </c>
      <c r="K299" s="9">
        <f t="shared" si="31"/>
        <v>307.14561486383002</v>
      </c>
      <c r="L299" s="10">
        <f t="shared" si="30"/>
        <v>0.22976826250402563</v>
      </c>
      <c r="M299" s="10">
        <f t="shared" si="38"/>
        <v>0.23936590393802765</v>
      </c>
      <c r="P299" s="8">
        <f t="shared" si="39"/>
        <v>6.6656103534281392</v>
      </c>
    </row>
    <row r="300" spans="1:16" x14ac:dyDescent="0.2">
      <c r="A300" s="8">
        <v>149</v>
      </c>
      <c r="B300" s="8">
        <v>298</v>
      </c>
      <c r="D300">
        <v>1460.3843750000001</v>
      </c>
      <c r="E300">
        <v>422.40125</v>
      </c>
      <c r="F300">
        <v>139.37476577139</v>
      </c>
      <c r="G300">
        <v>116.36976889444</v>
      </c>
      <c r="I300" s="9">
        <f t="shared" si="36"/>
        <v>306.03148110556003</v>
      </c>
      <c r="J300" s="9">
        <f t="shared" si="37"/>
        <v>1321.0096092286101</v>
      </c>
      <c r="K300" s="9">
        <f t="shared" si="31"/>
        <v>306.03148110556003</v>
      </c>
      <c r="L300" s="10">
        <f t="shared" si="30"/>
        <v>0.23166484101827536</v>
      </c>
      <c r="M300" s="10">
        <f t="shared" si="38"/>
        <v>0.24129479774330095</v>
      </c>
      <c r="P300" s="8">
        <f t="shared" si="39"/>
        <v>7.5251589844632942</v>
      </c>
    </row>
    <row r="301" spans="1:16" x14ac:dyDescent="0.2">
      <c r="A301" s="8">
        <v>149.5</v>
      </c>
      <c r="B301" s="8">
        <v>299</v>
      </c>
      <c r="D301">
        <v>1595.5975000000001</v>
      </c>
      <c r="E301">
        <v>443.34187500000002</v>
      </c>
      <c r="F301">
        <v>139.73516552154999</v>
      </c>
      <c r="G301">
        <v>116.59400374766</v>
      </c>
      <c r="I301" s="9">
        <f t="shared" si="36"/>
        <v>326.74787125234002</v>
      </c>
      <c r="J301" s="9">
        <f t="shared" si="37"/>
        <v>1455.8623344784501</v>
      </c>
      <c r="K301" s="9">
        <f t="shared" si="31"/>
        <v>326.74787125234002</v>
      </c>
      <c r="L301" s="10">
        <f t="shared" si="30"/>
        <v>0.22443596727117374</v>
      </c>
      <c r="M301" s="10">
        <f t="shared" si="38"/>
        <v>0.2340982392872229</v>
      </c>
      <c r="P301" s="8">
        <f t="shared" si="39"/>
        <v>4.3182473586519992</v>
      </c>
    </row>
    <row r="302" spans="1:16" x14ac:dyDescent="0.2">
      <c r="A302" s="8">
        <v>150</v>
      </c>
      <c r="B302" s="8">
        <v>300</v>
      </c>
      <c r="D302">
        <v>1624.746875</v>
      </c>
      <c r="E302">
        <v>450.70875000000001</v>
      </c>
      <c r="F302">
        <v>139.26983135539999</v>
      </c>
      <c r="G302">
        <v>116.37039350406</v>
      </c>
      <c r="I302" s="9">
        <f>E302-G302</f>
        <v>334.33835649593999</v>
      </c>
      <c r="J302" s="9">
        <f>D302-F302</f>
        <v>1485.4770436446001</v>
      </c>
      <c r="K302" s="9">
        <f t="shared" si="31"/>
        <v>334.33835649593999</v>
      </c>
      <c r="L302" s="10">
        <f t="shared" si="30"/>
        <v>0.22507137214025524</v>
      </c>
      <c r="M302" s="10">
        <f>L302+ABS($N$2)*A302</f>
        <v>0.23476595944732798</v>
      </c>
      <c r="O302" s="11"/>
      <c r="P302" s="8">
        <f>(M302-$O$2)/$O$2*100</f>
        <v>4.6157950763977009</v>
      </c>
    </row>
    <row r="303" spans="1:16" x14ac:dyDescent="0.2">
      <c r="A303" s="8">
        <v>150.5</v>
      </c>
      <c r="B303" s="8">
        <v>301</v>
      </c>
      <c r="D303">
        <v>1633.5</v>
      </c>
      <c r="E303">
        <v>457.29500000000002</v>
      </c>
      <c r="F303">
        <v>139.41911305433999</v>
      </c>
      <c r="G303">
        <v>116.39600249844</v>
      </c>
      <c r="I303" s="9">
        <f t="shared" ref="I303:I309" si="40">E303-G303</f>
        <v>340.89899750156002</v>
      </c>
      <c r="J303" s="9">
        <f t="shared" ref="J303:J309" si="41">D303-F303</f>
        <v>1494.08088694566</v>
      </c>
      <c r="K303" s="9">
        <f t="shared" si="31"/>
        <v>340.89899750156002</v>
      </c>
      <c r="L303" s="10">
        <f t="shared" si="30"/>
        <v>0.22816635998768289</v>
      </c>
      <c r="M303" s="10">
        <f t="shared" ref="M303:M309" si="42">L303+ABS($N$2)*A303</f>
        <v>0.23789326258577922</v>
      </c>
      <c r="P303" s="8">
        <f t="shared" ref="P303:P309" si="43">(M303-$O$2)/$O$2*100</f>
        <v>6.009375751569622</v>
      </c>
    </row>
    <row r="304" spans="1:16" x14ac:dyDescent="0.2">
      <c r="A304" s="8">
        <v>151</v>
      </c>
      <c r="B304" s="8">
        <v>302</v>
      </c>
      <c r="D304">
        <v>1685.8269592477</v>
      </c>
      <c r="E304">
        <v>466.92037617555002</v>
      </c>
      <c r="F304">
        <v>139.53466583385</v>
      </c>
      <c r="G304">
        <v>116.44284821986</v>
      </c>
      <c r="I304" s="9">
        <f t="shared" si="40"/>
        <v>350.47752795568999</v>
      </c>
      <c r="J304" s="9">
        <f t="shared" si="41"/>
        <v>1546.2922934138501</v>
      </c>
      <c r="K304" s="9">
        <f t="shared" si="31"/>
        <v>350.47752795568999</v>
      </c>
      <c r="L304" s="10">
        <f t="shared" si="30"/>
        <v>0.22665671260762604</v>
      </c>
      <c r="M304" s="10">
        <f t="shared" si="42"/>
        <v>0.23641593049674595</v>
      </c>
      <c r="N304" s="1"/>
      <c r="P304" s="8">
        <f t="shared" si="43"/>
        <v>5.3510508758085464</v>
      </c>
    </row>
    <row r="305" spans="1:16" x14ac:dyDescent="0.2">
      <c r="A305" s="8">
        <v>151.5</v>
      </c>
      <c r="B305" s="8">
        <v>303</v>
      </c>
      <c r="D305">
        <v>1676.9058971141999</v>
      </c>
      <c r="E305">
        <v>470.01693851944998</v>
      </c>
      <c r="F305">
        <v>139.27357901312001</v>
      </c>
      <c r="G305">
        <v>116.85134291068</v>
      </c>
      <c r="I305" s="9">
        <f t="shared" si="40"/>
        <v>353.16559560876999</v>
      </c>
      <c r="J305" s="9">
        <f t="shared" si="41"/>
        <v>1537.6323181010798</v>
      </c>
      <c r="K305" s="9">
        <f t="shared" si="31"/>
        <v>353.16559560876999</v>
      </c>
      <c r="L305" s="10">
        <f t="shared" si="30"/>
        <v>0.22968143388460818</v>
      </c>
      <c r="M305" s="10">
        <f t="shared" si="42"/>
        <v>0.23947296706475166</v>
      </c>
      <c r="P305" s="8">
        <f t="shared" si="43"/>
        <v>6.713319544964957</v>
      </c>
    </row>
    <row r="306" spans="1:16" x14ac:dyDescent="0.2">
      <c r="A306" s="8">
        <v>152</v>
      </c>
      <c r="B306" s="8">
        <v>304</v>
      </c>
      <c r="D306">
        <v>1640.7910915934999</v>
      </c>
      <c r="E306">
        <v>461.37892095358001</v>
      </c>
      <c r="F306">
        <v>138.59712679575</v>
      </c>
      <c r="G306">
        <v>116.28732042474</v>
      </c>
      <c r="I306" s="9">
        <f t="shared" si="40"/>
        <v>345.09160052883999</v>
      </c>
      <c r="J306" s="9">
        <f t="shared" si="41"/>
        <v>1502.1939647977499</v>
      </c>
      <c r="K306" s="9">
        <f t="shared" si="31"/>
        <v>345.09160052883999</v>
      </c>
      <c r="L306" s="10">
        <f t="shared" si="30"/>
        <v>0.22972506122090691</v>
      </c>
      <c r="M306" s="10">
        <f t="shared" si="42"/>
        <v>0.23954890969207396</v>
      </c>
      <c r="P306" s="8">
        <f t="shared" si="43"/>
        <v>6.7471609006547526</v>
      </c>
    </row>
    <row r="307" spans="1:16" x14ac:dyDescent="0.2">
      <c r="A307" s="8">
        <v>152.5</v>
      </c>
      <c r="B307" s="8">
        <v>305</v>
      </c>
      <c r="D307">
        <v>1596.6622889306</v>
      </c>
      <c r="E307">
        <v>449.81113195747002</v>
      </c>
      <c r="F307">
        <v>139.03560274828001</v>
      </c>
      <c r="G307">
        <v>116.42161149282001</v>
      </c>
      <c r="I307" s="9">
        <f t="shared" si="40"/>
        <v>333.38952046464999</v>
      </c>
      <c r="J307" s="9">
        <f t="shared" si="41"/>
        <v>1457.6266861823199</v>
      </c>
      <c r="K307" s="9">
        <f t="shared" si="31"/>
        <v>333.38952046464999</v>
      </c>
      <c r="L307" s="10">
        <f t="shared" si="30"/>
        <v>0.22872078538698601</v>
      </c>
      <c r="M307" s="10">
        <f t="shared" si="42"/>
        <v>0.23857694914917663</v>
      </c>
      <c r="P307" s="8">
        <f t="shared" si="43"/>
        <v>6.3140383763438761</v>
      </c>
    </row>
    <row r="308" spans="1:16" x14ac:dyDescent="0.2">
      <c r="A308" s="8">
        <v>153</v>
      </c>
      <c r="B308" s="8">
        <v>306</v>
      </c>
      <c r="D308">
        <v>1583.1298943443001</v>
      </c>
      <c r="E308">
        <v>448.43753884400002</v>
      </c>
      <c r="F308">
        <v>138.73828856963999</v>
      </c>
      <c r="G308">
        <v>116.3816364772</v>
      </c>
      <c r="I308" s="9">
        <f t="shared" si="40"/>
        <v>332.05590236680001</v>
      </c>
      <c r="J308" s="9">
        <f t="shared" si="41"/>
        <v>1444.3916057746601</v>
      </c>
      <c r="K308" s="9">
        <f t="shared" si="31"/>
        <v>332.05590236680001</v>
      </c>
      <c r="L308" s="10">
        <f t="shared" si="30"/>
        <v>0.22989326512231487</v>
      </c>
      <c r="M308" s="10">
        <f t="shared" si="42"/>
        <v>0.23978174417552905</v>
      </c>
      <c r="P308" s="8">
        <f t="shared" si="43"/>
        <v>6.8509159964326924</v>
      </c>
    </row>
    <row r="309" spans="1:16" x14ac:dyDescent="0.2">
      <c r="A309" s="8">
        <v>153.5</v>
      </c>
      <c r="B309" s="8">
        <v>307</v>
      </c>
      <c r="D309">
        <v>1556.2108546474999</v>
      </c>
      <c r="E309">
        <v>442.21147847784999</v>
      </c>
      <c r="F309">
        <v>139.23048094941001</v>
      </c>
      <c r="G309">
        <v>116.52404747033</v>
      </c>
      <c r="I309" s="9">
        <f t="shared" si="40"/>
        <v>325.68743100751999</v>
      </c>
      <c r="J309" s="9">
        <f t="shared" si="41"/>
        <v>1416.9803736980898</v>
      </c>
      <c r="K309" s="9">
        <f t="shared" si="31"/>
        <v>325.68743100751999</v>
      </c>
      <c r="L309" s="10">
        <f t="shared" si="30"/>
        <v>0.22984611294052607</v>
      </c>
      <c r="M309" s="10">
        <f t="shared" si="42"/>
        <v>0.23976690728476385</v>
      </c>
      <c r="P309" s="8">
        <f t="shared" si="43"/>
        <v>6.8443044198330973</v>
      </c>
    </row>
    <row r="310" spans="1:16" x14ac:dyDescent="0.2">
      <c r="A310" s="8">
        <v>154</v>
      </c>
      <c r="B310" s="8">
        <v>308</v>
      </c>
      <c r="D310">
        <v>1578.9121155053001</v>
      </c>
      <c r="E310">
        <v>447.83929692404001</v>
      </c>
      <c r="F310">
        <v>139.06683322923001</v>
      </c>
      <c r="G310">
        <v>116.56027482823001</v>
      </c>
      <c r="I310" s="9">
        <f>E310-G310</f>
        <v>331.27902209580998</v>
      </c>
      <c r="J310" s="9">
        <f>D310-F310</f>
        <v>1439.8452822760701</v>
      </c>
      <c r="K310" s="9">
        <f t="shared" si="31"/>
        <v>331.27902209580998</v>
      </c>
      <c r="L310" s="10">
        <f t="shared" si="30"/>
        <v>0.23007959686622212</v>
      </c>
      <c r="M310" s="10">
        <f>L310+ABS($N$2)*A310</f>
        <v>0.24003270650148348</v>
      </c>
      <c r="O310" s="11"/>
      <c r="P310" s="8">
        <f>(M310-$O$2)/$O$2*100</f>
        <v>6.9627491741461531</v>
      </c>
    </row>
    <row r="311" spans="1:16" x14ac:dyDescent="0.2">
      <c r="A311" s="8">
        <v>154.5</v>
      </c>
      <c r="B311" s="8">
        <v>309</v>
      </c>
      <c r="D311">
        <v>1601.3848085374</v>
      </c>
      <c r="E311">
        <v>457.86503452605001</v>
      </c>
      <c r="F311">
        <v>139.58713304185</v>
      </c>
      <c r="G311">
        <v>116.3716427233</v>
      </c>
      <c r="I311" s="9">
        <f t="shared" ref="I311:I319" si="44">E311-G311</f>
        <v>341.49339180275001</v>
      </c>
      <c r="J311" s="9">
        <f t="shared" ref="J311:J319" si="45">D311-F311</f>
        <v>1461.79767549555</v>
      </c>
      <c r="K311" s="9">
        <f t="shared" si="31"/>
        <v>341.49339180275001</v>
      </c>
      <c r="L311" s="10">
        <f t="shared" si="30"/>
        <v>0.23361194064492105</v>
      </c>
      <c r="M311" s="10">
        <f t="shared" ref="M311:M319" si="46">L311+ABS($N$2)*A311</f>
        <v>0.24359736557120598</v>
      </c>
      <c r="P311" s="8">
        <f t="shared" ref="P311:P319" si="47">(M311-$O$2)/$O$2*100</f>
        <v>8.5512232597129749</v>
      </c>
    </row>
    <row r="312" spans="1:16" x14ac:dyDescent="0.2">
      <c r="A312" s="8">
        <v>155</v>
      </c>
      <c r="B312" s="8">
        <v>310</v>
      </c>
      <c r="D312">
        <v>1580.0562500000001</v>
      </c>
      <c r="E312">
        <v>449.8775</v>
      </c>
      <c r="F312">
        <v>139.03060587133001</v>
      </c>
      <c r="G312">
        <v>116.29419113054</v>
      </c>
      <c r="I312" s="9">
        <f t="shared" si="44"/>
        <v>333.58330886945998</v>
      </c>
      <c r="J312" s="9">
        <f t="shared" si="45"/>
        <v>1441.0256441286701</v>
      </c>
      <c r="K312" s="9">
        <f t="shared" si="31"/>
        <v>333.58330886945998</v>
      </c>
      <c r="L312" s="10">
        <f t="shared" si="30"/>
        <v>0.23149019604794355</v>
      </c>
      <c r="M312" s="10">
        <f t="shared" si="46"/>
        <v>0.24150793626525205</v>
      </c>
      <c r="N312" s="1"/>
      <c r="P312" s="8">
        <f t="shared" si="47"/>
        <v>7.6201372172011821</v>
      </c>
    </row>
    <row r="313" spans="1:16" x14ac:dyDescent="0.2">
      <c r="A313" s="8">
        <v>155.5</v>
      </c>
      <c r="B313" s="8">
        <v>311</v>
      </c>
      <c r="D313">
        <v>1485.0972568579</v>
      </c>
      <c r="E313">
        <v>429.76558603490997</v>
      </c>
      <c r="F313">
        <v>139.16302311056</v>
      </c>
      <c r="G313">
        <v>116.56527170518</v>
      </c>
      <c r="I313" s="9">
        <f t="shared" si="44"/>
        <v>313.20031432972996</v>
      </c>
      <c r="J313" s="9">
        <f t="shared" si="45"/>
        <v>1345.9342337473399</v>
      </c>
      <c r="K313" s="9">
        <f t="shared" si="31"/>
        <v>313.20031432972996</v>
      </c>
      <c r="L313" s="10">
        <f t="shared" si="30"/>
        <v>0.23270105364488725</v>
      </c>
      <c r="M313" s="10">
        <f t="shared" si="46"/>
        <v>0.24275110915321932</v>
      </c>
      <c r="P313" s="8">
        <f t="shared" si="47"/>
        <v>8.1741166799746026</v>
      </c>
    </row>
    <row r="314" spans="1:16" x14ac:dyDescent="0.2">
      <c r="A314" s="8">
        <v>156</v>
      </c>
      <c r="B314" s="8">
        <v>312</v>
      </c>
      <c r="D314">
        <v>1457.5299251869999</v>
      </c>
      <c r="E314">
        <v>420.66209476309001</v>
      </c>
      <c r="F314">
        <v>138.98376014991001</v>
      </c>
      <c r="G314">
        <v>116.22236102436</v>
      </c>
      <c r="I314" s="9">
        <f t="shared" si="44"/>
        <v>304.43973373873001</v>
      </c>
      <c r="J314" s="9">
        <f t="shared" si="45"/>
        <v>1318.5461650370898</v>
      </c>
      <c r="K314" s="9">
        <f t="shared" si="31"/>
        <v>304.43973373873001</v>
      </c>
      <c r="L314" s="10">
        <f t="shared" si="30"/>
        <v>0.23089046239815678</v>
      </c>
      <c r="M314" s="10">
        <f t="shared" si="46"/>
        <v>0.24097283319751242</v>
      </c>
      <c r="P314" s="8">
        <f t="shared" si="47"/>
        <v>7.3816859825708043</v>
      </c>
    </row>
    <row r="315" spans="1:16" x14ac:dyDescent="0.2">
      <c r="A315" s="8">
        <v>156.5</v>
      </c>
      <c r="B315" s="8">
        <v>313</v>
      </c>
      <c r="D315">
        <v>1501.2134760705001</v>
      </c>
      <c r="E315">
        <v>430.57115869018003</v>
      </c>
      <c r="F315">
        <v>139.21424109930999</v>
      </c>
      <c r="G315">
        <v>116.28794503435</v>
      </c>
      <c r="I315" s="9">
        <f t="shared" si="44"/>
        <v>314.28321365583002</v>
      </c>
      <c r="J315" s="9">
        <f t="shared" si="45"/>
        <v>1361.9992349711902</v>
      </c>
      <c r="K315" s="9">
        <f t="shared" si="31"/>
        <v>314.28321365583002</v>
      </c>
      <c r="L315" s="10">
        <f t="shared" si="30"/>
        <v>0.23075138780270896</v>
      </c>
      <c r="M315" s="10">
        <f t="shared" si="46"/>
        <v>0.2408660738930882</v>
      </c>
      <c r="P315" s="8">
        <f t="shared" si="47"/>
        <v>7.3341121795354933</v>
      </c>
    </row>
    <row r="316" spans="1:16" x14ac:dyDescent="0.2">
      <c r="A316" s="8">
        <v>157</v>
      </c>
      <c r="B316" s="8">
        <v>314</v>
      </c>
      <c r="D316">
        <v>1532.8541797611999</v>
      </c>
      <c r="E316">
        <v>435.02514142049</v>
      </c>
      <c r="F316">
        <v>138.62148657089</v>
      </c>
      <c r="G316">
        <v>116.30855715177999</v>
      </c>
      <c r="I316" s="9">
        <f t="shared" si="44"/>
        <v>318.71658426870999</v>
      </c>
      <c r="J316" s="9">
        <f t="shared" si="45"/>
        <v>1394.2326931903099</v>
      </c>
      <c r="K316" s="9">
        <f t="shared" si="31"/>
        <v>318.71658426870999</v>
      </c>
      <c r="L316" s="10">
        <f t="shared" si="30"/>
        <v>0.22859640705986933</v>
      </c>
      <c r="M316" s="10">
        <f t="shared" si="46"/>
        <v>0.23874340844127215</v>
      </c>
      <c r="P316" s="8">
        <f t="shared" si="47"/>
        <v>6.3882155323141161</v>
      </c>
    </row>
    <row r="317" spans="1:16" x14ac:dyDescent="0.2">
      <c r="A317" s="8">
        <v>157.5</v>
      </c>
      <c r="B317" s="8">
        <v>315</v>
      </c>
      <c r="D317">
        <v>1516.0496543055001</v>
      </c>
      <c r="E317">
        <v>429.38592080452997</v>
      </c>
      <c r="F317">
        <v>138.91567770143999</v>
      </c>
      <c r="G317">
        <v>116.65708931918</v>
      </c>
      <c r="I317" s="9">
        <f t="shared" si="44"/>
        <v>312.72883148534999</v>
      </c>
      <c r="J317" s="9">
        <f t="shared" si="45"/>
        <v>1377.1339766040601</v>
      </c>
      <c r="K317" s="9">
        <f t="shared" si="31"/>
        <v>312.72883148534999</v>
      </c>
      <c r="L317" s="10">
        <f t="shared" si="30"/>
        <v>0.2270867154527135</v>
      </c>
      <c r="M317" s="10">
        <f t="shared" si="46"/>
        <v>0.23726603212513989</v>
      </c>
      <c r="P317" s="8">
        <f t="shared" si="47"/>
        <v>5.7298709481884416</v>
      </c>
    </row>
    <row r="318" spans="1:16" x14ac:dyDescent="0.2">
      <c r="A318" s="8">
        <v>158</v>
      </c>
      <c r="B318" s="8">
        <v>316</v>
      </c>
      <c r="D318">
        <v>1579.7341692790001</v>
      </c>
      <c r="E318">
        <v>447.65203761755998</v>
      </c>
      <c r="F318">
        <v>138.70143660212</v>
      </c>
      <c r="G318">
        <v>116.2829481574</v>
      </c>
      <c r="I318" s="9">
        <f t="shared" si="44"/>
        <v>331.36908946016001</v>
      </c>
      <c r="J318" s="9">
        <f t="shared" si="45"/>
        <v>1441.0327326768802</v>
      </c>
      <c r="K318" s="9">
        <f t="shared" si="31"/>
        <v>331.36908946016001</v>
      </c>
      <c r="L318" s="10">
        <f t="shared" si="30"/>
        <v>0.22995250693896779</v>
      </c>
      <c r="M318" s="10">
        <f t="shared" si="46"/>
        <v>0.24016413890241775</v>
      </c>
      <c r="P318" s="8">
        <f t="shared" si="47"/>
        <v>7.0213177381530807</v>
      </c>
    </row>
    <row r="319" spans="1:16" x14ac:dyDescent="0.2">
      <c r="A319" s="8">
        <v>158.5</v>
      </c>
      <c r="B319" s="8">
        <v>317</v>
      </c>
      <c r="D319">
        <v>1546.6520924422</v>
      </c>
      <c r="E319">
        <v>441.02248594628003</v>
      </c>
      <c r="F319">
        <v>138.96627108057999</v>
      </c>
      <c r="G319">
        <v>116.43597751404999</v>
      </c>
      <c r="I319" s="9">
        <f t="shared" si="44"/>
        <v>324.58650843223006</v>
      </c>
      <c r="J319" s="9">
        <f t="shared" si="45"/>
        <v>1407.6858213616201</v>
      </c>
      <c r="K319" s="9">
        <f t="shared" si="31"/>
        <v>324.58650843223006</v>
      </c>
      <c r="L319" s="10">
        <f t="shared" si="30"/>
        <v>0.23058164222913424</v>
      </c>
      <c r="M319" s="10">
        <f t="shared" si="46"/>
        <v>0.24082558948360777</v>
      </c>
      <c r="P319" s="8">
        <f t="shared" si="47"/>
        <v>7.3160716224804414</v>
      </c>
    </row>
    <row r="320" spans="1:16" x14ac:dyDescent="0.2">
      <c r="A320" s="8">
        <v>159</v>
      </c>
      <c r="B320" s="8">
        <v>318</v>
      </c>
      <c r="D320">
        <v>1522.2871473354</v>
      </c>
      <c r="E320">
        <v>435.00940438871999</v>
      </c>
      <c r="F320">
        <v>138.84072454715999</v>
      </c>
      <c r="G320">
        <v>116.09431605247001</v>
      </c>
      <c r="I320" s="9">
        <f>E320-G320</f>
        <v>318.91508833624999</v>
      </c>
      <c r="J320" s="9">
        <f>D320-F320</f>
        <v>1383.4464227882399</v>
      </c>
      <c r="K320" s="9">
        <f t="shared" si="31"/>
        <v>318.91508833624999</v>
      </c>
      <c r="L320" s="10">
        <f t="shared" si="30"/>
        <v>0.23052218219878645</v>
      </c>
      <c r="M320" s="10">
        <f>L320+ABS($N$2)*A320</f>
        <v>0.24079844474428355</v>
      </c>
      <c r="O320" s="11"/>
      <c r="P320" s="8">
        <f>(M320-$O$2)/$O$2*100</f>
        <v>7.3039754544787856</v>
      </c>
    </row>
    <row r="321" spans="1:16" x14ac:dyDescent="0.2">
      <c r="A321" s="8">
        <v>159.5</v>
      </c>
      <c r="B321" s="8">
        <v>319</v>
      </c>
      <c r="D321">
        <v>1504.6075000000001</v>
      </c>
      <c r="E321">
        <v>432.79</v>
      </c>
      <c r="F321">
        <v>139.44347282947999</v>
      </c>
      <c r="G321">
        <v>116.21174266084</v>
      </c>
      <c r="I321" s="9">
        <f t="shared" ref="I321:I322" si="48">E321-G321</f>
        <v>316.57825733916002</v>
      </c>
      <c r="J321" s="9">
        <f t="shared" ref="J321:J322" si="49">D321-F321</f>
        <v>1365.1640271705201</v>
      </c>
      <c r="K321" s="9">
        <f t="shared" si="31"/>
        <v>316.57825733916002</v>
      </c>
      <c r="L321" s="10">
        <f t="shared" si="30"/>
        <v>0.23189759694687356</v>
      </c>
      <c r="M321" s="10">
        <f t="shared" ref="M321:M322" si="50">L321+ABS($N$2)*A321</f>
        <v>0.24220617478339426</v>
      </c>
      <c r="P321" s="8">
        <f t="shared" ref="P321:P322" si="51">(M321-$O$2)/$O$2*100</f>
        <v>7.9312844461281342</v>
      </c>
    </row>
    <row r="322" spans="1:16" x14ac:dyDescent="0.2">
      <c r="A322" s="8">
        <v>160</v>
      </c>
      <c r="B322" s="8">
        <v>320</v>
      </c>
      <c r="D322">
        <v>1482.7537500000001</v>
      </c>
      <c r="E322">
        <v>429.20625000000001</v>
      </c>
      <c r="F322">
        <v>138.70955652717001</v>
      </c>
      <c r="G322">
        <v>115.99875078076001</v>
      </c>
      <c r="I322" s="9">
        <f t="shared" si="48"/>
        <v>313.20749921923999</v>
      </c>
      <c r="J322" s="9">
        <f t="shared" si="49"/>
        <v>1344.0441934728301</v>
      </c>
      <c r="K322" s="9">
        <f t="shared" si="31"/>
        <v>313.20749921923999</v>
      </c>
      <c r="L322" s="10">
        <f t="shared" ref="L322" si="52">K322/J322</f>
        <v>0.23303363143882477</v>
      </c>
      <c r="M322" s="10">
        <f t="shared" si="50"/>
        <v>0.24337452456636904</v>
      </c>
      <c r="P322" s="8">
        <f t="shared" si="51"/>
        <v>8.4519214318350269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5157-C1B6-B145-B668-E5B1681ABDC5}">
  <dimension ref="A1:Y798"/>
  <sheetViews>
    <sheetView tabSelected="1" zoomScale="44" zoomScaleNormal="70" workbookViewId="0">
      <selection activeCell="D14" sqref="D14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1499.7684813753999</v>
      </c>
      <c r="E2">
        <v>487.01489971347002</v>
      </c>
      <c r="F2">
        <v>143.78893325727</v>
      </c>
      <c r="G2">
        <v>120.51055333714</v>
      </c>
      <c r="H2" s="4"/>
      <c r="I2" s="5">
        <f>E2-G2</f>
        <v>366.50434637633003</v>
      </c>
      <c r="J2" s="5">
        <f>D2-F2</f>
        <v>1355.97954811813</v>
      </c>
      <c r="K2" s="9">
        <f>I2*1</f>
        <v>366.50434637633003</v>
      </c>
      <c r="L2" s="6">
        <f t="shared" ref="L2:L65" si="0">K2/J2</f>
        <v>0.27028751789433403</v>
      </c>
      <c r="M2" s="6">
        <f>L2+ABS($N$2)*A2</f>
        <v>0.27028751789433403</v>
      </c>
      <c r="N2" s="4">
        <f>LINEST(V64:V103,U64:U103)</f>
        <v>-6.6143487598339129E-7</v>
      </c>
      <c r="O2" s="7">
        <f>AVERAGE(M62:M81)</f>
        <v>0.18621709512251766</v>
      </c>
      <c r="P2" s="4">
        <f>(M2-$O$2)/$O$2*100</f>
        <v>45.146458071695292</v>
      </c>
    </row>
    <row r="3" spans="1:16" x14ac:dyDescent="0.2">
      <c r="A3" s="8">
        <v>0.5</v>
      </c>
      <c r="B3" s="8">
        <v>1</v>
      </c>
      <c r="D3">
        <v>1474.6257879656</v>
      </c>
      <c r="E3">
        <v>487.90028653295002</v>
      </c>
      <c r="F3">
        <v>143.53451226468999</v>
      </c>
      <c r="G3">
        <v>120.52025099829</v>
      </c>
      <c r="I3" s="9">
        <f t="shared" ref="I3:I66" si="1">E3-G3</f>
        <v>367.38003553466001</v>
      </c>
      <c r="J3" s="9">
        <f t="shared" ref="J3:J66" si="2">D3-F3</f>
        <v>1331.09127570091</v>
      </c>
      <c r="K3" s="9">
        <f t="shared" ref="K3:K66" si="3">I3*1</f>
        <v>367.38003553466001</v>
      </c>
      <c r="L3" s="10">
        <f t="shared" si="0"/>
        <v>0.27599913111984709</v>
      </c>
      <c r="M3" s="10">
        <f t="shared" ref="M3:M66" si="4">L3+ABS($N$2)*A3</f>
        <v>0.27599946183728508</v>
      </c>
      <c r="P3" s="8">
        <f t="shared" ref="P3:P66" si="5">(M3-$O$2)/$O$2*100</f>
        <v>48.213815523057626</v>
      </c>
    </row>
    <row r="4" spans="1:16" ht="16" x14ac:dyDescent="0.2">
      <c r="A4" s="8">
        <v>1</v>
      </c>
      <c r="B4" s="8">
        <v>2</v>
      </c>
      <c r="D4">
        <v>1475.2028653294999</v>
      </c>
      <c r="E4">
        <v>496.53925501433002</v>
      </c>
      <c r="F4">
        <v>143.58756417570001</v>
      </c>
      <c r="G4">
        <v>120.49686252139</v>
      </c>
      <c r="I4" s="9">
        <f t="shared" si="1"/>
        <v>376.04239249294005</v>
      </c>
      <c r="J4" s="9">
        <f t="shared" si="2"/>
        <v>1331.6153011537999</v>
      </c>
      <c r="K4" s="9">
        <f t="shared" si="3"/>
        <v>376.04239249294005</v>
      </c>
      <c r="L4" s="10">
        <f t="shared" si="0"/>
        <v>0.28239566800344812</v>
      </c>
      <c r="M4" s="10">
        <f t="shared" si="4"/>
        <v>0.2823963294383241</v>
      </c>
      <c r="N4" s="1" t="s">
        <v>7</v>
      </c>
      <c r="P4" s="8">
        <f t="shared" si="5"/>
        <v>51.64898220140708</v>
      </c>
    </row>
    <row r="5" spans="1:16" x14ac:dyDescent="0.2">
      <c r="A5" s="8">
        <v>1.5</v>
      </c>
      <c r="B5" s="8">
        <v>3</v>
      </c>
      <c r="D5">
        <v>1449.2452722062999</v>
      </c>
      <c r="E5">
        <v>498.70659025788001</v>
      </c>
      <c r="F5">
        <v>143.70051340558999</v>
      </c>
      <c r="G5">
        <v>120.46377638334</v>
      </c>
      <c r="I5" s="9">
        <f t="shared" si="1"/>
        <v>378.24281387453999</v>
      </c>
      <c r="J5" s="9">
        <f t="shared" si="2"/>
        <v>1305.5447588007098</v>
      </c>
      <c r="K5" s="9">
        <f t="shared" si="3"/>
        <v>378.24281387453999</v>
      </c>
      <c r="L5" s="10">
        <f t="shared" si="0"/>
        <v>0.28972029593378223</v>
      </c>
      <c r="M5" s="10">
        <f t="shared" si="4"/>
        <v>0.28972128808609621</v>
      </c>
      <c r="N5" s="8">
        <f>RSQ(V64:V83,U64:U83)</f>
        <v>3.1107592111269157E-2</v>
      </c>
      <c r="P5" s="8">
        <f t="shared" si="5"/>
        <v>55.582540848615494</v>
      </c>
    </row>
    <row r="6" spans="1:16" x14ac:dyDescent="0.2">
      <c r="A6" s="8">
        <v>2</v>
      </c>
      <c r="B6" s="8">
        <v>4</v>
      </c>
      <c r="D6">
        <v>1366.7914040114999</v>
      </c>
      <c r="E6">
        <v>458.28538681947998</v>
      </c>
      <c r="F6">
        <v>144.07073588135</v>
      </c>
      <c r="G6">
        <v>120.28465487734999</v>
      </c>
      <c r="I6" s="9">
        <f t="shared" si="1"/>
        <v>338.00073194212996</v>
      </c>
      <c r="J6" s="9">
        <f t="shared" si="2"/>
        <v>1222.72066813015</v>
      </c>
      <c r="K6" s="9">
        <f t="shared" si="3"/>
        <v>338.00073194212996</v>
      </c>
      <c r="L6" s="10">
        <f t="shared" si="0"/>
        <v>0.27643331854283515</v>
      </c>
      <c r="M6" s="10">
        <f t="shared" si="4"/>
        <v>0.27643464141258711</v>
      </c>
      <c r="P6" s="8">
        <f t="shared" si="5"/>
        <v>48.447510273271469</v>
      </c>
    </row>
    <row r="7" spans="1:16" x14ac:dyDescent="0.2">
      <c r="A7" s="8">
        <v>2.5</v>
      </c>
      <c r="B7" s="8">
        <v>5</v>
      </c>
      <c r="D7">
        <v>1438.9702005731001</v>
      </c>
      <c r="E7">
        <v>463.85845272206001</v>
      </c>
      <c r="F7">
        <v>144.36794067312999</v>
      </c>
      <c r="G7">
        <v>120.31203650884</v>
      </c>
      <c r="I7" s="9">
        <f t="shared" si="1"/>
        <v>343.54641621322003</v>
      </c>
      <c r="J7" s="9">
        <f t="shared" si="2"/>
        <v>1294.60225989997</v>
      </c>
      <c r="K7" s="9">
        <f t="shared" si="3"/>
        <v>343.54641621322003</v>
      </c>
      <c r="L7" s="10">
        <f t="shared" si="0"/>
        <v>0.26536831183947168</v>
      </c>
      <c r="M7" s="10">
        <f t="shared" si="4"/>
        <v>0.26536996542666164</v>
      </c>
      <c r="P7" s="8">
        <f t="shared" si="5"/>
        <v>42.505694899851697</v>
      </c>
    </row>
    <row r="8" spans="1:16" x14ac:dyDescent="0.2">
      <c r="A8" s="8">
        <v>3</v>
      </c>
      <c r="B8" s="8">
        <v>6</v>
      </c>
      <c r="D8">
        <v>1043.2045845272</v>
      </c>
      <c r="E8">
        <v>371.12148997135</v>
      </c>
      <c r="F8">
        <v>144.02795208214999</v>
      </c>
      <c r="G8">
        <v>120.81346263547999</v>
      </c>
      <c r="I8" s="9">
        <f t="shared" si="1"/>
        <v>250.30802733587001</v>
      </c>
      <c r="J8" s="9">
        <f t="shared" si="2"/>
        <v>899.17663244505002</v>
      </c>
      <c r="K8" s="9">
        <f t="shared" si="3"/>
        <v>250.30802733587001</v>
      </c>
      <c r="L8" s="10">
        <f t="shared" si="0"/>
        <v>0.27837470225981065</v>
      </c>
      <c r="M8" s="10">
        <f t="shared" si="4"/>
        <v>0.27837668656443859</v>
      </c>
      <c r="P8" s="8">
        <f t="shared" si="5"/>
        <v>49.490403328054519</v>
      </c>
    </row>
    <row r="9" spans="1:16" x14ac:dyDescent="0.2">
      <c r="A9" s="8">
        <v>3.5</v>
      </c>
      <c r="B9" s="8">
        <v>7</v>
      </c>
      <c r="D9">
        <v>1030.5100286533</v>
      </c>
      <c r="E9">
        <v>362.35530085959999</v>
      </c>
      <c r="F9">
        <v>143.79749001710999</v>
      </c>
      <c r="G9">
        <v>120.44038790645</v>
      </c>
      <c r="I9" s="9">
        <f t="shared" si="1"/>
        <v>241.91491295315001</v>
      </c>
      <c r="J9" s="9">
        <f t="shared" si="2"/>
        <v>886.71253863618995</v>
      </c>
      <c r="K9" s="9">
        <f t="shared" si="3"/>
        <v>241.91491295315001</v>
      </c>
      <c r="L9" s="10">
        <f t="shared" si="0"/>
        <v>0.27282225345006145</v>
      </c>
      <c r="M9" s="10">
        <f t="shared" si="4"/>
        <v>0.27282456847212738</v>
      </c>
      <c r="P9" s="8">
        <f t="shared" si="5"/>
        <v>46.508873577169773</v>
      </c>
    </row>
    <row r="10" spans="1:16" x14ac:dyDescent="0.2">
      <c r="A10" s="8">
        <v>4</v>
      </c>
      <c r="B10" s="8">
        <v>8</v>
      </c>
      <c r="D10">
        <v>1612.0653295129</v>
      </c>
      <c r="E10">
        <v>486.12492836676</v>
      </c>
      <c r="F10">
        <v>144.20308043354001</v>
      </c>
      <c r="G10">
        <v>120.28579577867001</v>
      </c>
      <c r="I10" s="9">
        <f t="shared" si="1"/>
        <v>365.83913258809002</v>
      </c>
      <c r="J10" s="9">
        <f t="shared" si="2"/>
        <v>1467.86224907936</v>
      </c>
      <c r="K10" s="9">
        <f t="shared" si="3"/>
        <v>365.83913258809002</v>
      </c>
      <c r="L10" s="10">
        <f t="shared" si="0"/>
        <v>0.24923260531943206</v>
      </c>
      <c r="M10" s="10">
        <f t="shared" si="4"/>
        <v>0.24923525105893599</v>
      </c>
      <c r="P10" s="8">
        <f t="shared" si="5"/>
        <v>33.841230255985273</v>
      </c>
    </row>
    <row r="11" spans="1:16" x14ac:dyDescent="0.2">
      <c r="A11" s="8">
        <v>4.5</v>
      </c>
      <c r="B11" s="8">
        <v>9</v>
      </c>
      <c r="D11">
        <v>1608.5335243553</v>
      </c>
      <c r="E11">
        <v>478.27793696275</v>
      </c>
      <c r="F11">
        <v>144.54135767256</v>
      </c>
      <c r="G11">
        <v>120.90701654307</v>
      </c>
      <c r="I11" s="9">
        <f t="shared" si="1"/>
        <v>357.37092041968003</v>
      </c>
      <c r="J11" s="9">
        <f t="shared" si="2"/>
        <v>1463.9921666827399</v>
      </c>
      <c r="K11" s="9">
        <f t="shared" si="3"/>
        <v>357.37092041968003</v>
      </c>
      <c r="L11" s="10">
        <f t="shared" si="0"/>
        <v>0.24410712608486618</v>
      </c>
      <c r="M11" s="10">
        <f t="shared" si="4"/>
        <v>0.24411010254180809</v>
      </c>
      <c r="P11" s="8">
        <f t="shared" si="5"/>
        <v>31.088986422648755</v>
      </c>
    </row>
    <row r="12" spans="1:16" x14ac:dyDescent="0.2">
      <c r="A12" s="8">
        <v>5</v>
      </c>
      <c r="B12" s="8">
        <v>10</v>
      </c>
      <c r="D12">
        <v>1665.935243553</v>
      </c>
      <c r="E12">
        <v>488.43151862463998</v>
      </c>
      <c r="F12">
        <v>144.19623502567001</v>
      </c>
      <c r="G12">
        <v>120.20479178551</v>
      </c>
      <c r="I12" s="9">
        <f t="shared" si="1"/>
        <v>368.22672683912998</v>
      </c>
      <c r="J12" s="9">
        <f t="shared" si="2"/>
        <v>1521.73900852733</v>
      </c>
      <c r="K12" s="9">
        <f t="shared" si="3"/>
        <v>368.22672683912998</v>
      </c>
      <c r="L12" s="10">
        <f t="shared" si="0"/>
        <v>0.24197758273640044</v>
      </c>
      <c r="M12" s="10">
        <f t="shared" si="4"/>
        <v>0.24198088991078034</v>
      </c>
      <c r="P12" s="8">
        <f t="shared" si="5"/>
        <v>29.945583004382094</v>
      </c>
    </row>
    <row r="13" spans="1:16" x14ac:dyDescent="0.2">
      <c r="A13" s="8">
        <v>5.5</v>
      </c>
      <c r="B13" s="8">
        <v>11</v>
      </c>
      <c r="D13">
        <v>1664.3272206304</v>
      </c>
      <c r="E13">
        <v>481.50830945558999</v>
      </c>
      <c r="F13">
        <v>144.3462635482</v>
      </c>
      <c r="G13">
        <v>120.88476896748</v>
      </c>
      <c r="I13" s="9">
        <f t="shared" si="1"/>
        <v>360.62354048811</v>
      </c>
      <c r="J13" s="9">
        <f t="shared" si="2"/>
        <v>1519.9809570821999</v>
      </c>
      <c r="K13" s="9">
        <f t="shared" si="3"/>
        <v>360.62354048811</v>
      </c>
      <c r="L13" s="10">
        <f t="shared" si="0"/>
        <v>0.23725530165876127</v>
      </c>
      <c r="M13" s="10">
        <f t="shared" si="4"/>
        <v>0.23725893955057917</v>
      </c>
      <c r="P13" s="8">
        <f t="shared" si="5"/>
        <v>27.409859655731172</v>
      </c>
    </row>
    <row r="14" spans="1:16" x14ac:dyDescent="0.2">
      <c r="A14" s="8">
        <v>6</v>
      </c>
      <c r="B14" s="8">
        <v>12</v>
      </c>
      <c r="D14">
        <v>1674.1753581662001</v>
      </c>
      <c r="E14">
        <v>478.85214899713998</v>
      </c>
      <c r="F14">
        <v>143.46776953794</v>
      </c>
      <c r="G14">
        <v>120.70279520821001</v>
      </c>
      <c r="I14" s="9">
        <f t="shared" si="1"/>
        <v>358.14935378892994</v>
      </c>
      <c r="J14" s="9">
        <f t="shared" si="2"/>
        <v>1530.7075886282601</v>
      </c>
      <c r="K14" s="9">
        <f t="shared" si="3"/>
        <v>358.14935378892994</v>
      </c>
      <c r="L14" s="10">
        <f t="shared" si="0"/>
        <v>0.23397633646664326</v>
      </c>
      <c r="M14" s="10">
        <f t="shared" si="4"/>
        <v>0.23398030507589915</v>
      </c>
      <c r="P14" s="8">
        <f t="shared" si="5"/>
        <v>25.649207942996142</v>
      </c>
    </row>
    <row r="15" spans="1:16" x14ac:dyDescent="0.2">
      <c r="A15" s="8">
        <v>6.5</v>
      </c>
      <c r="B15" s="8">
        <v>13</v>
      </c>
      <c r="D15">
        <v>1661.7696275072001</v>
      </c>
      <c r="E15">
        <v>470.53352435530002</v>
      </c>
      <c r="F15">
        <v>144.09241300628</v>
      </c>
      <c r="G15">
        <v>120.6588705077</v>
      </c>
      <c r="I15" s="9">
        <f t="shared" si="1"/>
        <v>349.87465384760003</v>
      </c>
      <c r="J15" s="9">
        <f t="shared" si="2"/>
        <v>1517.6772145009202</v>
      </c>
      <c r="K15" s="9">
        <f t="shared" si="3"/>
        <v>349.87465384760003</v>
      </c>
      <c r="L15" s="10">
        <f t="shared" si="0"/>
        <v>0.23053298191780153</v>
      </c>
      <c r="M15" s="10">
        <f t="shared" si="4"/>
        <v>0.23053728124449541</v>
      </c>
      <c r="P15" s="8">
        <f t="shared" si="5"/>
        <v>23.800277892219402</v>
      </c>
    </row>
    <row r="16" spans="1:16" x14ac:dyDescent="0.2">
      <c r="A16" s="8">
        <v>7</v>
      </c>
      <c r="B16" s="8">
        <v>14</v>
      </c>
      <c r="D16">
        <v>1677.9421203438001</v>
      </c>
      <c r="E16">
        <v>471.69169054440999</v>
      </c>
      <c r="F16">
        <v>144.30747290359</v>
      </c>
      <c r="G16">
        <v>121.17855105533</v>
      </c>
      <c r="I16" s="9">
        <f t="shared" si="1"/>
        <v>350.51313948908</v>
      </c>
      <c r="J16" s="9">
        <f t="shared" si="2"/>
        <v>1533.6346474402101</v>
      </c>
      <c r="K16" s="9">
        <f t="shared" si="3"/>
        <v>350.51313948908</v>
      </c>
      <c r="L16" s="10">
        <f t="shared" si="0"/>
        <v>0.22855061345550687</v>
      </c>
      <c r="M16" s="10">
        <f t="shared" si="4"/>
        <v>0.22855524349963874</v>
      </c>
      <c r="P16" s="8">
        <f t="shared" si="5"/>
        <v>22.73590851004607</v>
      </c>
    </row>
    <row r="17" spans="1:16" x14ac:dyDescent="0.2">
      <c r="A17" s="8">
        <v>7.5</v>
      </c>
      <c r="B17" s="8">
        <v>15</v>
      </c>
      <c r="D17">
        <v>1682.3096330275</v>
      </c>
      <c r="E17">
        <v>468.84231651376001</v>
      </c>
      <c r="F17">
        <v>144.57957786652</v>
      </c>
      <c r="G17">
        <v>120.66286366228999</v>
      </c>
      <c r="I17" s="9">
        <f t="shared" si="1"/>
        <v>348.17945285147005</v>
      </c>
      <c r="J17" s="9">
        <f t="shared" si="2"/>
        <v>1537.7300551609801</v>
      </c>
      <c r="K17" s="9">
        <f t="shared" si="3"/>
        <v>348.17945285147005</v>
      </c>
      <c r="L17" s="10">
        <f t="shared" si="0"/>
        <v>0.22642430099021524</v>
      </c>
      <c r="M17" s="10">
        <f t="shared" si="4"/>
        <v>0.22642926175178513</v>
      </c>
      <c r="P17" s="8">
        <f t="shared" si="5"/>
        <v>21.594240100679642</v>
      </c>
    </row>
    <row r="18" spans="1:16" x14ac:dyDescent="0.2">
      <c r="A18" s="8">
        <v>8</v>
      </c>
      <c r="B18" s="8">
        <v>16</v>
      </c>
      <c r="D18">
        <v>1683.5246559632999</v>
      </c>
      <c r="E18">
        <v>464.79185779816999</v>
      </c>
      <c r="F18">
        <v>144.56588705076999</v>
      </c>
      <c r="G18">
        <v>120.90644609240999</v>
      </c>
      <c r="I18" s="9">
        <f t="shared" si="1"/>
        <v>343.88541170576002</v>
      </c>
      <c r="J18" s="9">
        <f t="shared" si="2"/>
        <v>1538.9587689125299</v>
      </c>
      <c r="K18" s="9">
        <f t="shared" si="3"/>
        <v>343.88541170576002</v>
      </c>
      <c r="L18" s="10">
        <f t="shared" si="0"/>
        <v>0.22345329754919868</v>
      </c>
      <c r="M18" s="10">
        <f t="shared" si="4"/>
        <v>0.22345858902820656</v>
      </c>
      <c r="P18" s="8">
        <f t="shared" si="5"/>
        <v>19.998966196517369</v>
      </c>
    </row>
    <row r="19" spans="1:16" x14ac:dyDescent="0.2">
      <c r="A19" s="8">
        <v>8.5</v>
      </c>
      <c r="B19" s="8">
        <v>17</v>
      </c>
      <c r="D19">
        <v>1677.75</v>
      </c>
      <c r="E19">
        <v>460.13417431193</v>
      </c>
      <c r="F19">
        <v>144.62122076439999</v>
      </c>
      <c r="G19">
        <v>120.63662293212001</v>
      </c>
      <c r="I19" s="9">
        <f t="shared" si="1"/>
        <v>339.49755137980998</v>
      </c>
      <c r="J19" s="9">
        <f t="shared" si="2"/>
        <v>1533.1287792355999</v>
      </c>
      <c r="K19" s="9">
        <f t="shared" si="3"/>
        <v>339.49755137980998</v>
      </c>
      <c r="L19" s="10">
        <f t="shared" si="0"/>
        <v>0.22144098785300964</v>
      </c>
      <c r="M19" s="10">
        <f t="shared" si="4"/>
        <v>0.22144661004945551</v>
      </c>
      <c r="P19" s="8">
        <f t="shared" si="5"/>
        <v>18.918518143438614</v>
      </c>
    </row>
    <row r="20" spans="1:16" x14ac:dyDescent="0.2">
      <c r="A20" s="8">
        <v>9</v>
      </c>
      <c r="B20" s="8">
        <v>18</v>
      </c>
      <c r="D20">
        <v>1657.3004587155999</v>
      </c>
      <c r="E20">
        <v>452.54988532110002</v>
      </c>
      <c r="F20">
        <v>143.97375926981999</v>
      </c>
      <c r="G20">
        <v>120.64289788933</v>
      </c>
      <c r="I20" s="9">
        <f t="shared" si="1"/>
        <v>331.90698743177001</v>
      </c>
      <c r="J20" s="9">
        <f t="shared" si="2"/>
        <v>1513.3266994457799</v>
      </c>
      <c r="K20" s="9">
        <f t="shared" si="3"/>
        <v>331.90698743177001</v>
      </c>
      <c r="L20" s="10">
        <f t="shared" si="0"/>
        <v>0.21932275929138306</v>
      </c>
      <c r="M20" s="10">
        <f t="shared" si="4"/>
        <v>0.21932871220526692</v>
      </c>
      <c r="P20" s="8">
        <f t="shared" si="5"/>
        <v>17.781190851980675</v>
      </c>
    </row>
    <row r="21" spans="1:16" x14ac:dyDescent="0.2">
      <c r="A21" s="8">
        <v>9.5</v>
      </c>
      <c r="B21" s="8">
        <v>19</v>
      </c>
      <c r="D21">
        <v>1653.7631880734</v>
      </c>
      <c r="E21">
        <v>447.42373853211001</v>
      </c>
      <c r="F21">
        <v>144.44324015973001</v>
      </c>
      <c r="G21">
        <v>121.10211066743</v>
      </c>
      <c r="I21" s="9">
        <f t="shared" si="1"/>
        <v>326.32162786468001</v>
      </c>
      <c r="J21" s="9">
        <f t="shared" si="2"/>
        <v>1509.3199479136699</v>
      </c>
      <c r="K21" s="9">
        <f t="shared" si="3"/>
        <v>326.32162786468001</v>
      </c>
      <c r="L21" s="10">
        <f t="shared" si="0"/>
        <v>0.21620440935386415</v>
      </c>
      <c r="M21" s="10">
        <f t="shared" si="4"/>
        <v>0.216210692985186</v>
      </c>
      <c r="P21" s="8">
        <f t="shared" si="5"/>
        <v>16.106790755668634</v>
      </c>
    </row>
    <row r="22" spans="1:16" x14ac:dyDescent="0.2">
      <c r="A22" s="8">
        <v>10</v>
      </c>
      <c r="B22" s="8">
        <v>20</v>
      </c>
      <c r="D22">
        <v>1649.7534403669999</v>
      </c>
      <c r="E22">
        <v>444.39736238531998</v>
      </c>
      <c r="F22">
        <v>144.40273816314999</v>
      </c>
      <c r="G22">
        <v>120.86195094124</v>
      </c>
      <c r="I22" s="9">
        <f t="shared" si="1"/>
        <v>323.53541144407995</v>
      </c>
      <c r="J22" s="9">
        <f t="shared" si="2"/>
        <v>1505.35070220385</v>
      </c>
      <c r="K22" s="9">
        <f t="shared" si="3"/>
        <v>323.53541144407995</v>
      </c>
      <c r="L22" s="10">
        <f t="shared" si="0"/>
        <v>0.21492361279695193</v>
      </c>
      <c r="M22" s="10">
        <f t="shared" si="4"/>
        <v>0.21493022714571178</v>
      </c>
      <c r="P22" s="8">
        <f t="shared" si="5"/>
        <v>15.41917083622366</v>
      </c>
    </row>
    <row r="23" spans="1:16" x14ac:dyDescent="0.2">
      <c r="A23" s="8">
        <v>10.5</v>
      </c>
      <c r="B23" s="8">
        <v>21</v>
      </c>
      <c r="D23">
        <v>1650.6840596330001</v>
      </c>
      <c r="E23">
        <v>441.55103211008998</v>
      </c>
      <c r="F23">
        <v>144.44266970907</v>
      </c>
      <c r="G23">
        <v>120.4552196235</v>
      </c>
      <c r="I23" s="9">
        <f t="shared" si="1"/>
        <v>321.09581248658998</v>
      </c>
      <c r="J23" s="9">
        <f t="shared" si="2"/>
        <v>1506.24138992393</v>
      </c>
      <c r="K23" s="9">
        <f t="shared" si="3"/>
        <v>321.09581248658998</v>
      </c>
      <c r="L23" s="10">
        <f t="shared" si="0"/>
        <v>0.21317686171325193</v>
      </c>
      <c r="M23" s="10">
        <f t="shared" si="4"/>
        <v>0.21318380677944976</v>
      </c>
      <c r="P23" s="8">
        <f t="shared" si="5"/>
        <v>14.481329782955701</v>
      </c>
    </row>
    <row r="24" spans="1:16" x14ac:dyDescent="0.2">
      <c r="A24" s="8">
        <v>11</v>
      </c>
      <c r="B24" s="8">
        <v>22</v>
      </c>
      <c r="D24">
        <v>1654.4329128439999</v>
      </c>
      <c r="E24">
        <v>439.88818807338998</v>
      </c>
      <c r="F24">
        <v>144.67655447804</v>
      </c>
      <c r="G24">
        <v>120.93040501997</v>
      </c>
      <c r="I24" s="9">
        <f t="shared" si="1"/>
        <v>318.95778305341997</v>
      </c>
      <c r="J24" s="9">
        <f t="shared" si="2"/>
        <v>1509.7563583659598</v>
      </c>
      <c r="K24" s="9">
        <f t="shared" si="3"/>
        <v>318.95778305341997</v>
      </c>
      <c r="L24" s="10">
        <f t="shared" si="0"/>
        <v>0.21126440785361852</v>
      </c>
      <c r="M24" s="10">
        <f t="shared" si="4"/>
        <v>0.21127168363725435</v>
      </c>
      <c r="P24" s="8">
        <f t="shared" si="5"/>
        <v>13.45450507551551</v>
      </c>
    </row>
    <row r="25" spans="1:16" x14ac:dyDescent="0.2">
      <c r="A25" s="8">
        <v>11.5</v>
      </c>
      <c r="B25" s="8">
        <v>23</v>
      </c>
      <c r="D25">
        <v>1649.1100917430999</v>
      </c>
      <c r="E25">
        <v>435.50458715596</v>
      </c>
      <c r="F25">
        <v>144.32972047918</v>
      </c>
      <c r="G25">
        <v>120.95151169424</v>
      </c>
      <c r="I25" s="9">
        <f t="shared" si="1"/>
        <v>314.55307546172003</v>
      </c>
      <c r="J25" s="9">
        <f t="shared" si="2"/>
        <v>1504.78037126392</v>
      </c>
      <c r="K25" s="9">
        <f t="shared" si="3"/>
        <v>314.55307546172003</v>
      </c>
      <c r="L25" s="10">
        <f t="shared" si="0"/>
        <v>0.20903587092747322</v>
      </c>
      <c r="M25" s="10">
        <f t="shared" si="4"/>
        <v>0.20904347742854704</v>
      </c>
      <c r="P25" s="8">
        <f t="shared" si="5"/>
        <v>12.257941351201527</v>
      </c>
    </row>
    <row r="26" spans="1:16" x14ac:dyDescent="0.2">
      <c r="A26" s="8">
        <v>12</v>
      </c>
      <c r="B26" s="8">
        <v>24</v>
      </c>
      <c r="D26">
        <v>1644.5338302752</v>
      </c>
      <c r="E26">
        <v>430.90481651376001</v>
      </c>
      <c r="F26">
        <v>144.30519110097001</v>
      </c>
      <c r="G26">
        <v>121.04677695379</v>
      </c>
      <c r="I26" s="9">
        <f t="shared" si="1"/>
        <v>309.85803955997</v>
      </c>
      <c r="J26" s="9">
        <f t="shared" si="2"/>
        <v>1500.22863917423</v>
      </c>
      <c r="K26" s="9">
        <f t="shared" si="3"/>
        <v>309.85803955997</v>
      </c>
      <c r="L26" s="10">
        <f t="shared" si="0"/>
        <v>0.20654054420033269</v>
      </c>
      <c r="M26" s="10">
        <f t="shared" si="4"/>
        <v>0.20654848141884449</v>
      </c>
      <c r="P26" s="8">
        <f t="shared" si="5"/>
        <v>10.918109469461017</v>
      </c>
    </row>
    <row r="27" spans="1:16" x14ac:dyDescent="0.2">
      <c r="A27" s="8">
        <v>12.5</v>
      </c>
      <c r="B27" s="8">
        <v>25</v>
      </c>
      <c r="D27">
        <v>1637.1146788991</v>
      </c>
      <c r="E27">
        <v>428.05561926605998</v>
      </c>
      <c r="F27">
        <v>144.80262407302001</v>
      </c>
      <c r="G27">
        <v>120.46605818597</v>
      </c>
      <c r="I27" s="9">
        <f t="shared" si="1"/>
        <v>307.58956108008999</v>
      </c>
      <c r="J27" s="9">
        <f t="shared" si="2"/>
        <v>1492.3120548260799</v>
      </c>
      <c r="K27" s="9">
        <f t="shared" si="3"/>
        <v>307.58956108008999</v>
      </c>
      <c r="L27" s="10">
        <f t="shared" si="0"/>
        <v>0.2061161136408147</v>
      </c>
      <c r="M27" s="10">
        <f t="shared" si="4"/>
        <v>0.20612438157676449</v>
      </c>
      <c r="P27" s="8">
        <f t="shared" si="5"/>
        <v>10.690364620471202</v>
      </c>
    </row>
    <row r="28" spans="1:16" x14ac:dyDescent="0.2">
      <c r="A28" s="8">
        <v>13</v>
      </c>
      <c r="B28" s="8">
        <v>26</v>
      </c>
      <c r="D28">
        <v>1633.6181192660999</v>
      </c>
      <c r="E28">
        <v>424.07683486239</v>
      </c>
      <c r="F28">
        <v>144.35596120936</v>
      </c>
      <c r="G28">
        <v>121.13861950941001</v>
      </c>
      <c r="I28" s="9">
        <f t="shared" si="1"/>
        <v>302.93821535298002</v>
      </c>
      <c r="J28" s="9">
        <f t="shared" si="2"/>
        <v>1489.26215805674</v>
      </c>
      <c r="K28" s="9">
        <f t="shared" si="3"/>
        <v>302.93821535298002</v>
      </c>
      <c r="L28" s="10">
        <f t="shared" si="0"/>
        <v>0.20341496875759485</v>
      </c>
      <c r="M28" s="10">
        <f t="shared" si="4"/>
        <v>0.20342356741098264</v>
      </c>
      <c r="P28" s="8">
        <f t="shared" si="5"/>
        <v>9.2400068195373439</v>
      </c>
    </row>
    <row r="29" spans="1:16" x14ac:dyDescent="0.2">
      <c r="A29" s="8">
        <v>13.5</v>
      </c>
      <c r="B29" s="8">
        <v>27</v>
      </c>
      <c r="D29">
        <v>1637.6553899083001</v>
      </c>
      <c r="E29">
        <v>421.91915137615001</v>
      </c>
      <c r="F29">
        <v>144.42441528808001</v>
      </c>
      <c r="G29">
        <v>120.56018254420999</v>
      </c>
      <c r="I29" s="9">
        <f t="shared" si="1"/>
        <v>301.35896883194005</v>
      </c>
      <c r="J29" s="9">
        <f t="shared" si="2"/>
        <v>1493.23097462022</v>
      </c>
      <c r="K29" s="9">
        <f t="shared" si="3"/>
        <v>301.35896883194005</v>
      </c>
      <c r="L29" s="10">
        <f t="shared" si="0"/>
        <v>0.20181671419492622</v>
      </c>
      <c r="M29" s="10">
        <f t="shared" si="4"/>
        <v>0.201825643565752</v>
      </c>
      <c r="P29" s="8">
        <f t="shared" si="5"/>
        <v>8.3819095303602591</v>
      </c>
    </row>
    <row r="30" spans="1:16" x14ac:dyDescent="0.2">
      <c r="A30" s="8">
        <v>14</v>
      </c>
      <c r="B30" s="8">
        <v>28</v>
      </c>
      <c r="D30">
        <v>1577.1204128439999</v>
      </c>
      <c r="E30">
        <v>409.86238532110002</v>
      </c>
      <c r="F30">
        <v>144.40387906446</v>
      </c>
      <c r="G30">
        <v>120.65715915573</v>
      </c>
      <c r="I30" s="9">
        <f t="shared" si="1"/>
        <v>289.20522616537005</v>
      </c>
      <c r="J30" s="9">
        <f t="shared" si="2"/>
        <v>1432.71653377954</v>
      </c>
      <c r="K30" s="9">
        <f t="shared" si="3"/>
        <v>289.20522616537005</v>
      </c>
      <c r="L30" s="10">
        <f t="shared" si="0"/>
        <v>0.20185795260032341</v>
      </c>
      <c r="M30" s="10">
        <f t="shared" si="4"/>
        <v>0.20186721268858718</v>
      </c>
      <c r="P30" s="8">
        <f t="shared" si="5"/>
        <v>8.4042324662904058</v>
      </c>
    </row>
    <row r="31" spans="1:16" x14ac:dyDescent="0.2">
      <c r="A31" s="8">
        <v>14.5</v>
      </c>
      <c r="B31" s="8">
        <v>29</v>
      </c>
      <c r="D31">
        <v>1572.622706422</v>
      </c>
      <c r="E31">
        <v>406.94266055046</v>
      </c>
      <c r="F31">
        <v>144.49286936679999</v>
      </c>
      <c r="G31">
        <v>120.99771819738</v>
      </c>
      <c r="I31" s="9">
        <f t="shared" si="1"/>
        <v>285.94494235308002</v>
      </c>
      <c r="J31" s="9">
        <f t="shared" si="2"/>
        <v>1428.1298370551999</v>
      </c>
      <c r="K31" s="9">
        <f t="shared" si="3"/>
        <v>285.94494235308002</v>
      </c>
      <c r="L31" s="10">
        <f t="shared" si="0"/>
        <v>0.20022335150051745</v>
      </c>
      <c r="M31" s="10">
        <f t="shared" si="4"/>
        <v>0.20023294230621921</v>
      </c>
      <c r="P31" s="8">
        <f t="shared" si="5"/>
        <v>7.5266168095255255</v>
      </c>
    </row>
    <row r="32" spans="1:16" x14ac:dyDescent="0.2">
      <c r="A32" s="8">
        <v>15</v>
      </c>
      <c r="B32" s="8">
        <v>30</v>
      </c>
      <c r="D32">
        <v>1551.6244266055</v>
      </c>
      <c r="E32">
        <v>398.75802752293998</v>
      </c>
      <c r="F32">
        <v>144.62863662293</v>
      </c>
      <c r="G32">
        <v>120.89788933257</v>
      </c>
      <c r="I32" s="9">
        <f t="shared" si="1"/>
        <v>277.86013819036998</v>
      </c>
      <c r="J32" s="9">
        <f t="shared" si="2"/>
        <v>1406.9957899825699</v>
      </c>
      <c r="K32" s="9">
        <f t="shared" si="3"/>
        <v>277.86013819036998</v>
      </c>
      <c r="L32" s="10">
        <f t="shared" si="0"/>
        <v>0.19748469765770382</v>
      </c>
      <c r="M32" s="10">
        <f t="shared" si="4"/>
        <v>0.19749461918084357</v>
      </c>
      <c r="P32" s="8">
        <f t="shared" si="5"/>
        <v>6.0561164112811978</v>
      </c>
    </row>
    <row r="33" spans="1:16" x14ac:dyDescent="0.2">
      <c r="A33" s="8">
        <v>15.5</v>
      </c>
      <c r="B33" s="8">
        <v>31</v>
      </c>
      <c r="D33">
        <v>1528.7649082569001</v>
      </c>
      <c r="E33">
        <v>391.74426605504999</v>
      </c>
      <c r="F33">
        <v>144.76611523103</v>
      </c>
      <c r="G33">
        <v>120.94751853965001</v>
      </c>
      <c r="I33" s="9">
        <f t="shared" si="1"/>
        <v>270.7967475154</v>
      </c>
      <c r="J33" s="9">
        <f t="shared" si="2"/>
        <v>1383.9987930258701</v>
      </c>
      <c r="K33" s="9">
        <f t="shared" si="3"/>
        <v>270.7967475154</v>
      </c>
      <c r="L33" s="10">
        <f t="shared" si="0"/>
        <v>0.19566256045885019</v>
      </c>
      <c r="M33" s="10">
        <f t="shared" si="4"/>
        <v>0.19567281269942793</v>
      </c>
      <c r="P33" s="8">
        <f t="shared" si="5"/>
        <v>5.077792439351005</v>
      </c>
    </row>
    <row r="34" spans="1:16" x14ac:dyDescent="0.2">
      <c r="A34" s="8">
        <v>16</v>
      </c>
      <c r="B34" s="8">
        <v>32</v>
      </c>
      <c r="D34">
        <v>1530.5160550459</v>
      </c>
      <c r="E34">
        <v>390.81135321100999</v>
      </c>
      <c r="F34">
        <v>144.33143183115001</v>
      </c>
      <c r="G34">
        <v>120.94865944096</v>
      </c>
      <c r="I34" s="9">
        <f t="shared" si="1"/>
        <v>269.86269377004999</v>
      </c>
      <c r="J34" s="9">
        <f t="shared" si="2"/>
        <v>1386.18462321475</v>
      </c>
      <c r="K34" s="9">
        <f t="shared" si="3"/>
        <v>269.86269377004999</v>
      </c>
      <c r="L34" s="10">
        <f t="shared" si="0"/>
        <v>0.19468019573338061</v>
      </c>
      <c r="M34" s="10">
        <f t="shared" si="4"/>
        <v>0.19469077869139634</v>
      </c>
      <c r="P34" s="8">
        <f t="shared" si="5"/>
        <v>4.5504326889556479</v>
      </c>
    </row>
    <row r="35" spans="1:16" x14ac:dyDescent="0.2">
      <c r="A35" s="8">
        <v>16.5</v>
      </c>
      <c r="B35" s="8">
        <v>33</v>
      </c>
      <c r="D35">
        <v>1488.1846330275</v>
      </c>
      <c r="E35">
        <v>382.95584862384999</v>
      </c>
      <c r="F35">
        <v>144.43240159726</v>
      </c>
      <c r="G35">
        <v>120.95664575014</v>
      </c>
      <c r="I35" s="9">
        <f t="shared" si="1"/>
        <v>261.99920287370998</v>
      </c>
      <c r="J35" s="9">
        <f t="shared" si="2"/>
        <v>1343.75223143024</v>
      </c>
      <c r="K35" s="9">
        <f t="shared" si="3"/>
        <v>261.99920287370998</v>
      </c>
      <c r="L35" s="10">
        <f t="shared" si="0"/>
        <v>0.19497582719907205</v>
      </c>
      <c r="M35" s="10">
        <f t="shared" si="4"/>
        <v>0.19498674087452578</v>
      </c>
      <c r="P35" s="8">
        <f t="shared" si="5"/>
        <v>4.7093666380298274</v>
      </c>
    </row>
    <row r="36" spans="1:16" x14ac:dyDescent="0.2">
      <c r="A36" s="8">
        <v>17</v>
      </c>
      <c r="B36" s="8">
        <v>34</v>
      </c>
      <c r="D36">
        <v>1495.5877293578001</v>
      </c>
      <c r="E36">
        <v>384.29300458716</v>
      </c>
      <c r="F36">
        <v>144.45008556760001</v>
      </c>
      <c r="G36">
        <v>120.99144324016</v>
      </c>
      <c r="I36" s="9">
        <f t="shared" si="1"/>
        <v>263.30156134700002</v>
      </c>
      <c r="J36" s="9">
        <f t="shared" si="2"/>
        <v>1351.1376437901999</v>
      </c>
      <c r="K36" s="9">
        <f t="shared" si="3"/>
        <v>263.30156134700002</v>
      </c>
      <c r="L36" s="10">
        <f t="shared" si="0"/>
        <v>0.19487397346756521</v>
      </c>
      <c r="M36" s="10">
        <f t="shared" si="4"/>
        <v>0.19488521786045693</v>
      </c>
      <c r="P36" s="8">
        <f t="shared" si="5"/>
        <v>4.6548480053543173</v>
      </c>
    </row>
    <row r="37" spans="1:16" x14ac:dyDescent="0.2">
      <c r="A37" s="8">
        <v>17.5</v>
      </c>
      <c r="B37" s="8">
        <v>35</v>
      </c>
      <c r="D37">
        <v>1512.0189220184</v>
      </c>
      <c r="E37">
        <v>385.97763761468002</v>
      </c>
      <c r="F37">
        <v>144.67484312606999</v>
      </c>
      <c r="G37">
        <v>120.76668568169001</v>
      </c>
      <c r="I37" s="9">
        <f t="shared" si="1"/>
        <v>265.21095193299004</v>
      </c>
      <c r="J37" s="9">
        <f t="shared" si="2"/>
        <v>1367.3440788923299</v>
      </c>
      <c r="K37" s="9">
        <f t="shared" si="3"/>
        <v>265.21095193299004</v>
      </c>
      <c r="L37" s="10">
        <f t="shared" si="0"/>
        <v>0.19396065410824354</v>
      </c>
      <c r="M37" s="10">
        <f t="shared" si="4"/>
        <v>0.19397222921857324</v>
      </c>
      <c r="P37" s="8">
        <f t="shared" si="5"/>
        <v>4.1645661430564402</v>
      </c>
    </row>
    <row r="38" spans="1:16" x14ac:dyDescent="0.2">
      <c r="A38" s="8">
        <v>18</v>
      </c>
      <c r="B38" s="8">
        <v>36</v>
      </c>
      <c r="D38">
        <v>1525.7775229358001</v>
      </c>
      <c r="E38">
        <v>385.38360091742999</v>
      </c>
      <c r="F38">
        <v>144.50941243582</v>
      </c>
      <c r="G38">
        <v>120.77067883628</v>
      </c>
      <c r="I38" s="9">
        <f t="shared" si="1"/>
        <v>264.61292208114997</v>
      </c>
      <c r="J38" s="9">
        <f t="shared" si="2"/>
        <v>1381.2681104999801</v>
      </c>
      <c r="K38" s="9">
        <f t="shared" si="3"/>
        <v>264.61292208114997</v>
      </c>
      <c r="L38" s="10">
        <f t="shared" si="0"/>
        <v>0.19157245437699097</v>
      </c>
      <c r="M38" s="10">
        <f t="shared" si="4"/>
        <v>0.19158436020475866</v>
      </c>
      <c r="P38" s="8">
        <f t="shared" si="5"/>
        <v>2.8822622749590856</v>
      </c>
    </row>
    <row r="39" spans="1:16" x14ac:dyDescent="0.2">
      <c r="A39" s="8">
        <v>18.5</v>
      </c>
      <c r="B39" s="8">
        <v>37</v>
      </c>
      <c r="D39">
        <v>1513.7690108633999</v>
      </c>
      <c r="E39">
        <v>381.77015437392998</v>
      </c>
      <c r="F39">
        <v>144.33770678836001</v>
      </c>
      <c r="G39">
        <v>121.02624073018001</v>
      </c>
      <c r="I39" s="9">
        <f t="shared" si="1"/>
        <v>260.74391364374998</v>
      </c>
      <c r="J39" s="9">
        <f t="shared" si="2"/>
        <v>1369.4313040750399</v>
      </c>
      <c r="K39" s="9">
        <f t="shared" si="3"/>
        <v>260.74391364374998</v>
      </c>
      <c r="L39" s="10">
        <f t="shared" si="0"/>
        <v>0.19040306210895713</v>
      </c>
      <c r="M39" s="10">
        <f t="shared" si="4"/>
        <v>0.19041529865416282</v>
      </c>
      <c r="P39" s="8">
        <f t="shared" si="5"/>
        <v>2.2544673081077953</v>
      </c>
    </row>
    <row r="40" spans="1:16" x14ac:dyDescent="0.2">
      <c r="A40" s="8">
        <v>19</v>
      </c>
      <c r="B40" s="8">
        <v>38</v>
      </c>
      <c r="D40">
        <v>1526.4070897655999</v>
      </c>
      <c r="E40">
        <v>382.93825042882003</v>
      </c>
      <c r="F40">
        <v>144.93382772390001</v>
      </c>
      <c r="G40">
        <v>120.80091272105</v>
      </c>
      <c r="I40" s="9">
        <f t="shared" si="1"/>
        <v>262.13733770777003</v>
      </c>
      <c r="J40" s="9">
        <f t="shared" si="2"/>
        <v>1381.4732620416999</v>
      </c>
      <c r="K40" s="9">
        <f t="shared" si="3"/>
        <v>262.13733770777003</v>
      </c>
      <c r="L40" s="10">
        <f t="shared" si="0"/>
        <v>0.18975201685796897</v>
      </c>
      <c r="M40" s="10">
        <f t="shared" si="4"/>
        <v>0.18976458412061264</v>
      </c>
      <c r="P40" s="8">
        <f t="shared" si="5"/>
        <v>1.9050286418446096</v>
      </c>
    </row>
    <row r="41" spans="1:16" x14ac:dyDescent="0.2">
      <c r="A41" s="8">
        <v>19.5</v>
      </c>
      <c r="B41" s="8">
        <v>39</v>
      </c>
      <c r="D41">
        <v>1534.1595197255999</v>
      </c>
      <c r="E41">
        <v>384.7055460263</v>
      </c>
      <c r="F41">
        <v>144.69423844836999</v>
      </c>
      <c r="G41">
        <v>120.5784369652</v>
      </c>
      <c r="I41" s="9">
        <f t="shared" si="1"/>
        <v>264.12710906109999</v>
      </c>
      <c r="J41" s="9">
        <f t="shared" si="2"/>
        <v>1389.4652812772299</v>
      </c>
      <c r="K41" s="9">
        <f t="shared" si="3"/>
        <v>264.12710906109999</v>
      </c>
      <c r="L41" s="10">
        <f t="shared" si="0"/>
        <v>0.19009262960374798</v>
      </c>
      <c r="M41" s="10">
        <f t="shared" si="4"/>
        <v>0.19010552758382965</v>
      </c>
      <c r="P41" s="8">
        <f t="shared" si="5"/>
        <v>2.088117881311419</v>
      </c>
    </row>
    <row r="42" spans="1:16" x14ac:dyDescent="0.2">
      <c r="A42" s="8">
        <v>20</v>
      </c>
      <c r="B42" s="8">
        <v>40</v>
      </c>
      <c r="D42">
        <v>1536.6146369354001</v>
      </c>
      <c r="E42">
        <v>382.87535734706</v>
      </c>
      <c r="F42">
        <v>144.62692527095999</v>
      </c>
      <c r="G42">
        <v>120.58300057045</v>
      </c>
      <c r="I42" s="9">
        <f t="shared" si="1"/>
        <v>262.29235677661001</v>
      </c>
      <c r="J42" s="9">
        <f t="shared" si="2"/>
        <v>1391.9877116644402</v>
      </c>
      <c r="K42" s="9">
        <f t="shared" si="3"/>
        <v>262.29235677661001</v>
      </c>
      <c r="L42" s="10">
        <f t="shared" si="0"/>
        <v>0.18843008065278063</v>
      </c>
      <c r="M42" s="10">
        <f t="shared" si="4"/>
        <v>0.18844330935030029</v>
      </c>
      <c r="P42" s="8">
        <f t="shared" si="5"/>
        <v>1.1954940153684273</v>
      </c>
    </row>
    <row r="43" spans="1:16" x14ac:dyDescent="0.2">
      <c r="A43" s="8">
        <v>20.5</v>
      </c>
      <c r="B43" s="8">
        <v>41</v>
      </c>
      <c r="D43">
        <v>1527.2601486563999</v>
      </c>
      <c r="E43">
        <v>383.26300743282002</v>
      </c>
      <c r="F43">
        <v>144.76839703365999</v>
      </c>
      <c r="G43">
        <v>120.63605248146</v>
      </c>
      <c r="I43" s="9">
        <f t="shared" si="1"/>
        <v>262.62695495136001</v>
      </c>
      <c r="J43" s="9">
        <f t="shared" si="2"/>
        <v>1382.4917516227399</v>
      </c>
      <c r="K43" s="9">
        <f t="shared" si="3"/>
        <v>262.62695495136001</v>
      </c>
      <c r="L43" s="10">
        <f t="shared" si="0"/>
        <v>0.1899663810963747</v>
      </c>
      <c r="M43" s="10">
        <f t="shared" si="4"/>
        <v>0.18997994051133235</v>
      </c>
      <c r="P43" s="8">
        <f t="shared" si="5"/>
        <v>2.0206766657695976</v>
      </c>
    </row>
    <row r="44" spans="1:16" x14ac:dyDescent="0.2">
      <c r="A44" s="8">
        <v>21</v>
      </c>
      <c r="B44" s="8">
        <v>42</v>
      </c>
      <c r="D44">
        <v>1545.0874785592</v>
      </c>
      <c r="E44">
        <v>384.91137793025001</v>
      </c>
      <c r="F44">
        <v>144.37250427838001</v>
      </c>
      <c r="G44">
        <v>120.62863662293</v>
      </c>
      <c r="I44" s="9">
        <f t="shared" si="1"/>
        <v>264.28274130732001</v>
      </c>
      <c r="J44" s="9">
        <f t="shared" si="2"/>
        <v>1400.7149742808201</v>
      </c>
      <c r="K44" s="9">
        <f t="shared" si="3"/>
        <v>264.28274130732001</v>
      </c>
      <c r="L44" s="10">
        <f t="shared" si="0"/>
        <v>0.18867703005960418</v>
      </c>
      <c r="M44" s="10">
        <f t="shared" si="4"/>
        <v>0.18869092019199982</v>
      </c>
      <c r="P44" s="8">
        <f t="shared" si="5"/>
        <v>1.3284629254121665</v>
      </c>
    </row>
    <row r="45" spans="1:16" x14ac:dyDescent="0.2">
      <c r="A45" s="8">
        <v>21.5</v>
      </c>
      <c r="B45" s="8">
        <v>43</v>
      </c>
      <c r="D45">
        <v>1590.0400228701999</v>
      </c>
      <c r="E45">
        <v>392.78559176672002</v>
      </c>
      <c r="F45">
        <v>144.46377638333999</v>
      </c>
      <c r="G45">
        <v>120.72504278380001</v>
      </c>
      <c r="I45" s="9">
        <f t="shared" si="1"/>
        <v>272.06054898292001</v>
      </c>
      <c r="J45" s="9">
        <f t="shared" si="2"/>
        <v>1445.5762464868599</v>
      </c>
      <c r="K45" s="9">
        <f t="shared" si="3"/>
        <v>272.06054898292001</v>
      </c>
      <c r="L45" s="10">
        <f t="shared" si="0"/>
        <v>0.18820214405438698</v>
      </c>
      <c r="M45" s="10">
        <f t="shared" si="4"/>
        <v>0.18821636490422061</v>
      </c>
      <c r="P45" s="8">
        <f t="shared" si="5"/>
        <v>1.0736231173553494</v>
      </c>
    </row>
    <row r="46" spans="1:16" x14ac:dyDescent="0.2">
      <c r="A46" s="8">
        <v>22</v>
      </c>
      <c r="B46" s="8">
        <v>44</v>
      </c>
      <c r="D46">
        <v>1589.0485991994999</v>
      </c>
      <c r="E46">
        <v>392.52372784447999</v>
      </c>
      <c r="F46">
        <v>144.64403879065</v>
      </c>
      <c r="G46">
        <v>120.70222475756</v>
      </c>
      <c r="I46" s="9">
        <f t="shared" si="1"/>
        <v>271.82150308691996</v>
      </c>
      <c r="J46" s="9">
        <f t="shared" si="2"/>
        <v>1444.4045604088499</v>
      </c>
      <c r="K46" s="9">
        <f t="shared" si="3"/>
        <v>271.82150308691996</v>
      </c>
      <c r="L46" s="10">
        <f t="shared" si="0"/>
        <v>0.18818931380968418</v>
      </c>
      <c r="M46" s="10">
        <f t="shared" si="4"/>
        <v>0.18820386537695583</v>
      </c>
      <c r="P46" s="8">
        <f t="shared" si="5"/>
        <v>1.0669107759043335</v>
      </c>
    </row>
    <row r="47" spans="1:16" x14ac:dyDescent="0.2">
      <c r="A47" s="8">
        <v>22.5</v>
      </c>
      <c r="B47" s="8">
        <v>45</v>
      </c>
      <c r="D47">
        <v>1616.9153802173</v>
      </c>
      <c r="E47">
        <v>397.19554030875003</v>
      </c>
      <c r="F47">
        <v>144.52196235026</v>
      </c>
      <c r="G47">
        <v>120.71078151739999</v>
      </c>
      <c r="I47" s="9">
        <f t="shared" si="1"/>
        <v>276.48475879135003</v>
      </c>
      <c r="J47" s="9">
        <f t="shared" si="2"/>
        <v>1472.3934178670399</v>
      </c>
      <c r="K47" s="9">
        <f t="shared" si="3"/>
        <v>276.48475879135003</v>
      </c>
      <c r="L47" s="10">
        <f t="shared" si="0"/>
        <v>0.1877791325581144</v>
      </c>
      <c r="M47" s="10">
        <f t="shared" si="4"/>
        <v>0.18779401484282404</v>
      </c>
      <c r="P47" s="8">
        <f t="shared" si="5"/>
        <v>0.84681791393474304</v>
      </c>
    </row>
    <row r="48" spans="1:16" x14ac:dyDescent="0.2">
      <c r="A48" s="8">
        <v>23</v>
      </c>
      <c r="B48" s="8">
        <v>46</v>
      </c>
      <c r="D48">
        <v>1588.7661520869001</v>
      </c>
      <c r="E48">
        <v>391.63750714693998</v>
      </c>
      <c r="F48">
        <v>144.67084997148001</v>
      </c>
      <c r="G48">
        <v>120.78836280662</v>
      </c>
      <c r="I48" s="9">
        <f t="shared" si="1"/>
        <v>270.84914434031998</v>
      </c>
      <c r="J48" s="9">
        <f t="shared" si="2"/>
        <v>1444.0953021154201</v>
      </c>
      <c r="K48" s="9">
        <f t="shared" si="3"/>
        <v>270.84914434031998</v>
      </c>
      <c r="L48" s="10">
        <f t="shared" si="0"/>
        <v>0.18755628104568975</v>
      </c>
      <c r="M48" s="10">
        <f t="shared" si="4"/>
        <v>0.18757149404783738</v>
      </c>
      <c r="P48" s="8">
        <f t="shared" si="5"/>
        <v>0.7273225502892835</v>
      </c>
    </row>
    <row r="49" spans="1:25" x14ac:dyDescent="0.2">
      <c r="A49" s="8">
        <v>23.5</v>
      </c>
      <c r="B49" s="8">
        <v>47</v>
      </c>
      <c r="D49">
        <v>1535.2241280732001</v>
      </c>
      <c r="E49">
        <v>379.36992567180999</v>
      </c>
      <c r="F49">
        <v>145.02338847690001</v>
      </c>
      <c r="G49">
        <v>120.90473474045</v>
      </c>
      <c r="I49" s="9">
        <f t="shared" si="1"/>
        <v>258.46519093135998</v>
      </c>
      <c r="J49" s="9">
        <f t="shared" si="2"/>
        <v>1390.2007395963001</v>
      </c>
      <c r="K49" s="9">
        <f t="shared" si="3"/>
        <v>258.46519093135998</v>
      </c>
      <c r="L49" s="10">
        <f t="shared" si="0"/>
        <v>0.18591933061869584</v>
      </c>
      <c r="M49" s="10">
        <f t="shared" si="4"/>
        <v>0.18593487433828146</v>
      </c>
      <c r="P49" s="8">
        <f t="shared" si="5"/>
        <v>-0.15155471308932306</v>
      </c>
    </row>
    <row r="50" spans="1:25" x14ac:dyDescent="0.2">
      <c r="A50" s="8">
        <v>24</v>
      </c>
      <c r="B50" s="8">
        <v>48</v>
      </c>
      <c r="D50">
        <v>1534.5300171527001</v>
      </c>
      <c r="E50">
        <v>378.88622069754001</v>
      </c>
      <c r="F50">
        <v>144.57387335995</v>
      </c>
      <c r="G50">
        <v>120.73188819167</v>
      </c>
      <c r="I50" s="9">
        <f t="shared" si="1"/>
        <v>258.15433250587</v>
      </c>
      <c r="J50" s="9">
        <f t="shared" si="2"/>
        <v>1389.95614379275</v>
      </c>
      <c r="K50" s="9">
        <f t="shared" si="3"/>
        <v>258.15433250587</v>
      </c>
      <c r="L50" s="10">
        <f t="shared" si="0"/>
        <v>0.18572840133031004</v>
      </c>
      <c r="M50" s="10">
        <f t="shared" si="4"/>
        <v>0.18574427576733366</v>
      </c>
      <c r="P50" s="8">
        <f t="shared" si="5"/>
        <v>-0.25390759901658055</v>
      </c>
    </row>
    <row r="51" spans="1:25" x14ac:dyDescent="0.2">
      <c r="A51" s="8">
        <v>24.5</v>
      </c>
      <c r="B51" s="8">
        <v>49</v>
      </c>
      <c r="D51">
        <v>1463.9245283019</v>
      </c>
      <c r="E51">
        <v>368.27444253858999</v>
      </c>
      <c r="F51">
        <v>144.52139189959999</v>
      </c>
      <c r="G51">
        <v>121.14546491729</v>
      </c>
      <c r="I51" s="9">
        <f t="shared" si="1"/>
        <v>247.12897762130001</v>
      </c>
      <c r="J51" s="9">
        <f t="shared" si="2"/>
        <v>1319.4031364022999</v>
      </c>
      <c r="K51" s="9">
        <f t="shared" si="3"/>
        <v>247.12897762130001</v>
      </c>
      <c r="L51" s="10">
        <f t="shared" si="0"/>
        <v>0.18730361540231158</v>
      </c>
      <c r="M51" s="10">
        <f t="shared" si="4"/>
        <v>0.18731982055677318</v>
      </c>
      <c r="P51" s="8">
        <f t="shared" si="5"/>
        <v>0.59217196655871152</v>
      </c>
    </row>
    <row r="52" spans="1:25" x14ac:dyDescent="0.2">
      <c r="A52" s="8">
        <v>25</v>
      </c>
      <c r="B52" s="8">
        <v>50</v>
      </c>
      <c r="D52">
        <v>1481.1578044596999</v>
      </c>
      <c r="E52">
        <v>369.80274442539002</v>
      </c>
      <c r="F52">
        <v>144.71876782658001</v>
      </c>
      <c r="G52">
        <v>120.70507701084</v>
      </c>
      <c r="I52" s="9">
        <f t="shared" si="1"/>
        <v>249.09766741455002</v>
      </c>
      <c r="J52" s="9">
        <f t="shared" si="2"/>
        <v>1336.4390366331199</v>
      </c>
      <c r="K52" s="9">
        <f t="shared" si="3"/>
        <v>249.09766741455002</v>
      </c>
      <c r="L52" s="10">
        <f t="shared" si="0"/>
        <v>0.18638909863191347</v>
      </c>
      <c r="M52" s="10">
        <f t="shared" si="4"/>
        <v>0.18640563450381306</v>
      </c>
      <c r="P52" s="8">
        <f t="shared" si="5"/>
        <v>0.10124708538244243</v>
      </c>
    </row>
    <row r="53" spans="1:25" x14ac:dyDescent="0.2">
      <c r="A53" s="8">
        <v>25.5</v>
      </c>
      <c r="B53" s="8">
        <v>51</v>
      </c>
      <c r="D53">
        <v>1453.5877644367999</v>
      </c>
      <c r="E53">
        <v>366.13264722699</v>
      </c>
      <c r="F53">
        <v>144.42498573872999</v>
      </c>
      <c r="G53">
        <v>121.05761551626</v>
      </c>
      <c r="I53" s="9">
        <f t="shared" si="1"/>
        <v>245.07503171073</v>
      </c>
      <c r="J53" s="9">
        <f t="shared" si="2"/>
        <v>1309.16277869807</v>
      </c>
      <c r="K53" s="9">
        <f t="shared" si="3"/>
        <v>245.07503171073</v>
      </c>
      <c r="L53" s="10">
        <f t="shared" si="0"/>
        <v>0.18719981632417862</v>
      </c>
      <c r="M53" s="10">
        <f t="shared" si="4"/>
        <v>0.1872166829135162</v>
      </c>
      <c r="P53" s="8">
        <f t="shared" si="5"/>
        <v>0.53678626569750898</v>
      </c>
      <c r="S53" s="11"/>
      <c r="U53" s="12"/>
    </row>
    <row r="54" spans="1:25" x14ac:dyDescent="0.2">
      <c r="A54" s="8">
        <v>26</v>
      </c>
      <c r="B54" s="8">
        <v>52</v>
      </c>
      <c r="D54">
        <v>1465.9090909091001</v>
      </c>
      <c r="E54">
        <v>366.63750714693998</v>
      </c>
      <c r="F54">
        <v>145.00570450655999</v>
      </c>
      <c r="G54">
        <v>120.75755847118999</v>
      </c>
      <c r="I54" s="9">
        <f t="shared" si="1"/>
        <v>245.87994867574997</v>
      </c>
      <c r="J54" s="9">
        <f t="shared" si="2"/>
        <v>1320.90338640254</v>
      </c>
      <c r="K54" s="9">
        <f t="shared" si="3"/>
        <v>245.87994867574997</v>
      </c>
      <c r="L54" s="10">
        <f t="shared" si="0"/>
        <v>0.18614529359743728</v>
      </c>
      <c r="M54" s="10">
        <f t="shared" si="4"/>
        <v>0.18616249090421286</v>
      </c>
      <c r="P54" s="8">
        <f t="shared" si="5"/>
        <v>-2.9322881590908099E-2</v>
      </c>
      <c r="S54" s="11"/>
    </row>
    <row r="55" spans="1:25" x14ac:dyDescent="0.2">
      <c r="A55" s="8">
        <v>26.5</v>
      </c>
      <c r="B55" s="8">
        <v>53</v>
      </c>
      <c r="D55">
        <v>1496.3899371069001</v>
      </c>
      <c r="E55">
        <v>370.69353916524</v>
      </c>
      <c r="F55">
        <v>145.06902452937999</v>
      </c>
      <c r="G55">
        <v>120.68511123787999</v>
      </c>
      <c r="I55" s="9">
        <f t="shared" si="1"/>
        <v>250.00842792736</v>
      </c>
      <c r="J55" s="9">
        <f t="shared" si="2"/>
        <v>1351.3209125775202</v>
      </c>
      <c r="K55" s="9">
        <f t="shared" si="3"/>
        <v>250.00842792736</v>
      </c>
      <c r="L55" s="10">
        <f t="shared" si="0"/>
        <v>0.18501040396873009</v>
      </c>
      <c r="M55" s="10">
        <f t="shared" si="4"/>
        <v>0.18502793199294365</v>
      </c>
      <c r="P55" s="8">
        <f t="shared" si="5"/>
        <v>-0.63858966803860095</v>
      </c>
      <c r="S55" s="11"/>
    </row>
    <row r="56" spans="1:25" x14ac:dyDescent="0.2">
      <c r="A56" s="8">
        <v>27</v>
      </c>
      <c r="B56" s="8">
        <v>54</v>
      </c>
      <c r="D56">
        <v>1504.2864493996999</v>
      </c>
      <c r="E56">
        <v>372.64665523155998</v>
      </c>
      <c r="F56">
        <v>144.98231602966001</v>
      </c>
      <c r="G56">
        <v>120.93211637192999</v>
      </c>
      <c r="I56" s="9">
        <f t="shared" si="1"/>
        <v>251.71453885962998</v>
      </c>
      <c r="J56" s="9">
        <f t="shared" si="2"/>
        <v>1359.3041333700398</v>
      </c>
      <c r="K56" s="9">
        <f t="shared" si="3"/>
        <v>251.71453885962998</v>
      </c>
      <c r="L56" s="10">
        <f t="shared" si="0"/>
        <v>0.18517896965086797</v>
      </c>
      <c r="M56" s="10">
        <f t="shared" si="4"/>
        <v>0.18519682839251952</v>
      </c>
      <c r="P56" s="8">
        <f t="shared" si="5"/>
        <v>-0.54789101361874104</v>
      </c>
      <c r="S56" s="11"/>
    </row>
    <row r="57" spans="1:25" x14ac:dyDescent="0.2">
      <c r="A57" s="8">
        <v>27.5</v>
      </c>
      <c r="B57" s="8">
        <v>55</v>
      </c>
      <c r="D57">
        <v>1504.4877072613001</v>
      </c>
      <c r="E57">
        <v>371.80560320183002</v>
      </c>
      <c r="F57">
        <v>144.64974329720999</v>
      </c>
      <c r="G57">
        <v>120.81003993154999</v>
      </c>
      <c r="I57" s="9">
        <f t="shared" si="1"/>
        <v>250.99556327028003</v>
      </c>
      <c r="J57" s="9">
        <f t="shared" si="2"/>
        <v>1359.83796396409</v>
      </c>
      <c r="K57" s="9">
        <f t="shared" si="3"/>
        <v>250.99556327028003</v>
      </c>
      <c r="L57" s="10">
        <f t="shared" si="0"/>
        <v>0.18457755256265826</v>
      </c>
      <c r="M57" s="10">
        <f t="shared" si="4"/>
        <v>0.18459574202174781</v>
      </c>
      <c r="P57" s="8">
        <f t="shared" si="5"/>
        <v>-0.87067897805146266</v>
      </c>
      <c r="S57" s="11"/>
    </row>
    <row r="58" spans="1:25" x14ac:dyDescent="0.2">
      <c r="A58" s="8">
        <v>28</v>
      </c>
      <c r="B58" s="8">
        <v>56</v>
      </c>
      <c r="D58">
        <v>1504.9473985134</v>
      </c>
      <c r="E58">
        <v>371.97084048027</v>
      </c>
      <c r="F58">
        <v>145.28921848260001</v>
      </c>
      <c r="G58">
        <v>120.71591557329999</v>
      </c>
      <c r="I58" s="9">
        <f t="shared" si="1"/>
        <v>251.25492490697002</v>
      </c>
      <c r="J58" s="9">
        <f t="shared" si="2"/>
        <v>1359.6581800307999</v>
      </c>
      <c r="K58" s="9">
        <f t="shared" si="3"/>
        <v>251.25492490697002</v>
      </c>
      <c r="L58" s="10">
        <f t="shared" si="0"/>
        <v>0.18479271378434131</v>
      </c>
      <c r="M58" s="10">
        <f t="shared" si="4"/>
        <v>0.18481123396086885</v>
      </c>
      <c r="P58" s="8">
        <f t="shared" si="5"/>
        <v>-0.75495816360139045</v>
      </c>
      <c r="S58" s="11"/>
    </row>
    <row r="59" spans="1:25" x14ac:dyDescent="0.2">
      <c r="A59" s="8">
        <v>28.5</v>
      </c>
      <c r="B59" s="8">
        <v>57</v>
      </c>
      <c r="D59">
        <v>1501.2933104630999</v>
      </c>
      <c r="E59">
        <v>372.49857061178</v>
      </c>
      <c r="F59">
        <v>144.25784369652001</v>
      </c>
      <c r="G59">
        <v>120.64689104393</v>
      </c>
      <c r="I59" s="9">
        <f t="shared" si="1"/>
        <v>251.85167956785</v>
      </c>
      <c r="J59" s="9">
        <f t="shared" si="2"/>
        <v>1357.0354667665799</v>
      </c>
      <c r="K59" s="9">
        <f t="shared" si="3"/>
        <v>251.85167956785</v>
      </c>
      <c r="L59" s="10">
        <f t="shared" si="0"/>
        <v>0.18558960744625133</v>
      </c>
      <c r="M59" s="10">
        <f t="shared" si="4"/>
        <v>0.18560845834021686</v>
      </c>
      <c r="P59" s="8">
        <f t="shared" si="5"/>
        <v>-0.32684259299628926</v>
      </c>
      <c r="R59" s="1"/>
      <c r="S59" s="11"/>
    </row>
    <row r="60" spans="1:25" x14ac:dyDescent="0.2">
      <c r="A60" s="8">
        <v>29</v>
      </c>
      <c r="B60" s="8">
        <v>58</v>
      </c>
      <c r="D60">
        <v>1493.9433962264</v>
      </c>
      <c r="E60">
        <v>370.93653516295001</v>
      </c>
      <c r="F60">
        <v>144.40273816314999</v>
      </c>
      <c r="G60">
        <v>120.62920707359</v>
      </c>
      <c r="I60" s="9">
        <f t="shared" si="1"/>
        <v>250.30732808936</v>
      </c>
      <c r="J60" s="9">
        <f t="shared" si="2"/>
        <v>1349.54065806325</v>
      </c>
      <c r="K60" s="9">
        <f t="shared" si="3"/>
        <v>250.30732808936</v>
      </c>
      <c r="L60" s="10">
        <f t="shared" si="0"/>
        <v>0.18547594442140078</v>
      </c>
      <c r="M60" s="10">
        <f t="shared" si="4"/>
        <v>0.1854951260328043</v>
      </c>
      <c r="P60" s="8">
        <f t="shared" si="5"/>
        <v>-0.38770290624411258</v>
      </c>
      <c r="S60" s="11"/>
    </row>
    <row r="61" spans="1:25" x14ac:dyDescent="0.2">
      <c r="A61" s="8">
        <v>29.5</v>
      </c>
      <c r="B61" s="8">
        <v>59</v>
      </c>
      <c r="C61" s="2"/>
      <c r="D61">
        <v>1489.7998856489</v>
      </c>
      <c r="E61">
        <v>370.99771297885002</v>
      </c>
      <c r="F61">
        <v>144.79349686251999</v>
      </c>
      <c r="G61">
        <v>121.05134055904</v>
      </c>
      <c r="I61" s="9">
        <f t="shared" si="1"/>
        <v>249.94637241981002</v>
      </c>
      <c r="J61" s="9">
        <f t="shared" si="2"/>
        <v>1345.0063887863801</v>
      </c>
      <c r="K61" s="9">
        <f t="shared" si="3"/>
        <v>249.94637241981002</v>
      </c>
      <c r="L61" s="10">
        <f t="shared" si="0"/>
        <v>0.18583285143005193</v>
      </c>
      <c r="M61" s="10">
        <f t="shared" si="4"/>
        <v>0.18585236375889344</v>
      </c>
      <c r="P61" s="8">
        <f t="shared" si="5"/>
        <v>-0.19586352336999654</v>
      </c>
      <c r="S61" s="11"/>
    </row>
    <row r="62" spans="1:25" x14ac:dyDescent="0.2">
      <c r="A62" s="8">
        <v>30</v>
      </c>
      <c r="B62" s="8">
        <v>60</v>
      </c>
      <c r="D62">
        <v>1482.889079474</v>
      </c>
      <c r="E62">
        <v>369.71240708977001</v>
      </c>
      <c r="F62">
        <v>144.65316600113999</v>
      </c>
      <c r="G62">
        <v>120.53622361666</v>
      </c>
      <c r="I62" s="9">
        <f t="shared" si="1"/>
        <v>249.17618347311003</v>
      </c>
      <c r="J62" s="9">
        <f t="shared" si="2"/>
        <v>1338.2359134728599</v>
      </c>
      <c r="K62" s="9">
        <f t="shared" si="3"/>
        <v>249.17618347311003</v>
      </c>
      <c r="L62" s="10">
        <f t="shared" si="0"/>
        <v>0.18619750147526096</v>
      </c>
      <c r="M62" s="10">
        <f t="shared" si="4"/>
        <v>0.18621734452154046</v>
      </c>
      <c r="P62" s="8">
        <f t="shared" si="5"/>
        <v>1.3392917692688885E-4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1474.9691252144</v>
      </c>
      <c r="E63">
        <v>368.31732418525002</v>
      </c>
      <c r="F63">
        <v>144.64689104393</v>
      </c>
      <c r="G63">
        <v>120.53451226468999</v>
      </c>
      <c r="I63" s="9">
        <f t="shared" si="1"/>
        <v>247.78281192056002</v>
      </c>
      <c r="J63" s="9">
        <f t="shared" si="2"/>
        <v>1330.32223417047</v>
      </c>
      <c r="K63" s="9">
        <f t="shared" si="3"/>
        <v>247.78281192056002</v>
      </c>
      <c r="L63" s="10">
        <f t="shared" si="0"/>
        <v>0.18625773933265605</v>
      </c>
      <c r="M63" s="10">
        <f t="shared" si="4"/>
        <v>0.18627791309637354</v>
      </c>
      <c r="P63" s="8">
        <f t="shared" si="5"/>
        <v>3.2659715702181742E-2</v>
      </c>
    </row>
    <row r="64" spans="1:25" x14ac:dyDescent="0.2">
      <c r="A64" s="8">
        <v>31</v>
      </c>
      <c r="B64" s="8">
        <v>62</v>
      </c>
      <c r="D64">
        <v>1474.4688393368001</v>
      </c>
      <c r="E64">
        <v>368.25214408233001</v>
      </c>
      <c r="F64">
        <v>144.99030233885</v>
      </c>
      <c r="G64">
        <v>120.37307472904</v>
      </c>
      <c r="I64" s="9">
        <f t="shared" si="1"/>
        <v>247.87906935328999</v>
      </c>
      <c r="J64" s="9">
        <f t="shared" si="2"/>
        <v>1329.4785369979502</v>
      </c>
      <c r="K64" s="9">
        <f t="shared" si="3"/>
        <v>247.87906935328999</v>
      </c>
      <c r="L64" s="10">
        <f t="shared" si="0"/>
        <v>0.18644834230495905</v>
      </c>
      <c r="M64" s="10">
        <f t="shared" si="4"/>
        <v>0.18646884678611453</v>
      </c>
      <c r="P64" s="8">
        <f t="shared" si="5"/>
        <v>0.13519256297668678</v>
      </c>
      <c r="U64" s="8">
        <v>30.5</v>
      </c>
      <c r="V64" s="10">
        <f>L62</f>
        <v>0.18619750147526096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1476.8193253288</v>
      </c>
      <c r="E65">
        <v>368.68610634648002</v>
      </c>
      <c r="F65">
        <v>144.18425556189001</v>
      </c>
      <c r="G65">
        <v>120.58300057045</v>
      </c>
      <c r="I65" s="9">
        <f t="shared" si="1"/>
        <v>248.10310577603002</v>
      </c>
      <c r="J65" s="9">
        <f t="shared" si="2"/>
        <v>1332.63506976691</v>
      </c>
      <c r="K65" s="9">
        <f t="shared" si="3"/>
        <v>248.10310577603002</v>
      </c>
      <c r="L65" s="10">
        <f t="shared" si="0"/>
        <v>0.18617482865689969</v>
      </c>
      <c r="M65" s="10">
        <f t="shared" si="4"/>
        <v>0.18619566385549316</v>
      </c>
      <c r="P65" s="8">
        <f t="shared" si="5"/>
        <v>-1.1508753807163508E-2</v>
      </c>
      <c r="U65" s="8">
        <v>31</v>
      </c>
      <c r="V65" s="10">
        <f t="shared" ref="V65:V83" si="6">L63</f>
        <v>0.18625773933265605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1471.3024585477001</v>
      </c>
      <c r="E66">
        <v>367.23899371069001</v>
      </c>
      <c r="F66">
        <v>144.33656588705</v>
      </c>
      <c r="G66">
        <v>120.2413006275</v>
      </c>
      <c r="I66" s="9">
        <f t="shared" si="1"/>
        <v>246.99769308319003</v>
      </c>
      <c r="J66" s="9">
        <f t="shared" si="2"/>
        <v>1326.9658926606501</v>
      </c>
      <c r="K66" s="9">
        <f t="shared" si="3"/>
        <v>246.99769308319003</v>
      </c>
      <c r="L66" s="10">
        <f t="shared" ref="L66:L129" si="7">K66/J66</f>
        <v>0.18613718291428283</v>
      </c>
      <c r="M66" s="10">
        <f t="shared" si="4"/>
        <v>0.18615834883031429</v>
      </c>
      <c r="P66" s="8">
        <f t="shared" si="5"/>
        <v>-3.1547206858060006E-2</v>
      </c>
      <c r="U66" s="8">
        <v>31.5</v>
      </c>
      <c r="V66" s="10">
        <f t="shared" si="6"/>
        <v>0.18644834230495905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1473.6477987420999</v>
      </c>
      <c r="E67">
        <v>368.04002287021001</v>
      </c>
      <c r="F67">
        <v>144.61209355391</v>
      </c>
      <c r="G67">
        <v>120.48203080434</v>
      </c>
      <c r="I67" s="9">
        <f t="shared" ref="I67:I130" si="8">E67-G67</f>
        <v>247.55799206587</v>
      </c>
      <c r="J67" s="9">
        <f t="shared" ref="J67:J130" si="9">D67-F67</f>
        <v>1329.0357051881899</v>
      </c>
      <c r="K67" s="9">
        <f t="shared" ref="K67:K130" si="10">I67*1</f>
        <v>247.55799206587</v>
      </c>
      <c r="L67" s="10">
        <f t="shared" si="7"/>
        <v>0.1862688798348093</v>
      </c>
      <c r="M67" s="10">
        <f t="shared" ref="M67:M130" si="11">L67+ABS($N$2)*A67</f>
        <v>0.18629037646827876</v>
      </c>
      <c r="P67" s="8">
        <f t="shared" ref="P67:P130" si="12">(M67-$O$2)/$O$2*100</f>
        <v>3.9352641449422708E-2</v>
      </c>
      <c r="U67" s="8">
        <v>32</v>
      </c>
      <c r="V67" s="10">
        <f t="shared" si="6"/>
        <v>0.18617482865689969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1474.0531732418999</v>
      </c>
      <c r="E68">
        <v>367.62149799885998</v>
      </c>
      <c r="F68">
        <v>144.14432401597</v>
      </c>
      <c r="G68">
        <v>120.25213918996</v>
      </c>
      <c r="I68" s="9">
        <f t="shared" si="8"/>
        <v>247.36935880889996</v>
      </c>
      <c r="J68" s="9">
        <f t="shared" si="9"/>
        <v>1329.90884922593</v>
      </c>
      <c r="K68" s="9">
        <f t="shared" si="10"/>
        <v>247.36935880889996</v>
      </c>
      <c r="L68" s="10">
        <f t="shared" si="7"/>
        <v>0.18600474683124385</v>
      </c>
      <c r="M68" s="10">
        <f t="shared" si="11"/>
        <v>0.18602657418215129</v>
      </c>
      <c r="P68" s="8">
        <f t="shared" si="12"/>
        <v>-0.10231119771308772</v>
      </c>
      <c r="U68" s="8">
        <v>32.5</v>
      </c>
      <c r="V68" s="10">
        <f t="shared" si="6"/>
        <v>0.18613718291428283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1469.2973127501</v>
      </c>
      <c r="E69">
        <v>367.13207547169998</v>
      </c>
      <c r="F69">
        <v>144.18254420993</v>
      </c>
      <c r="G69">
        <v>120.61038220194</v>
      </c>
      <c r="I69" s="9">
        <f t="shared" si="8"/>
        <v>246.52169326975996</v>
      </c>
      <c r="J69" s="9">
        <f t="shared" si="9"/>
        <v>1325.11476854017</v>
      </c>
      <c r="K69" s="9">
        <f t="shared" si="10"/>
        <v>246.52169326975996</v>
      </c>
      <c r="L69" s="10">
        <f t="shared" si="7"/>
        <v>0.18603799393266426</v>
      </c>
      <c r="M69" s="10">
        <f t="shared" si="11"/>
        <v>0.1860601520010097</v>
      </c>
      <c r="P69" s="8">
        <f t="shared" si="12"/>
        <v>-8.4279652952756898E-2</v>
      </c>
      <c r="U69" s="8">
        <v>33</v>
      </c>
      <c r="V69" s="10">
        <f t="shared" si="6"/>
        <v>0.1862688798348093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1472.0263007433</v>
      </c>
      <c r="E70">
        <v>367.89879931388998</v>
      </c>
      <c r="F70">
        <v>144.64517969196001</v>
      </c>
      <c r="G70">
        <v>120.52994865944</v>
      </c>
      <c r="I70" s="9">
        <f t="shared" si="8"/>
        <v>247.36885065445</v>
      </c>
      <c r="J70" s="9">
        <f t="shared" si="9"/>
        <v>1327.38112105134</v>
      </c>
      <c r="K70" s="9">
        <f t="shared" si="10"/>
        <v>247.36885065445</v>
      </c>
      <c r="L70" s="10">
        <f t="shared" si="7"/>
        <v>0.18635857232813721</v>
      </c>
      <c r="M70" s="10">
        <f t="shared" si="11"/>
        <v>0.18638106111392064</v>
      </c>
      <c r="P70" s="8">
        <f t="shared" si="12"/>
        <v>8.8050987636284217E-2</v>
      </c>
      <c r="U70" s="8">
        <v>33.5</v>
      </c>
      <c r="V70" s="10">
        <f t="shared" si="6"/>
        <v>0.18600474683124385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1470.2618639222001</v>
      </c>
      <c r="E71">
        <v>366.88564894224999</v>
      </c>
      <c r="F71">
        <v>144.86537364518</v>
      </c>
      <c r="G71">
        <v>120.36679977182</v>
      </c>
      <c r="I71" s="9">
        <f t="shared" si="8"/>
        <v>246.51884917042997</v>
      </c>
      <c r="J71" s="9">
        <f t="shared" si="9"/>
        <v>1325.3964902770201</v>
      </c>
      <c r="K71" s="9">
        <f t="shared" si="10"/>
        <v>246.51884917042997</v>
      </c>
      <c r="L71" s="10">
        <f t="shared" si="7"/>
        <v>0.18599630448614304</v>
      </c>
      <c r="M71" s="10">
        <f t="shared" si="11"/>
        <v>0.18601912398936446</v>
      </c>
      <c r="P71" s="8">
        <f t="shared" si="12"/>
        <v>-0.10631200804789213</v>
      </c>
      <c r="U71" s="8">
        <v>34</v>
      </c>
      <c r="V71" s="10">
        <f t="shared" si="6"/>
        <v>0.18603799393266426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1469.4768439108</v>
      </c>
      <c r="E72">
        <v>366.48427672956001</v>
      </c>
      <c r="F72">
        <v>143.99201369081999</v>
      </c>
      <c r="G72">
        <v>120.52880775813</v>
      </c>
      <c r="I72" s="9">
        <f t="shared" si="8"/>
        <v>245.95546897143001</v>
      </c>
      <c r="J72" s="9">
        <f t="shared" si="9"/>
        <v>1325.48483021998</v>
      </c>
      <c r="K72" s="9">
        <f t="shared" si="10"/>
        <v>245.95546897143001</v>
      </c>
      <c r="L72" s="10">
        <f t="shared" si="7"/>
        <v>0.18555887126268414</v>
      </c>
      <c r="M72" s="10">
        <f t="shared" si="11"/>
        <v>0.18558202148334355</v>
      </c>
      <c r="P72" s="8">
        <f t="shared" si="12"/>
        <v>-0.34103938672025941</v>
      </c>
      <c r="U72" s="8">
        <v>34.5</v>
      </c>
      <c r="V72" s="10">
        <f t="shared" si="6"/>
        <v>0.18635857232813721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1433.5791881074999</v>
      </c>
      <c r="E73">
        <v>360.36649514008002</v>
      </c>
      <c r="F73">
        <v>145.00684540787</v>
      </c>
      <c r="G73">
        <v>120.55048488305999</v>
      </c>
      <c r="I73" s="9">
        <f t="shared" si="8"/>
        <v>239.81601025702003</v>
      </c>
      <c r="J73" s="9">
        <f t="shared" si="9"/>
        <v>1288.5723426996299</v>
      </c>
      <c r="K73" s="9">
        <f t="shared" si="10"/>
        <v>239.81601025702003</v>
      </c>
      <c r="L73" s="10">
        <f t="shared" si="7"/>
        <v>0.18610985375845668</v>
      </c>
      <c r="M73" s="10">
        <f t="shared" si="11"/>
        <v>0.18613333469655408</v>
      </c>
      <c r="P73" s="8">
        <f t="shared" si="12"/>
        <v>-4.4979987421926854E-2</v>
      </c>
      <c r="U73" s="8">
        <v>35</v>
      </c>
      <c r="V73" s="10">
        <f t="shared" si="6"/>
        <v>0.18599630448614304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1431.6369353917</v>
      </c>
      <c r="E74">
        <v>360.07261292166999</v>
      </c>
      <c r="F74">
        <v>144.58984597832</v>
      </c>
      <c r="G74">
        <v>120.56474614946001</v>
      </c>
      <c r="I74" s="9">
        <f t="shared" si="8"/>
        <v>239.50786677220998</v>
      </c>
      <c r="J74" s="9">
        <f t="shared" si="9"/>
        <v>1287.04708941338</v>
      </c>
      <c r="K74" s="9">
        <f t="shared" si="10"/>
        <v>239.50786677220998</v>
      </c>
      <c r="L74" s="10">
        <f t="shared" si="7"/>
        <v>0.18609098978761893</v>
      </c>
      <c r="M74" s="10">
        <f t="shared" si="11"/>
        <v>0.18611480144315432</v>
      </c>
      <c r="P74" s="8">
        <f t="shared" si="12"/>
        <v>-5.4932485815034682E-2</v>
      </c>
      <c r="U74" s="8">
        <v>35.5</v>
      </c>
      <c r="V74" s="10">
        <f t="shared" si="6"/>
        <v>0.18555887126268414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1430.3699256718</v>
      </c>
      <c r="E75">
        <v>359.82675814751002</v>
      </c>
      <c r="F75">
        <v>144.54420992583999</v>
      </c>
      <c r="G75">
        <v>120.63434112949</v>
      </c>
      <c r="I75" s="9">
        <f t="shared" si="8"/>
        <v>239.19241701802002</v>
      </c>
      <c r="J75" s="9">
        <f t="shared" si="9"/>
        <v>1285.82571574596</v>
      </c>
      <c r="K75" s="9">
        <f t="shared" si="10"/>
        <v>239.19241701802002</v>
      </c>
      <c r="L75" s="10">
        <f t="shared" si="7"/>
        <v>0.18602242441484748</v>
      </c>
      <c r="M75" s="10">
        <f t="shared" si="11"/>
        <v>0.18604656678782089</v>
      </c>
      <c r="P75" s="8">
        <f t="shared" si="12"/>
        <v>-9.1575016023409589E-2</v>
      </c>
      <c r="U75" s="8">
        <v>36</v>
      </c>
      <c r="V75" s="10">
        <f t="shared" si="6"/>
        <v>0.18610985375845668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1431.1023441967</v>
      </c>
      <c r="E76">
        <v>360.27501429388002</v>
      </c>
      <c r="F76">
        <v>144.24700513406</v>
      </c>
      <c r="G76">
        <v>120.56988020535999</v>
      </c>
      <c r="I76" s="9">
        <f t="shared" si="8"/>
        <v>239.70513408852003</v>
      </c>
      <c r="J76" s="9">
        <f t="shared" si="9"/>
        <v>1286.85533906264</v>
      </c>
      <c r="K76" s="9">
        <f t="shared" si="10"/>
        <v>239.70513408852003</v>
      </c>
      <c r="L76" s="10">
        <f t="shared" si="7"/>
        <v>0.18627201272143298</v>
      </c>
      <c r="M76" s="10">
        <f t="shared" si="11"/>
        <v>0.18629648581184438</v>
      </c>
      <c r="P76" s="8">
        <f t="shared" si="12"/>
        <v>4.2633405528362409E-2</v>
      </c>
      <c r="U76" s="8">
        <v>36.5</v>
      </c>
      <c r="V76" s="10">
        <f t="shared" si="6"/>
        <v>0.18609098978761893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1444.4819897084001</v>
      </c>
      <c r="E77">
        <v>363.11320754717002</v>
      </c>
      <c r="F77">
        <v>144.09241300628</v>
      </c>
      <c r="G77">
        <v>120.51283513976</v>
      </c>
      <c r="I77" s="9">
        <f t="shared" si="8"/>
        <v>242.60037240741002</v>
      </c>
      <c r="J77" s="9">
        <f t="shared" si="9"/>
        <v>1300.3895767021202</v>
      </c>
      <c r="K77" s="9">
        <f t="shared" si="10"/>
        <v>242.60037240741002</v>
      </c>
      <c r="L77" s="10">
        <f t="shared" si="7"/>
        <v>0.18655976389987813</v>
      </c>
      <c r="M77" s="10">
        <f t="shared" si="11"/>
        <v>0.18658456770772752</v>
      </c>
      <c r="P77" s="8">
        <f t="shared" si="12"/>
        <v>0.19733558026350345</v>
      </c>
      <c r="U77" s="8">
        <v>37</v>
      </c>
      <c r="V77" s="10">
        <f t="shared" si="6"/>
        <v>0.18602242441484748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1447.3716409377</v>
      </c>
      <c r="E78">
        <v>363.01429388221999</v>
      </c>
      <c r="F78">
        <v>144.53622361666001</v>
      </c>
      <c r="G78">
        <v>120.24757558471001</v>
      </c>
      <c r="I78" s="9">
        <f t="shared" si="8"/>
        <v>242.76671829750998</v>
      </c>
      <c r="J78" s="9">
        <f t="shared" si="9"/>
        <v>1302.83541732104</v>
      </c>
      <c r="K78" s="9">
        <f t="shared" si="10"/>
        <v>242.76671829750998</v>
      </c>
      <c r="L78" s="10">
        <f t="shared" si="7"/>
        <v>0.18633721118566143</v>
      </c>
      <c r="M78" s="10">
        <f t="shared" si="11"/>
        <v>0.18636234571094881</v>
      </c>
      <c r="P78" s="8">
        <f t="shared" si="12"/>
        <v>7.800067353407375E-2</v>
      </c>
      <c r="U78" s="8">
        <v>37.5</v>
      </c>
      <c r="V78" s="10">
        <f t="shared" si="6"/>
        <v>0.18627201272143298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1442.3767867352999</v>
      </c>
      <c r="E79">
        <v>362.19382504288001</v>
      </c>
      <c r="F79">
        <v>144.71477467199</v>
      </c>
      <c r="G79">
        <v>120.52538505419</v>
      </c>
      <c r="I79" s="9">
        <f t="shared" si="8"/>
        <v>241.66843998869001</v>
      </c>
      <c r="J79" s="9">
        <f t="shared" si="9"/>
        <v>1297.6620120633099</v>
      </c>
      <c r="K79" s="9">
        <f t="shared" si="10"/>
        <v>241.66843998869001</v>
      </c>
      <c r="L79" s="10">
        <f t="shared" si="7"/>
        <v>0.18623373246815794</v>
      </c>
      <c r="M79" s="10">
        <f t="shared" si="11"/>
        <v>0.18625919771088331</v>
      </c>
      <c r="P79" s="8">
        <f t="shared" si="12"/>
        <v>2.2609410987723517E-2</v>
      </c>
      <c r="U79" s="8">
        <v>38</v>
      </c>
      <c r="V79" s="10">
        <f t="shared" si="6"/>
        <v>0.18655976389987813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1442.1246426529001</v>
      </c>
      <c r="E80">
        <v>362.50657518582</v>
      </c>
      <c r="F80">
        <v>144.49629207074</v>
      </c>
      <c r="G80">
        <v>120.38961779806</v>
      </c>
      <c r="I80" s="9">
        <f t="shared" si="8"/>
        <v>242.11695738776001</v>
      </c>
      <c r="J80" s="9">
        <f t="shared" si="9"/>
        <v>1297.62835058216</v>
      </c>
      <c r="K80" s="9">
        <f t="shared" si="10"/>
        <v>242.11695738776001</v>
      </c>
      <c r="L80" s="10">
        <f t="shared" si="7"/>
        <v>0.18658420747291637</v>
      </c>
      <c r="M80" s="10">
        <f t="shared" si="11"/>
        <v>0.18661000343307974</v>
      </c>
      <c r="P80" s="8">
        <f t="shared" si="12"/>
        <v>0.21099475872694051</v>
      </c>
      <c r="U80" s="8">
        <v>38.5</v>
      </c>
      <c r="V80" s="10">
        <f t="shared" si="6"/>
        <v>0.18633721118566143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1440.6420811892999</v>
      </c>
      <c r="E81">
        <v>361.68896512292997</v>
      </c>
      <c r="F81">
        <v>144.67370222476001</v>
      </c>
      <c r="G81">
        <v>120.33941814033</v>
      </c>
      <c r="I81" s="9">
        <f t="shared" si="8"/>
        <v>241.34954698259997</v>
      </c>
      <c r="J81" s="9">
        <f t="shared" si="9"/>
        <v>1295.9683789645399</v>
      </c>
      <c r="K81" s="9">
        <f t="shared" si="10"/>
        <v>241.34954698259997</v>
      </c>
      <c r="L81" s="10">
        <f t="shared" si="7"/>
        <v>0.18623104614283476</v>
      </c>
      <c r="M81" s="10">
        <f t="shared" si="11"/>
        <v>0.18625717282043611</v>
      </c>
      <c r="P81" s="8">
        <f t="shared" si="12"/>
        <v>2.1522029377633908E-2</v>
      </c>
      <c r="U81" s="8">
        <v>39</v>
      </c>
      <c r="V81" s="10">
        <f t="shared" si="6"/>
        <v>0.18623373246815794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1469.3459119496999</v>
      </c>
      <c r="E82">
        <v>366.59748427672997</v>
      </c>
      <c r="F82">
        <v>143.93725042784001</v>
      </c>
      <c r="G82">
        <v>120.01254991443</v>
      </c>
      <c r="H82" s="13"/>
      <c r="I82" s="14">
        <f t="shared" si="8"/>
        <v>246.58493436229998</v>
      </c>
      <c r="J82" s="14">
        <f t="shared" si="9"/>
        <v>1325.4086615218598</v>
      </c>
      <c r="K82" s="9">
        <f t="shared" si="10"/>
        <v>246.58493436229998</v>
      </c>
      <c r="L82" s="15">
        <f t="shared" si="7"/>
        <v>0.1860444567181011</v>
      </c>
      <c r="M82" s="15">
        <f t="shared" si="11"/>
        <v>0.18607091411314045</v>
      </c>
      <c r="N82" s="13"/>
      <c r="O82" s="13"/>
      <c r="P82" s="13">
        <f t="shared" si="12"/>
        <v>-7.8500316676640078E-2</v>
      </c>
      <c r="U82" s="8">
        <v>39.5</v>
      </c>
      <c r="V82" s="10">
        <f t="shared" si="6"/>
        <v>0.18658420747291637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1449.3407661521001</v>
      </c>
      <c r="E83">
        <v>364.35162950257001</v>
      </c>
      <c r="F83">
        <v>144.38163148888</v>
      </c>
      <c r="G83">
        <v>120.38676554478</v>
      </c>
      <c r="I83" s="9">
        <f t="shared" si="8"/>
        <v>243.96486395778999</v>
      </c>
      <c r="J83" s="9">
        <f t="shared" si="9"/>
        <v>1304.9591346632201</v>
      </c>
      <c r="K83" s="9">
        <f t="shared" si="10"/>
        <v>243.96486395778999</v>
      </c>
      <c r="L83" s="10">
        <f t="shared" si="7"/>
        <v>0.18695211020592742</v>
      </c>
      <c r="M83" s="10">
        <f t="shared" si="11"/>
        <v>0.18697889831840475</v>
      </c>
      <c r="P83" s="8">
        <f t="shared" si="12"/>
        <v>0.40909412499742687</v>
      </c>
      <c r="U83" s="8">
        <v>40</v>
      </c>
      <c r="V83" s="10">
        <f t="shared" si="6"/>
        <v>0.18623104614283476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1431.4659805603001</v>
      </c>
      <c r="E84">
        <v>359.33619210977997</v>
      </c>
      <c r="F84">
        <v>144.32173416999001</v>
      </c>
      <c r="G84">
        <v>120.34341129492</v>
      </c>
      <c r="I84" s="9">
        <f t="shared" si="8"/>
        <v>238.99278081485997</v>
      </c>
      <c r="J84" s="9">
        <f t="shared" si="9"/>
        <v>1287.1442463903099</v>
      </c>
      <c r="K84" s="9">
        <f t="shared" si="10"/>
        <v>238.99278081485997</v>
      </c>
      <c r="L84" s="10">
        <f t="shared" si="7"/>
        <v>0.18567676582099912</v>
      </c>
      <c r="M84" s="10">
        <f t="shared" si="11"/>
        <v>0.18570388465091445</v>
      </c>
      <c r="P84" s="8">
        <f t="shared" si="12"/>
        <v>-0.27559793651896392</v>
      </c>
      <c r="U84" s="8">
        <v>150.5</v>
      </c>
      <c r="V84" s="10">
        <f>L302</f>
        <v>0.18290712268334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1420.9582618638999</v>
      </c>
      <c r="E85">
        <v>358.44882790166002</v>
      </c>
      <c r="F85">
        <v>144.67084997148001</v>
      </c>
      <c r="G85">
        <v>120.32800912721</v>
      </c>
      <c r="I85" s="9">
        <f t="shared" si="8"/>
        <v>238.12081877445002</v>
      </c>
      <c r="J85" s="9">
        <f t="shared" si="9"/>
        <v>1276.2874118924199</v>
      </c>
      <c r="K85" s="9">
        <f t="shared" si="10"/>
        <v>238.12081877445002</v>
      </c>
      <c r="L85" s="10">
        <f t="shared" si="7"/>
        <v>0.18657303719808338</v>
      </c>
      <c r="M85" s="10">
        <f t="shared" si="11"/>
        <v>0.18660048674543669</v>
      </c>
      <c r="P85" s="8">
        <f t="shared" si="12"/>
        <v>0.20588422489717612</v>
      </c>
      <c r="U85" s="8">
        <v>151</v>
      </c>
      <c r="V85" s="10">
        <f t="shared" ref="V85:V103" si="13">L303</f>
        <v>0.18272293946316279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1469.6546598056</v>
      </c>
      <c r="E86">
        <v>366.23270440252003</v>
      </c>
      <c r="F86">
        <v>143.92470051340999</v>
      </c>
      <c r="G86">
        <v>119.8676554478</v>
      </c>
      <c r="I86" s="9">
        <f t="shared" si="8"/>
        <v>246.36504895472001</v>
      </c>
      <c r="J86" s="9">
        <f t="shared" si="9"/>
        <v>1325.72995929219</v>
      </c>
      <c r="K86" s="9">
        <f t="shared" si="10"/>
        <v>246.36504895472001</v>
      </c>
      <c r="L86" s="10">
        <f t="shared" si="7"/>
        <v>0.18583350796888895</v>
      </c>
      <c r="M86" s="10">
        <f t="shared" si="11"/>
        <v>0.18586128823368026</v>
      </c>
      <c r="P86" s="8">
        <f t="shared" si="12"/>
        <v>-0.19107101235969279</v>
      </c>
      <c r="U86" s="8">
        <v>151.5</v>
      </c>
      <c r="V86" s="10">
        <f t="shared" si="13"/>
        <v>0.18331553495372674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1435.7467124070999</v>
      </c>
      <c r="E87">
        <v>360.95254431104001</v>
      </c>
      <c r="F87">
        <v>143.74957216201</v>
      </c>
      <c r="G87">
        <v>119.82658300057</v>
      </c>
      <c r="I87" s="9">
        <f t="shared" si="8"/>
        <v>241.12596131047002</v>
      </c>
      <c r="J87" s="9">
        <f t="shared" si="9"/>
        <v>1291.9971402450899</v>
      </c>
      <c r="K87" s="9">
        <f t="shared" si="10"/>
        <v>241.12596131047002</v>
      </c>
      <c r="L87" s="10">
        <f t="shared" si="7"/>
        <v>0.1866304141081371</v>
      </c>
      <c r="M87" s="10">
        <f t="shared" si="11"/>
        <v>0.1866585250903664</v>
      </c>
      <c r="P87" s="8">
        <f t="shared" si="12"/>
        <v>0.23705125867112745</v>
      </c>
      <c r="U87" s="8">
        <v>152</v>
      </c>
      <c r="V87" s="10">
        <f t="shared" si="13"/>
        <v>0.18197796849477837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1425.6889651229001</v>
      </c>
      <c r="E88">
        <v>359.28301886793002</v>
      </c>
      <c r="F88">
        <v>144.08499714774999</v>
      </c>
      <c r="G88">
        <v>120.42612664005</v>
      </c>
      <c r="I88" s="9">
        <f t="shared" si="8"/>
        <v>238.85689222788002</v>
      </c>
      <c r="J88" s="9">
        <f t="shared" si="9"/>
        <v>1281.60396797515</v>
      </c>
      <c r="K88" s="9">
        <f t="shared" si="10"/>
        <v>238.85689222788002</v>
      </c>
      <c r="L88" s="10">
        <f t="shared" si="7"/>
        <v>0.18637340254591925</v>
      </c>
      <c r="M88" s="10">
        <f t="shared" si="11"/>
        <v>0.18640184424558653</v>
      </c>
      <c r="P88" s="8">
        <f t="shared" si="12"/>
        <v>9.9211687813796398E-2</v>
      </c>
      <c r="U88" s="8">
        <v>152.5</v>
      </c>
      <c r="V88" s="10">
        <f t="shared" si="13"/>
        <v>0.18149082673798012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1471.1349342481001</v>
      </c>
      <c r="E89">
        <v>368.77530017152998</v>
      </c>
      <c r="F89">
        <v>144.15972618369</v>
      </c>
      <c r="G89">
        <v>119.99885909869</v>
      </c>
      <c r="I89" s="9">
        <f t="shared" si="8"/>
        <v>248.77644107283999</v>
      </c>
      <c r="J89" s="9">
        <f t="shared" si="9"/>
        <v>1326.97520806441</v>
      </c>
      <c r="K89" s="9">
        <f t="shared" si="10"/>
        <v>248.77644107283999</v>
      </c>
      <c r="L89" s="10">
        <f t="shared" si="7"/>
        <v>0.18747632929458968</v>
      </c>
      <c r="M89" s="10">
        <f t="shared" si="11"/>
        <v>0.18750510171169496</v>
      </c>
      <c r="P89" s="8">
        <f t="shared" si="12"/>
        <v>0.69166935953430131</v>
      </c>
      <c r="U89" s="8">
        <v>153</v>
      </c>
      <c r="V89" s="10">
        <f t="shared" si="13"/>
        <v>0.18214512656013285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1425.2001143511</v>
      </c>
      <c r="E90">
        <v>360.81017724413999</v>
      </c>
      <c r="F90">
        <v>143.98859098688001</v>
      </c>
      <c r="G90">
        <v>119.66229321164001</v>
      </c>
      <c r="I90" s="9">
        <f t="shared" si="8"/>
        <v>241.14788403249997</v>
      </c>
      <c r="J90" s="9">
        <f t="shared" si="9"/>
        <v>1281.2115233642198</v>
      </c>
      <c r="K90" s="9">
        <f t="shared" si="10"/>
        <v>241.14788403249997</v>
      </c>
      <c r="L90" s="10">
        <f t="shared" si="7"/>
        <v>0.18821863496769925</v>
      </c>
      <c r="M90" s="10">
        <f t="shared" si="11"/>
        <v>0.18824773810224252</v>
      </c>
      <c r="P90" s="8">
        <f t="shared" si="12"/>
        <v>1.0904707639160822</v>
      </c>
      <c r="U90" s="8">
        <v>153.5</v>
      </c>
      <c r="V90" s="10">
        <f t="shared" si="13"/>
        <v>0.18223507695565808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1432.3990851915</v>
      </c>
      <c r="E91">
        <v>362.75357347056001</v>
      </c>
      <c r="F91">
        <v>143.85852823731</v>
      </c>
      <c r="G91">
        <v>119.98459783229001</v>
      </c>
      <c r="I91" s="9">
        <f t="shared" si="8"/>
        <v>242.76897563827001</v>
      </c>
      <c r="J91" s="9">
        <f t="shared" si="9"/>
        <v>1288.5405569541899</v>
      </c>
      <c r="K91" s="9">
        <f t="shared" si="10"/>
        <v>242.76897563827001</v>
      </c>
      <c r="L91" s="10">
        <f t="shared" si="7"/>
        <v>0.18840615790326334</v>
      </c>
      <c r="M91" s="10">
        <f t="shared" si="11"/>
        <v>0.1884355917552446</v>
      </c>
      <c r="P91" s="8">
        <f t="shared" si="12"/>
        <v>1.1913496079762853</v>
      </c>
      <c r="U91" s="8">
        <v>154</v>
      </c>
      <c r="V91" s="10">
        <f t="shared" si="13"/>
        <v>0.19066153334541006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1418.2635791881</v>
      </c>
      <c r="E92">
        <v>359.67638650658</v>
      </c>
      <c r="F92">
        <v>143.61266400456</v>
      </c>
      <c r="G92">
        <v>120.26868225899</v>
      </c>
      <c r="I92" s="9">
        <f t="shared" si="8"/>
        <v>239.40770424759</v>
      </c>
      <c r="J92" s="9">
        <f t="shared" si="9"/>
        <v>1274.6509151835401</v>
      </c>
      <c r="K92" s="9">
        <f t="shared" si="10"/>
        <v>239.40770424759</v>
      </c>
      <c r="L92" s="10">
        <f t="shared" si="7"/>
        <v>0.1878221726401986</v>
      </c>
      <c r="M92" s="10">
        <f t="shared" si="11"/>
        <v>0.18785193720961785</v>
      </c>
      <c r="P92" s="8">
        <f t="shared" si="12"/>
        <v>0.87792266656537377</v>
      </c>
      <c r="U92" s="8">
        <v>154.5</v>
      </c>
      <c r="V92" s="10">
        <f t="shared" si="13"/>
        <v>0.19427940900149704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1403.1858204688001</v>
      </c>
      <c r="E93">
        <v>358.04516866781</v>
      </c>
      <c r="F93">
        <v>144.13348545350999</v>
      </c>
      <c r="G93">
        <v>120.20250998289001</v>
      </c>
      <c r="I93" s="9">
        <f t="shared" si="8"/>
        <v>237.84265868492</v>
      </c>
      <c r="J93" s="9">
        <f t="shared" si="9"/>
        <v>1259.0523350152901</v>
      </c>
      <c r="K93" s="9">
        <f t="shared" si="10"/>
        <v>237.84265868492</v>
      </c>
      <c r="L93" s="10">
        <f t="shared" si="7"/>
        <v>0.18890609394885211</v>
      </c>
      <c r="M93" s="10">
        <f t="shared" si="11"/>
        <v>0.18893618923570935</v>
      </c>
      <c r="P93" s="8">
        <f t="shared" si="12"/>
        <v>1.4601742720788937</v>
      </c>
      <c r="U93" s="8">
        <v>155</v>
      </c>
      <c r="V93" s="10">
        <f t="shared" si="13"/>
        <v>0.19230838335097741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1414.1177815895001</v>
      </c>
      <c r="E94">
        <v>362.65809033734001</v>
      </c>
      <c r="F94">
        <v>143.93097547062001</v>
      </c>
      <c r="G94">
        <v>120.02509982887</v>
      </c>
      <c r="I94" s="9">
        <f t="shared" si="8"/>
        <v>242.63299050847002</v>
      </c>
      <c r="J94" s="9">
        <f t="shared" si="9"/>
        <v>1270.18680611888</v>
      </c>
      <c r="K94" s="9">
        <f t="shared" si="10"/>
        <v>242.63299050847002</v>
      </c>
      <c r="L94" s="10">
        <f t="shared" si="7"/>
        <v>0.19102150119937664</v>
      </c>
      <c r="M94" s="10">
        <f t="shared" si="11"/>
        <v>0.19105192720367187</v>
      </c>
      <c r="P94" s="8">
        <f t="shared" si="12"/>
        <v>2.5963416935342205</v>
      </c>
      <c r="U94" s="8">
        <v>155.5</v>
      </c>
      <c r="V94" s="10">
        <f t="shared" si="13"/>
        <v>0.19185007280830019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1485.453401944</v>
      </c>
      <c r="E95">
        <v>435.63350485991998</v>
      </c>
      <c r="F95">
        <v>144.23046206503</v>
      </c>
      <c r="G95">
        <v>120.05248146034999</v>
      </c>
      <c r="I95" s="9">
        <f t="shared" si="8"/>
        <v>315.58102339956997</v>
      </c>
      <c r="J95" s="9">
        <f t="shared" si="9"/>
        <v>1341.22293987897</v>
      </c>
      <c r="K95" s="9">
        <f t="shared" si="10"/>
        <v>315.58102339956997</v>
      </c>
      <c r="L95" s="10">
        <f t="shared" si="7"/>
        <v>0.23529348776874301</v>
      </c>
      <c r="M95" s="10">
        <f t="shared" si="11"/>
        <v>0.23532424449047623</v>
      </c>
      <c r="P95" s="8">
        <f t="shared" si="12"/>
        <v>26.370913656262086</v>
      </c>
      <c r="U95" s="8">
        <v>156</v>
      </c>
      <c r="V95" s="10">
        <f t="shared" si="13"/>
        <v>0.19366373517618518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1531.4968553459</v>
      </c>
      <c r="E96">
        <v>529.02001143510995</v>
      </c>
      <c r="F96">
        <v>144.29435253851</v>
      </c>
      <c r="G96">
        <v>120.46263548203</v>
      </c>
      <c r="I96" s="9">
        <f t="shared" si="8"/>
        <v>408.55737595307994</v>
      </c>
      <c r="J96" s="9">
        <f t="shared" si="9"/>
        <v>1387.2025028073899</v>
      </c>
      <c r="K96" s="9">
        <f t="shared" si="10"/>
        <v>408.55737595307994</v>
      </c>
      <c r="L96" s="10">
        <f t="shared" si="7"/>
        <v>0.2945189149574417</v>
      </c>
      <c r="M96" s="10">
        <f t="shared" si="11"/>
        <v>0.29455000239661294</v>
      </c>
      <c r="P96" s="8">
        <f t="shared" si="12"/>
        <v>58.175597252668929</v>
      </c>
      <c r="U96" s="8">
        <v>156.5</v>
      </c>
      <c r="V96" s="10">
        <f t="shared" si="13"/>
        <v>0.19370236100996732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1549.8833619211</v>
      </c>
      <c r="E97">
        <v>564.03144654087998</v>
      </c>
      <c r="F97">
        <v>143.97718197376</v>
      </c>
      <c r="G97">
        <v>120.60068454079</v>
      </c>
      <c r="I97" s="9">
        <f t="shared" si="8"/>
        <v>443.43076200009</v>
      </c>
      <c r="J97" s="9">
        <f t="shared" si="9"/>
        <v>1405.90617994734</v>
      </c>
      <c r="K97" s="9">
        <f t="shared" si="10"/>
        <v>443.43076200009</v>
      </c>
      <c r="L97" s="10">
        <f t="shared" si="7"/>
        <v>0.31540565673927068</v>
      </c>
      <c r="M97" s="10">
        <f t="shared" si="11"/>
        <v>0.31543707489587991</v>
      </c>
      <c r="P97" s="8">
        <f t="shared" si="12"/>
        <v>69.392114450257452</v>
      </c>
      <c r="U97" s="8">
        <v>157</v>
      </c>
      <c r="V97" s="10">
        <f t="shared" si="13"/>
        <v>0.19324315649561549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1568.4396798170001</v>
      </c>
      <c r="E98">
        <v>597.02630074327999</v>
      </c>
      <c r="F98">
        <v>144.04449515117</v>
      </c>
      <c r="G98">
        <v>120.49914432401999</v>
      </c>
      <c r="I98" s="9">
        <f t="shared" si="8"/>
        <v>476.52715641926</v>
      </c>
      <c r="J98" s="9">
        <f t="shared" si="9"/>
        <v>1424.3951846658301</v>
      </c>
      <c r="K98" s="9">
        <f t="shared" si="10"/>
        <v>476.52715641926</v>
      </c>
      <c r="L98" s="10">
        <f t="shared" si="7"/>
        <v>0.33454701444462936</v>
      </c>
      <c r="M98" s="10">
        <f t="shared" si="11"/>
        <v>0.33457876331867659</v>
      </c>
      <c r="P98" s="8">
        <f t="shared" si="12"/>
        <v>79.671347090097953</v>
      </c>
      <c r="U98" s="8">
        <v>157.5</v>
      </c>
      <c r="V98" s="10">
        <f t="shared" si="13"/>
        <v>0.18578051996038616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1587.6689536878</v>
      </c>
      <c r="E99">
        <v>629.59805603202005</v>
      </c>
      <c r="F99">
        <v>144.09469480889999</v>
      </c>
      <c r="G99">
        <v>120.43297204792</v>
      </c>
      <c r="I99" s="9">
        <f t="shared" si="8"/>
        <v>509.16508398410008</v>
      </c>
      <c r="J99" s="9">
        <f t="shared" si="9"/>
        <v>1443.5742588789001</v>
      </c>
      <c r="K99" s="9">
        <f t="shared" si="10"/>
        <v>509.16508398410008</v>
      </c>
      <c r="L99" s="10">
        <f t="shared" si="7"/>
        <v>0.3527113903925696</v>
      </c>
      <c r="M99" s="10">
        <f t="shared" si="11"/>
        <v>0.35274346998405481</v>
      </c>
      <c r="P99" s="8">
        <f t="shared" si="12"/>
        <v>89.42593307664616</v>
      </c>
      <c r="U99" s="8">
        <v>158</v>
      </c>
      <c r="V99" s="10">
        <f t="shared" si="13"/>
        <v>0.18649398314415147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1606.303030303</v>
      </c>
      <c r="E100">
        <v>667.23956546598004</v>
      </c>
      <c r="F100">
        <v>144.07529948659001</v>
      </c>
      <c r="G100">
        <v>120.50941243582</v>
      </c>
      <c r="I100" s="9">
        <f t="shared" si="8"/>
        <v>546.73015303016007</v>
      </c>
      <c r="J100" s="9">
        <f t="shared" si="9"/>
        <v>1462.22773081641</v>
      </c>
      <c r="K100" s="9">
        <f t="shared" si="10"/>
        <v>546.73015303016007</v>
      </c>
      <c r="L100" s="10">
        <f t="shared" si="7"/>
        <v>0.37390219150398862</v>
      </c>
      <c r="M100" s="10">
        <f t="shared" si="11"/>
        <v>0.37393460181291183</v>
      </c>
      <c r="P100" s="8">
        <f t="shared" si="12"/>
        <v>100.80573245269954</v>
      </c>
      <c r="U100" s="8">
        <v>158.5</v>
      </c>
      <c r="V100" s="10">
        <f t="shared" si="13"/>
        <v>0.18247448867969107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1620.8038879359999</v>
      </c>
      <c r="E101">
        <v>698.02229845626005</v>
      </c>
      <c r="F101">
        <v>143.52538505419</v>
      </c>
      <c r="G101">
        <v>120.64917284655</v>
      </c>
      <c r="I101" s="9">
        <f t="shared" si="8"/>
        <v>577.37312560971009</v>
      </c>
      <c r="J101" s="9">
        <f t="shared" si="9"/>
        <v>1477.2785028818098</v>
      </c>
      <c r="K101" s="9">
        <f t="shared" si="10"/>
        <v>577.37312560971009</v>
      </c>
      <c r="L101" s="10">
        <f t="shared" si="7"/>
        <v>0.39083566469247066</v>
      </c>
      <c r="M101" s="10">
        <f t="shared" si="11"/>
        <v>0.39086840571883186</v>
      </c>
      <c r="P101" s="8">
        <f t="shared" si="12"/>
        <v>109.89931427169356</v>
      </c>
      <c r="U101" s="8">
        <v>159</v>
      </c>
      <c r="V101" s="10">
        <f t="shared" si="13"/>
        <v>0.18242399203137244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1610.1755288735999</v>
      </c>
      <c r="E102">
        <v>714.02458547742003</v>
      </c>
      <c r="F102">
        <v>144.11751283513999</v>
      </c>
      <c r="G102">
        <v>120.41985168283</v>
      </c>
      <c r="I102" s="9">
        <f t="shared" si="8"/>
        <v>593.60473379459006</v>
      </c>
      <c r="J102" s="9">
        <f t="shared" si="9"/>
        <v>1466.05801603846</v>
      </c>
      <c r="K102" s="9">
        <f t="shared" si="10"/>
        <v>593.60473379459006</v>
      </c>
      <c r="L102" s="10">
        <f t="shared" si="7"/>
        <v>0.40489852877624294</v>
      </c>
      <c r="M102" s="10">
        <f t="shared" si="11"/>
        <v>0.40493160052004212</v>
      </c>
      <c r="P102" s="8">
        <f t="shared" si="12"/>
        <v>117.45135711285035</v>
      </c>
      <c r="U102" s="8">
        <v>159.5</v>
      </c>
      <c r="V102" s="10">
        <f t="shared" si="13"/>
        <v>0.17713075825249208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1616.5980560319999</v>
      </c>
      <c r="E103">
        <v>734.99142367066997</v>
      </c>
      <c r="F103">
        <v>144.22989161437999</v>
      </c>
      <c r="G103">
        <v>120.69994295492999</v>
      </c>
      <c r="I103" s="9">
        <f t="shared" si="8"/>
        <v>614.29148071574002</v>
      </c>
      <c r="J103" s="9">
        <f t="shared" si="9"/>
        <v>1472.3681644176199</v>
      </c>
      <c r="K103" s="9">
        <f t="shared" si="10"/>
        <v>614.29148071574002</v>
      </c>
      <c r="L103" s="10">
        <f t="shared" si="7"/>
        <v>0.41721323209858774</v>
      </c>
      <c r="M103" s="10">
        <f t="shared" si="11"/>
        <v>0.41724663455982491</v>
      </c>
      <c r="P103" s="8">
        <f t="shared" si="12"/>
        <v>124.06462429526472</v>
      </c>
      <c r="U103" s="8">
        <v>160</v>
      </c>
      <c r="V103" s="10">
        <f t="shared" si="13"/>
        <v>0.1812615327600956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1634.0388793596001</v>
      </c>
      <c r="E104">
        <v>755.00400228701994</v>
      </c>
      <c r="F104">
        <v>143.71591557330001</v>
      </c>
      <c r="G104">
        <v>120.35367940673</v>
      </c>
      <c r="I104" s="9">
        <f t="shared" si="8"/>
        <v>634.65032288028999</v>
      </c>
      <c r="J104" s="9">
        <f t="shared" si="9"/>
        <v>1490.3229637863001</v>
      </c>
      <c r="K104" s="9">
        <f t="shared" si="10"/>
        <v>634.65032288028999</v>
      </c>
      <c r="L104" s="10">
        <f t="shared" si="7"/>
        <v>0.42584750976922714</v>
      </c>
      <c r="M104" s="10">
        <f t="shared" si="11"/>
        <v>0.42588124294790231</v>
      </c>
      <c r="P104" s="8">
        <f t="shared" si="12"/>
        <v>128.70147483919379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1637.7438536307</v>
      </c>
      <c r="E105">
        <v>766.55688965122999</v>
      </c>
      <c r="F105">
        <v>143.70792926412</v>
      </c>
      <c r="G105">
        <v>120.03707929264</v>
      </c>
      <c r="I105" s="9">
        <f t="shared" si="8"/>
        <v>646.51981035859001</v>
      </c>
      <c r="J105" s="9">
        <f t="shared" si="9"/>
        <v>1494.03592436658</v>
      </c>
      <c r="K105" s="9">
        <f t="shared" si="10"/>
        <v>646.51981035859001</v>
      </c>
      <c r="L105" s="10">
        <f t="shared" si="7"/>
        <v>0.43273377822738246</v>
      </c>
      <c r="M105" s="10">
        <f t="shared" si="11"/>
        <v>0.43276784212349562</v>
      </c>
      <c r="P105" s="8">
        <f t="shared" si="12"/>
        <v>132.39963110731861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1653.9794050343</v>
      </c>
      <c r="E106">
        <v>775.01945080092003</v>
      </c>
      <c r="F106">
        <v>143.64689104393</v>
      </c>
      <c r="G106">
        <v>120.24871648602</v>
      </c>
      <c r="I106" s="9">
        <f t="shared" si="8"/>
        <v>654.77073431489998</v>
      </c>
      <c r="J106" s="9">
        <f t="shared" si="9"/>
        <v>1510.33251399037</v>
      </c>
      <c r="K106" s="9">
        <f t="shared" si="10"/>
        <v>654.77073431489998</v>
      </c>
      <c r="L106" s="10">
        <f t="shared" si="7"/>
        <v>0.43352753665149185</v>
      </c>
      <c r="M106" s="10">
        <f t="shared" si="11"/>
        <v>0.433561931265043</v>
      </c>
      <c r="P106" s="8">
        <f t="shared" si="12"/>
        <v>132.82606303131834</v>
      </c>
      <c r="X106" s="8">
        <v>-13</v>
      </c>
    </row>
    <row r="107" spans="1:25" x14ac:dyDescent="0.2">
      <c r="A107" s="8">
        <v>52.5</v>
      </c>
      <c r="B107" s="8">
        <v>105</v>
      </c>
      <c r="D107">
        <v>1656.6870709381999</v>
      </c>
      <c r="E107">
        <v>778.10354691075997</v>
      </c>
      <c r="F107">
        <v>144.23958927552999</v>
      </c>
      <c r="G107">
        <v>120.04734740444999</v>
      </c>
      <c r="I107" s="9">
        <f t="shared" si="8"/>
        <v>658.05619950631001</v>
      </c>
      <c r="J107" s="9">
        <f t="shared" si="9"/>
        <v>1512.4474816626698</v>
      </c>
      <c r="K107" s="9">
        <f t="shared" si="10"/>
        <v>658.05619950631001</v>
      </c>
      <c r="L107" s="10">
        <f t="shared" si="7"/>
        <v>0.4350935867094658</v>
      </c>
      <c r="M107" s="10">
        <f t="shared" si="11"/>
        <v>0.43512831204045493</v>
      </c>
      <c r="P107" s="8">
        <f t="shared" si="12"/>
        <v>133.66722145148452</v>
      </c>
      <c r="X107" s="8">
        <v>-13</v>
      </c>
    </row>
    <row r="108" spans="1:25" x14ac:dyDescent="0.2">
      <c r="A108" s="8">
        <v>53</v>
      </c>
      <c r="B108" s="8">
        <v>106</v>
      </c>
      <c r="D108">
        <v>1650.4016018307</v>
      </c>
      <c r="E108">
        <v>767.13729977116998</v>
      </c>
      <c r="F108">
        <v>143.68339988591001</v>
      </c>
      <c r="G108">
        <v>120.54078722190999</v>
      </c>
      <c r="I108" s="9">
        <f t="shared" si="8"/>
        <v>646.59651254925996</v>
      </c>
      <c r="J108" s="9">
        <f t="shared" si="9"/>
        <v>1506.7182019447901</v>
      </c>
      <c r="K108" s="9">
        <f t="shared" si="10"/>
        <v>646.59651254925996</v>
      </c>
      <c r="L108" s="10">
        <f t="shared" si="7"/>
        <v>0.42914229861607051</v>
      </c>
      <c r="M108" s="10">
        <f t="shared" si="11"/>
        <v>0.42917735466449763</v>
      </c>
      <c r="P108" s="8">
        <f t="shared" si="12"/>
        <v>130.4715119641026</v>
      </c>
      <c r="X108" s="8">
        <v>-13</v>
      </c>
    </row>
    <row r="109" spans="1:25" x14ac:dyDescent="0.2">
      <c r="A109" s="8">
        <v>53.5</v>
      </c>
      <c r="B109" s="8">
        <v>107</v>
      </c>
      <c r="D109">
        <v>1639.1659038902001</v>
      </c>
      <c r="E109">
        <v>757.14302059497004</v>
      </c>
      <c r="F109">
        <v>143.77638334284001</v>
      </c>
      <c r="G109">
        <v>120.25042783799</v>
      </c>
      <c r="I109" s="9">
        <f t="shared" si="8"/>
        <v>636.89259275698009</v>
      </c>
      <c r="J109" s="9">
        <f t="shared" si="9"/>
        <v>1495.38952054736</v>
      </c>
      <c r="K109" s="9">
        <f t="shared" si="10"/>
        <v>636.89259275698009</v>
      </c>
      <c r="L109" s="10">
        <f t="shared" si="7"/>
        <v>0.42590414337252891</v>
      </c>
      <c r="M109" s="10">
        <f t="shared" si="11"/>
        <v>0.42593953013839403</v>
      </c>
      <c r="P109" s="8">
        <f t="shared" si="12"/>
        <v>128.73277550493199</v>
      </c>
      <c r="X109" s="8">
        <v>-13</v>
      </c>
    </row>
    <row r="110" spans="1:25" x14ac:dyDescent="0.2">
      <c r="A110" s="8">
        <v>54</v>
      </c>
      <c r="B110" s="8">
        <v>108</v>
      </c>
      <c r="D110">
        <v>1634.7505720823999</v>
      </c>
      <c r="E110">
        <v>749.25171624714005</v>
      </c>
      <c r="F110">
        <v>143.62977752424001</v>
      </c>
      <c r="G110">
        <v>120.37421563034999</v>
      </c>
      <c r="I110" s="9">
        <f t="shared" si="8"/>
        <v>628.87750061679003</v>
      </c>
      <c r="J110" s="9">
        <f t="shared" si="9"/>
        <v>1491.12079455816</v>
      </c>
      <c r="K110" s="9">
        <f t="shared" si="10"/>
        <v>628.87750061679003</v>
      </c>
      <c r="L110" s="10">
        <f t="shared" si="7"/>
        <v>0.4217481929779775</v>
      </c>
      <c r="M110" s="10">
        <f t="shared" si="11"/>
        <v>0.42178391046128061</v>
      </c>
      <c r="P110" s="8">
        <f t="shared" si="12"/>
        <v>126.50117605141283</v>
      </c>
      <c r="X110" s="8">
        <v>-13</v>
      </c>
    </row>
    <row r="111" spans="1:25" x14ac:dyDescent="0.2">
      <c r="A111" s="8">
        <v>54.5</v>
      </c>
      <c r="B111" s="8">
        <v>109</v>
      </c>
      <c r="D111">
        <v>1627.6104118993001</v>
      </c>
      <c r="E111">
        <v>738.52574370708999</v>
      </c>
      <c r="F111">
        <v>143.74101540217001</v>
      </c>
      <c r="G111">
        <v>120.47974900171</v>
      </c>
      <c r="I111" s="9">
        <f t="shared" si="8"/>
        <v>618.04599470537994</v>
      </c>
      <c r="J111" s="9">
        <f t="shared" si="9"/>
        <v>1483.8693964971301</v>
      </c>
      <c r="K111" s="9">
        <f t="shared" si="10"/>
        <v>618.04599470537994</v>
      </c>
      <c r="L111" s="10">
        <f t="shared" si="7"/>
        <v>0.41650969833622775</v>
      </c>
      <c r="M111" s="10">
        <f t="shared" si="11"/>
        <v>0.41654574653696885</v>
      </c>
      <c r="P111" s="8">
        <f t="shared" si="12"/>
        <v>123.68824208266768</v>
      </c>
      <c r="X111" s="8">
        <v>-13</v>
      </c>
    </row>
    <row r="112" spans="1:25" x14ac:dyDescent="0.2">
      <c r="A112" s="8">
        <v>55</v>
      </c>
      <c r="B112" s="8">
        <v>110</v>
      </c>
      <c r="D112">
        <v>1618.3621281465</v>
      </c>
      <c r="E112">
        <v>722.39931350114</v>
      </c>
      <c r="F112">
        <v>143.43069024529001</v>
      </c>
      <c r="G112">
        <v>120.00741585853</v>
      </c>
      <c r="I112" s="9">
        <f t="shared" si="8"/>
        <v>602.39189764261005</v>
      </c>
      <c r="J112" s="9">
        <f t="shared" si="9"/>
        <v>1474.9314379012101</v>
      </c>
      <c r="K112" s="9">
        <f t="shared" si="10"/>
        <v>602.39189764261005</v>
      </c>
      <c r="L112" s="10">
        <f t="shared" si="7"/>
        <v>0.40842027104649581</v>
      </c>
      <c r="M112" s="10">
        <f t="shared" si="11"/>
        <v>0.4084566499646749</v>
      </c>
      <c r="P112" s="8">
        <f t="shared" si="12"/>
        <v>119.34433554338251</v>
      </c>
      <c r="X112" s="8">
        <v>-13</v>
      </c>
    </row>
    <row r="113" spans="1:24" x14ac:dyDescent="0.2">
      <c r="A113" s="8">
        <v>55.5</v>
      </c>
      <c r="B113" s="8">
        <v>111</v>
      </c>
      <c r="D113">
        <v>1647.9742562929</v>
      </c>
      <c r="E113">
        <v>723.69393592677</v>
      </c>
      <c r="F113">
        <v>143.69309754706001</v>
      </c>
      <c r="G113">
        <v>120.10781517399001</v>
      </c>
      <c r="I113" s="9">
        <f t="shared" si="8"/>
        <v>603.58612075277995</v>
      </c>
      <c r="J113" s="9">
        <f t="shared" si="9"/>
        <v>1504.28115874584</v>
      </c>
      <c r="K113" s="9">
        <f t="shared" si="10"/>
        <v>603.58612075277995</v>
      </c>
      <c r="L113" s="10">
        <f t="shared" si="7"/>
        <v>0.40124554990504968</v>
      </c>
      <c r="M113" s="10">
        <f t="shared" si="11"/>
        <v>0.40128225954066676</v>
      </c>
      <c r="P113" s="8">
        <f t="shared" si="12"/>
        <v>115.49163318042926</v>
      </c>
      <c r="X113" s="8">
        <v>-13</v>
      </c>
    </row>
    <row r="114" spans="1:24" x14ac:dyDescent="0.2">
      <c r="A114" s="8">
        <v>56</v>
      </c>
      <c r="B114" s="8">
        <v>112</v>
      </c>
      <c r="D114">
        <v>1747.0955377574001</v>
      </c>
      <c r="E114">
        <v>744.76773455377997</v>
      </c>
      <c r="F114">
        <v>142.76326297775</v>
      </c>
      <c r="G114">
        <v>119.73017683969999</v>
      </c>
      <c r="I114" s="9">
        <f t="shared" si="8"/>
        <v>625.03755771407998</v>
      </c>
      <c r="J114" s="9">
        <f t="shared" si="9"/>
        <v>1604.3322747796501</v>
      </c>
      <c r="K114" s="9">
        <f t="shared" si="10"/>
        <v>625.03755771407998</v>
      </c>
      <c r="L114" s="10">
        <f t="shared" si="7"/>
        <v>0.38959358204018357</v>
      </c>
      <c r="M114" s="10">
        <f t="shared" si="11"/>
        <v>0.38963062239323865</v>
      </c>
      <c r="P114" s="8">
        <f t="shared" si="12"/>
        <v>109.23461518766003</v>
      </c>
      <c r="X114" s="8">
        <v>-13</v>
      </c>
    </row>
    <row r="115" spans="1:24" x14ac:dyDescent="0.2">
      <c r="A115" s="8">
        <v>56.5</v>
      </c>
      <c r="B115" s="8">
        <v>113</v>
      </c>
      <c r="D115">
        <v>1756.8695652173999</v>
      </c>
      <c r="E115">
        <v>732.86098398168997</v>
      </c>
      <c r="F115">
        <v>142.39247005134001</v>
      </c>
      <c r="G115">
        <v>119.49001711352</v>
      </c>
      <c r="I115" s="9">
        <f t="shared" si="8"/>
        <v>613.37096686816994</v>
      </c>
      <c r="J115" s="9">
        <f t="shared" si="9"/>
        <v>1614.4770951660598</v>
      </c>
      <c r="K115" s="9">
        <f t="shared" si="10"/>
        <v>613.37096686816994</v>
      </c>
      <c r="L115" s="10">
        <f t="shared" si="7"/>
        <v>0.37991927460889779</v>
      </c>
      <c r="M115" s="10">
        <f t="shared" si="11"/>
        <v>0.37995664567939086</v>
      </c>
      <c r="P115" s="8">
        <f t="shared" si="12"/>
        <v>104.03961592753141</v>
      </c>
      <c r="X115" s="8">
        <v>-13</v>
      </c>
    </row>
    <row r="116" spans="1:24" x14ac:dyDescent="0.2">
      <c r="A116" s="8">
        <v>57</v>
      </c>
      <c r="B116" s="8">
        <v>114</v>
      </c>
      <c r="D116">
        <v>1731.7202517163</v>
      </c>
      <c r="E116">
        <v>712.89931350114</v>
      </c>
      <c r="F116">
        <v>142.80832857958001</v>
      </c>
      <c r="G116">
        <v>119.50656018254</v>
      </c>
      <c r="I116" s="9">
        <f t="shared" si="8"/>
        <v>593.39275331859994</v>
      </c>
      <c r="J116" s="9">
        <f t="shared" si="9"/>
        <v>1588.9119231367199</v>
      </c>
      <c r="K116" s="9">
        <f t="shared" si="10"/>
        <v>593.39275331859994</v>
      </c>
      <c r="L116" s="10">
        <f t="shared" si="7"/>
        <v>0.37345855656187982</v>
      </c>
      <c r="M116" s="10">
        <f t="shared" si="11"/>
        <v>0.37349625834981087</v>
      </c>
      <c r="P116" s="8">
        <f t="shared" si="12"/>
        <v>100.5703386706128</v>
      </c>
      <c r="X116" s="8">
        <v>-13</v>
      </c>
    </row>
    <row r="117" spans="1:24" x14ac:dyDescent="0.2">
      <c r="A117" s="8">
        <v>57.5</v>
      </c>
      <c r="B117" s="8">
        <v>115</v>
      </c>
      <c r="D117">
        <v>1748.3461098398</v>
      </c>
      <c r="E117">
        <v>708.69393592677</v>
      </c>
      <c r="F117">
        <v>142.48659440957999</v>
      </c>
      <c r="G117">
        <v>119.83456930976</v>
      </c>
      <c r="I117" s="9">
        <f t="shared" si="8"/>
        <v>588.85936661700998</v>
      </c>
      <c r="J117" s="9">
        <f t="shared" si="9"/>
        <v>1605.85951543022</v>
      </c>
      <c r="K117" s="9">
        <f t="shared" si="10"/>
        <v>588.85936661700998</v>
      </c>
      <c r="L117" s="10">
        <f t="shared" si="7"/>
        <v>0.36669419769216288</v>
      </c>
      <c r="M117" s="10">
        <f t="shared" si="11"/>
        <v>0.36673223019753193</v>
      </c>
      <c r="P117" s="8">
        <f t="shared" si="12"/>
        <v>96.93800397662099</v>
      </c>
      <c r="X117" s="8">
        <v>-13</v>
      </c>
    </row>
    <row r="118" spans="1:24" x14ac:dyDescent="0.2">
      <c r="A118" s="8">
        <v>58</v>
      </c>
      <c r="B118" s="8">
        <v>116</v>
      </c>
      <c r="D118">
        <v>1725.4965675057001</v>
      </c>
      <c r="E118">
        <v>689.97997711670996</v>
      </c>
      <c r="F118">
        <v>142.39075869937</v>
      </c>
      <c r="G118">
        <v>119.50256702794999</v>
      </c>
      <c r="I118" s="9">
        <f t="shared" si="8"/>
        <v>570.47741008875994</v>
      </c>
      <c r="J118" s="9">
        <f t="shared" si="9"/>
        <v>1583.1058088063301</v>
      </c>
      <c r="K118" s="9">
        <f t="shared" si="10"/>
        <v>570.47741008875994</v>
      </c>
      <c r="L118" s="10">
        <f t="shared" si="7"/>
        <v>0.36035330482357514</v>
      </c>
      <c r="M118" s="10">
        <f t="shared" si="11"/>
        <v>0.36039166804638217</v>
      </c>
      <c r="P118" s="8">
        <f t="shared" si="12"/>
        <v>93.533073754195328</v>
      </c>
      <c r="X118" s="8">
        <v>-13</v>
      </c>
    </row>
    <row r="119" spans="1:24" x14ac:dyDescent="0.2">
      <c r="A119" s="8">
        <v>58.5</v>
      </c>
      <c r="B119" s="8">
        <v>117</v>
      </c>
      <c r="D119">
        <v>1738.3901601831001</v>
      </c>
      <c r="E119">
        <v>685.68821510298005</v>
      </c>
      <c r="F119">
        <v>142.83571021106999</v>
      </c>
      <c r="G119">
        <v>119.25442099257999</v>
      </c>
      <c r="I119" s="9">
        <f t="shared" si="8"/>
        <v>566.43379411040007</v>
      </c>
      <c r="J119" s="9">
        <f t="shared" si="9"/>
        <v>1595.5544499720302</v>
      </c>
      <c r="K119" s="9">
        <f t="shared" si="10"/>
        <v>566.43379411040007</v>
      </c>
      <c r="L119" s="10">
        <f t="shared" si="7"/>
        <v>0.35500749856598723</v>
      </c>
      <c r="M119" s="10">
        <f t="shared" si="11"/>
        <v>0.35504619250623226</v>
      </c>
      <c r="P119" s="8">
        <f t="shared" si="12"/>
        <v>90.662512629486031</v>
      </c>
      <c r="X119" s="8">
        <v>-13</v>
      </c>
    </row>
    <row r="120" spans="1:24" x14ac:dyDescent="0.2">
      <c r="A120" s="8">
        <v>59</v>
      </c>
      <c r="B120" s="8">
        <v>118</v>
      </c>
      <c r="D120">
        <v>1716.0543478261</v>
      </c>
      <c r="E120">
        <v>670.52688787185002</v>
      </c>
      <c r="F120">
        <v>142.51511694237999</v>
      </c>
      <c r="G120">
        <v>119.27609811751</v>
      </c>
      <c r="I120" s="9">
        <f t="shared" si="8"/>
        <v>551.25078975434008</v>
      </c>
      <c r="J120" s="9">
        <f t="shared" si="9"/>
        <v>1573.5392308837199</v>
      </c>
      <c r="K120" s="9">
        <f t="shared" si="10"/>
        <v>551.25078975434008</v>
      </c>
      <c r="L120" s="10">
        <f t="shared" si="7"/>
        <v>0.35032541860729494</v>
      </c>
      <c r="M120" s="10">
        <f t="shared" si="11"/>
        <v>0.35036444326497795</v>
      </c>
      <c r="P120" s="8">
        <f t="shared" si="12"/>
        <v>88.148377588246106</v>
      </c>
      <c r="X120" s="8">
        <v>-13</v>
      </c>
    </row>
    <row r="121" spans="1:24" x14ac:dyDescent="0.2">
      <c r="A121" s="8">
        <v>59.5</v>
      </c>
      <c r="B121" s="8">
        <v>119</v>
      </c>
      <c r="D121">
        <v>1745.7648741419</v>
      </c>
      <c r="E121">
        <v>670.93535469107997</v>
      </c>
      <c r="F121">
        <v>142.9908727895</v>
      </c>
      <c r="G121">
        <v>119.25270964062</v>
      </c>
      <c r="I121" s="9">
        <f t="shared" si="8"/>
        <v>551.68264505046</v>
      </c>
      <c r="J121" s="9">
        <f t="shared" si="9"/>
        <v>1602.7740013524001</v>
      </c>
      <c r="K121" s="9">
        <f t="shared" si="10"/>
        <v>551.68264505046</v>
      </c>
      <c r="L121" s="10">
        <f t="shared" si="7"/>
        <v>0.34420488764164958</v>
      </c>
      <c r="M121" s="10">
        <f t="shared" si="11"/>
        <v>0.34424424301677059</v>
      </c>
      <c r="P121" s="8">
        <f t="shared" si="12"/>
        <v>84.861783387976402</v>
      </c>
      <c r="X121" s="8">
        <v>-13</v>
      </c>
    </row>
    <row r="122" spans="1:24" x14ac:dyDescent="0.2">
      <c r="A122" s="8">
        <v>60</v>
      </c>
      <c r="B122" s="8">
        <v>120</v>
      </c>
      <c r="D122">
        <v>1715.5572082379999</v>
      </c>
      <c r="E122">
        <v>654.48684210526005</v>
      </c>
      <c r="F122">
        <v>142.44723331431999</v>
      </c>
      <c r="G122">
        <v>119.25955504849</v>
      </c>
      <c r="I122" s="9">
        <f t="shared" si="8"/>
        <v>535.22728705677002</v>
      </c>
      <c r="J122" s="9">
        <f t="shared" si="9"/>
        <v>1573.1099749236801</v>
      </c>
      <c r="K122" s="9">
        <f t="shared" si="10"/>
        <v>535.22728705677002</v>
      </c>
      <c r="L122" s="10">
        <f t="shared" si="7"/>
        <v>0.3402351365057848</v>
      </c>
      <c r="M122" s="10">
        <f t="shared" si="11"/>
        <v>0.3402748225983438</v>
      </c>
      <c r="P122" s="8">
        <f t="shared" si="12"/>
        <v>82.730174356155146</v>
      </c>
      <c r="X122" s="8">
        <v>-13</v>
      </c>
    </row>
    <row r="123" spans="1:24" x14ac:dyDescent="0.2">
      <c r="A123" s="8">
        <v>60.5</v>
      </c>
      <c r="B123" s="8">
        <v>121</v>
      </c>
      <c r="D123">
        <v>1714.4902745995</v>
      </c>
      <c r="E123">
        <v>644.93935926773997</v>
      </c>
      <c r="F123">
        <v>142.83571021106999</v>
      </c>
      <c r="G123">
        <v>119.50770108386</v>
      </c>
      <c r="I123" s="9">
        <f t="shared" si="8"/>
        <v>525.43165818388002</v>
      </c>
      <c r="J123" s="9">
        <f t="shared" si="9"/>
        <v>1571.6545643884301</v>
      </c>
      <c r="K123" s="9">
        <f t="shared" si="10"/>
        <v>525.43165818388002</v>
      </c>
      <c r="L123" s="10">
        <f t="shared" si="7"/>
        <v>0.33431752122218955</v>
      </c>
      <c r="M123" s="10">
        <f t="shared" si="11"/>
        <v>0.33435753803218654</v>
      </c>
      <c r="P123" s="8">
        <f t="shared" si="12"/>
        <v>79.552547424393538</v>
      </c>
      <c r="X123" s="8">
        <v>-13</v>
      </c>
    </row>
    <row r="124" spans="1:24" x14ac:dyDescent="0.2">
      <c r="A124" s="8">
        <v>61</v>
      </c>
      <c r="B124" s="8">
        <v>122</v>
      </c>
      <c r="D124">
        <v>1703.9456521739</v>
      </c>
      <c r="E124">
        <v>636.14645308925003</v>
      </c>
      <c r="F124">
        <v>142.45579007416001</v>
      </c>
      <c r="G124">
        <v>119.34512264689</v>
      </c>
      <c r="I124" s="9">
        <f t="shared" si="8"/>
        <v>516.80133044236004</v>
      </c>
      <c r="J124" s="9">
        <f t="shared" si="9"/>
        <v>1561.4898620997401</v>
      </c>
      <c r="K124" s="9">
        <f t="shared" si="10"/>
        <v>516.80133044236004</v>
      </c>
      <c r="L124" s="10">
        <f t="shared" si="7"/>
        <v>0.33096681764389796</v>
      </c>
      <c r="M124" s="10">
        <f t="shared" si="11"/>
        <v>0.33100716517133294</v>
      </c>
      <c r="P124" s="8">
        <f t="shared" si="12"/>
        <v>77.753371651272758</v>
      </c>
      <c r="X124" s="8">
        <v>-13</v>
      </c>
    </row>
    <row r="125" spans="1:24" x14ac:dyDescent="0.2">
      <c r="A125" s="8">
        <v>61.5</v>
      </c>
      <c r="B125" s="8">
        <v>123</v>
      </c>
      <c r="D125">
        <v>1670.1201372998</v>
      </c>
      <c r="E125">
        <v>618.79748283752997</v>
      </c>
      <c r="F125">
        <v>143.03879064461</v>
      </c>
      <c r="G125">
        <v>119.28750713063</v>
      </c>
      <c r="I125" s="9">
        <f t="shared" si="8"/>
        <v>499.50997570689998</v>
      </c>
      <c r="J125" s="9">
        <f t="shared" si="9"/>
        <v>1527.0813466551899</v>
      </c>
      <c r="K125" s="9">
        <f t="shared" si="10"/>
        <v>499.50997570689998</v>
      </c>
      <c r="L125" s="10">
        <f t="shared" si="7"/>
        <v>0.3271010917663234</v>
      </c>
      <c r="M125" s="10">
        <f t="shared" si="11"/>
        <v>0.32714177001119638</v>
      </c>
      <c r="P125" s="8">
        <f t="shared" si="12"/>
        <v>75.67762497635367</v>
      </c>
      <c r="X125" s="8">
        <v>-13</v>
      </c>
    </row>
    <row r="126" spans="1:24" x14ac:dyDescent="0.2">
      <c r="A126" s="8">
        <v>62</v>
      </c>
      <c r="B126" s="8">
        <v>124</v>
      </c>
      <c r="D126">
        <v>1639.3481989708</v>
      </c>
      <c r="E126">
        <v>608.58147512865003</v>
      </c>
      <c r="F126">
        <v>142.05989731887999</v>
      </c>
      <c r="G126">
        <v>119.45978322875</v>
      </c>
      <c r="I126" s="9">
        <f t="shared" si="8"/>
        <v>489.12169189990004</v>
      </c>
      <c r="J126" s="9">
        <f t="shared" si="9"/>
        <v>1497.2883016519199</v>
      </c>
      <c r="K126" s="9">
        <f t="shared" si="10"/>
        <v>489.12169189990004</v>
      </c>
      <c r="L126" s="10">
        <f t="shared" si="7"/>
        <v>0.32667168464501095</v>
      </c>
      <c r="M126" s="10">
        <f t="shared" si="11"/>
        <v>0.32671269360732191</v>
      </c>
      <c r="P126" s="8">
        <f t="shared" si="12"/>
        <v>75.44720767573358</v>
      </c>
      <c r="X126" s="8">
        <v>-13</v>
      </c>
    </row>
    <row r="127" spans="1:24" x14ac:dyDescent="0.2">
      <c r="A127" s="8">
        <v>62.5</v>
      </c>
      <c r="B127" s="8">
        <v>125</v>
      </c>
      <c r="D127">
        <v>1645.5568896512</v>
      </c>
      <c r="E127">
        <v>605.83304745569001</v>
      </c>
      <c r="F127">
        <v>141.98459783229001</v>
      </c>
      <c r="G127">
        <v>119.05932686823</v>
      </c>
      <c r="I127" s="9">
        <f t="shared" si="8"/>
        <v>486.77372058745999</v>
      </c>
      <c r="J127" s="9">
        <f t="shared" si="9"/>
        <v>1503.5722918189099</v>
      </c>
      <c r="K127" s="9">
        <f t="shared" si="10"/>
        <v>486.77372058745999</v>
      </c>
      <c r="L127" s="10">
        <f t="shared" si="7"/>
        <v>0.32374480644266018</v>
      </c>
      <c r="M127" s="10">
        <f t="shared" si="11"/>
        <v>0.32378614612240914</v>
      </c>
      <c r="P127" s="8">
        <f t="shared" si="12"/>
        <v>73.875629361193063</v>
      </c>
      <c r="X127" s="8">
        <v>-13</v>
      </c>
    </row>
    <row r="128" spans="1:24" x14ac:dyDescent="0.2">
      <c r="A128" s="8">
        <v>63</v>
      </c>
      <c r="B128" s="8">
        <v>126</v>
      </c>
      <c r="D128">
        <v>1634.5746140652</v>
      </c>
      <c r="E128">
        <v>595.55917667237998</v>
      </c>
      <c r="F128">
        <v>142.40387906446</v>
      </c>
      <c r="G128">
        <v>119.16029663434</v>
      </c>
      <c r="I128" s="9">
        <f t="shared" si="8"/>
        <v>476.39888003803998</v>
      </c>
      <c r="J128" s="9">
        <f t="shared" si="9"/>
        <v>1492.17073500074</v>
      </c>
      <c r="K128" s="9">
        <f t="shared" si="10"/>
        <v>476.39888003803998</v>
      </c>
      <c r="L128" s="10">
        <f t="shared" si="7"/>
        <v>0.31926566368278475</v>
      </c>
      <c r="M128" s="10">
        <f t="shared" si="11"/>
        <v>0.31930733407997169</v>
      </c>
      <c r="P128" s="8">
        <f t="shared" si="12"/>
        <v>71.470473143129027</v>
      </c>
      <c r="X128" s="8">
        <v>-13</v>
      </c>
    </row>
    <row r="129" spans="1:24" x14ac:dyDescent="0.2">
      <c r="A129" s="8">
        <v>63.5</v>
      </c>
      <c r="B129" s="8">
        <v>127</v>
      </c>
      <c r="D129">
        <v>1625.6232132647001</v>
      </c>
      <c r="E129">
        <v>589.42938822183999</v>
      </c>
      <c r="F129">
        <v>142.17569880204999</v>
      </c>
      <c r="G129">
        <v>119.31888191671</v>
      </c>
      <c r="I129" s="9">
        <f t="shared" si="8"/>
        <v>470.11050630513</v>
      </c>
      <c r="J129" s="9">
        <f t="shared" si="9"/>
        <v>1483.4475144626501</v>
      </c>
      <c r="K129" s="9">
        <f t="shared" si="10"/>
        <v>470.11050630513</v>
      </c>
      <c r="L129" s="10">
        <f t="shared" si="7"/>
        <v>0.31690403719838944</v>
      </c>
      <c r="M129" s="10">
        <f t="shared" si="11"/>
        <v>0.31694603831301438</v>
      </c>
      <c r="P129" s="8">
        <f t="shared" si="12"/>
        <v>70.202439311217006</v>
      </c>
      <c r="X129" s="8">
        <v>-13</v>
      </c>
    </row>
    <row r="130" spans="1:24" x14ac:dyDescent="0.2">
      <c r="A130" s="8">
        <v>64</v>
      </c>
      <c r="B130" s="8">
        <v>128</v>
      </c>
      <c r="D130">
        <v>1611.4202401371999</v>
      </c>
      <c r="E130">
        <v>579.15666094911001</v>
      </c>
      <c r="F130">
        <v>141.99543639474999</v>
      </c>
      <c r="G130">
        <v>119.39589275528</v>
      </c>
      <c r="I130" s="9">
        <f t="shared" si="8"/>
        <v>459.76076819383002</v>
      </c>
      <c r="J130" s="9">
        <f t="shared" si="9"/>
        <v>1469.42480374245</v>
      </c>
      <c r="K130" s="9">
        <f t="shared" si="10"/>
        <v>459.76076819383002</v>
      </c>
      <c r="L130" s="10">
        <f t="shared" ref="L130:L193" si="14">K130/J130</f>
        <v>0.3128848560490296</v>
      </c>
      <c r="M130" s="10">
        <f t="shared" si="11"/>
        <v>0.31292718788109253</v>
      </c>
      <c r="P130" s="8">
        <f t="shared" si="12"/>
        <v>68.044285985241359</v>
      </c>
      <c r="X130" s="8">
        <v>-13</v>
      </c>
    </row>
    <row r="131" spans="1:24" x14ac:dyDescent="0.2">
      <c r="A131" s="8">
        <v>64.5</v>
      </c>
      <c r="B131" s="8">
        <v>129</v>
      </c>
      <c r="D131">
        <v>1529.2814098920001</v>
      </c>
      <c r="E131">
        <v>551.01307561114004</v>
      </c>
      <c r="F131">
        <v>142.01825442098999</v>
      </c>
      <c r="G131">
        <v>119.33941814033</v>
      </c>
      <c r="I131" s="9">
        <f t="shared" ref="I131:I194" si="15">E131-G131</f>
        <v>431.67365747081004</v>
      </c>
      <c r="J131" s="9">
        <f t="shared" ref="J131:J194" si="16">D131-F131</f>
        <v>1387.2631554710101</v>
      </c>
      <c r="K131" s="9">
        <f t="shared" ref="K131:K194" si="17">I131*1</f>
        <v>431.67365747081004</v>
      </c>
      <c r="L131" s="10">
        <f t="shared" si="14"/>
        <v>0.31116926573620862</v>
      </c>
      <c r="M131" s="10">
        <f t="shared" ref="M131:M181" si="18">L131+ABS($N$2)*A131</f>
        <v>0.31121192828570954</v>
      </c>
      <c r="P131" s="8">
        <f t="shared" ref="P131:P194" si="19">(M131-$O$2)/$O$2*100</f>
        <v>67.123178503538639</v>
      </c>
      <c r="X131" s="8">
        <v>-13</v>
      </c>
    </row>
    <row r="132" spans="1:24" x14ac:dyDescent="0.2">
      <c r="A132" s="8">
        <v>65</v>
      </c>
      <c r="B132" s="8">
        <v>130</v>
      </c>
      <c r="D132">
        <v>1502.0511654349</v>
      </c>
      <c r="E132">
        <v>540.70778851620003</v>
      </c>
      <c r="F132">
        <v>142.38049058755999</v>
      </c>
      <c r="G132">
        <v>118.90929834569</v>
      </c>
      <c r="I132" s="9">
        <f t="shared" si="15"/>
        <v>421.79849017051004</v>
      </c>
      <c r="J132" s="9">
        <f t="shared" si="16"/>
        <v>1359.67067484734</v>
      </c>
      <c r="K132" s="9">
        <f t="shared" si="17"/>
        <v>421.79849017051004</v>
      </c>
      <c r="L132" s="10">
        <f t="shared" si="14"/>
        <v>0.31022106894955898</v>
      </c>
      <c r="M132" s="10">
        <f t="shared" si="18"/>
        <v>0.31026406221649788</v>
      </c>
      <c r="P132" s="8">
        <f t="shared" si="19"/>
        <v>66.614167196822677</v>
      </c>
      <c r="X132" s="8">
        <v>-13</v>
      </c>
    </row>
    <row r="133" spans="1:24" x14ac:dyDescent="0.2">
      <c r="A133" s="8">
        <v>65.5</v>
      </c>
      <c r="B133" s="8">
        <v>131</v>
      </c>
      <c r="D133">
        <v>1483.8436611710999</v>
      </c>
      <c r="E133">
        <v>531.81637293917004</v>
      </c>
      <c r="F133">
        <v>142.58756417570001</v>
      </c>
      <c r="G133">
        <v>119.25784369652</v>
      </c>
      <c r="I133" s="9">
        <f t="shared" si="15"/>
        <v>412.55852924265002</v>
      </c>
      <c r="J133" s="9">
        <f t="shared" si="16"/>
        <v>1341.2560969954</v>
      </c>
      <c r="K133" s="9">
        <f t="shared" si="17"/>
        <v>412.55852924265002</v>
      </c>
      <c r="L133" s="10">
        <f t="shared" si="14"/>
        <v>0.30759116783650675</v>
      </c>
      <c r="M133" s="10">
        <f t="shared" si="18"/>
        <v>0.30763449182088365</v>
      </c>
      <c r="P133" s="8">
        <f t="shared" si="19"/>
        <v>65.202067843707866</v>
      </c>
      <c r="X133" s="8">
        <v>-13</v>
      </c>
    </row>
    <row r="134" spans="1:24" x14ac:dyDescent="0.2">
      <c r="A134" s="8">
        <v>66</v>
      </c>
      <c r="B134" s="8">
        <v>132</v>
      </c>
      <c r="D134">
        <v>1499.5713473564999</v>
      </c>
      <c r="E134">
        <v>529.30983513360002</v>
      </c>
      <c r="F134">
        <v>142.27952082145001</v>
      </c>
      <c r="G134">
        <v>119.08157444381</v>
      </c>
      <c r="I134" s="9">
        <f t="shared" si="15"/>
        <v>410.22826068979003</v>
      </c>
      <c r="J134" s="9">
        <f t="shared" si="16"/>
        <v>1357.2918265350499</v>
      </c>
      <c r="K134" s="9">
        <f t="shared" si="17"/>
        <v>410.22826068979003</v>
      </c>
      <c r="L134" s="10">
        <f t="shared" si="14"/>
        <v>0.30224027926038388</v>
      </c>
      <c r="M134" s="10">
        <f t="shared" si="18"/>
        <v>0.30228393396219877</v>
      </c>
      <c r="P134" s="8">
        <f t="shared" si="19"/>
        <v>62.32877747519224</v>
      </c>
      <c r="X134" s="8">
        <v>-13</v>
      </c>
    </row>
    <row r="135" spans="1:24" x14ac:dyDescent="0.2">
      <c r="A135" s="8">
        <v>66.5</v>
      </c>
      <c r="B135" s="8">
        <v>133</v>
      </c>
      <c r="D135">
        <v>1473.884593519</v>
      </c>
      <c r="E135">
        <v>518.14610574189999</v>
      </c>
      <c r="F135">
        <v>142.37535653166</v>
      </c>
      <c r="G135">
        <v>119.303479749</v>
      </c>
      <c r="I135" s="9">
        <f t="shared" si="15"/>
        <v>398.84262599289997</v>
      </c>
      <c r="J135" s="9">
        <f t="shared" si="16"/>
        <v>1331.50923698734</v>
      </c>
      <c r="K135" s="9">
        <f t="shared" si="17"/>
        <v>398.84262599289997</v>
      </c>
      <c r="L135" s="10">
        <f t="shared" si="14"/>
        <v>0.29954176427293694</v>
      </c>
      <c r="M135" s="10">
        <f t="shared" si="18"/>
        <v>0.29958574969218982</v>
      </c>
      <c r="P135" s="8">
        <f t="shared" si="19"/>
        <v>60.87983194834159</v>
      </c>
      <c r="X135" s="8">
        <v>-13</v>
      </c>
    </row>
    <row r="136" spans="1:24" x14ac:dyDescent="0.2">
      <c r="A136" s="8">
        <v>67</v>
      </c>
      <c r="B136" s="8">
        <v>134</v>
      </c>
      <c r="D136">
        <v>1486.9823763502</v>
      </c>
      <c r="E136">
        <v>517.91870380898001</v>
      </c>
      <c r="F136">
        <v>142.65715915573</v>
      </c>
      <c r="G136">
        <v>118.92812321734</v>
      </c>
      <c r="I136" s="9">
        <f t="shared" si="15"/>
        <v>398.99058059164003</v>
      </c>
      <c r="J136" s="9">
        <f t="shared" si="16"/>
        <v>1344.32521719447</v>
      </c>
      <c r="K136" s="9">
        <f t="shared" si="17"/>
        <v>398.99058059164003</v>
      </c>
      <c r="L136" s="10">
        <f t="shared" si="14"/>
        <v>0.29679617364041611</v>
      </c>
      <c r="M136" s="10">
        <f t="shared" si="18"/>
        <v>0.29684048977710698</v>
      </c>
      <c r="P136" s="8">
        <f t="shared" si="19"/>
        <v>59.405606441130956</v>
      </c>
      <c r="X136" s="8">
        <v>-13</v>
      </c>
    </row>
    <row r="137" spans="1:24" x14ac:dyDescent="0.2">
      <c r="A137" s="8">
        <v>67.5</v>
      </c>
      <c r="B137" s="8">
        <v>135</v>
      </c>
      <c r="D137">
        <v>1491.9198408187001</v>
      </c>
      <c r="E137">
        <v>514.95849914723999</v>
      </c>
      <c r="F137">
        <v>142.07187678266001</v>
      </c>
      <c r="G137">
        <v>119.13006274957</v>
      </c>
      <c r="I137" s="9">
        <f t="shared" si="15"/>
        <v>395.82843639766998</v>
      </c>
      <c r="J137" s="9">
        <f t="shared" si="16"/>
        <v>1349.8479640360401</v>
      </c>
      <c r="K137" s="9">
        <f t="shared" si="17"/>
        <v>395.82843639766998</v>
      </c>
      <c r="L137" s="10">
        <f t="shared" si="14"/>
        <v>0.29323927356540547</v>
      </c>
      <c r="M137" s="10">
        <f t="shared" si="18"/>
        <v>0.29328392041953433</v>
      </c>
      <c r="P137" s="8">
        <f t="shared" si="19"/>
        <v>57.495701577008433</v>
      </c>
      <c r="X137" s="8">
        <v>-13</v>
      </c>
    </row>
    <row r="138" spans="1:24" x14ac:dyDescent="0.2">
      <c r="A138" s="8">
        <v>68</v>
      </c>
      <c r="B138" s="8">
        <v>136</v>
      </c>
      <c r="D138">
        <v>1482.6191017624001</v>
      </c>
      <c r="E138">
        <v>508.62023877203001</v>
      </c>
      <c r="F138">
        <v>142.25213918995999</v>
      </c>
      <c r="G138">
        <v>118.95094124358</v>
      </c>
      <c r="I138" s="9">
        <f t="shared" si="15"/>
        <v>389.66929752844999</v>
      </c>
      <c r="J138" s="9">
        <f t="shared" si="16"/>
        <v>1340.3669625724401</v>
      </c>
      <c r="K138" s="9">
        <f t="shared" si="17"/>
        <v>389.66929752844999</v>
      </c>
      <c r="L138" s="10">
        <f t="shared" si="14"/>
        <v>0.29071836922971778</v>
      </c>
      <c r="M138" s="10">
        <f t="shared" si="18"/>
        <v>0.29076334680128463</v>
      </c>
      <c r="P138" s="8">
        <f t="shared" si="19"/>
        <v>56.142134324446921</v>
      </c>
      <c r="X138" s="8">
        <v>-13</v>
      </c>
    </row>
    <row r="139" spans="1:24" x14ac:dyDescent="0.2">
      <c r="A139" s="8">
        <v>68.5</v>
      </c>
      <c r="B139" s="8">
        <v>137</v>
      </c>
      <c r="D139">
        <v>1465.4451392837</v>
      </c>
      <c r="E139">
        <v>502.62251279136001</v>
      </c>
      <c r="F139">
        <v>142.2464346834</v>
      </c>
      <c r="G139">
        <v>119.16999429549</v>
      </c>
      <c r="I139" s="9">
        <f t="shared" si="15"/>
        <v>383.45251849586998</v>
      </c>
      <c r="J139" s="9">
        <f t="shared" si="16"/>
        <v>1323.1987046003001</v>
      </c>
      <c r="K139" s="9">
        <f t="shared" si="17"/>
        <v>383.45251849586998</v>
      </c>
      <c r="L139" s="10">
        <f t="shared" si="14"/>
        <v>0.28979209030566566</v>
      </c>
      <c r="M139" s="10">
        <f t="shared" si="18"/>
        <v>0.2898373985946705</v>
      </c>
      <c r="P139" s="8">
        <f t="shared" si="19"/>
        <v>55.644893077071153</v>
      </c>
      <c r="X139" s="8">
        <v>-13</v>
      </c>
    </row>
    <row r="140" spans="1:24" x14ac:dyDescent="0.2">
      <c r="A140" s="8">
        <v>69</v>
      </c>
      <c r="B140" s="8">
        <v>138</v>
      </c>
      <c r="D140">
        <v>1487.5980670836</v>
      </c>
      <c r="E140">
        <v>501.99545196134</v>
      </c>
      <c r="F140">
        <v>141.91043924701</v>
      </c>
      <c r="G140">
        <v>119.02167712492999</v>
      </c>
      <c r="I140" s="9">
        <f t="shared" si="15"/>
        <v>382.97377483641003</v>
      </c>
      <c r="J140" s="9">
        <f t="shared" si="16"/>
        <v>1345.6876278365899</v>
      </c>
      <c r="K140" s="9">
        <f t="shared" si="17"/>
        <v>382.97377483641003</v>
      </c>
      <c r="L140" s="10">
        <f t="shared" si="14"/>
        <v>0.28459336841203053</v>
      </c>
      <c r="M140" s="10">
        <f t="shared" si="18"/>
        <v>0.28463900741847337</v>
      </c>
      <c r="P140" s="8">
        <f t="shared" si="19"/>
        <v>52.853317377333731</v>
      </c>
      <c r="X140" s="8">
        <v>-13</v>
      </c>
    </row>
    <row r="141" spans="1:24" x14ac:dyDescent="0.2">
      <c r="A141" s="8">
        <v>69.5</v>
      </c>
      <c r="B141" s="8">
        <v>139</v>
      </c>
      <c r="D141">
        <v>1491.366117112</v>
      </c>
      <c r="E141">
        <v>499.64525298465003</v>
      </c>
      <c r="F141">
        <v>142.12036508841999</v>
      </c>
      <c r="G141">
        <v>119.1323445522</v>
      </c>
      <c r="I141" s="9">
        <f t="shared" si="15"/>
        <v>380.51290843245005</v>
      </c>
      <c r="J141" s="9">
        <f t="shared" si="16"/>
        <v>1349.2457520235801</v>
      </c>
      <c r="K141" s="9">
        <f t="shared" si="17"/>
        <v>380.51290843245005</v>
      </c>
      <c r="L141" s="10">
        <f t="shared" si="14"/>
        <v>0.28201897827861389</v>
      </c>
      <c r="M141" s="10">
        <f t="shared" si="18"/>
        <v>0.28206494800249471</v>
      </c>
      <c r="P141" s="8">
        <f t="shared" si="19"/>
        <v>51.471027843558595</v>
      </c>
      <c r="X141" s="8">
        <v>-13</v>
      </c>
    </row>
    <row r="142" spans="1:24" x14ac:dyDescent="0.2">
      <c r="A142" s="8">
        <v>70</v>
      </c>
      <c r="B142" s="8">
        <v>140</v>
      </c>
      <c r="D142">
        <v>1437.6583285958</v>
      </c>
      <c r="E142">
        <v>484.28311540648002</v>
      </c>
      <c r="F142">
        <v>142.33542498573999</v>
      </c>
      <c r="G142">
        <v>119.28408442670001</v>
      </c>
      <c r="I142" s="9">
        <f t="shared" si="15"/>
        <v>364.99903097978</v>
      </c>
      <c r="J142" s="9">
        <f t="shared" si="16"/>
        <v>1295.3229036100599</v>
      </c>
      <c r="K142" s="9">
        <f t="shared" si="17"/>
        <v>364.99903097978</v>
      </c>
      <c r="L142" s="10">
        <f t="shared" si="14"/>
        <v>0.28178227217516894</v>
      </c>
      <c r="M142" s="10">
        <f t="shared" si="18"/>
        <v>0.28182857261648775</v>
      </c>
      <c r="P142" s="8">
        <f t="shared" si="19"/>
        <v>51.344092458892945</v>
      </c>
      <c r="X142" s="8">
        <v>-13</v>
      </c>
    </row>
    <row r="143" spans="1:24" x14ac:dyDescent="0.2">
      <c r="A143" s="8">
        <v>70.5</v>
      </c>
      <c r="B143" s="8">
        <v>141</v>
      </c>
      <c r="D143">
        <v>1449.8743604321</v>
      </c>
      <c r="E143">
        <v>480.46674246730998</v>
      </c>
      <c r="F143">
        <v>142.07415858528</v>
      </c>
      <c r="G143">
        <v>118.84426697091</v>
      </c>
      <c r="I143" s="9">
        <f t="shared" si="15"/>
        <v>361.6224754964</v>
      </c>
      <c r="J143" s="9">
        <f t="shared" si="16"/>
        <v>1307.8002018468201</v>
      </c>
      <c r="K143" s="9">
        <f t="shared" si="17"/>
        <v>361.6224754964</v>
      </c>
      <c r="L143" s="10">
        <f t="shared" si="14"/>
        <v>0.27651201994443192</v>
      </c>
      <c r="M143" s="10">
        <f t="shared" si="18"/>
        <v>0.27655865110318872</v>
      </c>
      <c r="P143" s="8">
        <f t="shared" si="19"/>
        <v>48.514104422707653</v>
      </c>
      <c r="X143" s="8">
        <v>-13</v>
      </c>
    </row>
    <row r="144" spans="1:24" x14ac:dyDescent="0.2">
      <c r="A144" s="8">
        <v>71</v>
      </c>
      <c r="B144" s="8">
        <v>142</v>
      </c>
      <c r="D144">
        <v>1485.3325753269</v>
      </c>
      <c r="E144">
        <v>484.41102899374999</v>
      </c>
      <c r="F144">
        <v>141.57444381061001</v>
      </c>
      <c r="G144">
        <v>119.17170564746</v>
      </c>
      <c r="I144" s="9">
        <f t="shared" si="15"/>
        <v>365.23932334629001</v>
      </c>
      <c r="J144" s="9">
        <f t="shared" si="16"/>
        <v>1343.75813151629</v>
      </c>
      <c r="K144" s="9">
        <f t="shared" si="17"/>
        <v>365.23932334629001</v>
      </c>
      <c r="L144" s="10">
        <f t="shared" si="14"/>
        <v>0.27180436328534496</v>
      </c>
      <c r="M144" s="10">
        <f t="shared" si="18"/>
        <v>0.27185132516153976</v>
      </c>
      <c r="P144" s="8">
        <f t="shared" si="19"/>
        <v>45.986234498331555</v>
      </c>
    </row>
    <row r="145" spans="1:16" x14ac:dyDescent="0.2">
      <c r="A145" s="8">
        <v>71.5</v>
      </c>
      <c r="B145" s="8">
        <v>143</v>
      </c>
      <c r="D145">
        <v>1572.4491188175</v>
      </c>
      <c r="E145">
        <v>501.55997725981001</v>
      </c>
      <c r="F145">
        <v>141.23160296634001</v>
      </c>
      <c r="G145">
        <v>118.71819737593</v>
      </c>
      <c r="I145" s="9">
        <f t="shared" si="15"/>
        <v>382.84177988388001</v>
      </c>
      <c r="J145" s="9">
        <f t="shared" si="16"/>
        <v>1431.21751585116</v>
      </c>
      <c r="K145" s="9">
        <f t="shared" si="17"/>
        <v>382.84177988388001</v>
      </c>
      <c r="L145" s="10">
        <f t="shared" si="14"/>
        <v>0.26749377760109372</v>
      </c>
      <c r="M145" s="10">
        <f t="shared" si="18"/>
        <v>0.2675410701947265</v>
      </c>
      <c r="P145" s="8">
        <f t="shared" si="19"/>
        <v>43.671594715137957</v>
      </c>
    </row>
    <row r="146" spans="1:16" x14ac:dyDescent="0.2">
      <c r="A146" s="8">
        <v>72</v>
      </c>
      <c r="B146" s="8">
        <v>144</v>
      </c>
      <c r="D146">
        <v>1563.2518476406999</v>
      </c>
      <c r="E146">
        <v>496.9295054008</v>
      </c>
      <c r="F146">
        <v>141.54535082715</v>
      </c>
      <c r="G146">
        <v>118.95607529949</v>
      </c>
      <c r="I146" s="9">
        <f t="shared" si="15"/>
        <v>377.97343010130999</v>
      </c>
      <c r="J146" s="9">
        <f t="shared" si="16"/>
        <v>1421.7064968135498</v>
      </c>
      <c r="K146" s="9">
        <f t="shared" si="17"/>
        <v>377.97343010130999</v>
      </c>
      <c r="L146" s="10">
        <f t="shared" si="14"/>
        <v>0.26585897366893685</v>
      </c>
      <c r="M146" s="10">
        <f t="shared" si="18"/>
        <v>0.26590659698000763</v>
      </c>
      <c r="P146" s="8">
        <f t="shared" si="19"/>
        <v>42.793870135854021</v>
      </c>
    </row>
    <row r="147" spans="1:16" x14ac:dyDescent="0.2">
      <c r="A147" s="8">
        <v>72.5</v>
      </c>
      <c r="B147" s="8">
        <v>145</v>
      </c>
      <c r="D147">
        <v>1549.4263786242</v>
      </c>
      <c r="E147">
        <v>491.97100625355</v>
      </c>
      <c r="F147">
        <v>142.22190530519001</v>
      </c>
      <c r="G147">
        <v>119.13519680548001</v>
      </c>
      <c r="I147" s="9">
        <f t="shared" si="15"/>
        <v>372.83580944806999</v>
      </c>
      <c r="J147" s="9">
        <f t="shared" si="16"/>
        <v>1407.20447331901</v>
      </c>
      <c r="K147" s="9">
        <f t="shared" si="17"/>
        <v>372.83580944806999</v>
      </c>
      <c r="L147" s="10">
        <f t="shared" si="14"/>
        <v>0.26494785691570849</v>
      </c>
      <c r="M147" s="10">
        <f t="shared" si="18"/>
        <v>0.26499581094421731</v>
      </c>
      <c r="P147" s="8">
        <f t="shared" si="19"/>
        <v>42.304771089823326</v>
      </c>
    </row>
    <row r="148" spans="1:16" x14ac:dyDescent="0.2">
      <c r="A148" s="8">
        <v>73</v>
      </c>
      <c r="B148" s="8">
        <v>146</v>
      </c>
      <c r="D148">
        <v>1560.9084707219999</v>
      </c>
      <c r="E148">
        <v>490.11483797611999</v>
      </c>
      <c r="F148">
        <v>141.49857387335999</v>
      </c>
      <c r="G148">
        <v>118.82544209926</v>
      </c>
      <c r="I148" s="9">
        <f t="shared" si="15"/>
        <v>371.28939587686</v>
      </c>
      <c r="J148" s="9">
        <f t="shared" si="16"/>
        <v>1419.4098968486401</v>
      </c>
      <c r="K148" s="9">
        <f t="shared" si="17"/>
        <v>371.28939587686</v>
      </c>
      <c r="L148" s="10">
        <f t="shared" si="14"/>
        <v>0.2615801092420118</v>
      </c>
      <c r="M148" s="10">
        <f t="shared" si="18"/>
        <v>0.26162839398795862</v>
      </c>
      <c r="P148" s="8">
        <f t="shared" si="19"/>
        <v>40.496442507507517</v>
      </c>
    </row>
    <row r="149" spans="1:16" x14ac:dyDescent="0.2">
      <c r="A149" s="8">
        <v>73.5</v>
      </c>
      <c r="B149" s="8">
        <v>147</v>
      </c>
      <c r="D149">
        <v>1562.2944855031001</v>
      </c>
      <c r="E149">
        <v>487.43263217737001</v>
      </c>
      <c r="F149">
        <v>141.96862521392001</v>
      </c>
      <c r="G149">
        <v>118.85852823731</v>
      </c>
      <c r="I149" s="9">
        <f t="shared" si="15"/>
        <v>368.57410394006001</v>
      </c>
      <c r="J149" s="9">
        <f t="shared" si="16"/>
        <v>1420.3258602891801</v>
      </c>
      <c r="K149" s="9">
        <f t="shared" si="17"/>
        <v>368.57410394006001</v>
      </c>
      <c r="L149" s="10">
        <f t="shared" si="14"/>
        <v>0.25949967838015559</v>
      </c>
      <c r="M149" s="10">
        <f t="shared" si="18"/>
        <v>0.25954829384354039</v>
      </c>
      <c r="P149" s="8">
        <f t="shared" si="19"/>
        <v>39.379412869036535</v>
      </c>
    </row>
    <row r="150" spans="1:16" x14ac:dyDescent="0.2">
      <c r="A150" s="8">
        <v>74</v>
      </c>
      <c r="B150" s="8">
        <v>148</v>
      </c>
      <c r="D150">
        <v>1545.1063104036</v>
      </c>
      <c r="E150">
        <v>481.02615122229003</v>
      </c>
      <c r="F150">
        <v>141.27723901882999</v>
      </c>
      <c r="G150">
        <v>118.91728465488001</v>
      </c>
      <c r="I150" s="9">
        <f t="shared" si="15"/>
        <v>362.10886656741002</v>
      </c>
      <c r="J150" s="9">
        <f t="shared" si="16"/>
        <v>1403.82907138477</v>
      </c>
      <c r="K150" s="9">
        <f t="shared" si="17"/>
        <v>362.10886656741002</v>
      </c>
      <c r="L150" s="10">
        <f t="shared" si="14"/>
        <v>0.25794370123010585</v>
      </c>
      <c r="M150" s="10">
        <f t="shared" si="18"/>
        <v>0.25799264741092864</v>
      </c>
      <c r="P150" s="8">
        <f t="shared" si="19"/>
        <v>38.544018872804216</v>
      </c>
    </row>
    <row r="151" spans="1:16" x14ac:dyDescent="0.2">
      <c r="A151" s="8">
        <v>74.5</v>
      </c>
      <c r="B151" s="8">
        <v>149</v>
      </c>
      <c r="D151">
        <v>1532.3462194429001</v>
      </c>
      <c r="E151">
        <v>477.13928368390998</v>
      </c>
      <c r="F151">
        <v>141.39760410725</v>
      </c>
      <c r="G151">
        <v>118.59041642898001</v>
      </c>
      <c r="I151" s="9">
        <f t="shared" si="15"/>
        <v>358.54886725492997</v>
      </c>
      <c r="J151" s="9">
        <f t="shared" si="16"/>
        <v>1390.9486153356502</v>
      </c>
      <c r="K151" s="9">
        <f t="shared" si="17"/>
        <v>358.54886725492997</v>
      </c>
      <c r="L151" s="10">
        <f t="shared" si="14"/>
        <v>0.25777290641927014</v>
      </c>
      <c r="M151" s="10">
        <f t="shared" si="18"/>
        <v>0.25782218331753093</v>
      </c>
      <c r="P151" s="8">
        <f t="shared" si="19"/>
        <v>38.452478354848239</v>
      </c>
    </row>
    <row r="152" spans="1:16" x14ac:dyDescent="0.2">
      <c r="A152" s="8">
        <v>75</v>
      </c>
      <c r="B152" s="8">
        <v>150</v>
      </c>
      <c r="D152">
        <v>1524.4252416146001</v>
      </c>
      <c r="E152">
        <v>469.79420125070999</v>
      </c>
      <c r="F152">
        <v>141.3177410154</v>
      </c>
      <c r="G152">
        <v>118.57159155733</v>
      </c>
      <c r="I152" s="9">
        <f t="shared" si="15"/>
        <v>351.22260969337998</v>
      </c>
      <c r="J152" s="9">
        <f t="shared" si="16"/>
        <v>1383.1075005992</v>
      </c>
      <c r="K152" s="9">
        <f t="shared" si="17"/>
        <v>351.22260969337998</v>
      </c>
      <c r="L152" s="10">
        <f t="shared" si="14"/>
        <v>0.25393731835104699</v>
      </c>
      <c r="M152" s="10">
        <f t="shared" si="18"/>
        <v>0.25398692596674577</v>
      </c>
      <c r="P152" s="8">
        <f t="shared" si="19"/>
        <v>36.392915913353903</v>
      </c>
    </row>
    <row r="153" spans="1:16" x14ac:dyDescent="0.2">
      <c r="A153" s="8">
        <v>75.5</v>
      </c>
      <c r="B153" s="8">
        <v>151</v>
      </c>
      <c r="D153">
        <v>1524.9619101762</v>
      </c>
      <c r="E153">
        <v>468.34337691870002</v>
      </c>
      <c r="F153">
        <v>141.2270393611</v>
      </c>
      <c r="G153">
        <v>118.68682258985</v>
      </c>
      <c r="I153" s="9">
        <f t="shared" si="15"/>
        <v>349.65655432885001</v>
      </c>
      <c r="J153" s="9">
        <f t="shared" si="16"/>
        <v>1383.7348708151001</v>
      </c>
      <c r="K153" s="9">
        <f t="shared" si="17"/>
        <v>349.65655432885001</v>
      </c>
      <c r="L153" s="10">
        <f t="shared" si="14"/>
        <v>0.25269042625404248</v>
      </c>
      <c r="M153" s="10">
        <f t="shared" si="18"/>
        <v>0.25274036458717924</v>
      </c>
      <c r="P153" s="8">
        <f t="shared" si="19"/>
        <v>35.723502947403396</v>
      </c>
    </row>
    <row r="154" spans="1:16" x14ac:dyDescent="0.2">
      <c r="A154" s="8">
        <v>76</v>
      </c>
      <c r="B154" s="8">
        <v>152</v>
      </c>
      <c r="D154">
        <v>1521.5002842524</v>
      </c>
      <c r="E154">
        <v>465.32347924957003</v>
      </c>
      <c r="F154">
        <v>141.3268682259</v>
      </c>
      <c r="G154">
        <v>118.43696520251</v>
      </c>
      <c r="I154" s="9">
        <f t="shared" si="15"/>
        <v>346.88651404706002</v>
      </c>
      <c r="J154" s="9">
        <f t="shared" si="16"/>
        <v>1380.1734160265</v>
      </c>
      <c r="K154" s="9">
        <f t="shared" si="17"/>
        <v>346.88651404706002</v>
      </c>
      <c r="L154" s="10">
        <f t="shared" si="14"/>
        <v>0.25133545539932323</v>
      </c>
      <c r="M154" s="10">
        <f t="shared" si="18"/>
        <v>0.25138572444989798</v>
      </c>
      <c r="P154" s="8">
        <f t="shared" si="19"/>
        <v>34.996050864451504</v>
      </c>
    </row>
    <row r="155" spans="1:16" x14ac:dyDescent="0.2">
      <c r="A155" s="8">
        <v>76.5</v>
      </c>
      <c r="B155" s="8">
        <v>153</v>
      </c>
      <c r="D155">
        <v>1506.8402501421001</v>
      </c>
      <c r="E155">
        <v>461.67936327459</v>
      </c>
      <c r="F155">
        <v>141.28693667997999</v>
      </c>
      <c r="G155">
        <v>118.66514546492</v>
      </c>
      <c r="I155" s="9">
        <f t="shared" si="15"/>
        <v>343.01421780967001</v>
      </c>
      <c r="J155" s="9">
        <f t="shared" si="16"/>
        <v>1365.5533134621201</v>
      </c>
      <c r="K155" s="9">
        <f t="shared" si="17"/>
        <v>343.01421780967001</v>
      </c>
      <c r="L155" s="10">
        <f t="shared" si="14"/>
        <v>0.25119064516054512</v>
      </c>
      <c r="M155" s="10">
        <f t="shared" si="18"/>
        <v>0.25124124492855787</v>
      </c>
      <c r="P155" s="8">
        <f t="shared" si="19"/>
        <v>34.918464259824759</v>
      </c>
    </row>
    <row r="156" spans="1:16" x14ac:dyDescent="0.2">
      <c r="A156" s="8">
        <v>77</v>
      </c>
      <c r="B156" s="8">
        <v>154</v>
      </c>
      <c r="D156">
        <v>1496.2006822057999</v>
      </c>
      <c r="E156">
        <v>454.77259806708003</v>
      </c>
      <c r="F156">
        <v>141.92869366799999</v>
      </c>
      <c r="G156">
        <v>118.77410154022</v>
      </c>
      <c r="I156" s="9">
        <f t="shared" si="15"/>
        <v>335.99849652686004</v>
      </c>
      <c r="J156" s="9">
        <f t="shared" si="16"/>
        <v>1354.2719885377999</v>
      </c>
      <c r="K156" s="9">
        <f t="shared" si="17"/>
        <v>335.99849652686004</v>
      </c>
      <c r="L156" s="10">
        <f t="shared" si="14"/>
        <v>0.24810267019525065</v>
      </c>
      <c r="M156" s="10">
        <f t="shared" si="18"/>
        <v>0.24815360068070136</v>
      </c>
      <c r="P156" s="8">
        <f t="shared" si="19"/>
        <v>33.260375755208649</v>
      </c>
    </row>
    <row r="157" spans="1:16" x14ac:dyDescent="0.2">
      <c r="A157" s="8">
        <v>77.5</v>
      </c>
      <c r="B157" s="8">
        <v>155</v>
      </c>
      <c r="D157">
        <v>1516.3865832859999</v>
      </c>
      <c r="E157">
        <v>456.59010801592001</v>
      </c>
      <c r="F157">
        <v>141.12949229892001</v>
      </c>
      <c r="G157">
        <v>118.69709070165</v>
      </c>
      <c r="I157" s="9">
        <f t="shared" si="15"/>
        <v>337.89301731427003</v>
      </c>
      <c r="J157" s="9">
        <f t="shared" si="16"/>
        <v>1375.2570909870799</v>
      </c>
      <c r="K157" s="9">
        <f t="shared" si="17"/>
        <v>337.89301731427003</v>
      </c>
      <c r="L157" s="10">
        <f t="shared" si="14"/>
        <v>0.24569443744641956</v>
      </c>
      <c r="M157" s="10">
        <f t="shared" si="18"/>
        <v>0.24574569864930826</v>
      </c>
      <c r="P157" s="8">
        <f t="shared" si="19"/>
        <v>31.967314003918379</v>
      </c>
    </row>
    <row r="158" spans="1:16" x14ac:dyDescent="0.2">
      <c r="A158" s="8">
        <v>78</v>
      </c>
      <c r="B158" s="8">
        <v>156</v>
      </c>
      <c r="D158">
        <v>1520.9954519613</v>
      </c>
      <c r="E158">
        <v>450.67538374076003</v>
      </c>
      <c r="F158">
        <v>140.93211637192999</v>
      </c>
      <c r="G158">
        <v>118.44780376497</v>
      </c>
      <c r="I158" s="9">
        <f t="shared" si="15"/>
        <v>332.22757997579004</v>
      </c>
      <c r="J158" s="9">
        <f t="shared" si="16"/>
        <v>1380.0633355893699</v>
      </c>
      <c r="K158" s="9">
        <f t="shared" si="17"/>
        <v>332.22757997579004</v>
      </c>
      <c r="L158" s="10">
        <f t="shared" si="14"/>
        <v>0.24073357461808731</v>
      </c>
      <c r="M158" s="10">
        <f t="shared" si="18"/>
        <v>0.240785166538414</v>
      </c>
      <c r="P158" s="8">
        <f t="shared" si="19"/>
        <v>29.303470435941669</v>
      </c>
    </row>
    <row r="159" spans="1:16" x14ac:dyDescent="0.2">
      <c r="A159" s="8">
        <v>78.5</v>
      </c>
      <c r="B159" s="8">
        <v>157</v>
      </c>
      <c r="D159">
        <v>1510.7214326322</v>
      </c>
      <c r="E159">
        <v>442.88402501421001</v>
      </c>
      <c r="F159">
        <v>141.42783799201001</v>
      </c>
      <c r="G159">
        <v>118.61209355391</v>
      </c>
      <c r="I159" s="9">
        <f t="shared" si="15"/>
        <v>324.27193146030004</v>
      </c>
      <c r="J159" s="9">
        <f t="shared" si="16"/>
        <v>1369.2935946401901</v>
      </c>
      <c r="K159" s="9">
        <f t="shared" si="17"/>
        <v>324.27193146030004</v>
      </c>
      <c r="L159" s="10">
        <f t="shared" si="14"/>
        <v>0.23681694906745629</v>
      </c>
      <c r="M159" s="10">
        <f t="shared" si="18"/>
        <v>0.23686887170522097</v>
      </c>
      <c r="P159" s="8">
        <f t="shared" si="19"/>
        <v>27.200390248477476</v>
      </c>
    </row>
    <row r="160" spans="1:16" x14ac:dyDescent="0.2">
      <c r="A160" s="8">
        <v>79</v>
      </c>
      <c r="B160" s="8">
        <v>158</v>
      </c>
      <c r="D160">
        <v>1481.9965889709999</v>
      </c>
      <c r="E160">
        <v>438.00227401933</v>
      </c>
      <c r="F160">
        <v>141.20079863091999</v>
      </c>
      <c r="G160">
        <v>118.54021677125</v>
      </c>
      <c r="I160" s="9">
        <f t="shared" si="15"/>
        <v>319.46205724807999</v>
      </c>
      <c r="J160" s="9">
        <f t="shared" si="16"/>
        <v>1340.79579034008</v>
      </c>
      <c r="K160" s="9">
        <f t="shared" si="17"/>
        <v>319.46205724807999</v>
      </c>
      <c r="L160" s="10">
        <f t="shared" si="14"/>
        <v>0.23826302226609133</v>
      </c>
      <c r="M160" s="10">
        <f t="shared" si="18"/>
        <v>0.23831527562129401</v>
      </c>
      <c r="P160" s="8">
        <f t="shared" si="19"/>
        <v>27.977120180346187</v>
      </c>
    </row>
    <row r="161" spans="1:16" x14ac:dyDescent="0.2">
      <c r="A161" s="8">
        <v>79.5</v>
      </c>
      <c r="B161" s="8">
        <v>159</v>
      </c>
      <c r="D161">
        <v>1487.6299033542</v>
      </c>
      <c r="E161">
        <v>433.68902785673998</v>
      </c>
      <c r="F161">
        <v>141.04563605248001</v>
      </c>
      <c r="G161">
        <v>118.53622361666</v>
      </c>
      <c r="I161" s="9">
        <f t="shared" si="15"/>
        <v>315.15280424008</v>
      </c>
      <c r="J161" s="9">
        <f t="shared" si="16"/>
        <v>1346.58426730172</v>
      </c>
      <c r="K161" s="9">
        <f t="shared" si="17"/>
        <v>315.15280424008</v>
      </c>
      <c r="L161" s="10">
        <f t="shared" si="14"/>
        <v>0.23403867986040108</v>
      </c>
      <c r="M161" s="10">
        <f t="shared" si="18"/>
        <v>0.23409126393304178</v>
      </c>
      <c r="P161" s="8">
        <f t="shared" si="19"/>
        <v>25.708793695351279</v>
      </c>
    </row>
    <row r="162" spans="1:16" x14ac:dyDescent="0.2">
      <c r="A162" s="8">
        <v>80</v>
      </c>
      <c r="B162" s="4">
        <v>160</v>
      </c>
      <c r="C162" s="4" t="s">
        <v>6</v>
      </c>
      <c r="D162">
        <v>1485.0045480387</v>
      </c>
      <c r="E162">
        <v>430.03524729959997</v>
      </c>
      <c r="F162">
        <v>141.25841414717999</v>
      </c>
      <c r="G162">
        <v>118.47290359384</v>
      </c>
      <c r="H162" s="4"/>
      <c r="I162" s="5">
        <f t="shared" si="15"/>
        <v>311.56234370575999</v>
      </c>
      <c r="J162" s="5">
        <f t="shared" si="16"/>
        <v>1343.74613389152</v>
      </c>
      <c r="K162" s="9">
        <f t="shared" si="17"/>
        <v>311.56234370575999</v>
      </c>
      <c r="L162" s="6">
        <f t="shared" si="14"/>
        <v>0.23186101589253932</v>
      </c>
      <c r="M162" s="6">
        <f t="shared" si="18"/>
        <v>0.23191393068261801</v>
      </c>
      <c r="N162" s="4"/>
      <c r="O162" s="4"/>
      <c r="P162" s="4">
        <f t="shared" si="19"/>
        <v>24.539549137545649</v>
      </c>
    </row>
    <row r="163" spans="1:16" x14ac:dyDescent="0.2">
      <c r="A163" s="8">
        <v>80.5</v>
      </c>
      <c r="B163" s="8">
        <v>161</v>
      </c>
      <c r="D163">
        <v>1492.6856168277</v>
      </c>
      <c r="E163">
        <v>430.45935190449001</v>
      </c>
      <c r="F163">
        <v>141.42441528808001</v>
      </c>
      <c r="G163">
        <v>118.39988590986999</v>
      </c>
      <c r="I163" s="9">
        <f t="shared" si="15"/>
        <v>312.05946599462004</v>
      </c>
      <c r="J163" s="9">
        <f t="shared" si="16"/>
        <v>1351.2612015396198</v>
      </c>
      <c r="K163" s="9">
        <f t="shared" si="17"/>
        <v>312.05946599462004</v>
      </c>
      <c r="L163" s="10">
        <f t="shared" si="14"/>
        <v>0.23093941100289206</v>
      </c>
      <c r="M163" s="10">
        <f t="shared" si="18"/>
        <v>0.23099265651040873</v>
      </c>
      <c r="P163" s="8">
        <f t="shared" si="19"/>
        <v>24.044817882285148</v>
      </c>
    </row>
    <row r="164" spans="1:16" x14ac:dyDescent="0.2">
      <c r="A164" s="8">
        <v>81</v>
      </c>
      <c r="B164" s="8">
        <v>162</v>
      </c>
      <c r="D164">
        <v>1493.3041500853001</v>
      </c>
      <c r="E164">
        <v>427.41102899374999</v>
      </c>
      <c r="F164">
        <v>141.06788362807001</v>
      </c>
      <c r="G164">
        <v>118.19167142041999</v>
      </c>
      <c r="I164" s="9">
        <f t="shared" si="15"/>
        <v>309.21935757333</v>
      </c>
      <c r="J164" s="9">
        <f t="shared" si="16"/>
        <v>1352.2362664572302</v>
      </c>
      <c r="K164" s="9">
        <f t="shared" si="17"/>
        <v>309.21935757333</v>
      </c>
      <c r="L164" s="10">
        <f t="shared" si="14"/>
        <v>0.228672581296362</v>
      </c>
      <c r="M164" s="10">
        <f t="shared" si="18"/>
        <v>0.22872615752131667</v>
      </c>
      <c r="P164" s="8">
        <f t="shared" si="19"/>
        <v>22.827690642919251</v>
      </c>
    </row>
    <row r="165" spans="1:16" x14ac:dyDescent="0.2">
      <c r="A165" s="8">
        <v>81.5</v>
      </c>
      <c r="B165" s="8">
        <v>163</v>
      </c>
      <c r="D165">
        <v>1531.7485779295</v>
      </c>
      <c r="E165">
        <v>430.72639362912003</v>
      </c>
      <c r="F165">
        <v>140.82772390188001</v>
      </c>
      <c r="G165">
        <v>118.76155162578</v>
      </c>
      <c r="I165" s="9">
        <f t="shared" si="15"/>
        <v>311.96484200334004</v>
      </c>
      <c r="J165" s="9">
        <f t="shared" si="16"/>
        <v>1390.92085402762</v>
      </c>
      <c r="K165" s="9">
        <f t="shared" si="17"/>
        <v>311.96484200334004</v>
      </c>
      <c r="L165" s="10">
        <f t="shared" si="14"/>
        <v>0.22428655167545949</v>
      </c>
      <c r="M165" s="10">
        <f t="shared" si="18"/>
        <v>0.22434045861785215</v>
      </c>
      <c r="P165" s="8">
        <f t="shared" si="19"/>
        <v>20.472536890478295</v>
      </c>
    </row>
    <row r="166" spans="1:16" x14ac:dyDescent="0.2">
      <c r="A166" s="8">
        <v>82</v>
      </c>
      <c r="B166" s="8">
        <v>164</v>
      </c>
      <c r="D166">
        <v>1523.1177474403</v>
      </c>
      <c r="E166">
        <v>428.45790671216997</v>
      </c>
      <c r="F166">
        <v>140.86138049058999</v>
      </c>
      <c r="G166">
        <v>118.34854535082999</v>
      </c>
      <c r="I166" s="9">
        <f t="shared" si="15"/>
        <v>310.10936136134001</v>
      </c>
      <c r="J166" s="9">
        <f t="shared" si="16"/>
        <v>1382.2563669497101</v>
      </c>
      <c r="K166" s="9">
        <f t="shared" si="17"/>
        <v>310.10936136134001</v>
      </c>
      <c r="L166" s="10">
        <f t="shared" si="14"/>
        <v>0.22435010521649676</v>
      </c>
      <c r="M166" s="10">
        <f t="shared" si="18"/>
        <v>0.22440434287632741</v>
      </c>
      <c r="P166" s="8">
        <f t="shared" si="19"/>
        <v>20.506843224401734</v>
      </c>
    </row>
    <row r="167" spans="1:16" x14ac:dyDescent="0.2">
      <c r="A167" s="8">
        <v>82.5</v>
      </c>
      <c r="B167" s="8">
        <v>165</v>
      </c>
      <c r="D167">
        <v>1479.1205915813</v>
      </c>
      <c r="E167">
        <v>414.74630261661002</v>
      </c>
      <c r="F167">
        <v>140.97490017114001</v>
      </c>
      <c r="G167">
        <v>118.3696520251</v>
      </c>
      <c r="I167" s="9">
        <f t="shared" si="15"/>
        <v>296.37665059151004</v>
      </c>
      <c r="J167" s="9">
        <f t="shared" si="16"/>
        <v>1338.14569141016</v>
      </c>
      <c r="K167" s="9">
        <f t="shared" si="17"/>
        <v>296.37665059151004</v>
      </c>
      <c r="L167" s="10">
        <f t="shared" si="14"/>
        <v>0.22148309596930618</v>
      </c>
      <c r="M167" s="10">
        <f t="shared" si="18"/>
        <v>0.22153766434657482</v>
      </c>
      <c r="P167" s="8">
        <f t="shared" si="19"/>
        <v>18.967414995287477</v>
      </c>
    </row>
    <row r="168" spans="1:16" x14ac:dyDescent="0.2">
      <c r="A168" s="8">
        <v>83</v>
      </c>
      <c r="B168" s="8">
        <v>166</v>
      </c>
      <c r="D168">
        <v>1458.6336746303</v>
      </c>
      <c r="E168">
        <v>410.09783845278997</v>
      </c>
      <c r="F168">
        <v>141.07929264118999</v>
      </c>
      <c r="G168">
        <v>118.40559041643</v>
      </c>
      <c r="I168" s="9">
        <f t="shared" si="15"/>
        <v>291.69224803635996</v>
      </c>
      <c r="J168" s="9">
        <f t="shared" si="16"/>
        <v>1317.55438198911</v>
      </c>
      <c r="K168" s="9">
        <f t="shared" si="17"/>
        <v>291.69224803635996</v>
      </c>
      <c r="L168" s="10">
        <f t="shared" si="14"/>
        <v>0.22138915252666275</v>
      </c>
      <c r="M168" s="10">
        <f t="shared" si="18"/>
        <v>0.22144405162136938</v>
      </c>
      <c r="P168" s="8">
        <f t="shared" si="19"/>
        <v>18.917144248048157</v>
      </c>
    </row>
    <row r="169" spans="1:16" x14ac:dyDescent="0.2">
      <c r="A169" s="8">
        <v>83.5</v>
      </c>
      <c r="B169" s="8">
        <v>167</v>
      </c>
      <c r="D169">
        <v>1475.1734926052</v>
      </c>
      <c r="E169">
        <v>410.56427758817</v>
      </c>
      <c r="F169">
        <v>140.97832287507001</v>
      </c>
      <c r="G169">
        <v>118.26754135767</v>
      </c>
      <c r="I169" s="9">
        <f t="shared" si="15"/>
        <v>292.29673623050002</v>
      </c>
      <c r="J169" s="9">
        <f t="shared" si="16"/>
        <v>1334.1951697301299</v>
      </c>
      <c r="K169" s="9">
        <f t="shared" si="17"/>
        <v>292.29673623050002</v>
      </c>
      <c r="L169" s="10">
        <f t="shared" si="14"/>
        <v>0.21908094322483823</v>
      </c>
      <c r="M169" s="10">
        <f t="shared" si="18"/>
        <v>0.21913617303698285</v>
      </c>
      <c r="P169" s="8">
        <f t="shared" si="19"/>
        <v>17.677795850486643</v>
      </c>
    </row>
    <row r="170" spans="1:16" x14ac:dyDescent="0.2">
      <c r="A170" s="8">
        <v>84</v>
      </c>
      <c r="B170" s="8">
        <v>168</v>
      </c>
      <c r="D170">
        <v>1483.2229806598</v>
      </c>
      <c r="E170">
        <v>409.98350398180003</v>
      </c>
      <c r="F170">
        <v>140.87735310895999</v>
      </c>
      <c r="G170">
        <v>118.43810610382</v>
      </c>
      <c r="I170" s="9">
        <f t="shared" si="15"/>
        <v>291.54539787798001</v>
      </c>
      <c r="J170" s="9">
        <f t="shared" si="16"/>
        <v>1342.3456275508399</v>
      </c>
      <c r="K170" s="9">
        <f t="shared" si="17"/>
        <v>291.54539787798001</v>
      </c>
      <c r="L170" s="10">
        <f t="shared" si="14"/>
        <v>0.21719100646970896</v>
      </c>
      <c r="M170" s="10">
        <f t="shared" si="18"/>
        <v>0.21724656699929157</v>
      </c>
      <c r="P170" s="8">
        <f t="shared" si="19"/>
        <v>16.663062999859765</v>
      </c>
    </row>
    <row r="171" spans="1:16" x14ac:dyDescent="0.2">
      <c r="A171" s="8">
        <v>84.5</v>
      </c>
      <c r="B171" s="8">
        <v>169</v>
      </c>
      <c r="D171">
        <v>1480.6797497156001</v>
      </c>
      <c r="E171">
        <v>408.16268486916999</v>
      </c>
      <c r="F171">
        <v>140.91215059896999</v>
      </c>
      <c r="G171">
        <v>118.47518539646001</v>
      </c>
      <c r="I171" s="9">
        <f t="shared" si="15"/>
        <v>289.68749947270999</v>
      </c>
      <c r="J171" s="9">
        <f t="shared" si="16"/>
        <v>1339.7675991166302</v>
      </c>
      <c r="K171" s="9">
        <f t="shared" si="17"/>
        <v>289.68749947270999</v>
      </c>
      <c r="L171" s="10">
        <f t="shared" si="14"/>
        <v>0.21622220127111161</v>
      </c>
      <c r="M171" s="10">
        <f t="shared" si="18"/>
        <v>0.21627809251813221</v>
      </c>
      <c r="P171" s="8">
        <f t="shared" si="19"/>
        <v>16.142984818787202</v>
      </c>
    </row>
    <row r="172" spans="1:16" x14ac:dyDescent="0.2">
      <c r="A172" s="8">
        <v>85</v>
      </c>
      <c r="B172" s="8">
        <v>170</v>
      </c>
      <c r="D172">
        <v>1477.5699658702999</v>
      </c>
      <c r="E172">
        <v>406.48634812287003</v>
      </c>
      <c r="F172">
        <v>141.02738163148999</v>
      </c>
      <c r="G172">
        <v>118.45693097547</v>
      </c>
      <c r="I172" s="9">
        <f t="shared" si="15"/>
        <v>288.02941714740001</v>
      </c>
      <c r="J172" s="9">
        <f t="shared" si="16"/>
        <v>1336.5425842388099</v>
      </c>
      <c r="K172" s="9">
        <f t="shared" si="17"/>
        <v>288.02941714740001</v>
      </c>
      <c r="L172" s="10">
        <f t="shared" si="14"/>
        <v>0.21550335959661102</v>
      </c>
      <c r="M172" s="10">
        <f t="shared" si="18"/>
        <v>0.21555958156106961</v>
      </c>
      <c r="P172" s="8">
        <f t="shared" si="19"/>
        <v>15.757138956145067</v>
      </c>
    </row>
    <row r="173" spans="1:16" x14ac:dyDescent="0.2">
      <c r="A173" s="8">
        <v>85.5</v>
      </c>
      <c r="B173" s="8">
        <v>171</v>
      </c>
      <c r="D173">
        <v>1493.6194539249</v>
      </c>
      <c r="E173">
        <v>406.43344709898003</v>
      </c>
      <c r="F173">
        <v>141.16257843696999</v>
      </c>
      <c r="G173">
        <v>118.43810610382</v>
      </c>
      <c r="I173" s="9">
        <f t="shared" si="15"/>
        <v>287.99534099516001</v>
      </c>
      <c r="J173" s="9">
        <f t="shared" si="16"/>
        <v>1352.4568754879299</v>
      </c>
      <c r="K173" s="9">
        <f t="shared" si="17"/>
        <v>287.99534099516001</v>
      </c>
      <c r="L173" s="10">
        <f t="shared" si="14"/>
        <v>0.21294234678740426</v>
      </c>
      <c r="M173" s="10">
        <f t="shared" si="18"/>
        <v>0.21299889946930084</v>
      </c>
      <c r="P173" s="8">
        <f t="shared" si="19"/>
        <v>14.382033147473731</v>
      </c>
    </row>
    <row r="174" spans="1:16" x14ac:dyDescent="0.2">
      <c r="A174" s="8">
        <v>86</v>
      </c>
      <c r="B174" s="8">
        <v>172</v>
      </c>
      <c r="D174">
        <v>1482.3226361032</v>
      </c>
      <c r="E174">
        <v>392.07106017192001</v>
      </c>
      <c r="F174">
        <v>140.81403308614</v>
      </c>
      <c r="G174">
        <v>118.39988590986999</v>
      </c>
      <c r="I174" s="9">
        <f t="shared" si="15"/>
        <v>273.67117426205004</v>
      </c>
      <c r="J174" s="9">
        <f t="shared" si="16"/>
        <v>1341.5086030170601</v>
      </c>
      <c r="K174" s="9">
        <f t="shared" si="17"/>
        <v>273.67117426205004</v>
      </c>
      <c r="L174" s="10">
        <f t="shared" si="14"/>
        <v>0.20400254880703866</v>
      </c>
      <c r="M174" s="10">
        <f t="shared" si="18"/>
        <v>0.20405943220637324</v>
      </c>
      <c r="P174" s="8">
        <f t="shared" si="19"/>
        <v>9.5814710631784799</v>
      </c>
    </row>
    <row r="175" spans="1:16" x14ac:dyDescent="0.2">
      <c r="A175" s="8">
        <v>86.5</v>
      </c>
      <c r="B175" s="8">
        <v>173</v>
      </c>
      <c r="D175">
        <v>1489.2550143266999</v>
      </c>
      <c r="E175">
        <v>390.97306590258</v>
      </c>
      <c r="F175">
        <v>141.41814033086001</v>
      </c>
      <c r="G175">
        <v>118.53622361666</v>
      </c>
      <c r="I175" s="9">
        <f t="shared" si="15"/>
        <v>272.43684228592002</v>
      </c>
      <c r="J175" s="9">
        <f t="shared" si="16"/>
        <v>1347.8368739958398</v>
      </c>
      <c r="K175" s="9">
        <f t="shared" si="17"/>
        <v>272.43684228592002</v>
      </c>
      <c r="L175" s="10">
        <f t="shared" si="14"/>
        <v>0.20212894270969539</v>
      </c>
      <c r="M175" s="10">
        <f t="shared" si="18"/>
        <v>0.20218615682646796</v>
      </c>
      <c r="P175" s="8">
        <f t="shared" si="19"/>
        <v>8.5755079003051691</v>
      </c>
    </row>
    <row r="176" spans="1:16" x14ac:dyDescent="0.2">
      <c r="A176" s="8">
        <v>87</v>
      </c>
      <c r="B176" s="8">
        <v>174</v>
      </c>
      <c r="D176">
        <v>1526.4882521489999</v>
      </c>
      <c r="E176">
        <v>398.83094555873998</v>
      </c>
      <c r="F176">
        <v>140.93896177981</v>
      </c>
      <c r="G176">
        <v>118.31602966343</v>
      </c>
      <c r="I176" s="9">
        <f t="shared" si="15"/>
        <v>280.51491589530997</v>
      </c>
      <c r="J176" s="9">
        <f t="shared" si="16"/>
        <v>1385.54929036919</v>
      </c>
      <c r="K176" s="9">
        <f t="shared" si="17"/>
        <v>280.51491589530997</v>
      </c>
      <c r="L176" s="10">
        <f t="shared" si="14"/>
        <v>0.20245755083932429</v>
      </c>
      <c r="M176" s="10">
        <f t="shared" si="18"/>
        <v>0.20251509567353485</v>
      </c>
      <c r="P176" s="8">
        <f t="shared" si="19"/>
        <v>8.7521505693632768</v>
      </c>
    </row>
    <row r="177" spans="1:16" x14ac:dyDescent="0.2">
      <c r="A177" s="8">
        <v>87.5</v>
      </c>
      <c r="B177" s="8">
        <v>175</v>
      </c>
      <c r="D177">
        <v>1532.7340974212</v>
      </c>
      <c r="E177">
        <v>399.90085959884999</v>
      </c>
      <c r="F177">
        <v>141.14033086137999</v>
      </c>
      <c r="G177">
        <v>118.55162578437</v>
      </c>
      <c r="I177" s="9">
        <f t="shared" si="15"/>
        <v>281.34923381447999</v>
      </c>
      <c r="J177" s="9">
        <f t="shared" si="16"/>
        <v>1391.5937665598199</v>
      </c>
      <c r="K177" s="9">
        <f t="shared" si="17"/>
        <v>281.34923381447999</v>
      </c>
      <c r="L177" s="10">
        <f t="shared" si="14"/>
        <v>0.20217770485564024</v>
      </c>
      <c r="M177" s="10">
        <f t="shared" si="18"/>
        <v>0.20223558040728878</v>
      </c>
      <c r="P177" s="8">
        <f t="shared" si="19"/>
        <v>8.6020487400644363</v>
      </c>
    </row>
    <row r="178" spans="1:16" x14ac:dyDescent="0.2">
      <c r="A178" s="8">
        <v>88</v>
      </c>
      <c r="B178" s="8">
        <v>176</v>
      </c>
      <c r="D178">
        <v>1520.4934097421001</v>
      </c>
      <c r="E178">
        <v>396.53065902578999</v>
      </c>
      <c r="F178">
        <v>140.80262407302001</v>
      </c>
      <c r="G178">
        <v>118.12606959498</v>
      </c>
      <c r="I178" s="9">
        <f t="shared" si="15"/>
        <v>278.40458943081001</v>
      </c>
      <c r="J178" s="9">
        <f t="shared" si="16"/>
        <v>1379.69078566908</v>
      </c>
      <c r="K178" s="9">
        <f t="shared" si="17"/>
        <v>278.40458943081001</v>
      </c>
      <c r="L178" s="10">
        <f t="shared" si="14"/>
        <v>0.20178767034078429</v>
      </c>
      <c r="M178" s="10">
        <f t="shared" si="18"/>
        <v>0.20184587660987083</v>
      </c>
      <c r="P178" s="8">
        <f t="shared" si="19"/>
        <v>8.3927748293305378</v>
      </c>
    </row>
    <row r="179" spans="1:16" x14ac:dyDescent="0.2">
      <c r="A179" s="8">
        <v>88.5</v>
      </c>
      <c r="B179" s="8">
        <v>177</v>
      </c>
      <c r="D179">
        <v>1523.2739255014001</v>
      </c>
      <c r="E179">
        <v>397.31747851003001</v>
      </c>
      <c r="F179">
        <v>140.58300057045</v>
      </c>
      <c r="G179">
        <v>118.13405590415999</v>
      </c>
      <c r="I179" s="9">
        <f t="shared" si="15"/>
        <v>279.18342260587002</v>
      </c>
      <c r="J179" s="9">
        <f t="shared" si="16"/>
        <v>1382.6909249309501</v>
      </c>
      <c r="K179" s="9">
        <f t="shared" si="17"/>
        <v>279.18342260587002</v>
      </c>
      <c r="L179" s="10">
        <f t="shared" si="14"/>
        <v>0.2019131083975344</v>
      </c>
      <c r="M179" s="10">
        <f t="shared" si="18"/>
        <v>0.20197164538405893</v>
      </c>
      <c r="P179" s="8">
        <f t="shared" si="19"/>
        <v>8.4603136200658096</v>
      </c>
    </row>
    <row r="180" spans="1:16" x14ac:dyDescent="0.2">
      <c r="A180" s="8">
        <v>89</v>
      </c>
      <c r="B180" s="8">
        <v>178</v>
      </c>
      <c r="D180">
        <v>1511.3518624641999</v>
      </c>
      <c r="E180">
        <v>393.38624641834002</v>
      </c>
      <c r="F180">
        <v>141.24244152880999</v>
      </c>
      <c r="G180">
        <v>118.16086708500001</v>
      </c>
      <c r="I180" s="9">
        <f t="shared" si="15"/>
        <v>275.22537933334002</v>
      </c>
      <c r="J180" s="9">
        <f t="shared" si="16"/>
        <v>1370.1094209353901</v>
      </c>
      <c r="K180" s="9">
        <f t="shared" si="17"/>
        <v>275.22537933334002</v>
      </c>
      <c r="L180" s="10">
        <f t="shared" si="14"/>
        <v>0.20087839345374353</v>
      </c>
      <c r="M180" s="10">
        <f t="shared" si="18"/>
        <v>0.20093726115770605</v>
      </c>
      <c r="P180" s="8">
        <f t="shared" si="19"/>
        <v>7.9048414032576115</v>
      </c>
    </row>
    <row r="181" spans="1:16" x14ac:dyDescent="0.2">
      <c r="A181" s="8">
        <v>89.5</v>
      </c>
      <c r="B181" s="8">
        <v>179</v>
      </c>
      <c r="D181">
        <v>1512.5312320917001</v>
      </c>
      <c r="E181">
        <v>394.55931232092001</v>
      </c>
      <c r="F181">
        <v>140.62920707359001</v>
      </c>
      <c r="G181">
        <v>118.26925270964</v>
      </c>
      <c r="I181" s="9">
        <f t="shared" si="15"/>
        <v>276.29005961128001</v>
      </c>
      <c r="J181" s="9">
        <f t="shared" si="16"/>
        <v>1371.9020250181102</v>
      </c>
      <c r="K181" s="9">
        <f t="shared" si="17"/>
        <v>276.29005961128001</v>
      </c>
      <c r="L181" s="10">
        <f t="shared" si="14"/>
        <v>0.2013919759376642</v>
      </c>
      <c r="M181" s="10">
        <f t="shared" si="18"/>
        <v>0.20145117435906471</v>
      </c>
      <c r="P181" s="8">
        <f t="shared" si="19"/>
        <v>8.1808167110136143</v>
      </c>
    </row>
    <row r="182" spans="1:16" x14ac:dyDescent="0.2">
      <c r="A182" s="8">
        <v>90</v>
      </c>
      <c r="B182" s="8">
        <v>180</v>
      </c>
      <c r="D182">
        <v>1550.6045845271999</v>
      </c>
      <c r="E182">
        <v>398.59598853867999</v>
      </c>
      <c r="F182">
        <v>141.05134055904</v>
      </c>
      <c r="G182">
        <v>118.31089560753</v>
      </c>
      <c r="I182" s="9">
        <f t="shared" si="15"/>
        <v>280.28509293114996</v>
      </c>
      <c r="J182" s="9">
        <f t="shared" si="16"/>
        <v>1409.5532439681599</v>
      </c>
      <c r="K182" s="9">
        <f t="shared" si="17"/>
        <v>280.28509293114996</v>
      </c>
      <c r="L182" s="10">
        <f t="shared" si="14"/>
        <v>0.19884675809910821</v>
      </c>
      <c r="M182" s="10">
        <f>L182+ABS($N$2)*A182</f>
        <v>0.19890628723794671</v>
      </c>
      <c r="P182" s="8">
        <f t="shared" si="19"/>
        <v>6.8141929220195667</v>
      </c>
    </row>
    <row r="183" spans="1:16" x14ac:dyDescent="0.2">
      <c r="A183" s="8">
        <v>90.5</v>
      </c>
      <c r="B183" s="8">
        <v>181</v>
      </c>
      <c r="D183">
        <v>1558.5925501433001</v>
      </c>
      <c r="E183">
        <v>399.20114613180999</v>
      </c>
      <c r="F183">
        <v>140.91614375357</v>
      </c>
      <c r="G183">
        <v>118.05476326298</v>
      </c>
      <c r="I183" s="9">
        <f t="shared" si="15"/>
        <v>281.14638286882996</v>
      </c>
      <c r="J183" s="9">
        <f t="shared" si="16"/>
        <v>1417.6764063897301</v>
      </c>
      <c r="K183" s="9">
        <f t="shared" si="17"/>
        <v>281.14638286882996</v>
      </c>
      <c r="L183" s="10">
        <f t="shared" si="14"/>
        <v>0.19831491982348803</v>
      </c>
      <c r="M183" s="10">
        <f t="shared" ref="M183:M241" si="20">L183+ABS($N$2)*A183</f>
        <v>0.19837477967976452</v>
      </c>
      <c r="P183" s="8">
        <f t="shared" si="19"/>
        <v>6.528769310491052</v>
      </c>
    </row>
    <row r="184" spans="1:16" x14ac:dyDescent="0.2">
      <c r="A184" s="8">
        <v>91</v>
      </c>
      <c r="B184" s="8">
        <v>182</v>
      </c>
      <c r="D184">
        <v>1542.3461318052</v>
      </c>
      <c r="E184">
        <v>393.26246418338002</v>
      </c>
      <c r="F184">
        <v>140.35596120936</v>
      </c>
      <c r="G184">
        <v>118.09070165431</v>
      </c>
      <c r="I184" s="9">
        <f t="shared" si="15"/>
        <v>275.17176252907001</v>
      </c>
      <c r="J184" s="9">
        <f t="shared" si="16"/>
        <v>1401.99017059584</v>
      </c>
      <c r="K184" s="9">
        <f t="shared" si="17"/>
        <v>275.17176252907001</v>
      </c>
      <c r="L184" s="10">
        <f t="shared" si="14"/>
        <v>0.19627224805158452</v>
      </c>
      <c r="M184" s="10">
        <f t="shared" si="20"/>
        <v>0.19633243862529901</v>
      </c>
      <c r="P184" s="8">
        <f t="shared" si="19"/>
        <v>5.4320165912405436</v>
      </c>
    </row>
    <row r="185" spans="1:16" x14ac:dyDescent="0.2">
      <c r="A185" s="8">
        <v>91.5</v>
      </c>
      <c r="B185" s="8">
        <v>183</v>
      </c>
      <c r="D185">
        <v>1507.841260745</v>
      </c>
      <c r="E185">
        <v>383.92779369627999</v>
      </c>
      <c r="F185">
        <v>140.81175128351001</v>
      </c>
      <c r="G185">
        <v>117.93953223046</v>
      </c>
      <c r="I185" s="9">
        <f t="shared" si="15"/>
        <v>265.98826146581996</v>
      </c>
      <c r="J185" s="9">
        <f t="shared" si="16"/>
        <v>1367.0295094614901</v>
      </c>
      <c r="K185" s="9">
        <f t="shared" si="17"/>
        <v>265.98826146581996</v>
      </c>
      <c r="L185" s="10">
        <f t="shared" si="14"/>
        <v>0.19457389882578316</v>
      </c>
      <c r="M185" s="10">
        <f t="shared" si="20"/>
        <v>0.19463442011693563</v>
      </c>
      <c r="P185" s="8">
        <f t="shared" si="19"/>
        <v>4.5201677047319224</v>
      </c>
    </row>
    <row r="186" spans="1:16" x14ac:dyDescent="0.2">
      <c r="A186" s="8">
        <v>92</v>
      </c>
      <c r="B186" s="8">
        <v>184</v>
      </c>
      <c r="D186">
        <v>1503.6716332378001</v>
      </c>
      <c r="E186">
        <v>381.45558739255</v>
      </c>
      <c r="F186">
        <v>140.66115231033001</v>
      </c>
      <c r="G186">
        <v>118.26525955504999</v>
      </c>
      <c r="I186" s="9">
        <f t="shared" si="15"/>
        <v>263.19032783750004</v>
      </c>
      <c r="J186" s="9">
        <f t="shared" si="16"/>
        <v>1363.0104809274701</v>
      </c>
      <c r="K186" s="9">
        <f t="shared" si="17"/>
        <v>263.19032783750004</v>
      </c>
      <c r="L186" s="10">
        <f t="shared" si="14"/>
        <v>0.19309486722245181</v>
      </c>
      <c r="M186" s="10">
        <f t="shared" si="20"/>
        <v>0.19315571923104227</v>
      </c>
      <c r="P186" s="8">
        <f t="shared" si="19"/>
        <v>3.7260940538028948</v>
      </c>
    </row>
    <row r="187" spans="1:16" x14ac:dyDescent="0.2">
      <c r="A187" s="8">
        <v>92.5</v>
      </c>
      <c r="B187" s="8">
        <v>185</v>
      </c>
      <c r="D187">
        <v>1509.8343839541999</v>
      </c>
      <c r="E187">
        <v>380.62464183381002</v>
      </c>
      <c r="F187">
        <v>141.09754706218001</v>
      </c>
      <c r="G187">
        <v>118.25727324586001</v>
      </c>
      <c r="I187" s="9">
        <f t="shared" si="15"/>
        <v>262.36736858795001</v>
      </c>
      <c r="J187" s="9">
        <f t="shared" si="16"/>
        <v>1368.7368368920199</v>
      </c>
      <c r="K187" s="9">
        <f t="shared" si="17"/>
        <v>262.36736858795001</v>
      </c>
      <c r="L187" s="10">
        <f t="shared" si="14"/>
        <v>0.19168576567553011</v>
      </c>
      <c r="M187" s="10">
        <f t="shared" si="20"/>
        <v>0.19174694840155856</v>
      </c>
      <c r="P187" s="8">
        <f t="shared" si="19"/>
        <v>2.9695733763877321</v>
      </c>
    </row>
    <row r="188" spans="1:16" x14ac:dyDescent="0.2">
      <c r="A188" s="8">
        <v>93</v>
      </c>
      <c r="B188" s="8">
        <v>186</v>
      </c>
      <c r="D188">
        <v>1521.4212034384</v>
      </c>
      <c r="E188">
        <v>381.59598853867999</v>
      </c>
      <c r="F188">
        <v>140.49058756418</v>
      </c>
      <c r="G188">
        <v>118.17284654877</v>
      </c>
      <c r="I188" s="9">
        <f t="shared" si="15"/>
        <v>263.42314198990999</v>
      </c>
      <c r="J188" s="9">
        <f t="shared" si="16"/>
        <v>1380.9306158742199</v>
      </c>
      <c r="K188" s="9">
        <f t="shared" si="17"/>
        <v>263.42314198990999</v>
      </c>
      <c r="L188" s="10">
        <f t="shared" si="14"/>
        <v>0.19075769554370103</v>
      </c>
      <c r="M188" s="10">
        <f t="shared" si="20"/>
        <v>0.19081920898716748</v>
      </c>
      <c r="P188" s="8">
        <f t="shared" si="19"/>
        <v>2.471370236777644</v>
      </c>
    </row>
    <row r="189" spans="1:16" x14ac:dyDescent="0.2">
      <c r="A189" s="8">
        <v>93.5</v>
      </c>
      <c r="B189" s="8">
        <v>187</v>
      </c>
      <c r="D189">
        <v>1518.3679083095001</v>
      </c>
      <c r="E189">
        <v>379.55873925500998</v>
      </c>
      <c r="F189">
        <v>140.50199657729999</v>
      </c>
      <c r="G189">
        <v>117.92812321734</v>
      </c>
      <c r="I189" s="9">
        <f t="shared" si="15"/>
        <v>261.63061603766999</v>
      </c>
      <c r="J189" s="9">
        <f t="shared" si="16"/>
        <v>1377.8659117322002</v>
      </c>
      <c r="K189" s="9">
        <f t="shared" si="17"/>
        <v>261.63061603766999</v>
      </c>
      <c r="L189" s="10">
        <f t="shared" si="14"/>
        <v>0.18988104271246395</v>
      </c>
      <c r="M189" s="10">
        <f t="shared" si="20"/>
        <v>0.18994288687336838</v>
      </c>
      <c r="P189" s="8">
        <f t="shared" si="19"/>
        <v>2.0007785796461994</v>
      </c>
    </row>
    <row r="190" spans="1:16" x14ac:dyDescent="0.2">
      <c r="A190" s="8">
        <v>94</v>
      </c>
      <c r="B190" s="8">
        <v>188</v>
      </c>
      <c r="D190">
        <v>1600.8383954154999</v>
      </c>
      <c r="E190">
        <v>389.82979942692998</v>
      </c>
      <c r="F190">
        <v>140.65944095835999</v>
      </c>
      <c r="G190">
        <v>118.03194523674</v>
      </c>
      <c r="I190" s="9">
        <f t="shared" si="15"/>
        <v>271.79785419018998</v>
      </c>
      <c r="J190" s="9">
        <f t="shared" si="16"/>
        <v>1460.17895445714</v>
      </c>
      <c r="K190" s="9">
        <f t="shared" si="17"/>
        <v>271.79785419018998</v>
      </c>
      <c r="L190" s="10">
        <f t="shared" si="14"/>
        <v>0.18614009834927253</v>
      </c>
      <c r="M190" s="10">
        <f t="shared" si="20"/>
        <v>0.18620227322761498</v>
      </c>
      <c r="P190" s="8">
        <f t="shared" si="19"/>
        <v>-7.9594705807896834E-3</v>
      </c>
    </row>
    <row r="191" spans="1:16" x14ac:dyDescent="0.2">
      <c r="A191" s="8">
        <v>94.5</v>
      </c>
      <c r="B191" s="8">
        <v>189</v>
      </c>
      <c r="D191">
        <v>1581.9633657699001</v>
      </c>
      <c r="E191">
        <v>387.17744705208997</v>
      </c>
      <c r="F191">
        <v>140.37934968625001</v>
      </c>
      <c r="G191">
        <v>118.04620650314</v>
      </c>
      <c r="I191" s="9">
        <f t="shared" si="15"/>
        <v>269.13124054894996</v>
      </c>
      <c r="J191" s="9">
        <f t="shared" si="16"/>
        <v>1441.5840160836501</v>
      </c>
      <c r="K191" s="9">
        <f t="shared" si="17"/>
        <v>269.13124054894996</v>
      </c>
      <c r="L191" s="10">
        <f t="shared" si="14"/>
        <v>0.18669133227496412</v>
      </c>
      <c r="M191" s="10">
        <f t="shared" si="20"/>
        <v>0.18675383787074457</v>
      </c>
      <c r="P191" s="8">
        <f t="shared" si="19"/>
        <v>0.28823494850124531</v>
      </c>
    </row>
    <row r="192" spans="1:16" x14ac:dyDescent="0.2">
      <c r="A192" s="8">
        <v>95</v>
      </c>
      <c r="B192" s="8">
        <v>190</v>
      </c>
      <c r="D192">
        <v>1602.0761305093999</v>
      </c>
      <c r="E192">
        <v>389.87235260447</v>
      </c>
      <c r="F192">
        <v>140.50427837992001</v>
      </c>
      <c r="G192">
        <v>117.90986879635</v>
      </c>
      <c r="I192" s="9">
        <f t="shared" si="15"/>
        <v>271.96248380812</v>
      </c>
      <c r="J192" s="9">
        <f t="shared" si="16"/>
        <v>1461.57185212948</v>
      </c>
      <c r="K192" s="9">
        <f t="shared" si="17"/>
        <v>271.96248380812</v>
      </c>
      <c r="L192" s="10">
        <f t="shared" si="14"/>
        <v>0.18607534307114376</v>
      </c>
      <c r="M192" s="10">
        <f t="shared" si="20"/>
        <v>0.1861381793843622</v>
      </c>
      <c r="P192" s="8">
        <f t="shared" si="19"/>
        <v>-4.2378353127861423E-2</v>
      </c>
    </row>
    <row r="193" spans="1:16" x14ac:dyDescent="0.2">
      <c r="A193" s="8">
        <v>95.5</v>
      </c>
      <c r="B193" s="8">
        <v>191</v>
      </c>
      <c r="D193">
        <v>1602.0973096737</v>
      </c>
      <c r="E193">
        <v>389.50143102460999</v>
      </c>
      <c r="F193">
        <v>140.72846548774001</v>
      </c>
      <c r="G193">
        <v>118.14432401597</v>
      </c>
      <c r="I193" s="9">
        <f t="shared" si="15"/>
        <v>271.35710700864001</v>
      </c>
      <c r="J193" s="9">
        <f t="shared" si="16"/>
        <v>1461.3688441859599</v>
      </c>
      <c r="K193" s="9">
        <f t="shared" si="17"/>
        <v>271.35710700864001</v>
      </c>
      <c r="L193" s="10">
        <f t="shared" si="14"/>
        <v>0.18568693871381706</v>
      </c>
      <c r="M193" s="10">
        <f t="shared" si="20"/>
        <v>0.18575010574447348</v>
      </c>
      <c r="P193" s="8">
        <f t="shared" si="19"/>
        <v>-0.25077685683848433</v>
      </c>
    </row>
    <row r="194" spans="1:16" x14ac:dyDescent="0.2">
      <c r="A194" s="8">
        <v>96</v>
      </c>
      <c r="B194" s="8">
        <v>192</v>
      </c>
      <c r="D194">
        <v>1584.896393818</v>
      </c>
      <c r="E194">
        <v>386.33543216943002</v>
      </c>
      <c r="F194">
        <v>140.29891614375001</v>
      </c>
      <c r="G194">
        <v>118.24700513406</v>
      </c>
      <c r="I194" s="9">
        <f t="shared" si="15"/>
        <v>268.08842703537005</v>
      </c>
      <c r="J194" s="9">
        <f t="shared" si="16"/>
        <v>1444.5974776742501</v>
      </c>
      <c r="K194" s="9">
        <f t="shared" si="17"/>
        <v>268.08842703537005</v>
      </c>
      <c r="L194" s="10">
        <f t="shared" ref="L194:L257" si="21">K194/J194</f>
        <v>0.18558001877933691</v>
      </c>
      <c r="M194" s="10">
        <f t="shared" si="20"/>
        <v>0.18564351652743133</v>
      </c>
      <c r="P194" s="8">
        <f t="shared" si="19"/>
        <v>-0.30801607914083212</v>
      </c>
    </row>
    <row r="195" spans="1:16" x14ac:dyDescent="0.2">
      <c r="A195" s="8">
        <v>96.5</v>
      </c>
      <c r="B195" s="8">
        <v>193</v>
      </c>
      <c r="D195">
        <v>1568.714939897</v>
      </c>
      <c r="E195">
        <v>379.50829994276</v>
      </c>
      <c r="F195">
        <v>140.67598402738</v>
      </c>
      <c r="G195">
        <v>118.08613804906</v>
      </c>
      <c r="I195" s="9">
        <f t="shared" ref="I195:I241" si="22">E195-G195</f>
        <v>261.42216189370004</v>
      </c>
      <c r="J195" s="9">
        <f t="shared" ref="J195:J241" si="23">D195-F195</f>
        <v>1428.0389558696199</v>
      </c>
      <c r="K195" s="9">
        <f t="shared" ref="K195:K258" si="24">I195*1</f>
        <v>261.42216189370004</v>
      </c>
      <c r="L195" s="10">
        <f t="shared" si="21"/>
        <v>0.18306374683910787</v>
      </c>
      <c r="M195" s="10">
        <f t="shared" si="20"/>
        <v>0.18312757530464027</v>
      </c>
      <c r="P195" s="8">
        <f t="shared" ref="P195:P241" si="25">(M195-$O$2)/$O$2*100</f>
        <v>-1.6590957000186823</v>
      </c>
    </row>
    <row r="196" spans="1:16" x14ac:dyDescent="0.2">
      <c r="A196" s="8">
        <v>97</v>
      </c>
      <c r="B196" s="8">
        <v>194</v>
      </c>
      <c r="D196">
        <v>1567.4865483686001</v>
      </c>
      <c r="E196">
        <v>377.79965655409001</v>
      </c>
      <c r="F196">
        <v>140.11180832858</v>
      </c>
      <c r="G196">
        <v>117.72675413576999</v>
      </c>
      <c r="I196" s="9">
        <f t="shared" si="22"/>
        <v>260.07290241832004</v>
      </c>
      <c r="J196" s="9">
        <f t="shared" si="23"/>
        <v>1427.37474004002</v>
      </c>
      <c r="K196" s="9">
        <f t="shared" si="24"/>
        <v>260.07290241832004</v>
      </c>
      <c r="L196" s="10">
        <f t="shared" si="21"/>
        <v>0.18220366041438302</v>
      </c>
      <c r="M196" s="10">
        <f t="shared" si="20"/>
        <v>0.18226781959735341</v>
      </c>
      <c r="P196" s="8">
        <f t="shared" si="25"/>
        <v>-2.1207910705329733</v>
      </c>
    </row>
    <row r="197" spans="1:16" x14ac:dyDescent="0.2">
      <c r="A197" s="8">
        <v>97.5</v>
      </c>
      <c r="B197" s="8">
        <v>195</v>
      </c>
      <c r="D197">
        <v>1543.2203777904999</v>
      </c>
      <c r="E197">
        <v>364.81110475100002</v>
      </c>
      <c r="F197">
        <v>140.62578436965001</v>
      </c>
      <c r="G197">
        <v>117.66742726754001</v>
      </c>
      <c r="I197" s="9">
        <f t="shared" si="22"/>
        <v>247.14367748346001</v>
      </c>
      <c r="J197" s="9">
        <f t="shared" si="23"/>
        <v>1402.5945934208498</v>
      </c>
      <c r="K197" s="9">
        <f t="shared" si="24"/>
        <v>247.14367748346001</v>
      </c>
      <c r="L197" s="10">
        <f t="shared" si="21"/>
        <v>0.17620464148567005</v>
      </c>
      <c r="M197" s="10">
        <f t="shared" si="20"/>
        <v>0.17626913138607844</v>
      </c>
      <c r="P197" s="8">
        <f t="shared" si="25"/>
        <v>-5.3421323804316483</v>
      </c>
    </row>
    <row r="198" spans="1:16" x14ac:dyDescent="0.2">
      <c r="A198" s="8">
        <v>98</v>
      </c>
      <c r="B198" s="8">
        <v>196</v>
      </c>
      <c r="D198">
        <v>1553.1419576416999</v>
      </c>
      <c r="E198">
        <v>365.23182598740999</v>
      </c>
      <c r="F198">
        <v>139.94124358242999</v>
      </c>
      <c r="G198">
        <v>118.18311466058</v>
      </c>
      <c r="I198" s="9">
        <f t="shared" si="22"/>
        <v>247.04871132682999</v>
      </c>
      <c r="J198" s="9">
        <f t="shared" si="23"/>
        <v>1413.20071405927</v>
      </c>
      <c r="K198" s="9">
        <f t="shared" si="24"/>
        <v>247.04871132682999</v>
      </c>
      <c r="L198" s="10">
        <f t="shared" si="21"/>
        <v>0.17481502016596681</v>
      </c>
      <c r="M198" s="10">
        <f t="shared" si="20"/>
        <v>0.17487984078381319</v>
      </c>
      <c r="P198" s="8">
        <f t="shared" si="25"/>
        <v>-6.088192027292318</v>
      </c>
    </row>
    <row r="199" spans="1:16" x14ac:dyDescent="0.2">
      <c r="A199" s="8">
        <v>98.5</v>
      </c>
      <c r="B199" s="8">
        <v>197</v>
      </c>
      <c r="D199">
        <v>1540.3892386949001</v>
      </c>
      <c r="E199">
        <v>359.13050944475998</v>
      </c>
      <c r="F199">
        <v>140.43240159726</v>
      </c>
      <c r="G199">
        <v>118.01882487165</v>
      </c>
      <c r="I199" s="9">
        <f t="shared" si="22"/>
        <v>241.11168457310998</v>
      </c>
      <c r="J199" s="9">
        <f t="shared" si="23"/>
        <v>1399.9568370976401</v>
      </c>
      <c r="K199" s="9">
        <f t="shared" si="24"/>
        <v>241.11168457310998</v>
      </c>
      <c r="L199" s="10">
        <f t="shared" si="21"/>
        <v>0.1722279417363877</v>
      </c>
      <c r="M199" s="10">
        <f t="shared" si="20"/>
        <v>0.17229309307167207</v>
      </c>
      <c r="P199" s="8">
        <f t="shared" si="25"/>
        <v>-7.4772952728559048</v>
      </c>
    </row>
    <row r="200" spans="1:16" x14ac:dyDescent="0.2">
      <c r="A200" s="8">
        <v>99</v>
      </c>
      <c r="B200" s="8">
        <v>198</v>
      </c>
      <c r="D200">
        <v>1537.0449118818001</v>
      </c>
      <c r="E200">
        <v>356.92438885731002</v>
      </c>
      <c r="F200">
        <v>140.06046776954</v>
      </c>
      <c r="G200">
        <v>117.82258984598</v>
      </c>
      <c r="I200" s="9">
        <f t="shared" si="22"/>
        <v>239.10179901133</v>
      </c>
      <c r="J200" s="9">
        <f t="shared" si="23"/>
        <v>1396.98444411226</v>
      </c>
      <c r="K200" s="9">
        <f t="shared" si="24"/>
        <v>239.10179901133</v>
      </c>
      <c r="L200" s="10">
        <f t="shared" si="21"/>
        <v>0.17115566319943651</v>
      </c>
      <c r="M200" s="10">
        <f t="shared" si="20"/>
        <v>0.17122114525215887</v>
      </c>
      <c r="P200" s="8">
        <f t="shared" si="25"/>
        <v>-8.0529394256163851</v>
      </c>
    </row>
    <row r="201" spans="1:16" x14ac:dyDescent="0.2">
      <c r="A201" s="8">
        <v>99.5</v>
      </c>
      <c r="B201" s="8">
        <v>199</v>
      </c>
      <c r="D201">
        <v>1519.1961341670999</v>
      </c>
      <c r="E201">
        <v>350.22853894257997</v>
      </c>
      <c r="F201">
        <v>140.38391329149999</v>
      </c>
      <c r="G201">
        <v>118.02224757559</v>
      </c>
      <c r="I201" s="9">
        <f t="shared" si="22"/>
        <v>232.20629136698997</v>
      </c>
      <c r="J201" s="9">
        <f t="shared" si="23"/>
        <v>1378.8122208755999</v>
      </c>
      <c r="K201" s="9">
        <f t="shared" si="24"/>
        <v>232.20629136698997</v>
      </c>
      <c r="L201" s="10">
        <f t="shared" si="21"/>
        <v>0.16841038094333821</v>
      </c>
      <c r="M201" s="10">
        <f t="shared" si="20"/>
        <v>0.16847619371349856</v>
      </c>
      <c r="P201" s="8">
        <f t="shared" si="25"/>
        <v>-9.5269993323367235</v>
      </c>
    </row>
    <row r="202" spans="1:16" x14ac:dyDescent="0.2">
      <c r="A202" s="8">
        <v>100</v>
      </c>
      <c r="B202" s="8">
        <v>200</v>
      </c>
      <c r="D202">
        <v>1518.3615690733</v>
      </c>
      <c r="E202">
        <v>345.73564525299003</v>
      </c>
      <c r="F202">
        <v>140.77638334284001</v>
      </c>
      <c r="G202">
        <v>117.95094124358</v>
      </c>
      <c r="I202" s="9">
        <f t="shared" si="22"/>
        <v>227.78470400941001</v>
      </c>
      <c r="J202" s="9">
        <f t="shared" si="23"/>
        <v>1377.5851857304599</v>
      </c>
      <c r="K202" s="9">
        <f t="shared" si="24"/>
        <v>227.78470400941001</v>
      </c>
      <c r="L202" s="10">
        <f t="shared" si="21"/>
        <v>0.16535072122500211</v>
      </c>
      <c r="M202" s="10">
        <f t="shared" si="20"/>
        <v>0.16541686471260045</v>
      </c>
      <c r="P202" s="8">
        <f t="shared" si="25"/>
        <v>-11.169882333430309</v>
      </c>
    </row>
    <row r="203" spans="1:16" x14ac:dyDescent="0.2">
      <c r="A203" s="8">
        <v>100.5</v>
      </c>
      <c r="B203" s="8">
        <v>201</v>
      </c>
      <c r="D203">
        <v>1492.4911881751</v>
      </c>
      <c r="E203">
        <v>339.09550881182997</v>
      </c>
      <c r="F203">
        <v>140.64575014261001</v>
      </c>
      <c r="G203">
        <v>118.06845407871999</v>
      </c>
      <c r="I203" s="9">
        <f t="shared" si="22"/>
        <v>221.02705473310999</v>
      </c>
      <c r="J203" s="9">
        <f t="shared" si="23"/>
        <v>1351.8454380324899</v>
      </c>
      <c r="K203" s="9">
        <f t="shared" si="24"/>
        <v>221.02705473310999</v>
      </c>
      <c r="L203" s="10">
        <f t="shared" si="21"/>
        <v>0.16350024086688369</v>
      </c>
      <c r="M203" s="10">
        <f t="shared" si="20"/>
        <v>0.16356671507192003</v>
      </c>
      <c r="P203" s="8">
        <f t="shared" si="25"/>
        <v>-12.163426798004389</v>
      </c>
    </row>
    <row r="204" spans="1:16" x14ac:dyDescent="0.2">
      <c r="A204" s="8">
        <v>101</v>
      </c>
      <c r="B204" s="8">
        <v>202</v>
      </c>
      <c r="D204">
        <v>1464.1955656622999</v>
      </c>
      <c r="E204">
        <v>332.06992609436998</v>
      </c>
      <c r="F204">
        <v>141.00627495722</v>
      </c>
      <c r="G204">
        <v>118.04221334855001</v>
      </c>
      <c r="I204" s="9">
        <f t="shared" si="22"/>
        <v>214.02771274581997</v>
      </c>
      <c r="J204" s="9">
        <f t="shared" si="23"/>
        <v>1323.1892907050799</v>
      </c>
      <c r="K204" s="9">
        <f t="shared" si="24"/>
        <v>214.02771274581997</v>
      </c>
      <c r="L204" s="10">
        <f t="shared" si="21"/>
        <v>0.16175139433887975</v>
      </c>
      <c r="M204" s="10">
        <f t="shared" si="20"/>
        <v>0.16181819926135407</v>
      </c>
      <c r="P204" s="8">
        <f t="shared" si="25"/>
        <v>-13.10239312084148</v>
      </c>
    </row>
    <row r="205" spans="1:16" x14ac:dyDescent="0.2">
      <c r="A205" s="8">
        <v>101.5</v>
      </c>
      <c r="B205" s="8">
        <v>203</v>
      </c>
      <c r="D205">
        <v>1454.5849914723999</v>
      </c>
      <c r="E205">
        <v>330.66799317793999</v>
      </c>
      <c r="F205">
        <v>140.68054763263001</v>
      </c>
      <c r="G205">
        <v>118.19224187108</v>
      </c>
      <c r="I205" s="9">
        <f t="shared" si="22"/>
        <v>212.47575130685999</v>
      </c>
      <c r="J205" s="9">
        <f t="shared" si="23"/>
        <v>1313.90444383977</v>
      </c>
      <c r="K205" s="9">
        <f t="shared" si="24"/>
        <v>212.47575130685999</v>
      </c>
      <c r="L205" s="10">
        <f t="shared" si="21"/>
        <v>0.16171324505602425</v>
      </c>
      <c r="M205" s="10">
        <f t="shared" si="20"/>
        <v>0.16178038069593656</v>
      </c>
      <c r="P205" s="8">
        <f t="shared" si="25"/>
        <v>-13.122701978840059</v>
      </c>
    </row>
    <row r="206" spans="1:16" x14ac:dyDescent="0.2">
      <c r="A206" s="8">
        <v>102</v>
      </c>
      <c r="B206" s="8">
        <v>204</v>
      </c>
      <c r="D206">
        <v>1470.7538374076</v>
      </c>
      <c r="E206">
        <v>329.62876634450998</v>
      </c>
      <c r="F206">
        <v>140.60581859669</v>
      </c>
      <c r="G206">
        <v>117.95664575014</v>
      </c>
      <c r="I206" s="9">
        <f t="shared" si="22"/>
        <v>211.67212059436997</v>
      </c>
      <c r="J206" s="9">
        <f t="shared" si="23"/>
        <v>1330.1480188109101</v>
      </c>
      <c r="K206" s="9">
        <f t="shared" si="24"/>
        <v>211.67212059436997</v>
      </c>
      <c r="L206" s="10">
        <f t="shared" si="21"/>
        <v>0.15913425994769734</v>
      </c>
      <c r="M206" s="10">
        <f t="shared" si="20"/>
        <v>0.15920172630504764</v>
      </c>
      <c r="P206" s="8">
        <f t="shared" si="25"/>
        <v>-14.507459049179037</v>
      </c>
    </row>
    <row r="207" spans="1:16" x14ac:dyDescent="0.2">
      <c r="A207" s="8">
        <v>102.5</v>
      </c>
      <c r="B207" s="8">
        <v>205</v>
      </c>
      <c r="D207">
        <v>1445.2853894258001</v>
      </c>
      <c r="E207">
        <v>326.66969869244002</v>
      </c>
      <c r="F207">
        <v>140.63205932687001</v>
      </c>
      <c r="G207">
        <v>117.89731888192</v>
      </c>
      <c r="I207" s="9">
        <f t="shared" si="22"/>
        <v>208.77237981052002</v>
      </c>
      <c r="J207" s="9">
        <f t="shared" si="23"/>
        <v>1304.6533300989302</v>
      </c>
      <c r="K207" s="9">
        <f t="shared" si="24"/>
        <v>208.77237981052002</v>
      </c>
      <c r="L207" s="10">
        <f t="shared" si="21"/>
        <v>0.1600213443633253</v>
      </c>
      <c r="M207" s="10">
        <f t="shared" si="20"/>
        <v>0.16008914143811359</v>
      </c>
      <c r="P207" s="8">
        <f t="shared" si="25"/>
        <v>-14.030910356116191</v>
      </c>
    </row>
    <row r="208" spans="1:16" x14ac:dyDescent="0.2">
      <c r="A208" s="8">
        <v>103</v>
      </c>
      <c r="B208" s="8">
        <v>206</v>
      </c>
      <c r="D208">
        <v>1439.1063104036</v>
      </c>
      <c r="E208">
        <v>323.52529846504001</v>
      </c>
      <c r="F208">
        <v>140.35367940673001</v>
      </c>
      <c r="G208">
        <v>117.90587564176001</v>
      </c>
      <c r="I208" s="9">
        <f t="shared" si="22"/>
        <v>205.61942282327999</v>
      </c>
      <c r="J208" s="9">
        <f t="shared" si="23"/>
        <v>1298.75263099687</v>
      </c>
      <c r="K208" s="9">
        <f t="shared" si="24"/>
        <v>205.61942282327999</v>
      </c>
      <c r="L208" s="10">
        <f t="shared" si="21"/>
        <v>0.15832069781098718</v>
      </c>
      <c r="M208" s="10">
        <f t="shared" si="20"/>
        <v>0.15838882560321346</v>
      </c>
      <c r="P208" s="8">
        <f t="shared" si="25"/>
        <v>-14.943992924492337</v>
      </c>
    </row>
    <row r="209" spans="1:16" x14ac:dyDescent="0.2">
      <c r="A209" s="8">
        <v>103.5</v>
      </c>
      <c r="B209" s="8">
        <v>207</v>
      </c>
      <c r="D209">
        <v>1435.5952245594001</v>
      </c>
      <c r="E209">
        <v>322.28936895964</v>
      </c>
      <c r="F209">
        <v>140.85111237877999</v>
      </c>
      <c r="G209">
        <v>118.25328009127</v>
      </c>
      <c r="I209" s="9">
        <f t="shared" si="22"/>
        <v>204.03608886837</v>
      </c>
      <c r="J209" s="9">
        <f t="shared" si="23"/>
        <v>1294.74411218062</v>
      </c>
      <c r="K209" s="9">
        <f t="shared" si="24"/>
        <v>204.03608886837</v>
      </c>
      <c r="L209" s="10">
        <f t="shared" si="21"/>
        <v>0.15758796425397953</v>
      </c>
      <c r="M209" s="10">
        <f t="shared" si="20"/>
        <v>0.15765642276364381</v>
      </c>
      <c r="P209" s="8">
        <f t="shared" si="25"/>
        <v>-15.337298833967395</v>
      </c>
    </row>
    <row r="210" spans="1:16" x14ac:dyDescent="0.2">
      <c r="A210" s="8">
        <v>104</v>
      </c>
      <c r="B210" s="8">
        <v>208</v>
      </c>
      <c r="D210">
        <v>1429.430358158</v>
      </c>
      <c r="E210">
        <v>320.69243888572998</v>
      </c>
      <c r="F210">
        <v>140.58528237307999</v>
      </c>
      <c r="G210">
        <v>118.23331431830999</v>
      </c>
      <c r="I210" s="9">
        <f t="shared" si="22"/>
        <v>202.45912456741999</v>
      </c>
      <c r="J210" s="9">
        <f t="shared" si="23"/>
        <v>1288.84507578492</v>
      </c>
      <c r="K210" s="9">
        <f t="shared" si="24"/>
        <v>202.45912456741999</v>
      </c>
      <c r="L210" s="10">
        <f t="shared" si="21"/>
        <v>0.15708569507015441</v>
      </c>
      <c r="M210" s="10">
        <f t="shared" si="20"/>
        <v>0.15715448429725667</v>
      </c>
      <c r="P210" s="8">
        <f t="shared" si="25"/>
        <v>-15.606843617735445</v>
      </c>
    </row>
    <row r="211" spans="1:16" x14ac:dyDescent="0.2">
      <c r="A211" s="8">
        <v>104.5</v>
      </c>
      <c r="B211" s="8">
        <v>209</v>
      </c>
      <c r="D211">
        <v>1439.9050596930001</v>
      </c>
      <c r="E211">
        <v>320.60147811256002</v>
      </c>
      <c r="F211">
        <v>140.12378779235999</v>
      </c>
      <c r="G211">
        <v>118.03879064461</v>
      </c>
      <c r="I211" s="9">
        <f t="shared" si="22"/>
        <v>202.56268746795001</v>
      </c>
      <c r="J211" s="9">
        <f t="shared" si="23"/>
        <v>1299.7812719006401</v>
      </c>
      <c r="K211" s="9">
        <f t="shared" si="24"/>
        <v>202.56268746795001</v>
      </c>
      <c r="L211" s="10">
        <f t="shared" si="21"/>
        <v>0.15584367296795043</v>
      </c>
      <c r="M211" s="10">
        <f t="shared" si="20"/>
        <v>0.15591279291249069</v>
      </c>
      <c r="P211" s="8">
        <f t="shared" si="25"/>
        <v>-16.273641359343991</v>
      </c>
    </row>
    <row r="212" spans="1:16" x14ac:dyDescent="0.2">
      <c r="A212" s="8">
        <v>105</v>
      </c>
      <c r="B212" s="8">
        <v>210</v>
      </c>
      <c r="D212">
        <v>1436.7993177942001</v>
      </c>
      <c r="E212">
        <v>320.37293916997999</v>
      </c>
      <c r="F212">
        <v>140.53736451796999</v>
      </c>
      <c r="G212">
        <v>117.74614945806999</v>
      </c>
      <c r="I212" s="9">
        <f t="shared" si="22"/>
        <v>202.62678971190999</v>
      </c>
      <c r="J212" s="9">
        <f t="shared" si="23"/>
        <v>1296.2619532762301</v>
      </c>
      <c r="K212" s="9">
        <f t="shared" si="24"/>
        <v>202.62678971190999</v>
      </c>
      <c r="L212" s="10">
        <f t="shared" si="21"/>
        <v>0.15631623623587967</v>
      </c>
      <c r="M212" s="10">
        <f t="shared" si="20"/>
        <v>0.15638568689785792</v>
      </c>
      <c r="P212" s="8">
        <f t="shared" si="25"/>
        <v>-16.019693683349956</v>
      </c>
    </row>
    <row r="213" spans="1:16" x14ac:dyDescent="0.2">
      <c r="A213" s="8">
        <v>105.5</v>
      </c>
      <c r="B213" s="8">
        <v>211</v>
      </c>
      <c r="D213">
        <v>1448.6442417332</v>
      </c>
      <c r="E213">
        <v>319.83580387684998</v>
      </c>
      <c r="F213">
        <v>140.71363377067999</v>
      </c>
      <c r="G213">
        <v>117.84540787221999</v>
      </c>
      <c r="I213" s="9">
        <f t="shared" si="22"/>
        <v>201.99039600462999</v>
      </c>
      <c r="J213" s="9">
        <f t="shared" si="23"/>
        <v>1307.9306079625201</v>
      </c>
      <c r="K213" s="9">
        <f t="shared" si="24"/>
        <v>201.99039600462999</v>
      </c>
      <c r="L213" s="10">
        <f t="shared" si="21"/>
        <v>0.15443510135395364</v>
      </c>
      <c r="M213" s="10">
        <f t="shared" si="20"/>
        <v>0.15450488273336987</v>
      </c>
      <c r="P213" s="8">
        <f t="shared" si="25"/>
        <v>-17.029699860951755</v>
      </c>
    </row>
    <row r="214" spans="1:16" x14ac:dyDescent="0.2">
      <c r="A214" s="8">
        <v>106</v>
      </c>
      <c r="B214" s="8">
        <v>212</v>
      </c>
      <c r="D214">
        <v>1444.818700114</v>
      </c>
      <c r="E214">
        <v>317.45096921323</v>
      </c>
      <c r="F214">
        <v>140.39931545920999</v>
      </c>
      <c r="G214">
        <v>117.57786651455</v>
      </c>
      <c r="I214" s="9">
        <f t="shared" si="22"/>
        <v>199.87310269867999</v>
      </c>
      <c r="J214" s="9">
        <f t="shared" si="23"/>
        <v>1304.4193846547901</v>
      </c>
      <c r="K214" s="9">
        <f t="shared" si="24"/>
        <v>199.87310269867999</v>
      </c>
      <c r="L214" s="10">
        <f t="shared" si="21"/>
        <v>0.15322763909367668</v>
      </c>
      <c r="M214" s="10">
        <f t="shared" si="20"/>
        <v>0.15329775119053091</v>
      </c>
      <c r="P214" s="8">
        <f t="shared" si="25"/>
        <v>-17.677938703924127</v>
      </c>
    </row>
    <row r="215" spans="1:16" x14ac:dyDescent="0.2">
      <c r="A215" s="8">
        <v>106.5</v>
      </c>
      <c r="B215" s="8">
        <v>213</v>
      </c>
      <c r="D215">
        <v>1444.8141391106001</v>
      </c>
      <c r="E215">
        <v>317.41676168756999</v>
      </c>
      <c r="F215">
        <v>140.48431260696</v>
      </c>
      <c r="G215">
        <v>117.87393040502</v>
      </c>
      <c r="I215" s="9">
        <f t="shared" si="22"/>
        <v>199.54283128254997</v>
      </c>
      <c r="J215" s="9">
        <f t="shared" si="23"/>
        <v>1304.3298265036401</v>
      </c>
      <c r="K215" s="9">
        <f t="shared" si="24"/>
        <v>199.54283128254997</v>
      </c>
      <c r="L215" s="10">
        <f t="shared" si="21"/>
        <v>0.15298494846003821</v>
      </c>
      <c r="M215" s="10">
        <f t="shared" si="20"/>
        <v>0.15305539127433043</v>
      </c>
      <c r="P215" s="8">
        <f t="shared" si="25"/>
        <v>-17.808087826936177</v>
      </c>
    </row>
    <row r="216" spans="1:16" x14ac:dyDescent="0.2">
      <c r="A216" s="8">
        <v>107</v>
      </c>
      <c r="B216" s="8">
        <v>214</v>
      </c>
      <c r="D216">
        <v>1442.3215507412001</v>
      </c>
      <c r="E216">
        <v>317.27194982895998</v>
      </c>
      <c r="F216">
        <v>140.38334284083999</v>
      </c>
      <c r="G216">
        <v>117.92298916144</v>
      </c>
      <c r="I216" s="9">
        <f t="shared" si="22"/>
        <v>199.34896066751998</v>
      </c>
      <c r="J216" s="9">
        <f t="shared" si="23"/>
        <v>1301.9382079003601</v>
      </c>
      <c r="K216" s="9">
        <f t="shared" si="24"/>
        <v>199.34896066751998</v>
      </c>
      <c r="L216" s="10">
        <f t="shared" si="21"/>
        <v>0.1531170676594634</v>
      </c>
      <c r="M216" s="10">
        <f t="shared" si="20"/>
        <v>0.15318784119119361</v>
      </c>
      <c r="P216" s="8">
        <f t="shared" si="25"/>
        <v>-17.736961211640178</v>
      </c>
    </row>
    <row r="217" spans="1:16" x14ac:dyDescent="0.2">
      <c r="A217" s="8">
        <v>107.5</v>
      </c>
      <c r="B217" s="8">
        <v>215</v>
      </c>
      <c r="D217">
        <v>1442.2394526795999</v>
      </c>
      <c r="E217">
        <v>315.28164196122998</v>
      </c>
      <c r="F217">
        <v>140.50770108386001</v>
      </c>
      <c r="G217">
        <v>117.92527096406</v>
      </c>
      <c r="I217" s="9">
        <f t="shared" si="22"/>
        <v>197.35637099716996</v>
      </c>
      <c r="J217" s="9">
        <f t="shared" si="23"/>
        <v>1301.73175159574</v>
      </c>
      <c r="K217" s="9">
        <f t="shared" si="24"/>
        <v>197.35637099716996</v>
      </c>
      <c r="L217" s="10">
        <f t="shared" si="21"/>
        <v>0.15161063003590319</v>
      </c>
      <c r="M217" s="10">
        <f t="shared" si="20"/>
        <v>0.1516817342850714</v>
      </c>
      <c r="P217" s="8">
        <f t="shared" si="25"/>
        <v>-18.545752104405047</v>
      </c>
    </row>
    <row r="218" spans="1:16" x14ac:dyDescent="0.2">
      <c r="A218" s="8">
        <v>108</v>
      </c>
      <c r="B218" s="8">
        <v>216</v>
      </c>
      <c r="D218">
        <v>1434.3728620296999</v>
      </c>
      <c r="E218">
        <v>313.93101482326</v>
      </c>
      <c r="F218">
        <v>140.27723901882999</v>
      </c>
      <c r="G218">
        <v>117.64118653737</v>
      </c>
      <c r="I218" s="9">
        <f t="shared" si="22"/>
        <v>196.28982828589</v>
      </c>
      <c r="J218" s="9">
        <f t="shared" si="23"/>
        <v>1294.09562301087</v>
      </c>
      <c r="K218" s="9">
        <f t="shared" si="24"/>
        <v>196.28982828589</v>
      </c>
      <c r="L218" s="10">
        <f t="shared" si="21"/>
        <v>0.1516810850725219</v>
      </c>
      <c r="M218" s="10">
        <f t="shared" si="20"/>
        <v>0.15175252003912809</v>
      </c>
      <c r="P218" s="8">
        <f t="shared" si="25"/>
        <v>-18.50773961472996</v>
      </c>
    </row>
    <row r="219" spans="1:16" x14ac:dyDescent="0.2">
      <c r="A219" s="8">
        <v>108.5</v>
      </c>
      <c r="B219" s="8">
        <v>217</v>
      </c>
      <c r="D219">
        <v>1448.4988597490999</v>
      </c>
      <c r="E219">
        <v>315.55302166476997</v>
      </c>
      <c r="F219">
        <v>140.50827153450999</v>
      </c>
      <c r="G219">
        <v>117.59498003423001</v>
      </c>
      <c r="I219" s="9">
        <f t="shared" si="22"/>
        <v>197.95804163053998</v>
      </c>
      <c r="J219" s="9">
        <f t="shared" si="23"/>
        <v>1307.9905882145899</v>
      </c>
      <c r="K219" s="9">
        <f t="shared" si="24"/>
        <v>197.95804163053998</v>
      </c>
      <c r="L219" s="10">
        <f t="shared" si="21"/>
        <v>0.15134515753722139</v>
      </c>
      <c r="M219" s="10">
        <f t="shared" si="20"/>
        <v>0.1514169232212656</v>
      </c>
      <c r="P219" s="8">
        <f t="shared" si="25"/>
        <v>-18.68795766487283</v>
      </c>
    </row>
    <row r="220" spans="1:16" x14ac:dyDescent="0.2">
      <c r="A220" s="8">
        <v>109</v>
      </c>
      <c r="B220" s="8">
        <v>218</v>
      </c>
      <c r="D220">
        <v>1439.1698973774</v>
      </c>
      <c r="E220">
        <v>312.82440136830002</v>
      </c>
      <c r="F220">
        <v>140.59212778094999</v>
      </c>
      <c r="G220">
        <v>117.99885909869</v>
      </c>
      <c r="I220" s="9">
        <f t="shared" si="22"/>
        <v>194.82554226961003</v>
      </c>
      <c r="J220" s="9">
        <f t="shared" si="23"/>
        <v>1298.57776959645</v>
      </c>
      <c r="K220" s="9">
        <f t="shared" si="24"/>
        <v>194.82554226961003</v>
      </c>
      <c r="L220" s="10">
        <f t="shared" si="21"/>
        <v>0.15002993800683542</v>
      </c>
      <c r="M220" s="10">
        <f t="shared" si="20"/>
        <v>0.15010203440831763</v>
      </c>
      <c r="P220" s="8">
        <f t="shared" si="25"/>
        <v>-19.394062983550938</v>
      </c>
    </row>
    <row r="221" spans="1:16" x14ac:dyDescent="0.2">
      <c r="A221" s="8">
        <v>109.5</v>
      </c>
      <c r="B221" s="8">
        <v>219</v>
      </c>
      <c r="D221">
        <v>1461.2098061574</v>
      </c>
      <c r="E221">
        <v>315.38654503991</v>
      </c>
      <c r="F221">
        <v>140.3177410154</v>
      </c>
      <c r="G221">
        <v>118.05248146034999</v>
      </c>
      <c r="I221" s="9">
        <f t="shared" si="22"/>
        <v>197.33406357956</v>
      </c>
      <c r="J221" s="9">
        <f t="shared" si="23"/>
        <v>1320.8920651419999</v>
      </c>
      <c r="K221" s="9">
        <f t="shared" si="24"/>
        <v>197.33406357956</v>
      </c>
      <c r="L221" s="10">
        <f t="shared" si="21"/>
        <v>0.14939454084641351</v>
      </c>
      <c r="M221" s="10">
        <f t="shared" si="20"/>
        <v>0.14946696796533371</v>
      </c>
      <c r="P221" s="8">
        <f t="shared" si="25"/>
        <v>-19.73509850586219</v>
      </c>
    </row>
    <row r="222" spans="1:16" x14ac:dyDescent="0.2">
      <c r="A222" s="8">
        <v>110</v>
      </c>
      <c r="B222" s="8">
        <v>220</v>
      </c>
      <c r="D222">
        <v>1432.4629418472</v>
      </c>
      <c r="E222">
        <v>311.68244013683</v>
      </c>
      <c r="F222">
        <v>140.39418140331</v>
      </c>
      <c r="G222">
        <v>117.77467199087</v>
      </c>
      <c r="I222" s="9">
        <f t="shared" si="22"/>
        <v>193.90776814596001</v>
      </c>
      <c r="J222" s="9">
        <f t="shared" si="23"/>
        <v>1292.0687604438899</v>
      </c>
      <c r="K222" s="9">
        <f t="shared" si="24"/>
        <v>193.90776814596001</v>
      </c>
      <c r="L222" s="10">
        <f t="shared" si="21"/>
        <v>0.1500754248398847</v>
      </c>
      <c r="M222" s="10">
        <f t="shared" si="20"/>
        <v>0.15014818267624289</v>
      </c>
      <c r="P222" s="8">
        <f t="shared" si="25"/>
        <v>-19.369281011791095</v>
      </c>
    </row>
    <row r="223" spans="1:16" x14ac:dyDescent="0.2">
      <c r="A223" s="8">
        <v>110.5</v>
      </c>
      <c r="B223" s="8">
        <v>221</v>
      </c>
      <c r="D223">
        <v>1414.523945268</v>
      </c>
      <c r="E223">
        <v>310.58437856327998</v>
      </c>
      <c r="F223">
        <v>140.42441528808001</v>
      </c>
      <c r="G223">
        <v>117.87735310895999</v>
      </c>
      <c r="I223" s="9">
        <f t="shared" si="22"/>
        <v>192.70702545431999</v>
      </c>
      <c r="J223" s="9">
        <f t="shared" si="23"/>
        <v>1274.0995299799201</v>
      </c>
      <c r="K223" s="9">
        <f t="shared" si="24"/>
        <v>192.70702545431999</v>
      </c>
      <c r="L223" s="10">
        <f t="shared" si="21"/>
        <v>0.15124958523244811</v>
      </c>
      <c r="M223" s="10">
        <f t="shared" si="20"/>
        <v>0.15132267378624428</v>
      </c>
      <c r="P223" s="8">
        <f t="shared" si="25"/>
        <v>-18.738570330138231</v>
      </c>
    </row>
    <row r="224" spans="1:16" x14ac:dyDescent="0.2">
      <c r="A224" s="8">
        <v>111</v>
      </c>
      <c r="B224" s="8">
        <v>222</v>
      </c>
      <c r="D224">
        <v>1407.8369441277</v>
      </c>
      <c r="E224">
        <v>308.36374002281002</v>
      </c>
      <c r="F224">
        <v>140.07529948659001</v>
      </c>
      <c r="G224">
        <v>117.58813462636</v>
      </c>
      <c r="I224" s="9">
        <f t="shared" si="22"/>
        <v>190.77560539645003</v>
      </c>
      <c r="J224" s="9">
        <f t="shared" si="23"/>
        <v>1267.76164464111</v>
      </c>
      <c r="K224" s="9">
        <f t="shared" si="24"/>
        <v>190.77560539645003</v>
      </c>
      <c r="L224" s="10">
        <f t="shared" si="21"/>
        <v>0.15048223473463468</v>
      </c>
      <c r="M224" s="10">
        <f t="shared" si="20"/>
        <v>0.15055565400586884</v>
      </c>
      <c r="P224" s="8">
        <f t="shared" si="25"/>
        <v>-19.150465800782747</v>
      </c>
    </row>
    <row r="225" spans="1:16" x14ac:dyDescent="0.2">
      <c r="A225" s="8">
        <v>111.5</v>
      </c>
      <c r="B225" s="8">
        <v>223</v>
      </c>
      <c r="D225">
        <v>1404.9184720639</v>
      </c>
      <c r="E225">
        <v>306.80216647663002</v>
      </c>
      <c r="F225">
        <v>140.28693667997999</v>
      </c>
      <c r="G225">
        <v>117.79235596121001</v>
      </c>
      <c r="I225" s="9">
        <f t="shared" si="22"/>
        <v>189.00981051542001</v>
      </c>
      <c r="J225" s="9">
        <f t="shared" si="23"/>
        <v>1264.63153538392</v>
      </c>
      <c r="K225" s="9">
        <f t="shared" si="24"/>
        <v>189.00981051542001</v>
      </c>
      <c r="L225" s="10">
        <f t="shared" si="21"/>
        <v>0.14945840367490121</v>
      </c>
      <c r="M225" s="10">
        <f t="shared" si="20"/>
        <v>0.14953215366357336</v>
      </c>
      <c r="P225" s="8">
        <f t="shared" si="25"/>
        <v>-19.700093288861694</v>
      </c>
    </row>
    <row r="226" spans="1:16" x14ac:dyDescent="0.2">
      <c r="A226" s="8">
        <v>112</v>
      </c>
      <c r="B226" s="8">
        <v>224</v>
      </c>
      <c r="D226">
        <v>1403.2856328391999</v>
      </c>
      <c r="E226">
        <v>307.05131128848001</v>
      </c>
      <c r="F226">
        <v>140.45807187678</v>
      </c>
      <c r="G226">
        <v>117.60924130063</v>
      </c>
      <c r="I226" s="9">
        <f t="shared" si="22"/>
        <v>189.44206998785</v>
      </c>
      <c r="J226" s="9">
        <f t="shared" si="23"/>
        <v>1262.82756096242</v>
      </c>
      <c r="K226" s="9">
        <f t="shared" si="24"/>
        <v>189.44206998785</v>
      </c>
      <c r="L226" s="10">
        <f t="shared" si="21"/>
        <v>0.150014202923694</v>
      </c>
      <c r="M226" s="10">
        <f t="shared" si="20"/>
        <v>0.15008828362980414</v>
      </c>
      <c r="P226" s="8">
        <f t="shared" si="25"/>
        <v>-19.401447256463388</v>
      </c>
    </row>
    <row r="227" spans="1:16" x14ac:dyDescent="0.2">
      <c r="A227" s="8">
        <v>112.5</v>
      </c>
      <c r="B227" s="8">
        <v>225</v>
      </c>
      <c r="D227">
        <v>1397.5005701253999</v>
      </c>
      <c r="E227">
        <v>306.20125427594002</v>
      </c>
      <c r="F227">
        <v>140.60011409013001</v>
      </c>
      <c r="G227">
        <v>117.86537364518</v>
      </c>
      <c r="I227" s="9">
        <f t="shared" si="22"/>
        <v>188.33588063076002</v>
      </c>
      <c r="J227" s="9">
        <f t="shared" si="23"/>
        <v>1256.9004560352698</v>
      </c>
      <c r="K227" s="9">
        <f t="shared" si="24"/>
        <v>188.33588063076002</v>
      </c>
      <c r="L227" s="10">
        <f t="shared" si="21"/>
        <v>0.14984152462227696</v>
      </c>
      <c r="M227" s="10">
        <f t="shared" si="20"/>
        <v>0.14991593604582509</v>
      </c>
      <c r="P227" s="8">
        <f t="shared" si="25"/>
        <v>-19.493999223223291</v>
      </c>
    </row>
    <row r="228" spans="1:16" x14ac:dyDescent="0.2">
      <c r="A228" s="8">
        <v>113</v>
      </c>
      <c r="B228" s="8">
        <v>226</v>
      </c>
      <c r="D228">
        <v>1396.8996579247</v>
      </c>
      <c r="E228">
        <v>306.66590649942998</v>
      </c>
      <c r="F228">
        <v>140.40387906446</v>
      </c>
      <c r="G228">
        <v>117.91557330291</v>
      </c>
      <c r="I228" s="9">
        <f t="shared" si="22"/>
        <v>188.75033319651999</v>
      </c>
      <c r="J228" s="9">
        <f t="shared" si="23"/>
        <v>1256.4957788602401</v>
      </c>
      <c r="K228" s="9">
        <f t="shared" si="24"/>
        <v>188.75033319651999</v>
      </c>
      <c r="L228" s="10">
        <f t="shared" si="21"/>
        <v>0.15021963175056133</v>
      </c>
      <c r="M228" s="10">
        <f t="shared" si="20"/>
        <v>0.15029437389154746</v>
      </c>
      <c r="P228" s="8">
        <f t="shared" si="25"/>
        <v>-19.290775214453646</v>
      </c>
    </row>
    <row r="229" spans="1:16" x14ac:dyDescent="0.2">
      <c r="A229" s="8">
        <v>113.5</v>
      </c>
      <c r="B229" s="8">
        <v>227</v>
      </c>
      <c r="D229">
        <v>1393.5541619155999</v>
      </c>
      <c r="E229">
        <v>306.25940706955998</v>
      </c>
      <c r="F229">
        <v>140.77010838563001</v>
      </c>
      <c r="G229">
        <v>117.87564175699001</v>
      </c>
      <c r="I229" s="9">
        <f t="shared" si="22"/>
        <v>188.38376531256998</v>
      </c>
      <c r="J229" s="9">
        <f t="shared" si="23"/>
        <v>1252.7840535299699</v>
      </c>
      <c r="K229" s="9">
        <f t="shared" si="24"/>
        <v>188.38376531256998</v>
      </c>
      <c r="L229" s="10">
        <f t="shared" si="21"/>
        <v>0.15037209707591742</v>
      </c>
      <c r="M229" s="10">
        <f t="shared" si="20"/>
        <v>0.15044716993434154</v>
      </c>
      <c r="P229" s="8">
        <f t="shared" si="25"/>
        <v>-19.208722574392027</v>
      </c>
    </row>
    <row r="230" spans="1:16" x14ac:dyDescent="0.2">
      <c r="A230" s="8">
        <v>114</v>
      </c>
      <c r="B230" s="8">
        <v>228</v>
      </c>
      <c r="D230">
        <v>1392.8529076397001</v>
      </c>
      <c r="E230">
        <v>307.33238312429</v>
      </c>
      <c r="F230">
        <v>140.00855675983999</v>
      </c>
      <c r="G230">
        <v>117.56759840274</v>
      </c>
      <c r="I230" s="9">
        <f t="shared" si="22"/>
        <v>189.76478472155</v>
      </c>
      <c r="J230" s="9">
        <f t="shared" si="23"/>
        <v>1252.84435087986</v>
      </c>
      <c r="K230" s="9">
        <f t="shared" si="24"/>
        <v>189.76478472155</v>
      </c>
      <c r="L230" s="10">
        <f t="shared" si="21"/>
        <v>0.15146716716109235</v>
      </c>
      <c r="M230" s="10">
        <f t="shared" si="20"/>
        <v>0.15154257073695446</v>
      </c>
      <c r="P230" s="8">
        <f t="shared" si="25"/>
        <v>-18.620483990876252</v>
      </c>
    </row>
    <row r="231" spans="1:16" x14ac:dyDescent="0.2">
      <c r="A231" s="8">
        <v>114.5</v>
      </c>
      <c r="B231" s="8">
        <v>229</v>
      </c>
      <c r="D231">
        <v>1396.7058152794</v>
      </c>
      <c r="E231">
        <v>306.35347776510997</v>
      </c>
      <c r="F231">
        <v>140.089560753</v>
      </c>
      <c r="G231">
        <v>117.90644609240999</v>
      </c>
      <c r="I231" s="9">
        <f t="shared" si="22"/>
        <v>188.44703167269998</v>
      </c>
      <c r="J231" s="9">
        <f t="shared" si="23"/>
        <v>1256.6162545264001</v>
      </c>
      <c r="K231" s="9">
        <f t="shared" si="24"/>
        <v>188.44703167269998</v>
      </c>
      <c r="L231" s="10">
        <f t="shared" si="21"/>
        <v>0.14996386605210901</v>
      </c>
      <c r="M231" s="10">
        <f t="shared" si="20"/>
        <v>0.15003960034540911</v>
      </c>
      <c r="P231" s="8">
        <f t="shared" si="25"/>
        <v>-19.427590551397184</v>
      </c>
    </row>
    <row r="232" spans="1:16" x14ac:dyDescent="0.2">
      <c r="A232" s="8">
        <v>115</v>
      </c>
      <c r="B232" s="8">
        <v>230</v>
      </c>
      <c r="D232">
        <v>1395.0592930445</v>
      </c>
      <c r="E232">
        <v>307.12143671607998</v>
      </c>
      <c r="F232">
        <v>140.38733599544</v>
      </c>
      <c r="G232">
        <v>117.52196235026</v>
      </c>
      <c r="I232" s="9">
        <f t="shared" si="22"/>
        <v>189.59947436581999</v>
      </c>
      <c r="J232" s="9">
        <f t="shared" si="23"/>
        <v>1254.67195704906</v>
      </c>
      <c r="K232" s="9">
        <f t="shared" si="24"/>
        <v>189.59947436581999</v>
      </c>
      <c r="L232" s="10">
        <f t="shared" si="21"/>
        <v>0.1511147780904824</v>
      </c>
      <c r="M232" s="10">
        <f t="shared" si="20"/>
        <v>0.1511908431012205</v>
      </c>
      <c r="P232" s="8">
        <f t="shared" si="25"/>
        <v>-18.809364413214787</v>
      </c>
    </row>
    <row r="233" spans="1:16" x14ac:dyDescent="0.2">
      <c r="A233" s="8">
        <v>115.5</v>
      </c>
      <c r="B233" s="8">
        <v>231</v>
      </c>
      <c r="D233">
        <v>1396.8033067275001</v>
      </c>
      <c r="E233">
        <v>307.23318129989002</v>
      </c>
      <c r="F233">
        <v>140.39418140331</v>
      </c>
      <c r="G233">
        <v>117.82886480320001</v>
      </c>
      <c r="I233" s="9">
        <f t="shared" si="22"/>
        <v>189.40431649669</v>
      </c>
      <c r="J233" s="9">
        <f t="shared" si="23"/>
        <v>1256.40912532419</v>
      </c>
      <c r="K233" s="9">
        <f t="shared" si="24"/>
        <v>189.40431649669</v>
      </c>
      <c r="L233" s="10">
        <f t="shared" si="21"/>
        <v>0.15075051006798298</v>
      </c>
      <c r="M233" s="10">
        <f t="shared" si="20"/>
        <v>0.15082690579615907</v>
      </c>
      <c r="P233" s="8">
        <f t="shared" si="25"/>
        <v>-19.004801521081809</v>
      </c>
    </row>
    <row r="234" spans="1:16" x14ac:dyDescent="0.2">
      <c r="A234" s="8">
        <v>116</v>
      </c>
      <c r="B234" s="8">
        <v>232</v>
      </c>
      <c r="D234">
        <v>1393.6881413911001</v>
      </c>
      <c r="E234">
        <v>308.11231470924002</v>
      </c>
      <c r="F234">
        <v>140.19908727895</v>
      </c>
      <c r="G234">
        <v>117.80775812892</v>
      </c>
      <c r="I234" s="9">
        <f t="shared" si="22"/>
        <v>190.30455658032002</v>
      </c>
      <c r="J234" s="9">
        <f t="shared" si="23"/>
        <v>1253.4890541121501</v>
      </c>
      <c r="K234" s="9">
        <f t="shared" si="24"/>
        <v>190.30455658032002</v>
      </c>
      <c r="L234" s="10">
        <f t="shared" si="21"/>
        <v>0.1518198790456238</v>
      </c>
      <c r="M234" s="10">
        <f t="shared" si="20"/>
        <v>0.15189660549123787</v>
      </c>
      <c r="P234" s="8">
        <f t="shared" si="25"/>
        <v>-18.43036462828471</v>
      </c>
    </row>
    <row r="235" spans="1:16" x14ac:dyDescent="0.2">
      <c r="A235" s="8">
        <v>116.5</v>
      </c>
      <c r="B235" s="8">
        <v>233</v>
      </c>
      <c r="D235">
        <v>1382.9572405929</v>
      </c>
      <c r="E235">
        <v>306.55302166476997</v>
      </c>
      <c r="F235">
        <v>140.46035367940999</v>
      </c>
      <c r="G235">
        <v>117.95892755277001</v>
      </c>
      <c r="I235" s="9">
        <f t="shared" si="22"/>
        <v>188.59409411199996</v>
      </c>
      <c r="J235" s="9">
        <f t="shared" si="23"/>
        <v>1242.49688691349</v>
      </c>
      <c r="K235" s="9">
        <f t="shared" si="24"/>
        <v>188.59409411199996</v>
      </c>
      <c r="L235" s="10">
        <f t="shared" si="21"/>
        <v>0.15178637153811317</v>
      </c>
      <c r="M235" s="10">
        <f t="shared" si="20"/>
        <v>0.15186342870116523</v>
      </c>
      <c r="P235" s="8">
        <f t="shared" si="25"/>
        <v>-18.448180817529209</v>
      </c>
    </row>
    <row r="236" spans="1:16" x14ac:dyDescent="0.2">
      <c r="A236" s="8">
        <v>117</v>
      </c>
      <c r="B236" s="8">
        <v>234</v>
      </c>
      <c r="D236">
        <v>1382.3671607754</v>
      </c>
      <c r="E236">
        <v>305.52280501709998</v>
      </c>
      <c r="F236">
        <v>140.22418710782</v>
      </c>
      <c r="G236">
        <v>117.55561893896</v>
      </c>
      <c r="I236" s="9">
        <f t="shared" si="22"/>
        <v>187.96718607814</v>
      </c>
      <c r="J236" s="9">
        <f t="shared" si="23"/>
        <v>1242.14297366758</v>
      </c>
      <c r="K236" s="9">
        <f t="shared" si="24"/>
        <v>187.96718607814</v>
      </c>
      <c r="L236" s="10">
        <f t="shared" si="21"/>
        <v>0.15132491996725927</v>
      </c>
      <c r="M236" s="10">
        <f t="shared" si="20"/>
        <v>0.15140230784774933</v>
      </c>
      <c r="P236" s="8">
        <f t="shared" si="25"/>
        <v>-18.695806231894373</v>
      </c>
    </row>
    <row r="237" spans="1:16" x14ac:dyDescent="0.2">
      <c r="A237" s="8">
        <v>117.5</v>
      </c>
      <c r="B237" s="8">
        <v>235</v>
      </c>
      <c r="D237">
        <v>1378.4304446978001</v>
      </c>
      <c r="E237">
        <v>306.40193842644999</v>
      </c>
      <c r="F237">
        <v>140.42270393611</v>
      </c>
      <c r="G237">
        <v>117.76383342841</v>
      </c>
      <c r="I237" s="9">
        <f t="shared" si="22"/>
        <v>188.63810499803998</v>
      </c>
      <c r="J237" s="9">
        <f t="shared" si="23"/>
        <v>1238.00774076169</v>
      </c>
      <c r="K237" s="9">
        <f t="shared" si="24"/>
        <v>188.63810499803998</v>
      </c>
      <c r="L237" s="10">
        <f t="shared" si="21"/>
        <v>0.15237231463672393</v>
      </c>
      <c r="M237" s="10">
        <f t="shared" si="20"/>
        <v>0.15245003323465198</v>
      </c>
      <c r="P237" s="8">
        <f t="shared" si="25"/>
        <v>-18.133169710143608</v>
      </c>
    </row>
    <row r="238" spans="1:16" x14ac:dyDescent="0.2">
      <c r="A238" s="8">
        <v>118</v>
      </c>
      <c r="B238" s="8">
        <v>236</v>
      </c>
      <c r="D238">
        <v>1378.0877993158999</v>
      </c>
      <c r="E238">
        <v>305.90478905358998</v>
      </c>
      <c r="F238">
        <v>140.06788362807001</v>
      </c>
      <c r="G238">
        <v>117.63548203080001</v>
      </c>
      <c r="I238" s="9">
        <f t="shared" si="22"/>
        <v>188.26930702278997</v>
      </c>
      <c r="J238" s="9">
        <f t="shared" si="23"/>
        <v>1238.01991568783</v>
      </c>
      <c r="K238" s="9">
        <f t="shared" si="24"/>
        <v>188.26930702278997</v>
      </c>
      <c r="L238" s="10">
        <f t="shared" si="21"/>
        <v>0.15207292276731241</v>
      </c>
      <c r="M238" s="10">
        <f t="shared" si="20"/>
        <v>0.15215097208267844</v>
      </c>
      <c r="P238" s="8">
        <f t="shared" si="25"/>
        <v>-18.293767829116938</v>
      </c>
    </row>
    <row r="239" spans="1:16" x14ac:dyDescent="0.2">
      <c r="A239" s="8">
        <v>118.5</v>
      </c>
      <c r="B239" s="8">
        <v>237</v>
      </c>
      <c r="D239">
        <v>1382.9709236031999</v>
      </c>
      <c r="E239">
        <v>308.16305587228999</v>
      </c>
      <c r="F239">
        <v>140.33998859099</v>
      </c>
      <c r="G239">
        <v>117.63833428408</v>
      </c>
      <c r="I239" s="9">
        <f t="shared" si="22"/>
        <v>190.52472158820999</v>
      </c>
      <c r="J239" s="9">
        <f t="shared" si="23"/>
        <v>1242.6309350122099</v>
      </c>
      <c r="K239" s="9">
        <f t="shared" si="24"/>
        <v>190.52472158820999</v>
      </c>
      <c r="L239" s="10">
        <f t="shared" si="21"/>
        <v>0.15332365887570465</v>
      </c>
      <c r="M239" s="10">
        <f t="shared" si="20"/>
        <v>0.15340203890850868</v>
      </c>
      <c r="P239" s="8">
        <f t="shared" si="25"/>
        <v>-17.621935404168454</v>
      </c>
    </row>
    <row r="240" spans="1:16" x14ac:dyDescent="0.2">
      <c r="A240" s="8">
        <v>119</v>
      </c>
      <c r="B240" s="8">
        <v>238</v>
      </c>
      <c r="D240">
        <v>1397.8266818699999</v>
      </c>
      <c r="E240">
        <v>311.18928164196001</v>
      </c>
      <c r="F240">
        <v>140.32743867655</v>
      </c>
      <c r="G240">
        <v>117.696520251</v>
      </c>
      <c r="I240" s="9">
        <f t="shared" si="22"/>
        <v>193.49276139096003</v>
      </c>
      <c r="J240" s="9">
        <f t="shared" si="23"/>
        <v>1257.49924319345</v>
      </c>
      <c r="K240" s="9">
        <f t="shared" si="24"/>
        <v>193.49276139096003</v>
      </c>
      <c r="L240" s="10">
        <f t="shared" si="21"/>
        <v>0.15387107581836826</v>
      </c>
      <c r="M240" s="10">
        <f t="shared" si="20"/>
        <v>0.15394978656861028</v>
      </c>
      <c r="P240" s="8">
        <f t="shared" si="25"/>
        <v>-17.327790734077226</v>
      </c>
    </row>
    <row r="241" spans="1:16" x14ac:dyDescent="0.2">
      <c r="A241" s="8">
        <v>119.5</v>
      </c>
      <c r="B241" s="8">
        <v>239</v>
      </c>
      <c r="D241">
        <v>1405.0353477765</v>
      </c>
      <c r="E241">
        <v>312.22462941846999</v>
      </c>
      <c r="F241">
        <v>140.14945807187999</v>
      </c>
      <c r="G241">
        <v>117.53736451797</v>
      </c>
      <c r="I241" s="9">
        <f t="shared" si="22"/>
        <v>194.6872649005</v>
      </c>
      <c r="J241" s="9">
        <f t="shared" si="23"/>
        <v>1264.88588970462</v>
      </c>
      <c r="K241" s="9">
        <f t="shared" si="24"/>
        <v>194.6872649005</v>
      </c>
      <c r="L241" s="10">
        <f t="shared" si="21"/>
        <v>0.15391686039439018</v>
      </c>
      <c r="M241" s="10">
        <f t="shared" si="20"/>
        <v>0.15399590186207018</v>
      </c>
      <c r="P241" s="8">
        <f t="shared" si="25"/>
        <v>-17.303026469856707</v>
      </c>
    </row>
    <row r="242" spans="1:16" x14ac:dyDescent="0.2">
      <c r="A242" s="8">
        <v>120</v>
      </c>
      <c r="B242" s="8">
        <v>240</v>
      </c>
      <c r="D242">
        <v>1406.1060433294999</v>
      </c>
      <c r="E242">
        <v>313.00228050171</v>
      </c>
      <c r="F242">
        <v>139.98687963491</v>
      </c>
      <c r="G242">
        <v>117.374786081</v>
      </c>
      <c r="I242" s="9">
        <f>E242-G242</f>
        <v>195.62749442071001</v>
      </c>
      <c r="J242" s="9">
        <f>D242-F242</f>
        <v>1266.11916369459</v>
      </c>
      <c r="K242" s="9">
        <f t="shared" si="24"/>
        <v>195.62749442071001</v>
      </c>
      <c r="L242" s="10">
        <f t="shared" si="21"/>
        <v>0.15450954383303114</v>
      </c>
      <c r="M242" s="10">
        <f>L242+ABS($N$2)*A242</f>
        <v>0.15458891601814914</v>
      </c>
      <c r="O242" s="11"/>
      <c r="P242" s="8">
        <f>(M242-$O$2)/$O$2*100</f>
        <v>-16.98457334626524</v>
      </c>
    </row>
    <row r="243" spans="1:16" x14ac:dyDescent="0.2">
      <c r="A243" s="8">
        <v>120.5</v>
      </c>
      <c r="B243" s="8">
        <v>241</v>
      </c>
      <c r="D243">
        <v>1399.7770809578001</v>
      </c>
      <c r="E243">
        <v>313.15450399088002</v>
      </c>
      <c r="F243">
        <v>140.21905305191001</v>
      </c>
      <c r="G243">
        <v>117.56873930405</v>
      </c>
      <c r="I243" s="9">
        <f t="shared" ref="I243:I274" si="26">E243-G243</f>
        <v>195.58576468683003</v>
      </c>
      <c r="J243" s="9">
        <f t="shared" ref="J243:J274" si="27">D243-F243</f>
        <v>1259.55802790589</v>
      </c>
      <c r="K243" s="9">
        <f t="shared" si="24"/>
        <v>195.58576468683003</v>
      </c>
      <c r="L243" s="10">
        <f t="shared" si="21"/>
        <v>0.15528126561346767</v>
      </c>
      <c r="M243" s="10">
        <f t="shared" ref="M243:M274" si="28">L243+ABS($N$2)*A243</f>
        <v>0.15536096851602366</v>
      </c>
      <c r="P243" s="8">
        <f t="shared" ref="P243:P274" si="29">(M243-$O$2)/$O$2*100</f>
        <v>-16.569975267948873</v>
      </c>
    </row>
    <row r="244" spans="1:16" x14ac:dyDescent="0.2">
      <c r="A244" s="8">
        <v>121</v>
      </c>
      <c r="B244" s="8">
        <v>242</v>
      </c>
      <c r="D244">
        <v>1402.5267958950999</v>
      </c>
      <c r="E244">
        <v>314.02109464082002</v>
      </c>
      <c r="F244">
        <v>139.83057615516</v>
      </c>
      <c r="G244">
        <v>117.64403879065</v>
      </c>
      <c r="I244" s="9">
        <f t="shared" si="26"/>
        <v>196.37705585017002</v>
      </c>
      <c r="J244" s="9">
        <f t="shared" si="27"/>
        <v>1262.6962197399398</v>
      </c>
      <c r="K244" s="9">
        <f t="shared" si="24"/>
        <v>196.37705585017002</v>
      </c>
      <c r="L244" s="10">
        <f t="shared" si="21"/>
        <v>0.15552201137547961</v>
      </c>
      <c r="M244" s="10">
        <f t="shared" si="28"/>
        <v>0.15560204499547359</v>
      </c>
      <c r="N244" s="1"/>
      <c r="P244" s="8">
        <f t="shared" si="29"/>
        <v>-16.440515360258164</v>
      </c>
    </row>
    <row r="245" spans="1:16" x14ac:dyDescent="0.2">
      <c r="A245" s="8">
        <v>121.5</v>
      </c>
      <c r="B245" s="8">
        <v>243</v>
      </c>
      <c r="D245">
        <v>1401.7155074115999</v>
      </c>
      <c r="E245">
        <v>313.68871151653002</v>
      </c>
      <c r="F245">
        <v>139.93896177981</v>
      </c>
      <c r="G245">
        <v>117.45693097547</v>
      </c>
      <c r="I245" s="9">
        <f t="shared" si="26"/>
        <v>196.23178054106</v>
      </c>
      <c r="J245" s="9">
        <f t="shared" si="27"/>
        <v>1261.77654563179</v>
      </c>
      <c r="K245" s="9">
        <f t="shared" si="24"/>
        <v>196.23178054106</v>
      </c>
      <c r="L245" s="10">
        <f t="shared" si="21"/>
        <v>0.15552023155003558</v>
      </c>
      <c r="M245" s="10">
        <f t="shared" si="28"/>
        <v>0.15560059588746755</v>
      </c>
      <c r="P245" s="8">
        <f t="shared" si="29"/>
        <v>-16.441293542306962</v>
      </c>
    </row>
    <row r="246" spans="1:16" x14ac:dyDescent="0.2">
      <c r="A246" s="8">
        <v>122</v>
      </c>
      <c r="B246" s="8">
        <v>244</v>
      </c>
      <c r="D246">
        <v>1404.3945267959</v>
      </c>
      <c r="E246">
        <v>316.17217787913</v>
      </c>
      <c r="F246">
        <v>139.73930405019999</v>
      </c>
      <c r="G246">
        <v>117.28921848260001</v>
      </c>
      <c r="I246" s="9">
        <f t="shared" si="26"/>
        <v>198.88295939653</v>
      </c>
      <c r="J246" s="9">
        <f t="shared" si="27"/>
        <v>1264.6552227457</v>
      </c>
      <c r="K246" s="9">
        <f t="shared" si="24"/>
        <v>198.88295939653</v>
      </c>
      <c r="L246" s="10">
        <f t="shared" si="21"/>
        <v>0.15726259285493963</v>
      </c>
      <c r="M246" s="10">
        <f t="shared" si="28"/>
        <v>0.15734328790980959</v>
      </c>
      <c r="P246" s="8">
        <f t="shared" si="29"/>
        <v>-15.505454638152932</v>
      </c>
    </row>
    <row r="247" spans="1:16" x14ac:dyDescent="0.2">
      <c r="A247" s="8">
        <v>122.5</v>
      </c>
      <c r="B247" s="8">
        <v>245</v>
      </c>
      <c r="D247">
        <v>1401.0718358039001</v>
      </c>
      <c r="E247">
        <v>315.84321550740998</v>
      </c>
      <c r="F247">
        <v>139.96006845407999</v>
      </c>
      <c r="G247">
        <v>117.7820878494</v>
      </c>
      <c r="I247" s="9">
        <f t="shared" si="26"/>
        <v>198.06112765800998</v>
      </c>
      <c r="J247" s="9">
        <f t="shared" si="27"/>
        <v>1261.1117673498202</v>
      </c>
      <c r="K247" s="9">
        <f t="shared" si="24"/>
        <v>198.06112765800998</v>
      </c>
      <c r="L247" s="10">
        <f t="shared" si="21"/>
        <v>0.15705279483215681</v>
      </c>
      <c r="M247" s="10">
        <f t="shared" si="28"/>
        <v>0.15713382060446476</v>
      </c>
      <c r="P247" s="8">
        <f t="shared" si="29"/>
        <v>-15.617940178326894</v>
      </c>
    </row>
    <row r="248" spans="1:16" x14ac:dyDescent="0.2">
      <c r="A248" s="8">
        <v>123</v>
      </c>
      <c r="B248" s="8">
        <v>246</v>
      </c>
      <c r="D248">
        <v>1401.8358038768999</v>
      </c>
      <c r="E248">
        <v>316.54960091219999</v>
      </c>
      <c r="F248">
        <v>139.53051911009999</v>
      </c>
      <c r="G248">
        <v>117.5499144324</v>
      </c>
      <c r="I248" s="9">
        <f t="shared" si="26"/>
        <v>198.9996864798</v>
      </c>
      <c r="J248" s="9">
        <f t="shared" si="27"/>
        <v>1262.3052847668</v>
      </c>
      <c r="K248" s="9">
        <f t="shared" si="24"/>
        <v>198.9996864798</v>
      </c>
      <c r="L248" s="10">
        <f t="shared" si="21"/>
        <v>0.15764782805021962</v>
      </c>
      <c r="M248" s="10">
        <f t="shared" si="28"/>
        <v>0.15772918453996559</v>
      </c>
      <c r="P248" s="8">
        <f t="shared" si="29"/>
        <v>-15.298225205268634</v>
      </c>
    </row>
    <row r="249" spans="1:16" x14ac:dyDescent="0.2">
      <c r="A249" s="8">
        <v>123.5</v>
      </c>
      <c r="B249" s="8">
        <v>247</v>
      </c>
      <c r="D249">
        <v>1401.5661345496001</v>
      </c>
      <c r="E249">
        <v>317.19099201824002</v>
      </c>
      <c r="F249">
        <v>140.15687393041</v>
      </c>
      <c r="G249">
        <v>117.42270393611</v>
      </c>
      <c r="I249" s="9">
        <f t="shared" si="26"/>
        <v>199.76828808213003</v>
      </c>
      <c r="J249" s="9">
        <f t="shared" si="27"/>
        <v>1261.40926061919</v>
      </c>
      <c r="K249" s="9">
        <f t="shared" si="24"/>
        <v>199.76828808213003</v>
      </c>
      <c r="L249" s="10">
        <f t="shared" si="21"/>
        <v>0.1583691307165998</v>
      </c>
      <c r="M249" s="10">
        <f t="shared" si="28"/>
        <v>0.15845081792378377</v>
      </c>
      <c r="P249" s="8">
        <f t="shared" si="29"/>
        <v>-14.910702575650022</v>
      </c>
    </row>
    <row r="250" spans="1:16" x14ac:dyDescent="0.2">
      <c r="A250" s="8">
        <v>124</v>
      </c>
      <c r="B250" s="8">
        <v>248</v>
      </c>
      <c r="D250">
        <v>1402.8335233751</v>
      </c>
      <c r="E250">
        <v>317.66419612315002</v>
      </c>
      <c r="F250">
        <v>140.05875641757001</v>
      </c>
      <c r="G250">
        <v>117.40444951512001</v>
      </c>
      <c r="I250" s="9">
        <f t="shared" si="26"/>
        <v>200.25974660803001</v>
      </c>
      <c r="J250" s="9">
        <f t="shared" si="27"/>
        <v>1262.7747669575299</v>
      </c>
      <c r="K250" s="9">
        <f t="shared" si="24"/>
        <v>200.25974660803001</v>
      </c>
      <c r="L250" s="10">
        <f t="shared" si="21"/>
        <v>0.15858706702742123</v>
      </c>
      <c r="M250" s="10">
        <f t="shared" si="28"/>
        <v>0.15866908495204318</v>
      </c>
      <c r="P250" s="8">
        <f t="shared" si="29"/>
        <v>-14.793491517172383</v>
      </c>
    </row>
    <row r="251" spans="1:16" x14ac:dyDescent="0.2">
      <c r="A251" s="8">
        <v>124.5</v>
      </c>
      <c r="B251" s="8">
        <v>249</v>
      </c>
      <c r="D251">
        <v>1400.5883694413001</v>
      </c>
      <c r="E251">
        <v>318.23432155073999</v>
      </c>
      <c r="F251">
        <v>139.78265830006001</v>
      </c>
      <c r="G251">
        <v>117.44552196235</v>
      </c>
      <c r="I251" s="9">
        <f t="shared" si="26"/>
        <v>200.78879958838999</v>
      </c>
      <c r="J251" s="9">
        <f t="shared" si="27"/>
        <v>1260.80571114124</v>
      </c>
      <c r="K251" s="9">
        <f t="shared" si="24"/>
        <v>200.78879958838999</v>
      </c>
      <c r="L251" s="10">
        <f t="shared" si="21"/>
        <v>0.15925435442915511</v>
      </c>
      <c r="M251" s="10">
        <f t="shared" si="28"/>
        <v>0.15933670307121506</v>
      </c>
      <c r="P251" s="8">
        <f t="shared" si="29"/>
        <v>-14.434975496539245</v>
      </c>
    </row>
    <row r="252" spans="1:16" x14ac:dyDescent="0.2">
      <c r="A252" s="8">
        <v>125</v>
      </c>
      <c r="B252" s="8">
        <v>250</v>
      </c>
      <c r="D252">
        <v>1402.5381984037001</v>
      </c>
      <c r="E252">
        <v>319.42417331812999</v>
      </c>
      <c r="F252">
        <v>139.75299486594</v>
      </c>
      <c r="G252">
        <v>117.32344552196</v>
      </c>
      <c r="I252" s="9">
        <f t="shared" si="26"/>
        <v>202.10072779616999</v>
      </c>
      <c r="J252" s="9">
        <f t="shared" si="27"/>
        <v>1262.78520353776</v>
      </c>
      <c r="K252" s="9">
        <f t="shared" si="24"/>
        <v>202.10072779616999</v>
      </c>
      <c r="L252" s="10">
        <f t="shared" si="21"/>
        <v>0.16004362993007365</v>
      </c>
      <c r="M252" s="10">
        <f t="shared" si="28"/>
        <v>0.16012630928957158</v>
      </c>
      <c r="P252" s="8">
        <f t="shared" si="29"/>
        <v>-14.010950936475616</v>
      </c>
    </row>
    <row r="253" spans="1:16" x14ac:dyDescent="0.2">
      <c r="A253" s="8">
        <v>125.5</v>
      </c>
      <c r="B253" s="8">
        <v>251</v>
      </c>
      <c r="D253">
        <v>1401.5752565564001</v>
      </c>
      <c r="E253">
        <v>320.53078677308997</v>
      </c>
      <c r="F253">
        <v>139.74500855676001</v>
      </c>
      <c r="G253">
        <v>117.80034227039</v>
      </c>
      <c r="I253" s="9">
        <f t="shared" si="26"/>
        <v>202.73044450269998</v>
      </c>
      <c r="J253" s="9">
        <f t="shared" si="27"/>
        <v>1261.8302479996401</v>
      </c>
      <c r="K253" s="9">
        <f t="shared" si="24"/>
        <v>202.73044450269998</v>
      </c>
      <c r="L253" s="10">
        <f t="shared" si="21"/>
        <v>0.16066380150902659</v>
      </c>
      <c r="M253" s="10">
        <f t="shared" si="28"/>
        <v>0.16074681158596252</v>
      </c>
      <c r="P253" s="8">
        <f t="shared" si="29"/>
        <v>-13.677736471937498</v>
      </c>
    </row>
    <row r="254" spans="1:16" x14ac:dyDescent="0.2">
      <c r="A254" s="8">
        <v>126</v>
      </c>
      <c r="B254" s="8">
        <v>252</v>
      </c>
      <c r="D254">
        <v>1400.6938426454001</v>
      </c>
      <c r="E254">
        <v>320.02964652224</v>
      </c>
      <c r="F254">
        <v>139.39646320592999</v>
      </c>
      <c r="G254">
        <v>117.80262407302</v>
      </c>
      <c r="I254" s="9">
        <f t="shared" si="26"/>
        <v>202.22702244921999</v>
      </c>
      <c r="J254" s="9">
        <f t="shared" si="27"/>
        <v>1261.2973794394702</v>
      </c>
      <c r="K254" s="9">
        <f t="shared" si="24"/>
        <v>202.22702244921999</v>
      </c>
      <c r="L254" s="10">
        <f t="shared" si="21"/>
        <v>0.16033254785567791</v>
      </c>
      <c r="M254" s="10">
        <f t="shared" si="28"/>
        <v>0.16041588865005182</v>
      </c>
      <c r="P254" s="8">
        <f t="shared" si="29"/>
        <v>-13.855444611833553</v>
      </c>
    </row>
    <row r="255" spans="1:16" x14ac:dyDescent="0.2">
      <c r="A255" s="8">
        <v>126.5</v>
      </c>
      <c r="B255" s="8">
        <v>253</v>
      </c>
      <c r="D255">
        <v>1399.8095781072</v>
      </c>
      <c r="E255">
        <v>322.18358038768997</v>
      </c>
      <c r="F255">
        <v>139.92241871077999</v>
      </c>
      <c r="G255">
        <v>117.42612664005</v>
      </c>
      <c r="I255" s="9">
        <f t="shared" si="26"/>
        <v>204.75745374763997</v>
      </c>
      <c r="J255" s="9">
        <f t="shared" si="27"/>
        <v>1259.88715939642</v>
      </c>
      <c r="K255" s="9">
        <f t="shared" si="24"/>
        <v>204.75745374763997</v>
      </c>
      <c r="L255" s="10">
        <f t="shared" si="21"/>
        <v>0.16252047036159498</v>
      </c>
      <c r="M255" s="10">
        <f t="shared" si="28"/>
        <v>0.16260414187340688</v>
      </c>
      <c r="P255" s="8">
        <f t="shared" si="29"/>
        <v>-12.680335945298216</v>
      </c>
    </row>
    <row r="256" spans="1:16" x14ac:dyDescent="0.2">
      <c r="A256" s="8">
        <v>127</v>
      </c>
      <c r="B256" s="8">
        <v>254</v>
      </c>
      <c r="D256">
        <v>1399.3597491447999</v>
      </c>
      <c r="E256">
        <v>322.02109464082002</v>
      </c>
      <c r="F256">
        <v>139.59783228750999</v>
      </c>
      <c r="G256">
        <v>117.79292641187</v>
      </c>
      <c r="I256" s="9">
        <f t="shared" si="26"/>
        <v>204.22816822895004</v>
      </c>
      <c r="J256" s="9">
        <f t="shared" si="27"/>
        <v>1259.7619168572899</v>
      </c>
      <c r="K256" s="9">
        <f t="shared" si="24"/>
        <v>204.22816822895004</v>
      </c>
      <c r="L256" s="10">
        <f t="shared" si="21"/>
        <v>0.16211648050008937</v>
      </c>
      <c r="M256" s="10">
        <f t="shared" si="28"/>
        <v>0.16220048272933926</v>
      </c>
      <c r="P256" s="8">
        <f t="shared" si="29"/>
        <v>-12.897103983593542</v>
      </c>
    </row>
    <row r="257" spans="1:16" x14ac:dyDescent="0.2">
      <c r="A257" s="8">
        <v>127.5</v>
      </c>
      <c r="B257" s="8">
        <v>255</v>
      </c>
      <c r="D257">
        <v>1401.0746864309999</v>
      </c>
      <c r="E257">
        <v>322.48574686430999</v>
      </c>
      <c r="F257">
        <v>139.78322875071001</v>
      </c>
      <c r="G257">
        <v>117.32344552196</v>
      </c>
      <c r="I257" s="9">
        <f t="shared" si="26"/>
        <v>205.16230134234999</v>
      </c>
      <c r="J257" s="9">
        <f t="shared" si="27"/>
        <v>1261.29145768029</v>
      </c>
      <c r="K257" s="9">
        <f t="shared" si="24"/>
        <v>205.16230134234999</v>
      </c>
      <c r="L257" s="10">
        <f t="shared" si="21"/>
        <v>0.16266050173658925</v>
      </c>
      <c r="M257" s="10">
        <f t="shared" si="28"/>
        <v>0.16274483468327713</v>
      </c>
      <c r="P257" s="8">
        <f t="shared" si="29"/>
        <v>-12.604782833604746</v>
      </c>
    </row>
    <row r="258" spans="1:16" x14ac:dyDescent="0.2">
      <c r="A258" s="8">
        <v>128</v>
      </c>
      <c r="B258" s="8">
        <v>256</v>
      </c>
      <c r="D258">
        <v>1399.0387685291</v>
      </c>
      <c r="E258">
        <v>323.38084378563002</v>
      </c>
      <c r="F258">
        <v>140.11123787791999</v>
      </c>
      <c r="G258">
        <v>117.03936109527</v>
      </c>
      <c r="I258" s="9">
        <f t="shared" si="26"/>
        <v>206.34148269036001</v>
      </c>
      <c r="J258" s="9">
        <f t="shared" si="27"/>
        <v>1258.9275306511799</v>
      </c>
      <c r="K258" s="9">
        <f t="shared" si="24"/>
        <v>206.34148269036001</v>
      </c>
      <c r="L258" s="10">
        <f t="shared" ref="L258:L321" si="30">K258/J258</f>
        <v>0.16390258983662859</v>
      </c>
      <c r="M258" s="10">
        <f t="shared" si="28"/>
        <v>0.16398725350075447</v>
      </c>
      <c r="P258" s="8">
        <f t="shared" si="29"/>
        <v>-11.937594455083479</v>
      </c>
    </row>
    <row r="259" spans="1:16" x14ac:dyDescent="0.2">
      <c r="A259" s="8">
        <v>128.5</v>
      </c>
      <c r="B259" s="8">
        <v>257</v>
      </c>
      <c r="D259">
        <v>1399.9920182440001</v>
      </c>
      <c r="E259">
        <v>324.19612314709002</v>
      </c>
      <c r="F259">
        <v>139.79064460923999</v>
      </c>
      <c r="G259">
        <v>117.27666856817</v>
      </c>
      <c r="I259" s="9">
        <f t="shared" si="26"/>
        <v>206.91945457892001</v>
      </c>
      <c r="J259" s="9">
        <f t="shared" si="27"/>
        <v>1260.2013736347601</v>
      </c>
      <c r="K259" s="9">
        <f t="shared" ref="K259:K322" si="31">I259*1</f>
        <v>206.91945457892001</v>
      </c>
      <c r="L259" s="10">
        <f t="shared" si="30"/>
        <v>0.16419554755928301</v>
      </c>
      <c r="M259" s="10">
        <f t="shared" si="28"/>
        <v>0.16428054194084687</v>
      </c>
      <c r="P259" s="8">
        <f t="shared" si="29"/>
        <v>-11.780096326407675</v>
      </c>
    </row>
    <row r="260" spans="1:16" x14ac:dyDescent="0.2">
      <c r="A260" s="8">
        <v>129</v>
      </c>
      <c r="B260" s="8">
        <v>258</v>
      </c>
      <c r="D260">
        <v>1401.3973774230001</v>
      </c>
      <c r="E260">
        <v>325.51482326112</v>
      </c>
      <c r="F260">
        <v>139.96691386194999</v>
      </c>
      <c r="G260">
        <v>117.48545350827</v>
      </c>
      <c r="I260" s="9">
        <f t="shared" si="26"/>
        <v>208.02936975285002</v>
      </c>
      <c r="J260" s="9">
        <f t="shared" si="27"/>
        <v>1261.4304635610501</v>
      </c>
      <c r="K260" s="9">
        <f t="shared" si="31"/>
        <v>208.02936975285002</v>
      </c>
      <c r="L260" s="10">
        <f t="shared" si="30"/>
        <v>0.16491544778899492</v>
      </c>
      <c r="M260" s="10">
        <f t="shared" si="28"/>
        <v>0.16500077288799678</v>
      </c>
      <c r="P260" s="8">
        <f t="shared" si="29"/>
        <v>-11.393326815973607</v>
      </c>
    </row>
    <row r="261" spans="1:16" x14ac:dyDescent="0.2">
      <c r="A261" s="8">
        <v>129.5</v>
      </c>
      <c r="B261" s="8">
        <v>259</v>
      </c>
      <c r="D261">
        <v>1402.6374002281</v>
      </c>
      <c r="E261">
        <v>326.35119726340002</v>
      </c>
      <c r="F261">
        <v>140.01369081574001</v>
      </c>
      <c r="G261">
        <v>117.47005134056</v>
      </c>
      <c r="I261" s="9">
        <f t="shared" si="26"/>
        <v>208.88114592284001</v>
      </c>
      <c r="J261" s="9">
        <f t="shared" si="27"/>
        <v>1262.6237094123599</v>
      </c>
      <c r="K261" s="9">
        <f t="shared" si="31"/>
        <v>208.88114592284001</v>
      </c>
      <c r="L261" s="10">
        <f t="shared" si="30"/>
        <v>0.16543420210290188</v>
      </c>
      <c r="M261" s="10">
        <f t="shared" si="28"/>
        <v>0.16551985791934173</v>
      </c>
      <c r="P261" s="8">
        <f t="shared" si="29"/>
        <v>-11.114574196079372</v>
      </c>
    </row>
    <row r="262" spans="1:16" x14ac:dyDescent="0.2">
      <c r="A262" s="8">
        <v>130</v>
      </c>
      <c r="B262" s="8">
        <v>260</v>
      </c>
      <c r="D262">
        <v>1400.6402508552001</v>
      </c>
      <c r="E262">
        <v>325.26453819839998</v>
      </c>
      <c r="F262">
        <v>139.46605818597001</v>
      </c>
      <c r="G262">
        <v>117.32800912721</v>
      </c>
      <c r="I262" s="9">
        <f t="shared" si="26"/>
        <v>207.93652907118997</v>
      </c>
      <c r="J262" s="9">
        <f t="shared" si="27"/>
        <v>1261.17419266923</v>
      </c>
      <c r="K262" s="9">
        <f t="shared" si="31"/>
        <v>207.93652907118997</v>
      </c>
      <c r="L262" s="10">
        <f t="shared" si="30"/>
        <v>0.16487534416724761</v>
      </c>
      <c r="M262" s="10">
        <f t="shared" si="28"/>
        <v>0.16496133070112545</v>
      </c>
      <c r="P262" s="8">
        <f t="shared" si="29"/>
        <v>-11.414507571073118</v>
      </c>
    </row>
    <row r="263" spans="1:16" x14ac:dyDescent="0.2">
      <c r="A263" s="8">
        <v>130.5</v>
      </c>
      <c r="B263" s="8">
        <v>261</v>
      </c>
      <c r="D263">
        <v>1400.5005701253999</v>
      </c>
      <c r="E263">
        <v>327.80501710376001</v>
      </c>
      <c r="F263">
        <v>139.63491158015</v>
      </c>
      <c r="G263">
        <v>117.37649743297</v>
      </c>
      <c r="I263" s="9">
        <f t="shared" si="26"/>
        <v>210.42851967079002</v>
      </c>
      <c r="J263" s="9">
        <f t="shared" si="27"/>
        <v>1260.86565854525</v>
      </c>
      <c r="K263" s="9">
        <f t="shared" si="31"/>
        <v>210.42851967079002</v>
      </c>
      <c r="L263" s="10">
        <f t="shared" si="30"/>
        <v>0.16689210166416643</v>
      </c>
      <c r="M263" s="10">
        <f t="shared" si="28"/>
        <v>0.16697841891548226</v>
      </c>
      <c r="P263" s="8">
        <f t="shared" si="29"/>
        <v>-10.331315819515771</v>
      </c>
    </row>
    <row r="264" spans="1:16" x14ac:dyDescent="0.2">
      <c r="A264" s="8">
        <v>131</v>
      </c>
      <c r="B264" s="8">
        <v>262</v>
      </c>
      <c r="D264">
        <v>1400.2177879133001</v>
      </c>
      <c r="E264">
        <v>327.46408209805998</v>
      </c>
      <c r="F264">
        <v>139.50656018254</v>
      </c>
      <c r="G264">
        <v>117.16828294353</v>
      </c>
      <c r="I264" s="9">
        <f t="shared" si="26"/>
        <v>210.29579915452996</v>
      </c>
      <c r="J264" s="9">
        <f t="shared" si="27"/>
        <v>1260.7112277307601</v>
      </c>
      <c r="K264" s="9">
        <f t="shared" si="31"/>
        <v>210.29579915452996</v>
      </c>
      <c r="L264" s="10">
        <f t="shared" si="30"/>
        <v>0.16680727079194468</v>
      </c>
      <c r="M264" s="10">
        <f t="shared" si="28"/>
        <v>0.16689391876069851</v>
      </c>
      <c r="P264" s="8">
        <f t="shared" si="29"/>
        <v>-10.376693046954617</v>
      </c>
    </row>
    <row r="265" spans="1:16" x14ac:dyDescent="0.2">
      <c r="A265" s="8">
        <v>131.5</v>
      </c>
      <c r="B265" s="8">
        <v>263</v>
      </c>
      <c r="D265">
        <v>1400.1391106043</v>
      </c>
      <c r="E265">
        <v>327.46864310147998</v>
      </c>
      <c r="F265">
        <v>139.41985168283</v>
      </c>
      <c r="G265">
        <v>117.37763833427999</v>
      </c>
      <c r="I265" s="9">
        <f t="shared" si="26"/>
        <v>210.09100476719999</v>
      </c>
      <c r="J265" s="9">
        <f t="shared" si="27"/>
        <v>1260.7192589214699</v>
      </c>
      <c r="K265" s="9">
        <f t="shared" si="31"/>
        <v>210.09100476719999</v>
      </c>
      <c r="L265" s="10">
        <f t="shared" si="30"/>
        <v>0.16664376567621431</v>
      </c>
      <c r="M265" s="10">
        <f t="shared" si="28"/>
        <v>0.16673074436240612</v>
      </c>
      <c r="P265" s="8">
        <f t="shared" si="29"/>
        <v>-10.464318943054558</v>
      </c>
    </row>
    <row r="266" spans="1:16" x14ac:dyDescent="0.2">
      <c r="A266" s="8">
        <v>132</v>
      </c>
      <c r="B266" s="8">
        <v>264</v>
      </c>
      <c r="D266">
        <v>1401.570695553</v>
      </c>
      <c r="E266">
        <v>329.58779931585002</v>
      </c>
      <c r="F266">
        <v>139.27381631489001</v>
      </c>
      <c r="G266">
        <v>117.60125499144</v>
      </c>
      <c r="I266" s="9">
        <f t="shared" si="26"/>
        <v>211.98654432441003</v>
      </c>
      <c r="J266" s="9">
        <f t="shared" si="27"/>
        <v>1262.29687923811</v>
      </c>
      <c r="K266" s="9">
        <f t="shared" si="31"/>
        <v>211.98654432441003</v>
      </c>
      <c r="L266" s="10">
        <f t="shared" si="30"/>
        <v>0.16793715314606472</v>
      </c>
      <c r="M266" s="10">
        <f t="shared" si="28"/>
        <v>0.16802446254969453</v>
      </c>
      <c r="P266" s="8">
        <f t="shared" si="29"/>
        <v>-9.7695824117832313</v>
      </c>
    </row>
    <row r="267" spans="1:16" x14ac:dyDescent="0.2">
      <c r="A267" s="8">
        <v>132.5</v>
      </c>
      <c r="B267" s="8">
        <v>265</v>
      </c>
      <c r="D267">
        <v>1401.4064994298999</v>
      </c>
      <c r="E267">
        <v>329.75085518814001</v>
      </c>
      <c r="F267">
        <v>139.78094694808999</v>
      </c>
      <c r="G267">
        <v>117.32572732459001</v>
      </c>
      <c r="I267" s="9">
        <f t="shared" si="26"/>
        <v>212.42512786355002</v>
      </c>
      <c r="J267" s="9">
        <f t="shared" si="27"/>
        <v>1261.6255524818098</v>
      </c>
      <c r="K267" s="9">
        <f t="shared" si="31"/>
        <v>212.42512786355002</v>
      </c>
      <c r="L267" s="10">
        <f t="shared" si="30"/>
        <v>0.16837414829279371</v>
      </c>
      <c r="M267" s="10">
        <f t="shared" si="28"/>
        <v>0.1684617884138615</v>
      </c>
      <c r="P267" s="8">
        <f t="shared" si="29"/>
        <v>-9.5347350880833073</v>
      </c>
    </row>
    <row r="268" spans="1:16" x14ac:dyDescent="0.2">
      <c r="A268" s="8">
        <v>133</v>
      </c>
      <c r="B268" s="8">
        <v>266</v>
      </c>
      <c r="D268">
        <v>1399.0233751425001</v>
      </c>
      <c r="E268">
        <v>330.34549600911998</v>
      </c>
      <c r="F268">
        <v>139.62236166572001</v>
      </c>
      <c r="G268">
        <v>117.22989161437999</v>
      </c>
      <c r="I268" s="9">
        <f t="shared" si="26"/>
        <v>213.11560439473999</v>
      </c>
      <c r="J268" s="9">
        <f t="shared" si="27"/>
        <v>1259.40101347678</v>
      </c>
      <c r="K268" s="9">
        <f t="shared" si="31"/>
        <v>213.11560439473999</v>
      </c>
      <c r="L268" s="10">
        <f t="shared" si="30"/>
        <v>0.16921981331934927</v>
      </c>
      <c r="M268" s="10">
        <f t="shared" si="28"/>
        <v>0.16930778415785505</v>
      </c>
      <c r="P268" s="8">
        <f t="shared" si="29"/>
        <v>-9.0804289227782657</v>
      </c>
    </row>
    <row r="269" spans="1:16" x14ac:dyDescent="0.2">
      <c r="A269" s="8">
        <v>133.5</v>
      </c>
      <c r="B269" s="8">
        <v>267</v>
      </c>
      <c r="D269">
        <v>1399.4834663626</v>
      </c>
      <c r="E269">
        <v>331.09920182439998</v>
      </c>
      <c r="F269">
        <v>139.82258984597999</v>
      </c>
      <c r="G269">
        <v>117.35824301197999</v>
      </c>
      <c r="I269" s="9">
        <f t="shared" si="26"/>
        <v>213.74095881241999</v>
      </c>
      <c r="J269" s="9">
        <f t="shared" si="27"/>
        <v>1259.66087651662</v>
      </c>
      <c r="K269" s="9">
        <f t="shared" si="31"/>
        <v>213.74095881241999</v>
      </c>
      <c r="L269" s="10">
        <f t="shared" si="30"/>
        <v>0.16968135058975922</v>
      </c>
      <c r="M269" s="10">
        <f t="shared" si="28"/>
        <v>0.169769652145703</v>
      </c>
      <c r="P269" s="8">
        <f t="shared" si="29"/>
        <v>-8.8324022915261402</v>
      </c>
    </row>
    <row r="270" spans="1:16" x14ac:dyDescent="0.2">
      <c r="A270" s="8">
        <v>134</v>
      </c>
      <c r="B270" s="8">
        <v>268</v>
      </c>
      <c r="D270">
        <v>1400.3158494869001</v>
      </c>
      <c r="E270">
        <v>331.93728620296997</v>
      </c>
      <c r="F270">
        <v>139.79007415858999</v>
      </c>
      <c r="G270">
        <v>117.25213918996</v>
      </c>
      <c r="I270" s="9">
        <f t="shared" si="26"/>
        <v>214.68514701300995</v>
      </c>
      <c r="J270" s="9">
        <f t="shared" si="27"/>
        <v>1260.5257753283101</v>
      </c>
      <c r="K270" s="9">
        <f t="shared" si="31"/>
        <v>214.68514701300995</v>
      </c>
      <c r="L270" s="10">
        <f t="shared" si="30"/>
        <v>0.17031396835744525</v>
      </c>
      <c r="M270" s="10">
        <f t="shared" si="28"/>
        <v>0.17040260063082702</v>
      </c>
      <c r="P270" s="8">
        <f t="shared" si="29"/>
        <v>-8.4925041287352414</v>
      </c>
    </row>
    <row r="271" spans="1:16" x14ac:dyDescent="0.2">
      <c r="A271" s="8">
        <v>134.5</v>
      </c>
      <c r="B271" s="8">
        <v>269</v>
      </c>
      <c r="D271">
        <v>1398.9583808437999</v>
      </c>
      <c r="E271">
        <v>333.34321550740998</v>
      </c>
      <c r="F271">
        <v>139.81916714203999</v>
      </c>
      <c r="G271">
        <v>117.08784940103</v>
      </c>
      <c r="I271" s="9">
        <f t="shared" si="26"/>
        <v>216.25536610638</v>
      </c>
      <c r="J271" s="9">
        <f t="shared" si="27"/>
        <v>1259.1392137017599</v>
      </c>
      <c r="K271" s="9">
        <f t="shared" si="31"/>
        <v>216.25536610638</v>
      </c>
      <c r="L271" s="10">
        <f t="shared" si="30"/>
        <v>0.17174857533870938</v>
      </c>
      <c r="M271" s="10">
        <f t="shared" si="28"/>
        <v>0.17183753832952914</v>
      </c>
      <c r="P271" s="8">
        <f t="shared" si="29"/>
        <v>-7.7219316430254663</v>
      </c>
    </row>
    <row r="272" spans="1:16" x14ac:dyDescent="0.2">
      <c r="A272" s="8">
        <v>135</v>
      </c>
      <c r="B272" s="8">
        <v>270</v>
      </c>
      <c r="D272">
        <v>1400.7753705815001</v>
      </c>
      <c r="E272">
        <v>332.63397947548998</v>
      </c>
      <c r="F272">
        <v>139.31488876212001</v>
      </c>
      <c r="G272">
        <v>117.16600114089999</v>
      </c>
      <c r="I272" s="9">
        <f t="shared" si="26"/>
        <v>215.46797833458999</v>
      </c>
      <c r="J272" s="9">
        <f t="shared" si="27"/>
        <v>1261.46048181938</v>
      </c>
      <c r="K272" s="9">
        <f t="shared" si="31"/>
        <v>215.46797833458999</v>
      </c>
      <c r="L272" s="10">
        <f t="shared" si="30"/>
        <v>0.17080834591332159</v>
      </c>
      <c r="M272" s="10">
        <f t="shared" si="28"/>
        <v>0.17089763962157933</v>
      </c>
      <c r="P272" s="8">
        <f t="shared" si="29"/>
        <v>-8.2266644159921043</v>
      </c>
    </row>
    <row r="273" spans="1:16" x14ac:dyDescent="0.2">
      <c r="A273" s="8">
        <v>135.5</v>
      </c>
      <c r="B273" s="8">
        <v>271</v>
      </c>
      <c r="D273">
        <v>1397.0125427594</v>
      </c>
      <c r="E273">
        <v>333.46351197262999</v>
      </c>
      <c r="F273">
        <v>139.41015402168</v>
      </c>
      <c r="G273">
        <v>117.32401597262</v>
      </c>
      <c r="I273" s="9">
        <f t="shared" si="26"/>
        <v>216.13949600000998</v>
      </c>
      <c r="J273" s="9">
        <f t="shared" si="27"/>
        <v>1257.60238873772</v>
      </c>
      <c r="K273" s="9">
        <f t="shared" si="31"/>
        <v>216.13949600000998</v>
      </c>
      <c r="L273" s="10">
        <f t="shared" si="30"/>
        <v>0.17186632113267009</v>
      </c>
      <c r="M273" s="10">
        <f t="shared" si="28"/>
        <v>0.17195594555836582</v>
      </c>
      <c r="P273" s="8">
        <f t="shared" si="29"/>
        <v>-7.6583460582762344</v>
      </c>
    </row>
    <row r="274" spans="1:16" x14ac:dyDescent="0.2">
      <c r="A274" s="8">
        <v>136</v>
      </c>
      <c r="B274" s="8">
        <v>272</v>
      </c>
      <c r="D274">
        <v>1400.1755986317</v>
      </c>
      <c r="E274">
        <v>333.69897377423001</v>
      </c>
      <c r="F274">
        <v>139.22418710782</v>
      </c>
      <c r="G274">
        <v>117.33314318312</v>
      </c>
      <c r="I274" s="9">
        <f t="shared" si="26"/>
        <v>216.36583059111001</v>
      </c>
      <c r="J274" s="9">
        <f t="shared" si="27"/>
        <v>1260.9514115238801</v>
      </c>
      <c r="K274" s="9">
        <f t="shared" si="31"/>
        <v>216.36583059111001</v>
      </c>
      <c r="L274" s="10">
        <f t="shared" si="30"/>
        <v>0.17158934802224332</v>
      </c>
      <c r="M274" s="10">
        <f t="shared" si="28"/>
        <v>0.17167930316537705</v>
      </c>
      <c r="P274" s="8">
        <f t="shared" si="29"/>
        <v>-7.8069051327300398</v>
      </c>
    </row>
    <row r="275" spans="1:16" x14ac:dyDescent="0.2">
      <c r="A275" s="8">
        <v>136.5</v>
      </c>
      <c r="B275" s="8">
        <v>273</v>
      </c>
      <c r="D275">
        <v>1401.3095781072</v>
      </c>
      <c r="E275">
        <v>334.17445838084001</v>
      </c>
      <c r="F275">
        <v>139.76440387906001</v>
      </c>
      <c r="G275">
        <v>117.28522532801</v>
      </c>
      <c r="I275" s="9">
        <f>E275-G275</f>
        <v>216.88923305283001</v>
      </c>
      <c r="J275" s="9">
        <f>D275-F275</f>
        <v>1261.54517422814</v>
      </c>
      <c r="K275" s="9">
        <f t="shared" si="31"/>
        <v>216.88923305283001</v>
      </c>
      <c r="L275" s="10">
        <f t="shared" si="30"/>
        <v>0.17192347724331858</v>
      </c>
      <c r="M275" s="10">
        <f>L275+ABS($N$2)*A275</f>
        <v>0.1720137631038903</v>
      </c>
      <c r="O275" s="11"/>
      <c r="P275" s="8">
        <f>(M275-$O$2)/$O$2*100</f>
        <v>-7.627297595466505</v>
      </c>
    </row>
    <row r="276" spans="1:16" x14ac:dyDescent="0.2">
      <c r="A276" s="8">
        <v>137</v>
      </c>
      <c r="B276" s="8">
        <v>274</v>
      </c>
      <c r="D276">
        <v>1397.1100342074999</v>
      </c>
      <c r="E276">
        <v>333.95838084379</v>
      </c>
      <c r="F276">
        <v>139.8716486024</v>
      </c>
      <c r="G276">
        <v>117.47575584712</v>
      </c>
      <c r="I276" s="9">
        <f t="shared" ref="I276:I291" si="32">E276-G276</f>
        <v>216.48262499666998</v>
      </c>
      <c r="J276" s="9">
        <f t="shared" ref="J276:J291" si="33">D276-F276</f>
        <v>1257.2383856050999</v>
      </c>
      <c r="K276" s="9">
        <f t="shared" si="31"/>
        <v>216.48262499666998</v>
      </c>
      <c r="L276" s="10">
        <f t="shared" si="30"/>
        <v>0.17218900367290205</v>
      </c>
      <c r="M276" s="10">
        <f t="shared" ref="M276:M291" si="34">L276+ABS($N$2)*A276</f>
        <v>0.17227962025091176</v>
      </c>
      <c r="P276" s="8">
        <f t="shared" ref="P276:P291" si="35">(M276-$O$2)/$O$2*100</f>
        <v>-7.4845302803354512</v>
      </c>
    </row>
    <row r="277" spans="1:16" x14ac:dyDescent="0.2">
      <c r="A277" s="8">
        <v>137.5</v>
      </c>
      <c r="B277" s="8">
        <v>275</v>
      </c>
      <c r="D277">
        <v>1395.7445838084</v>
      </c>
      <c r="E277">
        <v>334.36602052452002</v>
      </c>
      <c r="F277">
        <v>139.26697090702001</v>
      </c>
      <c r="G277">
        <v>117.48830576155</v>
      </c>
      <c r="I277" s="9">
        <f t="shared" si="32"/>
        <v>216.87771476297002</v>
      </c>
      <c r="J277" s="9">
        <f t="shared" si="33"/>
        <v>1256.4776129013799</v>
      </c>
      <c r="K277" s="9">
        <f t="shared" si="31"/>
        <v>216.87771476297002</v>
      </c>
      <c r="L277" s="10">
        <f t="shared" si="30"/>
        <v>0.17260770310277912</v>
      </c>
      <c r="M277" s="10">
        <f t="shared" si="34"/>
        <v>0.17269865039822685</v>
      </c>
      <c r="N277" s="1"/>
      <c r="P277" s="8">
        <f t="shared" si="35"/>
        <v>-7.2595078960911898</v>
      </c>
    </row>
    <row r="278" spans="1:16" x14ac:dyDescent="0.2">
      <c r="A278" s="8">
        <v>138</v>
      </c>
      <c r="B278" s="8">
        <v>276</v>
      </c>
      <c r="D278">
        <v>1393.8494868871001</v>
      </c>
      <c r="E278">
        <v>336.11060433295</v>
      </c>
      <c r="F278">
        <v>139.50313747861</v>
      </c>
      <c r="G278">
        <v>117.23787792356001</v>
      </c>
      <c r="I278" s="9">
        <f t="shared" si="32"/>
        <v>218.87272640939</v>
      </c>
      <c r="J278" s="9">
        <f t="shared" si="33"/>
        <v>1254.3463494084901</v>
      </c>
      <c r="K278" s="9">
        <f t="shared" si="31"/>
        <v>218.87272640939</v>
      </c>
      <c r="L278" s="10">
        <f t="shared" si="30"/>
        <v>0.17449146044280625</v>
      </c>
      <c r="M278" s="10">
        <f t="shared" si="34"/>
        <v>0.17458273845569197</v>
      </c>
      <c r="P278" s="8">
        <f t="shared" si="35"/>
        <v>-6.2477382429207733</v>
      </c>
    </row>
    <row r="279" spans="1:16" x14ac:dyDescent="0.2">
      <c r="A279" s="8">
        <v>138.5</v>
      </c>
      <c r="B279" s="8">
        <v>277</v>
      </c>
      <c r="D279">
        <v>1422.6927023945</v>
      </c>
      <c r="E279">
        <v>341.12941847206002</v>
      </c>
      <c r="F279">
        <v>139.57729606389</v>
      </c>
      <c r="G279">
        <v>117.21163719338</v>
      </c>
      <c r="I279" s="9">
        <f t="shared" si="32"/>
        <v>223.91778127868002</v>
      </c>
      <c r="J279" s="9">
        <f t="shared" si="33"/>
        <v>1283.1154063306099</v>
      </c>
      <c r="K279" s="9">
        <f t="shared" si="31"/>
        <v>223.91778127868002</v>
      </c>
      <c r="L279" s="10">
        <f t="shared" si="30"/>
        <v>0.17451102229302121</v>
      </c>
      <c r="M279" s="10">
        <f t="shared" si="34"/>
        <v>0.17460263102334492</v>
      </c>
      <c r="P279" s="8">
        <f t="shared" si="35"/>
        <v>-6.2370557824088326</v>
      </c>
    </row>
    <row r="280" spans="1:16" x14ac:dyDescent="0.2">
      <c r="A280" s="8">
        <v>139</v>
      </c>
      <c r="B280" s="8">
        <v>278</v>
      </c>
      <c r="D280">
        <v>1425.779931585</v>
      </c>
      <c r="E280">
        <v>340.86602052452002</v>
      </c>
      <c r="F280">
        <v>139.10039931546001</v>
      </c>
      <c r="G280">
        <v>117.19224187108</v>
      </c>
      <c r="I280" s="9">
        <f t="shared" si="32"/>
        <v>223.67377865344002</v>
      </c>
      <c r="J280" s="9">
        <f t="shared" si="33"/>
        <v>1286.67953226954</v>
      </c>
      <c r="K280" s="9">
        <f t="shared" si="31"/>
        <v>223.67377865344002</v>
      </c>
      <c r="L280" s="10">
        <f t="shared" si="30"/>
        <v>0.17383798610591697</v>
      </c>
      <c r="M280" s="10">
        <f t="shared" si="34"/>
        <v>0.17392992555367867</v>
      </c>
      <c r="P280" s="8">
        <f t="shared" si="35"/>
        <v>-6.5983037490488741</v>
      </c>
    </row>
    <row r="281" spans="1:16" x14ac:dyDescent="0.2">
      <c r="A281" s="8">
        <v>139.5</v>
      </c>
      <c r="B281" s="8">
        <v>279</v>
      </c>
      <c r="D281">
        <v>1423.2622576967001</v>
      </c>
      <c r="E281">
        <v>343.29589509691999</v>
      </c>
      <c r="F281">
        <v>139.37649743297001</v>
      </c>
      <c r="G281">
        <v>116.64175698802001</v>
      </c>
      <c r="I281" s="9">
        <f t="shared" si="32"/>
        <v>226.65413810889999</v>
      </c>
      <c r="J281" s="9">
        <f t="shared" si="33"/>
        <v>1283.8857602637302</v>
      </c>
      <c r="K281" s="9">
        <f t="shared" si="31"/>
        <v>226.65413810889999</v>
      </c>
      <c r="L281" s="10">
        <f t="shared" si="30"/>
        <v>0.17653762127741154</v>
      </c>
      <c r="M281" s="10">
        <f t="shared" si="34"/>
        <v>0.17662989144261124</v>
      </c>
      <c r="P281" s="8">
        <f t="shared" si="35"/>
        <v>-5.1484014792512598</v>
      </c>
    </row>
    <row r="282" spans="1:16" x14ac:dyDescent="0.2">
      <c r="A282" s="8">
        <v>140</v>
      </c>
      <c r="B282" s="8">
        <v>280</v>
      </c>
      <c r="D282">
        <v>1419.4298745724</v>
      </c>
      <c r="E282">
        <v>340.43557582668001</v>
      </c>
      <c r="F282">
        <v>139.38505419281</v>
      </c>
      <c r="G282">
        <v>117.28351397604</v>
      </c>
      <c r="I282" s="9">
        <f t="shared" si="32"/>
        <v>223.15206185064</v>
      </c>
      <c r="J282" s="9">
        <f t="shared" si="33"/>
        <v>1280.04482037959</v>
      </c>
      <c r="K282" s="9">
        <f t="shared" si="31"/>
        <v>223.15206185064</v>
      </c>
      <c r="L282" s="10">
        <f t="shared" si="30"/>
        <v>0.17433144394464681</v>
      </c>
      <c r="M282" s="10">
        <f t="shared" si="34"/>
        <v>0.17442404482728449</v>
      </c>
      <c r="P282" s="8">
        <f t="shared" si="35"/>
        <v>-6.3329579314263169</v>
      </c>
    </row>
    <row r="283" spans="1:16" x14ac:dyDescent="0.2">
      <c r="A283" s="8">
        <v>140.5</v>
      </c>
      <c r="B283" s="8">
        <v>281</v>
      </c>
      <c r="D283">
        <v>1416.7611174458</v>
      </c>
      <c r="E283">
        <v>341.93671607753998</v>
      </c>
      <c r="F283">
        <v>138.88819167142</v>
      </c>
      <c r="G283">
        <v>117.03707929264</v>
      </c>
      <c r="I283" s="9">
        <f t="shared" si="32"/>
        <v>224.8996367849</v>
      </c>
      <c r="J283" s="9">
        <f t="shared" si="33"/>
        <v>1277.8729257743801</v>
      </c>
      <c r="K283" s="9">
        <f t="shared" si="31"/>
        <v>224.8996367849</v>
      </c>
      <c r="L283" s="10">
        <f t="shared" si="30"/>
        <v>0.17599530614408529</v>
      </c>
      <c r="M283" s="10">
        <f t="shared" si="34"/>
        <v>0.17608823774416096</v>
      </c>
      <c r="P283" s="8">
        <f t="shared" si="35"/>
        <v>-5.4392736454688153</v>
      </c>
    </row>
    <row r="284" spans="1:16" x14ac:dyDescent="0.2">
      <c r="A284" s="8">
        <v>141</v>
      </c>
      <c r="B284" s="8">
        <v>282</v>
      </c>
      <c r="D284">
        <v>1416.5655644241999</v>
      </c>
      <c r="E284">
        <v>342.46351197262999</v>
      </c>
      <c r="F284">
        <v>139.33713633771001</v>
      </c>
      <c r="G284">
        <v>116.71363377068</v>
      </c>
      <c r="I284" s="9">
        <f t="shared" si="32"/>
        <v>225.74987820194997</v>
      </c>
      <c r="J284" s="9">
        <f t="shared" si="33"/>
        <v>1277.2284280864899</v>
      </c>
      <c r="K284" s="9">
        <f t="shared" si="31"/>
        <v>225.74987820194997</v>
      </c>
      <c r="L284" s="10">
        <f t="shared" si="30"/>
        <v>0.17674980703347051</v>
      </c>
      <c r="M284" s="10">
        <f t="shared" si="34"/>
        <v>0.17684306935098418</v>
      </c>
      <c r="P284" s="8">
        <f t="shared" si="35"/>
        <v>-5.0339233169575754</v>
      </c>
    </row>
    <row r="285" spans="1:16" x14ac:dyDescent="0.2">
      <c r="A285" s="8">
        <v>141.5</v>
      </c>
      <c r="B285" s="8">
        <v>283</v>
      </c>
      <c r="D285">
        <v>1416.6499429875</v>
      </c>
      <c r="E285">
        <v>344.04846066135002</v>
      </c>
      <c r="F285">
        <v>139.56132344552</v>
      </c>
      <c r="G285">
        <v>117.3177410154</v>
      </c>
      <c r="I285" s="9">
        <f t="shared" si="32"/>
        <v>226.73071964595002</v>
      </c>
      <c r="J285" s="9">
        <f t="shared" si="33"/>
        <v>1277.0886195419801</v>
      </c>
      <c r="K285" s="9">
        <f t="shared" si="31"/>
        <v>226.73071964595002</v>
      </c>
      <c r="L285" s="10">
        <f t="shared" si="30"/>
        <v>0.17753718589025216</v>
      </c>
      <c r="M285" s="10">
        <f t="shared" si="34"/>
        <v>0.17763077892520382</v>
      </c>
      <c r="P285" s="8">
        <f t="shared" si="35"/>
        <v>-4.6109172692575049</v>
      </c>
    </row>
    <row r="286" spans="1:16" x14ac:dyDescent="0.2">
      <c r="A286" s="8">
        <v>142</v>
      </c>
      <c r="B286" s="8">
        <v>284</v>
      </c>
      <c r="D286">
        <v>1417.5803876852999</v>
      </c>
      <c r="E286">
        <v>344.54561003420997</v>
      </c>
      <c r="F286">
        <v>138.84084426697001</v>
      </c>
      <c r="G286">
        <v>117.26754135767</v>
      </c>
      <c r="I286" s="9">
        <f t="shared" si="32"/>
        <v>227.27806867653999</v>
      </c>
      <c r="J286" s="9">
        <f t="shared" si="33"/>
        <v>1278.73954341833</v>
      </c>
      <c r="K286" s="9">
        <f t="shared" si="31"/>
        <v>227.27806867653999</v>
      </c>
      <c r="L286" s="10">
        <f t="shared" si="30"/>
        <v>0.17773601344100118</v>
      </c>
      <c r="M286" s="10">
        <f t="shared" si="34"/>
        <v>0.17782993719339082</v>
      </c>
      <c r="P286" s="8">
        <f t="shared" si="35"/>
        <v>-4.5039677606444677</v>
      </c>
    </row>
    <row r="287" spans="1:16" x14ac:dyDescent="0.2">
      <c r="A287" s="8">
        <v>142.5</v>
      </c>
      <c r="B287" s="8">
        <v>285</v>
      </c>
      <c r="D287">
        <v>1418.0473204105001</v>
      </c>
      <c r="E287">
        <v>345.47035347777</v>
      </c>
      <c r="F287">
        <v>139.21563034798001</v>
      </c>
      <c r="G287">
        <v>117.18368511124</v>
      </c>
      <c r="I287" s="9">
        <f t="shared" si="32"/>
        <v>228.28666836653002</v>
      </c>
      <c r="J287" s="9">
        <f t="shared" si="33"/>
        <v>1278.83169006252</v>
      </c>
      <c r="K287" s="9">
        <f t="shared" si="31"/>
        <v>228.28666836653002</v>
      </c>
      <c r="L287" s="10">
        <f t="shared" si="30"/>
        <v>0.17851189499016049</v>
      </c>
      <c r="M287" s="10">
        <f t="shared" si="34"/>
        <v>0.17860614945998812</v>
      </c>
      <c r="P287" s="8">
        <f t="shared" si="35"/>
        <v>-4.087135854805422</v>
      </c>
    </row>
    <row r="288" spans="1:16" x14ac:dyDescent="0.2">
      <c r="A288" s="8">
        <v>143</v>
      </c>
      <c r="B288" s="8">
        <v>286</v>
      </c>
      <c r="D288">
        <v>1418.9743443558</v>
      </c>
      <c r="E288">
        <v>346.14253135690001</v>
      </c>
      <c r="F288">
        <v>139.34112949230001</v>
      </c>
      <c r="G288">
        <v>116.96063890473999</v>
      </c>
      <c r="I288" s="9">
        <f t="shared" si="32"/>
        <v>229.18189245216001</v>
      </c>
      <c r="J288" s="9">
        <f t="shared" si="33"/>
        <v>1279.6332148634999</v>
      </c>
      <c r="K288" s="9">
        <f t="shared" si="31"/>
        <v>229.18189245216001</v>
      </c>
      <c r="L288" s="10">
        <f t="shared" si="30"/>
        <v>0.17909967464904164</v>
      </c>
      <c r="M288" s="10">
        <f t="shared" si="34"/>
        <v>0.17919425983630727</v>
      </c>
      <c r="P288" s="8">
        <f t="shared" si="35"/>
        <v>-3.7713160983366563</v>
      </c>
    </row>
    <row r="289" spans="1:16" x14ac:dyDescent="0.2">
      <c r="A289" s="8">
        <v>143.5</v>
      </c>
      <c r="B289" s="8">
        <v>287</v>
      </c>
      <c r="D289">
        <v>1420.9429874571999</v>
      </c>
      <c r="E289">
        <v>346.57810718358002</v>
      </c>
      <c r="F289">
        <v>139.38790644609</v>
      </c>
      <c r="G289">
        <v>117.22133485454</v>
      </c>
      <c r="I289" s="9">
        <f t="shared" si="32"/>
        <v>229.35677232904001</v>
      </c>
      <c r="J289" s="9">
        <f t="shared" si="33"/>
        <v>1281.5550810111099</v>
      </c>
      <c r="K289" s="9">
        <f t="shared" si="31"/>
        <v>229.35677232904001</v>
      </c>
      <c r="L289" s="10">
        <f t="shared" si="30"/>
        <v>0.17896754944632123</v>
      </c>
      <c r="M289" s="10">
        <f t="shared" si="34"/>
        <v>0.17906246535102485</v>
      </c>
      <c r="P289" s="8">
        <f t="shared" si="35"/>
        <v>-3.8420907418760724</v>
      </c>
    </row>
    <row r="290" spans="1:16" x14ac:dyDescent="0.2">
      <c r="A290" s="8">
        <v>144</v>
      </c>
      <c r="B290" s="8">
        <v>288</v>
      </c>
      <c r="D290">
        <v>1420.4834663626</v>
      </c>
      <c r="E290">
        <v>346.64253135690001</v>
      </c>
      <c r="F290">
        <v>138.95379349685999</v>
      </c>
      <c r="G290">
        <v>117.10439247005</v>
      </c>
      <c r="I290" s="9">
        <f t="shared" si="32"/>
        <v>229.53813888684999</v>
      </c>
      <c r="J290" s="9">
        <f t="shared" si="33"/>
        <v>1281.5296728657399</v>
      </c>
      <c r="K290" s="9">
        <f t="shared" si="31"/>
        <v>229.53813888684999</v>
      </c>
      <c r="L290" s="10">
        <f t="shared" si="30"/>
        <v>0.17911262122675614</v>
      </c>
      <c r="M290" s="10">
        <f t="shared" si="34"/>
        <v>0.17920786784889775</v>
      </c>
      <c r="P290" s="8">
        <f t="shared" si="35"/>
        <v>-3.7640084918134589</v>
      </c>
    </row>
    <row r="291" spans="1:16" x14ac:dyDescent="0.2">
      <c r="A291" s="8">
        <v>144.5</v>
      </c>
      <c r="B291" s="8">
        <v>289</v>
      </c>
      <c r="D291">
        <v>1421.6009122006999</v>
      </c>
      <c r="E291">
        <v>347.74287343216002</v>
      </c>
      <c r="F291">
        <v>139.02795208214999</v>
      </c>
      <c r="G291">
        <v>117.35310895608001</v>
      </c>
      <c r="I291" s="9">
        <f t="shared" si="32"/>
        <v>230.38976447608002</v>
      </c>
      <c r="J291" s="9">
        <f t="shared" si="33"/>
        <v>1282.5729601185499</v>
      </c>
      <c r="K291" s="9">
        <f t="shared" si="31"/>
        <v>230.38976447608002</v>
      </c>
      <c r="L291" s="10">
        <f t="shared" si="30"/>
        <v>0.17963092287146362</v>
      </c>
      <c r="M291" s="10">
        <f t="shared" si="34"/>
        <v>0.17972650021104322</v>
      </c>
      <c r="P291" s="8">
        <f t="shared" si="35"/>
        <v>-3.4854989587309841</v>
      </c>
    </row>
    <row r="292" spans="1:16" x14ac:dyDescent="0.2">
      <c r="A292" s="8">
        <v>145</v>
      </c>
      <c r="B292" s="8">
        <v>290</v>
      </c>
      <c r="D292">
        <v>1427.7491448118999</v>
      </c>
      <c r="E292">
        <v>347.82725199544001</v>
      </c>
      <c r="F292">
        <v>138.78551055334</v>
      </c>
      <c r="G292">
        <v>116.68397033657</v>
      </c>
      <c r="I292" s="9">
        <f>E292-G292</f>
        <v>231.14328165887002</v>
      </c>
      <c r="J292" s="9">
        <f>D292-F292</f>
        <v>1288.96363425856</v>
      </c>
      <c r="K292" s="9">
        <f t="shared" si="31"/>
        <v>231.14328165887002</v>
      </c>
      <c r="L292" s="10">
        <f t="shared" si="30"/>
        <v>0.17932490530799861</v>
      </c>
      <c r="M292" s="10">
        <f>L292+ABS($N$2)*A292</f>
        <v>0.1794208133650162</v>
      </c>
      <c r="O292" s="11"/>
      <c r="P292" s="8">
        <f>(M292-$O$2)/$O$2*100</f>
        <v>-3.6496551259324468</v>
      </c>
    </row>
    <row r="293" spans="1:16" x14ac:dyDescent="0.2">
      <c r="A293" s="8">
        <v>145.5</v>
      </c>
      <c r="B293" s="8">
        <v>291</v>
      </c>
      <c r="D293">
        <v>1422.5661345496001</v>
      </c>
      <c r="E293">
        <v>349.76453819839998</v>
      </c>
      <c r="F293">
        <v>138.99030233885</v>
      </c>
      <c r="G293">
        <v>117.37307472904</v>
      </c>
      <c r="I293" s="9">
        <f t="shared" ref="I293:I301" si="36">E293-G293</f>
        <v>232.39146346935996</v>
      </c>
      <c r="J293" s="9">
        <f t="shared" ref="J293:J301" si="37">D293-F293</f>
        <v>1283.5758322107501</v>
      </c>
      <c r="K293" s="9">
        <f t="shared" si="31"/>
        <v>232.39146346935996</v>
      </c>
      <c r="L293" s="10">
        <f t="shared" si="30"/>
        <v>0.18105004600242711</v>
      </c>
      <c r="M293" s="10">
        <f t="shared" ref="M293:M301" si="38">L293+ABS($N$2)*A293</f>
        <v>0.18114628477688269</v>
      </c>
      <c r="P293" s="8">
        <f t="shared" ref="P293:P301" si="39">(M293-$O$2)/$O$2*100</f>
        <v>-2.7230638209122207</v>
      </c>
    </row>
    <row r="294" spans="1:16" x14ac:dyDescent="0.2">
      <c r="A294" s="8">
        <v>146</v>
      </c>
      <c r="B294" s="8">
        <v>292</v>
      </c>
      <c r="D294">
        <v>1419.0547320410999</v>
      </c>
      <c r="E294">
        <v>349.81185860889002</v>
      </c>
      <c r="F294">
        <v>139.07130633200001</v>
      </c>
      <c r="G294">
        <v>117.12435824300999</v>
      </c>
      <c r="I294" s="9">
        <f t="shared" si="36"/>
        <v>232.68750036588003</v>
      </c>
      <c r="J294" s="9">
        <f t="shared" si="37"/>
        <v>1279.9834257090999</v>
      </c>
      <c r="K294" s="9">
        <f t="shared" si="31"/>
        <v>232.68750036588003</v>
      </c>
      <c r="L294" s="10">
        <f t="shared" si="30"/>
        <v>0.18178946359166576</v>
      </c>
      <c r="M294" s="10">
        <f t="shared" si="38"/>
        <v>0.18188603308355933</v>
      </c>
      <c r="N294" s="1"/>
      <c r="P294" s="8">
        <f t="shared" si="39"/>
        <v>-2.3258133395909764</v>
      </c>
    </row>
    <row r="295" spans="1:16" x14ac:dyDescent="0.2">
      <c r="A295" s="8">
        <v>146.5</v>
      </c>
      <c r="B295" s="8">
        <v>293</v>
      </c>
      <c r="D295">
        <v>1421.2873432155</v>
      </c>
      <c r="E295">
        <v>349.92588369441</v>
      </c>
      <c r="F295">
        <v>139.10325156874001</v>
      </c>
      <c r="G295">
        <v>117.03479749002</v>
      </c>
      <c r="I295" s="9">
        <f t="shared" si="36"/>
        <v>232.89108620439001</v>
      </c>
      <c r="J295" s="9">
        <f t="shared" si="37"/>
        <v>1282.18409164676</v>
      </c>
      <c r="K295" s="9">
        <f t="shared" si="31"/>
        <v>232.89108620439001</v>
      </c>
      <c r="L295" s="10">
        <f t="shared" si="30"/>
        <v>0.18163623127259265</v>
      </c>
      <c r="M295" s="10">
        <f t="shared" si="38"/>
        <v>0.18173313148192421</v>
      </c>
      <c r="P295" s="8">
        <f t="shared" si="39"/>
        <v>-2.4079226655551231</v>
      </c>
    </row>
    <row r="296" spans="1:16" x14ac:dyDescent="0.2">
      <c r="A296" s="8">
        <v>147</v>
      </c>
      <c r="B296" s="8">
        <v>294</v>
      </c>
      <c r="D296">
        <v>1434.5307867731001</v>
      </c>
      <c r="E296">
        <v>351.33010262258</v>
      </c>
      <c r="F296">
        <v>139.06160867085001</v>
      </c>
      <c r="G296">
        <v>117.17569880204999</v>
      </c>
      <c r="I296" s="9">
        <f t="shared" si="36"/>
        <v>234.15440382053001</v>
      </c>
      <c r="J296" s="9">
        <f t="shared" si="37"/>
        <v>1295.46917810225</v>
      </c>
      <c r="K296" s="9">
        <f t="shared" si="31"/>
        <v>234.15440382053001</v>
      </c>
      <c r="L296" s="10">
        <f t="shared" si="30"/>
        <v>0.18074872623642493</v>
      </c>
      <c r="M296" s="10">
        <f t="shared" si="38"/>
        <v>0.18084595716319449</v>
      </c>
      <c r="P296" s="8">
        <f t="shared" si="39"/>
        <v>-2.884342039483188</v>
      </c>
    </row>
    <row r="297" spans="1:16" x14ac:dyDescent="0.2">
      <c r="A297" s="8">
        <v>147.5</v>
      </c>
      <c r="B297" s="8">
        <v>295</v>
      </c>
      <c r="D297">
        <v>1428.4042189282</v>
      </c>
      <c r="E297">
        <v>351.09407069554999</v>
      </c>
      <c r="F297">
        <v>139.09241300628</v>
      </c>
      <c r="G297">
        <v>117.08385624644001</v>
      </c>
      <c r="I297" s="9">
        <f t="shared" si="36"/>
        <v>234.01021444910998</v>
      </c>
      <c r="J297" s="9">
        <f t="shared" si="37"/>
        <v>1289.31180592192</v>
      </c>
      <c r="K297" s="9">
        <f t="shared" si="31"/>
        <v>234.01021444910998</v>
      </c>
      <c r="L297" s="10">
        <f t="shared" si="30"/>
        <v>0.18150009437149411</v>
      </c>
      <c r="M297" s="10">
        <f t="shared" si="38"/>
        <v>0.18159765601570166</v>
      </c>
      <c r="P297" s="8">
        <f t="shared" si="39"/>
        <v>-2.4806740239271479</v>
      </c>
    </row>
    <row r="298" spans="1:16" x14ac:dyDescent="0.2">
      <c r="A298" s="8">
        <v>148</v>
      </c>
      <c r="B298" s="8">
        <v>296</v>
      </c>
      <c r="D298">
        <v>1446.6795895097</v>
      </c>
      <c r="E298">
        <v>355.03135689852002</v>
      </c>
      <c r="F298">
        <v>138.70621791215001</v>
      </c>
      <c r="G298">
        <v>116.88020536224001</v>
      </c>
      <c r="I298" s="9">
        <f t="shared" si="36"/>
        <v>238.15115153628</v>
      </c>
      <c r="J298" s="9">
        <f t="shared" si="37"/>
        <v>1307.9733715975499</v>
      </c>
      <c r="K298" s="9">
        <f t="shared" si="31"/>
        <v>238.15115153628</v>
      </c>
      <c r="L298" s="10">
        <f t="shared" si="30"/>
        <v>0.18207645255453769</v>
      </c>
      <c r="M298" s="10">
        <f t="shared" si="38"/>
        <v>0.18217434491618323</v>
      </c>
      <c r="P298" s="8">
        <f t="shared" si="39"/>
        <v>-2.1709876870727634</v>
      </c>
    </row>
    <row r="299" spans="1:16" x14ac:dyDescent="0.2">
      <c r="A299" s="8">
        <v>148.5</v>
      </c>
      <c r="B299" s="8">
        <v>297</v>
      </c>
      <c r="D299">
        <v>1480.6117445837999</v>
      </c>
      <c r="E299">
        <v>358.56784492588002</v>
      </c>
      <c r="F299">
        <v>138.97946377637999</v>
      </c>
      <c r="G299">
        <v>116.66514546492</v>
      </c>
      <c r="I299" s="9">
        <f t="shared" si="36"/>
        <v>241.90269946096004</v>
      </c>
      <c r="J299" s="9">
        <f t="shared" si="37"/>
        <v>1341.6322808074199</v>
      </c>
      <c r="K299" s="9">
        <f t="shared" si="31"/>
        <v>241.90269946096004</v>
      </c>
      <c r="L299" s="10">
        <f t="shared" si="30"/>
        <v>0.18030476973569717</v>
      </c>
      <c r="M299" s="10">
        <f t="shared" si="38"/>
        <v>0.1804029928147807</v>
      </c>
      <c r="P299" s="8">
        <f t="shared" si="39"/>
        <v>-3.122217272217513</v>
      </c>
    </row>
    <row r="300" spans="1:16" x14ac:dyDescent="0.2">
      <c r="A300" s="8">
        <v>149</v>
      </c>
      <c r="B300" s="8">
        <v>298</v>
      </c>
      <c r="D300">
        <v>1466.0342075256999</v>
      </c>
      <c r="E300">
        <v>358.26282782212002</v>
      </c>
      <c r="F300">
        <v>138.3553907587</v>
      </c>
      <c r="G300">
        <v>116.5447803765</v>
      </c>
      <c r="I300" s="9">
        <f t="shared" si="36"/>
        <v>241.71804744562002</v>
      </c>
      <c r="J300" s="9">
        <f t="shared" si="37"/>
        <v>1327.6788167669999</v>
      </c>
      <c r="K300" s="9">
        <f t="shared" si="31"/>
        <v>241.71804744562002</v>
      </c>
      <c r="L300" s="10">
        <f t="shared" si="30"/>
        <v>0.18206063423849908</v>
      </c>
      <c r="M300" s="10">
        <f t="shared" si="38"/>
        <v>0.1821591880350206</v>
      </c>
      <c r="P300" s="8">
        <f t="shared" si="39"/>
        <v>-2.1791270478294429</v>
      </c>
    </row>
    <row r="301" spans="1:16" x14ac:dyDescent="0.2">
      <c r="A301" s="8">
        <v>149.5</v>
      </c>
      <c r="B301" s="8">
        <v>299</v>
      </c>
      <c r="D301">
        <v>1454.1733181300001</v>
      </c>
      <c r="E301">
        <v>357.91904218927999</v>
      </c>
      <c r="F301">
        <v>138.71363377067999</v>
      </c>
      <c r="G301">
        <v>116.70222475756</v>
      </c>
      <c r="I301" s="9">
        <f t="shared" si="36"/>
        <v>241.21681743171999</v>
      </c>
      <c r="J301" s="9">
        <f t="shared" si="37"/>
        <v>1315.4596843593201</v>
      </c>
      <c r="K301" s="9">
        <f t="shared" si="31"/>
        <v>241.21681743171999</v>
      </c>
      <c r="L301" s="10">
        <f t="shared" si="30"/>
        <v>0.18337074126996292</v>
      </c>
      <c r="M301" s="10">
        <f t="shared" si="38"/>
        <v>0.18346962578392242</v>
      </c>
      <c r="P301" s="8">
        <f t="shared" si="39"/>
        <v>-1.4754119844838076</v>
      </c>
    </row>
    <row r="302" spans="1:16" x14ac:dyDescent="0.2">
      <c r="A302" s="8">
        <v>150</v>
      </c>
      <c r="B302" s="8">
        <v>300</v>
      </c>
      <c r="D302">
        <v>1461.8591790194</v>
      </c>
      <c r="E302">
        <v>358.89281641961003</v>
      </c>
      <c r="F302">
        <v>138.64575014261001</v>
      </c>
      <c r="G302">
        <v>116.8676554478</v>
      </c>
      <c r="I302" s="9">
        <f>E302-G302</f>
        <v>242.02516097181001</v>
      </c>
      <c r="J302" s="9">
        <f>D302-F302</f>
        <v>1323.21342887679</v>
      </c>
      <c r="K302" s="9">
        <f t="shared" si="31"/>
        <v>242.02516097181001</v>
      </c>
      <c r="L302" s="10">
        <f t="shared" si="30"/>
        <v>0.18290712268334</v>
      </c>
      <c r="M302" s="10">
        <f>L302+ABS($N$2)*A302</f>
        <v>0.1830063379147375</v>
      </c>
      <c r="O302" s="11"/>
      <c r="P302" s="8">
        <f>(M302-$O$2)/$O$2*100</f>
        <v>-1.7242011028405915</v>
      </c>
    </row>
    <row r="303" spans="1:16" x14ac:dyDescent="0.2">
      <c r="A303" s="8">
        <v>150.5</v>
      </c>
      <c r="B303" s="8">
        <v>301</v>
      </c>
      <c r="D303">
        <v>1463.8842645382001</v>
      </c>
      <c r="E303">
        <v>358.95553021665</v>
      </c>
      <c r="F303">
        <v>138.9001711352</v>
      </c>
      <c r="G303">
        <v>116.85054192811999</v>
      </c>
      <c r="I303" s="9">
        <f t="shared" ref="I303:I309" si="40">E303-G303</f>
        <v>242.10498828853002</v>
      </c>
      <c r="J303" s="9">
        <f t="shared" ref="J303:J309" si="41">D303-F303</f>
        <v>1324.9840934030001</v>
      </c>
      <c r="K303" s="9">
        <f t="shared" si="31"/>
        <v>242.10498828853002</v>
      </c>
      <c r="L303" s="10">
        <f t="shared" si="30"/>
        <v>0.18272293946316279</v>
      </c>
      <c r="M303" s="10">
        <f t="shared" ref="M303:M309" si="42">L303+ABS($N$2)*A303</f>
        <v>0.18282248541199828</v>
      </c>
      <c r="P303" s="8">
        <f t="shared" ref="P303:P309" si="43">(M303-$O$2)/$O$2*100</f>
        <v>-1.8229312987005697</v>
      </c>
    </row>
    <row r="304" spans="1:16" x14ac:dyDescent="0.2">
      <c r="A304" s="8">
        <v>151</v>
      </c>
      <c r="B304" s="8">
        <v>302</v>
      </c>
      <c r="D304">
        <v>1464.7525655643999</v>
      </c>
      <c r="E304">
        <v>359.89908779932</v>
      </c>
      <c r="F304">
        <v>138.56531660011001</v>
      </c>
      <c r="G304">
        <v>116.78836280662</v>
      </c>
      <c r="I304" s="9">
        <f t="shared" si="40"/>
        <v>243.1107249927</v>
      </c>
      <c r="J304" s="9">
        <f t="shared" si="41"/>
        <v>1326.1872489642899</v>
      </c>
      <c r="K304" s="9">
        <f t="shared" si="31"/>
        <v>243.1107249927</v>
      </c>
      <c r="L304" s="10">
        <f t="shared" si="30"/>
        <v>0.18331553495372674</v>
      </c>
      <c r="M304" s="10">
        <f t="shared" si="42"/>
        <v>0.18341541162000022</v>
      </c>
      <c r="N304" s="1"/>
      <c r="P304" s="8">
        <f t="shared" si="43"/>
        <v>-1.5045254038970666</v>
      </c>
    </row>
    <row r="305" spans="1:16" x14ac:dyDescent="0.2">
      <c r="A305" s="8">
        <v>151.5</v>
      </c>
      <c r="B305" s="8">
        <v>303</v>
      </c>
      <c r="D305">
        <v>1473.0450399087999</v>
      </c>
      <c r="E305">
        <v>359.65507411631</v>
      </c>
      <c r="F305">
        <v>138.52310325157001</v>
      </c>
      <c r="G305">
        <v>116.80148317171</v>
      </c>
      <c r="I305" s="9">
        <f t="shared" si="40"/>
        <v>242.8535909446</v>
      </c>
      <c r="J305" s="9">
        <f t="shared" si="41"/>
        <v>1334.5219366572298</v>
      </c>
      <c r="K305" s="9">
        <f t="shared" si="31"/>
        <v>242.8535909446</v>
      </c>
      <c r="L305" s="10">
        <f t="shared" si="30"/>
        <v>0.18197796849477837</v>
      </c>
      <c r="M305" s="10">
        <f t="shared" si="42"/>
        <v>0.18207817587848985</v>
      </c>
      <c r="P305" s="8">
        <f t="shared" si="43"/>
        <v>-2.2226311936101788</v>
      </c>
    </row>
    <row r="306" spans="1:16" x14ac:dyDescent="0.2">
      <c r="A306" s="8">
        <v>152</v>
      </c>
      <c r="B306" s="8">
        <v>304</v>
      </c>
      <c r="D306">
        <v>1491.6374002281</v>
      </c>
      <c r="E306">
        <v>362.49942987457001</v>
      </c>
      <c r="F306">
        <v>138.23217341700001</v>
      </c>
      <c r="G306">
        <v>116.86879634912</v>
      </c>
      <c r="I306" s="9">
        <f t="shared" si="40"/>
        <v>245.63063352545001</v>
      </c>
      <c r="J306" s="9">
        <f t="shared" si="41"/>
        <v>1353.4052268111</v>
      </c>
      <c r="K306" s="9">
        <f t="shared" si="31"/>
        <v>245.63063352545001</v>
      </c>
      <c r="L306" s="10">
        <f t="shared" si="30"/>
        <v>0.18149082673798012</v>
      </c>
      <c r="M306" s="10">
        <f t="shared" si="42"/>
        <v>0.1815913648391296</v>
      </c>
      <c r="P306" s="8">
        <f t="shared" si="43"/>
        <v>-2.4840524337170304</v>
      </c>
    </row>
    <row r="307" spans="1:16" x14ac:dyDescent="0.2">
      <c r="A307" s="8">
        <v>152.5</v>
      </c>
      <c r="B307" s="8">
        <v>305</v>
      </c>
      <c r="D307">
        <v>1545.0461801596</v>
      </c>
      <c r="E307">
        <v>372.96807297606</v>
      </c>
      <c r="F307">
        <v>138.03879064461</v>
      </c>
      <c r="G307">
        <v>116.68853394180999</v>
      </c>
      <c r="I307" s="9">
        <f t="shared" si="40"/>
        <v>256.27953903424998</v>
      </c>
      <c r="J307" s="9">
        <f t="shared" si="41"/>
        <v>1407.0073895149899</v>
      </c>
      <c r="K307" s="9">
        <f t="shared" si="31"/>
        <v>256.27953903424998</v>
      </c>
      <c r="L307" s="10">
        <f t="shared" si="30"/>
        <v>0.18214512656013285</v>
      </c>
      <c r="M307" s="10">
        <f t="shared" si="42"/>
        <v>0.18224599537872033</v>
      </c>
      <c r="P307" s="8">
        <f t="shared" si="43"/>
        <v>-2.1325108423502326</v>
      </c>
    </row>
    <row r="308" spans="1:16" x14ac:dyDescent="0.2">
      <c r="A308" s="8">
        <v>153</v>
      </c>
      <c r="B308" s="8">
        <v>306</v>
      </c>
      <c r="D308">
        <v>1578.1829059828999</v>
      </c>
      <c r="E308">
        <v>379.05014245014002</v>
      </c>
      <c r="F308">
        <v>138.12264689104001</v>
      </c>
      <c r="G308">
        <v>116.62065031375001</v>
      </c>
      <c r="I308" s="9">
        <f t="shared" si="40"/>
        <v>262.42949213639002</v>
      </c>
      <c r="J308" s="9">
        <f t="shared" si="41"/>
        <v>1440.06025909186</v>
      </c>
      <c r="K308" s="9">
        <f t="shared" si="31"/>
        <v>262.42949213639002</v>
      </c>
      <c r="L308" s="10">
        <f t="shared" si="30"/>
        <v>0.18223507695565808</v>
      </c>
      <c r="M308" s="10">
        <f t="shared" si="42"/>
        <v>0.18233627649168355</v>
      </c>
      <c r="P308" s="8">
        <f t="shared" si="43"/>
        <v>-2.0840291962887787</v>
      </c>
    </row>
    <row r="309" spans="1:16" x14ac:dyDescent="0.2">
      <c r="A309" s="8">
        <v>153.5</v>
      </c>
      <c r="B309" s="8">
        <v>307</v>
      </c>
      <c r="D309">
        <v>1584.8438746439001</v>
      </c>
      <c r="E309">
        <v>392.55840455841002</v>
      </c>
      <c r="F309">
        <v>138.22818026241001</v>
      </c>
      <c r="G309">
        <v>116.74443810610001</v>
      </c>
      <c r="I309" s="9">
        <f t="shared" si="40"/>
        <v>275.81396645231001</v>
      </c>
      <c r="J309" s="9">
        <f t="shared" si="41"/>
        <v>1446.6156943814901</v>
      </c>
      <c r="K309" s="9">
        <f t="shared" si="31"/>
        <v>275.81396645231001</v>
      </c>
      <c r="L309" s="10">
        <f t="shared" si="30"/>
        <v>0.19066153334541006</v>
      </c>
      <c r="M309" s="10">
        <f t="shared" si="42"/>
        <v>0.19076306359887352</v>
      </c>
      <c r="P309" s="8">
        <f t="shared" si="43"/>
        <v>2.4412197351510234</v>
      </c>
    </row>
    <row r="310" spans="1:16" x14ac:dyDescent="0.2">
      <c r="A310" s="8">
        <v>154</v>
      </c>
      <c r="B310" s="8">
        <v>308</v>
      </c>
      <c r="D310">
        <v>1666.7811965812</v>
      </c>
      <c r="E310">
        <v>413.58176638177002</v>
      </c>
      <c r="F310">
        <v>138.32572732458999</v>
      </c>
      <c r="G310">
        <v>116.63434112949</v>
      </c>
      <c r="I310" s="9">
        <f>E310-G310</f>
        <v>296.94742525228003</v>
      </c>
      <c r="J310" s="9">
        <f>D310-F310</f>
        <v>1528.4554692566101</v>
      </c>
      <c r="K310" s="9">
        <f t="shared" si="31"/>
        <v>296.94742525228003</v>
      </c>
      <c r="L310" s="10">
        <f t="shared" si="30"/>
        <v>0.19427940900149704</v>
      </c>
      <c r="M310" s="10">
        <f>L310+ABS($N$2)*A310</f>
        <v>0.19438126997239849</v>
      </c>
      <c r="O310" s="11"/>
      <c r="P310" s="8">
        <f>(M310-$O$2)/$O$2*100</f>
        <v>4.3842241468267877</v>
      </c>
    </row>
    <row r="311" spans="1:16" x14ac:dyDescent="0.2">
      <c r="A311" s="8">
        <v>154.5</v>
      </c>
      <c r="B311" s="8">
        <v>309</v>
      </c>
      <c r="D311">
        <v>1663.6389521640001</v>
      </c>
      <c r="E311">
        <v>409.98120728929001</v>
      </c>
      <c r="F311">
        <v>138.06274957215999</v>
      </c>
      <c r="G311">
        <v>116.60011409013001</v>
      </c>
      <c r="I311" s="9">
        <f t="shared" ref="I311:I319" si="44">E311-G311</f>
        <v>293.38109319915998</v>
      </c>
      <c r="J311" s="9">
        <f t="shared" ref="J311:J319" si="45">D311-F311</f>
        <v>1525.5762025918402</v>
      </c>
      <c r="K311" s="9">
        <f t="shared" si="31"/>
        <v>293.38109319915998</v>
      </c>
      <c r="L311" s="10">
        <f t="shared" si="30"/>
        <v>0.19230838335097741</v>
      </c>
      <c r="M311" s="10">
        <f t="shared" ref="M311:M319" si="46">L311+ABS($N$2)*A311</f>
        <v>0.19241057503931686</v>
      </c>
      <c r="P311" s="8">
        <f t="shared" ref="P311:P319" si="47">(M311-$O$2)/$O$2*100</f>
        <v>3.3259459410664327</v>
      </c>
    </row>
    <row r="312" spans="1:16" x14ac:dyDescent="0.2">
      <c r="A312" s="8">
        <v>155</v>
      </c>
      <c r="B312" s="8">
        <v>310</v>
      </c>
      <c r="D312">
        <v>1648.8502277903999</v>
      </c>
      <c r="E312">
        <v>406.61674259681001</v>
      </c>
      <c r="F312">
        <v>137.71363377067999</v>
      </c>
      <c r="G312">
        <v>116.70507701084</v>
      </c>
      <c r="I312" s="9">
        <f t="shared" si="44"/>
        <v>289.91166558597001</v>
      </c>
      <c r="J312" s="9">
        <f t="shared" si="45"/>
        <v>1511.13659401972</v>
      </c>
      <c r="K312" s="9">
        <f t="shared" si="31"/>
        <v>289.91166558597001</v>
      </c>
      <c r="L312" s="10">
        <f t="shared" si="30"/>
        <v>0.19185007280830019</v>
      </c>
      <c r="M312" s="10">
        <f t="shared" si="46"/>
        <v>0.19195259521407762</v>
      </c>
      <c r="N312" s="1"/>
      <c r="P312" s="8">
        <f t="shared" si="47"/>
        <v>3.0800072827827143</v>
      </c>
    </row>
    <row r="313" spans="1:16" x14ac:dyDescent="0.2">
      <c r="A313" s="8">
        <v>155.5</v>
      </c>
      <c r="B313" s="8">
        <v>311</v>
      </c>
      <c r="D313">
        <v>1608.777904328</v>
      </c>
      <c r="E313">
        <v>401.13041002277998</v>
      </c>
      <c r="F313">
        <v>137.91899600684999</v>
      </c>
      <c r="G313">
        <v>116.27837992014</v>
      </c>
      <c r="I313" s="9">
        <f t="shared" si="44"/>
        <v>284.85203010264001</v>
      </c>
      <c r="J313" s="9">
        <f t="shared" si="45"/>
        <v>1470.85890832115</v>
      </c>
      <c r="K313" s="9">
        <f t="shared" si="31"/>
        <v>284.85203010264001</v>
      </c>
      <c r="L313" s="10">
        <f t="shared" si="30"/>
        <v>0.19366373517618518</v>
      </c>
      <c r="M313" s="10">
        <f t="shared" si="46"/>
        <v>0.19376658829940061</v>
      </c>
      <c r="P313" s="8">
        <f t="shared" si="47"/>
        <v>4.0541354014334248</v>
      </c>
    </row>
    <row r="314" spans="1:16" x14ac:dyDescent="0.2">
      <c r="A314" s="8">
        <v>156</v>
      </c>
      <c r="B314" s="8">
        <v>312</v>
      </c>
      <c r="D314">
        <v>1572.5392938497</v>
      </c>
      <c r="E314">
        <v>394.16173120729002</v>
      </c>
      <c r="F314">
        <v>137.96463205933</v>
      </c>
      <c r="G314">
        <v>116.28123217341999</v>
      </c>
      <c r="I314" s="9">
        <f t="shared" si="44"/>
        <v>277.88049903387002</v>
      </c>
      <c r="J314" s="9">
        <f t="shared" si="45"/>
        <v>1434.5746617903701</v>
      </c>
      <c r="K314" s="9">
        <f t="shared" si="31"/>
        <v>277.88049903387002</v>
      </c>
      <c r="L314" s="10">
        <f t="shared" si="30"/>
        <v>0.19370236100996732</v>
      </c>
      <c r="M314" s="10">
        <f t="shared" si="46"/>
        <v>0.19380554485062074</v>
      </c>
      <c r="P314" s="8">
        <f t="shared" si="47"/>
        <v>4.0750553664852367</v>
      </c>
    </row>
    <row r="315" spans="1:16" x14ac:dyDescent="0.2">
      <c r="A315" s="8">
        <v>156.5</v>
      </c>
      <c r="B315" s="8">
        <v>313</v>
      </c>
      <c r="D315">
        <v>1553.7699316629</v>
      </c>
      <c r="E315">
        <v>390.06378132118999</v>
      </c>
      <c r="F315">
        <v>138.21163719338</v>
      </c>
      <c r="G315">
        <v>116.51682829435001</v>
      </c>
      <c r="I315" s="9">
        <f t="shared" si="44"/>
        <v>273.54695302684001</v>
      </c>
      <c r="J315" s="9">
        <f t="shared" si="45"/>
        <v>1415.55829446952</v>
      </c>
      <c r="K315" s="9">
        <f t="shared" si="31"/>
        <v>273.54695302684001</v>
      </c>
      <c r="L315" s="10">
        <f t="shared" si="30"/>
        <v>0.19324315649561549</v>
      </c>
      <c r="M315" s="10">
        <f t="shared" si="46"/>
        <v>0.1933466710537069</v>
      </c>
      <c r="P315" s="8">
        <f t="shared" si="47"/>
        <v>3.8286366385956558</v>
      </c>
    </row>
    <row r="316" spans="1:16" x14ac:dyDescent="0.2">
      <c r="A316" s="8">
        <v>157</v>
      </c>
      <c r="B316" s="8">
        <v>314</v>
      </c>
      <c r="D316">
        <v>1560.2928774929001</v>
      </c>
      <c r="E316">
        <v>380.73504273504</v>
      </c>
      <c r="F316">
        <v>138.38448374216</v>
      </c>
      <c r="G316">
        <v>116.57216200799</v>
      </c>
      <c r="I316" s="9">
        <f t="shared" si="44"/>
        <v>264.16288072704998</v>
      </c>
      <c r="J316" s="9">
        <f t="shared" si="45"/>
        <v>1421.9083937507401</v>
      </c>
      <c r="K316" s="9">
        <f t="shared" si="31"/>
        <v>264.16288072704998</v>
      </c>
      <c r="L316" s="10">
        <f t="shared" si="30"/>
        <v>0.18578051996038616</v>
      </c>
      <c r="M316" s="10">
        <f t="shared" si="46"/>
        <v>0.18588436523591556</v>
      </c>
      <c r="P316" s="8">
        <f t="shared" si="47"/>
        <v>-0.17867848619547438</v>
      </c>
    </row>
    <row r="317" spans="1:16" x14ac:dyDescent="0.2">
      <c r="A317" s="8">
        <v>157.5</v>
      </c>
      <c r="B317" s="8">
        <v>315</v>
      </c>
      <c r="D317">
        <v>1577.6233618234</v>
      </c>
      <c r="E317">
        <v>385.00341880342</v>
      </c>
      <c r="F317">
        <v>138.11123787791999</v>
      </c>
      <c r="G317">
        <v>116.54306902453</v>
      </c>
      <c r="I317" s="9">
        <f t="shared" si="44"/>
        <v>268.46034977889002</v>
      </c>
      <c r="J317" s="9">
        <f t="shared" si="45"/>
        <v>1439.51212394548</v>
      </c>
      <c r="K317" s="9">
        <f t="shared" si="31"/>
        <v>268.46034977889002</v>
      </c>
      <c r="L317" s="10">
        <f t="shared" si="30"/>
        <v>0.18649398314415147</v>
      </c>
      <c r="M317" s="10">
        <f t="shared" si="46"/>
        <v>0.18659815913711886</v>
      </c>
      <c r="P317" s="8">
        <f t="shared" si="47"/>
        <v>0.204634281482311</v>
      </c>
    </row>
    <row r="318" spans="1:16" x14ac:dyDescent="0.2">
      <c r="A318" s="8">
        <v>158</v>
      </c>
      <c r="B318" s="8">
        <v>316</v>
      </c>
      <c r="D318">
        <v>1532.0412844037</v>
      </c>
      <c r="E318">
        <v>370.84346330275002</v>
      </c>
      <c r="F318">
        <v>138.20707358813999</v>
      </c>
      <c r="G318">
        <v>116.50427837992</v>
      </c>
      <c r="I318" s="9">
        <f t="shared" si="44"/>
        <v>254.33918492283004</v>
      </c>
      <c r="J318" s="9">
        <f t="shared" si="45"/>
        <v>1393.83421081556</v>
      </c>
      <c r="K318" s="9">
        <f t="shared" si="31"/>
        <v>254.33918492283004</v>
      </c>
      <c r="L318" s="10">
        <f t="shared" si="30"/>
        <v>0.18247448867969107</v>
      </c>
      <c r="M318" s="10">
        <f t="shared" si="46"/>
        <v>0.18257899539009645</v>
      </c>
      <c r="P318" s="8">
        <f t="shared" si="47"/>
        <v>-1.9536872970913874</v>
      </c>
    </row>
    <row r="319" spans="1:16" x14ac:dyDescent="0.2">
      <c r="A319" s="8">
        <v>158.5</v>
      </c>
      <c r="B319" s="8">
        <v>317</v>
      </c>
      <c r="D319">
        <v>1509.9856651376001</v>
      </c>
      <c r="E319">
        <v>366.77121559633002</v>
      </c>
      <c r="F319">
        <v>138.06046776954</v>
      </c>
      <c r="G319">
        <v>116.49914432401999</v>
      </c>
      <c r="I319" s="9">
        <f t="shared" si="44"/>
        <v>250.27207127231003</v>
      </c>
      <c r="J319" s="9">
        <f t="shared" si="45"/>
        <v>1371.92519736806</v>
      </c>
      <c r="K319" s="9">
        <f t="shared" si="31"/>
        <v>250.27207127231003</v>
      </c>
      <c r="L319" s="10">
        <f t="shared" si="30"/>
        <v>0.18242399203137244</v>
      </c>
      <c r="M319" s="10">
        <f t="shared" si="46"/>
        <v>0.18252882945921581</v>
      </c>
      <c r="P319" s="8">
        <f t="shared" si="47"/>
        <v>-1.9806267844932477</v>
      </c>
    </row>
    <row r="320" spans="1:16" x14ac:dyDescent="0.2">
      <c r="A320" s="8">
        <v>159</v>
      </c>
      <c r="B320" s="8">
        <v>318</v>
      </c>
      <c r="D320">
        <v>1490.8245412844001</v>
      </c>
      <c r="E320">
        <v>356.06020642201997</v>
      </c>
      <c r="F320">
        <v>138.26183685110999</v>
      </c>
      <c r="G320">
        <v>116.47974900171</v>
      </c>
      <c r="I320" s="9">
        <f>E320-G320</f>
        <v>239.58045742030998</v>
      </c>
      <c r="J320" s="9">
        <f>D320-F320</f>
        <v>1352.56270443329</v>
      </c>
      <c r="K320" s="9">
        <f t="shared" si="31"/>
        <v>239.58045742030998</v>
      </c>
      <c r="L320" s="10">
        <f t="shared" si="30"/>
        <v>0.17713075825249208</v>
      </c>
      <c r="M320" s="10">
        <f>L320+ABS($N$2)*A320</f>
        <v>0.17723592639777344</v>
      </c>
      <c r="O320" s="11"/>
      <c r="P320" s="8">
        <f>(M320-$O$2)/$O$2*100</f>
        <v>-4.8229560872675235</v>
      </c>
    </row>
    <row r="321" spans="1:16" x14ac:dyDescent="0.2">
      <c r="A321" s="8">
        <v>159.5</v>
      </c>
      <c r="B321" s="8">
        <v>319</v>
      </c>
      <c r="D321">
        <v>1461.4839449541</v>
      </c>
      <c r="E321">
        <v>356.26949541284</v>
      </c>
      <c r="F321">
        <v>138.09925841415</v>
      </c>
      <c r="G321">
        <v>116.39075869937</v>
      </c>
      <c r="I321" s="9">
        <f t="shared" ref="I321:I322" si="48">E321-G321</f>
        <v>239.87873671347</v>
      </c>
      <c r="J321" s="9">
        <f t="shared" ref="J321:J322" si="49">D321-F321</f>
        <v>1323.3846865399501</v>
      </c>
      <c r="K321" s="9">
        <f t="shared" si="31"/>
        <v>239.87873671347</v>
      </c>
      <c r="L321" s="10">
        <f t="shared" si="30"/>
        <v>0.1812615327600956</v>
      </c>
      <c r="M321" s="10">
        <f t="shared" ref="M321:M322" si="50">L321+ABS($N$2)*A321</f>
        <v>0.18136703162281495</v>
      </c>
      <c r="P321" s="8">
        <f t="shared" ref="P321:P322" si="51">(M321-$O$2)/$O$2*100</f>
        <v>-2.6045210814354682</v>
      </c>
    </row>
    <row r="322" spans="1:16" x14ac:dyDescent="0.2">
      <c r="A322" s="8">
        <v>160</v>
      </c>
      <c r="B322" s="8">
        <v>320</v>
      </c>
      <c r="D322">
        <v>1517.6198394495</v>
      </c>
      <c r="E322">
        <v>366.36525229358</v>
      </c>
      <c r="F322">
        <v>138.00570450655999</v>
      </c>
      <c r="G322">
        <v>116.77124928694001</v>
      </c>
      <c r="I322" s="9">
        <f t="shared" si="48"/>
        <v>249.59400300663998</v>
      </c>
      <c r="J322" s="9">
        <f t="shared" si="49"/>
        <v>1379.6141349429399</v>
      </c>
      <c r="K322" s="9">
        <f t="shared" si="31"/>
        <v>249.59400300663998</v>
      </c>
      <c r="L322" s="10">
        <f t="shared" ref="L322" si="52">K322/J322</f>
        <v>0.18091580586550243</v>
      </c>
      <c r="M322" s="10">
        <f t="shared" si="50"/>
        <v>0.18102163544565977</v>
      </c>
      <c r="P322" s="8">
        <f t="shared" si="51"/>
        <v>-2.7900014622393527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240821E013</vt:lpstr>
      <vt:lpstr>240821E014</vt:lpstr>
      <vt:lpstr>240821E015</vt:lpstr>
      <vt:lpstr>240821E016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2024-08-22T04:55:50Z</dcterms:modified>
</cp:coreProperties>
</file>