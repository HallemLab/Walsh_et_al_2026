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23/"/>
    </mc:Choice>
  </mc:AlternateContent>
  <xr:revisionPtr revIDLastSave="0" documentId="13_ncr:1_{F545A470-8867-1241-A83A-9771D6F43DD4}" xr6:coauthVersionLast="47" xr6:coauthVersionMax="47" xr10:uidLastSave="{00000000-0000-0000-0000-000000000000}"/>
  <bookViews>
    <workbookView xWindow="740" yWindow="500" windowWidth="28060" windowHeight="15620" activeTab="3" xr2:uid="{703F31A7-3FB6-4B05-8EA8-379C6E25ED1D}"/>
  </bookViews>
  <sheets>
    <sheet name="240823E017" sheetId="18" r:id="rId1"/>
    <sheet name="240823E018" sheetId="1" r:id="rId2"/>
    <sheet name="240823E019" sheetId="16" r:id="rId3"/>
    <sheet name="240823E020" sheetId="17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8" l="1"/>
  <c r="I322" i="18"/>
  <c r="K322" i="18" s="1"/>
  <c r="L322" i="18" s="1"/>
  <c r="J321" i="18"/>
  <c r="I321" i="18"/>
  <c r="K321" i="18" s="1"/>
  <c r="J320" i="18"/>
  <c r="I320" i="18"/>
  <c r="K320" i="18" s="1"/>
  <c r="J319" i="18"/>
  <c r="I319" i="18"/>
  <c r="K319" i="18" s="1"/>
  <c r="J318" i="18"/>
  <c r="I318" i="18"/>
  <c r="K318" i="18" s="1"/>
  <c r="L318" i="18" s="1"/>
  <c r="J317" i="18"/>
  <c r="I317" i="18"/>
  <c r="K317" i="18" s="1"/>
  <c r="L317" i="18" s="1"/>
  <c r="J316" i="18"/>
  <c r="I316" i="18"/>
  <c r="K316" i="18" s="1"/>
  <c r="J315" i="18"/>
  <c r="I315" i="18"/>
  <c r="K315" i="18" s="1"/>
  <c r="J314" i="18"/>
  <c r="I314" i="18"/>
  <c r="K314" i="18" s="1"/>
  <c r="L314" i="18" s="1"/>
  <c r="J313" i="18"/>
  <c r="I313" i="18"/>
  <c r="K313" i="18" s="1"/>
  <c r="J312" i="18"/>
  <c r="I312" i="18"/>
  <c r="K312" i="18" s="1"/>
  <c r="J311" i="18"/>
  <c r="I311" i="18"/>
  <c r="K311" i="18" s="1"/>
  <c r="J310" i="18"/>
  <c r="I310" i="18"/>
  <c r="K310" i="18" s="1"/>
  <c r="L310" i="18" s="1"/>
  <c r="J309" i="18"/>
  <c r="I309" i="18"/>
  <c r="K309" i="18" s="1"/>
  <c r="L309" i="18" s="1"/>
  <c r="V91" i="18" s="1"/>
  <c r="J308" i="18"/>
  <c r="I308" i="18"/>
  <c r="K308" i="18" s="1"/>
  <c r="J307" i="18"/>
  <c r="I307" i="18"/>
  <c r="K307" i="18" s="1"/>
  <c r="L307" i="18" s="1"/>
  <c r="J306" i="18"/>
  <c r="I306" i="18"/>
  <c r="K306" i="18" s="1"/>
  <c r="J305" i="18"/>
  <c r="I305" i="18"/>
  <c r="K305" i="18" s="1"/>
  <c r="L305" i="18" s="1"/>
  <c r="V87" i="18" s="1"/>
  <c r="J304" i="18"/>
  <c r="I304" i="18"/>
  <c r="K304" i="18" s="1"/>
  <c r="J303" i="18"/>
  <c r="I303" i="18"/>
  <c r="K303" i="18" s="1"/>
  <c r="L303" i="18" s="1"/>
  <c r="J302" i="18"/>
  <c r="I302" i="18"/>
  <c r="K302" i="18" s="1"/>
  <c r="L302" i="18" s="1"/>
  <c r="V84" i="18" s="1"/>
  <c r="J301" i="18"/>
  <c r="I301" i="18"/>
  <c r="K301" i="18" s="1"/>
  <c r="J300" i="18"/>
  <c r="I300" i="18"/>
  <c r="K300" i="18" s="1"/>
  <c r="J299" i="18"/>
  <c r="I299" i="18"/>
  <c r="K299" i="18" s="1"/>
  <c r="J298" i="18"/>
  <c r="I298" i="18"/>
  <c r="K298" i="18" s="1"/>
  <c r="L298" i="18" s="1"/>
  <c r="J297" i="18"/>
  <c r="I297" i="18"/>
  <c r="K297" i="18" s="1"/>
  <c r="L297" i="18" s="1"/>
  <c r="J296" i="18"/>
  <c r="I296" i="18"/>
  <c r="K296" i="18" s="1"/>
  <c r="J295" i="18"/>
  <c r="I295" i="18"/>
  <c r="K295" i="18" s="1"/>
  <c r="L295" i="18" s="1"/>
  <c r="J294" i="18"/>
  <c r="I294" i="18"/>
  <c r="K294" i="18" s="1"/>
  <c r="J293" i="18"/>
  <c r="I293" i="18"/>
  <c r="K293" i="18" s="1"/>
  <c r="L293" i="18" s="1"/>
  <c r="J292" i="18"/>
  <c r="I292" i="18"/>
  <c r="K292" i="18" s="1"/>
  <c r="J291" i="18"/>
  <c r="I291" i="18"/>
  <c r="K291" i="18" s="1"/>
  <c r="L291" i="18" s="1"/>
  <c r="J290" i="18"/>
  <c r="I290" i="18"/>
  <c r="K290" i="18" s="1"/>
  <c r="L290" i="18" s="1"/>
  <c r="J289" i="18"/>
  <c r="I289" i="18"/>
  <c r="K289" i="18" s="1"/>
  <c r="L289" i="18" s="1"/>
  <c r="J288" i="18"/>
  <c r="I288" i="18"/>
  <c r="K288" i="18" s="1"/>
  <c r="J287" i="18"/>
  <c r="I287" i="18"/>
  <c r="K287" i="18" s="1"/>
  <c r="J286" i="18"/>
  <c r="I286" i="18"/>
  <c r="K286" i="18" s="1"/>
  <c r="L286" i="18" s="1"/>
  <c r="J285" i="18"/>
  <c r="I285" i="18"/>
  <c r="K285" i="18" s="1"/>
  <c r="L285" i="18" s="1"/>
  <c r="J284" i="18"/>
  <c r="I284" i="18"/>
  <c r="K284" i="18" s="1"/>
  <c r="L284" i="18" s="1"/>
  <c r="J283" i="18"/>
  <c r="I283" i="18"/>
  <c r="K283" i="18" s="1"/>
  <c r="L283" i="18" s="1"/>
  <c r="J282" i="18"/>
  <c r="I282" i="18"/>
  <c r="K282" i="18" s="1"/>
  <c r="L282" i="18" s="1"/>
  <c r="J281" i="18"/>
  <c r="I281" i="18"/>
  <c r="K281" i="18" s="1"/>
  <c r="J280" i="18"/>
  <c r="I280" i="18"/>
  <c r="K280" i="18" s="1"/>
  <c r="J279" i="18"/>
  <c r="I279" i="18"/>
  <c r="K279" i="18" s="1"/>
  <c r="J278" i="18"/>
  <c r="I278" i="18"/>
  <c r="K278" i="18" s="1"/>
  <c r="J277" i="18"/>
  <c r="I277" i="18"/>
  <c r="K277" i="18" s="1"/>
  <c r="J276" i="18"/>
  <c r="I276" i="18"/>
  <c r="K276" i="18" s="1"/>
  <c r="L276" i="18" s="1"/>
  <c r="J275" i="18"/>
  <c r="I275" i="18"/>
  <c r="K275" i="18" s="1"/>
  <c r="J274" i="18"/>
  <c r="I274" i="18"/>
  <c r="K274" i="18" s="1"/>
  <c r="J273" i="18"/>
  <c r="I273" i="18"/>
  <c r="K273" i="18" s="1"/>
  <c r="J272" i="18"/>
  <c r="I272" i="18"/>
  <c r="K272" i="18" s="1"/>
  <c r="L272" i="18" s="1"/>
  <c r="J271" i="18"/>
  <c r="I271" i="18"/>
  <c r="K271" i="18" s="1"/>
  <c r="J270" i="18"/>
  <c r="I270" i="18"/>
  <c r="K270" i="18" s="1"/>
  <c r="J269" i="18"/>
  <c r="I269" i="18"/>
  <c r="K269" i="18" s="1"/>
  <c r="J268" i="18"/>
  <c r="I268" i="18"/>
  <c r="K268" i="18" s="1"/>
  <c r="L268" i="18" s="1"/>
  <c r="J267" i="18"/>
  <c r="I267" i="18"/>
  <c r="K267" i="18" s="1"/>
  <c r="J266" i="18"/>
  <c r="I266" i="18"/>
  <c r="K266" i="18" s="1"/>
  <c r="J265" i="18"/>
  <c r="I265" i="18"/>
  <c r="K265" i="18" s="1"/>
  <c r="J264" i="18"/>
  <c r="I264" i="18"/>
  <c r="K264" i="18" s="1"/>
  <c r="L264" i="18" s="1"/>
  <c r="J263" i="18"/>
  <c r="I263" i="18"/>
  <c r="K263" i="18" s="1"/>
  <c r="J262" i="18"/>
  <c r="I262" i="18"/>
  <c r="K262" i="18" s="1"/>
  <c r="J261" i="18"/>
  <c r="I261" i="18"/>
  <c r="K261" i="18" s="1"/>
  <c r="J260" i="18"/>
  <c r="I260" i="18"/>
  <c r="K260" i="18" s="1"/>
  <c r="L260" i="18" s="1"/>
  <c r="J259" i="18"/>
  <c r="I259" i="18"/>
  <c r="K259" i="18" s="1"/>
  <c r="J258" i="18"/>
  <c r="I258" i="18"/>
  <c r="K258" i="18" s="1"/>
  <c r="J257" i="18"/>
  <c r="I257" i="18"/>
  <c r="K257" i="18" s="1"/>
  <c r="J256" i="18"/>
  <c r="I256" i="18"/>
  <c r="K256" i="18" s="1"/>
  <c r="L256" i="18" s="1"/>
  <c r="J255" i="18"/>
  <c r="I255" i="18"/>
  <c r="K255" i="18" s="1"/>
  <c r="J254" i="18"/>
  <c r="I254" i="18"/>
  <c r="K254" i="18" s="1"/>
  <c r="L254" i="18" s="1"/>
  <c r="J253" i="18"/>
  <c r="I253" i="18"/>
  <c r="K253" i="18" s="1"/>
  <c r="L253" i="18" s="1"/>
  <c r="J252" i="18"/>
  <c r="I252" i="18"/>
  <c r="K252" i="18" s="1"/>
  <c r="L252" i="18" s="1"/>
  <c r="J251" i="18"/>
  <c r="I251" i="18"/>
  <c r="K251" i="18" s="1"/>
  <c r="J250" i="18"/>
  <c r="I250" i="18"/>
  <c r="K250" i="18" s="1"/>
  <c r="L250" i="18" s="1"/>
  <c r="J249" i="18"/>
  <c r="I249" i="18"/>
  <c r="K249" i="18" s="1"/>
  <c r="L249" i="18" s="1"/>
  <c r="J248" i="18"/>
  <c r="I248" i="18"/>
  <c r="K248" i="18" s="1"/>
  <c r="J247" i="18"/>
  <c r="I247" i="18"/>
  <c r="K247" i="18" s="1"/>
  <c r="J246" i="18"/>
  <c r="I246" i="18"/>
  <c r="K246" i="18" s="1"/>
  <c r="L246" i="18" s="1"/>
  <c r="J245" i="18"/>
  <c r="I245" i="18"/>
  <c r="K245" i="18" s="1"/>
  <c r="J244" i="18"/>
  <c r="I244" i="18"/>
  <c r="K244" i="18" s="1"/>
  <c r="L244" i="18" s="1"/>
  <c r="J243" i="18"/>
  <c r="I243" i="18"/>
  <c r="K243" i="18" s="1"/>
  <c r="J242" i="18"/>
  <c r="I242" i="18"/>
  <c r="K242" i="18" s="1"/>
  <c r="L242" i="18" s="1"/>
  <c r="J241" i="18"/>
  <c r="I241" i="18"/>
  <c r="K241" i="18" s="1"/>
  <c r="L241" i="18" s="1"/>
  <c r="J240" i="18"/>
  <c r="I240" i="18"/>
  <c r="K240" i="18" s="1"/>
  <c r="L240" i="18" s="1"/>
  <c r="J239" i="18"/>
  <c r="I239" i="18"/>
  <c r="K239" i="18" s="1"/>
  <c r="J238" i="18"/>
  <c r="I238" i="18"/>
  <c r="K238" i="18" s="1"/>
  <c r="L238" i="18" s="1"/>
  <c r="J237" i="18"/>
  <c r="I237" i="18"/>
  <c r="K237" i="18" s="1"/>
  <c r="J236" i="18"/>
  <c r="I236" i="18"/>
  <c r="K236" i="18" s="1"/>
  <c r="L236" i="18" s="1"/>
  <c r="J235" i="18"/>
  <c r="I235" i="18"/>
  <c r="K235" i="18" s="1"/>
  <c r="J234" i="18"/>
  <c r="I234" i="18"/>
  <c r="K234" i="18" s="1"/>
  <c r="L234" i="18" s="1"/>
  <c r="J233" i="18"/>
  <c r="I233" i="18"/>
  <c r="K233" i="18" s="1"/>
  <c r="J232" i="18"/>
  <c r="I232" i="18"/>
  <c r="K232" i="18" s="1"/>
  <c r="L232" i="18" s="1"/>
  <c r="J231" i="18"/>
  <c r="I231" i="18"/>
  <c r="K231" i="18" s="1"/>
  <c r="J230" i="18"/>
  <c r="I230" i="18"/>
  <c r="K230" i="18" s="1"/>
  <c r="J229" i="18"/>
  <c r="I229" i="18"/>
  <c r="K229" i="18" s="1"/>
  <c r="L229" i="18" s="1"/>
  <c r="J228" i="18"/>
  <c r="I228" i="18"/>
  <c r="K228" i="18" s="1"/>
  <c r="L228" i="18" s="1"/>
  <c r="J227" i="18"/>
  <c r="I227" i="18"/>
  <c r="K227" i="18" s="1"/>
  <c r="J226" i="18"/>
  <c r="I226" i="18"/>
  <c r="K226" i="18" s="1"/>
  <c r="J225" i="18"/>
  <c r="I225" i="18"/>
  <c r="K225" i="18" s="1"/>
  <c r="L225" i="18" s="1"/>
  <c r="J224" i="18"/>
  <c r="I224" i="18"/>
  <c r="K224" i="18" s="1"/>
  <c r="L224" i="18" s="1"/>
  <c r="J223" i="18"/>
  <c r="I223" i="18"/>
  <c r="K223" i="18" s="1"/>
  <c r="J222" i="18"/>
  <c r="I222" i="18"/>
  <c r="K222" i="18" s="1"/>
  <c r="J221" i="18"/>
  <c r="I221" i="18"/>
  <c r="K221" i="18" s="1"/>
  <c r="L221" i="18" s="1"/>
  <c r="J220" i="18"/>
  <c r="I220" i="18"/>
  <c r="K220" i="18" s="1"/>
  <c r="L220" i="18" s="1"/>
  <c r="J219" i="18"/>
  <c r="I219" i="18"/>
  <c r="K219" i="18" s="1"/>
  <c r="J218" i="18"/>
  <c r="I218" i="18"/>
  <c r="K218" i="18" s="1"/>
  <c r="L218" i="18" s="1"/>
  <c r="J217" i="18"/>
  <c r="I217" i="18"/>
  <c r="K217" i="18" s="1"/>
  <c r="L217" i="18" s="1"/>
  <c r="J216" i="18"/>
  <c r="I216" i="18"/>
  <c r="K216" i="18" s="1"/>
  <c r="L216" i="18" s="1"/>
  <c r="J215" i="18"/>
  <c r="I215" i="18"/>
  <c r="K215" i="18" s="1"/>
  <c r="J214" i="18"/>
  <c r="I214" i="18"/>
  <c r="K214" i="18" s="1"/>
  <c r="L214" i="18" s="1"/>
  <c r="J213" i="18"/>
  <c r="I213" i="18"/>
  <c r="K213" i="18" s="1"/>
  <c r="J212" i="18"/>
  <c r="I212" i="18"/>
  <c r="K212" i="18" s="1"/>
  <c r="L212" i="18" s="1"/>
  <c r="J211" i="18"/>
  <c r="I211" i="18"/>
  <c r="K211" i="18" s="1"/>
  <c r="J210" i="18"/>
  <c r="I210" i="18"/>
  <c r="K210" i="18" s="1"/>
  <c r="L210" i="18" s="1"/>
  <c r="J209" i="18"/>
  <c r="I209" i="18"/>
  <c r="K209" i="18" s="1"/>
  <c r="L209" i="18" s="1"/>
  <c r="J208" i="18"/>
  <c r="I208" i="18"/>
  <c r="K208" i="18" s="1"/>
  <c r="L208" i="18" s="1"/>
  <c r="J207" i="18"/>
  <c r="I207" i="18"/>
  <c r="K207" i="18" s="1"/>
  <c r="J206" i="18"/>
  <c r="I206" i="18"/>
  <c r="K206" i="18" s="1"/>
  <c r="L206" i="18" s="1"/>
  <c r="J205" i="18"/>
  <c r="I205" i="18"/>
  <c r="K205" i="18" s="1"/>
  <c r="L205" i="18" s="1"/>
  <c r="J204" i="18"/>
  <c r="I204" i="18"/>
  <c r="K204" i="18" s="1"/>
  <c r="L204" i="18" s="1"/>
  <c r="J203" i="18"/>
  <c r="I203" i="18"/>
  <c r="K203" i="18" s="1"/>
  <c r="J202" i="18"/>
  <c r="I202" i="18"/>
  <c r="K202" i="18" s="1"/>
  <c r="J201" i="18"/>
  <c r="I201" i="18"/>
  <c r="K201" i="18" s="1"/>
  <c r="J200" i="18"/>
  <c r="I200" i="18"/>
  <c r="K200" i="18" s="1"/>
  <c r="J199" i="18"/>
  <c r="I199" i="18"/>
  <c r="K199" i="18" s="1"/>
  <c r="J198" i="18"/>
  <c r="I198" i="18"/>
  <c r="K198" i="18" s="1"/>
  <c r="J197" i="18"/>
  <c r="I197" i="18"/>
  <c r="K197" i="18" s="1"/>
  <c r="J196" i="18"/>
  <c r="I196" i="18"/>
  <c r="K196" i="18" s="1"/>
  <c r="J195" i="18"/>
  <c r="I195" i="18"/>
  <c r="K195" i="18" s="1"/>
  <c r="J194" i="18"/>
  <c r="I194" i="18"/>
  <c r="K194" i="18" s="1"/>
  <c r="J193" i="18"/>
  <c r="I193" i="18"/>
  <c r="K193" i="18" s="1"/>
  <c r="J192" i="18"/>
  <c r="I192" i="18"/>
  <c r="K192" i="18" s="1"/>
  <c r="J191" i="18"/>
  <c r="I191" i="18"/>
  <c r="K191" i="18" s="1"/>
  <c r="J190" i="18"/>
  <c r="I190" i="18"/>
  <c r="K190" i="18" s="1"/>
  <c r="J189" i="18"/>
  <c r="I189" i="18"/>
  <c r="K189" i="18" s="1"/>
  <c r="J188" i="18"/>
  <c r="I188" i="18"/>
  <c r="K188" i="18" s="1"/>
  <c r="J187" i="18"/>
  <c r="I187" i="18"/>
  <c r="K187" i="18" s="1"/>
  <c r="J186" i="18"/>
  <c r="I186" i="18"/>
  <c r="K186" i="18" s="1"/>
  <c r="L186" i="18" s="1"/>
  <c r="J185" i="18"/>
  <c r="I185" i="18"/>
  <c r="K185" i="18" s="1"/>
  <c r="J184" i="18"/>
  <c r="I184" i="18"/>
  <c r="K184" i="18" s="1"/>
  <c r="L184" i="18" s="1"/>
  <c r="J183" i="18"/>
  <c r="I183" i="18"/>
  <c r="K183" i="18" s="1"/>
  <c r="J182" i="18"/>
  <c r="I182" i="18"/>
  <c r="K182" i="18" s="1"/>
  <c r="J181" i="18"/>
  <c r="I181" i="18"/>
  <c r="K181" i="18" s="1"/>
  <c r="J180" i="18"/>
  <c r="I180" i="18"/>
  <c r="K180" i="18" s="1"/>
  <c r="L180" i="18" s="1"/>
  <c r="J179" i="18"/>
  <c r="I179" i="18"/>
  <c r="K179" i="18" s="1"/>
  <c r="J178" i="18"/>
  <c r="I178" i="18"/>
  <c r="K178" i="18" s="1"/>
  <c r="J177" i="18"/>
  <c r="I177" i="18"/>
  <c r="K177" i="18" s="1"/>
  <c r="L177" i="18" s="1"/>
  <c r="J176" i="18"/>
  <c r="I176" i="18"/>
  <c r="K176" i="18" s="1"/>
  <c r="J175" i="18"/>
  <c r="I175" i="18"/>
  <c r="K175" i="18" s="1"/>
  <c r="J174" i="18"/>
  <c r="I174" i="18"/>
  <c r="K174" i="18" s="1"/>
  <c r="J173" i="18"/>
  <c r="I173" i="18"/>
  <c r="K173" i="18" s="1"/>
  <c r="L173" i="18" s="1"/>
  <c r="J172" i="18"/>
  <c r="I172" i="18"/>
  <c r="K172" i="18" s="1"/>
  <c r="L172" i="18" s="1"/>
  <c r="J171" i="18"/>
  <c r="I171" i="18"/>
  <c r="K171" i="18" s="1"/>
  <c r="J170" i="18"/>
  <c r="I170" i="18"/>
  <c r="K170" i="18" s="1"/>
  <c r="J169" i="18"/>
  <c r="I169" i="18"/>
  <c r="K169" i="18" s="1"/>
  <c r="L169" i="18" s="1"/>
  <c r="J168" i="18"/>
  <c r="I168" i="18"/>
  <c r="K168" i="18" s="1"/>
  <c r="L168" i="18" s="1"/>
  <c r="J167" i="18"/>
  <c r="I167" i="18"/>
  <c r="K167" i="18" s="1"/>
  <c r="J166" i="18"/>
  <c r="I166" i="18"/>
  <c r="K166" i="18" s="1"/>
  <c r="L166" i="18" s="1"/>
  <c r="J165" i="18"/>
  <c r="I165" i="18"/>
  <c r="K165" i="18" s="1"/>
  <c r="L165" i="18" s="1"/>
  <c r="J164" i="18"/>
  <c r="I164" i="18"/>
  <c r="K164" i="18" s="1"/>
  <c r="L164" i="18" s="1"/>
  <c r="J163" i="18"/>
  <c r="I163" i="18"/>
  <c r="K163" i="18" s="1"/>
  <c r="J162" i="18"/>
  <c r="I162" i="18"/>
  <c r="K162" i="18" s="1"/>
  <c r="J161" i="18"/>
  <c r="I161" i="18"/>
  <c r="K161" i="18" s="1"/>
  <c r="L161" i="18" s="1"/>
  <c r="J160" i="18"/>
  <c r="I160" i="18"/>
  <c r="K160" i="18" s="1"/>
  <c r="J159" i="18"/>
  <c r="I159" i="18"/>
  <c r="K159" i="18" s="1"/>
  <c r="J158" i="18"/>
  <c r="I158" i="18"/>
  <c r="K158" i="18" s="1"/>
  <c r="J157" i="18"/>
  <c r="I157" i="18"/>
  <c r="K157" i="18" s="1"/>
  <c r="L157" i="18" s="1"/>
  <c r="J156" i="18"/>
  <c r="I156" i="18"/>
  <c r="K156" i="18" s="1"/>
  <c r="J155" i="18"/>
  <c r="I155" i="18"/>
  <c r="K155" i="18" s="1"/>
  <c r="J154" i="18"/>
  <c r="I154" i="18"/>
  <c r="K154" i="18" s="1"/>
  <c r="L154" i="18" s="1"/>
  <c r="J153" i="18"/>
  <c r="I153" i="18"/>
  <c r="K153" i="18" s="1"/>
  <c r="J152" i="18"/>
  <c r="I152" i="18"/>
  <c r="K152" i="18" s="1"/>
  <c r="L152" i="18" s="1"/>
  <c r="J151" i="18"/>
  <c r="I151" i="18"/>
  <c r="K151" i="18" s="1"/>
  <c r="J150" i="18"/>
  <c r="I150" i="18"/>
  <c r="K150" i="18" s="1"/>
  <c r="J149" i="18"/>
  <c r="I149" i="18"/>
  <c r="K149" i="18" s="1"/>
  <c r="L149" i="18" s="1"/>
  <c r="J148" i="18"/>
  <c r="I148" i="18"/>
  <c r="K148" i="18" s="1"/>
  <c r="L148" i="18" s="1"/>
  <c r="J147" i="18"/>
  <c r="I147" i="18"/>
  <c r="K147" i="18" s="1"/>
  <c r="J146" i="18"/>
  <c r="I146" i="18"/>
  <c r="K146" i="18" s="1"/>
  <c r="J145" i="18"/>
  <c r="I145" i="18"/>
  <c r="K145" i="18" s="1"/>
  <c r="J144" i="18"/>
  <c r="I144" i="18"/>
  <c r="K144" i="18" s="1"/>
  <c r="J143" i="18"/>
  <c r="I143" i="18"/>
  <c r="K143" i="18" s="1"/>
  <c r="J142" i="18"/>
  <c r="I142" i="18"/>
  <c r="K142" i="18" s="1"/>
  <c r="J141" i="18"/>
  <c r="I141" i="18"/>
  <c r="K141" i="18" s="1"/>
  <c r="J140" i="18"/>
  <c r="I140" i="18"/>
  <c r="K140" i="18" s="1"/>
  <c r="J139" i="18"/>
  <c r="I139" i="18"/>
  <c r="K139" i="18" s="1"/>
  <c r="J138" i="18"/>
  <c r="I138" i="18"/>
  <c r="K138" i="18" s="1"/>
  <c r="J137" i="18"/>
  <c r="I137" i="18"/>
  <c r="K137" i="18" s="1"/>
  <c r="J136" i="18"/>
  <c r="I136" i="18"/>
  <c r="K136" i="18" s="1"/>
  <c r="J135" i="18"/>
  <c r="I135" i="18"/>
  <c r="K135" i="18" s="1"/>
  <c r="J134" i="18"/>
  <c r="I134" i="18"/>
  <c r="K134" i="18" s="1"/>
  <c r="J133" i="18"/>
  <c r="I133" i="18"/>
  <c r="K133" i="18" s="1"/>
  <c r="J132" i="18"/>
  <c r="I132" i="18"/>
  <c r="K132" i="18" s="1"/>
  <c r="J131" i="18"/>
  <c r="I131" i="18"/>
  <c r="K131" i="18" s="1"/>
  <c r="J130" i="18"/>
  <c r="I130" i="18"/>
  <c r="K130" i="18" s="1"/>
  <c r="J129" i="18"/>
  <c r="I129" i="18"/>
  <c r="K129" i="18" s="1"/>
  <c r="J128" i="18"/>
  <c r="I128" i="18"/>
  <c r="K128" i="18" s="1"/>
  <c r="J127" i="18"/>
  <c r="I127" i="18"/>
  <c r="K127" i="18" s="1"/>
  <c r="J126" i="18"/>
  <c r="I126" i="18"/>
  <c r="K126" i="18" s="1"/>
  <c r="J125" i="18"/>
  <c r="I125" i="18"/>
  <c r="K125" i="18" s="1"/>
  <c r="J124" i="18"/>
  <c r="I124" i="18"/>
  <c r="K124" i="18" s="1"/>
  <c r="J123" i="18"/>
  <c r="I123" i="18"/>
  <c r="K123" i="18" s="1"/>
  <c r="J122" i="18"/>
  <c r="I122" i="18"/>
  <c r="K122" i="18" s="1"/>
  <c r="J121" i="18"/>
  <c r="I121" i="18"/>
  <c r="K121" i="18" s="1"/>
  <c r="J120" i="18"/>
  <c r="I120" i="18"/>
  <c r="K120" i="18" s="1"/>
  <c r="J119" i="18"/>
  <c r="I119" i="18"/>
  <c r="K119" i="18" s="1"/>
  <c r="J118" i="18"/>
  <c r="I118" i="18"/>
  <c r="K118" i="18" s="1"/>
  <c r="J117" i="18"/>
  <c r="I117" i="18"/>
  <c r="K117" i="18" s="1"/>
  <c r="J116" i="18"/>
  <c r="I116" i="18"/>
  <c r="K116" i="18" s="1"/>
  <c r="J115" i="18"/>
  <c r="I115" i="18"/>
  <c r="K115" i="18" s="1"/>
  <c r="J114" i="18"/>
  <c r="I114" i="18"/>
  <c r="K114" i="18" s="1"/>
  <c r="L114" i="18" s="1"/>
  <c r="J113" i="18"/>
  <c r="I113" i="18"/>
  <c r="K113" i="18" s="1"/>
  <c r="J112" i="18"/>
  <c r="I112" i="18"/>
  <c r="K112" i="18" s="1"/>
  <c r="J111" i="18"/>
  <c r="I111" i="18"/>
  <c r="K111" i="18" s="1"/>
  <c r="J110" i="18"/>
  <c r="I110" i="18"/>
  <c r="K110" i="18" s="1"/>
  <c r="J109" i="18"/>
  <c r="I109" i="18"/>
  <c r="K109" i="18" s="1"/>
  <c r="J108" i="18"/>
  <c r="I108" i="18"/>
  <c r="K108" i="18" s="1"/>
  <c r="J107" i="18"/>
  <c r="I107" i="18"/>
  <c r="K107" i="18" s="1"/>
  <c r="L107" i="18" s="1"/>
  <c r="J106" i="18"/>
  <c r="I106" i="18"/>
  <c r="K106" i="18" s="1"/>
  <c r="L106" i="18" s="1"/>
  <c r="J105" i="18"/>
  <c r="I105" i="18"/>
  <c r="K105" i="18" s="1"/>
  <c r="J104" i="18"/>
  <c r="I104" i="18"/>
  <c r="K104" i="18" s="1"/>
  <c r="J103" i="18"/>
  <c r="I103" i="18"/>
  <c r="K103" i="18" s="1"/>
  <c r="J102" i="18"/>
  <c r="I102" i="18"/>
  <c r="K102" i="18" s="1"/>
  <c r="J101" i="18"/>
  <c r="I101" i="18"/>
  <c r="K101" i="18" s="1"/>
  <c r="V100" i="18"/>
  <c r="J100" i="18"/>
  <c r="I100" i="18"/>
  <c r="K100" i="18" s="1"/>
  <c r="V99" i="18"/>
  <c r="J99" i="18"/>
  <c r="I99" i="18"/>
  <c r="K99" i="18" s="1"/>
  <c r="J98" i="18"/>
  <c r="I98" i="18"/>
  <c r="K98" i="18" s="1"/>
  <c r="J97" i="18"/>
  <c r="I97" i="18"/>
  <c r="K97" i="18" s="1"/>
  <c r="V96" i="18"/>
  <c r="J96" i="18"/>
  <c r="I96" i="18"/>
  <c r="K96" i="18" s="1"/>
  <c r="J95" i="18"/>
  <c r="I95" i="18"/>
  <c r="K95" i="18" s="1"/>
  <c r="L95" i="18" s="1"/>
  <c r="J94" i="18"/>
  <c r="I94" i="18"/>
  <c r="K94" i="18" s="1"/>
  <c r="L94" i="18" s="1"/>
  <c r="J93" i="18"/>
  <c r="I93" i="18"/>
  <c r="K93" i="18" s="1"/>
  <c r="J92" i="18"/>
  <c r="I92" i="18"/>
  <c r="K92" i="18" s="1"/>
  <c r="L92" i="18" s="1"/>
  <c r="J91" i="18"/>
  <c r="I91" i="18"/>
  <c r="K91" i="18" s="1"/>
  <c r="L91" i="18" s="1"/>
  <c r="J90" i="18"/>
  <c r="I90" i="18"/>
  <c r="K90" i="18" s="1"/>
  <c r="V89" i="18"/>
  <c r="J89" i="18"/>
  <c r="I89" i="18"/>
  <c r="K89" i="18" s="1"/>
  <c r="J88" i="18"/>
  <c r="I88" i="18"/>
  <c r="K88" i="18" s="1"/>
  <c r="J87" i="18"/>
  <c r="I87" i="18"/>
  <c r="K87" i="18" s="1"/>
  <c r="J86" i="18"/>
  <c r="I86" i="18"/>
  <c r="K86" i="18" s="1"/>
  <c r="V85" i="18"/>
  <c r="J85" i="18"/>
  <c r="I85" i="18"/>
  <c r="K85" i="18" s="1"/>
  <c r="L85" i="18" s="1"/>
  <c r="J84" i="18"/>
  <c r="I84" i="18"/>
  <c r="K84" i="18" s="1"/>
  <c r="L84" i="18" s="1"/>
  <c r="J83" i="18"/>
  <c r="I83" i="18"/>
  <c r="K83" i="18" s="1"/>
  <c r="J82" i="18"/>
  <c r="I82" i="18"/>
  <c r="K82" i="18" s="1"/>
  <c r="J81" i="18"/>
  <c r="I81" i="18"/>
  <c r="K81" i="18" s="1"/>
  <c r="L81" i="18" s="1"/>
  <c r="J80" i="18"/>
  <c r="I80" i="18"/>
  <c r="K80" i="18" s="1"/>
  <c r="L80" i="18" s="1"/>
  <c r="V82" i="18" s="1"/>
  <c r="J79" i="18"/>
  <c r="I79" i="18"/>
  <c r="K79" i="18" s="1"/>
  <c r="J78" i="18"/>
  <c r="I78" i="18"/>
  <c r="K78" i="18" s="1"/>
  <c r="J77" i="18"/>
  <c r="I77" i="18"/>
  <c r="K77" i="18" s="1"/>
  <c r="J76" i="18"/>
  <c r="I76" i="18"/>
  <c r="K76" i="18" s="1"/>
  <c r="J75" i="18"/>
  <c r="I75" i="18"/>
  <c r="K75" i="18" s="1"/>
  <c r="J74" i="18"/>
  <c r="I74" i="18"/>
  <c r="K74" i="18" s="1"/>
  <c r="J73" i="18"/>
  <c r="I73" i="18"/>
  <c r="K73" i="18" s="1"/>
  <c r="J72" i="18"/>
  <c r="I72" i="18"/>
  <c r="K72" i="18" s="1"/>
  <c r="J71" i="18"/>
  <c r="I71" i="18"/>
  <c r="K71" i="18" s="1"/>
  <c r="J70" i="18"/>
  <c r="I70" i="18"/>
  <c r="K70" i="18" s="1"/>
  <c r="J69" i="18"/>
  <c r="I69" i="18"/>
  <c r="K69" i="18" s="1"/>
  <c r="J68" i="18"/>
  <c r="I68" i="18"/>
  <c r="K68" i="18" s="1"/>
  <c r="J67" i="18"/>
  <c r="I67" i="18"/>
  <c r="K67" i="18" s="1"/>
  <c r="J66" i="18"/>
  <c r="I66" i="18"/>
  <c r="K66" i="18" s="1"/>
  <c r="J65" i="18"/>
  <c r="I65" i="18"/>
  <c r="K65" i="18" s="1"/>
  <c r="J64" i="18"/>
  <c r="I64" i="18"/>
  <c r="K64" i="18" s="1"/>
  <c r="J63" i="18"/>
  <c r="I63" i="18"/>
  <c r="K63" i="18" s="1"/>
  <c r="J62" i="18"/>
  <c r="I62" i="18"/>
  <c r="K62" i="18" s="1"/>
  <c r="J61" i="18"/>
  <c r="I61" i="18"/>
  <c r="K61" i="18" s="1"/>
  <c r="J60" i="18"/>
  <c r="I60" i="18"/>
  <c r="K60" i="18" s="1"/>
  <c r="J59" i="18"/>
  <c r="I59" i="18"/>
  <c r="K59" i="18" s="1"/>
  <c r="J58" i="18"/>
  <c r="I58" i="18"/>
  <c r="K58" i="18" s="1"/>
  <c r="L58" i="18" s="1"/>
  <c r="J57" i="18"/>
  <c r="I57" i="18"/>
  <c r="K57" i="18" s="1"/>
  <c r="L57" i="18" s="1"/>
  <c r="J56" i="18"/>
  <c r="I56" i="18"/>
  <c r="K56" i="18" s="1"/>
  <c r="J55" i="18"/>
  <c r="I55" i="18"/>
  <c r="K55" i="18" s="1"/>
  <c r="J54" i="18"/>
  <c r="I54" i="18"/>
  <c r="K54" i="18" s="1"/>
  <c r="J53" i="18"/>
  <c r="I53" i="18"/>
  <c r="K53" i="18" s="1"/>
  <c r="L53" i="18" s="1"/>
  <c r="J52" i="18"/>
  <c r="I52" i="18"/>
  <c r="K52" i="18" s="1"/>
  <c r="J51" i="18"/>
  <c r="I51" i="18"/>
  <c r="K51" i="18" s="1"/>
  <c r="J50" i="18"/>
  <c r="I50" i="18"/>
  <c r="K50" i="18" s="1"/>
  <c r="L50" i="18" s="1"/>
  <c r="J49" i="18"/>
  <c r="I49" i="18"/>
  <c r="K49" i="18" s="1"/>
  <c r="J48" i="18"/>
  <c r="I48" i="18"/>
  <c r="K48" i="18" s="1"/>
  <c r="J47" i="18"/>
  <c r="I47" i="18"/>
  <c r="K47" i="18" s="1"/>
  <c r="J46" i="18"/>
  <c r="I46" i="18"/>
  <c r="K46" i="18" s="1"/>
  <c r="L46" i="18" s="1"/>
  <c r="J45" i="18"/>
  <c r="I45" i="18"/>
  <c r="K45" i="18" s="1"/>
  <c r="L45" i="18" s="1"/>
  <c r="J44" i="18"/>
  <c r="I44" i="18"/>
  <c r="K44" i="18" s="1"/>
  <c r="L44" i="18" s="1"/>
  <c r="J43" i="18"/>
  <c r="I43" i="18"/>
  <c r="K43" i="18" s="1"/>
  <c r="J42" i="18"/>
  <c r="I42" i="18"/>
  <c r="K42" i="18" s="1"/>
  <c r="L42" i="18" s="1"/>
  <c r="J41" i="18"/>
  <c r="I41" i="18"/>
  <c r="K41" i="18" s="1"/>
  <c r="J40" i="18"/>
  <c r="I40" i="18"/>
  <c r="K40" i="18" s="1"/>
  <c r="J39" i="18"/>
  <c r="I39" i="18"/>
  <c r="K39" i="18" s="1"/>
  <c r="J38" i="18"/>
  <c r="I38" i="18"/>
  <c r="K38" i="18" s="1"/>
  <c r="J37" i="18"/>
  <c r="I37" i="18"/>
  <c r="K37" i="18" s="1"/>
  <c r="J36" i="18"/>
  <c r="I36" i="18"/>
  <c r="K36" i="18" s="1"/>
  <c r="J35" i="18"/>
  <c r="I35" i="18"/>
  <c r="K35" i="18" s="1"/>
  <c r="J34" i="18"/>
  <c r="I34" i="18"/>
  <c r="K34" i="18" s="1"/>
  <c r="J33" i="18"/>
  <c r="I33" i="18"/>
  <c r="K33" i="18" s="1"/>
  <c r="J32" i="18"/>
  <c r="I32" i="18"/>
  <c r="K32" i="18" s="1"/>
  <c r="J31" i="18"/>
  <c r="I31" i="18"/>
  <c r="K31" i="18" s="1"/>
  <c r="J30" i="18"/>
  <c r="I30" i="18"/>
  <c r="K30" i="18" s="1"/>
  <c r="J29" i="18"/>
  <c r="I29" i="18"/>
  <c r="K29" i="18" s="1"/>
  <c r="J28" i="18"/>
  <c r="I28" i="18"/>
  <c r="K28" i="18" s="1"/>
  <c r="J27" i="18"/>
  <c r="I27" i="18"/>
  <c r="K27" i="18" s="1"/>
  <c r="J26" i="18"/>
  <c r="I26" i="18"/>
  <c r="K26" i="18" s="1"/>
  <c r="J25" i="18"/>
  <c r="I25" i="18"/>
  <c r="K25" i="18" s="1"/>
  <c r="J24" i="18"/>
  <c r="I24" i="18"/>
  <c r="K24" i="18" s="1"/>
  <c r="J23" i="18"/>
  <c r="I23" i="18"/>
  <c r="K23" i="18" s="1"/>
  <c r="J22" i="18"/>
  <c r="I22" i="18"/>
  <c r="K22" i="18" s="1"/>
  <c r="J21" i="18"/>
  <c r="I21" i="18"/>
  <c r="K21" i="18" s="1"/>
  <c r="J20" i="18"/>
  <c r="I20" i="18"/>
  <c r="K20" i="18" s="1"/>
  <c r="J19" i="18"/>
  <c r="I19" i="18"/>
  <c r="K19" i="18" s="1"/>
  <c r="J18" i="18"/>
  <c r="I18" i="18"/>
  <c r="K18" i="18" s="1"/>
  <c r="J17" i="18"/>
  <c r="I17" i="18"/>
  <c r="K17" i="18" s="1"/>
  <c r="J16" i="18"/>
  <c r="I16" i="18"/>
  <c r="K16" i="18" s="1"/>
  <c r="J15" i="18"/>
  <c r="I15" i="18"/>
  <c r="K15" i="18" s="1"/>
  <c r="J14" i="18"/>
  <c r="I14" i="18"/>
  <c r="K14" i="18" s="1"/>
  <c r="J13" i="18"/>
  <c r="I13" i="18"/>
  <c r="K13" i="18" s="1"/>
  <c r="J12" i="18"/>
  <c r="I12" i="18"/>
  <c r="K12" i="18" s="1"/>
  <c r="J11" i="18"/>
  <c r="I11" i="18"/>
  <c r="K11" i="18" s="1"/>
  <c r="J10" i="18"/>
  <c r="I10" i="18"/>
  <c r="K10" i="18" s="1"/>
  <c r="J9" i="18"/>
  <c r="I9" i="18"/>
  <c r="K9" i="18" s="1"/>
  <c r="J8" i="18"/>
  <c r="I8" i="18"/>
  <c r="K8" i="18" s="1"/>
  <c r="J7" i="18"/>
  <c r="I7" i="18"/>
  <c r="K7" i="18" s="1"/>
  <c r="J6" i="18"/>
  <c r="I6" i="18"/>
  <c r="K6" i="18" s="1"/>
  <c r="J5" i="18"/>
  <c r="I5" i="18"/>
  <c r="K5" i="18" s="1"/>
  <c r="J4" i="18"/>
  <c r="I4" i="18"/>
  <c r="K4" i="18" s="1"/>
  <c r="J3" i="18"/>
  <c r="I3" i="18"/>
  <c r="K3" i="18" s="1"/>
  <c r="J2" i="18"/>
  <c r="I2" i="18"/>
  <c r="K2" i="18" s="1"/>
  <c r="J322" i="17"/>
  <c r="I322" i="17"/>
  <c r="K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J316" i="17"/>
  <c r="I316" i="17"/>
  <c r="K316" i="17" s="1"/>
  <c r="L316" i="17" s="1"/>
  <c r="V98" i="17" s="1"/>
  <c r="J315" i="17"/>
  <c r="I315" i="17"/>
  <c r="K315" i="17" s="1"/>
  <c r="J314" i="17"/>
  <c r="I314" i="17"/>
  <c r="K314" i="17" s="1"/>
  <c r="J313" i="17"/>
  <c r="I313" i="17"/>
  <c r="K313" i="17" s="1"/>
  <c r="J312" i="17"/>
  <c r="I312" i="17"/>
  <c r="K312" i="17" s="1"/>
  <c r="J311" i="17"/>
  <c r="I311" i="17"/>
  <c r="K311" i="17" s="1"/>
  <c r="J310" i="17"/>
  <c r="I310" i="17"/>
  <c r="K310" i="17" s="1"/>
  <c r="J309" i="17"/>
  <c r="I309" i="17"/>
  <c r="K309" i="17" s="1"/>
  <c r="J308" i="17"/>
  <c r="I308" i="17"/>
  <c r="K308" i="17" s="1"/>
  <c r="L308" i="17" s="1"/>
  <c r="V90" i="17" s="1"/>
  <c r="J307" i="17"/>
  <c r="I307" i="17"/>
  <c r="K307" i="17" s="1"/>
  <c r="J306" i="17"/>
  <c r="I306" i="17"/>
  <c r="K306" i="17" s="1"/>
  <c r="J305" i="17"/>
  <c r="I305" i="17"/>
  <c r="K305" i="17" s="1"/>
  <c r="J304" i="17"/>
  <c r="I304" i="17"/>
  <c r="K304" i="17" s="1"/>
  <c r="L304" i="17" s="1"/>
  <c r="V86" i="17" s="1"/>
  <c r="J303" i="17"/>
  <c r="I303" i="17"/>
  <c r="K303" i="17" s="1"/>
  <c r="J302" i="17"/>
  <c r="I302" i="17"/>
  <c r="K302" i="17" s="1"/>
  <c r="J301" i="17"/>
  <c r="I301" i="17"/>
  <c r="K301" i="17" s="1"/>
  <c r="J300" i="17"/>
  <c r="I300" i="17"/>
  <c r="K300" i="17" s="1"/>
  <c r="L300" i="17" s="1"/>
  <c r="J299" i="17"/>
  <c r="I299" i="17"/>
  <c r="K299" i="17" s="1"/>
  <c r="J298" i="17"/>
  <c r="I298" i="17"/>
  <c r="K298" i="17" s="1"/>
  <c r="J297" i="17"/>
  <c r="I297" i="17"/>
  <c r="K297" i="17" s="1"/>
  <c r="J296" i="17"/>
  <c r="I296" i="17"/>
  <c r="K296" i="17" s="1"/>
  <c r="L296" i="17" s="1"/>
  <c r="J295" i="17"/>
  <c r="I295" i="17"/>
  <c r="K295" i="17" s="1"/>
  <c r="J294" i="17"/>
  <c r="I294" i="17"/>
  <c r="K294" i="17" s="1"/>
  <c r="J293" i="17"/>
  <c r="I293" i="17"/>
  <c r="K293" i="17" s="1"/>
  <c r="J292" i="17"/>
  <c r="I292" i="17"/>
  <c r="K292" i="17" s="1"/>
  <c r="L292" i="17" s="1"/>
  <c r="J291" i="17"/>
  <c r="I291" i="17"/>
  <c r="K291" i="17" s="1"/>
  <c r="J290" i="17"/>
  <c r="I290" i="17"/>
  <c r="K290" i="17" s="1"/>
  <c r="J289" i="17"/>
  <c r="I289" i="17"/>
  <c r="K289" i="17" s="1"/>
  <c r="J288" i="17"/>
  <c r="I288" i="17"/>
  <c r="K288" i="17" s="1"/>
  <c r="L288" i="17" s="1"/>
  <c r="J287" i="17"/>
  <c r="I287" i="17"/>
  <c r="K287" i="17" s="1"/>
  <c r="J286" i="17"/>
  <c r="I286" i="17"/>
  <c r="K286" i="17" s="1"/>
  <c r="J285" i="17"/>
  <c r="I285" i="17"/>
  <c r="K285" i="17" s="1"/>
  <c r="J284" i="17"/>
  <c r="I284" i="17"/>
  <c r="K284" i="17" s="1"/>
  <c r="L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L276" i="17" s="1"/>
  <c r="J275" i="17"/>
  <c r="I275" i="17"/>
  <c r="K275" i="17" s="1"/>
  <c r="L275" i="17" s="1"/>
  <c r="J274" i="17"/>
  <c r="I274" i="17"/>
  <c r="K274" i="17" s="1"/>
  <c r="J273" i="17"/>
  <c r="I273" i="17"/>
  <c r="K273" i="17" s="1"/>
  <c r="L273" i="17" s="1"/>
  <c r="J272" i="17"/>
  <c r="I272" i="17"/>
  <c r="K272" i="17" s="1"/>
  <c r="J271" i="17"/>
  <c r="I271" i="17"/>
  <c r="K271" i="17" s="1"/>
  <c r="L271" i="17" s="1"/>
  <c r="J270" i="17"/>
  <c r="I270" i="17"/>
  <c r="K270" i="17" s="1"/>
  <c r="J269" i="17"/>
  <c r="I269" i="17"/>
  <c r="K269" i="17" s="1"/>
  <c r="J268" i="17"/>
  <c r="I268" i="17"/>
  <c r="K268" i="17" s="1"/>
  <c r="J267" i="17"/>
  <c r="I267" i="17"/>
  <c r="K267" i="17" s="1"/>
  <c r="L267" i="17" s="1"/>
  <c r="J266" i="17"/>
  <c r="I266" i="17"/>
  <c r="K266" i="17" s="1"/>
  <c r="J265" i="17"/>
  <c r="I265" i="17"/>
  <c r="K265" i="17" s="1"/>
  <c r="L265" i="17" s="1"/>
  <c r="J264" i="17"/>
  <c r="I264" i="17"/>
  <c r="K264" i="17" s="1"/>
  <c r="J263" i="17"/>
  <c r="I263" i="17"/>
  <c r="K263" i="17" s="1"/>
  <c r="L263" i="17" s="1"/>
  <c r="J262" i="17"/>
  <c r="I262" i="17"/>
  <c r="K262" i="17" s="1"/>
  <c r="J261" i="17"/>
  <c r="I261" i="17"/>
  <c r="K261" i="17" s="1"/>
  <c r="L261" i="17" s="1"/>
  <c r="J260" i="17"/>
  <c r="I260" i="17"/>
  <c r="K260" i="17" s="1"/>
  <c r="J259" i="17"/>
  <c r="I259" i="17"/>
  <c r="K259" i="17" s="1"/>
  <c r="L259" i="17" s="1"/>
  <c r="J258" i="17"/>
  <c r="I258" i="17"/>
  <c r="K258" i="17" s="1"/>
  <c r="J257" i="17"/>
  <c r="I257" i="17"/>
  <c r="K257" i="17" s="1"/>
  <c r="L257" i="17" s="1"/>
  <c r="J256" i="17"/>
  <c r="I256" i="17"/>
  <c r="K256" i="17" s="1"/>
  <c r="J255" i="17"/>
  <c r="I255" i="17"/>
  <c r="K255" i="17" s="1"/>
  <c r="J254" i="17"/>
  <c r="I254" i="17"/>
  <c r="K254" i="17" s="1"/>
  <c r="J253" i="17"/>
  <c r="I253" i="17"/>
  <c r="K253" i="17" s="1"/>
  <c r="L253" i="17" s="1"/>
  <c r="J252" i="17"/>
  <c r="I252" i="17"/>
  <c r="K252" i="17" s="1"/>
  <c r="J251" i="17"/>
  <c r="I251" i="17"/>
  <c r="K251" i="17" s="1"/>
  <c r="J250" i="17"/>
  <c r="I250" i="17"/>
  <c r="K250" i="17" s="1"/>
  <c r="J249" i="17"/>
  <c r="I249" i="17"/>
  <c r="K249" i="17" s="1"/>
  <c r="L249" i="17" s="1"/>
  <c r="J248" i="17"/>
  <c r="I248" i="17"/>
  <c r="K248" i="17" s="1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J236" i="17"/>
  <c r="I236" i="17"/>
  <c r="K236" i="17" s="1"/>
  <c r="J235" i="17"/>
  <c r="I235" i="17"/>
  <c r="K235" i="17" s="1"/>
  <c r="J234" i="17"/>
  <c r="I234" i="17"/>
  <c r="K234" i="17" s="1"/>
  <c r="J233" i="17"/>
  <c r="I233" i="17"/>
  <c r="K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J228" i="17"/>
  <c r="I228" i="17"/>
  <c r="K228" i="17" s="1"/>
  <c r="J227" i="17"/>
  <c r="I227" i="17"/>
  <c r="K227" i="17" s="1"/>
  <c r="J226" i="17"/>
  <c r="I226" i="17"/>
  <c r="K226" i="17" s="1"/>
  <c r="J225" i="17"/>
  <c r="I225" i="17"/>
  <c r="K225" i="17" s="1"/>
  <c r="L225" i="17" s="1"/>
  <c r="J224" i="17"/>
  <c r="I224" i="17"/>
  <c r="K224" i="17" s="1"/>
  <c r="J223" i="17"/>
  <c r="I223" i="17"/>
  <c r="K223" i="17" s="1"/>
  <c r="J222" i="17"/>
  <c r="I222" i="17"/>
  <c r="K222" i="17" s="1"/>
  <c r="J221" i="17"/>
  <c r="I221" i="17"/>
  <c r="K221" i="17" s="1"/>
  <c r="L221" i="17" s="1"/>
  <c r="J220" i="17"/>
  <c r="I220" i="17"/>
  <c r="K220" i="17" s="1"/>
  <c r="J219" i="17"/>
  <c r="I219" i="17"/>
  <c r="K219" i="17" s="1"/>
  <c r="L219" i="17" s="1"/>
  <c r="J218" i="17"/>
  <c r="I218" i="17"/>
  <c r="K218" i="17" s="1"/>
  <c r="J217" i="17"/>
  <c r="I217" i="17"/>
  <c r="K217" i="17" s="1"/>
  <c r="L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L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L209" i="17" s="1"/>
  <c r="J208" i="17"/>
  <c r="I208" i="17"/>
  <c r="K208" i="17" s="1"/>
  <c r="J207" i="17"/>
  <c r="I207" i="17"/>
  <c r="K207" i="17" s="1"/>
  <c r="J206" i="17"/>
  <c r="I206" i="17"/>
  <c r="K206" i="17" s="1"/>
  <c r="J205" i="17"/>
  <c r="I205" i="17"/>
  <c r="K205" i="17" s="1"/>
  <c r="L205" i="17" s="1"/>
  <c r="J204" i="17"/>
  <c r="I204" i="17"/>
  <c r="K204" i="17" s="1"/>
  <c r="J203" i="17"/>
  <c r="I203" i="17"/>
  <c r="K203" i="17" s="1"/>
  <c r="L203" i="17" s="1"/>
  <c r="J202" i="17"/>
  <c r="I202" i="17"/>
  <c r="K202" i="17" s="1"/>
  <c r="J201" i="17"/>
  <c r="I201" i="17"/>
  <c r="K201" i="17" s="1"/>
  <c r="J200" i="17"/>
  <c r="I200" i="17"/>
  <c r="K200" i="17" s="1"/>
  <c r="J199" i="17"/>
  <c r="I199" i="17"/>
  <c r="K199" i="17" s="1"/>
  <c r="L199" i="17" s="1"/>
  <c r="J198" i="17"/>
  <c r="I198" i="17"/>
  <c r="K198" i="17" s="1"/>
  <c r="J197" i="17"/>
  <c r="I197" i="17"/>
  <c r="K197" i="17" s="1"/>
  <c r="J196" i="17"/>
  <c r="I196" i="17"/>
  <c r="K196" i="17" s="1"/>
  <c r="J195" i="17"/>
  <c r="I195" i="17"/>
  <c r="K195" i="17" s="1"/>
  <c r="L195" i="17" s="1"/>
  <c r="J194" i="17"/>
  <c r="I194" i="17"/>
  <c r="K194" i="17" s="1"/>
  <c r="J193" i="17"/>
  <c r="I193" i="17"/>
  <c r="K193" i="17" s="1"/>
  <c r="J192" i="17"/>
  <c r="I192" i="17"/>
  <c r="K192" i="17" s="1"/>
  <c r="J191" i="17"/>
  <c r="I191" i="17"/>
  <c r="K191" i="17" s="1"/>
  <c r="L191" i="17" s="1"/>
  <c r="J190" i="17"/>
  <c r="I190" i="17"/>
  <c r="K190" i="17" s="1"/>
  <c r="J189" i="17"/>
  <c r="I189" i="17"/>
  <c r="K189" i="17" s="1"/>
  <c r="J188" i="17"/>
  <c r="I188" i="17"/>
  <c r="K188" i="17" s="1"/>
  <c r="J187" i="17"/>
  <c r="I187" i="17"/>
  <c r="K187" i="17" s="1"/>
  <c r="L187" i="17" s="1"/>
  <c r="J186" i="17"/>
  <c r="I186" i="17"/>
  <c r="K186" i="17" s="1"/>
  <c r="J185" i="17"/>
  <c r="I185" i="17"/>
  <c r="K185" i="17" s="1"/>
  <c r="J184" i="17"/>
  <c r="I184" i="17"/>
  <c r="K184" i="17" s="1"/>
  <c r="J183" i="17"/>
  <c r="I183" i="17"/>
  <c r="K183" i="17" s="1"/>
  <c r="L183" i="17" s="1"/>
  <c r="J182" i="17"/>
  <c r="I182" i="17"/>
  <c r="K182" i="17" s="1"/>
  <c r="J181" i="17"/>
  <c r="I181" i="17"/>
  <c r="K181" i="17" s="1"/>
  <c r="J180" i="17"/>
  <c r="I180" i="17"/>
  <c r="K180" i="17" s="1"/>
  <c r="J179" i="17"/>
  <c r="I179" i="17"/>
  <c r="K179" i="17" s="1"/>
  <c r="L179" i="17" s="1"/>
  <c r="J178" i="17"/>
  <c r="I178" i="17"/>
  <c r="K178" i="17" s="1"/>
  <c r="J177" i="17"/>
  <c r="I177" i="17"/>
  <c r="K177" i="17" s="1"/>
  <c r="J176" i="17"/>
  <c r="I176" i="17"/>
  <c r="K176" i="17" s="1"/>
  <c r="J175" i="17"/>
  <c r="I175" i="17"/>
  <c r="K175" i="17" s="1"/>
  <c r="L175" i="17" s="1"/>
  <c r="J174" i="17"/>
  <c r="I174" i="17"/>
  <c r="K174" i="17" s="1"/>
  <c r="J173" i="17"/>
  <c r="I173" i="17"/>
  <c r="K173" i="17" s="1"/>
  <c r="J172" i="17"/>
  <c r="I172" i="17"/>
  <c r="K172" i="17" s="1"/>
  <c r="J171" i="17"/>
  <c r="I171" i="17"/>
  <c r="K171" i="17" s="1"/>
  <c r="L171" i="17" s="1"/>
  <c r="J170" i="17"/>
  <c r="I170" i="17"/>
  <c r="K170" i="17" s="1"/>
  <c r="J169" i="17"/>
  <c r="I169" i="17"/>
  <c r="K169" i="17" s="1"/>
  <c r="J168" i="17"/>
  <c r="I168" i="17"/>
  <c r="K168" i="17" s="1"/>
  <c r="J167" i="17"/>
  <c r="I167" i="17"/>
  <c r="K167" i="17" s="1"/>
  <c r="L167" i="17" s="1"/>
  <c r="J166" i="17"/>
  <c r="I166" i="17"/>
  <c r="K166" i="17" s="1"/>
  <c r="J165" i="17"/>
  <c r="I165" i="17"/>
  <c r="K165" i="17" s="1"/>
  <c r="J164" i="17"/>
  <c r="I164" i="17"/>
  <c r="K164" i="17" s="1"/>
  <c r="J163" i="17"/>
  <c r="I163" i="17"/>
  <c r="K163" i="17" s="1"/>
  <c r="J162" i="17"/>
  <c r="I162" i="17"/>
  <c r="K162" i="17" s="1"/>
  <c r="J161" i="17"/>
  <c r="I161" i="17"/>
  <c r="K161" i="17" s="1"/>
  <c r="J160" i="17"/>
  <c r="I160" i="17"/>
  <c r="K160" i="17" s="1"/>
  <c r="J159" i="17"/>
  <c r="I159" i="17"/>
  <c r="K159" i="17" s="1"/>
  <c r="J158" i="17"/>
  <c r="I158" i="17"/>
  <c r="K158" i="17" s="1"/>
  <c r="J157" i="17"/>
  <c r="I157" i="17"/>
  <c r="K157" i="17" s="1"/>
  <c r="J156" i="17"/>
  <c r="I156" i="17"/>
  <c r="K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J151" i="17"/>
  <c r="I151" i="17"/>
  <c r="K151" i="17" s="1"/>
  <c r="L151" i="17" s="1"/>
  <c r="J150" i="17"/>
  <c r="I150" i="17"/>
  <c r="K150" i="17" s="1"/>
  <c r="J149" i="17"/>
  <c r="I149" i="17"/>
  <c r="K149" i="17" s="1"/>
  <c r="L149" i="17" s="1"/>
  <c r="J148" i="17"/>
  <c r="I148" i="17"/>
  <c r="K148" i="17" s="1"/>
  <c r="J147" i="17"/>
  <c r="I147" i="17"/>
  <c r="K147" i="17" s="1"/>
  <c r="J146" i="17"/>
  <c r="I146" i="17"/>
  <c r="K146" i="17" s="1"/>
  <c r="J145" i="17"/>
  <c r="I145" i="17"/>
  <c r="K145" i="17" s="1"/>
  <c r="L145" i="17" s="1"/>
  <c r="J144" i="17"/>
  <c r="I144" i="17"/>
  <c r="K144" i="17" s="1"/>
  <c r="J143" i="17"/>
  <c r="I143" i="17"/>
  <c r="K143" i="17" s="1"/>
  <c r="J142" i="17"/>
  <c r="I142" i="17"/>
  <c r="K142" i="17" s="1"/>
  <c r="J141" i="17"/>
  <c r="I141" i="17"/>
  <c r="K141" i="17" s="1"/>
  <c r="J140" i="17"/>
  <c r="I140" i="17"/>
  <c r="K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J135" i="17"/>
  <c r="I135" i="17"/>
  <c r="K135" i="17" s="1"/>
  <c r="J134" i="17"/>
  <c r="I134" i="17"/>
  <c r="K134" i="17" s="1"/>
  <c r="J133" i="17"/>
  <c r="I133" i="17"/>
  <c r="K133" i="17" s="1"/>
  <c r="L133" i="17" s="1"/>
  <c r="J132" i="17"/>
  <c r="I132" i="17"/>
  <c r="K132" i="17" s="1"/>
  <c r="J131" i="17"/>
  <c r="I131" i="17"/>
  <c r="K131" i="17" s="1"/>
  <c r="J130" i="17"/>
  <c r="I130" i="17"/>
  <c r="K130" i="17" s="1"/>
  <c r="J129" i="17"/>
  <c r="I129" i="17"/>
  <c r="K129" i="17" s="1"/>
  <c r="J128" i="17"/>
  <c r="I128" i="17"/>
  <c r="K128" i="17" s="1"/>
  <c r="J127" i="17"/>
  <c r="I127" i="17"/>
  <c r="K127" i="17" s="1"/>
  <c r="J126" i="17"/>
  <c r="I126" i="17"/>
  <c r="K126" i="17" s="1"/>
  <c r="J125" i="17"/>
  <c r="I125" i="17"/>
  <c r="K125" i="17" s="1"/>
  <c r="L125" i="17" s="1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J116" i="17"/>
  <c r="I116" i="17"/>
  <c r="K116" i="17" s="1"/>
  <c r="J115" i="17"/>
  <c r="I115" i="17"/>
  <c r="K115" i="17" s="1"/>
  <c r="J114" i="17"/>
  <c r="I114" i="17"/>
  <c r="K114" i="17" s="1"/>
  <c r="J113" i="17"/>
  <c r="I113" i="17"/>
  <c r="K113" i="17" s="1"/>
  <c r="J112" i="17"/>
  <c r="I112" i="17"/>
  <c r="K112" i="17" s="1"/>
  <c r="L112" i="17" s="1"/>
  <c r="J111" i="17"/>
  <c r="I111" i="17"/>
  <c r="K111" i="17" s="1"/>
  <c r="J110" i="17"/>
  <c r="I110" i="17"/>
  <c r="K110" i="17" s="1"/>
  <c r="J109" i="17"/>
  <c r="I109" i="17"/>
  <c r="K109" i="17" s="1"/>
  <c r="J108" i="17"/>
  <c r="I108" i="17"/>
  <c r="K108" i="17" s="1"/>
  <c r="L108" i="17" s="1"/>
  <c r="J107" i="17"/>
  <c r="I107" i="17"/>
  <c r="K107" i="17" s="1"/>
  <c r="J106" i="17"/>
  <c r="I106" i="17"/>
  <c r="K106" i="17" s="1"/>
  <c r="J105" i="17"/>
  <c r="I105" i="17"/>
  <c r="K105" i="17" s="1"/>
  <c r="J104" i="17"/>
  <c r="I104" i="17"/>
  <c r="K104" i="17" s="1"/>
  <c r="L104" i="17" s="1"/>
  <c r="J103" i="17"/>
  <c r="I103" i="17"/>
  <c r="K103" i="17" s="1"/>
  <c r="J102" i="17"/>
  <c r="I102" i="17"/>
  <c r="K102" i="17" s="1"/>
  <c r="J101" i="17"/>
  <c r="I101" i="17"/>
  <c r="K101" i="17" s="1"/>
  <c r="J100" i="17"/>
  <c r="I100" i="17"/>
  <c r="K100" i="17" s="1"/>
  <c r="J99" i="17"/>
  <c r="I99" i="17"/>
  <c r="K99" i="17" s="1"/>
  <c r="J98" i="17"/>
  <c r="I98" i="17"/>
  <c r="K98" i="17" s="1"/>
  <c r="J97" i="17"/>
  <c r="I97" i="17"/>
  <c r="K97" i="17" s="1"/>
  <c r="J96" i="17"/>
  <c r="I96" i="17"/>
  <c r="K96" i="17" s="1"/>
  <c r="J95" i="17"/>
  <c r="I95" i="17"/>
  <c r="K95" i="17" s="1"/>
  <c r="J94" i="17"/>
  <c r="I94" i="17"/>
  <c r="K94" i="17" s="1"/>
  <c r="J93" i="17"/>
  <c r="I93" i="17"/>
  <c r="K93" i="17" s="1"/>
  <c r="L93" i="17" s="1"/>
  <c r="J92" i="17"/>
  <c r="I92" i="17"/>
  <c r="K92" i="17" s="1"/>
  <c r="J91" i="17"/>
  <c r="I91" i="17"/>
  <c r="K91" i="17" s="1"/>
  <c r="J90" i="17"/>
  <c r="I90" i="17"/>
  <c r="K90" i="17" s="1"/>
  <c r="J89" i="17"/>
  <c r="I89" i="17"/>
  <c r="K89" i="17" s="1"/>
  <c r="L89" i="17" s="1"/>
  <c r="J88" i="17"/>
  <c r="I88" i="17"/>
  <c r="K88" i="17" s="1"/>
  <c r="J87" i="17"/>
  <c r="I87" i="17"/>
  <c r="K87" i="17" s="1"/>
  <c r="J86" i="17"/>
  <c r="I86" i="17"/>
  <c r="K86" i="17" s="1"/>
  <c r="J85" i="17"/>
  <c r="I85" i="17"/>
  <c r="K85" i="17" s="1"/>
  <c r="L85" i="17" s="1"/>
  <c r="J84" i="17"/>
  <c r="I84" i="17"/>
  <c r="K84" i="17" s="1"/>
  <c r="J83" i="17"/>
  <c r="I83" i="17"/>
  <c r="K83" i="17" s="1"/>
  <c r="J82" i="17"/>
  <c r="I82" i="17"/>
  <c r="K82" i="17" s="1"/>
  <c r="L82" i="17" s="1"/>
  <c r="J81" i="17"/>
  <c r="I81" i="17"/>
  <c r="K81" i="17" s="1"/>
  <c r="J80" i="17"/>
  <c r="I80" i="17"/>
  <c r="K80" i="17" s="1"/>
  <c r="J79" i="17"/>
  <c r="I79" i="17"/>
  <c r="K79" i="17" s="1"/>
  <c r="L79" i="17" s="1"/>
  <c r="J78" i="17"/>
  <c r="I78" i="17"/>
  <c r="K78" i="17" s="1"/>
  <c r="J77" i="17"/>
  <c r="I77" i="17"/>
  <c r="K77" i="17" s="1"/>
  <c r="J76" i="17"/>
  <c r="I76" i="17"/>
  <c r="K76" i="17" s="1"/>
  <c r="J75" i="17"/>
  <c r="I75" i="17"/>
  <c r="K75" i="17" s="1"/>
  <c r="L75" i="17" s="1"/>
  <c r="J74" i="17"/>
  <c r="I74" i="17"/>
  <c r="K74" i="17" s="1"/>
  <c r="L74" i="17" s="1"/>
  <c r="J73" i="17"/>
  <c r="I73" i="17"/>
  <c r="K73" i="17" s="1"/>
  <c r="J72" i="17"/>
  <c r="I72" i="17"/>
  <c r="K72" i="17" s="1"/>
  <c r="J71" i="17"/>
  <c r="I71" i="17"/>
  <c r="K71" i="17" s="1"/>
  <c r="L71" i="17" s="1"/>
  <c r="J70" i="17"/>
  <c r="I70" i="17"/>
  <c r="K70" i="17" s="1"/>
  <c r="L70" i="17" s="1"/>
  <c r="J69" i="17"/>
  <c r="I69" i="17"/>
  <c r="K69" i="17" s="1"/>
  <c r="J68" i="17"/>
  <c r="I68" i="17"/>
  <c r="K68" i="17" s="1"/>
  <c r="J67" i="17"/>
  <c r="I67" i="17"/>
  <c r="K67" i="17" s="1"/>
  <c r="L67" i="17" s="1"/>
  <c r="J66" i="17"/>
  <c r="I66" i="17"/>
  <c r="K66" i="17" s="1"/>
  <c r="L66" i="17" s="1"/>
  <c r="J65" i="17"/>
  <c r="I65" i="17"/>
  <c r="K65" i="17" s="1"/>
  <c r="J64" i="17"/>
  <c r="I64" i="17"/>
  <c r="K64" i="17" s="1"/>
  <c r="J63" i="17"/>
  <c r="I63" i="17"/>
  <c r="K63" i="17" s="1"/>
  <c r="L63" i="17" s="1"/>
  <c r="J62" i="17"/>
  <c r="I62" i="17"/>
  <c r="K62" i="17" s="1"/>
  <c r="L62" i="17" s="1"/>
  <c r="J61" i="17"/>
  <c r="I61" i="17"/>
  <c r="K61" i="17" s="1"/>
  <c r="J60" i="17"/>
  <c r="I60" i="17"/>
  <c r="K60" i="17" s="1"/>
  <c r="J59" i="17"/>
  <c r="I59" i="17"/>
  <c r="K59" i="17" s="1"/>
  <c r="J58" i="17"/>
  <c r="I58" i="17"/>
  <c r="K58" i="17" s="1"/>
  <c r="J57" i="17"/>
  <c r="I57" i="17"/>
  <c r="K57" i="17" s="1"/>
  <c r="J56" i="17"/>
  <c r="I56" i="17"/>
  <c r="K56" i="17" s="1"/>
  <c r="J55" i="17"/>
  <c r="I55" i="17"/>
  <c r="K55" i="17" s="1"/>
  <c r="J54" i="17"/>
  <c r="I54" i="17"/>
  <c r="K54" i="17" s="1"/>
  <c r="J53" i="17"/>
  <c r="I53" i="17"/>
  <c r="K53" i="17" s="1"/>
  <c r="L53" i="17" s="1"/>
  <c r="J52" i="17"/>
  <c r="I52" i="17"/>
  <c r="K52" i="17" s="1"/>
  <c r="J51" i="17"/>
  <c r="I51" i="17"/>
  <c r="K51" i="17" s="1"/>
  <c r="L51" i="17" s="1"/>
  <c r="J50" i="17"/>
  <c r="I50" i="17"/>
  <c r="K50" i="17" s="1"/>
  <c r="L50" i="17" s="1"/>
  <c r="J49" i="17"/>
  <c r="I49" i="17"/>
  <c r="K49" i="17" s="1"/>
  <c r="L49" i="17" s="1"/>
  <c r="J48" i="17"/>
  <c r="I48" i="17"/>
  <c r="K48" i="17" s="1"/>
  <c r="J47" i="17"/>
  <c r="I47" i="17"/>
  <c r="K47" i="17" s="1"/>
  <c r="L47" i="17" s="1"/>
  <c r="J46" i="17"/>
  <c r="I46" i="17"/>
  <c r="K46" i="17" s="1"/>
  <c r="L46" i="17" s="1"/>
  <c r="J45" i="17"/>
  <c r="I45" i="17"/>
  <c r="K45" i="17" s="1"/>
  <c r="L45" i="17" s="1"/>
  <c r="J44" i="17"/>
  <c r="I44" i="17"/>
  <c r="K44" i="17" s="1"/>
  <c r="J43" i="17"/>
  <c r="I43" i="17"/>
  <c r="K43" i="17" s="1"/>
  <c r="L43" i="17" s="1"/>
  <c r="J42" i="17"/>
  <c r="I42" i="17"/>
  <c r="K42" i="17" s="1"/>
  <c r="J41" i="17"/>
  <c r="I41" i="17"/>
  <c r="K41" i="17" s="1"/>
  <c r="L41" i="17" s="1"/>
  <c r="J40" i="17"/>
  <c r="I40" i="17"/>
  <c r="K40" i="17" s="1"/>
  <c r="J39" i="17"/>
  <c r="I39" i="17"/>
  <c r="K39" i="17" s="1"/>
  <c r="L39" i="17" s="1"/>
  <c r="J38" i="17"/>
  <c r="I38" i="17"/>
  <c r="K38" i="17" s="1"/>
  <c r="J37" i="17"/>
  <c r="I37" i="17"/>
  <c r="K37" i="17" s="1"/>
  <c r="L37" i="17" s="1"/>
  <c r="J36" i="17"/>
  <c r="I36" i="17"/>
  <c r="K36" i="17" s="1"/>
  <c r="J35" i="17"/>
  <c r="I35" i="17"/>
  <c r="K35" i="17" s="1"/>
  <c r="L35" i="17" s="1"/>
  <c r="J34" i="17"/>
  <c r="I34" i="17"/>
  <c r="K34" i="17" s="1"/>
  <c r="L34" i="17" s="1"/>
  <c r="J33" i="17"/>
  <c r="I33" i="17"/>
  <c r="K33" i="17" s="1"/>
  <c r="L33" i="17" s="1"/>
  <c r="J32" i="17"/>
  <c r="I32" i="17"/>
  <c r="K32" i="17" s="1"/>
  <c r="J31" i="17"/>
  <c r="I31" i="17"/>
  <c r="K31" i="17" s="1"/>
  <c r="J30" i="17"/>
  <c r="I30" i="17"/>
  <c r="K30" i="17" s="1"/>
  <c r="J29" i="17"/>
  <c r="I29" i="17"/>
  <c r="K29" i="17" s="1"/>
  <c r="L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J21" i="17"/>
  <c r="I21" i="17"/>
  <c r="K21" i="17" s="1"/>
  <c r="L21" i="17" s="1"/>
  <c r="J20" i="17"/>
  <c r="I20" i="17"/>
  <c r="K20" i="17" s="1"/>
  <c r="J19" i="17"/>
  <c r="I19" i="17"/>
  <c r="K19" i="17" s="1"/>
  <c r="J18" i="17"/>
  <c r="I18" i="17"/>
  <c r="K18" i="17" s="1"/>
  <c r="J17" i="17"/>
  <c r="I17" i="17"/>
  <c r="K17" i="17" s="1"/>
  <c r="L17" i="17" s="1"/>
  <c r="J16" i="17"/>
  <c r="I16" i="17"/>
  <c r="K16" i="17" s="1"/>
  <c r="J15" i="17"/>
  <c r="I15" i="17"/>
  <c r="K15" i="17" s="1"/>
  <c r="J14" i="17"/>
  <c r="I14" i="17"/>
  <c r="K14" i="17" s="1"/>
  <c r="L14" i="17" s="1"/>
  <c r="J13" i="17"/>
  <c r="I13" i="17"/>
  <c r="K13" i="17" s="1"/>
  <c r="J12" i="17"/>
  <c r="I12" i="17"/>
  <c r="K12" i="17" s="1"/>
  <c r="J11" i="17"/>
  <c r="I11" i="17"/>
  <c r="K11" i="17" s="1"/>
  <c r="L11" i="17" s="1"/>
  <c r="J10" i="17"/>
  <c r="I10" i="17"/>
  <c r="K10" i="17" s="1"/>
  <c r="J9" i="17"/>
  <c r="I9" i="17"/>
  <c r="K9" i="17" s="1"/>
  <c r="J8" i="17"/>
  <c r="I8" i="17"/>
  <c r="K8" i="17" s="1"/>
  <c r="J7" i="17"/>
  <c r="I7" i="17"/>
  <c r="K7" i="17" s="1"/>
  <c r="L7" i="17" s="1"/>
  <c r="J6" i="17"/>
  <c r="I6" i="17"/>
  <c r="K6" i="17" s="1"/>
  <c r="J5" i="17"/>
  <c r="I5" i="17"/>
  <c r="K5" i="17" s="1"/>
  <c r="L5" i="17" s="1"/>
  <c r="J4" i="17"/>
  <c r="I4" i="17"/>
  <c r="K4" i="17" s="1"/>
  <c r="J3" i="17"/>
  <c r="I3" i="17"/>
  <c r="K3" i="17" s="1"/>
  <c r="J2" i="17"/>
  <c r="I2" i="17"/>
  <c r="K2" i="17" s="1"/>
  <c r="L2" i="17" s="1"/>
  <c r="J322" i="16"/>
  <c r="I322" i="16"/>
  <c r="K322" i="16" s="1"/>
  <c r="J321" i="16"/>
  <c r="I321" i="16"/>
  <c r="K321" i="16" s="1"/>
  <c r="J320" i="16"/>
  <c r="I320" i="16"/>
  <c r="K320" i="16" s="1"/>
  <c r="J319" i="16"/>
  <c r="I319" i="16"/>
  <c r="K319" i="16" s="1"/>
  <c r="L319" i="16" s="1"/>
  <c r="V101" i="16" s="1"/>
  <c r="J318" i="16"/>
  <c r="I318" i="16"/>
  <c r="K318" i="16" s="1"/>
  <c r="J317" i="16"/>
  <c r="I317" i="16"/>
  <c r="K317" i="16" s="1"/>
  <c r="J316" i="16"/>
  <c r="I316" i="16"/>
  <c r="K316" i="16" s="1"/>
  <c r="J315" i="16"/>
  <c r="I315" i="16"/>
  <c r="K315" i="16" s="1"/>
  <c r="L315" i="16" s="1"/>
  <c r="J314" i="16"/>
  <c r="I314" i="16"/>
  <c r="K314" i="16" s="1"/>
  <c r="J313" i="16"/>
  <c r="I313" i="16"/>
  <c r="K313" i="16" s="1"/>
  <c r="J312" i="16"/>
  <c r="I312" i="16"/>
  <c r="K312" i="16" s="1"/>
  <c r="J311" i="16"/>
  <c r="I311" i="16"/>
  <c r="K311" i="16" s="1"/>
  <c r="L311" i="16" s="1"/>
  <c r="J310" i="16"/>
  <c r="I310" i="16"/>
  <c r="K310" i="16" s="1"/>
  <c r="J309" i="16"/>
  <c r="I309" i="16"/>
  <c r="K309" i="16" s="1"/>
  <c r="J308" i="16"/>
  <c r="I308" i="16"/>
  <c r="K308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L295" i="16" s="1"/>
  <c r="J294" i="16"/>
  <c r="I294" i="16"/>
  <c r="K294" i="16" s="1"/>
  <c r="J293" i="16"/>
  <c r="I293" i="16"/>
  <c r="K293" i="16" s="1"/>
  <c r="J292" i="16"/>
  <c r="I292" i="16"/>
  <c r="K292" i="16" s="1"/>
  <c r="J291" i="16"/>
  <c r="I291" i="16"/>
  <c r="K291" i="16" s="1"/>
  <c r="L291" i="16" s="1"/>
  <c r="J290" i="16"/>
  <c r="I290" i="16"/>
  <c r="K290" i="16" s="1"/>
  <c r="J289" i="16"/>
  <c r="I289" i="16"/>
  <c r="K289" i="16" s="1"/>
  <c r="J288" i="16"/>
  <c r="I288" i="16"/>
  <c r="K288" i="16" s="1"/>
  <c r="J287" i="16"/>
  <c r="I287" i="16"/>
  <c r="K287" i="16" s="1"/>
  <c r="L287" i="16" s="1"/>
  <c r="J286" i="16"/>
  <c r="I286" i="16"/>
  <c r="K286" i="16" s="1"/>
  <c r="J285" i="16"/>
  <c r="I285" i="16"/>
  <c r="K285" i="16" s="1"/>
  <c r="K284" i="16"/>
  <c r="J284" i="16"/>
  <c r="I284" i="16"/>
  <c r="J283" i="16"/>
  <c r="I283" i="16"/>
  <c r="K283" i="16" s="1"/>
  <c r="J282" i="16"/>
  <c r="I282" i="16"/>
  <c r="K282" i="16" s="1"/>
  <c r="J281" i="16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J275" i="16"/>
  <c r="I275" i="16"/>
  <c r="K275" i="16" s="1"/>
  <c r="L275" i="16" s="1"/>
  <c r="J274" i="16"/>
  <c r="I274" i="16"/>
  <c r="K274" i="16" s="1"/>
  <c r="J273" i="16"/>
  <c r="I273" i="16"/>
  <c r="K273" i="16" s="1"/>
  <c r="J272" i="16"/>
  <c r="I272" i="16"/>
  <c r="K272" i="16" s="1"/>
  <c r="J271" i="16"/>
  <c r="I271" i="16"/>
  <c r="K271" i="16" s="1"/>
  <c r="L271" i="16" s="1"/>
  <c r="J270" i="16"/>
  <c r="I270" i="16"/>
  <c r="K270" i="16" s="1"/>
  <c r="J269" i="16"/>
  <c r="I269" i="16"/>
  <c r="K269" i="16" s="1"/>
  <c r="J268" i="16"/>
  <c r="I268" i="16"/>
  <c r="K268" i="16" s="1"/>
  <c r="J267" i="16"/>
  <c r="I267" i="16"/>
  <c r="K267" i="16" s="1"/>
  <c r="J266" i="16"/>
  <c r="I266" i="16"/>
  <c r="K266" i="16" s="1"/>
  <c r="J265" i="16"/>
  <c r="I265" i="16"/>
  <c r="K265" i="16" s="1"/>
  <c r="J264" i="16"/>
  <c r="I264" i="16"/>
  <c r="K264" i="16" s="1"/>
  <c r="J263" i="16"/>
  <c r="I263" i="16"/>
  <c r="K263" i="16" s="1"/>
  <c r="L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L259" i="16" s="1"/>
  <c r="J258" i="16"/>
  <c r="I258" i="16"/>
  <c r="K258" i="16" s="1"/>
  <c r="J257" i="16"/>
  <c r="I257" i="16"/>
  <c r="K257" i="16" s="1"/>
  <c r="J256" i="16"/>
  <c r="I256" i="16"/>
  <c r="K256" i="16" s="1"/>
  <c r="J255" i="16"/>
  <c r="I255" i="16"/>
  <c r="K255" i="16" s="1"/>
  <c r="L255" i="16" s="1"/>
  <c r="J254" i="16"/>
  <c r="I254" i="16"/>
  <c r="K254" i="16" s="1"/>
  <c r="J253" i="16"/>
  <c r="I253" i="16"/>
  <c r="K253" i="16" s="1"/>
  <c r="J252" i="16"/>
  <c r="I252" i="16"/>
  <c r="K252" i="16" s="1"/>
  <c r="J251" i="16"/>
  <c r="I251" i="16"/>
  <c r="K251" i="16" s="1"/>
  <c r="J250" i="16"/>
  <c r="I250" i="16"/>
  <c r="K250" i="16" s="1"/>
  <c r="J249" i="16"/>
  <c r="I249" i="16"/>
  <c r="K249" i="16" s="1"/>
  <c r="L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J243" i="16"/>
  <c r="I243" i="16"/>
  <c r="K243" i="16" s="1"/>
  <c r="J242" i="16"/>
  <c r="I242" i="16"/>
  <c r="K242" i="16" s="1"/>
  <c r="J241" i="16"/>
  <c r="I241" i="16"/>
  <c r="K241" i="16" s="1"/>
  <c r="J240" i="16"/>
  <c r="I240" i="16"/>
  <c r="K240" i="16" s="1"/>
  <c r="J239" i="16"/>
  <c r="I239" i="16"/>
  <c r="K239" i="16" s="1"/>
  <c r="J238" i="16"/>
  <c r="I238" i="16"/>
  <c r="K238" i="16" s="1"/>
  <c r="J237" i="16"/>
  <c r="I237" i="16"/>
  <c r="K237" i="16" s="1"/>
  <c r="J236" i="16"/>
  <c r="I236" i="16"/>
  <c r="K236" i="16" s="1"/>
  <c r="J235" i="16"/>
  <c r="I235" i="16"/>
  <c r="K235" i="16" s="1"/>
  <c r="J234" i="16"/>
  <c r="I234" i="16"/>
  <c r="K234" i="16" s="1"/>
  <c r="J233" i="16"/>
  <c r="I233" i="16"/>
  <c r="K233" i="16" s="1"/>
  <c r="J232" i="16"/>
  <c r="I232" i="16"/>
  <c r="K232" i="16" s="1"/>
  <c r="J231" i="16"/>
  <c r="I231" i="16"/>
  <c r="K231" i="16" s="1"/>
  <c r="J230" i="16"/>
  <c r="I230" i="16"/>
  <c r="K230" i="16" s="1"/>
  <c r="J229" i="16"/>
  <c r="I229" i="16"/>
  <c r="K229" i="16" s="1"/>
  <c r="J228" i="16"/>
  <c r="I228" i="16"/>
  <c r="K228" i="16" s="1"/>
  <c r="L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L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L220" i="16" s="1"/>
  <c r="J219" i="16"/>
  <c r="I219" i="16"/>
  <c r="K219" i="16" s="1"/>
  <c r="J218" i="16"/>
  <c r="I218" i="16"/>
  <c r="K218" i="16" s="1"/>
  <c r="J217" i="16"/>
  <c r="I217" i="16"/>
  <c r="K217" i="16" s="1"/>
  <c r="J216" i="16"/>
  <c r="I216" i="16"/>
  <c r="K216" i="16" s="1"/>
  <c r="J215" i="16"/>
  <c r="I215" i="16"/>
  <c r="K215" i="16" s="1"/>
  <c r="J214" i="16"/>
  <c r="I214" i="16"/>
  <c r="K214" i="16" s="1"/>
  <c r="J213" i="16"/>
  <c r="I213" i="16"/>
  <c r="K213" i="16" s="1"/>
  <c r="J212" i="16"/>
  <c r="I212" i="16"/>
  <c r="K212" i="16" s="1"/>
  <c r="L212" i="16" s="1"/>
  <c r="J211" i="16"/>
  <c r="I211" i="16"/>
  <c r="K211" i="16" s="1"/>
  <c r="J210" i="16"/>
  <c r="I210" i="16"/>
  <c r="K210" i="16" s="1"/>
  <c r="J209" i="16"/>
  <c r="I209" i="16"/>
  <c r="K209" i="16" s="1"/>
  <c r="J208" i="16"/>
  <c r="I208" i="16"/>
  <c r="K208" i="16" s="1"/>
  <c r="L208" i="16" s="1"/>
  <c r="J207" i="16"/>
  <c r="I207" i="16"/>
  <c r="K207" i="16" s="1"/>
  <c r="J206" i="16"/>
  <c r="I206" i="16"/>
  <c r="K206" i="16" s="1"/>
  <c r="J205" i="16"/>
  <c r="I205" i="16"/>
  <c r="K205" i="16" s="1"/>
  <c r="J204" i="16"/>
  <c r="I204" i="16"/>
  <c r="K204" i="16" s="1"/>
  <c r="J203" i="16"/>
  <c r="I203" i="16"/>
  <c r="K203" i="16" s="1"/>
  <c r="J202" i="16"/>
  <c r="I202" i="16"/>
  <c r="K202" i="16" s="1"/>
  <c r="J201" i="16"/>
  <c r="I201" i="16"/>
  <c r="K201" i="16" s="1"/>
  <c r="J200" i="16"/>
  <c r="I200" i="16"/>
  <c r="K200" i="16" s="1"/>
  <c r="J199" i="16"/>
  <c r="I199" i="16"/>
  <c r="K199" i="16" s="1"/>
  <c r="J198" i="16"/>
  <c r="I198" i="16"/>
  <c r="K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J193" i="16"/>
  <c r="I193" i="16"/>
  <c r="K193" i="16" s="1"/>
  <c r="J192" i="16"/>
  <c r="I192" i="16"/>
  <c r="K192" i="16" s="1"/>
  <c r="J191" i="16"/>
  <c r="I191" i="16"/>
  <c r="K191" i="16" s="1"/>
  <c r="J190" i="16"/>
  <c r="I190" i="16"/>
  <c r="K190" i="16" s="1"/>
  <c r="L190" i="16" s="1"/>
  <c r="J189" i="16"/>
  <c r="I189" i="16"/>
  <c r="K189" i="16" s="1"/>
  <c r="J188" i="16"/>
  <c r="I188" i="16"/>
  <c r="K188" i="16" s="1"/>
  <c r="J187" i="16"/>
  <c r="I187" i="16"/>
  <c r="K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J183" i="16"/>
  <c r="I183" i="16"/>
  <c r="K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J179" i="16"/>
  <c r="I179" i="16"/>
  <c r="K179" i="16" s="1"/>
  <c r="J178" i="16"/>
  <c r="I178" i="16"/>
  <c r="K178" i="16" s="1"/>
  <c r="L178" i="16" s="1"/>
  <c r="J177" i="16"/>
  <c r="I177" i="16"/>
  <c r="K177" i="16" s="1"/>
  <c r="J176" i="16"/>
  <c r="I176" i="16"/>
  <c r="K176" i="16" s="1"/>
  <c r="J175" i="16"/>
  <c r="I175" i="16"/>
  <c r="K175" i="16" s="1"/>
  <c r="J174" i="16"/>
  <c r="I174" i="16"/>
  <c r="K174" i="16" s="1"/>
  <c r="L174" i="16" s="1"/>
  <c r="J173" i="16"/>
  <c r="I173" i="16"/>
  <c r="K173" i="16" s="1"/>
  <c r="J172" i="16"/>
  <c r="I172" i="16"/>
  <c r="K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J167" i="16"/>
  <c r="I167" i="16"/>
  <c r="K167" i="16" s="1"/>
  <c r="J166" i="16"/>
  <c r="I166" i="16"/>
  <c r="K166" i="16" s="1"/>
  <c r="L166" i="16" s="1"/>
  <c r="J165" i="16"/>
  <c r="I165" i="16"/>
  <c r="K165" i="16" s="1"/>
  <c r="J164" i="16"/>
  <c r="I164" i="16"/>
  <c r="K164" i="16" s="1"/>
  <c r="J163" i="16"/>
  <c r="I163" i="16"/>
  <c r="K163" i="16" s="1"/>
  <c r="J162" i="16"/>
  <c r="I162" i="16"/>
  <c r="K162" i="16" s="1"/>
  <c r="L162" i="16" s="1"/>
  <c r="J161" i="16"/>
  <c r="I161" i="16"/>
  <c r="K161" i="16" s="1"/>
  <c r="J160" i="16"/>
  <c r="I160" i="16"/>
  <c r="K160" i="16" s="1"/>
  <c r="L160" i="16" s="1"/>
  <c r="J159" i="16"/>
  <c r="I159" i="16"/>
  <c r="K159" i="16" s="1"/>
  <c r="J158" i="16"/>
  <c r="I158" i="16"/>
  <c r="K158" i="16" s="1"/>
  <c r="L158" i="16" s="1"/>
  <c r="J157" i="16"/>
  <c r="I157" i="16"/>
  <c r="K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J152" i="16"/>
  <c r="I152" i="16"/>
  <c r="K152" i="16" s="1"/>
  <c r="L152" i="16" s="1"/>
  <c r="J151" i="16"/>
  <c r="I151" i="16"/>
  <c r="K151" i="16" s="1"/>
  <c r="J150" i="16"/>
  <c r="I150" i="16"/>
  <c r="K150" i="16" s="1"/>
  <c r="L150" i="16" s="1"/>
  <c r="J149" i="16"/>
  <c r="I149" i="16"/>
  <c r="K149" i="16" s="1"/>
  <c r="J148" i="16"/>
  <c r="I148" i="16"/>
  <c r="K148" i="16" s="1"/>
  <c r="L148" i="16" s="1"/>
  <c r="J147" i="16"/>
  <c r="I147" i="16"/>
  <c r="K147" i="16" s="1"/>
  <c r="J146" i="16"/>
  <c r="I146" i="16"/>
  <c r="K146" i="16" s="1"/>
  <c r="J145" i="16"/>
  <c r="I145" i="16"/>
  <c r="K145" i="16" s="1"/>
  <c r="J144" i="16"/>
  <c r="I144" i="16"/>
  <c r="K144" i="16" s="1"/>
  <c r="J143" i="16"/>
  <c r="I143" i="16"/>
  <c r="K143" i="16" s="1"/>
  <c r="J142" i="16"/>
  <c r="I142" i="16"/>
  <c r="K142" i="16" s="1"/>
  <c r="L142" i="16" s="1"/>
  <c r="J141" i="16"/>
  <c r="I141" i="16"/>
  <c r="K141" i="16" s="1"/>
  <c r="J140" i="16"/>
  <c r="I140" i="16"/>
  <c r="K140" i="16" s="1"/>
  <c r="J139" i="16"/>
  <c r="I139" i="16"/>
  <c r="K139" i="16" s="1"/>
  <c r="J138" i="16"/>
  <c r="I138" i="16"/>
  <c r="K138" i="16" s="1"/>
  <c r="J137" i="16"/>
  <c r="I137" i="16"/>
  <c r="K137" i="16" s="1"/>
  <c r="J136" i="16"/>
  <c r="I136" i="16"/>
  <c r="K136" i="16" s="1"/>
  <c r="L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J129" i="16"/>
  <c r="I129" i="16"/>
  <c r="K129" i="16" s="1"/>
  <c r="K128" i="16"/>
  <c r="J128" i="16"/>
  <c r="I128" i="16"/>
  <c r="J127" i="16"/>
  <c r="I127" i="16"/>
  <c r="K127" i="16" s="1"/>
  <c r="J126" i="16"/>
  <c r="I126" i="16"/>
  <c r="K126" i="16" s="1"/>
  <c r="J125" i="16"/>
  <c r="I125" i="16"/>
  <c r="K125" i="16" s="1"/>
  <c r="J124" i="16"/>
  <c r="I124" i="16"/>
  <c r="K124" i="16" s="1"/>
  <c r="J123" i="16"/>
  <c r="I123" i="16"/>
  <c r="K123" i="16" s="1"/>
  <c r="J122" i="16"/>
  <c r="I122" i="16"/>
  <c r="K122" i="16" s="1"/>
  <c r="J121" i="16"/>
  <c r="I121" i="16"/>
  <c r="K121" i="16" s="1"/>
  <c r="L121" i="16" s="1"/>
  <c r="J120" i="16"/>
  <c r="I120" i="16"/>
  <c r="K120" i="16" s="1"/>
  <c r="J119" i="16"/>
  <c r="I119" i="16"/>
  <c r="K119" i="16" s="1"/>
  <c r="L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J114" i="16"/>
  <c r="I114" i="16"/>
  <c r="K114" i="16" s="1"/>
  <c r="L114" i="16" s="1"/>
  <c r="J113" i="16"/>
  <c r="I113" i="16"/>
  <c r="K113" i="16" s="1"/>
  <c r="J112" i="16"/>
  <c r="I112" i="16"/>
  <c r="K112" i="16" s="1"/>
  <c r="L112" i="16" s="1"/>
  <c r="J111" i="16"/>
  <c r="I111" i="16"/>
  <c r="K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J106" i="16"/>
  <c r="I106" i="16"/>
  <c r="K106" i="16" s="1"/>
  <c r="L106" i="16" s="1"/>
  <c r="J105" i="16"/>
  <c r="I105" i="16"/>
  <c r="K105" i="16" s="1"/>
  <c r="J104" i="16"/>
  <c r="I104" i="16"/>
  <c r="K104" i="16" s="1"/>
  <c r="J103" i="16"/>
  <c r="I103" i="16"/>
  <c r="K103" i="16" s="1"/>
  <c r="L103" i="16" s="1"/>
  <c r="J102" i="16"/>
  <c r="I102" i="16"/>
  <c r="K102" i="16" s="1"/>
  <c r="L102" i="16" s="1"/>
  <c r="J101" i="16"/>
  <c r="I101" i="16"/>
  <c r="K101" i="16" s="1"/>
  <c r="J100" i="16"/>
  <c r="I100" i="16"/>
  <c r="K100" i="16" s="1"/>
  <c r="J99" i="16"/>
  <c r="I99" i="16"/>
  <c r="K99" i="16" s="1"/>
  <c r="J98" i="16"/>
  <c r="I98" i="16"/>
  <c r="K98" i="16" s="1"/>
  <c r="J97" i="16"/>
  <c r="I97" i="16"/>
  <c r="K97" i="16" s="1"/>
  <c r="J96" i="16"/>
  <c r="I96" i="16"/>
  <c r="K96" i="16" s="1"/>
  <c r="J95" i="16"/>
  <c r="I95" i="16"/>
  <c r="K95" i="16" s="1"/>
  <c r="J94" i="16"/>
  <c r="I94" i="16"/>
  <c r="K94" i="16" s="1"/>
  <c r="J93" i="16"/>
  <c r="I93" i="16"/>
  <c r="K93" i="16" s="1"/>
  <c r="J92" i="16"/>
  <c r="I92" i="16"/>
  <c r="K92" i="16" s="1"/>
  <c r="J91" i="16"/>
  <c r="I91" i="16"/>
  <c r="K91" i="16" s="1"/>
  <c r="J90" i="16"/>
  <c r="I90" i="16"/>
  <c r="K90" i="16" s="1"/>
  <c r="J89" i="16"/>
  <c r="I89" i="16"/>
  <c r="K89" i="16" s="1"/>
  <c r="J88" i="16"/>
  <c r="I88" i="16"/>
  <c r="K88" i="16" s="1"/>
  <c r="J87" i="16"/>
  <c r="I87" i="16"/>
  <c r="K87" i="16" s="1"/>
  <c r="J86" i="16"/>
  <c r="I86" i="16"/>
  <c r="K86" i="16" s="1"/>
  <c r="J85" i="16"/>
  <c r="I85" i="16"/>
  <c r="K85" i="16" s="1"/>
  <c r="L85" i="16" s="1"/>
  <c r="J84" i="16"/>
  <c r="I84" i="16"/>
  <c r="K84" i="16" s="1"/>
  <c r="J83" i="16"/>
  <c r="I83" i="16"/>
  <c r="K83" i="16" s="1"/>
  <c r="J82" i="16"/>
  <c r="I82" i="16"/>
  <c r="K82" i="16" s="1"/>
  <c r="L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L78" i="16" s="1"/>
  <c r="V80" i="16" s="1"/>
  <c r="J77" i="16"/>
  <c r="I77" i="16"/>
  <c r="K77" i="16" s="1"/>
  <c r="J76" i="16"/>
  <c r="I76" i="16"/>
  <c r="K76" i="16" s="1"/>
  <c r="J75" i="16"/>
  <c r="I75" i="16"/>
  <c r="K75" i="16" s="1"/>
  <c r="L75" i="16" s="1"/>
  <c r="J74" i="16"/>
  <c r="I74" i="16"/>
  <c r="K74" i="16" s="1"/>
  <c r="J73" i="16"/>
  <c r="I73" i="16"/>
  <c r="K73" i="16" s="1"/>
  <c r="J72" i="16"/>
  <c r="I72" i="16"/>
  <c r="K72" i="16" s="1"/>
  <c r="J71" i="16"/>
  <c r="I71" i="16"/>
  <c r="K71" i="16" s="1"/>
  <c r="L71" i="16" s="1"/>
  <c r="J70" i="16"/>
  <c r="I70" i="16"/>
  <c r="K70" i="16" s="1"/>
  <c r="J69" i="16"/>
  <c r="I69" i="16"/>
  <c r="K69" i="16" s="1"/>
  <c r="J68" i="16"/>
  <c r="I68" i="16"/>
  <c r="K68" i="16" s="1"/>
  <c r="L68" i="16" s="1"/>
  <c r="J67" i="16"/>
  <c r="I67" i="16"/>
  <c r="K67" i="16" s="1"/>
  <c r="J66" i="16"/>
  <c r="I66" i="16"/>
  <c r="K66" i="16" s="1"/>
  <c r="J65" i="16"/>
  <c r="I65" i="16"/>
  <c r="K65" i="16" s="1"/>
  <c r="J64" i="16"/>
  <c r="I64" i="16"/>
  <c r="K64" i="16" s="1"/>
  <c r="J63" i="16"/>
  <c r="I63" i="16"/>
  <c r="K63" i="16" s="1"/>
  <c r="J62" i="16"/>
  <c r="I62" i="16"/>
  <c r="K62" i="16" s="1"/>
  <c r="J61" i="16"/>
  <c r="I61" i="16"/>
  <c r="K61" i="16" s="1"/>
  <c r="J60" i="16"/>
  <c r="I60" i="16"/>
  <c r="K60" i="16" s="1"/>
  <c r="J59" i="16"/>
  <c r="I59" i="16"/>
  <c r="K59" i="16" s="1"/>
  <c r="J58" i="16"/>
  <c r="I58" i="16"/>
  <c r="K58" i="16" s="1"/>
  <c r="J57" i="16"/>
  <c r="I57" i="16"/>
  <c r="K57" i="16" s="1"/>
  <c r="J56" i="16"/>
  <c r="I56" i="16"/>
  <c r="K56" i="16" s="1"/>
  <c r="J55" i="16"/>
  <c r="I55" i="16"/>
  <c r="K55" i="16" s="1"/>
  <c r="J54" i="16"/>
  <c r="I54" i="16"/>
  <c r="K54" i="16" s="1"/>
  <c r="L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J48" i="16"/>
  <c r="I48" i="16"/>
  <c r="K48" i="16" s="1"/>
  <c r="L48" i="16" s="1"/>
  <c r="J47" i="16"/>
  <c r="I47" i="16"/>
  <c r="K47" i="16" s="1"/>
  <c r="J46" i="16"/>
  <c r="I46" i="16"/>
  <c r="K46" i="16" s="1"/>
  <c r="J45" i="16"/>
  <c r="I45" i="16"/>
  <c r="K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L40" i="16" s="1"/>
  <c r="J39" i="16"/>
  <c r="I39" i="16"/>
  <c r="K39" i="16" s="1"/>
  <c r="J38" i="16"/>
  <c r="I38" i="16"/>
  <c r="K38" i="16" s="1"/>
  <c r="J37" i="16"/>
  <c r="I37" i="16"/>
  <c r="K37" i="16" s="1"/>
  <c r="J36" i="16"/>
  <c r="I36" i="16"/>
  <c r="K36" i="16" s="1"/>
  <c r="J35" i="16"/>
  <c r="I35" i="16"/>
  <c r="K35" i="16" s="1"/>
  <c r="J34" i="16"/>
  <c r="I34" i="16"/>
  <c r="K34" i="16" s="1"/>
  <c r="J33" i="16"/>
  <c r="I33" i="16"/>
  <c r="K33" i="16" s="1"/>
  <c r="J32" i="16"/>
  <c r="I32" i="16"/>
  <c r="K32" i="16" s="1"/>
  <c r="L32" i="16" s="1"/>
  <c r="J31" i="16"/>
  <c r="I31" i="16"/>
  <c r="K31" i="16" s="1"/>
  <c r="L31" i="16" s="1"/>
  <c r="J30" i="16"/>
  <c r="I30" i="16"/>
  <c r="K30" i="16" s="1"/>
  <c r="J29" i="16"/>
  <c r="I29" i="16"/>
  <c r="K29" i="16" s="1"/>
  <c r="J28" i="16"/>
  <c r="I28" i="16"/>
  <c r="K28" i="16" s="1"/>
  <c r="J27" i="16"/>
  <c r="I27" i="16"/>
  <c r="K27" i="16" s="1"/>
  <c r="J26" i="16"/>
  <c r="I26" i="16"/>
  <c r="K26" i="16" s="1"/>
  <c r="L26" i="16" s="1"/>
  <c r="J25" i="16"/>
  <c r="I25" i="16"/>
  <c r="K25" i="16" s="1"/>
  <c r="L25" i="16" s="1"/>
  <c r="J24" i="16"/>
  <c r="I24" i="16"/>
  <c r="K24" i="16" s="1"/>
  <c r="J23" i="16"/>
  <c r="I23" i="16"/>
  <c r="K23" i="16" s="1"/>
  <c r="J22" i="16"/>
  <c r="I22" i="16"/>
  <c r="K22" i="16" s="1"/>
  <c r="J21" i="16"/>
  <c r="I21" i="16"/>
  <c r="K21" i="16" s="1"/>
  <c r="J20" i="16"/>
  <c r="I20" i="16"/>
  <c r="K20" i="16" s="1"/>
  <c r="J19" i="16"/>
  <c r="I19" i="16"/>
  <c r="K19" i="16" s="1"/>
  <c r="J18" i="16"/>
  <c r="I18" i="16"/>
  <c r="K18" i="16" s="1"/>
  <c r="J17" i="16"/>
  <c r="I17" i="16"/>
  <c r="K17" i="16" s="1"/>
  <c r="J16" i="16"/>
  <c r="I16" i="16"/>
  <c r="K16" i="16" s="1"/>
  <c r="J15" i="16"/>
  <c r="I15" i="16"/>
  <c r="K15" i="16" s="1"/>
  <c r="J14" i="16"/>
  <c r="I14" i="16"/>
  <c r="K14" i="16" s="1"/>
  <c r="J13" i="16"/>
  <c r="I13" i="16"/>
  <c r="K13" i="16" s="1"/>
  <c r="J12" i="16"/>
  <c r="I12" i="16"/>
  <c r="K12" i="16" s="1"/>
  <c r="J11" i="16"/>
  <c r="I11" i="16"/>
  <c r="K11" i="16" s="1"/>
  <c r="K10" i="16"/>
  <c r="J10" i="16"/>
  <c r="I10" i="16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L5" i="16" s="1"/>
  <c r="J4" i="16"/>
  <c r="I4" i="16"/>
  <c r="K4" i="16" s="1"/>
  <c r="J3" i="16"/>
  <c r="I3" i="16"/>
  <c r="K3" i="16" s="1"/>
  <c r="J2" i="16"/>
  <c r="I2" i="16"/>
  <c r="K2" i="16" s="1"/>
  <c r="I322" i="1"/>
  <c r="K322" i="1" s="1"/>
  <c r="J322" i="1"/>
  <c r="L83" i="17" l="1"/>
  <c r="L186" i="17"/>
  <c r="L190" i="17"/>
  <c r="L194" i="17"/>
  <c r="L198" i="17"/>
  <c r="L202" i="17"/>
  <c r="L206" i="17"/>
  <c r="L4" i="17"/>
  <c r="L8" i="17"/>
  <c r="L36" i="17"/>
  <c r="L40" i="17"/>
  <c r="L48" i="17"/>
  <c r="L52" i="17"/>
  <c r="L56" i="17"/>
  <c r="L64" i="17"/>
  <c r="L68" i="17"/>
  <c r="V70" i="17" s="1"/>
  <c r="L72" i="17"/>
  <c r="L80" i="17"/>
  <c r="L84" i="17"/>
  <c r="L107" i="17"/>
  <c r="L111" i="17"/>
  <c r="L115" i="17"/>
  <c r="L119" i="17"/>
  <c r="L127" i="17"/>
  <c r="L282" i="17"/>
  <c r="L286" i="17"/>
  <c r="L290" i="17"/>
  <c r="L298" i="17"/>
  <c r="L306" i="17"/>
  <c r="V88" i="17" s="1"/>
  <c r="L314" i="17"/>
  <c r="V96" i="17" s="1"/>
  <c r="L322" i="17"/>
  <c r="L61" i="17"/>
  <c r="L65" i="17"/>
  <c r="L69" i="17"/>
  <c r="V71" i="17" s="1"/>
  <c r="L73" i="17"/>
  <c r="L77" i="17"/>
  <c r="L81" i="17"/>
  <c r="L88" i="17"/>
  <c r="L99" i="17"/>
  <c r="L130" i="17"/>
  <c r="L185" i="17"/>
  <c r="L220" i="17"/>
  <c r="L224" i="17"/>
  <c r="L96" i="17"/>
  <c r="L103" i="17"/>
  <c r="L134" i="17"/>
  <c r="L162" i="17"/>
  <c r="L166" i="17"/>
  <c r="L170" i="17"/>
  <c r="L174" i="17"/>
  <c r="L178" i="17"/>
  <c r="L201" i="17"/>
  <c r="L252" i="17"/>
  <c r="L256" i="17"/>
  <c r="L260" i="17"/>
  <c r="L264" i="17"/>
  <c r="L268" i="17"/>
  <c r="L272" i="17"/>
  <c r="L291" i="17"/>
  <c r="L295" i="17"/>
  <c r="L299" i="17"/>
  <c r="L303" i="17"/>
  <c r="V85" i="17" s="1"/>
  <c r="L307" i="17"/>
  <c r="V89" i="17" s="1"/>
  <c r="L320" i="17"/>
  <c r="V102" i="17" s="1"/>
  <c r="L124" i="17"/>
  <c r="L128" i="17"/>
  <c r="L147" i="17"/>
  <c r="L210" i="17"/>
  <c r="L214" i="17"/>
  <c r="L234" i="17"/>
  <c r="L94" i="17"/>
  <c r="L136" i="17"/>
  <c r="L140" i="17"/>
  <c r="L148" i="17"/>
  <c r="L152" i="17"/>
  <c r="L156" i="17"/>
  <c r="L160" i="17"/>
  <c r="L164" i="17"/>
  <c r="L168" i="17"/>
  <c r="L172" i="17"/>
  <c r="L176" i="17"/>
  <c r="L180" i="17"/>
  <c r="L250" i="17"/>
  <c r="L254" i="17"/>
  <c r="L258" i="17"/>
  <c r="L266" i="17"/>
  <c r="L270" i="17"/>
  <c r="L274" i="17"/>
  <c r="L281" i="17"/>
  <c r="L285" i="17"/>
  <c r="L289" i="17"/>
  <c r="L293" i="17"/>
  <c r="L297" i="17"/>
  <c r="L305" i="17"/>
  <c r="V87" i="17" s="1"/>
  <c r="L313" i="17"/>
  <c r="V95" i="17" s="1"/>
  <c r="L317" i="17"/>
  <c r="V99" i="17" s="1"/>
  <c r="L321" i="17"/>
  <c r="V103" i="17" s="1"/>
  <c r="L16" i="16"/>
  <c r="L24" i="16"/>
  <c r="L51" i="16"/>
  <c r="L59" i="16"/>
  <c r="L247" i="16"/>
  <c r="L294" i="16"/>
  <c r="L306" i="16"/>
  <c r="V88" i="16" s="1"/>
  <c r="L310" i="16"/>
  <c r="V92" i="16" s="1"/>
  <c r="L314" i="16"/>
  <c r="L318" i="16"/>
  <c r="V100" i="16" s="1"/>
  <c r="L322" i="16"/>
  <c r="L141" i="16"/>
  <c r="L145" i="16"/>
  <c r="L153" i="16"/>
  <c r="L157" i="16"/>
  <c r="L252" i="16"/>
  <c r="L256" i="16"/>
  <c r="L61" i="16"/>
  <c r="L84" i="16"/>
  <c r="L126" i="16"/>
  <c r="L193" i="16"/>
  <c r="L205" i="16"/>
  <c r="L209" i="16"/>
  <c r="L221" i="16"/>
  <c r="L225" i="16"/>
  <c r="L19" i="16"/>
  <c r="L66" i="16"/>
  <c r="V68" i="16" s="1"/>
  <c r="L127" i="16"/>
  <c r="L281" i="16"/>
  <c r="L4" i="16"/>
  <c r="L301" i="16"/>
  <c r="L268" i="16"/>
  <c r="L272" i="16"/>
  <c r="L276" i="16"/>
  <c r="L64" i="16"/>
  <c r="L94" i="16"/>
  <c r="L101" i="16"/>
  <c r="L105" i="16"/>
  <c r="L143" i="16"/>
  <c r="L159" i="16"/>
  <c r="L167" i="16"/>
  <c r="L206" i="16"/>
  <c r="L233" i="16"/>
  <c r="L237" i="16"/>
  <c r="L241" i="16"/>
  <c r="L245" i="16"/>
  <c r="L288" i="16"/>
  <c r="L292" i="16"/>
  <c r="L300" i="16"/>
  <c r="L308" i="16"/>
  <c r="L320" i="16"/>
  <c r="L14" i="16"/>
  <c r="L18" i="16"/>
  <c r="L22" i="16"/>
  <c r="L53" i="16"/>
  <c r="L76" i="16"/>
  <c r="V78" i="16" s="1"/>
  <c r="L91" i="16"/>
  <c r="L98" i="16"/>
  <c r="L171" i="16"/>
  <c r="L175" i="16"/>
  <c r="L218" i="16"/>
  <c r="L222" i="16"/>
  <c r="L226" i="16"/>
  <c r="L230" i="16"/>
  <c r="L253" i="16"/>
  <c r="L257" i="16"/>
  <c r="L265" i="16"/>
  <c r="L269" i="16"/>
  <c r="L30" i="16"/>
  <c r="L199" i="16"/>
  <c r="L207" i="16"/>
  <c r="L211" i="16"/>
  <c r="L285" i="16"/>
  <c r="L289" i="16"/>
  <c r="L293" i="16"/>
  <c r="L305" i="16"/>
  <c r="V87" i="16" s="1"/>
  <c r="L309" i="16"/>
  <c r="L313" i="16"/>
  <c r="V95" i="16" s="1"/>
  <c r="L317" i="16"/>
  <c r="V99" i="16" s="1"/>
  <c r="L38" i="16"/>
  <c r="L42" i="16"/>
  <c r="L46" i="16"/>
  <c r="L50" i="16"/>
  <c r="L69" i="16"/>
  <c r="L92" i="16"/>
  <c r="L128" i="16"/>
  <c r="L172" i="16"/>
  <c r="L176" i="16"/>
  <c r="L215" i="16"/>
  <c r="L223" i="16"/>
  <c r="L227" i="16"/>
  <c r="L231" i="16"/>
  <c r="L254" i="16"/>
  <c r="L266" i="16"/>
  <c r="L274" i="16"/>
  <c r="L278" i="16"/>
  <c r="L108" i="18"/>
  <c r="L116" i="18"/>
  <c r="L120" i="18"/>
  <c r="L124" i="18"/>
  <c r="L128" i="18"/>
  <c r="L132" i="18"/>
  <c r="L136" i="18"/>
  <c r="L140" i="18"/>
  <c r="L105" i="18"/>
  <c r="L113" i="18"/>
  <c r="L117" i="18"/>
  <c r="L121" i="18"/>
  <c r="L125" i="18"/>
  <c r="L129" i="18"/>
  <c r="L133" i="18"/>
  <c r="L137" i="18"/>
  <c r="L141" i="18"/>
  <c r="L288" i="18"/>
  <c r="L292" i="18"/>
  <c r="L296" i="18"/>
  <c r="L300" i="18"/>
  <c r="L304" i="18"/>
  <c r="L308" i="18"/>
  <c r="V90" i="18" s="1"/>
  <c r="L316" i="18"/>
  <c r="V98" i="18" s="1"/>
  <c r="L320" i="18"/>
  <c r="L257" i="18"/>
  <c r="L261" i="18"/>
  <c r="L273" i="18"/>
  <c r="L122" i="18"/>
  <c r="L130" i="18"/>
  <c r="L138" i="18"/>
  <c r="L258" i="18"/>
  <c r="L266" i="18"/>
  <c r="L270" i="18"/>
  <c r="L274" i="18"/>
  <c r="L119" i="18"/>
  <c r="L127" i="18"/>
  <c r="L135" i="18"/>
  <c r="L143" i="18"/>
  <c r="L43" i="18"/>
  <c r="L51" i="18"/>
  <c r="L55" i="18"/>
  <c r="L59" i="18"/>
  <c r="L163" i="18"/>
  <c r="L167" i="18"/>
  <c r="L171" i="18"/>
  <c r="L183" i="18"/>
  <c r="L187" i="18"/>
  <c r="L211" i="18"/>
  <c r="L215" i="18"/>
  <c r="L219" i="18"/>
  <c r="L231" i="18"/>
  <c r="L235" i="18"/>
  <c r="L239" i="18"/>
  <c r="L243" i="18"/>
  <c r="L247" i="18"/>
  <c r="L259" i="18"/>
  <c r="L263" i="18"/>
  <c r="L271" i="18"/>
  <c r="L275" i="18"/>
  <c r="L315" i="18"/>
  <c r="V97" i="18" s="1"/>
  <c r="L4" i="18"/>
  <c r="L12" i="18"/>
  <c r="L16" i="18"/>
  <c r="L28" i="18"/>
  <c r="L32" i="18"/>
  <c r="L40" i="18"/>
  <c r="L67" i="18"/>
  <c r="V69" i="18" s="1"/>
  <c r="L71" i="18"/>
  <c r="V73" i="18" s="1"/>
  <c r="L86" i="18"/>
  <c r="L111" i="18"/>
  <c r="L146" i="18"/>
  <c r="L189" i="18"/>
  <c r="L193" i="18"/>
  <c r="L201" i="18"/>
  <c r="L5" i="18"/>
  <c r="L9" i="18"/>
  <c r="L21" i="18"/>
  <c r="L25" i="18"/>
  <c r="L33" i="18"/>
  <c r="L37" i="18"/>
  <c r="L41" i="18"/>
  <c r="L64" i="18"/>
  <c r="L68" i="18"/>
  <c r="V70" i="18" s="1"/>
  <c r="L79" i="18"/>
  <c r="L87" i="18"/>
  <c r="L98" i="18"/>
  <c r="L101" i="18"/>
  <c r="L112" i="18"/>
  <c r="L198" i="18"/>
  <c r="L202" i="18"/>
  <c r="L277" i="18"/>
  <c r="L321" i="18"/>
  <c r="V103" i="18" s="1"/>
  <c r="L2" i="18"/>
  <c r="L6" i="18"/>
  <c r="L14" i="18"/>
  <c r="L18" i="18"/>
  <c r="L22" i="18"/>
  <c r="L26" i="18"/>
  <c r="L30" i="18"/>
  <c r="L34" i="18"/>
  <c r="L38" i="18"/>
  <c r="L61" i="18"/>
  <c r="L65" i="18"/>
  <c r="V67" i="18" s="1"/>
  <c r="L69" i="18"/>
  <c r="V71" i="18" s="1"/>
  <c r="L73" i="18"/>
  <c r="L102" i="18"/>
  <c r="L195" i="18"/>
  <c r="L199" i="18"/>
  <c r="L278" i="18"/>
  <c r="L7" i="18"/>
  <c r="L15" i="18"/>
  <c r="L19" i="18"/>
  <c r="L23" i="18"/>
  <c r="L39" i="18"/>
  <c r="L62" i="18"/>
  <c r="V64" i="18" s="1"/>
  <c r="L70" i="18"/>
  <c r="V72" i="18" s="1"/>
  <c r="L89" i="18"/>
  <c r="L145" i="18"/>
  <c r="L196" i="18"/>
  <c r="L200" i="18"/>
  <c r="L279" i="18"/>
  <c r="L60" i="18"/>
  <c r="L153" i="18"/>
  <c r="L82" i="18"/>
  <c r="L109" i="18"/>
  <c r="L203" i="18"/>
  <c r="L52" i="18"/>
  <c r="L147" i="18"/>
  <c r="L185" i="18"/>
  <c r="L8" i="18"/>
  <c r="L35" i="18"/>
  <c r="L49" i="18"/>
  <c r="L56" i="18"/>
  <c r="L97" i="18"/>
  <c r="L100" i="18"/>
  <c r="L151" i="18"/>
  <c r="L155" i="18"/>
  <c r="L181" i="18"/>
  <c r="L192" i="18"/>
  <c r="L222" i="18"/>
  <c r="L226" i="18"/>
  <c r="L245" i="18"/>
  <c r="L311" i="18"/>
  <c r="V93" i="18" s="1"/>
  <c r="L11" i="18"/>
  <c r="L29" i="18"/>
  <c r="L36" i="18"/>
  <c r="L77" i="18"/>
  <c r="V79" i="18" s="1"/>
  <c r="L83" i="18"/>
  <c r="L160" i="18"/>
  <c r="L267" i="18"/>
  <c r="L281" i="18"/>
  <c r="L299" i="18"/>
  <c r="L306" i="18"/>
  <c r="V88" i="18" s="1"/>
  <c r="L313" i="18"/>
  <c r="V95" i="18" s="1"/>
  <c r="L123" i="18"/>
  <c r="L182" i="18"/>
  <c r="L194" i="18"/>
  <c r="L248" i="18"/>
  <c r="L280" i="18"/>
  <c r="L74" i="18"/>
  <c r="V76" i="18" s="1"/>
  <c r="L139" i="18"/>
  <c r="L90" i="18"/>
  <c r="L104" i="18"/>
  <c r="L312" i="18"/>
  <c r="V94" i="18" s="1"/>
  <c r="L103" i="18"/>
  <c r="L115" i="18"/>
  <c r="L47" i="18"/>
  <c r="L96" i="18"/>
  <c r="L10" i="18"/>
  <c r="L48" i="18"/>
  <c r="L144" i="18"/>
  <c r="L188" i="18"/>
  <c r="L227" i="18"/>
  <c r="L3" i="18"/>
  <c r="L13" i="18"/>
  <c r="L20" i="18"/>
  <c r="L27" i="18"/>
  <c r="L63" i="18"/>
  <c r="V65" i="18" s="1"/>
  <c r="L72" i="18"/>
  <c r="V74" i="18" s="1"/>
  <c r="L131" i="18"/>
  <c r="L170" i="18"/>
  <c r="L223" i="18"/>
  <c r="L233" i="18"/>
  <c r="L251" i="18"/>
  <c r="L265" i="18"/>
  <c r="L93" i="18"/>
  <c r="L17" i="18"/>
  <c r="L24" i="18"/>
  <c r="L31" i="18"/>
  <c r="L66" i="18"/>
  <c r="V68" i="18" s="1"/>
  <c r="L76" i="18"/>
  <c r="V78" i="18" s="1"/>
  <c r="L176" i="18"/>
  <c r="L179" i="18"/>
  <c r="L197" i="18"/>
  <c r="L213" i="18"/>
  <c r="L230" i="18"/>
  <c r="L237" i="18"/>
  <c r="L255" i="18"/>
  <c r="L262" i="18"/>
  <c r="L269" i="18"/>
  <c r="L287" i="18"/>
  <c r="L294" i="18"/>
  <c r="L301" i="18"/>
  <c r="L319" i="18"/>
  <c r="V101" i="18" s="1"/>
  <c r="V81" i="18"/>
  <c r="L54" i="18"/>
  <c r="L88" i="18"/>
  <c r="L78" i="18"/>
  <c r="V66" i="18"/>
  <c r="V75" i="18"/>
  <c r="V83" i="18"/>
  <c r="L99" i="18"/>
  <c r="L110" i="18"/>
  <c r="L118" i="18"/>
  <c r="L126" i="18"/>
  <c r="L134" i="18"/>
  <c r="L142" i="18"/>
  <c r="L150" i="18"/>
  <c r="L178" i="18"/>
  <c r="L190" i="18"/>
  <c r="L162" i="18"/>
  <c r="L174" i="18"/>
  <c r="L191" i="18"/>
  <c r="V102" i="18"/>
  <c r="L156" i="18"/>
  <c r="L158" i="18"/>
  <c r="L175" i="18"/>
  <c r="L207" i="18"/>
  <c r="V92" i="18"/>
  <c r="V86" i="18"/>
  <c r="L75" i="18"/>
  <c r="L159" i="18"/>
  <c r="L16" i="17"/>
  <c r="L20" i="17"/>
  <c r="L24" i="17"/>
  <c r="L32" i="17"/>
  <c r="L55" i="17"/>
  <c r="L92" i="17"/>
  <c r="L114" i="17"/>
  <c r="L118" i="17"/>
  <c r="L182" i="17"/>
  <c r="L189" i="17"/>
  <c r="L193" i="17"/>
  <c r="L197" i="17"/>
  <c r="L204" i="17"/>
  <c r="L208" i="17"/>
  <c r="L212" i="17"/>
  <c r="L223" i="17"/>
  <c r="L231" i="17"/>
  <c r="L238" i="17"/>
  <c r="L242" i="17"/>
  <c r="L246" i="17"/>
  <c r="L277" i="17"/>
  <c r="L159" i="17"/>
  <c r="L228" i="17"/>
  <c r="L239" i="17"/>
  <c r="L247" i="17"/>
  <c r="L278" i="17"/>
  <c r="L90" i="17"/>
  <c r="L18" i="17"/>
  <c r="L57" i="17"/>
  <c r="L116" i="17"/>
  <c r="L123" i="17"/>
  <c r="L131" i="17"/>
  <c r="L138" i="17"/>
  <c r="L146" i="17"/>
  <c r="L229" i="17"/>
  <c r="L236" i="17"/>
  <c r="L240" i="17"/>
  <c r="L244" i="17"/>
  <c r="L310" i="17"/>
  <c r="V92" i="17" s="1"/>
  <c r="L91" i="17"/>
  <c r="L101" i="17"/>
  <c r="L139" i="17"/>
  <c r="L218" i="17"/>
  <c r="L233" i="17"/>
  <c r="L3" i="17"/>
  <c r="L19" i="17"/>
  <c r="L23" i="17"/>
  <c r="L27" i="17"/>
  <c r="L31" i="17"/>
  <c r="L98" i="17"/>
  <c r="L109" i="17"/>
  <c r="L113" i="17"/>
  <c r="L117" i="17"/>
  <c r="L143" i="17"/>
  <c r="L158" i="17"/>
  <c r="L169" i="17"/>
  <c r="L177" i="17"/>
  <c r="L181" i="17"/>
  <c r="L188" i="17"/>
  <c r="L192" i="17"/>
  <c r="L196" i="17"/>
  <c r="L207" i="17"/>
  <c r="L211" i="17"/>
  <c r="L215" i="17"/>
  <c r="L222" i="17"/>
  <c r="L226" i="17"/>
  <c r="L230" i="17"/>
  <c r="L237" i="17"/>
  <c r="L241" i="17"/>
  <c r="L245" i="17"/>
  <c r="L97" i="17"/>
  <c r="L105" i="17"/>
  <c r="L120" i="17"/>
  <c r="L126" i="17"/>
  <c r="L129" i="17"/>
  <c r="L184" i="17"/>
  <c r="L200" i="17"/>
  <c r="L216" i="17"/>
  <c r="L232" i="17"/>
  <c r="L248" i="17"/>
  <c r="L280" i="17"/>
  <c r="L302" i="17"/>
  <c r="V84" i="17" s="1"/>
  <c r="L309" i="17"/>
  <c r="V91" i="17" s="1"/>
  <c r="L312" i="17"/>
  <c r="V94" i="17" s="1"/>
  <c r="L132" i="17"/>
  <c r="L22" i="17"/>
  <c r="L154" i="17"/>
  <c r="L86" i="17"/>
  <c r="L121" i="17"/>
  <c r="L142" i="17"/>
  <c r="L155" i="17"/>
  <c r="L161" i="17"/>
  <c r="L10" i="17"/>
  <c r="L141" i="17"/>
  <c r="L26" i="17"/>
  <c r="L54" i="17"/>
  <c r="L78" i="17"/>
  <c r="L106" i="17"/>
  <c r="L15" i="17"/>
  <c r="L137" i="17"/>
  <c r="L318" i="17"/>
  <c r="V100" i="17" s="1"/>
  <c r="L13" i="17"/>
  <c r="L42" i="17"/>
  <c r="L59" i="17"/>
  <c r="L100" i="17"/>
  <c r="L58" i="17"/>
  <c r="L122" i="17"/>
  <c r="L6" i="17"/>
  <c r="L30" i="17"/>
  <c r="L38" i="17"/>
  <c r="L76" i="17"/>
  <c r="V78" i="17" s="1"/>
  <c r="L102" i="17"/>
  <c r="L110" i="17"/>
  <c r="L135" i="17"/>
  <c r="L144" i="17"/>
  <c r="L150" i="17"/>
  <c r="L153" i="17"/>
  <c r="L262" i="17"/>
  <c r="L269" i="17"/>
  <c r="L294" i="17"/>
  <c r="L301" i="17"/>
  <c r="V79" i="17"/>
  <c r="V73" i="17"/>
  <c r="V65" i="17"/>
  <c r="V74" i="17"/>
  <c r="V76" i="17"/>
  <c r="L9" i="17"/>
  <c r="L28" i="17"/>
  <c r="L60" i="17"/>
  <c r="V80" i="17"/>
  <c r="V83" i="17"/>
  <c r="V64" i="17"/>
  <c r="L25" i="17"/>
  <c r="V82" i="17"/>
  <c r="V67" i="17"/>
  <c r="L44" i="17"/>
  <c r="V68" i="17"/>
  <c r="L12" i="17"/>
  <c r="V69" i="17"/>
  <c r="V77" i="17"/>
  <c r="V72" i="17"/>
  <c r="V75" i="17"/>
  <c r="V66" i="17"/>
  <c r="L163" i="17"/>
  <c r="L87" i="17"/>
  <c r="L251" i="17"/>
  <c r="L283" i="17"/>
  <c r="L315" i="17"/>
  <c r="V81" i="17"/>
  <c r="L227" i="17"/>
  <c r="L235" i="17"/>
  <c r="L243" i="17"/>
  <c r="L95" i="17"/>
  <c r="L255" i="17"/>
  <c r="L287" i="17"/>
  <c r="L319" i="17"/>
  <c r="L279" i="17"/>
  <c r="L311" i="17"/>
  <c r="L157" i="17"/>
  <c r="L165" i="17"/>
  <c r="L173" i="17"/>
  <c r="L170" i="16"/>
  <c r="L90" i="16"/>
  <c r="L125" i="16"/>
  <c r="L56" i="16"/>
  <c r="L74" i="16"/>
  <c r="V76" i="16" s="1"/>
  <c r="L81" i="16"/>
  <c r="L88" i="16"/>
  <c r="L95" i="16"/>
  <c r="L109" i="16"/>
  <c r="L123" i="16"/>
  <c r="L161" i="16"/>
  <c r="L183" i="16"/>
  <c r="L187" i="16"/>
  <c r="L191" i="16"/>
  <c r="L194" i="16"/>
  <c r="L201" i="16"/>
  <c r="L234" i="16"/>
  <c r="L242" i="16"/>
  <c r="L246" i="16"/>
  <c r="L260" i="16"/>
  <c r="L279" i="16"/>
  <c r="L286" i="16"/>
  <c r="L297" i="16"/>
  <c r="L321" i="16"/>
  <c r="V103" i="16" s="1"/>
  <c r="L118" i="16"/>
  <c r="L20" i="16"/>
  <c r="L34" i="16"/>
  <c r="L110" i="16"/>
  <c r="L117" i="16"/>
  <c r="L124" i="16"/>
  <c r="L169" i="16"/>
  <c r="L180" i="16"/>
  <c r="L188" i="16"/>
  <c r="L239" i="16"/>
  <c r="L243" i="16"/>
  <c r="L250" i="16"/>
  <c r="L261" i="16"/>
  <c r="L298" i="16"/>
  <c r="L302" i="16"/>
  <c r="V84" i="16" s="1"/>
  <c r="L35" i="16"/>
  <c r="L97" i="16"/>
  <c r="L6" i="16"/>
  <c r="L43" i="16"/>
  <c r="L58" i="16"/>
  <c r="L93" i="16"/>
  <c r="L107" i="16"/>
  <c r="L111" i="16"/>
  <c r="L163" i="16"/>
  <c r="L177" i="16"/>
  <c r="L181" i="16"/>
  <c r="L185" i="16"/>
  <c r="L189" i="16"/>
  <c r="L196" i="16"/>
  <c r="L203" i="16"/>
  <c r="L214" i="16"/>
  <c r="L217" i="16"/>
  <c r="L244" i="16"/>
  <c r="L251" i="16"/>
  <c r="L258" i="16"/>
  <c r="L262" i="16"/>
  <c r="L273" i="16"/>
  <c r="L277" i="16"/>
  <c r="L303" i="16"/>
  <c r="V85" i="16" s="1"/>
  <c r="L264" i="16"/>
  <c r="L2" i="16"/>
  <c r="L8" i="16"/>
  <c r="L11" i="16"/>
  <c r="L21" i="16"/>
  <c r="L27" i="16"/>
  <c r="L37" i="16"/>
  <c r="L57" i="16"/>
  <c r="L73" i="16"/>
  <c r="L80" i="16"/>
  <c r="L131" i="16"/>
  <c r="L149" i="16"/>
  <c r="L165" i="16"/>
  <c r="L10" i="16"/>
  <c r="L62" i="16"/>
  <c r="V64" i="16" s="1"/>
  <c r="L99" i="16"/>
  <c r="L41" i="16"/>
  <c r="L70" i="16"/>
  <c r="V72" i="16" s="1"/>
  <c r="L115" i="16"/>
  <c r="L135" i="16"/>
  <c r="L12" i="16"/>
  <c r="L28" i="16"/>
  <c r="L44" i="16"/>
  <c r="L77" i="16"/>
  <c r="V79" i="16" s="1"/>
  <c r="L86" i="16"/>
  <c r="L89" i="16"/>
  <c r="L100" i="16"/>
  <c r="L132" i="16"/>
  <c r="L139" i="16"/>
  <c r="L197" i="16"/>
  <c r="L304" i="16"/>
  <c r="V86" i="16" s="1"/>
  <c r="L67" i="16"/>
  <c r="V69" i="16" s="1"/>
  <c r="L122" i="16"/>
  <c r="L164" i="16"/>
  <c r="L204" i="16"/>
  <c r="L13" i="16"/>
  <c r="L29" i="16"/>
  <c r="L45" i="16"/>
  <c r="L104" i="16"/>
  <c r="L133" i="16"/>
  <c r="L140" i="16"/>
  <c r="L147" i="16"/>
  <c r="L316" i="16"/>
  <c r="V98" i="16" s="1"/>
  <c r="L33" i="16"/>
  <c r="L130" i="16"/>
  <c r="L9" i="16"/>
  <c r="L17" i="16"/>
  <c r="L23" i="16"/>
  <c r="L39" i="16"/>
  <c r="L49" i="16"/>
  <c r="L52" i="16"/>
  <c r="L72" i="16"/>
  <c r="V74" i="16" s="1"/>
  <c r="L108" i="16"/>
  <c r="L120" i="16"/>
  <c r="L137" i="16"/>
  <c r="L144" i="16"/>
  <c r="L151" i="16"/>
  <c r="L173" i="16"/>
  <c r="L179" i="16"/>
  <c r="L195" i="16"/>
  <c r="L219" i="16"/>
  <c r="L235" i="16"/>
  <c r="L238" i="16"/>
  <c r="L267" i="16"/>
  <c r="L270" i="16"/>
  <c r="L307" i="16"/>
  <c r="V89" i="16" s="1"/>
  <c r="V82" i="16"/>
  <c r="L36" i="16"/>
  <c r="V96" i="16"/>
  <c r="V83" i="16"/>
  <c r="V81" i="16"/>
  <c r="V75" i="16"/>
  <c r="V93" i="16"/>
  <c r="V102" i="16"/>
  <c r="L15" i="16"/>
  <c r="V70" i="16"/>
  <c r="V73" i="16"/>
  <c r="V77" i="16"/>
  <c r="L113" i="16"/>
  <c r="L198" i="16"/>
  <c r="L312" i="16"/>
  <c r="L55" i="16"/>
  <c r="L65" i="16"/>
  <c r="L87" i="16"/>
  <c r="L96" i="16"/>
  <c r="L129" i="16"/>
  <c r="L7" i="16"/>
  <c r="L60" i="16"/>
  <c r="L63" i="16"/>
  <c r="V71" i="16"/>
  <c r="L83" i="16"/>
  <c r="L116" i="16"/>
  <c r="L156" i="16"/>
  <c r="V66" i="16"/>
  <c r="L3" i="16"/>
  <c r="L47" i="16"/>
  <c r="L210" i="16"/>
  <c r="L229" i="16"/>
  <c r="L240" i="16"/>
  <c r="L192" i="16"/>
  <c r="L202" i="16"/>
  <c r="L290" i="16"/>
  <c r="V90" i="16"/>
  <c r="L146" i="16"/>
  <c r="L200" i="16"/>
  <c r="L232" i="16"/>
  <c r="L236" i="16"/>
  <c r="L154" i="16"/>
  <c r="L184" i="16"/>
  <c r="L284" i="16"/>
  <c r="V91" i="16"/>
  <c r="L138" i="16"/>
  <c r="L280" i="16"/>
  <c r="L282" i="16"/>
  <c r="L299" i="16"/>
  <c r="L168" i="16"/>
  <c r="L296" i="16"/>
  <c r="L248" i="16"/>
  <c r="V97" i="16"/>
  <c r="L155" i="16"/>
  <c r="L213" i="16"/>
  <c r="L216" i="16"/>
  <c r="L283" i="16"/>
  <c r="L322" i="1"/>
  <c r="V80" i="18" l="1"/>
  <c r="V77" i="18"/>
  <c r="N5" i="18" s="1"/>
  <c r="V93" i="17"/>
  <c r="V97" i="17"/>
  <c r="V101" i="17"/>
  <c r="N2" i="17" s="1"/>
  <c r="M315" i="17" s="1"/>
  <c r="N5" i="17"/>
  <c r="V94" i="16"/>
  <c r="V65" i="16"/>
  <c r="V67" i="16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L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N2" i="18" l="1"/>
  <c r="M175" i="18" s="1"/>
  <c r="M174" i="18"/>
  <c r="M249" i="18"/>
  <c r="M265" i="18"/>
  <c r="M193" i="18"/>
  <c r="M169" i="18"/>
  <c r="M70" i="18"/>
  <c r="M62" i="18"/>
  <c r="M123" i="18"/>
  <c r="M205" i="18"/>
  <c r="M60" i="18"/>
  <c r="M102" i="18"/>
  <c r="M157" i="18"/>
  <c r="M218" i="18"/>
  <c r="M256" i="18"/>
  <c r="M296" i="18"/>
  <c r="M294" i="18"/>
  <c r="M310" i="18"/>
  <c r="M263" i="18"/>
  <c r="M284" i="18"/>
  <c r="M26" i="18"/>
  <c r="M69" i="18"/>
  <c r="M199" i="18"/>
  <c r="M104" i="18"/>
  <c r="M160" i="18"/>
  <c r="M260" i="18"/>
  <c r="M255" i="18"/>
  <c r="M19" i="18"/>
  <c r="M55" i="18"/>
  <c r="M161" i="18"/>
  <c r="M145" i="18"/>
  <c r="M20" i="18"/>
  <c r="M97" i="18"/>
  <c r="M237" i="18"/>
  <c r="M317" i="18"/>
  <c r="M303" i="18"/>
  <c r="M32" i="18"/>
  <c r="M292" i="18"/>
  <c r="M132" i="18"/>
  <c r="M36" i="18"/>
  <c r="M94" i="18"/>
  <c r="M232" i="18"/>
  <c r="M24" i="18"/>
  <c r="M275" i="18"/>
  <c r="M240" i="18"/>
  <c r="M270" i="18"/>
  <c r="M315" i="18"/>
  <c r="M35" i="18"/>
  <c r="M58" i="18"/>
  <c r="M204" i="18"/>
  <c r="M59" i="18"/>
  <c r="M233" i="18"/>
  <c r="M4" i="18"/>
  <c r="M228" i="18"/>
  <c r="M259" i="18"/>
  <c r="M312" i="18"/>
  <c r="M9" i="18"/>
  <c r="M84" i="18"/>
  <c r="M74" i="18"/>
  <c r="M89" i="18"/>
  <c r="M66" i="18"/>
  <c r="M139" i="18"/>
  <c r="M16" i="18"/>
  <c r="M282" i="18"/>
  <c r="M241" i="18"/>
  <c r="M283" i="18"/>
  <c r="M222" i="18"/>
  <c r="M287" i="18"/>
  <c r="M95" i="18"/>
  <c r="M57" i="18"/>
  <c r="M135" i="18"/>
  <c r="M130" i="18"/>
  <c r="M153" i="18"/>
  <c r="M262" i="18"/>
  <c r="M183" i="18"/>
  <c r="M239" i="18"/>
  <c r="M280" i="18"/>
  <c r="M150" i="18"/>
  <c r="M110" i="18"/>
  <c r="M54" i="18"/>
  <c r="M78" i="18"/>
  <c r="M28" i="17"/>
  <c r="M251" i="17"/>
  <c r="M235" i="17"/>
  <c r="M243" i="17"/>
  <c r="M163" i="17"/>
  <c r="M9" i="17"/>
  <c r="M279" i="17"/>
  <c r="M255" i="17"/>
  <c r="M287" i="17"/>
  <c r="M319" i="17"/>
  <c r="M87" i="17"/>
  <c r="M304" i="17"/>
  <c r="M272" i="17"/>
  <c r="M216" i="17"/>
  <c r="M208" i="17"/>
  <c r="M200" i="17"/>
  <c r="M192" i="17"/>
  <c r="M184" i="17"/>
  <c r="M177" i="17"/>
  <c r="M300" i="17"/>
  <c r="M268" i="17"/>
  <c r="M296" i="17"/>
  <c r="M264" i="17"/>
  <c r="M244" i="17"/>
  <c r="M236" i="17"/>
  <c r="M228" i="17"/>
  <c r="M220" i="17"/>
  <c r="M212" i="17"/>
  <c r="M204" i="17"/>
  <c r="M196" i="17"/>
  <c r="M188" i="17"/>
  <c r="M101" i="17"/>
  <c r="M13" i="17"/>
  <c r="M3" i="17"/>
  <c r="M35" i="17"/>
  <c r="M38" i="17"/>
  <c r="M84" i="17"/>
  <c r="M161" i="17"/>
  <c r="M59" i="17"/>
  <c r="M146" i="17"/>
  <c r="M21" i="17"/>
  <c r="M224" i="17"/>
  <c r="M105" i="17"/>
  <c r="M164" i="17"/>
  <c r="M65" i="17"/>
  <c r="M7" i="17"/>
  <c r="M75" i="17"/>
  <c r="M50" i="17"/>
  <c r="M79" i="17"/>
  <c r="M150" i="17"/>
  <c r="M131" i="17"/>
  <c r="M191" i="17"/>
  <c r="M231" i="17"/>
  <c r="M181" i="17"/>
  <c r="M245" i="17"/>
  <c r="M277" i="17"/>
  <c r="M148" i="17"/>
  <c r="M206" i="17"/>
  <c r="M275" i="17"/>
  <c r="M301" i="17"/>
  <c r="M152" i="17"/>
  <c r="M201" i="17"/>
  <c r="M281" i="17"/>
  <c r="M316" i="17"/>
  <c r="M234" i="17"/>
  <c r="M266" i="17"/>
  <c r="M298" i="17"/>
  <c r="M42" i="17"/>
  <c r="M129" i="17"/>
  <c r="M170" i="17"/>
  <c r="M62" i="17"/>
  <c r="M91" i="17"/>
  <c r="M240" i="17"/>
  <c r="M20" i="17"/>
  <c r="M97" i="17"/>
  <c r="M15" i="17"/>
  <c r="M94" i="17"/>
  <c r="M55" i="17"/>
  <c r="M82" i="17"/>
  <c r="M140" i="17"/>
  <c r="M194" i="17"/>
  <c r="M239" i="17"/>
  <c r="M253" i="17"/>
  <c r="M189" i="17"/>
  <c r="M295" i="17"/>
  <c r="M172" i="17"/>
  <c r="M289" i="17"/>
  <c r="M158" i="17"/>
  <c r="M209" i="17"/>
  <c r="M299" i="17"/>
  <c r="M238" i="17"/>
  <c r="M270" i="17"/>
  <c r="M302" i="17"/>
  <c r="M14" i="17"/>
  <c r="M63" i="17"/>
  <c r="M112" i="17"/>
  <c r="M288" i="17"/>
  <c r="M280" i="17"/>
  <c r="M33" i="17"/>
  <c r="M81" i="17"/>
  <c r="M260" i="17"/>
  <c r="M92" i="17"/>
  <c r="M98" i="17"/>
  <c r="M248" i="17"/>
  <c r="M40" i="17"/>
  <c r="M126" i="17"/>
  <c r="M49" i="17"/>
  <c r="M34" i="17"/>
  <c r="M99" i="17"/>
  <c r="M102" i="17"/>
  <c r="M156" i="17"/>
  <c r="M147" i="17"/>
  <c r="M199" i="17"/>
  <c r="M271" i="17"/>
  <c r="M265" i="17"/>
  <c r="M309" i="17"/>
  <c r="M182" i="17"/>
  <c r="M214" i="17"/>
  <c r="M104" i="17"/>
  <c r="M162" i="17"/>
  <c r="M313" i="17"/>
  <c r="M274" i="17"/>
  <c r="M306" i="17"/>
  <c r="M64" i="17"/>
  <c r="M66" i="17"/>
  <c r="M70" i="17"/>
  <c r="M110" i="17"/>
  <c r="M202" i="17"/>
  <c r="M259" i="17"/>
  <c r="M285" i="17"/>
  <c r="M205" i="17"/>
  <c r="M107" i="17"/>
  <c r="M219" i="17"/>
  <c r="M321" i="17"/>
  <c r="M111" i="17"/>
  <c r="M225" i="17"/>
  <c r="M246" i="17"/>
  <c r="M278" i="17"/>
  <c r="M250" i="17"/>
  <c r="M10" i="17"/>
  <c r="M54" i="17"/>
  <c r="M276" i="17"/>
  <c r="M67" i="17"/>
  <c r="M125" i="17"/>
  <c r="M308" i="17"/>
  <c r="M221" i="17"/>
  <c r="M241" i="17"/>
  <c r="M286" i="17"/>
  <c r="M16" i="17"/>
  <c r="M252" i="17"/>
  <c r="M90" i="17"/>
  <c r="M137" i="17"/>
  <c r="M109" i="17"/>
  <c r="M8" i="17"/>
  <c r="M183" i="17"/>
  <c r="M229" i="17"/>
  <c r="M132" i="17"/>
  <c r="M136" i="17"/>
  <c r="M185" i="17"/>
  <c r="M258" i="17"/>
  <c r="M322" i="17"/>
  <c r="M166" i="17"/>
  <c r="M284" i="17"/>
  <c r="M48" i="17"/>
  <c r="M167" i="17"/>
  <c r="M154" i="17"/>
  <c r="M17" i="17"/>
  <c r="M124" i="17"/>
  <c r="M69" i="17"/>
  <c r="M237" i="17"/>
  <c r="M257" i="17"/>
  <c r="M193" i="17"/>
  <c r="M230" i="17"/>
  <c r="M294" i="17"/>
  <c r="M4" i="17"/>
  <c r="M71" i="17"/>
  <c r="M51" i="17"/>
  <c r="M86" i="17"/>
  <c r="M256" i="17"/>
  <c r="M78" i="17"/>
  <c r="M151" i="17"/>
  <c r="M153" i="17"/>
  <c r="M211" i="17"/>
  <c r="M197" i="17"/>
  <c r="M307" i="17"/>
  <c r="M217" i="17"/>
  <c r="M242" i="17"/>
  <c r="M119" i="17"/>
  <c r="M232" i="17"/>
  <c r="M122" i="17"/>
  <c r="M168" i="17"/>
  <c r="M310" i="17"/>
  <c r="M218" i="17"/>
  <c r="M77" i="17"/>
  <c r="M179" i="17"/>
  <c r="M134" i="17"/>
  <c r="M114" i="17"/>
  <c r="M73" i="17"/>
  <c r="M291" i="17"/>
  <c r="M106" i="17"/>
  <c r="M18" i="17"/>
  <c r="M115" i="17"/>
  <c r="M317" i="17"/>
  <c r="M269" i="17"/>
  <c r="M226" i="17"/>
  <c r="M2" i="17"/>
  <c r="M30" i="17"/>
  <c r="M133" i="17"/>
  <c r="M130" i="17"/>
  <c r="M186" i="17"/>
  <c r="M143" i="17"/>
  <c r="M262" i="17"/>
  <c r="M27" i="17"/>
  <c r="M56" i="17"/>
  <c r="M247" i="17"/>
  <c r="M120" i="17"/>
  <c r="M261" i="17"/>
  <c r="M314" i="17"/>
  <c r="M23" i="17"/>
  <c r="M68" i="17"/>
  <c r="M96" i="17"/>
  <c r="M169" i="17"/>
  <c r="M159" i="17"/>
  <c r="M210" i="17"/>
  <c r="M195" i="17"/>
  <c r="M127" i="17"/>
  <c r="M254" i="17"/>
  <c r="M31" i="17"/>
  <c r="M57" i="17"/>
  <c r="M103" i="17"/>
  <c r="M100" i="17"/>
  <c r="M76" i="17"/>
  <c r="M305" i="17"/>
  <c r="M198" i="17"/>
  <c r="M249" i="17"/>
  <c r="M290" i="17"/>
  <c r="M36" i="17"/>
  <c r="M5" i="17"/>
  <c r="M223" i="17"/>
  <c r="M139" i="17"/>
  <c r="M19" i="17"/>
  <c r="M61" i="17"/>
  <c r="M117" i="17"/>
  <c r="M118" i="17"/>
  <c r="M320" i="17"/>
  <c r="M11" i="17"/>
  <c r="M47" i="17"/>
  <c r="M292" i="17"/>
  <c r="M141" i="17"/>
  <c r="M39" i="17"/>
  <c r="M174" i="17"/>
  <c r="M187" i="17"/>
  <c r="M160" i="17"/>
  <c r="M142" i="17"/>
  <c r="M32" i="17"/>
  <c r="M46" i="17"/>
  <c r="M108" i="17"/>
  <c r="M123" i="17"/>
  <c r="M178" i="17"/>
  <c r="M318" i="17"/>
  <c r="M74" i="17"/>
  <c r="M37" i="17"/>
  <c r="M215" i="17"/>
  <c r="M24" i="17"/>
  <c r="M144" i="17"/>
  <c r="M263" i="17"/>
  <c r="M267" i="17"/>
  <c r="M26" i="17"/>
  <c r="M85" i="17"/>
  <c r="M175" i="17"/>
  <c r="M72" i="17"/>
  <c r="M121" i="17"/>
  <c r="M29" i="17"/>
  <c r="M83" i="17"/>
  <c r="M52" i="17"/>
  <c r="M89" i="17"/>
  <c r="M22" i="17"/>
  <c r="M312" i="17"/>
  <c r="M128" i="17"/>
  <c r="M138" i="17"/>
  <c r="M53" i="17"/>
  <c r="M80" i="17"/>
  <c r="M6" i="17"/>
  <c r="M58" i="17"/>
  <c r="M149" i="17"/>
  <c r="M113" i="17"/>
  <c r="M88" i="17"/>
  <c r="M176" i="17"/>
  <c r="M207" i="17"/>
  <c r="M273" i="17"/>
  <c r="M303" i="17"/>
  <c r="M213" i="17"/>
  <c r="M297" i="17"/>
  <c r="M116" i="17"/>
  <c r="M190" i="17"/>
  <c r="M171" i="17"/>
  <c r="M233" i="17"/>
  <c r="M282" i="17"/>
  <c r="M43" i="17"/>
  <c r="M93" i="17"/>
  <c r="M180" i="17"/>
  <c r="M222" i="17"/>
  <c r="M145" i="17"/>
  <c r="M41" i="17"/>
  <c r="M135" i="17"/>
  <c r="M293" i="17"/>
  <c r="M155" i="17"/>
  <c r="M45" i="17"/>
  <c r="M203" i="17"/>
  <c r="M157" i="17"/>
  <c r="M165" i="17"/>
  <c r="M60" i="17"/>
  <c r="M283" i="17"/>
  <c r="M44" i="17"/>
  <c r="M95" i="17"/>
  <c r="M25" i="17"/>
  <c r="M12" i="17"/>
  <c r="M227" i="17"/>
  <c r="M173" i="17"/>
  <c r="M311" i="17"/>
  <c r="N2" i="16"/>
  <c r="N5" i="16"/>
  <c r="L44" i="1"/>
  <c r="L80" i="1"/>
  <c r="V82" i="1" s="1"/>
  <c r="L100" i="1"/>
  <c r="L144" i="1"/>
  <c r="L188" i="1"/>
  <c r="L208" i="1"/>
  <c r="L232" i="1"/>
  <c r="L252" i="1"/>
  <c r="L272" i="1"/>
  <c r="L292" i="1"/>
  <c r="L97" i="1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M162" i="18" l="1"/>
  <c r="M286" i="18"/>
  <c r="M98" i="18"/>
  <c r="M311" i="18"/>
  <c r="M43" i="18"/>
  <c r="M225" i="18"/>
  <c r="M39" i="18"/>
  <c r="M271" i="18"/>
  <c r="M279" i="18"/>
  <c r="M133" i="18"/>
  <c r="M106" i="18"/>
  <c r="M171" i="18"/>
  <c r="M305" i="18"/>
  <c r="M173" i="18"/>
  <c r="M146" i="18"/>
  <c r="M131" i="18"/>
  <c r="M198" i="18"/>
  <c r="M308" i="18"/>
  <c r="M208" i="18"/>
  <c r="M65" i="18"/>
  <c r="M11" i="18"/>
  <c r="M295" i="18"/>
  <c r="M73" i="18"/>
  <c r="M68" i="18"/>
  <c r="M137" i="18"/>
  <c r="M67" i="18"/>
  <c r="M302" i="18"/>
  <c r="M266" i="18"/>
  <c r="M28" i="18"/>
  <c r="M101" i="18"/>
  <c r="M27" i="18"/>
  <c r="M236" i="18"/>
  <c r="M185" i="18"/>
  <c r="M159" i="18"/>
  <c r="M126" i="18"/>
  <c r="M289" i="18"/>
  <c r="M238" i="18"/>
  <c r="M261" i="18"/>
  <c r="M99" i="18"/>
  <c r="M142" i="18"/>
  <c r="M244" i="18"/>
  <c r="M170" i="18"/>
  <c r="M37" i="18"/>
  <c r="M195" i="18"/>
  <c r="M230" i="18"/>
  <c r="M221" i="18"/>
  <c r="M197" i="18"/>
  <c r="M29" i="18"/>
  <c r="M120" i="18"/>
  <c r="M7" i="18"/>
  <c r="M318" i="18"/>
  <c r="M285" i="18"/>
  <c r="M30" i="18"/>
  <c r="M48" i="18"/>
  <c r="M251" i="18"/>
  <c r="M196" i="18"/>
  <c r="M119" i="18"/>
  <c r="M257" i="18"/>
  <c r="M177" i="18"/>
  <c r="M154" i="18"/>
  <c r="M267" i="18"/>
  <c r="M168" i="18"/>
  <c r="M72" i="18"/>
  <c r="M33" i="18"/>
  <c r="M215" i="18"/>
  <c r="M246" i="18"/>
  <c r="M34" i="18"/>
  <c r="M219" i="18"/>
  <c r="M79" i="18"/>
  <c r="M127" i="18"/>
  <c r="M321" i="18"/>
  <c r="M314" i="18"/>
  <c r="M201" i="18"/>
  <c r="M8" i="18"/>
  <c r="M108" i="18"/>
  <c r="M281" i="18"/>
  <c r="M200" i="18"/>
  <c r="M134" i="18"/>
  <c r="M112" i="18"/>
  <c r="M158" i="18"/>
  <c r="M156" i="18"/>
  <c r="M243" i="18"/>
  <c r="M216" i="18"/>
  <c r="M125" i="18"/>
  <c r="M103" i="18"/>
  <c r="M71" i="18"/>
  <c r="M301" i="18"/>
  <c r="M136" i="18"/>
  <c r="M93" i="18"/>
  <c r="M51" i="18"/>
  <c r="M253" i="18"/>
  <c r="M276" i="18"/>
  <c r="M179" i="18"/>
  <c r="M247" i="18"/>
  <c r="M13" i="18"/>
  <c r="M91" i="18"/>
  <c r="M277" i="18"/>
  <c r="M47" i="18"/>
  <c r="M129" i="18"/>
  <c r="M92" i="18"/>
  <c r="M176" i="18"/>
  <c r="M298" i="18"/>
  <c r="M107" i="18"/>
  <c r="M114" i="18"/>
  <c r="M61" i="18"/>
  <c r="M165" i="18"/>
  <c r="M273" i="18"/>
  <c r="M14" i="18"/>
  <c r="M109" i="18"/>
  <c r="M85" i="18"/>
  <c r="M83" i="18"/>
  <c r="M290" i="18"/>
  <c r="M214" i="18"/>
  <c r="M184" i="18"/>
  <c r="M87" i="18"/>
  <c r="M116" i="18"/>
  <c r="M188" i="18"/>
  <c r="M209" i="18"/>
  <c r="M118" i="18"/>
  <c r="M288" i="18"/>
  <c r="M190" i="18"/>
  <c r="M182" i="18"/>
  <c r="M304" i="18"/>
  <c r="M151" i="18"/>
  <c r="M164" i="18"/>
  <c r="M77" i="18"/>
  <c r="M194" i="18"/>
  <c r="M202" i="18"/>
  <c r="M81" i="18"/>
  <c r="M21" i="18"/>
  <c r="M44" i="18"/>
  <c r="M268" i="18"/>
  <c r="M226" i="18"/>
  <c r="M122" i="18"/>
  <c r="M10" i="18"/>
  <c r="M186" i="18"/>
  <c r="M117" i="18"/>
  <c r="M300" i="18"/>
  <c r="M2" i="18"/>
  <c r="M49" i="18"/>
  <c r="M163" i="18"/>
  <c r="M46" i="18"/>
  <c r="M181" i="18"/>
  <c r="M41" i="18"/>
  <c r="M250" i="18"/>
  <c r="M149" i="18"/>
  <c r="M111" i="18"/>
  <c r="M217" i="18"/>
  <c r="M187" i="18"/>
  <c r="M42" i="18"/>
  <c r="M5" i="18"/>
  <c r="M138" i="18"/>
  <c r="M248" i="18"/>
  <c r="M293" i="18"/>
  <c r="M80" i="18"/>
  <c r="M152" i="18"/>
  <c r="M31" i="18"/>
  <c r="M213" i="18"/>
  <c r="M220" i="18"/>
  <c r="M75" i="18"/>
  <c r="M207" i="18"/>
  <c r="M167" i="18"/>
  <c r="M309" i="18"/>
  <c r="M210" i="18"/>
  <c r="M319" i="18"/>
  <c r="M64" i="18"/>
  <c r="M105" i="18"/>
  <c r="M189" i="18"/>
  <c r="M25" i="18"/>
  <c r="M212" i="18"/>
  <c r="M76" i="18"/>
  <c r="M53" i="18"/>
  <c r="M96" i="18"/>
  <c r="M306" i="18"/>
  <c r="M245" i="18"/>
  <c r="M223" i="18"/>
  <c r="M203" i="18"/>
  <c r="M140" i="18"/>
  <c r="M3" i="18"/>
  <c r="M252" i="18"/>
  <c r="M115" i="18"/>
  <c r="M82" i="18"/>
  <c r="M192" i="18"/>
  <c r="M307" i="18"/>
  <c r="M86" i="18"/>
  <c r="M113" i="18"/>
  <c r="M90" i="18"/>
  <c r="M23" i="18"/>
  <c r="M299" i="18"/>
  <c r="M316" i="18"/>
  <c r="M143" i="18"/>
  <c r="M17" i="18"/>
  <c r="M6" i="18"/>
  <c r="M313" i="18"/>
  <c r="M229" i="18"/>
  <c r="M88" i="18"/>
  <c r="M211" i="18"/>
  <c r="M18" i="18"/>
  <c r="M269" i="18"/>
  <c r="M40" i="18"/>
  <c r="M191" i="18"/>
  <c r="M322" i="18"/>
  <c r="M272" i="18"/>
  <c r="M38" i="18"/>
  <c r="M278" i="18"/>
  <c r="M124" i="18"/>
  <c r="M274" i="18"/>
  <c r="M166" i="18"/>
  <c r="M12" i="18"/>
  <c r="M147" i="18"/>
  <c r="M100" i="18"/>
  <c r="M22" i="18"/>
  <c r="M291" i="18"/>
  <c r="M50" i="18"/>
  <c r="M141" i="18"/>
  <c r="M56" i="18"/>
  <c r="M264" i="18"/>
  <c r="M320" i="18"/>
  <c r="M121" i="18"/>
  <c r="M180" i="18"/>
  <c r="M148" i="18"/>
  <c r="M63" i="18"/>
  <c r="O2" i="18" s="1"/>
  <c r="P175" i="18" s="1"/>
  <c r="M235" i="18"/>
  <c r="M206" i="18"/>
  <c r="M45" i="18"/>
  <c r="M128" i="18"/>
  <c r="M52" i="18"/>
  <c r="M234" i="18"/>
  <c r="M227" i="18"/>
  <c r="M155" i="18"/>
  <c r="M242" i="18"/>
  <c r="M258" i="18"/>
  <c r="M254" i="18"/>
  <c r="M231" i="18"/>
  <c r="M144" i="18"/>
  <c r="M224" i="18"/>
  <c r="M15" i="18"/>
  <c r="M172" i="18"/>
  <c r="M297" i="18"/>
  <c r="M178" i="18"/>
  <c r="O2" i="17"/>
  <c r="P315" i="17" s="1"/>
  <c r="M288" i="16"/>
  <c r="M177" i="16"/>
  <c r="M251" i="16"/>
  <c r="M241" i="16"/>
  <c r="M189" i="16"/>
  <c r="M50" i="16"/>
  <c r="M37" i="16"/>
  <c r="M305" i="16"/>
  <c r="M153" i="16"/>
  <c r="M119" i="16"/>
  <c r="M13" i="16"/>
  <c r="M193" i="16"/>
  <c r="M126" i="16"/>
  <c r="M91" i="16"/>
  <c r="M78" i="16"/>
  <c r="M4" i="16"/>
  <c r="M276" i="16"/>
  <c r="M273" i="16"/>
  <c r="M110" i="16"/>
  <c r="M259" i="16"/>
  <c r="M235" i="16"/>
  <c r="M145" i="16"/>
  <c r="M253" i="16"/>
  <c r="M61" i="16"/>
  <c r="M29" i="16"/>
  <c r="M94" i="16"/>
  <c r="M42" i="16"/>
  <c r="M49" i="16"/>
  <c r="M18" i="16"/>
  <c r="M132" i="16"/>
  <c r="M5" i="16"/>
  <c r="M53" i="16"/>
  <c r="M297" i="16"/>
  <c r="M31" i="16"/>
  <c r="M44" i="16"/>
  <c r="M212" i="16"/>
  <c r="M237" i="16"/>
  <c r="M26" i="16"/>
  <c r="M225" i="16"/>
  <c r="M262" i="16"/>
  <c r="M158" i="16"/>
  <c r="M19" i="16"/>
  <c r="M239" i="16"/>
  <c r="M230" i="16"/>
  <c r="M289" i="16"/>
  <c r="M287" i="16"/>
  <c r="M157" i="16"/>
  <c r="M263" i="16"/>
  <c r="M67" i="16"/>
  <c r="M258" i="16"/>
  <c r="M141" i="16"/>
  <c r="M22" i="16"/>
  <c r="M104" i="16"/>
  <c r="M194" i="16"/>
  <c r="M250" i="16"/>
  <c r="M309" i="16"/>
  <c r="M174" i="16"/>
  <c r="M293" i="16"/>
  <c r="M315" i="16"/>
  <c r="M252" i="16"/>
  <c r="M197" i="16"/>
  <c r="M121" i="16"/>
  <c r="M27" i="16"/>
  <c r="M90" i="16"/>
  <c r="M275" i="16"/>
  <c r="M45" i="16"/>
  <c r="M311" i="16"/>
  <c r="M277" i="16"/>
  <c r="M54" i="16"/>
  <c r="M208" i="16"/>
  <c r="M38" i="16"/>
  <c r="M30" i="16"/>
  <c r="M310" i="16"/>
  <c r="M35" i="16"/>
  <c r="M196" i="16"/>
  <c r="M278" i="16"/>
  <c r="M51" i="16"/>
  <c r="M117" i="16"/>
  <c r="M302" i="16"/>
  <c r="M103" i="16"/>
  <c r="M97" i="16"/>
  <c r="M107" i="16"/>
  <c r="M25" i="16"/>
  <c r="M70" i="16"/>
  <c r="M163" i="16"/>
  <c r="M102" i="16"/>
  <c r="M159" i="16"/>
  <c r="M144" i="16"/>
  <c r="M170" i="16"/>
  <c r="M274" i="16"/>
  <c r="M300" i="16"/>
  <c r="M77" i="16"/>
  <c r="M56" i="16"/>
  <c r="M166" i="16"/>
  <c r="M32" i="16"/>
  <c r="M111" i="16"/>
  <c r="M271" i="16"/>
  <c r="M211" i="16"/>
  <c r="M303" i="16"/>
  <c r="M247" i="16"/>
  <c r="M17" i="16"/>
  <c r="M10" i="16"/>
  <c r="M2" i="16"/>
  <c r="M243" i="16"/>
  <c r="M206" i="16"/>
  <c r="M269" i="16"/>
  <c r="M313" i="16"/>
  <c r="M125" i="16"/>
  <c r="M160" i="16"/>
  <c r="M195" i="16"/>
  <c r="M140" i="16"/>
  <c r="M169" i="16"/>
  <c r="M228" i="16"/>
  <c r="M6" i="16"/>
  <c r="M319" i="16"/>
  <c r="M317" i="16"/>
  <c r="M95" i="16"/>
  <c r="M58" i="16"/>
  <c r="M139" i="16"/>
  <c r="M34" i="16"/>
  <c r="M85" i="16"/>
  <c r="M233" i="16"/>
  <c r="M57" i="16"/>
  <c r="M246" i="16"/>
  <c r="M79" i="16"/>
  <c r="M266" i="16"/>
  <c r="M39" i="16"/>
  <c r="M306" i="16"/>
  <c r="M281" i="16"/>
  <c r="M185" i="16"/>
  <c r="M48" i="16"/>
  <c r="M203" i="16"/>
  <c r="M272" i="16"/>
  <c r="M256" i="16"/>
  <c r="M24" i="16"/>
  <c r="M124" i="16"/>
  <c r="M307" i="16"/>
  <c r="M179" i="16"/>
  <c r="M321" i="16"/>
  <c r="M69" i="16"/>
  <c r="M186" i="16"/>
  <c r="M268" i="16"/>
  <c r="M147" i="16"/>
  <c r="M106" i="16"/>
  <c r="M267" i="16"/>
  <c r="M254" i="16"/>
  <c r="M279" i="16"/>
  <c r="M314" i="16"/>
  <c r="M301" i="16"/>
  <c r="M108" i="16"/>
  <c r="M270" i="16"/>
  <c r="M175" i="16"/>
  <c r="M221" i="16"/>
  <c r="M261" i="16"/>
  <c r="M322" i="16"/>
  <c r="M220" i="16"/>
  <c r="M137" i="16"/>
  <c r="M320" i="16"/>
  <c r="M43" i="16"/>
  <c r="M101" i="16"/>
  <c r="M72" i="16"/>
  <c r="M161" i="16"/>
  <c r="M204" i="16"/>
  <c r="M100" i="16"/>
  <c r="M114" i="16"/>
  <c r="M172" i="16"/>
  <c r="M171" i="16"/>
  <c r="M128" i="16"/>
  <c r="M112" i="16"/>
  <c r="M167" i="16"/>
  <c r="M64" i="16"/>
  <c r="M286" i="16"/>
  <c r="M242" i="16"/>
  <c r="M109" i="16"/>
  <c r="M201" i="16"/>
  <c r="M178" i="16"/>
  <c r="M190" i="16"/>
  <c r="M131" i="16"/>
  <c r="M89" i="16"/>
  <c r="M181" i="16"/>
  <c r="M9" i="16"/>
  <c r="M227" i="16"/>
  <c r="M66" i="16"/>
  <c r="M20" i="16"/>
  <c r="M93" i="16"/>
  <c r="M150" i="16"/>
  <c r="M16" i="16"/>
  <c r="M226" i="16"/>
  <c r="M80" i="16"/>
  <c r="M294" i="16"/>
  <c r="M162" i="16"/>
  <c r="M88" i="16"/>
  <c r="M260" i="16"/>
  <c r="M316" i="16"/>
  <c r="M118" i="16"/>
  <c r="M209" i="16"/>
  <c r="M285" i="16"/>
  <c r="M122" i="16"/>
  <c r="M123" i="16"/>
  <c r="M105" i="16"/>
  <c r="M215" i="16"/>
  <c r="M244" i="16"/>
  <c r="M151" i="16"/>
  <c r="M21" i="16"/>
  <c r="M136" i="16"/>
  <c r="M133" i="16"/>
  <c r="M148" i="16"/>
  <c r="M71" i="16"/>
  <c r="M152" i="16"/>
  <c r="M183" i="16"/>
  <c r="M92" i="16"/>
  <c r="M165" i="16"/>
  <c r="M99" i="16"/>
  <c r="M12" i="16"/>
  <c r="M191" i="16"/>
  <c r="M149" i="16"/>
  <c r="M75" i="16"/>
  <c r="M205" i="16"/>
  <c r="M257" i="16"/>
  <c r="M308" i="16"/>
  <c r="M130" i="16"/>
  <c r="M41" i="16"/>
  <c r="M199" i="16"/>
  <c r="M28" i="16"/>
  <c r="M249" i="16"/>
  <c r="M81" i="16"/>
  <c r="M120" i="16"/>
  <c r="M295" i="16"/>
  <c r="M73" i="16"/>
  <c r="M8" i="16"/>
  <c r="M292" i="16"/>
  <c r="M68" i="16"/>
  <c r="M214" i="16"/>
  <c r="M86" i="16"/>
  <c r="M14" i="16"/>
  <c r="M134" i="16"/>
  <c r="M318" i="16"/>
  <c r="M62" i="16"/>
  <c r="M11" i="16"/>
  <c r="M207" i="16"/>
  <c r="M291" i="16"/>
  <c r="M180" i="16"/>
  <c r="M127" i="16"/>
  <c r="M224" i="16"/>
  <c r="M265" i="16"/>
  <c r="M238" i="16"/>
  <c r="M298" i="16"/>
  <c r="M135" i="16"/>
  <c r="M33" i="16"/>
  <c r="M52" i="16"/>
  <c r="M84" i="16"/>
  <c r="M59" i="16"/>
  <c r="M217" i="16"/>
  <c r="M218" i="16"/>
  <c r="M40" i="16"/>
  <c r="M231" i="16"/>
  <c r="M143" i="16"/>
  <c r="M264" i="16"/>
  <c r="M164" i="16"/>
  <c r="M82" i="16"/>
  <c r="M223" i="16"/>
  <c r="M188" i="16"/>
  <c r="M46" i="16"/>
  <c r="M74" i="16"/>
  <c r="M173" i="16"/>
  <c r="M182" i="16"/>
  <c r="M245" i="16"/>
  <c r="M304" i="16"/>
  <c r="M115" i="16"/>
  <c r="M176" i="16"/>
  <c r="M98" i="16"/>
  <c r="M234" i="16"/>
  <c r="M76" i="16"/>
  <c r="M219" i="16"/>
  <c r="M23" i="16"/>
  <c r="M222" i="16"/>
  <c r="M142" i="16"/>
  <c r="M255" i="16"/>
  <c r="M187" i="16"/>
  <c r="M283" i="16"/>
  <c r="M192" i="16"/>
  <c r="M3" i="16"/>
  <c r="M216" i="16"/>
  <c r="M47" i="16"/>
  <c r="M236" i="16"/>
  <c r="M202" i="16"/>
  <c r="M248" i="16"/>
  <c r="M282" i="16"/>
  <c r="M210" i="16"/>
  <c r="M232" i="16"/>
  <c r="M83" i="16"/>
  <c r="M87" i="16"/>
  <c r="M200" i="16"/>
  <c r="M36" i="16"/>
  <c r="M240" i="16"/>
  <c r="M312" i="16"/>
  <c r="M213" i="16"/>
  <c r="M63" i="16"/>
  <c r="M138" i="16"/>
  <c r="M55" i="16"/>
  <c r="M299" i="16"/>
  <c r="M60" i="16"/>
  <c r="M116" i="16"/>
  <c r="M156" i="16"/>
  <c r="M113" i="16"/>
  <c r="M96" i="16"/>
  <c r="M296" i="16"/>
  <c r="M290" i="16"/>
  <c r="M184" i="16"/>
  <c r="M168" i="16"/>
  <c r="M65" i="16"/>
  <c r="M7" i="16"/>
  <c r="M155" i="16"/>
  <c r="M198" i="16"/>
  <c r="M229" i="16"/>
  <c r="M129" i="16"/>
  <c r="M280" i="16"/>
  <c r="M284" i="16"/>
  <c r="M146" i="16"/>
  <c r="M15" i="16"/>
  <c r="M154" i="16"/>
  <c r="N2" i="1"/>
  <c r="M322" i="1" s="1"/>
  <c r="N5" i="1"/>
  <c r="P146" i="17" l="1"/>
  <c r="P147" i="17"/>
  <c r="P97" i="18"/>
  <c r="P100" i="18"/>
  <c r="P221" i="18"/>
  <c r="P193" i="18"/>
  <c r="P26" i="18"/>
  <c r="P32" i="18"/>
  <c r="P4" i="18"/>
  <c r="P95" i="18"/>
  <c r="P316" i="18"/>
  <c r="P210" i="18"/>
  <c r="P254" i="18"/>
  <c r="P45" i="18"/>
  <c r="P264" i="18"/>
  <c r="P12" i="18"/>
  <c r="P191" i="18"/>
  <c r="P189" i="18"/>
  <c r="P213" i="18"/>
  <c r="P42" i="18"/>
  <c r="P46" i="18"/>
  <c r="P122" i="18"/>
  <c r="P77" i="18"/>
  <c r="P105" i="18"/>
  <c r="P214" i="18"/>
  <c r="P61" i="18"/>
  <c r="P277" i="18"/>
  <c r="P93" i="18"/>
  <c r="P156" i="18"/>
  <c r="P281" i="18"/>
  <c r="P219" i="18"/>
  <c r="P154" i="18"/>
  <c r="P285" i="18"/>
  <c r="P195" i="18"/>
  <c r="P53" i="18"/>
  <c r="P28" i="18"/>
  <c r="P11" i="18"/>
  <c r="P173" i="18"/>
  <c r="P225" i="18"/>
  <c r="P286" i="18"/>
  <c r="P205" i="18"/>
  <c r="P260" i="18"/>
  <c r="P232" i="18"/>
  <c r="P84" i="18"/>
  <c r="P262" i="18"/>
  <c r="P52" i="18"/>
  <c r="P70" i="18"/>
  <c r="P199" i="18"/>
  <c r="P132" i="18"/>
  <c r="P259" i="18"/>
  <c r="P135" i="18"/>
  <c r="P23" i="18"/>
  <c r="P178" i="18"/>
  <c r="P258" i="18"/>
  <c r="P206" i="18"/>
  <c r="P56" i="18"/>
  <c r="P166" i="18"/>
  <c r="P143" i="18"/>
  <c r="P309" i="18"/>
  <c r="P31" i="18"/>
  <c r="P187" i="18"/>
  <c r="P163" i="18"/>
  <c r="P226" i="18"/>
  <c r="P164" i="18"/>
  <c r="P18" i="18"/>
  <c r="P290" i="18"/>
  <c r="P114" i="18"/>
  <c r="P91" i="18"/>
  <c r="P136" i="18"/>
  <c r="P158" i="18"/>
  <c r="P108" i="18"/>
  <c r="P34" i="18"/>
  <c r="P177" i="18"/>
  <c r="P318" i="18"/>
  <c r="P37" i="18"/>
  <c r="P64" i="18"/>
  <c r="P266" i="18"/>
  <c r="P65" i="18"/>
  <c r="P305" i="18"/>
  <c r="P43" i="18"/>
  <c r="P126" i="18"/>
  <c r="P102" i="18"/>
  <c r="P19" i="18"/>
  <c r="P275" i="18"/>
  <c r="P89" i="18"/>
  <c r="P239" i="18"/>
  <c r="P144" i="18"/>
  <c r="P160" i="18"/>
  <c r="P94" i="18"/>
  <c r="P9" i="18"/>
  <c r="P153" i="18"/>
  <c r="P82" i="18"/>
  <c r="P297" i="18"/>
  <c r="P242" i="18"/>
  <c r="P235" i="18"/>
  <c r="P141" i="18"/>
  <c r="P274" i="18"/>
  <c r="P299" i="18"/>
  <c r="P88" i="18"/>
  <c r="P152" i="18"/>
  <c r="P217" i="18"/>
  <c r="P49" i="18"/>
  <c r="P268" i="18"/>
  <c r="P151" i="18"/>
  <c r="P118" i="18"/>
  <c r="P83" i="18"/>
  <c r="P107" i="18"/>
  <c r="P13" i="18"/>
  <c r="P301" i="18"/>
  <c r="P90" i="18"/>
  <c r="P8" i="18"/>
  <c r="P246" i="18"/>
  <c r="P257" i="18"/>
  <c r="P7" i="18"/>
  <c r="P170" i="18"/>
  <c r="P167" i="18"/>
  <c r="P302" i="18"/>
  <c r="P208" i="18"/>
  <c r="P171" i="18"/>
  <c r="P288" i="18"/>
  <c r="P203" i="18"/>
  <c r="P218" i="18"/>
  <c r="P161" i="18"/>
  <c r="P270" i="18"/>
  <c r="P139" i="18"/>
  <c r="P150" i="18"/>
  <c r="P78" i="18"/>
  <c r="P223" i="18"/>
  <c r="P60" i="18"/>
  <c r="P255" i="18"/>
  <c r="P24" i="18"/>
  <c r="P74" i="18"/>
  <c r="P183" i="18"/>
  <c r="P40" i="18"/>
  <c r="P172" i="18"/>
  <c r="P155" i="18"/>
  <c r="P63" i="18"/>
  <c r="P50" i="18"/>
  <c r="P124" i="18"/>
  <c r="P192" i="18"/>
  <c r="P229" i="18"/>
  <c r="P80" i="18"/>
  <c r="P111" i="18"/>
  <c r="P2" i="18"/>
  <c r="P44" i="18"/>
  <c r="P304" i="18"/>
  <c r="P209" i="18"/>
  <c r="P85" i="18"/>
  <c r="P298" i="18"/>
  <c r="P247" i="18"/>
  <c r="P71" i="18"/>
  <c r="P212" i="18"/>
  <c r="P201" i="18"/>
  <c r="P215" i="18"/>
  <c r="P119" i="18"/>
  <c r="P120" i="18"/>
  <c r="P244" i="18"/>
  <c r="P159" i="18"/>
  <c r="P67" i="18"/>
  <c r="P261" i="18"/>
  <c r="P106" i="18"/>
  <c r="P238" i="18"/>
  <c r="P174" i="18"/>
  <c r="P296" i="18"/>
  <c r="P20" i="18"/>
  <c r="P35" i="18"/>
  <c r="P282" i="18"/>
  <c r="P54" i="18"/>
  <c r="P41" i="18"/>
  <c r="P157" i="18"/>
  <c r="P55" i="18"/>
  <c r="P240" i="18"/>
  <c r="P66" i="18"/>
  <c r="P280" i="18"/>
  <c r="P3" i="18"/>
  <c r="P15" i="18"/>
  <c r="P227" i="18"/>
  <c r="P148" i="18"/>
  <c r="P291" i="18"/>
  <c r="P278" i="18"/>
  <c r="P115" i="18"/>
  <c r="P313" i="18"/>
  <c r="P293" i="18"/>
  <c r="P149" i="18"/>
  <c r="P300" i="18"/>
  <c r="P21" i="18"/>
  <c r="P182" i="18"/>
  <c r="P188" i="18"/>
  <c r="P109" i="18"/>
  <c r="P176" i="18"/>
  <c r="P179" i="18"/>
  <c r="P103" i="18"/>
  <c r="P269" i="18"/>
  <c r="P314" i="18"/>
  <c r="P33" i="18"/>
  <c r="P196" i="18"/>
  <c r="P29" i="18"/>
  <c r="P142" i="18"/>
  <c r="P185" i="18"/>
  <c r="P137" i="18"/>
  <c r="P308" i="18"/>
  <c r="P133" i="18"/>
  <c r="P311" i="18"/>
  <c r="P265" i="18"/>
  <c r="P310" i="18"/>
  <c r="P237" i="18"/>
  <c r="P204" i="18"/>
  <c r="P283" i="18"/>
  <c r="P86" i="18"/>
  <c r="P58" i="18"/>
  <c r="P138" i="18"/>
  <c r="P123" i="18"/>
  <c r="P256" i="18"/>
  <c r="P145" i="18"/>
  <c r="P315" i="18"/>
  <c r="P16" i="18"/>
  <c r="P110" i="18"/>
  <c r="P140" i="18"/>
  <c r="P224" i="18"/>
  <c r="P234" i="18"/>
  <c r="P180" i="18"/>
  <c r="P22" i="18"/>
  <c r="P38" i="18"/>
  <c r="P252" i="18"/>
  <c r="P6" i="18"/>
  <c r="P248" i="18"/>
  <c r="P250" i="18"/>
  <c r="P117" i="18"/>
  <c r="P81" i="18"/>
  <c r="P190" i="18"/>
  <c r="P116" i="18"/>
  <c r="P14" i="18"/>
  <c r="P92" i="18"/>
  <c r="P276" i="18"/>
  <c r="P125" i="18"/>
  <c r="P207" i="18"/>
  <c r="P321" i="18"/>
  <c r="P72" i="18"/>
  <c r="P251" i="18"/>
  <c r="P197" i="18"/>
  <c r="P99" i="18"/>
  <c r="P236" i="18"/>
  <c r="P68" i="18"/>
  <c r="P198" i="18"/>
  <c r="P279" i="18"/>
  <c r="P98" i="18"/>
  <c r="P169" i="18"/>
  <c r="P284" i="18"/>
  <c r="P303" i="18"/>
  <c r="P233" i="18"/>
  <c r="P287" i="18"/>
  <c r="P76" i="18"/>
  <c r="P69" i="18"/>
  <c r="P292" i="18"/>
  <c r="P228" i="18"/>
  <c r="P57" i="18"/>
  <c r="P319" i="18"/>
  <c r="P294" i="18"/>
  <c r="P241" i="18"/>
  <c r="P306" i="18"/>
  <c r="P121" i="18"/>
  <c r="P272" i="18"/>
  <c r="P75" i="18"/>
  <c r="P186" i="18"/>
  <c r="P202" i="18"/>
  <c r="P113" i="18"/>
  <c r="P87" i="18"/>
  <c r="P273" i="18"/>
  <c r="P129" i="18"/>
  <c r="P253" i="18"/>
  <c r="P216" i="18"/>
  <c r="P134" i="18"/>
  <c r="P127" i="18"/>
  <c r="P168" i="18"/>
  <c r="P48" i="18"/>
  <c r="P162" i="18"/>
  <c r="P27" i="18"/>
  <c r="P73" i="18"/>
  <c r="P131" i="18"/>
  <c r="P271" i="18"/>
  <c r="P112" i="18"/>
  <c r="P249" i="18"/>
  <c r="P263" i="18"/>
  <c r="P317" i="18"/>
  <c r="P59" i="18"/>
  <c r="P222" i="18"/>
  <c r="P17" i="18"/>
  <c r="P25" i="18"/>
  <c r="P231" i="18"/>
  <c r="P128" i="18"/>
  <c r="P320" i="18"/>
  <c r="P147" i="18"/>
  <c r="P322" i="18"/>
  <c r="P96" i="18"/>
  <c r="P220" i="18"/>
  <c r="P5" i="18"/>
  <c r="P181" i="18"/>
  <c r="P10" i="18"/>
  <c r="P194" i="18"/>
  <c r="P245" i="18"/>
  <c r="P184" i="18"/>
  <c r="P165" i="18"/>
  <c r="P47" i="18"/>
  <c r="P51" i="18"/>
  <c r="P243" i="18"/>
  <c r="P200" i="18"/>
  <c r="P79" i="18"/>
  <c r="P267" i="18"/>
  <c r="P30" i="18"/>
  <c r="P230" i="18"/>
  <c r="P307" i="18"/>
  <c r="P101" i="18"/>
  <c r="P295" i="18"/>
  <c r="P146" i="18"/>
  <c r="P39" i="18"/>
  <c r="P289" i="18"/>
  <c r="P62" i="18"/>
  <c r="P104" i="18"/>
  <c r="P36" i="18"/>
  <c r="P312" i="18"/>
  <c r="P130" i="18"/>
  <c r="P211" i="18"/>
  <c r="P199" i="17"/>
  <c r="P70" i="17"/>
  <c r="P249" i="17"/>
  <c r="P2" i="17"/>
  <c r="P150" i="17"/>
  <c r="P294" i="17"/>
  <c r="P301" i="17"/>
  <c r="P229" i="17"/>
  <c r="P25" i="17"/>
  <c r="P204" i="17"/>
  <c r="P16" i="17"/>
  <c r="P85" i="17"/>
  <c r="P125" i="17"/>
  <c r="P29" i="17"/>
  <c r="P205" i="17"/>
  <c r="P140" i="17"/>
  <c r="P137" i="17"/>
  <c r="P210" i="17"/>
  <c r="P171" i="17"/>
  <c r="P79" i="17"/>
  <c r="P313" i="17"/>
  <c r="P18" i="17"/>
  <c r="P207" i="17"/>
  <c r="P186" i="17"/>
  <c r="P267" i="17"/>
  <c r="P154" i="17"/>
  <c r="P110" i="17"/>
  <c r="P19" i="17"/>
  <c r="P43" i="17"/>
  <c r="P11" i="17"/>
  <c r="P291" i="17"/>
  <c r="P20" i="17"/>
  <c r="P44" i="17"/>
  <c r="P177" i="17"/>
  <c r="P241" i="17"/>
  <c r="P169" i="17"/>
  <c r="P42" i="17"/>
  <c r="P119" i="17"/>
  <c r="P7" i="17"/>
  <c r="P84" i="17"/>
  <c r="P132" i="17"/>
  <c r="P149" i="17"/>
  <c r="P316" i="17"/>
  <c r="P176" i="17"/>
  <c r="P218" i="17"/>
  <c r="P82" i="17"/>
  <c r="P4" i="17"/>
  <c r="P200" i="17"/>
  <c r="P158" i="17"/>
  <c r="P258" i="17"/>
  <c r="P76" i="17"/>
  <c r="P41" i="17"/>
  <c r="P148" i="17"/>
  <c r="P259" i="17"/>
  <c r="P261" i="17"/>
  <c r="P233" i="17"/>
  <c r="P127" i="17"/>
  <c r="P6" i="17"/>
  <c r="P122" i="17"/>
  <c r="P67" i="17"/>
  <c r="P135" i="17"/>
  <c r="P95" i="17"/>
  <c r="P116" i="17"/>
  <c r="P47" i="17"/>
  <c r="P239" i="17"/>
  <c r="P276" i="17"/>
  <c r="P275" i="17"/>
  <c r="P183" i="17"/>
  <c r="P312" i="17"/>
  <c r="P15" i="17"/>
  <c r="P134" i="17"/>
  <c r="P56" i="17"/>
  <c r="P65" i="17"/>
  <c r="P230" i="17"/>
  <c r="P297" i="17"/>
  <c r="P120" i="17"/>
  <c r="P115" i="17"/>
  <c r="P87" i="17"/>
  <c r="P244" i="17"/>
  <c r="P112" i="17"/>
  <c r="P124" i="17"/>
  <c r="P139" i="17"/>
  <c r="P60" i="17"/>
  <c r="P234" i="17"/>
  <c r="P308" i="17"/>
  <c r="P195" i="17"/>
  <c r="P283" i="17"/>
  <c r="P198" i="17"/>
  <c r="P155" i="17"/>
  <c r="P103" i="17"/>
  <c r="P168" i="17"/>
  <c r="P61" i="17"/>
  <c r="P26" i="17"/>
  <c r="P279" i="17"/>
  <c r="P72" i="17"/>
  <c r="P299" i="17"/>
  <c r="P37" i="17"/>
  <c r="P298" i="17"/>
  <c r="P242" i="17"/>
  <c r="P188" i="17"/>
  <c r="P189" i="17"/>
  <c r="P269" i="17"/>
  <c r="P175" i="17"/>
  <c r="P295" i="17"/>
  <c r="P226" i="17"/>
  <c r="P180" i="17"/>
  <c r="P21" i="17"/>
  <c r="P117" i="17"/>
  <c r="P109" i="17"/>
  <c r="P123" i="17"/>
  <c r="P101" i="17"/>
  <c r="P248" i="17"/>
  <c r="P71" i="17"/>
  <c r="P292" i="17"/>
  <c r="P311" i="17"/>
  <c r="P194" i="17"/>
  <c r="P322" i="17"/>
  <c r="P305" i="17"/>
  <c r="P126" i="17"/>
  <c r="P39" i="17"/>
  <c r="P89" i="17"/>
  <c r="P142" i="17"/>
  <c r="P32" i="17"/>
  <c r="P263" i="17"/>
  <c r="P93" i="17"/>
  <c r="P245" i="17"/>
  <c r="P319" i="17"/>
  <c r="P271" i="17"/>
  <c r="P227" i="17"/>
  <c r="P97" i="17"/>
  <c r="P179" i="17"/>
  <c r="P88" i="17"/>
  <c r="P270" i="17"/>
  <c r="P262" i="17"/>
  <c r="P98" i="17"/>
  <c r="P302" i="17"/>
  <c r="P27" i="17"/>
  <c r="P153" i="17"/>
  <c r="P287" i="17"/>
  <c r="P69" i="17"/>
  <c r="P83" i="17"/>
  <c r="P157" i="17"/>
  <c r="P273" i="17"/>
  <c r="P228" i="17"/>
  <c r="P253" i="17"/>
  <c r="P23" i="17"/>
  <c r="P243" i="17"/>
  <c r="P64" i="17"/>
  <c r="P187" i="17"/>
  <c r="P260" i="17"/>
  <c r="P5" i="17"/>
  <c r="P75" i="17"/>
  <c r="P185" i="17"/>
  <c r="P50" i="17"/>
  <c r="P162" i="17"/>
  <c r="P310" i="17"/>
  <c r="P121" i="17"/>
  <c r="P236" i="17"/>
  <c r="P288" i="17"/>
  <c r="P51" i="17"/>
  <c r="P108" i="17"/>
  <c r="P166" i="17"/>
  <c r="P80" i="17"/>
  <c r="P9" i="17"/>
  <c r="P208" i="17"/>
  <c r="P165" i="17"/>
  <c r="P293" i="17"/>
  <c r="P216" i="17"/>
  <c r="P289" i="17"/>
  <c r="P3" i="17"/>
  <c r="P217" i="17"/>
  <c r="P145" i="17"/>
  <c r="P238" i="17"/>
  <c r="P254" i="17"/>
  <c r="P304" i="17"/>
  <c r="P10" i="17"/>
  <c r="P318" i="17"/>
  <c r="P272" i="17"/>
  <c r="P99" i="17"/>
  <c r="P57" i="17"/>
  <c r="P222" i="17"/>
  <c r="P197" i="17"/>
  <c r="P46" i="17"/>
  <c r="P209" i="17"/>
  <c r="P141" i="17"/>
  <c r="P221" i="17"/>
  <c r="P45" i="17"/>
  <c r="P215" i="17"/>
  <c r="P203" i="17"/>
  <c r="P8" i="17"/>
  <c r="P96" i="17"/>
  <c r="P277" i="17"/>
  <c r="P202" i="17"/>
  <c r="P133" i="17"/>
  <c r="P138" i="17"/>
  <c r="P13" i="17"/>
  <c r="P40" i="17"/>
  <c r="P307" i="17"/>
  <c r="P144" i="17"/>
  <c r="P237" i="17"/>
  <c r="P143" i="17"/>
  <c r="P14" i="17"/>
  <c r="P281" i="17"/>
  <c r="P192" i="17"/>
  <c r="P317" i="17"/>
  <c r="P136" i="17"/>
  <c r="P111" i="17"/>
  <c r="P224" i="17"/>
  <c r="P314" i="17"/>
  <c r="P235" i="17"/>
  <c r="P306" i="17"/>
  <c r="P174" i="17"/>
  <c r="P212" i="17"/>
  <c r="P286" i="17"/>
  <c r="P213" i="17"/>
  <c r="P268" i="17"/>
  <c r="P54" i="17"/>
  <c r="P36" i="17"/>
  <c r="P59" i="17"/>
  <c r="P184" i="17"/>
  <c r="P280" i="17"/>
  <c r="P73" i="17"/>
  <c r="P220" i="17"/>
  <c r="P250" i="17"/>
  <c r="P102" i="17"/>
  <c r="P300" i="17"/>
  <c r="P107" i="17"/>
  <c r="P68" i="17"/>
  <c r="P264" i="17"/>
  <c r="P94" i="17"/>
  <c r="P167" i="17"/>
  <c r="P22" i="17"/>
  <c r="P156" i="17"/>
  <c r="P274" i="17"/>
  <c r="P58" i="17"/>
  <c r="P104" i="17"/>
  <c r="P35" i="17"/>
  <c r="P33" i="17"/>
  <c r="P284" i="17"/>
  <c r="P303" i="17"/>
  <c r="P63" i="17"/>
  <c r="P38" i="17"/>
  <c r="P81" i="17"/>
  <c r="P48" i="17"/>
  <c r="P31" i="17"/>
  <c r="P181" i="17"/>
  <c r="P159" i="17"/>
  <c r="P231" i="17"/>
  <c r="P182" i="17"/>
  <c r="P151" i="17"/>
  <c r="P320" i="17"/>
  <c r="P196" i="17"/>
  <c r="P17" i="17"/>
  <c r="P178" i="17"/>
  <c r="P170" i="17"/>
  <c r="P164" i="17"/>
  <c r="P232" i="17"/>
  <c r="P100" i="17"/>
  <c r="P173" i="17"/>
  <c r="P206" i="17"/>
  <c r="P285" i="17"/>
  <c r="P296" i="17"/>
  <c r="P211" i="17"/>
  <c r="P105" i="17"/>
  <c r="P49" i="17"/>
  <c r="P257" i="17"/>
  <c r="P161" i="17"/>
  <c r="P90" i="17"/>
  <c r="P34" i="17"/>
  <c r="P193" i="17"/>
  <c r="P290" i="17"/>
  <c r="P92" i="17"/>
  <c r="P190" i="17"/>
  <c r="P152" i="17"/>
  <c r="P66" i="17"/>
  <c r="P160" i="17"/>
  <c r="P55" i="17"/>
  <c r="P255" i="17"/>
  <c r="P91" i="17"/>
  <c r="P225" i="17"/>
  <c r="P106" i="17"/>
  <c r="P24" i="17"/>
  <c r="P28" i="17"/>
  <c r="P240" i="17"/>
  <c r="P246" i="17"/>
  <c r="P130" i="17"/>
  <c r="P53" i="17"/>
  <c r="P86" i="17"/>
  <c r="P282" i="17"/>
  <c r="P12" i="17"/>
  <c r="P113" i="17"/>
  <c r="P30" i="17"/>
  <c r="P77" i="17"/>
  <c r="P52" i="17"/>
  <c r="P214" i="17"/>
  <c r="P62" i="17"/>
  <c r="P251" i="17"/>
  <c r="P266" i="17"/>
  <c r="P278" i="17"/>
  <c r="P172" i="17"/>
  <c r="P223" i="17"/>
  <c r="P131" i="17"/>
  <c r="P265" i="17"/>
  <c r="P256" i="17"/>
  <c r="P201" i="17"/>
  <c r="P247" i="17"/>
  <c r="P191" i="17"/>
  <c r="P309" i="17"/>
  <c r="P78" i="17"/>
  <c r="P118" i="17"/>
  <c r="P252" i="17"/>
  <c r="P163" i="17"/>
  <c r="P129" i="17"/>
  <c r="P219" i="17"/>
  <c r="P114" i="17"/>
  <c r="P74" i="17"/>
  <c r="P321" i="17"/>
  <c r="P128" i="17"/>
  <c r="O2" i="16"/>
  <c r="P7" i="16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67" i="16" l="1"/>
  <c r="P31" i="16"/>
  <c r="P39" i="16"/>
  <c r="P247" i="16"/>
  <c r="P318" i="16"/>
  <c r="P193" i="16"/>
  <c r="P242" i="16"/>
  <c r="P152" i="16"/>
  <c r="P211" i="16"/>
  <c r="P103" i="16"/>
  <c r="P227" i="16"/>
  <c r="P299" i="16"/>
  <c r="P161" i="16"/>
  <c r="P195" i="16"/>
  <c r="P282" i="16"/>
  <c r="P122" i="16"/>
  <c r="P105" i="16"/>
  <c r="P251" i="16"/>
  <c r="P287" i="16"/>
  <c r="P77" i="16"/>
  <c r="P311" i="16"/>
  <c r="P222" i="16"/>
  <c r="P78" i="16"/>
  <c r="P286" i="16"/>
  <c r="P118" i="16"/>
  <c r="P289" i="16"/>
  <c r="P147" i="16"/>
  <c r="P97" i="16"/>
  <c r="P76" i="16"/>
  <c r="P159" i="16"/>
  <c r="P81" i="16"/>
  <c r="P4" i="16"/>
  <c r="P232" i="16"/>
  <c r="P48" i="16"/>
  <c r="P276" i="16"/>
  <c r="P240" i="16"/>
  <c r="P133" i="16"/>
  <c r="P164" i="16"/>
  <c r="P160" i="16"/>
  <c r="P144" i="16"/>
  <c r="P196" i="16"/>
  <c r="P259" i="16"/>
  <c r="P41" i="16"/>
  <c r="P104" i="16"/>
  <c r="P9" i="16"/>
  <c r="P184" i="16"/>
  <c r="P34" i="16"/>
  <c r="P271" i="16"/>
  <c r="P210" i="16"/>
  <c r="P129" i="16"/>
  <c r="P74" i="16"/>
  <c r="P6" i="16"/>
  <c r="P96" i="16"/>
  <c r="P162" i="16"/>
  <c r="P92" i="16"/>
  <c r="P148" i="16"/>
  <c r="P158" i="16"/>
  <c r="P206" i="16"/>
  <c r="P112" i="16"/>
  <c r="P214" i="16"/>
  <c r="P213" i="16"/>
  <c r="P100" i="16"/>
  <c r="P294" i="16"/>
  <c r="P24" i="16"/>
  <c r="P262" i="16"/>
  <c r="P312" i="16"/>
  <c r="P293" i="16"/>
  <c r="P233" i="16"/>
  <c r="P150" i="16"/>
  <c r="P52" i="16"/>
  <c r="P198" i="16"/>
  <c r="P224" i="16"/>
  <c r="P176" i="16"/>
  <c r="P199" i="16"/>
  <c r="P178" i="16"/>
  <c r="P42" i="16"/>
  <c r="P300" i="16"/>
  <c r="P322" i="16"/>
  <c r="P257" i="16"/>
  <c r="P216" i="16"/>
  <c r="P212" i="16"/>
  <c r="P181" i="16"/>
  <c r="P202" i="16"/>
  <c r="P66" i="16"/>
  <c r="P306" i="16"/>
  <c r="P189" i="16"/>
  <c r="P54" i="16"/>
  <c r="P272" i="16"/>
  <c r="P285" i="16"/>
  <c r="P223" i="16"/>
  <c r="P50" i="16"/>
  <c r="P208" i="16"/>
  <c r="P256" i="16"/>
  <c r="P36" i="16"/>
  <c r="P11" i="16"/>
  <c r="P20" i="16"/>
  <c r="P221" i="16"/>
  <c r="P317" i="16"/>
  <c r="P146" i="16"/>
  <c r="P269" i="16"/>
  <c r="P63" i="16"/>
  <c r="P13" i="16"/>
  <c r="P151" i="16"/>
  <c r="P139" i="16"/>
  <c r="P201" i="16"/>
  <c r="P297" i="16"/>
  <c r="P72" i="16"/>
  <c r="P249" i="16"/>
  <c r="P69" i="16"/>
  <c r="P2" i="16"/>
  <c r="P53" i="16"/>
  <c r="P258" i="16"/>
  <c r="P131" i="16"/>
  <c r="P180" i="16"/>
  <c r="P308" i="16"/>
  <c r="P62" i="16"/>
  <c r="P106" i="16"/>
  <c r="P110" i="16"/>
  <c r="P25" i="16"/>
  <c r="P279" i="16"/>
  <c r="P23" i="16"/>
  <c r="P49" i="16"/>
  <c r="P220" i="16"/>
  <c r="P218" i="16"/>
  <c r="P270" i="16"/>
  <c r="P111" i="16"/>
  <c r="P241" i="16"/>
  <c r="P197" i="16"/>
  <c r="P79" i="16"/>
  <c r="P80" i="16"/>
  <c r="P217" i="16"/>
  <c r="P280" i="16"/>
  <c r="P121" i="16"/>
  <c r="P266" i="16"/>
  <c r="P188" i="16"/>
  <c r="P175" i="16"/>
  <c r="P67" i="16"/>
  <c r="P228" i="16"/>
  <c r="P190" i="16"/>
  <c r="P291" i="16"/>
  <c r="P113" i="16"/>
  <c r="P226" i="16"/>
  <c r="P12" i="16"/>
  <c r="P171" i="16"/>
  <c r="P30" i="16"/>
  <c r="P177" i="16"/>
  <c r="P45" i="16"/>
  <c r="P185" i="16"/>
  <c r="P316" i="16"/>
  <c r="P264" i="16"/>
  <c r="P252" i="16"/>
  <c r="P82" i="16"/>
  <c r="P60" i="16"/>
  <c r="P40" i="16"/>
  <c r="P71" i="16"/>
  <c r="P44" i="16"/>
  <c r="P303" i="16"/>
  <c r="P204" i="16"/>
  <c r="P120" i="16"/>
  <c r="P83" i="16"/>
  <c r="P230" i="16"/>
  <c r="P21" i="16"/>
  <c r="P284" i="16"/>
  <c r="P191" i="16"/>
  <c r="P101" i="16"/>
  <c r="P126" i="16"/>
  <c r="P51" i="16"/>
  <c r="P186" i="16"/>
  <c r="P136" i="16"/>
  <c r="P115" i="16"/>
  <c r="P91" i="16"/>
  <c r="P117" i="16"/>
  <c r="P268" i="16"/>
  <c r="P37" i="16"/>
  <c r="P98" i="16"/>
  <c r="P149" i="16"/>
  <c r="P170" i="16"/>
  <c r="P192" i="16"/>
  <c r="P38" i="16"/>
  <c r="P19" i="16"/>
  <c r="P86" i="16"/>
  <c r="P169" i="16"/>
  <c r="P245" i="16"/>
  <c r="P15" i="16"/>
  <c r="P8" i="16"/>
  <c r="P174" i="16"/>
  <c r="P93" i="16"/>
  <c r="P155" i="16"/>
  <c r="P165" i="16"/>
  <c r="P123" i="16"/>
  <c r="P119" i="16"/>
  <c r="P179" i="16"/>
  <c r="P182" i="16"/>
  <c r="P47" i="16"/>
  <c r="P253" i="16"/>
  <c r="P248" i="16"/>
  <c r="P239" i="16"/>
  <c r="P313" i="16"/>
  <c r="P64" i="16"/>
  <c r="P138" i="16"/>
  <c r="P22" i="16"/>
  <c r="P134" i="16"/>
  <c r="P5" i="16"/>
  <c r="P298" i="16"/>
  <c r="P88" i="16"/>
  <c r="P235" i="16"/>
  <c r="P163" i="16"/>
  <c r="P301" i="16"/>
  <c r="P99" i="16"/>
  <c r="P142" i="16"/>
  <c r="P145" i="16"/>
  <c r="P102" i="16"/>
  <c r="P108" i="16"/>
  <c r="P157" i="16"/>
  <c r="P135" i="16"/>
  <c r="P288" i="16"/>
  <c r="P275" i="16"/>
  <c r="P281" i="16"/>
  <c r="P260" i="16"/>
  <c r="P143" i="16"/>
  <c r="P154" i="16"/>
  <c r="P295" i="16"/>
  <c r="P255" i="16"/>
  <c r="P292" i="16"/>
  <c r="P124" i="16"/>
  <c r="P273" i="16"/>
  <c r="P107" i="16"/>
  <c r="P254" i="16"/>
  <c r="P183" i="16"/>
  <c r="P219" i="16"/>
  <c r="P203" i="16"/>
  <c r="P290" i="16"/>
  <c r="P250" i="16"/>
  <c r="P305" i="16"/>
  <c r="P234" i="16"/>
  <c r="P141" i="16"/>
  <c r="P319" i="16"/>
  <c r="P89" i="16"/>
  <c r="P127" i="16"/>
  <c r="P296" i="16"/>
  <c r="P277" i="16"/>
  <c r="P304" i="16"/>
  <c r="P225" i="16"/>
  <c r="P187" i="16"/>
  <c r="P28" i="16"/>
  <c r="P18" i="16"/>
  <c r="P56" i="16"/>
  <c r="P137" i="16"/>
  <c r="P130" i="16"/>
  <c r="P236" i="16"/>
  <c r="P132" i="16"/>
  <c r="P166" i="16"/>
  <c r="P320" i="16"/>
  <c r="P302" i="16"/>
  <c r="P61" i="16"/>
  <c r="P283" i="16"/>
  <c r="P29" i="16"/>
  <c r="P75" i="16"/>
  <c r="P55" i="16"/>
  <c r="P68" i="16"/>
  <c r="P167" i="16"/>
  <c r="P209" i="16"/>
  <c r="P43" i="16"/>
  <c r="P321" i="16"/>
  <c r="P246" i="16"/>
  <c r="P90" i="16"/>
  <c r="P95" i="16"/>
  <c r="P265" i="16"/>
  <c r="P194" i="16"/>
  <c r="P58" i="16"/>
  <c r="P85" i="16"/>
  <c r="P33" i="16"/>
  <c r="P238" i="16"/>
  <c r="P243" i="16"/>
  <c r="P35" i="16"/>
  <c r="P244" i="16"/>
  <c r="P125" i="16"/>
  <c r="P207" i="16"/>
  <c r="P14" i="16"/>
  <c r="P116" i="16"/>
  <c r="P153" i="16"/>
  <c r="P310" i="16"/>
  <c r="P307" i="16"/>
  <c r="P215" i="16"/>
  <c r="P173" i="16"/>
  <c r="P278" i="16"/>
  <c r="P59" i="16"/>
  <c r="P168" i="16"/>
  <c r="P46" i="16"/>
  <c r="P128" i="16"/>
  <c r="P94" i="16"/>
  <c r="P274" i="16"/>
  <c r="P261" i="16"/>
  <c r="P205" i="16"/>
  <c r="P3" i="16"/>
  <c r="P314" i="16"/>
  <c r="P172" i="16"/>
  <c r="P32" i="16"/>
  <c r="P263" i="16"/>
  <c r="P156" i="16"/>
  <c r="P315" i="16"/>
  <c r="P57" i="16"/>
  <c r="P16" i="16"/>
  <c r="P84" i="16"/>
  <c r="P229" i="16"/>
  <c r="P70" i="16"/>
  <c r="P87" i="16"/>
  <c r="P27" i="16"/>
  <c r="P65" i="16"/>
  <c r="P231" i="16"/>
  <c r="P237" i="16"/>
  <c r="P17" i="16"/>
  <c r="P114" i="16"/>
  <c r="P73" i="16"/>
  <c r="P200" i="16"/>
  <c r="P26" i="16"/>
  <c r="P10" i="16"/>
  <c r="P109" i="16"/>
  <c r="P140" i="16"/>
  <c r="P309" i="16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<sst xmlns="http://schemas.openxmlformats.org/spreadsheetml/2006/main" count="84" uniqueCount="19">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</sst>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'240823E017'!$A$2:$A$321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'240823E017'!$J$2:$J$321</c:f>
              <c:numCache>
                <c:formatCode>0.0</c:formatCode>
                <c:ptCount val="320"/>
                <c:pt idx="0">
                  <c:v>993.75108574736009</c:v>
                </c:pt>
                <c:pt idx="1">
                  <c:v>844.20626399424998</c:v>
                </c:pt>
                <c:pt idx="2">
                  <c:v>746.21166827005004</c:v>
                </c:pt>
                <c:pt idx="3">
                  <c:v>1135.2923322683801</c:v>
                </c:pt>
                <c:pt idx="4">
                  <c:v>1070.3652822151</c:v>
                </c:pt>
                <c:pt idx="5">
                  <c:v>1033.57155972034</c:v>
                </c:pt>
                <c:pt idx="6">
                  <c:v>1033.58784159066</c:v>
                </c:pt>
                <c:pt idx="7">
                  <c:v>836.61953399813001</c:v>
                </c:pt>
                <c:pt idx="8">
                  <c:v>706.53896795431001</c:v>
                </c:pt>
                <c:pt idx="9">
                  <c:v>1205.47708748228</c:v>
                </c:pt>
                <c:pt idx="10">
                  <c:v>1199.0973760109</c:v>
                </c:pt>
                <c:pt idx="11">
                  <c:v>1231.3846701863902</c:v>
                </c:pt>
                <c:pt idx="12">
                  <c:v>1220.76910966419</c:v>
                </c:pt>
                <c:pt idx="13">
                  <c:v>1214.44720554228</c:v>
                </c:pt>
                <c:pt idx="14">
                  <c:v>1219.5508069400701</c:v>
                </c:pt>
                <c:pt idx="15">
                  <c:v>1223.9728920646598</c:v>
                </c:pt>
                <c:pt idx="16">
                  <c:v>1224.02428364666</c:v>
                </c:pt>
                <c:pt idx="17">
                  <c:v>1238.2092943955099</c:v>
                </c:pt>
                <c:pt idx="18">
                  <c:v>1201.7838074547399</c:v>
                </c:pt>
                <c:pt idx="19">
                  <c:v>1206.8836430244601</c:v>
                </c:pt>
                <c:pt idx="20">
                  <c:v>1207.2305925452902</c:v>
                </c:pt>
                <c:pt idx="21">
                  <c:v>1237.38567212046</c:v>
                </c:pt>
                <c:pt idx="22">
                  <c:v>1232.9572956736902</c:v>
                </c:pt>
                <c:pt idx="23">
                  <c:v>1230.8722722069999</c:v>
                </c:pt>
                <c:pt idx="24">
                  <c:v>1220.30222225995</c:v>
                </c:pt>
                <c:pt idx="25">
                  <c:v>1203.06162055601</c:v>
                </c:pt>
                <c:pt idx="26">
                  <c:v>1204.4866602089301</c:v>
                </c:pt>
                <c:pt idx="27">
                  <c:v>1208.7734795958002</c:v>
                </c:pt>
                <c:pt idx="28">
                  <c:v>1223.7524148894699</c:v>
                </c:pt>
                <c:pt idx="29">
                  <c:v>1233.69973015653</c:v>
                </c:pt>
                <c:pt idx="30">
                  <c:v>1180.3621179162499</c:v>
                </c:pt>
                <c:pt idx="31">
                  <c:v>1193.5889753699298</c:v>
                </c:pt>
                <c:pt idx="32">
                  <c:v>1219.0789337803599</c:v>
                </c:pt>
                <c:pt idx="33">
                  <c:v>1211.9555212457301</c:v>
                </c:pt>
                <c:pt idx="34">
                  <c:v>1220.0772561988499</c:v>
                </c:pt>
                <c:pt idx="35">
                  <c:v>1195.9073986050701</c:v>
                </c:pt>
                <c:pt idx="36">
                  <c:v>1161.1351568980799</c:v>
                </c:pt>
                <c:pt idx="37">
                  <c:v>1166.2621166388501</c:v>
                </c:pt>
                <c:pt idx="38">
                  <c:v>1157.86807081043</c:v>
                </c:pt>
                <c:pt idx="39">
                  <c:v>1165.1607935273901</c:v>
                </c:pt>
                <c:pt idx="40">
                  <c:v>1184.95761538888</c:v>
                </c:pt>
                <c:pt idx="41">
                  <c:v>1187.6656424464102</c:v>
                </c:pt>
                <c:pt idx="42">
                  <c:v>1190.2902645883901</c:v>
                </c:pt>
                <c:pt idx="43">
                  <c:v>1166.4796859209</c:v>
                </c:pt>
                <c:pt idx="44">
                  <c:v>1200.5550057508001</c:v>
                </c:pt>
                <c:pt idx="45">
                  <c:v>1217.0727054312802</c:v>
                </c:pt>
                <c:pt idx="46">
                  <c:v>1185.2076337434401</c:v>
                </c:pt>
                <c:pt idx="47">
                  <c:v>1191.8858065900499</c:v>
                </c:pt>
                <c:pt idx="48">
                  <c:v>1165.87100277276</c:v>
                </c:pt>
                <c:pt idx="49">
                  <c:v>1168.8349446781299</c:v>
                </c:pt>
                <c:pt idx="50">
                  <c:v>1179.0629176233701</c:v>
                </c:pt>
                <c:pt idx="51">
                  <c:v>1180.2560077912399</c:v>
                </c:pt>
                <c:pt idx="52">
                  <c:v>1158.4646984998399</c:v>
                </c:pt>
                <c:pt idx="53">
                  <c:v>1194.7907186884502</c:v>
                </c:pt>
                <c:pt idx="54">
                  <c:v>1177.8412424225401</c:v>
                </c:pt>
                <c:pt idx="55">
                  <c:v>1204.6461657095999</c:v>
                </c:pt>
                <c:pt idx="56">
                  <c:v>1189.2744241981</c:v>
                </c:pt>
                <c:pt idx="57">
                  <c:v>1181.6578079592</c:v>
                </c:pt>
                <c:pt idx="58">
                  <c:v>1160.9615838179802</c:v>
                </c:pt>
                <c:pt idx="59">
                  <c:v>1168.1358370709302</c:v>
                </c:pt>
                <c:pt idx="60">
                  <c:v>1167.7302820623399</c:v>
                </c:pt>
                <c:pt idx="61">
                  <c:v>1167.0219160501399</c:v>
                </c:pt>
                <c:pt idx="62">
                  <c:v>1145.34645353836</c:v>
                </c:pt>
                <c:pt idx="63">
                  <c:v>1146.0284156048299</c:v>
                </c:pt>
                <c:pt idx="64">
                  <c:v>1158.26626614565</c:v>
                </c:pt>
                <c:pt idx="65">
                  <c:v>1161.9235377134</c:v>
                </c:pt>
                <c:pt idx="66">
                  <c:v>1170.7816119627</c:v>
                </c:pt>
                <c:pt idx="67">
                  <c:v>1197.6380389431599</c:v>
                </c:pt>
                <c:pt idx="68">
                  <c:v>1188.83530337311</c:v>
                </c:pt>
                <c:pt idx="69">
                  <c:v>1195.5875111227699</c:v>
                </c:pt>
                <c:pt idx="70">
                  <c:v>1223.1061773502799</c:v>
                </c:pt>
                <c:pt idx="71">
                  <c:v>1219.14689882742</c:v>
                </c:pt>
                <c:pt idx="72">
                  <c:v>1192.3828693704299</c:v>
                </c:pt>
                <c:pt idx="73">
                  <c:v>1242.56902314387</c:v>
                </c:pt>
                <c:pt idx="74">
                  <c:v>1242.94934675692</c:v>
                </c:pt>
                <c:pt idx="75">
                  <c:v>1187.05516835653</c:v>
                </c:pt>
                <c:pt idx="76">
                  <c:v>1189.5029228380499</c:v>
                </c:pt>
                <c:pt idx="77">
                  <c:v>1184.0364093696101</c:v>
                </c:pt>
                <c:pt idx="78">
                  <c:v>1217.7986694190402</c:v>
                </c:pt>
                <c:pt idx="79">
                  <c:v>1167.7121454415401</c:v>
                </c:pt>
                <c:pt idx="80">
                  <c:v>1164.3679378315599</c:v>
                </c:pt>
                <c:pt idx="81">
                  <c:v>1162.1196068578699</c:v>
                </c:pt>
                <c:pt idx="82">
                  <c:v>1234.6544195952899</c:v>
                </c:pt>
                <c:pt idx="83">
                  <c:v>1231.15228966988</c:v>
                </c:pt>
                <c:pt idx="84">
                  <c:v>1204.4332779914698</c:v>
                </c:pt>
                <c:pt idx="85">
                  <c:v>1196.0161679675898</c:v>
                </c:pt>
                <c:pt idx="86">
                  <c:v>1225.4876323988701</c:v>
                </c:pt>
                <c:pt idx="87">
                  <c:v>1259.1143952177499</c:v>
                </c:pt>
                <c:pt idx="88">
                  <c:v>1245.29789587813</c:v>
                </c:pt>
                <c:pt idx="89">
                  <c:v>1277.69646977872</c:v>
                </c:pt>
                <c:pt idx="90">
                  <c:v>1266.05183629678</c:v>
                </c:pt>
                <c:pt idx="91">
                  <c:v>1364.74281150158</c:v>
                </c:pt>
                <c:pt idx="92">
                  <c:v>1370.04952076676</c:v>
                </c:pt>
                <c:pt idx="93">
                  <c:v>1322.7152362705401</c:v>
                </c:pt>
                <c:pt idx="94">
                  <c:v>1319.1639550031898</c:v>
                </c:pt>
                <c:pt idx="95">
                  <c:v>1328.6970580192001</c:v>
                </c:pt>
                <c:pt idx="96">
                  <c:v>1384.4294411319602</c:v>
                </c:pt>
                <c:pt idx="97">
                  <c:v>1399.6332034350201</c:v>
                </c:pt>
                <c:pt idx="98">
                  <c:v>1352.3358090332101</c:v>
                </c:pt>
                <c:pt idx="99">
                  <c:v>1328.82043814643</c:v>
                </c:pt>
                <c:pt idx="100">
                  <c:v>1371.9641660392001</c:v>
                </c:pt>
                <c:pt idx="101">
                  <c:v>1360.0581625661998</c:v>
                </c:pt>
                <c:pt idx="102">
                  <c:v>1315.69621051236</c:v>
                </c:pt>
                <c:pt idx="103">
                  <c:v>1326.79896392719</c:v>
                </c:pt>
                <c:pt idx="104">
                  <c:v>1312.2792037704501</c:v>
                </c:pt>
                <c:pt idx="105">
                  <c:v>1316.1546257902</c:v>
                </c:pt>
                <c:pt idx="106">
                  <c:v>1296.6077683901201</c:v>
                </c:pt>
                <c:pt idx="107">
                  <c:v>1323.5904722853802</c:v>
                </c:pt>
                <c:pt idx="108">
                  <c:v>1337.23270517622</c:v>
                </c:pt>
                <c:pt idx="109">
                  <c:v>1328.2359963096101</c:v>
                </c:pt>
                <c:pt idx="110">
                  <c:v>1327.3249275312601</c:v>
                </c:pt>
                <c:pt idx="111">
                  <c:v>1286.7904364876601</c:v>
                </c:pt>
                <c:pt idx="112">
                  <c:v>1262.53316400258</c:v>
                </c:pt>
                <c:pt idx="113">
                  <c:v>1239.77618306729</c:v>
                </c:pt>
                <c:pt idx="114">
                  <c:v>1248.01556921211</c:v>
                </c:pt>
                <c:pt idx="115">
                  <c:v>1240.04617628607</c:v>
                </c:pt>
                <c:pt idx="116">
                  <c:v>1284.63970608608</c:v>
                </c:pt>
                <c:pt idx="117">
                  <c:v>1279.4966965229301</c:v>
                </c:pt>
                <c:pt idx="118">
                  <c:v>1267.2678163513701</c:v>
                </c:pt>
                <c:pt idx="119">
                  <c:v>1276.2602004256901</c:v>
                </c:pt>
                <c:pt idx="120">
                  <c:v>1281.89475108544</c:v>
                </c:pt>
                <c:pt idx="121">
                  <c:v>1193.2413602066999</c:v>
                </c:pt>
                <c:pt idx="122">
                  <c:v>1214.6127591598399</c:v>
                </c:pt>
                <c:pt idx="123">
                  <c:v>1218.6372255455499</c:v>
                </c:pt>
                <c:pt idx="124">
                  <c:v>1253.1702672818401</c:v>
                </c:pt>
                <c:pt idx="125">
                  <c:v>1227.3848934867099</c:v>
                </c:pt>
                <c:pt idx="126">
                  <c:v>1258.46886679822</c:v>
                </c:pt>
                <c:pt idx="127">
                  <c:v>1254.53559315707</c:v>
                </c:pt>
                <c:pt idx="128">
                  <c:v>1173.4237830552502</c:v>
                </c:pt>
                <c:pt idx="129">
                  <c:v>1177.0593285475099</c:v>
                </c:pt>
                <c:pt idx="130">
                  <c:v>1164.23963188374</c:v>
                </c:pt>
                <c:pt idx="131">
                  <c:v>1171.66480481997</c:v>
                </c:pt>
                <c:pt idx="132">
                  <c:v>1220.5094917635799</c:v>
                </c:pt>
                <c:pt idx="133">
                  <c:v>1215.36869745997</c:v>
                </c:pt>
                <c:pt idx="134">
                  <c:v>1261.60518616323</c:v>
                </c:pt>
                <c:pt idx="135">
                  <c:v>1184.28440089081</c:v>
                </c:pt>
                <c:pt idx="136">
                  <c:v>1187.63158832872</c:v>
                </c:pt>
                <c:pt idx="137">
                  <c:v>1181.7598542896501</c:v>
                </c:pt>
                <c:pt idx="138">
                  <c:v>1178.6895503917099</c:v>
                </c:pt>
                <c:pt idx="139">
                  <c:v>1168.8031860887299</c:v>
                </c:pt>
                <c:pt idx="140">
                  <c:v>1189.9778343351099</c:v>
                </c:pt>
                <c:pt idx="141">
                  <c:v>1196.04074102908</c:v>
                </c:pt>
                <c:pt idx="142">
                  <c:v>1182.43078419166</c:v>
                </c:pt>
                <c:pt idx="143">
                  <c:v>1155.54869928068</c:v>
                </c:pt>
                <c:pt idx="144">
                  <c:v>1155.6526111947401</c:v>
                </c:pt>
                <c:pt idx="145">
                  <c:v>1215.33784092221</c:v>
                </c:pt>
                <c:pt idx="146">
                  <c:v>1220.7747581175302</c:v>
                </c:pt>
                <c:pt idx="147">
                  <c:v>1209.97477851041</c:v>
                </c:pt>
                <c:pt idx="148">
                  <c:v>1153.8271468266398</c:v>
                </c:pt>
                <c:pt idx="149">
                  <c:v>1158.7803353750999</c:v>
                </c:pt>
                <c:pt idx="150">
                  <c:v>1156.27872229491</c:v>
                </c:pt>
                <c:pt idx="151">
                  <c:v>1174.23394012893</c:v>
                </c:pt>
                <c:pt idx="152">
                  <c:v>1202.02349712612</c:v>
                </c:pt>
                <c:pt idx="153">
                  <c:v>1218.8434857316299</c:v>
                </c:pt>
                <c:pt idx="154">
                  <c:v>1127.6927069985302</c:v>
                </c:pt>
                <c:pt idx="155">
                  <c:v>1120.60367953167</c:v>
                </c:pt>
                <c:pt idx="156">
                  <c:v>1112.32237674625</c:v>
                </c:pt>
                <c:pt idx="157">
                  <c:v>1178.83360126978</c:v>
                </c:pt>
                <c:pt idx="158">
                  <c:v>1164.60899757841</c:v>
                </c:pt>
                <c:pt idx="159">
                  <c:v>1183.88366469279</c:v>
                </c:pt>
                <c:pt idx="160">
                  <c:v>1152.5051009679901</c:v>
                </c:pt>
                <c:pt idx="161">
                  <c:v>1143.44108788992</c:v>
                </c:pt>
                <c:pt idx="162">
                  <c:v>1059.83025652327</c:v>
                </c:pt>
                <c:pt idx="163">
                  <c:v>1085.6559622376099</c:v>
                </c:pt>
                <c:pt idx="164">
                  <c:v>1157.35143769973</c:v>
                </c:pt>
                <c:pt idx="165">
                  <c:v>1202.40468583597</c:v>
                </c:pt>
                <c:pt idx="166">
                  <c:v>1229.7445398744098</c:v>
                </c:pt>
                <c:pt idx="167">
                  <c:v>1216.5903781777399</c:v>
                </c:pt>
                <c:pt idx="168">
                  <c:v>1207.5114620643301</c:v>
                </c:pt>
                <c:pt idx="169">
                  <c:v>1264.3663516808499</c:v>
                </c:pt>
                <c:pt idx="170">
                  <c:v>1271.95907661202</c:v>
                </c:pt>
                <c:pt idx="171">
                  <c:v>1275.3759414113199</c:v>
                </c:pt>
                <c:pt idx="172">
                  <c:v>1274.8994994900099</c:v>
                </c:pt>
                <c:pt idx="173">
                  <c:v>1284.91626646134</c:v>
                </c:pt>
                <c:pt idx="174">
                  <c:v>1270.2610316003099</c:v>
                </c:pt>
                <c:pt idx="175">
                  <c:v>1272.50098527359</c:v>
                </c:pt>
                <c:pt idx="176">
                  <c:v>1270.9336180743001</c:v>
                </c:pt>
                <c:pt idx="177">
                  <c:v>1272.6400265479999</c:v>
                </c:pt>
                <c:pt idx="178">
                  <c:v>1278.0406963876701</c:v>
                </c:pt>
                <c:pt idx="179">
                  <c:v>1280.83062249354</c:v>
                </c:pt>
                <c:pt idx="180">
                  <c:v>1264.5055872528699</c:v>
                </c:pt>
                <c:pt idx="181">
                  <c:v>1269.6903326614502</c:v>
                </c:pt>
                <c:pt idx="182">
                  <c:v>1269.46408721542</c:v>
                </c:pt>
                <c:pt idx="183">
                  <c:v>1269.98067270051</c:v>
                </c:pt>
                <c:pt idx="184">
                  <c:v>1273.6946161657402</c:v>
                </c:pt>
                <c:pt idx="185">
                  <c:v>1318.38481810129</c:v>
                </c:pt>
                <c:pt idx="186">
                  <c:v>1315.7725161733899</c:v>
                </c:pt>
                <c:pt idx="187">
                  <c:v>1316.0117763882702</c:v>
                </c:pt>
                <c:pt idx="188">
                  <c:v>1288.1477250601101</c:v>
                </c:pt>
                <c:pt idx="189">
                  <c:v>1302.8647675114</c:v>
                </c:pt>
                <c:pt idx="190">
                  <c:v>1282.28884909416</c:v>
                </c:pt>
                <c:pt idx="191">
                  <c:v>1291.9785023368499</c:v>
                </c:pt>
                <c:pt idx="192">
                  <c:v>1289.11721203612</c:v>
                </c:pt>
                <c:pt idx="193">
                  <c:v>1305.4626042069299</c:v>
                </c:pt>
                <c:pt idx="194">
                  <c:v>1317.13669000086</c:v>
                </c:pt>
                <c:pt idx="195">
                  <c:v>1294.1181413347999</c:v>
                </c:pt>
                <c:pt idx="196">
                  <c:v>1293.9301364102198</c:v>
                </c:pt>
                <c:pt idx="197">
                  <c:v>1268.6999908426701</c:v>
                </c:pt>
                <c:pt idx="198">
                  <c:v>1256.0012373852499</c:v>
                </c:pt>
                <c:pt idx="199">
                  <c:v>1298.37146497802</c:v>
                </c:pt>
                <c:pt idx="200">
                  <c:v>1322.3601982591001</c:v>
                </c:pt>
                <c:pt idx="201">
                  <c:v>1335.4696587155101</c:v>
                </c:pt>
                <c:pt idx="202">
                  <c:v>1320.3848108562599</c:v>
                </c:pt>
                <c:pt idx="203">
                  <c:v>1295.4548214382401</c:v>
                </c:pt>
                <c:pt idx="204">
                  <c:v>1263.04257143377</c:v>
                </c:pt>
                <c:pt idx="205">
                  <c:v>1242.6826411075601</c:v>
                </c:pt>
                <c:pt idx="206">
                  <c:v>1235.0548455803701</c:v>
                </c:pt>
                <c:pt idx="207">
                  <c:v>1292.8450479232899</c:v>
                </c:pt>
                <c:pt idx="208">
                  <c:v>1285.87486687962</c:v>
                </c:pt>
                <c:pt idx="209">
                  <c:v>1250.40841320557</c:v>
                </c:pt>
                <c:pt idx="210">
                  <c:v>1230.9472843450599</c:v>
                </c:pt>
                <c:pt idx="211">
                  <c:v>1232.8791267306099</c:v>
                </c:pt>
                <c:pt idx="212">
                  <c:v>1252.3445154419701</c:v>
                </c:pt>
                <c:pt idx="213">
                  <c:v>1291.9755220966802</c:v>
                </c:pt>
                <c:pt idx="214">
                  <c:v>1307.86236254202</c:v>
                </c:pt>
                <c:pt idx="215">
                  <c:v>1290.4907537215599</c:v>
                </c:pt>
                <c:pt idx="216">
                  <c:v>1273.42830142715</c:v>
                </c:pt>
                <c:pt idx="217">
                  <c:v>1269.1908910112099</c:v>
                </c:pt>
                <c:pt idx="218">
                  <c:v>1299.6477375376601</c:v>
                </c:pt>
                <c:pt idx="219">
                  <c:v>1297.9717773493999</c:v>
                </c:pt>
                <c:pt idx="220">
                  <c:v>1332.1187201186901</c:v>
                </c:pt>
                <c:pt idx="221">
                  <c:v>1325.13262864527</c:v>
                </c:pt>
                <c:pt idx="222">
                  <c:v>1338.7342164593899</c:v>
                </c:pt>
                <c:pt idx="223">
                  <c:v>1310.1311599954201</c:v>
                </c:pt>
                <c:pt idx="224">
                  <c:v>1244.2211636624802</c:v>
                </c:pt>
                <c:pt idx="225">
                  <c:v>1181.530400852</c:v>
                </c:pt>
                <c:pt idx="226">
                  <c:v>1258.6349938231801</c:v>
                </c:pt>
                <c:pt idx="227">
                  <c:v>1295.9317079234199</c:v>
                </c:pt>
                <c:pt idx="228">
                  <c:v>1296.0661214735098</c:v>
                </c:pt>
                <c:pt idx="229">
                  <c:v>1283.60110472206</c:v>
                </c:pt>
                <c:pt idx="230">
                  <c:v>1301.5372253393998</c:v>
                </c:pt>
                <c:pt idx="231">
                  <c:v>1364.1086875726701</c:v>
                </c:pt>
                <c:pt idx="232">
                  <c:v>1382.5503226143701</c:v>
                </c:pt>
                <c:pt idx="233">
                  <c:v>1299.6113107679198</c:v>
                </c:pt>
                <c:pt idx="234">
                  <c:v>1293.21105787242</c:v>
                </c:pt>
                <c:pt idx="235">
                  <c:v>1335.7683978120901</c:v>
                </c:pt>
                <c:pt idx="236">
                  <c:v>1339.85738681154</c:v>
                </c:pt>
                <c:pt idx="237">
                  <c:v>1303.68144040318</c:v>
                </c:pt>
                <c:pt idx="238">
                  <c:v>1326.4436553841799</c:v>
                </c:pt>
                <c:pt idx="239">
                  <c:v>1384.8620502823301</c:v>
                </c:pt>
                <c:pt idx="240">
                  <c:v>1338.37673155418</c:v>
                </c:pt>
                <c:pt idx="241">
                  <c:v>1320.6700507370299</c:v>
                </c:pt>
                <c:pt idx="242">
                  <c:v>1291.3359145813001</c:v>
                </c:pt>
                <c:pt idx="243">
                  <c:v>1303.62140575083</c:v>
                </c:pt>
                <c:pt idx="244">
                  <c:v>1343.0846645367099</c:v>
                </c:pt>
                <c:pt idx="245">
                  <c:v>1362.24973375932</c:v>
                </c:pt>
                <c:pt idx="246">
                  <c:v>1361.04100106492</c:v>
                </c:pt>
                <c:pt idx="247">
                  <c:v>1352.2917997869699</c:v>
                </c:pt>
                <c:pt idx="248">
                  <c:v>1314.4733759318701</c:v>
                </c:pt>
                <c:pt idx="249">
                  <c:v>1342.3471778487401</c:v>
                </c:pt>
                <c:pt idx="250">
                  <c:v>1336.30937167201</c:v>
                </c:pt>
                <c:pt idx="251">
                  <c:v>1323.6505207872399</c:v>
                </c:pt>
                <c:pt idx="252">
                  <c:v>1318.0683233762402</c:v>
                </c:pt>
                <c:pt idx="253">
                  <c:v>1363.9951656595999</c:v>
                </c:pt>
                <c:pt idx="254">
                  <c:v>1341.12907053052</c:v>
                </c:pt>
                <c:pt idx="255">
                  <c:v>1319.0861901001101</c:v>
                </c:pt>
                <c:pt idx="256">
                  <c:v>1333.9560233536401</c:v>
                </c:pt>
                <c:pt idx="257">
                  <c:v>1362.6952625311399</c:v>
                </c:pt>
                <c:pt idx="258">
                  <c:v>1365.66786963815</c:v>
                </c:pt>
                <c:pt idx="259">
                  <c:v>1331.0662218080899</c:v>
                </c:pt>
                <c:pt idx="260">
                  <c:v>1362.8422928494599</c:v>
                </c:pt>
                <c:pt idx="261">
                  <c:v>1280.7370531935399</c:v>
                </c:pt>
                <c:pt idx="262">
                  <c:v>1266.8698751849902</c:v>
                </c:pt>
                <c:pt idx="263">
                  <c:v>1318.3198951777601</c:v>
                </c:pt>
                <c:pt idx="264">
                  <c:v>1375.5901432286601</c:v>
                </c:pt>
                <c:pt idx="265">
                  <c:v>1380.0956298554602</c:v>
                </c:pt>
                <c:pt idx="266">
                  <c:v>1298.4501476722398</c:v>
                </c:pt>
                <c:pt idx="267">
                  <c:v>1301.80714227827</c:v>
                </c:pt>
                <c:pt idx="268">
                  <c:v>1249.91461908512</c:v>
                </c:pt>
                <c:pt idx="269">
                  <c:v>1291.09461812467</c:v>
                </c:pt>
                <c:pt idx="270">
                  <c:v>1332.85222988646</c:v>
                </c:pt>
                <c:pt idx="271">
                  <c:v>1353.3148243493699</c:v>
                </c:pt>
                <c:pt idx="272">
                  <c:v>1325.0853110809398</c:v>
                </c:pt>
                <c:pt idx="273">
                  <c:v>1305.4144099734101</c:v>
                </c:pt>
                <c:pt idx="274">
                  <c:v>1271.3409824703599</c:v>
                </c:pt>
                <c:pt idx="275">
                  <c:v>1355.24698825824</c:v>
                </c:pt>
                <c:pt idx="276">
                  <c:v>1373.16694986535</c:v>
                </c:pt>
                <c:pt idx="277">
                  <c:v>1340.4052844535499</c:v>
                </c:pt>
                <c:pt idx="278">
                  <c:v>1342.06321096433</c:v>
                </c:pt>
                <c:pt idx="279">
                  <c:v>1272.4633062179701</c:v>
                </c:pt>
                <c:pt idx="280">
                  <c:v>1266.8139946040199</c:v>
                </c:pt>
                <c:pt idx="281">
                  <c:v>1280.8016120124801</c:v>
                </c:pt>
                <c:pt idx="282">
                  <c:v>1265.39539197516</c:v>
                </c:pt>
                <c:pt idx="283">
                  <c:v>1262.3808241207698</c:v>
                </c:pt>
                <c:pt idx="284">
                  <c:v>1243.8839890815898</c:v>
                </c:pt>
                <c:pt idx="285">
                  <c:v>1250.2639204631801</c:v>
                </c:pt>
                <c:pt idx="286">
                  <c:v>1248.74681329946</c:v>
                </c:pt>
                <c:pt idx="287">
                  <c:v>1271.3395702441899</c:v>
                </c:pt>
                <c:pt idx="288">
                  <c:v>1296.04856535763</c:v>
                </c:pt>
                <c:pt idx="289">
                  <c:v>1354.40806712112</c:v>
                </c:pt>
                <c:pt idx="290">
                  <c:v>1294.2965921193299</c:v>
                </c:pt>
                <c:pt idx="291">
                  <c:v>1347.7086021177299</c:v>
                </c:pt>
                <c:pt idx="292">
                  <c:v>1309.1916271544701</c:v>
                </c:pt>
                <c:pt idx="293">
                  <c:v>1260.58024188901</c:v>
                </c:pt>
                <c:pt idx="294">
                  <c:v>1276.9507607360799</c:v>
                </c:pt>
                <c:pt idx="295">
                  <c:v>1277.64210299611</c:v>
                </c:pt>
                <c:pt idx="296">
                  <c:v>1272.6155444947299</c:v>
                </c:pt>
                <c:pt idx="297">
                  <c:v>1274.9650718256098</c:v>
                </c:pt>
                <c:pt idx="298">
                  <c:v>1263.7399414214401</c:v>
                </c:pt>
                <c:pt idx="299">
                  <c:v>1265.7250330749398</c:v>
                </c:pt>
                <c:pt idx="300">
                  <c:v>1249.9780101572901</c:v>
                </c:pt>
                <c:pt idx="301">
                  <c:v>1252.1047164409699</c:v>
                </c:pt>
                <c:pt idx="302">
                  <c:v>1270.4868309025401</c:v>
                </c:pt>
                <c:pt idx="303">
                  <c:v>1229.54628746088</c:v>
                </c:pt>
                <c:pt idx="304">
                  <c:v>1246.3665598879602</c:v>
                </c:pt>
                <c:pt idx="305">
                  <c:v>1251.6227342705999</c:v>
                </c:pt>
                <c:pt idx="306">
                  <c:v>1264.63500459293</c:v>
                </c:pt>
                <c:pt idx="307">
                  <c:v>1254.14233328366</c:v>
                </c:pt>
                <c:pt idx="308">
                  <c:v>1319.12416969009</c:v>
                </c:pt>
                <c:pt idx="309">
                  <c:v>1242.3130573004601</c:v>
                </c:pt>
                <c:pt idx="310">
                  <c:v>1316.8862261059901</c:v>
                </c:pt>
                <c:pt idx="311">
                  <c:v>1319.3399656118399</c:v>
                </c:pt>
                <c:pt idx="312">
                  <c:v>1262.7770668564999</c:v>
                </c:pt>
                <c:pt idx="313">
                  <c:v>1283.2416914742</c:v>
                </c:pt>
                <c:pt idx="314">
                  <c:v>1325.62982233717</c:v>
                </c:pt>
                <c:pt idx="315">
                  <c:v>1316.4887502746801</c:v>
                </c:pt>
                <c:pt idx="316">
                  <c:v>1306.5536444606601</c:v>
                </c:pt>
                <c:pt idx="317">
                  <c:v>1315.01178944815</c:v>
                </c:pt>
                <c:pt idx="318">
                  <c:v>1386.3281668250199</c:v>
                </c:pt>
                <c:pt idx="319">
                  <c:v>1389.93951130237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B-E24C-AE49-F33B6F985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E-0442-AD02-D40C754333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'240823E017'!$A$2:$A$321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'240823E017'!$P$2:$P$321</c:f>
              <c:numCache>
                <c:formatCode>General</c:formatCode>
                <c:ptCount val="320"/>
                <c:pt idx="0">
                  <c:v>18.115983569077031</c:v>
                </c:pt>
                <c:pt idx="1">
                  <c:v>21.623141354408361</c:v>
                </c:pt>
                <c:pt idx="2">
                  <c:v>24.19075327393158</c:v>
                </c:pt>
                <c:pt idx="3">
                  <c:v>23.94938959355245</c:v>
                </c:pt>
                <c:pt idx="4">
                  <c:v>25.645493011181632</c:v>
                </c:pt>
                <c:pt idx="5">
                  <c:v>25.755928790890685</c:v>
                </c:pt>
                <c:pt idx="6">
                  <c:v>24.056088209710406</c:v>
                </c:pt>
                <c:pt idx="7">
                  <c:v>29.047562884607686</c:v>
                </c:pt>
                <c:pt idx="8">
                  <c:v>30.77581266375508</c:v>
                </c:pt>
                <c:pt idx="9">
                  <c:v>16.069031088504605</c:v>
                </c:pt>
                <c:pt idx="10">
                  <c:v>15.143372127493501</c:v>
                </c:pt>
                <c:pt idx="11">
                  <c:v>13.193027185209209</c:v>
                </c:pt>
                <c:pt idx="12">
                  <c:v>12.406853809717818</c:v>
                </c:pt>
                <c:pt idx="13">
                  <c:v>11.061300021912428</c:v>
                </c:pt>
                <c:pt idx="14">
                  <c:v>9.2857059828884623</c:v>
                </c:pt>
                <c:pt idx="15">
                  <c:v>10.239603384776691</c:v>
                </c:pt>
                <c:pt idx="16">
                  <c:v>8.9213728761582782</c:v>
                </c:pt>
                <c:pt idx="17">
                  <c:v>7.4720002708379782</c:v>
                </c:pt>
                <c:pt idx="18">
                  <c:v>8.3809926732390458</c:v>
                </c:pt>
                <c:pt idx="19">
                  <c:v>6.3007434046289612</c:v>
                </c:pt>
                <c:pt idx="20">
                  <c:v>4.9224475787017132</c:v>
                </c:pt>
                <c:pt idx="21">
                  <c:v>4.7905546042997758</c:v>
                </c:pt>
                <c:pt idx="22">
                  <c:v>4.5430176494010679</c:v>
                </c:pt>
                <c:pt idx="23">
                  <c:v>3.6940491921538534</c:v>
                </c:pt>
                <c:pt idx="24">
                  <c:v>4.3144974859133702</c:v>
                </c:pt>
                <c:pt idx="25">
                  <c:v>2.5485655289834557</c:v>
                </c:pt>
                <c:pt idx="26">
                  <c:v>2.2638277104141564</c:v>
                </c:pt>
                <c:pt idx="27">
                  <c:v>1.0298887924511662</c:v>
                </c:pt>
                <c:pt idx="28">
                  <c:v>1.7578105656796059</c:v>
                </c:pt>
                <c:pt idx="29">
                  <c:v>0.66982876680521919</c:v>
                </c:pt>
                <c:pt idx="30">
                  <c:v>0.74074822109657124</c:v>
                </c:pt>
                <c:pt idx="31">
                  <c:v>0.73918291586659846</c:v>
                </c:pt>
                <c:pt idx="32">
                  <c:v>0.33267039428383366</c:v>
                </c:pt>
                <c:pt idx="33">
                  <c:v>0.42273476102171931</c:v>
                </c:pt>
                <c:pt idx="34">
                  <c:v>-0.14323232861520119</c:v>
                </c:pt>
                <c:pt idx="35">
                  <c:v>0.82557834745780234</c:v>
                </c:pt>
                <c:pt idx="36">
                  <c:v>-0.41444387058987747</c:v>
                </c:pt>
                <c:pt idx="37">
                  <c:v>0.27066533321691993</c:v>
                </c:pt>
                <c:pt idx="38">
                  <c:v>4.0587250951407076E-2</c:v>
                </c:pt>
                <c:pt idx="39">
                  <c:v>0.25523954381074937</c:v>
                </c:pt>
                <c:pt idx="40">
                  <c:v>-5.9621552015092893E-2</c:v>
                </c:pt>
                <c:pt idx="41">
                  <c:v>-1.2072317199276916</c:v>
                </c:pt>
                <c:pt idx="42">
                  <c:v>-1.7807661531675023</c:v>
                </c:pt>
                <c:pt idx="43">
                  <c:v>-2.5363395430662776</c:v>
                </c:pt>
                <c:pt idx="44">
                  <c:v>-2.0796090716124422</c:v>
                </c:pt>
                <c:pt idx="45">
                  <c:v>-1.493016104574749</c:v>
                </c:pt>
                <c:pt idx="46">
                  <c:v>-0.40819985732564584</c:v>
                </c:pt>
                <c:pt idx="47">
                  <c:v>-0.7532008023115091</c:v>
                </c:pt>
                <c:pt idx="48">
                  <c:v>-0.57746213331415686</c:v>
                </c:pt>
                <c:pt idx="49">
                  <c:v>-0.70953227376655414</c:v>
                </c:pt>
                <c:pt idx="50">
                  <c:v>-0.98967101432954496</c:v>
                </c:pt>
                <c:pt idx="51">
                  <c:v>-1.009036387973596</c:v>
                </c:pt>
                <c:pt idx="52">
                  <c:v>-1.8094947810144302</c:v>
                </c:pt>
                <c:pt idx="53">
                  <c:v>-1.1744182396130118</c:v>
                </c:pt>
                <c:pt idx="54">
                  <c:v>4.2385926294848025E-2</c:v>
                </c:pt>
                <c:pt idx="55">
                  <c:v>-0.20394773499498894</c:v>
                </c:pt>
                <c:pt idx="56">
                  <c:v>0.41090434426628053</c:v>
                </c:pt>
                <c:pt idx="57">
                  <c:v>-0.86339205129747698</c:v>
                </c:pt>
                <c:pt idx="58">
                  <c:v>-0.99714467317687938</c:v>
                </c:pt>
                <c:pt idx="59">
                  <c:v>-0.97884657433437616</c:v>
                </c:pt>
                <c:pt idx="60">
                  <c:v>-0.99178244279543737</c:v>
                </c:pt>
                <c:pt idx="61">
                  <c:v>-0.90567410761020883</c:v>
                </c:pt>
                <c:pt idx="62">
                  <c:v>-0.81968370327790629</c:v>
                </c:pt>
                <c:pt idx="63">
                  <c:v>-0.53279828114193162</c:v>
                </c:pt>
                <c:pt idx="64">
                  <c:v>-1.1195712622679908</c:v>
                </c:pt>
                <c:pt idx="65">
                  <c:v>-0.30992993620577036</c:v>
                </c:pt>
                <c:pt idx="66">
                  <c:v>-0.56066655358440287</c:v>
                </c:pt>
                <c:pt idx="67">
                  <c:v>-1.4909915127302003</c:v>
                </c:pt>
                <c:pt idx="68">
                  <c:v>-0.98230142832028033</c:v>
                </c:pt>
                <c:pt idx="69">
                  <c:v>-1.3752969372900503</c:v>
                </c:pt>
                <c:pt idx="70">
                  <c:v>-3.2629751949004457E-2</c:v>
                </c:pt>
                <c:pt idx="71">
                  <c:v>-0.68177118349118981</c:v>
                </c:pt>
                <c:pt idx="72">
                  <c:v>0.33924636386061197</c:v>
                </c:pt>
                <c:pt idx="73">
                  <c:v>-0.43360962988099666</c:v>
                </c:pt>
                <c:pt idx="74">
                  <c:v>0.53002314653785365</c:v>
                </c:pt>
                <c:pt idx="75">
                  <c:v>2.3806051415939606</c:v>
                </c:pt>
                <c:pt idx="76">
                  <c:v>2.9762020338300554</c:v>
                </c:pt>
                <c:pt idx="77">
                  <c:v>0.69019072797606085</c:v>
                </c:pt>
                <c:pt idx="78">
                  <c:v>0.54645423065665233</c:v>
                </c:pt>
                <c:pt idx="79">
                  <c:v>2.7739850860903736</c:v>
                </c:pt>
                <c:pt idx="80">
                  <c:v>1.3373267042166279</c:v>
                </c:pt>
                <c:pt idx="81">
                  <c:v>1.3462624340949498</c:v>
                </c:pt>
                <c:pt idx="82">
                  <c:v>-1.5440610971383861</c:v>
                </c:pt>
                <c:pt idx="83">
                  <c:v>-0.38927393594441445</c:v>
                </c:pt>
                <c:pt idx="84">
                  <c:v>4.3551468653661676</c:v>
                </c:pt>
                <c:pt idx="85">
                  <c:v>24.805083696816112</c:v>
                </c:pt>
                <c:pt idx="86">
                  <c:v>36.890226169360609</c:v>
                </c:pt>
                <c:pt idx="87">
                  <c:v>48.298023898351616</c:v>
                </c:pt>
                <c:pt idx="88">
                  <c:v>55.706297898046572</c:v>
                </c:pt>
                <c:pt idx="89">
                  <c:v>64.750071914753221</c:v>
                </c:pt>
                <c:pt idx="90">
                  <c:v>70.247825784159375</c:v>
                </c:pt>
                <c:pt idx="91">
                  <c:v>76.334823114407811</c:v>
                </c:pt>
                <c:pt idx="92">
                  <c:v>78.694194784179857</c:v>
                </c:pt>
                <c:pt idx="93">
                  <c:v>80.94850360588083</c:v>
                </c:pt>
                <c:pt idx="94">
                  <c:v>81.293438435742203</c:v>
                </c:pt>
                <c:pt idx="95">
                  <c:v>81.960532374431764</c:v>
                </c:pt>
                <c:pt idx="96">
                  <c:v>82.306198799213462</c:v>
                </c:pt>
                <c:pt idx="97">
                  <c:v>80.479277762695517</c:v>
                </c:pt>
                <c:pt idx="98">
                  <c:v>76.620812517941289</c:v>
                </c:pt>
                <c:pt idx="99">
                  <c:v>75.812817323219164</c:v>
                </c:pt>
                <c:pt idx="100">
                  <c:v>74.12286999803959</c:v>
                </c:pt>
                <c:pt idx="101">
                  <c:v>72.952926033551165</c:v>
                </c:pt>
                <c:pt idx="102">
                  <c:v>71.310579402779211</c:v>
                </c:pt>
                <c:pt idx="103">
                  <c:v>69.57055740538506</c:v>
                </c:pt>
                <c:pt idx="104">
                  <c:v>67.428705319268161</c:v>
                </c:pt>
                <c:pt idx="105">
                  <c:v>64.321310892662424</c:v>
                </c:pt>
                <c:pt idx="106">
                  <c:v>59.893935447734414</c:v>
                </c:pt>
                <c:pt idx="107">
                  <c:v>59.235292853395606</c:v>
                </c:pt>
                <c:pt idx="108">
                  <c:v>56.387756599485428</c:v>
                </c:pt>
                <c:pt idx="109">
                  <c:v>54.273937765657955</c:v>
                </c:pt>
                <c:pt idx="110">
                  <c:v>52.743949800120063</c:v>
                </c:pt>
                <c:pt idx="111">
                  <c:v>52.289056032403089</c:v>
                </c:pt>
                <c:pt idx="112">
                  <c:v>53.494202349200663</c:v>
                </c:pt>
                <c:pt idx="113">
                  <c:v>51.085598991600904</c:v>
                </c:pt>
                <c:pt idx="114">
                  <c:v>49.096380916888876</c:v>
                </c:pt>
                <c:pt idx="115">
                  <c:v>47.903836302153664</c:v>
                </c:pt>
                <c:pt idx="116">
                  <c:v>46.735802719177713</c:v>
                </c:pt>
                <c:pt idx="117">
                  <c:v>46.095303153446665</c:v>
                </c:pt>
                <c:pt idx="118">
                  <c:v>46.244165212284486</c:v>
                </c:pt>
                <c:pt idx="119">
                  <c:v>43.735169921004328</c:v>
                </c:pt>
                <c:pt idx="120">
                  <c:v>42.193764829627014</c:v>
                </c:pt>
                <c:pt idx="121">
                  <c:v>43.073654638590916</c:v>
                </c:pt>
                <c:pt idx="122">
                  <c:v>40.1904604454731</c:v>
                </c:pt>
                <c:pt idx="123">
                  <c:v>38.445457758035424</c:v>
                </c:pt>
                <c:pt idx="124">
                  <c:v>38.085954565222188</c:v>
                </c:pt>
                <c:pt idx="125">
                  <c:v>37.925539225899755</c:v>
                </c:pt>
                <c:pt idx="126">
                  <c:v>36.430761337705029</c:v>
                </c:pt>
                <c:pt idx="127">
                  <c:v>34.872057692870612</c:v>
                </c:pt>
                <c:pt idx="128">
                  <c:v>37.323626442899091</c:v>
                </c:pt>
                <c:pt idx="129">
                  <c:v>35.198303872123901</c:v>
                </c:pt>
                <c:pt idx="130">
                  <c:v>34.078379683562218</c:v>
                </c:pt>
                <c:pt idx="131">
                  <c:v>34.150131734197835</c:v>
                </c:pt>
                <c:pt idx="132">
                  <c:v>34.410038320308189</c:v>
                </c:pt>
                <c:pt idx="133">
                  <c:v>33.260387150760927</c:v>
                </c:pt>
                <c:pt idx="134">
                  <c:v>32.702516360468707</c:v>
                </c:pt>
                <c:pt idx="135">
                  <c:v>35.111839331833835</c:v>
                </c:pt>
                <c:pt idx="136">
                  <c:v>34.566146745952494</c:v>
                </c:pt>
                <c:pt idx="137">
                  <c:v>33.978959804631991</c:v>
                </c:pt>
                <c:pt idx="138">
                  <c:v>33.236310881988821</c:v>
                </c:pt>
                <c:pt idx="139">
                  <c:v>32.017491098469186</c:v>
                </c:pt>
                <c:pt idx="140">
                  <c:v>29.97653639044437</c:v>
                </c:pt>
                <c:pt idx="141">
                  <c:v>28.175547205734564</c:v>
                </c:pt>
                <c:pt idx="142">
                  <c:v>27.549790052011986</c:v>
                </c:pt>
                <c:pt idx="143">
                  <c:v>26.285380842958162</c:v>
                </c:pt>
                <c:pt idx="144">
                  <c:v>25.412167424678454</c:v>
                </c:pt>
                <c:pt idx="145">
                  <c:v>24.418816874637564</c:v>
                </c:pt>
                <c:pt idx="146">
                  <c:v>24.327290983012155</c:v>
                </c:pt>
                <c:pt idx="147">
                  <c:v>24.065263781609023</c:v>
                </c:pt>
                <c:pt idx="148">
                  <c:v>25.063894698668982</c:v>
                </c:pt>
                <c:pt idx="149">
                  <c:v>23.722928056686925</c:v>
                </c:pt>
                <c:pt idx="150">
                  <c:v>21.981027123099707</c:v>
                </c:pt>
                <c:pt idx="151">
                  <c:v>21.04712114819673</c:v>
                </c:pt>
                <c:pt idx="152">
                  <c:v>18.630604459349183</c:v>
                </c:pt>
                <c:pt idx="153">
                  <c:v>17.606323540355842</c:v>
                </c:pt>
                <c:pt idx="154">
                  <c:v>19.404509986012808</c:v>
                </c:pt>
                <c:pt idx="155">
                  <c:v>19.933304614484776</c:v>
                </c:pt>
                <c:pt idx="156">
                  <c:v>17.576025628565951</c:v>
                </c:pt>
                <c:pt idx="157">
                  <c:v>16.150294505971662</c:v>
                </c:pt>
                <c:pt idx="158">
                  <c:v>16.339018970709429</c:v>
                </c:pt>
                <c:pt idx="159">
                  <c:v>15.028403358259029</c:v>
                </c:pt>
                <c:pt idx="160">
                  <c:v>13.276387832854539</c:v>
                </c:pt>
                <c:pt idx="161">
                  <c:v>13.668917152195817</c:v>
                </c:pt>
                <c:pt idx="162">
                  <c:v>16.321433631245704</c:v>
                </c:pt>
                <c:pt idx="163">
                  <c:v>14.74051666729518</c:v>
                </c:pt>
                <c:pt idx="164">
                  <c:v>11.29118608141043</c:v>
                </c:pt>
                <c:pt idx="165">
                  <c:v>11.439837116530351</c:v>
                </c:pt>
                <c:pt idx="166">
                  <c:v>10.385921053997075</c:v>
                </c:pt>
                <c:pt idx="167">
                  <c:v>10.722681086503076</c:v>
                </c:pt>
                <c:pt idx="168">
                  <c:v>9.4559330926697189</c:v>
                </c:pt>
                <c:pt idx="169">
                  <c:v>7.9888168774434858</c:v>
                </c:pt>
                <c:pt idx="170">
                  <c:v>6.5479578486401806</c:v>
                </c:pt>
                <c:pt idx="171">
                  <c:v>6.2209142009344287</c:v>
                </c:pt>
                <c:pt idx="172">
                  <c:v>5.7046337710243966</c:v>
                </c:pt>
                <c:pt idx="173">
                  <c:v>4.3589700597715479</c:v>
                </c:pt>
                <c:pt idx="174">
                  <c:v>3.6989755316224469</c:v>
                </c:pt>
                <c:pt idx="175">
                  <c:v>2.568470025658272</c:v>
                </c:pt>
                <c:pt idx="176">
                  <c:v>1.8726525447559903</c:v>
                </c:pt>
                <c:pt idx="177">
                  <c:v>1.5383682631435907</c:v>
                </c:pt>
                <c:pt idx="178">
                  <c:v>-0.33649589955213843</c:v>
                </c:pt>
                <c:pt idx="179">
                  <c:v>-0.77423815226356862</c:v>
                </c:pt>
                <c:pt idx="180">
                  <c:v>-3.5003897249149709</c:v>
                </c:pt>
                <c:pt idx="181">
                  <c:v>-3.2058864341428692</c:v>
                </c:pt>
                <c:pt idx="182">
                  <c:v>-3.4762861435067407</c:v>
                </c:pt>
                <c:pt idx="183">
                  <c:v>-3.771055137513458</c:v>
                </c:pt>
                <c:pt idx="184">
                  <c:v>-4.758245351142798</c:v>
                </c:pt>
                <c:pt idx="185">
                  <c:v>-6.3860930615728213</c:v>
                </c:pt>
                <c:pt idx="186">
                  <c:v>-7.4261480442693557</c:v>
                </c:pt>
                <c:pt idx="187">
                  <c:v>-7.6667481521251695</c:v>
                </c:pt>
                <c:pt idx="188">
                  <c:v>-8.4948219578815802</c:v>
                </c:pt>
                <c:pt idx="189">
                  <c:v>-9.4087212662676158</c:v>
                </c:pt>
                <c:pt idx="190">
                  <c:v>-9.1511314518621951</c:v>
                </c:pt>
                <c:pt idx="191">
                  <c:v>-10.688217854851118</c:v>
                </c:pt>
                <c:pt idx="192">
                  <c:v>-11.156886183080774</c:v>
                </c:pt>
                <c:pt idx="193">
                  <c:v>-12.272594795247137</c:v>
                </c:pt>
                <c:pt idx="194">
                  <c:v>-13.813797439391379</c:v>
                </c:pt>
                <c:pt idx="195">
                  <c:v>-13.013612851792933</c:v>
                </c:pt>
                <c:pt idx="196">
                  <c:v>-13.944216695919467</c:v>
                </c:pt>
                <c:pt idx="197">
                  <c:v>-15.633833990720683</c:v>
                </c:pt>
                <c:pt idx="198">
                  <c:v>-15.181542612432578</c:v>
                </c:pt>
                <c:pt idx="199">
                  <c:v>-15.629994735947164</c:v>
                </c:pt>
                <c:pt idx="200">
                  <c:v>-17.185998615316272</c:v>
                </c:pt>
                <c:pt idx="201">
                  <c:v>-18.158499503986615</c:v>
                </c:pt>
                <c:pt idx="202">
                  <c:v>-18.044004485257556</c:v>
                </c:pt>
                <c:pt idx="203">
                  <c:v>-17.260091612393339</c:v>
                </c:pt>
                <c:pt idx="204">
                  <c:v>-17.291617710399525</c:v>
                </c:pt>
                <c:pt idx="205">
                  <c:v>-16.438312101915667</c:v>
                </c:pt>
                <c:pt idx="206">
                  <c:v>-16.688305135705544</c:v>
                </c:pt>
                <c:pt idx="207">
                  <c:v>-19.548740734021695</c:v>
                </c:pt>
                <c:pt idx="208">
                  <c:v>-18.94264876563085</c:v>
                </c:pt>
                <c:pt idx="209">
                  <c:v>-17.720585210261728</c:v>
                </c:pt>
                <c:pt idx="210">
                  <c:v>-17.50461467052661</c:v>
                </c:pt>
                <c:pt idx="211">
                  <c:v>-18.286147828688577</c:v>
                </c:pt>
                <c:pt idx="212">
                  <c:v>-19.050950497508534</c:v>
                </c:pt>
                <c:pt idx="213">
                  <c:v>-19.828238353069658</c:v>
                </c:pt>
                <c:pt idx="214">
                  <c:v>-20.123510652877467</c:v>
                </c:pt>
                <c:pt idx="215">
                  <c:v>-19.887222910273479</c:v>
                </c:pt>
                <c:pt idx="216">
                  <c:v>-19.551732210505119</c:v>
                </c:pt>
                <c:pt idx="217">
                  <c:v>-19.960533246465861</c:v>
                </c:pt>
                <c:pt idx="218">
                  <c:v>-21.177068538844562</c:v>
                </c:pt>
                <c:pt idx="219">
                  <c:v>-20.640216903275462</c:v>
                </c:pt>
                <c:pt idx="220">
                  <c:v>-21.79689951436972</c:v>
                </c:pt>
                <c:pt idx="221">
                  <c:v>-21.397679006254762</c:v>
                </c:pt>
                <c:pt idx="222">
                  <c:v>-22.043986830031052</c:v>
                </c:pt>
                <c:pt idx="223">
                  <c:v>-20.851481632009005</c:v>
                </c:pt>
                <c:pt idx="224">
                  <c:v>-18.405677694727512</c:v>
                </c:pt>
                <c:pt idx="225">
                  <c:v>-14.875458952988485</c:v>
                </c:pt>
                <c:pt idx="226">
                  <c:v>-18.704583601170583</c:v>
                </c:pt>
                <c:pt idx="227">
                  <c:v>-19.228517562598221</c:v>
                </c:pt>
                <c:pt idx="228">
                  <c:v>-19.069830817939113</c:v>
                </c:pt>
                <c:pt idx="229">
                  <c:v>-18.671210001409523</c:v>
                </c:pt>
                <c:pt idx="230">
                  <c:v>-17.857260074310407</c:v>
                </c:pt>
                <c:pt idx="231">
                  <c:v>-18.766970780088219</c:v>
                </c:pt>
                <c:pt idx="232">
                  <c:v>-19.626266696392953</c:v>
                </c:pt>
                <c:pt idx="233">
                  <c:v>-17.392492844494605</c:v>
                </c:pt>
                <c:pt idx="234">
                  <c:v>-17.026463320661506</c:v>
                </c:pt>
                <c:pt idx="235">
                  <c:v>-18.037336727740069</c:v>
                </c:pt>
                <c:pt idx="236">
                  <c:v>-18.01576942284624</c:v>
                </c:pt>
                <c:pt idx="237">
                  <c:v>-16.880113306072523</c:v>
                </c:pt>
                <c:pt idx="238">
                  <c:v>-17.414238512284712</c:v>
                </c:pt>
                <c:pt idx="239">
                  <c:v>-18.178679724547568</c:v>
                </c:pt>
                <c:pt idx="240">
                  <c:v>-16.233504624505294</c:v>
                </c:pt>
                <c:pt idx="241">
                  <c:v>-16.250302954357345</c:v>
                </c:pt>
                <c:pt idx="242">
                  <c:v>-15.256151304563012</c:v>
                </c:pt>
                <c:pt idx="243">
                  <c:v>-13.833666712618237</c:v>
                </c:pt>
                <c:pt idx="244">
                  <c:v>-15.720000780417873</c:v>
                </c:pt>
                <c:pt idx="245">
                  <c:v>-14.868178550911725</c:v>
                </c:pt>
                <c:pt idx="246">
                  <c:v>-15.151890339989759</c:v>
                </c:pt>
                <c:pt idx="247">
                  <c:v>-14.592916321641832</c:v>
                </c:pt>
                <c:pt idx="248">
                  <c:v>-13.37421092357795</c:v>
                </c:pt>
                <c:pt idx="249">
                  <c:v>-14.366691035190252</c:v>
                </c:pt>
                <c:pt idx="250">
                  <c:v>-14.298185091677446</c:v>
                </c:pt>
                <c:pt idx="251">
                  <c:v>-12.894853301639273</c:v>
                </c:pt>
                <c:pt idx="252">
                  <c:v>-12.624563723636575</c:v>
                </c:pt>
                <c:pt idx="253">
                  <c:v>-13.510309804840128</c:v>
                </c:pt>
                <c:pt idx="254">
                  <c:v>-13.126814204251311</c:v>
                </c:pt>
                <c:pt idx="255">
                  <c:v>-11.490303463471903</c:v>
                </c:pt>
                <c:pt idx="256">
                  <c:v>-12.107267817341189</c:v>
                </c:pt>
                <c:pt idx="257">
                  <c:v>-13.069028649299177</c:v>
                </c:pt>
                <c:pt idx="258">
                  <c:v>-12.547787350422187</c:v>
                </c:pt>
                <c:pt idx="259">
                  <c:v>-11.113336708809197</c:v>
                </c:pt>
                <c:pt idx="260">
                  <c:v>-11.676977007392097</c:v>
                </c:pt>
                <c:pt idx="261">
                  <c:v>-10.204162692188016</c:v>
                </c:pt>
                <c:pt idx="262">
                  <c:v>-9.0701754350398183</c:v>
                </c:pt>
                <c:pt idx="263">
                  <c:v>-9.6264997298037702</c:v>
                </c:pt>
                <c:pt idx="264">
                  <c:v>-10.254628828468947</c:v>
                </c:pt>
                <c:pt idx="265">
                  <c:v>-10.729688996138522</c:v>
                </c:pt>
                <c:pt idx="266">
                  <c:v>-8.0740121587016578</c:v>
                </c:pt>
                <c:pt idx="267">
                  <c:v>-8.1519640432738623</c:v>
                </c:pt>
                <c:pt idx="268">
                  <c:v>-6.6256650157840529</c:v>
                </c:pt>
                <c:pt idx="269">
                  <c:v>-6.7888242879601908</c:v>
                </c:pt>
                <c:pt idx="270">
                  <c:v>-6.8960804162021212</c:v>
                </c:pt>
                <c:pt idx="271">
                  <c:v>-7.0152834388060832</c:v>
                </c:pt>
                <c:pt idx="272">
                  <c:v>-6.4451282472619162</c:v>
                </c:pt>
                <c:pt idx="273">
                  <c:v>-6.6027963009560047</c:v>
                </c:pt>
                <c:pt idx="274">
                  <c:v>-4.8012046749586474</c:v>
                </c:pt>
                <c:pt idx="275">
                  <c:v>-7.2913100496839496</c:v>
                </c:pt>
                <c:pt idx="276">
                  <c:v>-7.9843792762747059</c:v>
                </c:pt>
                <c:pt idx="277">
                  <c:v>-5.9616881874698358</c:v>
                </c:pt>
                <c:pt idx="278">
                  <c:v>-6.7068258421531208</c:v>
                </c:pt>
                <c:pt idx="279">
                  <c:v>-5.3876172233706043</c:v>
                </c:pt>
                <c:pt idx="280">
                  <c:v>-4.8204235683466461</c:v>
                </c:pt>
                <c:pt idx="281">
                  <c:v>-3.5628437364669154</c:v>
                </c:pt>
                <c:pt idx="282">
                  <c:v>-4.516254967468619</c:v>
                </c:pt>
                <c:pt idx="283">
                  <c:v>-4.3359248374321906</c:v>
                </c:pt>
                <c:pt idx="284">
                  <c:v>-2.9789184489275553</c:v>
                </c:pt>
                <c:pt idx="285">
                  <c:v>-3.425594432276228</c:v>
                </c:pt>
                <c:pt idx="286">
                  <c:v>-2.91494243030637</c:v>
                </c:pt>
                <c:pt idx="287">
                  <c:v>-3.0574479372883863</c:v>
                </c:pt>
                <c:pt idx="288">
                  <c:v>-3.6678283901599844</c:v>
                </c:pt>
                <c:pt idx="289">
                  <c:v>-4.4320970255296128</c:v>
                </c:pt>
                <c:pt idx="290">
                  <c:v>-3.6292329229138658</c:v>
                </c:pt>
                <c:pt idx="291">
                  <c:v>-4.9573327047848137</c:v>
                </c:pt>
                <c:pt idx="292">
                  <c:v>-3.8389059885803274</c:v>
                </c:pt>
                <c:pt idx="293">
                  <c:v>-0.62831879681435354</c:v>
                </c:pt>
                <c:pt idx="294">
                  <c:v>-1.0826126611209008</c:v>
                </c:pt>
                <c:pt idx="295">
                  <c:v>-1.4708442642498616</c:v>
                </c:pt>
                <c:pt idx="296">
                  <c:v>-1.0287816182200011</c:v>
                </c:pt>
                <c:pt idx="297">
                  <c:v>-0.43677268313870388</c:v>
                </c:pt>
                <c:pt idx="298">
                  <c:v>-0.2273702351584187</c:v>
                </c:pt>
                <c:pt idx="299">
                  <c:v>-0.69977796621645805</c:v>
                </c:pt>
                <c:pt idx="300">
                  <c:v>0.84870599833980387</c:v>
                </c:pt>
                <c:pt idx="301">
                  <c:v>1.829697090431051</c:v>
                </c:pt>
                <c:pt idx="302">
                  <c:v>1.314591348249277</c:v>
                </c:pt>
                <c:pt idx="303">
                  <c:v>2.334403985897251</c:v>
                </c:pt>
                <c:pt idx="304">
                  <c:v>1.7094340763679474</c:v>
                </c:pt>
                <c:pt idx="305">
                  <c:v>1.5262541531455942</c:v>
                </c:pt>
                <c:pt idx="306">
                  <c:v>0.10441230728192644</c:v>
                </c:pt>
                <c:pt idx="307">
                  <c:v>9.8700220689890109E-2</c:v>
                </c:pt>
                <c:pt idx="308">
                  <c:v>-2.5203630986286645</c:v>
                </c:pt>
                <c:pt idx="309">
                  <c:v>-0.53774969445558507</c:v>
                </c:pt>
                <c:pt idx="310">
                  <c:v>-0.26980797893254194</c:v>
                </c:pt>
                <c:pt idx="311">
                  <c:v>-0.55263489372605368</c:v>
                </c:pt>
                <c:pt idx="312">
                  <c:v>8.7601871860728278E-2</c:v>
                </c:pt>
                <c:pt idx="313">
                  <c:v>-0.3333804506511085</c:v>
                </c:pt>
                <c:pt idx="314">
                  <c:v>-0.69550369967294356</c:v>
                </c:pt>
                <c:pt idx="315">
                  <c:v>-0.66812687528436587</c:v>
                </c:pt>
                <c:pt idx="316">
                  <c:v>-0.49449600897369306</c:v>
                </c:pt>
                <c:pt idx="317">
                  <c:v>0.4461725142755702</c:v>
                </c:pt>
                <c:pt idx="318">
                  <c:v>-1.8246075821665022</c:v>
                </c:pt>
                <c:pt idx="319">
                  <c:v>-2.4266083234809055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FE-0442-AD02-D40C75433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'240823E018'!$A$2:$A$321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'240823E018'!$J$2:$J$321</c:f>
              <c:numCache>
                <c:formatCode>0.0</c:formatCode>
                <c:ptCount val="320"/>
                <c:pt idx="0">
                  <c:v>1081.0741697282699</c:v>
                </c:pt>
                <c:pt idx="1">
                  <c:v>1056.6538094284999</c:v>
                </c:pt>
                <c:pt idx="2">
                  <c:v>940.05225528355004</c:v>
                </c:pt>
                <c:pt idx="3">
                  <c:v>862.0386963005999</c:v>
                </c:pt>
                <c:pt idx="4">
                  <c:v>902.54086337351009</c:v>
                </c:pt>
                <c:pt idx="5">
                  <c:v>970.06028154666001</c:v>
                </c:pt>
                <c:pt idx="6">
                  <c:v>1040.45009639514</c:v>
                </c:pt>
                <c:pt idx="7">
                  <c:v>792.50007547924997</c:v>
                </c:pt>
                <c:pt idx="8">
                  <c:v>915.15714253345004</c:v>
                </c:pt>
                <c:pt idx="9">
                  <c:v>1052.6967177382098</c:v>
                </c:pt>
                <c:pt idx="10">
                  <c:v>1063.8225426086599</c:v>
                </c:pt>
                <c:pt idx="11">
                  <c:v>1016.1754013894299</c:v>
                </c:pt>
                <c:pt idx="12">
                  <c:v>1030.9834000206301</c:v>
                </c:pt>
                <c:pt idx="13">
                  <c:v>989.71393078803999</c:v>
                </c:pt>
                <c:pt idx="14">
                  <c:v>966.37066673919992</c:v>
                </c:pt>
                <c:pt idx="15">
                  <c:v>927.73260419354006</c:v>
                </c:pt>
                <c:pt idx="16">
                  <c:v>933.13634505671007</c:v>
                </c:pt>
                <c:pt idx="17">
                  <c:v>965.06374780417002</c:v>
                </c:pt>
                <c:pt idx="18">
                  <c:v>950.60894343156008</c:v>
                </c:pt>
                <c:pt idx="19">
                  <c:v>961.77508013121997</c:v>
                </c:pt>
                <c:pt idx="20">
                  <c:v>969.20062799338984</c:v>
                </c:pt>
                <c:pt idx="21">
                  <c:v>963.86541049795994</c:v>
                </c:pt>
                <c:pt idx="22">
                  <c:v>960.81561238220002</c:v>
                </c:pt>
                <c:pt idx="23">
                  <c:v>970.26522081173016</c:v>
                </c:pt>
                <c:pt idx="24">
                  <c:v>957.09189274145012</c:v>
                </c:pt>
                <c:pt idx="25">
                  <c:v>953.1665168182401</c:v>
                </c:pt>
                <c:pt idx="26">
                  <c:v>960.35977040509999</c:v>
                </c:pt>
                <c:pt idx="27">
                  <c:v>938.50923355064003</c:v>
                </c:pt>
                <c:pt idx="28">
                  <c:v>933.38404722838004</c:v>
                </c:pt>
                <c:pt idx="29">
                  <c:v>934.75349659886001</c:v>
                </c:pt>
                <c:pt idx="30">
                  <c:v>929.05441599066012</c:v>
                </c:pt>
                <c:pt idx="31">
                  <c:v>921.14478829438008</c:v>
                </c:pt>
                <c:pt idx="32">
                  <c:v>919.79276047269002</c:v>
                </c:pt>
                <c:pt idx="33">
                  <c:v>915.96597500589007</c:v>
                </c:pt>
                <c:pt idx="34">
                  <c:v>939.71717003625997</c:v>
                </c:pt>
                <c:pt idx="35">
                  <c:v>928.99180393824008</c:v>
                </c:pt>
                <c:pt idx="36">
                  <c:v>932.24952684088009</c:v>
                </c:pt>
                <c:pt idx="37">
                  <c:v>935.65322801241007</c:v>
                </c:pt>
                <c:pt idx="38">
                  <c:v>930.75551603394001</c:v>
                </c:pt>
                <c:pt idx="39">
                  <c:v>930.51160186954985</c:v>
                </c:pt>
                <c:pt idx="40">
                  <c:v>932.94800946579016</c:v>
                </c:pt>
                <c:pt idx="41">
                  <c:v>923.08685248681002</c:v>
                </c:pt>
                <c:pt idx="42">
                  <c:v>907.05019787751007</c:v>
                </c:pt>
                <c:pt idx="43">
                  <c:v>917.67078968933004</c:v>
                </c:pt>
                <c:pt idx="44">
                  <c:v>922.30087451501004</c:v>
                </c:pt>
                <c:pt idx="45">
                  <c:v>929.36434438818014</c:v>
                </c:pt>
                <c:pt idx="46">
                  <c:v>921.39088922802</c:v>
                </c:pt>
                <c:pt idx="47">
                  <c:v>924.70853683279995</c:v>
                </c:pt>
                <c:pt idx="48">
                  <c:v>926.59393983482005</c:v>
                </c:pt>
                <c:pt idx="49">
                  <c:v>945.01083814048013</c:v>
                </c:pt>
                <c:pt idx="50">
                  <c:v>953.22890725880006</c:v>
                </c:pt>
                <c:pt idx="51">
                  <c:v>933.38498285101991</c:v>
                </c:pt>
                <c:pt idx="52">
                  <c:v>930.01248615656993</c:v>
                </c:pt>
                <c:pt idx="53">
                  <c:v>924.96299835195009</c:v>
                </c:pt>
                <c:pt idx="54">
                  <c:v>960.24682330533994</c:v>
                </c:pt>
                <c:pt idx="55">
                  <c:v>955.55416362370011</c:v>
                </c:pt>
                <c:pt idx="56">
                  <c:v>954.60181085715999</c:v>
                </c:pt>
                <c:pt idx="57">
                  <c:v>943.01419846295994</c:v>
                </c:pt>
                <c:pt idx="58">
                  <c:v>917.68994718546003</c:v>
                </c:pt>
                <c:pt idx="59">
                  <c:v>933.65516181747</c:v>
                </c:pt>
                <c:pt idx="60">
                  <c:v>927.26717657487006</c:v>
                </c:pt>
                <c:pt idx="61">
                  <c:v>929.52325498691005</c:v>
                </c:pt>
                <c:pt idx="62">
                  <c:v>908.80448258569004</c:v>
                </c:pt>
                <c:pt idx="63">
                  <c:v>913.62769850127006</c:v>
                </c:pt>
                <c:pt idx="64">
                  <c:v>879.23708090933997</c:v>
                </c:pt>
                <c:pt idx="65">
                  <c:v>890.60324944011995</c:v>
                </c:pt>
                <c:pt idx="66">
                  <c:v>867.46131463674999</c:v>
                </c:pt>
                <c:pt idx="67">
                  <c:v>869.94476906407999</c:v>
                </c:pt>
                <c:pt idx="68">
                  <c:v>846.56346679213004</c:v>
                </c:pt>
                <c:pt idx="69">
                  <c:v>835.65513230102999</c:v>
                </c:pt>
                <c:pt idx="70">
                  <c:v>846.76774791431012</c:v>
                </c:pt>
                <c:pt idx="71">
                  <c:v>867.49160016501003</c:v>
                </c:pt>
                <c:pt idx="72">
                  <c:v>877.06010613652995</c:v>
                </c:pt>
                <c:pt idx="73">
                  <c:v>888.74339941142011</c:v>
                </c:pt>
                <c:pt idx="74">
                  <c:v>896.74305723477994</c:v>
                </c:pt>
                <c:pt idx="75">
                  <c:v>887.33174669802008</c:v>
                </c:pt>
                <c:pt idx="76">
                  <c:v>856.26932499942995</c:v>
                </c:pt>
                <c:pt idx="77">
                  <c:v>877.96216483789999</c:v>
                </c:pt>
                <c:pt idx="78">
                  <c:v>842.25050208727998</c:v>
                </c:pt>
                <c:pt idx="79">
                  <c:v>864.16469789056009</c:v>
                </c:pt>
                <c:pt idx="80">
                  <c:v>823.52015161993995</c:v>
                </c:pt>
                <c:pt idx="81">
                  <c:v>892.73990761104005</c:v>
                </c:pt>
                <c:pt idx="82">
                  <c:v>914.73389758794997</c:v>
                </c:pt>
                <c:pt idx="83">
                  <c:v>899.18563685639992</c:v>
                </c:pt>
                <c:pt idx="84">
                  <c:v>883.51261096374003</c:v>
                </c:pt>
                <c:pt idx="85">
                  <c:v>919.09402400841009</c:v>
                </c:pt>
                <c:pt idx="86">
                  <c:v>948.24744969218</c:v>
                </c:pt>
                <c:pt idx="87">
                  <c:v>966.14301132217997</c:v>
                </c:pt>
                <c:pt idx="88">
                  <c:v>980.41173867145005</c:v>
                </c:pt>
                <c:pt idx="89">
                  <c:v>995.41073741258992</c:v>
                </c:pt>
                <c:pt idx="90">
                  <c:v>1002.33423361978</c:v>
                </c:pt>
                <c:pt idx="91">
                  <c:v>1003.25685713452</c:v>
                </c:pt>
                <c:pt idx="92">
                  <c:v>1008.5944205538499</c:v>
                </c:pt>
                <c:pt idx="93">
                  <c:v>990.30936514080008</c:v>
                </c:pt>
                <c:pt idx="94">
                  <c:v>967.94679537133004</c:v>
                </c:pt>
                <c:pt idx="95">
                  <c:v>939.14648369036991</c:v>
                </c:pt>
                <c:pt idx="96">
                  <c:v>987.51123826902995</c:v>
                </c:pt>
                <c:pt idx="97">
                  <c:v>990.10961617845987</c:v>
                </c:pt>
                <c:pt idx="98">
                  <c:v>984.41817559696005</c:v>
                </c:pt>
                <c:pt idx="99">
                  <c:v>965.15914183471</c:v>
                </c:pt>
                <c:pt idx="100">
                  <c:v>967.96206343844995</c:v>
                </c:pt>
                <c:pt idx="101">
                  <c:v>978.92391592576007</c:v>
                </c:pt>
                <c:pt idx="102">
                  <c:v>983.19616032648014</c:v>
                </c:pt>
                <c:pt idx="103">
                  <c:v>955.11821657069004</c:v>
                </c:pt>
                <c:pt idx="104">
                  <c:v>906.81693186929999</c:v>
                </c:pt>
                <c:pt idx="105">
                  <c:v>891.80422069784004</c:v>
                </c:pt>
                <c:pt idx="106">
                  <c:v>840.20457468540997</c:v>
                </c:pt>
                <c:pt idx="107">
                  <c:v>892.70392035060991</c:v>
                </c:pt>
                <c:pt idx="108">
                  <c:v>839.20392125879005</c:v>
                </c:pt>
                <c:pt idx="109">
                  <c:v>825.94833924545992</c:v>
                </c:pt>
                <c:pt idx="110">
                  <c:v>817.84169931506995</c:v>
                </c:pt>
                <c:pt idx="111">
                  <c:v>797.12408843311994</c:v>
                </c:pt>
                <c:pt idx="112">
                  <c:v>779.33265856950004</c:v>
                </c:pt>
                <c:pt idx="113">
                  <c:v>775.37599784221004</c:v>
                </c:pt>
                <c:pt idx="114">
                  <c:v>784.75138812451996</c:v>
                </c:pt>
                <c:pt idx="115">
                  <c:v>764.52808579580994</c:v>
                </c:pt>
                <c:pt idx="116">
                  <c:v>756.46544264688998</c:v>
                </c:pt>
                <c:pt idx="117">
                  <c:v>774.85423336029999</c:v>
                </c:pt>
                <c:pt idx="118">
                  <c:v>779.77927595595997</c:v>
                </c:pt>
                <c:pt idx="119">
                  <c:v>779.67020915245007</c:v>
                </c:pt>
                <c:pt idx="120">
                  <c:v>784.84801704192</c:v>
                </c:pt>
                <c:pt idx="121">
                  <c:v>762.04892611456</c:v>
                </c:pt>
                <c:pt idx="122">
                  <c:v>750.00593417350001</c:v>
                </c:pt>
                <c:pt idx="123">
                  <c:v>735.59596943704992</c:v>
                </c:pt>
                <c:pt idx="124">
                  <c:v>748.53473577907994</c:v>
                </c:pt>
                <c:pt idx="125">
                  <c:v>743.00120253985006</c:v>
                </c:pt>
                <c:pt idx="126">
                  <c:v>744.13456119621992</c:v>
                </c:pt>
                <c:pt idx="127">
                  <c:v>740.09377071573999</c:v>
                </c:pt>
                <c:pt idx="128">
                  <c:v>736.99973703001001</c:v>
                </c:pt>
                <c:pt idx="129">
                  <c:v>752.11887430581999</c:v>
                </c:pt>
                <c:pt idx="130">
                  <c:v>757.26010288700991</c:v>
                </c:pt>
                <c:pt idx="131">
                  <c:v>770.48411862138005</c:v>
                </c:pt>
                <c:pt idx="132">
                  <c:v>766.64094187083992</c:v>
                </c:pt>
                <c:pt idx="133">
                  <c:v>735.19833324506999</c:v>
                </c:pt>
                <c:pt idx="134">
                  <c:v>731.91716353995002</c:v>
                </c:pt>
                <c:pt idx="135">
                  <c:v>751.43612751121998</c:v>
                </c:pt>
                <c:pt idx="136">
                  <c:v>741.39093867502993</c:v>
                </c:pt>
                <c:pt idx="137">
                  <c:v>732.39717325521997</c:v>
                </c:pt>
                <c:pt idx="138">
                  <c:v>725.86434035621005</c:v>
                </c:pt>
                <c:pt idx="139">
                  <c:v>714.69737541340999</c:v>
                </c:pt>
                <c:pt idx="140">
                  <c:v>719.46030066235994</c:v>
                </c:pt>
                <c:pt idx="141">
                  <c:v>715.30422249452999</c:v>
                </c:pt>
                <c:pt idx="142">
                  <c:v>756.94091666956001</c:v>
                </c:pt>
                <c:pt idx="143">
                  <c:v>771.68591156539003</c:v>
                </c:pt>
                <c:pt idx="144">
                  <c:v>788.02975887948003</c:v>
                </c:pt>
                <c:pt idx="145">
                  <c:v>804.65246390035998</c:v>
                </c:pt>
                <c:pt idx="146">
                  <c:v>813.25416064055003</c:v>
                </c:pt>
                <c:pt idx="147">
                  <c:v>795.57170381185006</c:v>
                </c:pt>
                <c:pt idx="148">
                  <c:v>800.2673882793099</c:v>
                </c:pt>
                <c:pt idx="149">
                  <c:v>798.12108675319996</c:v>
                </c:pt>
                <c:pt idx="150">
                  <c:v>801.48823414010997</c:v>
                </c:pt>
                <c:pt idx="151">
                  <c:v>808.81880329401997</c:v>
                </c:pt>
                <c:pt idx="152">
                  <c:v>790.06784542738001</c:v>
                </c:pt>
                <c:pt idx="153">
                  <c:v>787.44081209936996</c:v>
                </c:pt>
                <c:pt idx="154">
                  <c:v>778.36533932523002</c:v>
                </c:pt>
                <c:pt idx="155">
                  <c:v>761.81686018660002</c:v>
                </c:pt>
                <c:pt idx="156">
                  <c:v>790.13464196911002</c:v>
                </c:pt>
                <c:pt idx="157">
                  <c:v>781.95957250724007</c:v>
                </c:pt>
                <c:pt idx="158">
                  <c:v>793.57950589685004</c:v>
                </c:pt>
                <c:pt idx="159">
                  <c:v>777.85571822888994</c:v>
                </c:pt>
                <c:pt idx="160">
                  <c:v>778.67852909641999</c:v>
                </c:pt>
                <c:pt idx="161">
                  <c:v>792.54231311449007</c:v>
                </c:pt>
                <c:pt idx="162">
                  <c:v>795.10632981272011</c:v>
                </c:pt>
                <c:pt idx="163">
                  <c:v>787.29534365946006</c:v>
                </c:pt>
                <c:pt idx="164">
                  <c:v>769.03405296894994</c:v>
                </c:pt>
                <c:pt idx="165">
                  <c:v>773.77949996578002</c:v>
                </c:pt>
                <c:pt idx="166">
                  <c:v>790.67870520335998</c:v>
                </c:pt>
                <c:pt idx="167">
                  <c:v>781.72723087803001</c:v>
                </c:pt>
                <c:pt idx="168">
                  <c:v>792.06207222209991</c:v>
                </c:pt>
                <c:pt idx="169">
                  <c:v>783.40336473754996</c:v>
                </c:pt>
                <c:pt idx="170">
                  <c:v>788.89912859000992</c:v>
                </c:pt>
                <c:pt idx="171">
                  <c:v>793.90269270251997</c:v>
                </c:pt>
                <c:pt idx="172">
                  <c:v>795.69316285330001</c:v>
                </c:pt>
                <c:pt idx="173">
                  <c:v>828.73826539225001</c:v>
                </c:pt>
                <c:pt idx="174">
                  <c:v>793.99860391905997</c:v>
                </c:pt>
                <c:pt idx="175">
                  <c:v>799.53517120239997</c:v>
                </c:pt>
                <c:pt idx="176">
                  <c:v>801.51661883796999</c:v>
                </c:pt>
                <c:pt idx="177">
                  <c:v>848.17819513195991</c:v>
                </c:pt>
                <c:pt idx="178">
                  <c:v>832.93427515569999</c:v>
                </c:pt>
                <c:pt idx="179">
                  <c:v>815.06321509227996</c:v>
                </c:pt>
                <c:pt idx="180">
                  <c:v>807.93574423432005</c:v>
                </c:pt>
                <c:pt idx="181">
                  <c:v>826.36880990943996</c:v>
                </c:pt>
                <c:pt idx="182">
                  <c:v>804.10901795286998</c:v>
                </c:pt>
                <c:pt idx="183">
                  <c:v>832.24803986333995</c:v>
                </c:pt>
                <c:pt idx="184">
                  <c:v>822.92952233975996</c:v>
                </c:pt>
                <c:pt idx="185">
                  <c:v>819.34138311957008</c:v>
                </c:pt>
                <c:pt idx="186">
                  <c:v>799.83806315381003</c:v>
                </c:pt>
                <c:pt idx="187">
                  <c:v>800.01519461495991</c:v>
                </c:pt>
                <c:pt idx="188">
                  <c:v>819.82545223811007</c:v>
                </c:pt>
                <c:pt idx="189">
                  <c:v>823.32525964061995</c:v>
                </c:pt>
                <c:pt idx="190">
                  <c:v>788.16961433841004</c:v>
                </c:pt>
                <c:pt idx="191">
                  <c:v>787.48798896202004</c:v>
                </c:pt>
                <c:pt idx="192">
                  <c:v>831.27583985771003</c:v>
                </c:pt>
                <c:pt idx="193">
                  <c:v>810.26842874304998</c:v>
                </c:pt>
                <c:pt idx="194">
                  <c:v>874.76374372912994</c:v>
                </c:pt>
                <c:pt idx="195">
                  <c:v>842.79188171860994</c:v>
                </c:pt>
                <c:pt idx="196">
                  <c:v>831.65425873121001</c:v>
                </c:pt>
                <c:pt idx="197">
                  <c:v>826.77883249310003</c:v>
                </c:pt>
                <c:pt idx="198">
                  <c:v>828.9777740264999</c:v>
                </c:pt>
                <c:pt idx="199">
                  <c:v>771.05151538655002</c:v>
                </c:pt>
                <c:pt idx="200">
                  <c:v>807.36269817734001</c:v>
                </c:pt>
                <c:pt idx="201">
                  <c:v>757.64036340073994</c:v>
                </c:pt>
                <c:pt idx="202">
                  <c:v>771.81301737667002</c:v>
                </c:pt>
                <c:pt idx="203">
                  <c:v>798.41218739292992</c:v>
                </c:pt>
                <c:pt idx="204">
                  <c:v>786.89561452693999</c:v>
                </c:pt>
                <c:pt idx="205">
                  <c:v>790.17746048420997</c:v>
                </c:pt>
                <c:pt idx="206">
                  <c:v>771.01779562207003</c:v>
                </c:pt>
                <c:pt idx="207">
                  <c:v>782.59506190116997</c:v>
                </c:pt>
                <c:pt idx="208">
                  <c:v>776.67984238215001</c:v>
                </c:pt>
                <c:pt idx="209">
                  <c:v>787.36579263764997</c:v>
                </c:pt>
                <c:pt idx="210">
                  <c:v>795.15352336414003</c:v>
                </c:pt>
                <c:pt idx="211">
                  <c:v>802.12796589915001</c:v>
                </c:pt>
                <c:pt idx="212">
                  <c:v>836.72710365391004</c:v>
                </c:pt>
                <c:pt idx="213">
                  <c:v>810.93242489206</c:v>
                </c:pt>
                <c:pt idx="214">
                  <c:v>760.47266678965002</c:v>
                </c:pt>
                <c:pt idx="215">
                  <c:v>808.57244477604991</c:v>
                </c:pt>
                <c:pt idx="216">
                  <c:v>792.75650023674007</c:v>
                </c:pt>
                <c:pt idx="217">
                  <c:v>779.71787777528994</c:v>
                </c:pt>
                <c:pt idx="218">
                  <c:v>816.82611872411007</c:v>
                </c:pt>
                <c:pt idx="219">
                  <c:v>809.97604179721998</c:v>
                </c:pt>
                <c:pt idx="220">
                  <c:v>770.19133868421</c:v>
                </c:pt>
                <c:pt idx="221">
                  <c:v>798.22036442696003</c:v>
                </c:pt>
                <c:pt idx="222">
                  <c:v>791.23197072813991</c:v>
                </c:pt>
                <c:pt idx="223">
                  <c:v>798.07042518294998</c:v>
                </c:pt>
                <c:pt idx="224">
                  <c:v>774.46935906297006</c:v>
                </c:pt>
                <c:pt idx="225">
                  <c:v>764.90484158452</c:v>
                </c:pt>
                <c:pt idx="226">
                  <c:v>765.17679058600993</c:v>
                </c:pt>
                <c:pt idx="227">
                  <c:v>703.55520261175991</c:v>
                </c:pt>
                <c:pt idx="228">
                  <c:v>756.46836875170004</c:v>
                </c:pt>
                <c:pt idx="229">
                  <c:v>745.94982083393995</c:v>
                </c:pt>
                <c:pt idx="230">
                  <c:v>712.69865754439002</c:v>
                </c:pt>
                <c:pt idx="231">
                  <c:v>740.19794569132</c:v>
                </c:pt>
                <c:pt idx="232">
                  <c:v>731.71526317704001</c:v>
                </c:pt>
                <c:pt idx="233">
                  <c:v>765.06931222853996</c:v>
                </c:pt>
                <c:pt idx="234">
                  <c:v>719.62367901632001</c:v>
                </c:pt>
                <c:pt idx="235">
                  <c:v>723.03011701733999</c:v>
                </c:pt>
                <c:pt idx="236">
                  <c:v>716.43579471051999</c:v>
                </c:pt>
                <c:pt idx="237">
                  <c:v>671.25320207443997</c:v>
                </c:pt>
                <c:pt idx="238">
                  <c:v>710.03892130018005</c:v>
                </c:pt>
                <c:pt idx="239">
                  <c:v>674.78126703413</c:v>
                </c:pt>
                <c:pt idx="240">
                  <c:v>765.70357209292001</c:v>
                </c:pt>
                <c:pt idx="241">
                  <c:v>710.18440766494996</c:v>
                </c:pt>
                <c:pt idx="242">
                  <c:v>701.07758897988003</c:v>
                </c:pt>
                <c:pt idx="243">
                  <c:v>671.21093621771001</c:v>
                </c:pt>
                <c:pt idx="244">
                  <c:v>675.02983129279005</c:v>
                </c:pt>
                <c:pt idx="245">
                  <c:v>730.11578687698</c:v>
                </c:pt>
                <c:pt idx="246">
                  <c:v>665.78314130447006</c:v>
                </c:pt>
                <c:pt idx="247">
                  <c:v>748.13483586925008</c:v>
                </c:pt>
                <c:pt idx="248">
                  <c:v>715.24772863106</c:v>
                </c:pt>
                <c:pt idx="249">
                  <c:v>707.55000678870999</c:v>
                </c:pt>
                <c:pt idx="250">
                  <c:v>691.37667519280001</c:v>
                </c:pt>
                <c:pt idx="251">
                  <c:v>604.07558335026999</c:v>
                </c:pt>
                <c:pt idx="252">
                  <c:v>689.75820646083992</c:v>
                </c:pt>
                <c:pt idx="253">
                  <c:v>735.46817108226003</c:v>
                </c:pt>
                <c:pt idx="254">
                  <c:v>685.53928904754002</c:v>
                </c:pt>
                <c:pt idx="255">
                  <c:v>658.67590647984002</c:v>
                </c:pt>
                <c:pt idx="256">
                  <c:v>604.03028218356997</c:v>
                </c:pt>
                <c:pt idx="257">
                  <c:v>634.35581338498002</c:v>
                </c:pt>
                <c:pt idx="258">
                  <c:v>686.19284967142994</c:v>
                </c:pt>
                <c:pt idx="259">
                  <c:v>745.92805172330009</c:v>
                </c:pt>
                <c:pt idx="260">
                  <c:v>741.79523207779994</c:v>
                </c:pt>
                <c:pt idx="261">
                  <c:v>751.05811873177993</c:v>
                </c:pt>
                <c:pt idx="262">
                  <c:v>695.64088991052006</c:v>
                </c:pt>
                <c:pt idx="263">
                  <c:v>784.92653367203002</c:v>
                </c:pt>
                <c:pt idx="264">
                  <c:v>770.80105954991996</c:v>
                </c:pt>
                <c:pt idx="265">
                  <c:v>718.78149730366999</c:v>
                </c:pt>
                <c:pt idx="266">
                  <c:v>667.74774004065</c:v>
                </c:pt>
                <c:pt idx="267">
                  <c:v>752.19986541050002</c:v>
                </c:pt>
                <c:pt idx="268">
                  <c:v>645.50471063256998</c:v>
                </c:pt>
                <c:pt idx="269">
                  <c:v>779.45458081414006</c:v>
                </c:pt>
                <c:pt idx="270">
                  <c:v>847.10479487597001</c:v>
                </c:pt>
                <c:pt idx="271">
                  <c:v>887.27253692581996</c:v>
                </c:pt>
                <c:pt idx="272">
                  <c:v>890.06207191548015</c:v>
                </c:pt>
                <c:pt idx="273">
                  <c:v>924.46605383940994</c:v>
                </c:pt>
                <c:pt idx="274">
                  <c:v>924.05460319709005</c:v>
                </c:pt>
                <c:pt idx="275">
                  <c:v>898.65987725293007</c:v>
                </c:pt>
                <c:pt idx="276">
                  <c:v>805.02564284196001</c:v>
                </c:pt>
                <c:pt idx="277">
                  <c:v>850.75251979432005</c:v>
                </c:pt>
                <c:pt idx="278">
                  <c:v>824.59061418193005</c:v>
                </c:pt>
                <c:pt idx="279">
                  <c:v>770.32978938609995</c:v>
                </c:pt>
                <c:pt idx="280">
                  <c:v>833.40449545273009</c:v>
                </c:pt>
                <c:pt idx="281">
                  <c:v>782.21531189279006</c:v>
                </c:pt>
                <c:pt idx="282">
                  <c:v>716.40693494417997</c:v>
                </c:pt>
                <c:pt idx="283">
                  <c:v>801.70562036635999</c:v>
                </c:pt>
                <c:pt idx="284">
                  <c:v>799.13125852589997</c:v>
                </c:pt>
                <c:pt idx="285">
                  <c:v>856.78997589739993</c:v>
                </c:pt>
                <c:pt idx="286">
                  <c:v>887.14145156867994</c:v>
                </c:pt>
                <c:pt idx="287">
                  <c:v>906.60362755944004</c:v>
                </c:pt>
                <c:pt idx="288">
                  <c:v>820.41694132828002</c:v>
                </c:pt>
                <c:pt idx="289">
                  <c:v>819.39802544352005</c:v>
                </c:pt>
                <c:pt idx="290">
                  <c:v>828.51300515485991</c:v>
                </c:pt>
                <c:pt idx="291">
                  <c:v>778.54559777512998</c:v>
                </c:pt>
                <c:pt idx="292">
                  <c:v>762.24390679517001</c:v>
                </c:pt>
                <c:pt idx="293">
                  <c:v>767.63598824869996</c:v>
                </c:pt>
                <c:pt idx="294">
                  <c:v>739.3154305907301</c:v>
                </c:pt>
                <c:pt idx="295">
                  <c:v>746.44809692995</c:v>
                </c:pt>
                <c:pt idx="296">
                  <c:v>745.78354645615991</c:v>
                </c:pt>
                <c:pt idx="297">
                  <c:v>738.85288601990999</c:v>
                </c:pt>
                <c:pt idx="298">
                  <c:v>749.57121989846996</c:v>
                </c:pt>
                <c:pt idx="299">
                  <c:v>743.81355754590004</c:v>
                </c:pt>
                <c:pt idx="300">
                  <c:v>724.67102981470998</c:v>
                </c:pt>
                <c:pt idx="301">
                  <c:v>704.48544164402006</c:v>
                </c:pt>
                <c:pt idx="302">
                  <c:v>712.82406910447003</c:v>
                </c:pt>
                <c:pt idx="303">
                  <c:v>745.36427236468001</c:v>
                </c:pt>
                <c:pt idx="304">
                  <c:v>764.39373625743008</c:v>
                </c:pt>
                <c:pt idx="305">
                  <c:v>747.20481478679994</c:v>
                </c:pt>
                <c:pt idx="306">
                  <c:v>743.88417967379996</c:v>
                </c:pt>
                <c:pt idx="307">
                  <c:v>726.34813073680004</c:v>
                </c:pt>
                <c:pt idx="308">
                  <c:v>718.52862783404998</c:v>
                </c:pt>
                <c:pt idx="309">
                  <c:v>709.81139427251992</c:v>
                </c:pt>
                <c:pt idx="310">
                  <c:v>720.34957595649996</c:v>
                </c:pt>
                <c:pt idx="311">
                  <c:v>677.99207452814005</c:v>
                </c:pt>
                <c:pt idx="312">
                  <c:v>673.30643942879999</c:v>
                </c:pt>
                <c:pt idx="313">
                  <c:v>679.20007636154003</c:v>
                </c:pt>
                <c:pt idx="314">
                  <c:v>709.68046793771998</c:v>
                </c:pt>
                <c:pt idx="315">
                  <c:v>705.95081605706991</c:v>
                </c:pt>
                <c:pt idx="316">
                  <c:v>700.14029338142007</c:v>
                </c:pt>
                <c:pt idx="317">
                  <c:v>685.63036000186003</c:v>
                </c:pt>
                <c:pt idx="318">
                  <c:v>701.67438999608999</c:v>
                </c:pt>
                <c:pt idx="319">
                  <c:v>689.75396228031002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'240823E018'!$A$2:$A$321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'240823E018'!$P$2:$P$321</c:f>
              <c:numCache>
                <c:formatCode>General</c:formatCode>
                <c:ptCount val="320"/>
                <c:pt idx="0">
                  <c:v>52.031216753378388</c:v>
                </c:pt>
                <c:pt idx="1">
                  <c:v>58.38689342325516</c:v>
                </c:pt>
                <c:pt idx="2">
                  <c:v>70.598056967411367</c:v>
                </c:pt>
                <c:pt idx="3">
                  <c:v>77.585729002146337</c:v>
                </c:pt>
                <c:pt idx="4">
                  <c:v>64.779667317624458</c:v>
                </c:pt>
                <c:pt idx="5">
                  <c:v>55.682525601713337</c:v>
                </c:pt>
                <c:pt idx="6">
                  <c:v>48.335927651898103</c:v>
                </c:pt>
                <c:pt idx="7">
                  <c:v>51.29527182001371</c:v>
                </c:pt>
                <c:pt idx="8">
                  <c:v>43.637723522264857</c:v>
                </c:pt>
                <c:pt idx="9">
                  <c:v>31.457758838723265</c:v>
                </c:pt>
                <c:pt idx="10">
                  <c:v>28.228244452983294</c:v>
                </c:pt>
                <c:pt idx="11">
                  <c:v>24.838662651319488</c:v>
                </c:pt>
                <c:pt idx="12">
                  <c:v>21.793734614483419</c:v>
                </c:pt>
                <c:pt idx="13">
                  <c:v>18.976198510790372</c:v>
                </c:pt>
                <c:pt idx="14">
                  <c:v>14.898099744032949</c:v>
                </c:pt>
                <c:pt idx="15">
                  <c:v>13.799239742253736</c:v>
                </c:pt>
                <c:pt idx="16">
                  <c:v>10.750949203799367</c:v>
                </c:pt>
                <c:pt idx="17">
                  <c:v>8.6597211724406495</c:v>
                </c:pt>
                <c:pt idx="18">
                  <c:v>6.2819688854061777</c:v>
                </c:pt>
                <c:pt idx="19">
                  <c:v>4.6538937304133299</c:v>
                </c:pt>
                <c:pt idx="20">
                  <c:v>2.7302983242087948</c:v>
                </c:pt>
                <c:pt idx="21">
                  <c:v>1.359944464739044</c:v>
                </c:pt>
                <c:pt idx="22">
                  <c:v>0.6419769809853354</c:v>
                </c:pt>
                <c:pt idx="23">
                  <c:v>-1.4446003028642158</c:v>
                </c:pt>
                <c:pt idx="24">
                  <c:v>-2.3465836137666547</c:v>
                </c:pt>
                <c:pt idx="25">
                  <c:v>-2.9817666636100473</c:v>
                </c:pt>
                <c:pt idx="26">
                  <c:v>-4.0162262018621897</c:v>
                </c:pt>
                <c:pt idx="27">
                  <c:v>-4.6459297489480997</c:v>
                </c:pt>
                <c:pt idx="28">
                  <c:v>-4.4046613369600216</c:v>
                </c:pt>
                <c:pt idx="29">
                  <c:v>-5.00911242161306</c:v>
                </c:pt>
                <c:pt idx="30">
                  <c:v>-5.2474689375047294</c:v>
                </c:pt>
                <c:pt idx="31">
                  <c:v>-6.0768059533811858</c:v>
                </c:pt>
                <c:pt idx="32">
                  <c:v>-6.1118023793289167</c:v>
                </c:pt>
                <c:pt idx="33">
                  <c:v>-6.1172039513580101</c:v>
                </c:pt>
                <c:pt idx="34">
                  <c:v>-6.0880181331213814</c:v>
                </c:pt>
                <c:pt idx="35">
                  <c:v>-6.4942658455687514</c:v>
                </c:pt>
                <c:pt idx="36">
                  <c:v>-5.0753329679628489</c:v>
                </c:pt>
                <c:pt idx="37">
                  <c:v>-6.193232652745241</c:v>
                </c:pt>
                <c:pt idx="38">
                  <c:v>-6.8573423126731008</c:v>
                </c:pt>
                <c:pt idx="39">
                  <c:v>-7.2911438144859693</c:v>
                </c:pt>
                <c:pt idx="40">
                  <c:v>-6.8469078933870318</c:v>
                </c:pt>
                <c:pt idx="41">
                  <c:v>-6.9455088459026371</c:v>
                </c:pt>
                <c:pt idx="42">
                  <c:v>-7.9156377801844782</c:v>
                </c:pt>
                <c:pt idx="43">
                  <c:v>-7.1453188655175373</c:v>
                </c:pt>
                <c:pt idx="44">
                  <c:v>-6.8476274169893339</c:v>
                </c:pt>
                <c:pt idx="45">
                  <c:v>-6.883577768278176</c:v>
                </c:pt>
                <c:pt idx="46">
                  <c:v>-7.5303715876304338</c:v>
                </c:pt>
                <c:pt idx="47">
                  <c:v>-6.4358239006907469</c:v>
                </c:pt>
                <c:pt idx="48">
                  <c:v>-5.2050603629899221</c:v>
                </c:pt>
                <c:pt idx="49">
                  <c:v>-5.0810705394088398</c:v>
                </c:pt>
                <c:pt idx="50">
                  <c:v>-5.8187777208254934</c:v>
                </c:pt>
                <c:pt idx="51">
                  <c:v>-4.8808845329650925</c:v>
                </c:pt>
                <c:pt idx="52">
                  <c:v>-4.2764513044968693</c:v>
                </c:pt>
                <c:pt idx="53">
                  <c:v>-3.2090499248760493</c:v>
                </c:pt>
                <c:pt idx="54">
                  <c:v>-3.0824757625629617</c:v>
                </c:pt>
                <c:pt idx="55">
                  <c:v>-3.2553277537005889</c:v>
                </c:pt>
                <c:pt idx="56">
                  <c:v>-3.028777077717836</c:v>
                </c:pt>
                <c:pt idx="57">
                  <c:v>-4.6524968778817515</c:v>
                </c:pt>
                <c:pt idx="58">
                  <c:v>-3.5707655225092458</c:v>
                </c:pt>
                <c:pt idx="59">
                  <c:v>-3.4023528362449937</c:v>
                </c:pt>
                <c:pt idx="60">
                  <c:v>-3.0391611332959205</c:v>
                </c:pt>
                <c:pt idx="61">
                  <c:v>-2.4938403767229236</c:v>
                </c:pt>
                <c:pt idx="62">
                  <c:v>-0.92666993863576474</c:v>
                </c:pt>
                <c:pt idx="63">
                  <c:v>-0.16640003938318854</c:v>
                </c:pt>
                <c:pt idx="64">
                  <c:v>-0.10344013104998932</c:v>
                </c:pt>
                <c:pt idx="65">
                  <c:v>-0.42925415973783337</c:v>
                </c:pt>
                <c:pt idx="66">
                  <c:v>-1.6402315846761348</c:v>
                </c:pt>
                <c:pt idx="67">
                  <c:v>-1.2057509518742175</c:v>
                </c:pt>
                <c:pt idx="68">
                  <c:v>-0.85063580123546312</c:v>
                </c:pt>
                <c:pt idx="69">
                  <c:v>-0.35432632524804519</c:v>
                </c:pt>
                <c:pt idx="70">
                  <c:v>0.84453337191368627</c:v>
                </c:pt>
                <c:pt idx="71">
                  <c:v>0.23157661492339937</c:v>
                </c:pt>
                <c:pt idx="72">
                  <c:v>1.4291220694668334</c:v>
                </c:pt>
                <c:pt idx="73">
                  <c:v>1.8771002751683186</c:v>
                </c:pt>
                <c:pt idx="74">
                  <c:v>0.52574986951772829</c:v>
                </c:pt>
                <c:pt idx="75">
                  <c:v>0.87909644885755756</c:v>
                </c:pt>
                <c:pt idx="76">
                  <c:v>1.6661389131349185</c:v>
                </c:pt>
                <c:pt idx="77">
                  <c:v>1.0610766312156914</c:v>
                </c:pt>
                <c:pt idx="78">
                  <c:v>1.6717034339595309</c:v>
                </c:pt>
                <c:pt idx="79">
                  <c:v>1.0236128137018494</c:v>
                </c:pt>
                <c:pt idx="80">
                  <c:v>4.2072810459766412</c:v>
                </c:pt>
                <c:pt idx="81">
                  <c:v>4.7635085112861946</c:v>
                </c:pt>
                <c:pt idx="82">
                  <c:v>3.8572766327693344</c:v>
                </c:pt>
                <c:pt idx="83">
                  <c:v>3.3116095462774888</c:v>
                </c:pt>
                <c:pt idx="84">
                  <c:v>6.8336427424164654</c:v>
                </c:pt>
                <c:pt idx="85">
                  <c:v>40.026308241628314</c:v>
                </c:pt>
                <c:pt idx="86">
                  <c:v>68.920956218411177</c:v>
                </c:pt>
                <c:pt idx="87">
                  <c:v>89.522850665226628</c:v>
                </c:pt>
                <c:pt idx="88">
                  <c:v>106.74269139625233</c:v>
                </c:pt>
                <c:pt idx="89">
                  <c:v>120.28303711916641</c:v>
                </c:pt>
                <c:pt idx="90">
                  <c:v>128.74494161074853</c:v>
                </c:pt>
                <c:pt idx="91">
                  <c:v>136.08176392926288</c:v>
                </c:pt>
                <c:pt idx="92">
                  <c:v>139.85619341071867</c:v>
                </c:pt>
                <c:pt idx="93">
                  <c:v>139.58791419621906</c:v>
                </c:pt>
                <c:pt idx="94">
                  <c:v>139.03486807954852</c:v>
                </c:pt>
                <c:pt idx="95">
                  <c:v>137.19757931586935</c:v>
                </c:pt>
                <c:pt idx="96">
                  <c:v>131.97438542624047</c:v>
                </c:pt>
                <c:pt idx="97">
                  <c:v>129.34071452522141</c:v>
                </c:pt>
                <c:pt idx="98">
                  <c:v>124.71202926247594</c:v>
                </c:pt>
                <c:pt idx="99">
                  <c:v>119.35409038493472</c:v>
                </c:pt>
                <c:pt idx="100">
                  <c:v>114.92152617152698</c:v>
                </c:pt>
                <c:pt idx="101">
                  <c:v>107.85339524470888</c:v>
                </c:pt>
                <c:pt idx="102">
                  <c:v>103.26490595795342</c:v>
                </c:pt>
                <c:pt idx="103">
                  <c:v>96.793975516781387</c:v>
                </c:pt>
                <c:pt idx="104">
                  <c:v>92.10450822508372</c:v>
                </c:pt>
                <c:pt idx="105">
                  <c:v>89.889248601500483</c:v>
                </c:pt>
                <c:pt idx="106">
                  <c:v>84.524105709856158</c:v>
                </c:pt>
                <c:pt idx="107">
                  <c:v>81.805166747085721</c:v>
                </c:pt>
                <c:pt idx="108">
                  <c:v>79.644801608280417</c:v>
                </c:pt>
                <c:pt idx="109">
                  <c:v>75.237156441004046</c:v>
                </c:pt>
                <c:pt idx="110">
                  <c:v>72.982938801359438</c:v>
                </c:pt>
                <c:pt idx="111">
                  <c:v>68.673532935277564</c:v>
                </c:pt>
                <c:pt idx="112">
                  <c:v>66.843812017658365</c:v>
                </c:pt>
                <c:pt idx="113">
                  <c:v>64.166121581425458</c:v>
                </c:pt>
                <c:pt idx="114">
                  <c:v>60.665277654444424</c:v>
                </c:pt>
                <c:pt idx="115">
                  <c:v>58.964816724668658</c:v>
                </c:pt>
                <c:pt idx="116">
                  <c:v>56.849630728444481</c:v>
                </c:pt>
                <c:pt idx="117">
                  <c:v>53.706952367208004</c:v>
                </c:pt>
                <c:pt idx="118">
                  <c:v>51.361796236819046</c:v>
                </c:pt>
                <c:pt idx="119">
                  <c:v>50.453092282293333</c:v>
                </c:pt>
                <c:pt idx="120">
                  <c:v>49.059794396270043</c:v>
                </c:pt>
                <c:pt idx="121">
                  <c:v>46.76094635634113</c:v>
                </c:pt>
                <c:pt idx="122">
                  <c:v>43.065712404756013</c:v>
                </c:pt>
                <c:pt idx="123">
                  <c:v>41.242058539287349</c:v>
                </c:pt>
                <c:pt idx="124">
                  <c:v>38.981426147299437</c:v>
                </c:pt>
                <c:pt idx="125">
                  <c:v>37.815630728575314</c:v>
                </c:pt>
                <c:pt idx="126">
                  <c:v>37.362711792035071</c:v>
                </c:pt>
                <c:pt idx="127">
                  <c:v>35.198944802619245</c:v>
                </c:pt>
                <c:pt idx="128">
                  <c:v>33.882361850709273</c:v>
                </c:pt>
                <c:pt idx="129">
                  <c:v>32.72083058128559</c:v>
                </c:pt>
                <c:pt idx="130">
                  <c:v>32.665611071647824</c:v>
                </c:pt>
                <c:pt idx="131">
                  <c:v>31.038990744239808</c:v>
                </c:pt>
                <c:pt idx="132">
                  <c:v>31.830205802363459</c:v>
                </c:pt>
                <c:pt idx="133">
                  <c:v>30.899794966144643</c:v>
                </c:pt>
                <c:pt idx="134">
                  <c:v>29.908680624334284</c:v>
                </c:pt>
                <c:pt idx="135">
                  <c:v>28.97125825961292</c:v>
                </c:pt>
                <c:pt idx="136">
                  <c:v>28.219888137290372</c:v>
                </c:pt>
                <c:pt idx="137">
                  <c:v>27.253879767101409</c:v>
                </c:pt>
                <c:pt idx="138">
                  <c:v>25.058394590408419</c:v>
                </c:pt>
                <c:pt idx="139">
                  <c:v>23.589249228336261</c:v>
                </c:pt>
                <c:pt idx="140">
                  <c:v>23.745905060643789</c:v>
                </c:pt>
                <c:pt idx="141">
                  <c:v>22.355864493307354</c:v>
                </c:pt>
                <c:pt idx="142">
                  <c:v>21.845661936080511</c:v>
                </c:pt>
                <c:pt idx="143">
                  <c:v>21.248148895298023</c:v>
                </c:pt>
                <c:pt idx="144">
                  <c:v>20.38650530310381</c:v>
                </c:pt>
                <c:pt idx="145">
                  <c:v>20.889719175170999</c:v>
                </c:pt>
                <c:pt idx="146">
                  <c:v>21.04070075533388</c:v>
                </c:pt>
                <c:pt idx="147">
                  <c:v>20.386451586562597</c:v>
                </c:pt>
                <c:pt idx="148">
                  <c:v>19.598297884440139</c:v>
                </c:pt>
                <c:pt idx="149">
                  <c:v>19.138169243837392</c:v>
                </c:pt>
                <c:pt idx="150">
                  <c:v>18.828763369349613</c:v>
                </c:pt>
                <c:pt idx="151">
                  <c:v>19.694203983580501</c:v>
                </c:pt>
                <c:pt idx="152">
                  <c:v>18.9020693358197</c:v>
                </c:pt>
                <c:pt idx="153">
                  <c:v>16.553407161340637</c:v>
                </c:pt>
                <c:pt idx="154">
                  <c:v>16.532554999514844</c:v>
                </c:pt>
                <c:pt idx="155">
                  <c:v>16.047402334771778</c:v>
                </c:pt>
                <c:pt idx="156">
                  <c:v>14.502158473908056</c:v>
                </c:pt>
                <c:pt idx="157">
                  <c:v>14.286286290291415</c:v>
                </c:pt>
                <c:pt idx="158">
                  <c:v>12.457165147068475</c:v>
                </c:pt>
                <c:pt idx="159">
                  <c:v>12.950994375228364</c:v>
                </c:pt>
                <c:pt idx="160">
                  <c:v>11.792755526010406</c:v>
                </c:pt>
                <c:pt idx="161">
                  <c:v>12.915869074907672</c:v>
                </c:pt>
                <c:pt idx="162">
                  <c:v>11.542063875689639</c:v>
                </c:pt>
                <c:pt idx="163">
                  <c:v>10.128283923475406</c:v>
                </c:pt>
                <c:pt idx="164">
                  <c:v>9.2752074005111265</c:v>
                </c:pt>
                <c:pt idx="165">
                  <c:v>8.4167806618198533</c:v>
                </c:pt>
                <c:pt idx="166">
                  <c:v>7.7012975719365162</c:v>
                </c:pt>
                <c:pt idx="167">
                  <c:v>6.6818878263396666</c:v>
                </c:pt>
                <c:pt idx="168">
                  <c:v>5.8758971637052264</c:v>
                </c:pt>
                <c:pt idx="169">
                  <c:v>3.8899410739310412</c:v>
                </c:pt>
                <c:pt idx="170">
                  <c:v>2.4387714180791433</c:v>
                </c:pt>
                <c:pt idx="171">
                  <c:v>1.0987171988455398</c:v>
                </c:pt>
                <c:pt idx="172">
                  <c:v>-0.97023475118116353</c:v>
                </c:pt>
                <c:pt idx="173">
                  <c:v>-3.0215124979036161</c:v>
                </c:pt>
                <c:pt idx="174">
                  <c:v>-4.137089006906943</c:v>
                </c:pt>
                <c:pt idx="175">
                  <c:v>-5.1831532032118268</c:v>
                </c:pt>
                <c:pt idx="176">
                  <c:v>-7.4083157192872253</c:v>
                </c:pt>
                <c:pt idx="177">
                  <c:v>-9.8022480095159334</c:v>
                </c:pt>
                <c:pt idx="178">
                  <c:v>-10.890437010795859</c:v>
                </c:pt>
                <c:pt idx="179">
                  <c:v>-11.045802456460549</c:v>
                </c:pt>
                <c:pt idx="180">
                  <c:v>-12.007920920324688</c:v>
                </c:pt>
                <c:pt idx="181">
                  <c:v>-13.622578806647756</c:v>
                </c:pt>
                <c:pt idx="182">
                  <c:v>-14.212791563128778</c:v>
                </c:pt>
                <c:pt idx="183">
                  <c:v>-15.399738744960207</c:v>
                </c:pt>
                <c:pt idx="184">
                  <c:v>-16.826581996136245</c:v>
                </c:pt>
                <c:pt idx="185">
                  <c:v>-17.606866831287533</c:v>
                </c:pt>
                <c:pt idx="186">
                  <c:v>-18.727274990760399</c:v>
                </c:pt>
                <c:pt idx="187">
                  <c:v>-19.358955658223941</c:v>
                </c:pt>
                <c:pt idx="188">
                  <c:v>-20.016072015511842</c:v>
                </c:pt>
                <c:pt idx="189">
                  <c:v>-21.619243378603695</c:v>
                </c:pt>
                <c:pt idx="190">
                  <c:v>-22.088932694547218</c:v>
                </c:pt>
                <c:pt idx="191">
                  <c:v>-22.550026477016939</c:v>
                </c:pt>
                <c:pt idx="192">
                  <c:v>-22.971328135288875</c:v>
                </c:pt>
                <c:pt idx="193">
                  <c:v>-23.335771481402944</c:v>
                </c:pt>
                <c:pt idx="194">
                  <c:v>-24.602046297813711</c:v>
                </c:pt>
                <c:pt idx="195">
                  <c:v>-24.759678921080681</c:v>
                </c:pt>
                <c:pt idx="196">
                  <c:v>-24.228405519031796</c:v>
                </c:pt>
                <c:pt idx="197">
                  <c:v>-23.660375152599428</c:v>
                </c:pt>
                <c:pt idx="198">
                  <c:v>-24.232354063653002</c:v>
                </c:pt>
                <c:pt idx="199">
                  <c:v>-23.358660125228909</c:v>
                </c:pt>
                <c:pt idx="200">
                  <c:v>-23.556724286406009</c:v>
                </c:pt>
                <c:pt idx="201">
                  <c:v>-23.389865557582834</c:v>
                </c:pt>
                <c:pt idx="202">
                  <c:v>-23.412725051622303</c:v>
                </c:pt>
                <c:pt idx="203">
                  <c:v>-22.896988020621407</c:v>
                </c:pt>
                <c:pt idx="204">
                  <c:v>-23.849075767440091</c:v>
                </c:pt>
                <c:pt idx="205">
                  <c:v>-23.466344554683417</c:v>
                </c:pt>
                <c:pt idx="206">
                  <c:v>-23.471168657215419</c:v>
                </c:pt>
                <c:pt idx="207">
                  <c:v>-22.981400024688668</c:v>
                </c:pt>
                <c:pt idx="208">
                  <c:v>-22.658108944942366</c:v>
                </c:pt>
                <c:pt idx="209">
                  <c:v>-22.545147397193812</c:v>
                </c:pt>
                <c:pt idx="210">
                  <c:v>-22.07685140742209</c:v>
                </c:pt>
                <c:pt idx="211">
                  <c:v>-21.58047131035838</c:v>
                </c:pt>
                <c:pt idx="212">
                  <c:v>-21.974504442382752</c:v>
                </c:pt>
                <c:pt idx="213">
                  <c:v>-21.478081303101078</c:v>
                </c:pt>
                <c:pt idx="214">
                  <c:v>-19.571265005640377</c:v>
                </c:pt>
                <c:pt idx="215">
                  <c:v>-19.626832794886468</c:v>
                </c:pt>
                <c:pt idx="216">
                  <c:v>-19.81789375748669</c:v>
                </c:pt>
                <c:pt idx="217">
                  <c:v>-18.943494879334427</c:v>
                </c:pt>
                <c:pt idx="218">
                  <c:v>-18.759218658181876</c:v>
                </c:pt>
                <c:pt idx="219">
                  <c:v>-17.925662579612986</c:v>
                </c:pt>
                <c:pt idx="220">
                  <c:v>-16.717970418539469</c:v>
                </c:pt>
                <c:pt idx="221">
                  <c:v>-15.976601138835896</c:v>
                </c:pt>
                <c:pt idx="222">
                  <c:v>-15.277066080750416</c:v>
                </c:pt>
                <c:pt idx="223">
                  <c:v>-14.951483131948473</c:v>
                </c:pt>
                <c:pt idx="224">
                  <c:v>-15.166671551005322</c:v>
                </c:pt>
                <c:pt idx="225">
                  <c:v>-13.950431439378258</c:v>
                </c:pt>
                <c:pt idx="226">
                  <c:v>-13.132267448535165</c:v>
                </c:pt>
                <c:pt idx="227">
                  <c:v>-11.263458782816205</c:v>
                </c:pt>
                <c:pt idx="228">
                  <c:v>-13.839409906374906</c:v>
                </c:pt>
                <c:pt idx="229">
                  <c:v>-13.197278876740739</c:v>
                </c:pt>
                <c:pt idx="230">
                  <c:v>-11.974013182593108</c:v>
                </c:pt>
                <c:pt idx="231">
                  <c:v>-11.081789736390677</c:v>
                </c:pt>
                <c:pt idx="232">
                  <c:v>-9.7085026392350553</c:v>
                </c:pt>
                <c:pt idx="233">
                  <c:v>-10.236077651042095</c:v>
                </c:pt>
                <c:pt idx="234">
                  <c:v>-9.1979684550619769</c:v>
                </c:pt>
                <c:pt idx="235">
                  <c:v>-8.9340297192401703</c:v>
                </c:pt>
                <c:pt idx="236">
                  <c:v>-8.1497849936295079</c:v>
                </c:pt>
                <c:pt idx="237">
                  <c:v>-6.0821535700905516</c:v>
                </c:pt>
                <c:pt idx="238">
                  <c:v>-6.2003113461326835</c:v>
                </c:pt>
                <c:pt idx="239">
                  <c:v>-4.8695236231715562</c:v>
                </c:pt>
                <c:pt idx="240">
                  <c:v>-6.3634669693305321</c:v>
                </c:pt>
                <c:pt idx="241">
                  <c:v>-6.061630924748866</c:v>
                </c:pt>
                <c:pt idx="242">
                  <c:v>-5.1041015298779238</c:v>
                </c:pt>
                <c:pt idx="243">
                  <c:v>-3.0058518792622322</c:v>
                </c:pt>
                <c:pt idx="244">
                  <c:v>-2.5188463189598864</c:v>
                </c:pt>
                <c:pt idx="245">
                  <c:v>-4.1255014752432126</c:v>
                </c:pt>
                <c:pt idx="246">
                  <c:v>-2.0715969415705113</c:v>
                </c:pt>
                <c:pt idx="247">
                  <c:v>-3.9345971336761409</c:v>
                </c:pt>
                <c:pt idx="248">
                  <c:v>-2.9748882851528062</c:v>
                </c:pt>
                <c:pt idx="249">
                  <c:v>-2.4342046958893895</c:v>
                </c:pt>
                <c:pt idx="250">
                  <c:v>-1.0388517191131166</c:v>
                </c:pt>
                <c:pt idx="251">
                  <c:v>0.87520244721167573</c:v>
                </c:pt>
                <c:pt idx="252">
                  <c:v>-0.78846266269510834</c:v>
                </c:pt>
                <c:pt idx="253">
                  <c:v>-1.0744198134905139</c:v>
                </c:pt>
                <c:pt idx="254">
                  <c:v>-0.55544731929920577</c:v>
                </c:pt>
                <c:pt idx="255">
                  <c:v>0.23797214908995376</c:v>
                </c:pt>
                <c:pt idx="256">
                  <c:v>2.8888847273183864</c:v>
                </c:pt>
                <c:pt idx="257">
                  <c:v>1.26624420794312</c:v>
                </c:pt>
                <c:pt idx="258">
                  <c:v>0.51149980470420209</c:v>
                </c:pt>
                <c:pt idx="259">
                  <c:v>6.402406832550997E-2</c:v>
                </c:pt>
                <c:pt idx="260">
                  <c:v>0.96239319616041819</c:v>
                </c:pt>
                <c:pt idx="261">
                  <c:v>-0.25826912110675221</c:v>
                </c:pt>
                <c:pt idx="262">
                  <c:v>2.8303943688707949</c:v>
                </c:pt>
                <c:pt idx="263">
                  <c:v>1.1919961675684927</c:v>
                </c:pt>
                <c:pt idx="264">
                  <c:v>1.1238659869193</c:v>
                </c:pt>
                <c:pt idx="265">
                  <c:v>1.1327391295683669</c:v>
                </c:pt>
                <c:pt idx="266">
                  <c:v>4.1252441842952576</c:v>
                </c:pt>
                <c:pt idx="267">
                  <c:v>3.4233164847463331</c:v>
                </c:pt>
                <c:pt idx="268">
                  <c:v>5.6967812196909478</c:v>
                </c:pt>
                <c:pt idx="269">
                  <c:v>2.9755102367687152</c:v>
                </c:pt>
                <c:pt idx="270">
                  <c:v>2.4805390304630652</c:v>
                </c:pt>
                <c:pt idx="271">
                  <c:v>2.5270126240413462</c:v>
                </c:pt>
                <c:pt idx="272">
                  <c:v>1.7620376531748998</c:v>
                </c:pt>
                <c:pt idx="273">
                  <c:v>1.9265564182398716</c:v>
                </c:pt>
                <c:pt idx="274">
                  <c:v>1.995053747077937</c:v>
                </c:pt>
                <c:pt idx="275">
                  <c:v>3.110778012114654</c:v>
                </c:pt>
                <c:pt idx="276">
                  <c:v>3.696866431422722</c:v>
                </c:pt>
                <c:pt idx="277">
                  <c:v>4.1818762620393919</c:v>
                </c:pt>
                <c:pt idx="278">
                  <c:v>3.5842200726649751</c:v>
                </c:pt>
                <c:pt idx="279">
                  <c:v>4.3198527690762827</c:v>
                </c:pt>
                <c:pt idx="280">
                  <c:v>4.0336253015816048</c:v>
                </c:pt>
                <c:pt idx="281">
                  <c:v>4.1770118924784834</c:v>
                </c:pt>
                <c:pt idx="282">
                  <c:v>5.0898057506013794</c:v>
                </c:pt>
                <c:pt idx="283">
                  <c:v>5.9843014748620655</c:v>
                </c:pt>
                <c:pt idx="284">
                  <c:v>6.9365573427526082</c:v>
                </c:pt>
                <c:pt idx="285">
                  <c:v>5.2584459110704556</c:v>
                </c:pt>
                <c:pt idx="286">
                  <c:v>6.4748714606664963</c:v>
                </c:pt>
                <c:pt idx="287">
                  <c:v>6.402549891359401</c:v>
                </c:pt>
                <c:pt idx="288">
                  <c:v>6.3855567393526131</c:v>
                </c:pt>
                <c:pt idx="289">
                  <c:v>6.6185145515393975</c:v>
                </c:pt>
                <c:pt idx="290">
                  <c:v>6.2520228139195719</c:v>
                </c:pt>
                <c:pt idx="291">
                  <c:v>6.6577485169604174</c:v>
                </c:pt>
                <c:pt idx="292">
                  <c:v>5.9809881288777369</c:v>
                </c:pt>
                <c:pt idx="293">
                  <c:v>6.2467942751461818</c:v>
                </c:pt>
                <c:pt idx="294">
                  <c:v>6.5798354140193469</c:v>
                </c:pt>
                <c:pt idx="295">
                  <c:v>6.3222273549687351</c:v>
                </c:pt>
                <c:pt idx="296">
                  <c:v>6.1536038384208451</c:v>
                </c:pt>
                <c:pt idx="297">
                  <c:v>6.4653341162665603</c:v>
                </c:pt>
                <c:pt idx="298">
                  <c:v>6.4792682766858789</c:v>
                </c:pt>
                <c:pt idx="299">
                  <c:v>6.7796128257440049</c:v>
                </c:pt>
                <c:pt idx="300">
                  <c:v>6.1881928151921022</c:v>
                </c:pt>
                <c:pt idx="301">
                  <c:v>6.8662411391927813</c:v>
                </c:pt>
                <c:pt idx="302">
                  <c:v>6.7677244420805307</c:v>
                </c:pt>
                <c:pt idx="303">
                  <c:v>6.4889287053704976</c:v>
                </c:pt>
                <c:pt idx="304">
                  <c:v>7.1191328167220513</c:v>
                </c:pt>
                <c:pt idx="305">
                  <c:v>6.4095793452195142</c:v>
                </c:pt>
                <c:pt idx="306">
                  <c:v>7.8881115179714172</c:v>
                </c:pt>
                <c:pt idx="307">
                  <c:v>7.4285807604155734</c:v>
                </c:pt>
                <c:pt idx="308">
                  <c:v>7.2360308688792614</c:v>
                </c:pt>
                <c:pt idx="309">
                  <c:v>7.7902887326559807</c:v>
                </c:pt>
                <c:pt idx="310">
                  <c:v>7.8923154848659358</c:v>
                </c:pt>
                <c:pt idx="311">
                  <c:v>7.8320537943319932</c:v>
                </c:pt>
                <c:pt idx="312">
                  <c:v>8.3075340958277462</c:v>
                </c:pt>
                <c:pt idx="313">
                  <c:v>9.1046386129645889</c:v>
                </c:pt>
                <c:pt idx="314">
                  <c:v>9.2305894247235685</c:v>
                </c:pt>
                <c:pt idx="315">
                  <c:v>9.0054563811070807</c:v>
                </c:pt>
                <c:pt idx="316">
                  <c:v>9.036722708480232</c:v>
                </c:pt>
                <c:pt idx="317">
                  <c:v>9.6758431106473815</c:v>
                </c:pt>
                <c:pt idx="318">
                  <c:v>9.2602892391652638</c:v>
                </c:pt>
                <c:pt idx="319">
                  <c:v>9.3445372730923282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'240823E019'!$A$2:$A$321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'240823E019'!$J$2:$J$321</c:f>
              <c:numCache>
                <c:formatCode>0.0</c:formatCode>
                <c:ptCount val="320"/>
                <c:pt idx="0">
                  <c:v>434.38721675611004</c:v>
                </c:pt>
                <c:pt idx="1">
                  <c:v>431.81616726297</c:v>
                </c:pt>
                <c:pt idx="2">
                  <c:v>427.73360166964994</c:v>
                </c:pt>
                <c:pt idx="3">
                  <c:v>431.11577966607001</c:v>
                </c:pt>
                <c:pt idx="4">
                  <c:v>423.72935301132998</c:v>
                </c:pt>
                <c:pt idx="5">
                  <c:v>432.64588550984001</c:v>
                </c:pt>
                <c:pt idx="6">
                  <c:v>405.86274597495998</c:v>
                </c:pt>
                <c:pt idx="7">
                  <c:v>340.61902206320002</c:v>
                </c:pt>
                <c:pt idx="8">
                  <c:v>341.64993688983998</c:v>
                </c:pt>
                <c:pt idx="9">
                  <c:v>226.22186850746999</c:v>
                </c:pt>
                <c:pt idx="10">
                  <c:v>393.32247238932996</c:v>
                </c:pt>
                <c:pt idx="11">
                  <c:v>409.62018496902004</c:v>
                </c:pt>
                <c:pt idx="12">
                  <c:v>391.14398326899004</c:v>
                </c:pt>
                <c:pt idx="13">
                  <c:v>376.05041378588004</c:v>
                </c:pt>
                <c:pt idx="14">
                  <c:v>376.48573074735998</c:v>
                </c:pt>
                <c:pt idx="15">
                  <c:v>377.35907710035997</c:v>
                </c:pt>
                <c:pt idx="16">
                  <c:v>399.67630046991002</c:v>
                </c:pt>
                <c:pt idx="17">
                  <c:v>411.67829457365002</c:v>
                </c:pt>
                <c:pt idx="18">
                  <c:v>386.36627906977003</c:v>
                </c:pt>
                <c:pt idx="19">
                  <c:v>394.88476706555002</c:v>
                </c:pt>
                <c:pt idx="20">
                  <c:v>383.15095582147995</c:v>
                </c:pt>
                <c:pt idx="21">
                  <c:v>376.69148415744996</c:v>
                </c:pt>
                <c:pt idx="22">
                  <c:v>374.68510386091998</c:v>
                </c:pt>
                <c:pt idx="23">
                  <c:v>372.48772296228998</c:v>
                </c:pt>
                <c:pt idx="24">
                  <c:v>368.46671934973995</c:v>
                </c:pt>
                <c:pt idx="25">
                  <c:v>361.15869082561994</c:v>
                </c:pt>
                <c:pt idx="26">
                  <c:v>348.20090973936004</c:v>
                </c:pt>
                <c:pt idx="27">
                  <c:v>347.86837839572001</c:v>
                </c:pt>
                <c:pt idx="28">
                  <c:v>358.77095834936995</c:v>
                </c:pt>
                <c:pt idx="29">
                  <c:v>368.96801382063995</c:v>
                </c:pt>
                <c:pt idx="30">
                  <c:v>381.31987437808004</c:v>
                </c:pt>
                <c:pt idx="31">
                  <c:v>378.82621644642006</c:v>
                </c:pt>
                <c:pt idx="32">
                  <c:v>401.18288838409001</c:v>
                </c:pt>
                <c:pt idx="33">
                  <c:v>378.70268692893001</c:v>
                </c:pt>
                <c:pt idx="34">
                  <c:v>325.27671169960001</c:v>
                </c:pt>
                <c:pt idx="35">
                  <c:v>348.84593023256002</c:v>
                </c:pt>
                <c:pt idx="36">
                  <c:v>343.03585271318002</c:v>
                </c:pt>
                <c:pt idx="37">
                  <c:v>345.52616279068997</c:v>
                </c:pt>
                <c:pt idx="38">
                  <c:v>317.09570532139998</c:v>
                </c:pt>
                <c:pt idx="39">
                  <c:v>315.48327972950995</c:v>
                </c:pt>
                <c:pt idx="40">
                  <c:v>321.54189532635002</c:v>
                </c:pt>
                <c:pt idx="41">
                  <c:v>321.01100565277</c:v>
                </c:pt>
                <c:pt idx="42">
                  <c:v>356.52852305975</c:v>
                </c:pt>
                <c:pt idx="43">
                  <c:v>357.31867025609006</c:v>
                </c:pt>
                <c:pt idx="44">
                  <c:v>363.46470980691004</c:v>
                </c:pt>
                <c:pt idx="45">
                  <c:v>361.32855191256999</c:v>
                </c:pt>
                <c:pt idx="46">
                  <c:v>359.32272861489002</c:v>
                </c:pt>
                <c:pt idx="47">
                  <c:v>366.03834038737</c:v>
                </c:pt>
                <c:pt idx="48">
                  <c:v>333.19337521161998</c:v>
                </c:pt>
                <c:pt idx="49">
                  <c:v>326.63621103650996</c:v>
                </c:pt>
                <c:pt idx="50">
                  <c:v>324.45306594335</c:v>
                </c:pt>
                <c:pt idx="51">
                  <c:v>328.47353335704997</c:v>
                </c:pt>
                <c:pt idx="52">
                  <c:v>332.76732884224998</c:v>
                </c:pt>
                <c:pt idx="53">
                  <c:v>374.77132243931999</c:v>
                </c:pt>
                <c:pt idx="54">
                  <c:v>377.08953728084998</c:v>
                </c:pt>
                <c:pt idx="55">
                  <c:v>374.05846683483003</c:v>
                </c:pt>
                <c:pt idx="56">
                  <c:v>392.45799356915001</c:v>
                </c:pt>
                <c:pt idx="57">
                  <c:v>390.65575340333999</c:v>
                </c:pt>
                <c:pt idx="58">
                  <c:v>396.16748285994004</c:v>
                </c:pt>
                <c:pt idx="59">
                  <c:v>384.18032936246004</c:v>
                </c:pt>
                <c:pt idx="60">
                  <c:v>398.43204802637001</c:v>
                </c:pt>
                <c:pt idx="61">
                  <c:v>396.93234874811003</c:v>
                </c:pt>
                <c:pt idx="62">
                  <c:v>393.70661810568004</c:v>
                </c:pt>
                <c:pt idx="63">
                  <c:v>391.22769090260999</c:v>
                </c:pt>
                <c:pt idx="64">
                  <c:v>391.44554709080001</c:v>
                </c:pt>
                <c:pt idx="65">
                  <c:v>393.11644613739998</c:v>
                </c:pt>
                <c:pt idx="66">
                  <c:v>394.72013944577998</c:v>
                </c:pt>
                <c:pt idx="67">
                  <c:v>393.72378152008997</c:v>
                </c:pt>
                <c:pt idx="68">
                  <c:v>402.89306557961004</c:v>
                </c:pt>
                <c:pt idx="69">
                  <c:v>401.22116412724</c:v>
                </c:pt>
                <c:pt idx="70">
                  <c:v>392.90838011226992</c:v>
                </c:pt>
                <c:pt idx="71">
                  <c:v>387.34046455453995</c:v>
                </c:pt>
                <c:pt idx="72">
                  <c:v>398.6642118863</c:v>
                </c:pt>
                <c:pt idx="73">
                  <c:v>394.77486518369</c:v>
                </c:pt>
                <c:pt idx="74">
                  <c:v>415.18878513064999</c:v>
                </c:pt>
                <c:pt idx="75">
                  <c:v>411.95632426445997</c:v>
                </c:pt>
                <c:pt idx="76">
                  <c:v>399.03347325730999</c:v>
                </c:pt>
                <c:pt idx="77">
                  <c:v>397.58634466309002</c:v>
                </c:pt>
                <c:pt idx="78">
                  <c:v>404.87324090638003</c:v>
                </c:pt>
                <c:pt idx="79">
                  <c:v>405.55477042337998</c:v>
                </c:pt>
                <c:pt idx="80">
                  <c:v>397.80312313655998</c:v>
                </c:pt>
                <c:pt idx="81">
                  <c:v>402.83232707215001</c:v>
                </c:pt>
                <c:pt idx="82">
                  <c:v>401.81264907572995</c:v>
                </c:pt>
                <c:pt idx="83">
                  <c:v>397.72450805008998</c:v>
                </c:pt>
                <c:pt idx="84">
                  <c:v>410.47593917710998</c:v>
                </c:pt>
                <c:pt idx="85">
                  <c:v>401.82959898628002</c:v>
                </c:pt>
                <c:pt idx="86">
                  <c:v>399.03621794871992</c:v>
                </c:pt>
                <c:pt idx="87">
                  <c:v>401.15114042933999</c:v>
                </c:pt>
                <c:pt idx="88">
                  <c:v>431.00963774597</c:v>
                </c:pt>
                <c:pt idx="89">
                  <c:v>467.71240310077002</c:v>
                </c:pt>
                <c:pt idx="90">
                  <c:v>473.58249105544996</c:v>
                </c:pt>
                <c:pt idx="91">
                  <c:v>466.12097495528008</c:v>
                </c:pt>
                <c:pt idx="92">
                  <c:v>458.46992397138001</c:v>
                </c:pt>
                <c:pt idx="93">
                  <c:v>467.69540383658</c:v>
                </c:pt>
                <c:pt idx="94">
                  <c:v>474.87960619708997</c:v>
                </c:pt>
                <c:pt idx="95">
                  <c:v>463.41050710903994</c:v>
                </c:pt>
                <c:pt idx="96">
                  <c:v>461.26113231553006</c:v>
                </c:pt>
                <c:pt idx="97">
                  <c:v>459.45279306467006</c:v>
                </c:pt>
                <c:pt idx="98">
                  <c:v>447.28711018402998</c:v>
                </c:pt>
                <c:pt idx="99">
                  <c:v>441.06295490857997</c:v>
                </c:pt>
                <c:pt idx="100">
                  <c:v>443.17861252422</c:v>
                </c:pt>
                <c:pt idx="101">
                  <c:v>440.75409550630002</c:v>
                </c:pt>
                <c:pt idx="102">
                  <c:v>429.78759387112001</c:v>
                </c:pt>
                <c:pt idx="103">
                  <c:v>444.80486953511002</c:v>
                </c:pt>
                <c:pt idx="104">
                  <c:v>444.02887987847009</c:v>
                </c:pt>
                <c:pt idx="105">
                  <c:v>431.76671022942992</c:v>
                </c:pt>
                <c:pt idx="106">
                  <c:v>425.47974052231001</c:v>
                </c:pt>
                <c:pt idx="107">
                  <c:v>408.72629738847002</c:v>
                </c:pt>
                <c:pt idx="108">
                  <c:v>412.20681422157008</c:v>
                </c:pt>
                <c:pt idx="109">
                  <c:v>417.10096229029</c:v>
                </c:pt>
                <c:pt idx="110">
                  <c:v>416.18416996179997</c:v>
                </c:pt>
                <c:pt idx="111">
                  <c:v>414.62917755735998</c:v>
                </c:pt>
                <c:pt idx="112">
                  <c:v>407.00426970936007</c:v>
                </c:pt>
                <c:pt idx="113">
                  <c:v>401.64136954627998</c:v>
                </c:pt>
                <c:pt idx="114">
                  <c:v>403.18703784376004</c:v>
                </c:pt>
                <c:pt idx="115">
                  <c:v>405.74196322856</c:v>
                </c:pt>
                <c:pt idx="116">
                  <c:v>396.8485216585201</c:v>
                </c:pt>
                <c:pt idx="117">
                  <c:v>408.59494169290997</c:v>
                </c:pt>
                <c:pt idx="118">
                  <c:v>404.88943993922999</c:v>
                </c:pt>
                <c:pt idx="119">
                  <c:v>385.40037251747992</c:v>
                </c:pt>
                <c:pt idx="120">
                  <c:v>413.13104064006995</c:v>
                </c:pt>
                <c:pt idx="121">
                  <c:v>410.93004674947008</c:v>
                </c:pt>
                <c:pt idx="122">
                  <c:v>409.62408024705002</c:v>
                </c:pt>
                <c:pt idx="123">
                  <c:v>414.60435758507998</c:v>
                </c:pt>
                <c:pt idx="124">
                  <c:v>416.67269708725996</c:v>
                </c:pt>
                <c:pt idx="125">
                  <c:v>407.53317799727995</c:v>
                </c:pt>
                <c:pt idx="126">
                  <c:v>390.30917170207999</c:v>
                </c:pt>
                <c:pt idx="127">
                  <c:v>405.72839258665994</c:v>
                </c:pt>
                <c:pt idx="128">
                  <c:v>405.25631515636996</c:v>
                </c:pt>
                <c:pt idx="129">
                  <c:v>396.72907199501003</c:v>
                </c:pt>
                <c:pt idx="130">
                  <c:v>373.86075470016004</c:v>
                </c:pt>
                <c:pt idx="131">
                  <c:v>417.76112522476996</c:v>
                </c:pt>
                <c:pt idx="132">
                  <c:v>421.23872275816996</c:v>
                </c:pt>
                <c:pt idx="133">
                  <c:v>438.45833333333002</c:v>
                </c:pt>
                <c:pt idx="134">
                  <c:v>427.80813953488001</c:v>
                </c:pt>
                <c:pt idx="135">
                  <c:v>439.33333333333002</c:v>
                </c:pt>
                <c:pt idx="136">
                  <c:v>435.48158914727998</c:v>
                </c:pt>
                <c:pt idx="137">
                  <c:v>429.58333333332996</c:v>
                </c:pt>
                <c:pt idx="138">
                  <c:v>433.25678294572992</c:v>
                </c:pt>
                <c:pt idx="139">
                  <c:v>427.92732558138994</c:v>
                </c:pt>
                <c:pt idx="140">
                  <c:v>410.48643410853003</c:v>
                </c:pt>
                <c:pt idx="141">
                  <c:v>407.11627906975991</c:v>
                </c:pt>
                <c:pt idx="142">
                  <c:v>410.27113245701997</c:v>
                </c:pt>
                <c:pt idx="143">
                  <c:v>407.95945961127995</c:v>
                </c:pt>
                <c:pt idx="144">
                  <c:v>405.32806707112002</c:v>
                </c:pt>
                <c:pt idx="145">
                  <c:v>405.86660768452998</c:v>
                </c:pt>
                <c:pt idx="146">
                  <c:v>361.31505167957999</c:v>
                </c:pt>
                <c:pt idx="147">
                  <c:v>403.75609482080995</c:v>
                </c:pt>
                <c:pt idx="148">
                  <c:v>394.73949746441997</c:v>
                </c:pt>
                <c:pt idx="149">
                  <c:v>386.20680584411002</c:v>
                </c:pt>
                <c:pt idx="150">
                  <c:v>396.14233398801002</c:v>
                </c:pt>
                <c:pt idx="151">
                  <c:v>399.20799297713</c:v>
                </c:pt>
                <c:pt idx="152">
                  <c:v>392.39009098483001</c:v>
                </c:pt>
                <c:pt idx="153">
                  <c:v>391.16542280268999</c:v>
                </c:pt>
                <c:pt idx="154">
                  <c:v>387.88373758913008</c:v>
                </c:pt>
                <c:pt idx="155">
                  <c:v>382.15460007552008</c:v>
                </c:pt>
                <c:pt idx="156">
                  <c:v>378.54790070349998</c:v>
                </c:pt>
                <c:pt idx="157">
                  <c:v>382.79282049557997</c:v>
                </c:pt>
                <c:pt idx="158">
                  <c:v>378.90753685531001</c:v>
                </c:pt>
                <c:pt idx="159">
                  <c:v>379.69453219517999</c:v>
                </c:pt>
                <c:pt idx="160">
                  <c:v>372.13646547475003</c:v>
                </c:pt>
                <c:pt idx="161">
                  <c:v>378.61309203745998</c:v>
                </c:pt>
                <c:pt idx="162">
                  <c:v>381.34485388840005</c:v>
                </c:pt>
                <c:pt idx="163">
                  <c:v>384.13074050218</c:v>
                </c:pt>
                <c:pt idx="164">
                  <c:v>386.70587836464006</c:v>
                </c:pt>
                <c:pt idx="165">
                  <c:v>384.96423908607994</c:v>
                </c:pt>
                <c:pt idx="166">
                  <c:v>383.72445013166998</c:v>
                </c:pt>
                <c:pt idx="167">
                  <c:v>376.57105170430998</c:v>
                </c:pt>
                <c:pt idx="168">
                  <c:v>369.02543370368994</c:v>
                </c:pt>
                <c:pt idx="169">
                  <c:v>365.78262336377009</c:v>
                </c:pt>
                <c:pt idx="170">
                  <c:v>363.97263018607998</c:v>
                </c:pt>
                <c:pt idx="171">
                  <c:v>366.86288665976002</c:v>
                </c:pt>
                <c:pt idx="172">
                  <c:v>368.99837314260992</c:v>
                </c:pt>
                <c:pt idx="173">
                  <c:v>365.81641813982998</c:v>
                </c:pt>
                <c:pt idx="174">
                  <c:v>368.61613427782999</c:v>
                </c:pt>
                <c:pt idx="175">
                  <c:v>359.98060901719003</c:v>
                </c:pt>
                <c:pt idx="176">
                  <c:v>358.54205649113999</c:v>
                </c:pt>
                <c:pt idx="177">
                  <c:v>359.69852089458999</c:v>
                </c:pt>
                <c:pt idx="178">
                  <c:v>358.07643900917992</c:v>
                </c:pt>
                <c:pt idx="179">
                  <c:v>363.01834402565999</c:v>
                </c:pt>
                <c:pt idx="180">
                  <c:v>348.90184219906001</c:v>
                </c:pt>
                <c:pt idx="181">
                  <c:v>357.65555110041998</c:v>
                </c:pt>
                <c:pt idx="182">
                  <c:v>353.46738839881993</c:v>
                </c:pt>
                <c:pt idx="183">
                  <c:v>364.69448260841</c:v>
                </c:pt>
                <c:pt idx="184">
                  <c:v>378.26013951253992</c:v>
                </c:pt>
                <c:pt idx="185">
                  <c:v>369.09936778143003</c:v>
                </c:pt>
                <c:pt idx="186">
                  <c:v>372.59601679958996</c:v>
                </c:pt>
                <c:pt idx="187">
                  <c:v>359.59957163281996</c:v>
                </c:pt>
                <c:pt idx="188">
                  <c:v>357.53929584701001</c:v>
                </c:pt>
                <c:pt idx="189">
                  <c:v>361.53231463485997</c:v>
                </c:pt>
                <c:pt idx="190">
                  <c:v>361.34607823426001</c:v>
                </c:pt>
                <c:pt idx="191">
                  <c:v>362.43714395818</c:v>
                </c:pt>
                <c:pt idx="192">
                  <c:v>364.58918917408994</c:v>
                </c:pt>
                <c:pt idx="193">
                  <c:v>350.49559625136999</c:v>
                </c:pt>
                <c:pt idx="194">
                  <c:v>328.39113218506998</c:v>
                </c:pt>
                <c:pt idx="195">
                  <c:v>367.15041248151999</c:v>
                </c:pt>
                <c:pt idx="196">
                  <c:v>353.40005429373002</c:v>
                </c:pt>
                <c:pt idx="197">
                  <c:v>364.44661116640998</c:v>
                </c:pt>
                <c:pt idx="198">
                  <c:v>372.37799746629003</c:v>
                </c:pt>
                <c:pt idx="199">
                  <c:v>338.87306201549995</c:v>
                </c:pt>
                <c:pt idx="200">
                  <c:v>355.25581395349002</c:v>
                </c:pt>
                <c:pt idx="201">
                  <c:v>352.97093023256002</c:v>
                </c:pt>
                <c:pt idx="202">
                  <c:v>321.43521220555999</c:v>
                </c:pt>
                <c:pt idx="203">
                  <c:v>330.08185552661996</c:v>
                </c:pt>
                <c:pt idx="204">
                  <c:v>329.15756786687001</c:v>
                </c:pt>
                <c:pt idx="205">
                  <c:v>354.25318811568991</c:v>
                </c:pt>
                <c:pt idx="206">
                  <c:v>352.43809320317996</c:v>
                </c:pt>
                <c:pt idx="207">
                  <c:v>347.93941643050994</c:v>
                </c:pt>
                <c:pt idx="208">
                  <c:v>350.75872093022997</c:v>
                </c:pt>
                <c:pt idx="209">
                  <c:v>355.50484496124005</c:v>
                </c:pt>
                <c:pt idx="210">
                  <c:v>342.24127906975991</c:v>
                </c:pt>
                <c:pt idx="211">
                  <c:v>357.56395348836998</c:v>
                </c:pt>
                <c:pt idx="212">
                  <c:v>343.26937984495999</c:v>
                </c:pt>
                <c:pt idx="213">
                  <c:v>368.60317829457</c:v>
                </c:pt>
                <c:pt idx="214">
                  <c:v>377.51156645868997</c:v>
                </c:pt>
                <c:pt idx="215">
                  <c:v>387.81554830780999</c:v>
                </c:pt>
                <c:pt idx="216">
                  <c:v>405.52325581396008</c:v>
                </c:pt>
                <c:pt idx="217">
                  <c:v>397.52713178293999</c:v>
                </c:pt>
                <c:pt idx="218">
                  <c:v>411.25712581992002</c:v>
                </c:pt>
                <c:pt idx="219">
                  <c:v>406.14959004175</c:v>
                </c:pt>
                <c:pt idx="220">
                  <c:v>382.24423076922994</c:v>
                </c:pt>
                <c:pt idx="221">
                  <c:v>393.01669691266994</c:v>
                </c:pt>
                <c:pt idx="222">
                  <c:v>392.77388313842005</c:v>
                </c:pt>
                <c:pt idx="223">
                  <c:v>413.3453704117</c:v>
                </c:pt>
                <c:pt idx="224">
                  <c:v>406.62164293472995</c:v>
                </c:pt>
                <c:pt idx="225">
                  <c:v>396.81504021737999</c:v>
                </c:pt>
                <c:pt idx="226">
                  <c:v>380.35037713140991</c:v>
                </c:pt>
                <c:pt idx="227">
                  <c:v>388.78104914578</c:v>
                </c:pt>
                <c:pt idx="228">
                  <c:v>381.38965153909999</c:v>
                </c:pt>
                <c:pt idx="229">
                  <c:v>395.42871980130997</c:v>
                </c:pt>
                <c:pt idx="230">
                  <c:v>392.26590652517001</c:v>
                </c:pt>
                <c:pt idx="231">
                  <c:v>389.19548995257998</c:v>
                </c:pt>
                <c:pt idx="232">
                  <c:v>386.21957364340994</c:v>
                </c:pt>
                <c:pt idx="233">
                  <c:v>393.26554903288996</c:v>
                </c:pt>
                <c:pt idx="234">
                  <c:v>410.70423662864999</c:v>
                </c:pt>
                <c:pt idx="235">
                  <c:v>409.93629343629004</c:v>
                </c:pt>
                <c:pt idx="236">
                  <c:v>402.16761321121993</c:v>
                </c:pt>
                <c:pt idx="237">
                  <c:v>376.16651001447997</c:v>
                </c:pt>
                <c:pt idx="238">
                  <c:v>381.97429966156005</c:v>
                </c:pt>
                <c:pt idx="239">
                  <c:v>385.60785174513001</c:v>
                </c:pt>
                <c:pt idx="240">
                  <c:v>380.08943807829996</c:v>
                </c:pt>
                <c:pt idx="241">
                  <c:v>378.07398485633007</c:v>
                </c:pt>
                <c:pt idx="242">
                  <c:v>394.32322035616005</c:v>
                </c:pt>
                <c:pt idx="243">
                  <c:v>378.81743454378</c:v>
                </c:pt>
                <c:pt idx="244">
                  <c:v>387.30750100819995</c:v>
                </c:pt>
                <c:pt idx="245">
                  <c:v>386.84903324820004</c:v>
                </c:pt>
                <c:pt idx="246">
                  <c:v>370.97241452703997</c:v>
                </c:pt>
                <c:pt idx="247">
                  <c:v>380.76070932472999</c:v>
                </c:pt>
                <c:pt idx="248">
                  <c:v>382.30068445580002</c:v>
                </c:pt>
                <c:pt idx="249">
                  <c:v>395.06082375478991</c:v>
                </c:pt>
                <c:pt idx="250">
                  <c:v>397.60588746324999</c:v>
                </c:pt>
                <c:pt idx="251">
                  <c:v>402.11712554575001</c:v>
                </c:pt>
                <c:pt idx="252">
                  <c:v>393.89606165908998</c:v>
                </c:pt>
                <c:pt idx="253">
                  <c:v>378.45730471079003</c:v>
                </c:pt>
                <c:pt idx="254">
                  <c:v>360.22024448420007</c:v>
                </c:pt>
                <c:pt idx="255">
                  <c:v>378.67304470209996</c:v>
                </c:pt>
                <c:pt idx="256">
                  <c:v>382.62816109285995</c:v>
                </c:pt>
                <c:pt idx="257">
                  <c:v>380.25212228849</c:v>
                </c:pt>
                <c:pt idx="258">
                  <c:v>386.89039496906003</c:v>
                </c:pt>
                <c:pt idx="259">
                  <c:v>415.53319999096004</c:v>
                </c:pt>
                <c:pt idx="260">
                  <c:v>427.21877076411999</c:v>
                </c:pt>
                <c:pt idx="261">
                  <c:v>407.42998338871007</c:v>
                </c:pt>
                <c:pt idx="262">
                  <c:v>393.72086314847996</c:v>
                </c:pt>
                <c:pt idx="263">
                  <c:v>387.82801878354002</c:v>
                </c:pt>
                <c:pt idx="264">
                  <c:v>385.79464818127997</c:v>
                </c:pt>
                <c:pt idx="265">
                  <c:v>402.09944573272003</c:v>
                </c:pt>
                <c:pt idx="266">
                  <c:v>399.79981344809005</c:v>
                </c:pt>
                <c:pt idx="267">
                  <c:v>401.52425081941999</c:v>
                </c:pt>
                <c:pt idx="268">
                  <c:v>378.69154655297996</c:v>
                </c:pt>
                <c:pt idx="269">
                  <c:v>366.44343051341991</c:v>
                </c:pt>
                <c:pt idx="270">
                  <c:v>359.80807212671994</c:v>
                </c:pt>
                <c:pt idx="271">
                  <c:v>352.04295865633003</c:v>
                </c:pt>
                <c:pt idx="272">
                  <c:v>358.76242326478007</c:v>
                </c:pt>
                <c:pt idx="273">
                  <c:v>346.09050613600999</c:v>
                </c:pt>
                <c:pt idx="274">
                  <c:v>369.15303297398998</c:v>
                </c:pt>
                <c:pt idx="275">
                  <c:v>366.46672625357996</c:v>
                </c:pt>
                <c:pt idx="276">
                  <c:v>373.76878773525004</c:v>
                </c:pt>
                <c:pt idx="277">
                  <c:v>373.24918420440008</c:v>
                </c:pt>
                <c:pt idx="278">
                  <c:v>387.10156723963996</c:v>
                </c:pt>
                <c:pt idx="279">
                  <c:v>395.54633876043999</c:v>
                </c:pt>
                <c:pt idx="280">
                  <c:v>399.20763906019999</c:v>
                </c:pt>
                <c:pt idx="281">
                  <c:v>395.47964275301996</c:v>
                </c:pt>
                <c:pt idx="282">
                  <c:v>392.49575306676002</c:v>
                </c:pt>
                <c:pt idx="283">
                  <c:v>390.43721173181001</c:v>
                </c:pt>
                <c:pt idx="284">
                  <c:v>389.47708618330995</c:v>
                </c:pt>
                <c:pt idx="285">
                  <c:v>389.29441479222999</c:v>
                </c:pt>
                <c:pt idx="286">
                  <c:v>393.93520553475003</c:v>
                </c:pt>
                <c:pt idx="287">
                  <c:v>388.18714165040006</c:v>
                </c:pt>
                <c:pt idx="288">
                  <c:v>390.71786533905004</c:v>
                </c:pt>
                <c:pt idx="289">
                  <c:v>389.75675117549997</c:v>
                </c:pt>
                <c:pt idx="290">
                  <c:v>385.96529568747002</c:v>
                </c:pt>
                <c:pt idx="291">
                  <c:v>393.20123738622999</c:v>
                </c:pt>
                <c:pt idx="292">
                  <c:v>397.15541736014006</c:v>
                </c:pt>
                <c:pt idx="293">
                  <c:v>400.38396458398995</c:v>
                </c:pt>
                <c:pt idx="294">
                  <c:v>401.83992135606002</c:v>
                </c:pt>
                <c:pt idx="295">
                  <c:v>404.62122149251002</c:v>
                </c:pt>
                <c:pt idx="296">
                  <c:v>406.40877415921</c:v>
                </c:pt>
                <c:pt idx="297">
                  <c:v>406.97085151365002</c:v>
                </c:pt>
                <c:pt idx="298">
                  <c:v>409.99121347066995</c:v>
                </c:pt>
                <c:pt idx="299">
                  <c:v>414.07655975890009</c:v>
                </c:pt>
                <c:pt idx="300">
                  <c:v>418.42517310153005</c:v>
                </c:pt>
                <c:pt idx="301">
                  <c:v>415.28816512381002</c:v>
                </c:pt>
                <c:pt idx="302">
                  <c:v>416.96374087454001</c:v>
                </c:pt>
                <c:pt idx="303">
                  <c:v>422.70293143673996</c:v>
                </c:pt>
                <c:pt idx="304">
                  <c:v>422.74569419122997</c:v>
                </c:pt>
                <c:pt idx="305">
                  <c:v>421.25533408926003</c:v>
                </c:pt>
                <c:pt idx="306">
                  <c:v>412.02055819883003</c:v>
                </c:pt>
                <c:pt idx="307">
                  <c:v>410.82621503847002</c:v>
                </c:pt>
                <c:pt idx="308">
                  <c:v>408.79236886181002</c:v>
                </c:pt>
                <c:pt idx="309">
                  <c:v>404.50595476307001</c:v>
                </c:pt>
                <c:pt idx="310">
                  <c:v>401.51420509285998</c:v>
                </c:pt>
                <c:pt idx="311">
                  <c:v>396.42800369068993</c:v>
                </c:pt>
                <c:pt idx="312">
                  <c:v>403.65424577941997</c:v>
                </c:pt>
                <c:pt idx="313">
                  <c:v>406.78653082246996</c:v>
                </c:pt>
                <c:pt idx="314">
                  <c:v>405.03951190953001</c:v>
                </c:pt>
                <c:pt idx="315">
                  <c:v>403.46163494745002</c:v>
                </c:pt>
                <c:pt idx="316">
                  <c:v>407.46807513303003</c:v>
                </c:pt>
                <c:pt idx="317">
                  <c:v>414.42479286169998</c:v>
                </c:pt>
                <c:pt idx="318">
                  <c:v>405.80125468747997</c:v>
                </c:pt>
                <c:pt idx="319">
                  <c:v>400.73845546712005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8-4D45-8D4C-66A22B4E9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F-6E4A-B640-A4090FF115E9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'240823E019'!$A$2:$A$321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'240823E019'!$P$2:$P$321</c:f>
              <c:numCache>
                <c:formatCode>General</c:formatCode>
                <c:ptCount val="320"/>
                <c:pt idx="0">
                  <c:v>65.578808999337639</c:v>
                </c:pt>
                <c:pt idx="1">
                  <c:v>74.934473332040113</c:v>
                </c:pt>
                <c:pt idx="2">
                  <c:v>92.484601183662434</c:v>
                </c:pt>
                <c:pt idx="3">
                  <c:v>121.2717085985975</c:v>
                </c:pt>
                <c:pt idx="4">
                  <c:v>101.56237314368941</c:v>
                </c:pt>
                <c:pt idx="5">
                  <c:v>79.085571273952311</c:v>
                </c:pt>
                <c:pt idx="6">
                  <c:v>62.719921566317495</c:v>
                </c:pt>
                <c:pt idx="7">
                  <c:v>49.93397453874622</c:v>
                </c:pt>
                <c:pt idx="8">
                  <c:v>39.410714043283143</c:v>
                </c:pt>
                <c:pt idx="9">
                  <c:v>35.667218781858026</c:v>
                </c:pt>
                <c:pt idx="10">
                  <c:v>20.385858265354411</c:v>
                </c:pt>
                <c:pt idx="11">
                  <c:v>10.879112122097133</c:v>
                </c:pt>
                <c:pt idx="12">
                  <c:v>2.9975896054875664</c:v>
                </c:pt>
                <c:pt idx="13">
                  <c:v>5.7996196474513075E-2</c:v>
                </c:pt>
                <c:pt idx="14">
                  <c:v>-5.6345543457743226</c:v>
                </c:pt>
                <c:pt idx="15">
                  <c:v>-9.1185112539929385</c:v>
                </c:pt>
                <c:pt idx="16">
                  <c:v>-13.82353517277188</c:v>
                </c:pt>
                <c:pt idx="17">
                  <c:v>-14.862677497872884</c:v>
                </c:pt>
                <c:pt idx="18">
                  <c:v>-15.187892007444139</c:v>
                </c:pt>
                <c:pt idx="19">
                  <c:v>-16.977917603365512</c:v>
                </c:pt>
                <c:pt idx="20">
                  <c:v>-16.681077363328178</c:v>
                </c:pt>
                <c:pt idx="21">
                  <c:v>-16.662916998453312</c:v>
                </c:pt>
                <c:pt idx="22">
                  <c:v>-17.45133072970307</c:v>
                </c:pt>
                <c:pt idx="23">
                  <c:v>-16.480906011855982</c:v>
                </c:pt>
                <c:pt idx="24">
                  <c:v>-16.774798255851547</c:v>
                </c:pt>
                <c:pt idx="25">
                  <c:v>-16.400370930541026</c:v>
                </c:pt>
                <c:pt idx="26">
                  <c:v>-15.241491054815542</c:v>
                </c:pt>
                <c:pt idx="27">
                  <c:v>-16.28098347772211</c:v>
                </c:pt>
                <c:pt idx="28">
                  <c:v>-15.827406395493149</c:v>
                </c:pt>
                <c:pt idx="29">
                  <c:v>-17.388446789651365</c:v>
                </c:pt>
                <c:pt idx="30">
                  <c:v>-17.176914307727394</c:v>
                </c:pt>
                <c:pt idx="31">
                  <c:v>-15.670696754791122</c:v>
                </c:pt>
                <c:pt idx="32">
                  <c:v>-17.451837466790021</c:v>
                </c:pt>
                <c:pt idx="33">
                  <c:v>-15.194677738544812</c:v>
                </c:pt>
                <c:pt idx="34">
                  <c:v>-10.226296207647396</c:v>
                </c:pt>
                <c:pt idx="35">
                  <c:v>-12.517442954562993</c:v>
                </c:pt>
                <c:pt idx="36">
                  <c:v>-10.535988106470191</c:v>
                </c:pt>
                <c:pt idx="37">
                  <c:v>-10.195530003829079</c:v>
                </c:pt>
                <c:pt idx="38">
                  <c:v>-8.983539630209421</c:v>
                </c:pt>
                <c:pt idx="39">
                  <c:v>-6.8527300913388602</c:v>
                </c:pt>
                <c:pt idx="40">
                  <c:v>-5.171583404473366</c:v>
                </c:pt>
                <c:pt idx="41">
                  <c:v>-4.7709080747124748</c:v>
                </c:pt>
                <c:pt idx="42">
                  <c:v>-8.7562583058575747</c:v>
                </c:pt>
                <c:pt idx="43">
                  <c:v>-9.5127045485887383</c:v>
                </c:pt>
                <c:pt idx="44">
                  <c:v>-8.5444384233769881</c:v>
                </c:pt>
                <c:pt idx="45">
                  <c:v>-7.2206837313085126</c:v>
                </c:pt>
                <c:pt idx="46">
                  <c:v>-7.315033041669297</c:v>
                </c:pt>
                <c:pt idx="47">
                  <c:v>-7.6926822948794102</c:v>
                </c:pt>
                <c:pt idx="48">
                  <c:v>-6.5513976781441414</c:v>
                </c:pt>
                <c:pt idx="49">
                  <c:v>-3.3135001473260575</c:v>
                </c:pt>
                <c:pt idx="50">
                  <c:v>-1.9887809685283662</c:v>
                </c:pt>
                <c:pt idx="51">
                  <c:v>-0.95339218815725135</c:v>
                </c:pt>
                <c:pt idx="52">
                  <c:v>-1.6158594878154582</c:v>
                </c:pt>
                <c:pt idx="53">
                  <c:v>-4.8488661221466733</c:v>
                </c:pt>
                <c:pt idx="54">
                  <c:v>-3.3777437835440223</c:v>
                </c:pt>
                <c:pt idx="55">
                  <c:v>-3.7225571271291495</c:v>
                </c:pt>
                <c:pt idx="56">
                  <c:v>-5.009174521943641</c:v>
                </c:pt>
                <c:pt idx="57">
                  <c:v>-5.0872003786813762</c:v>
                </c:pt>
                <c:pt idx="58">
                  <c:v>-6.6267096537181729</c:v>
                </c:pt>
                <c:pt idx="59">
                  <c:v>-5.532641228007714</c:v>
                </c:pt>
                <c:pt idx="60">
                  <c:v>-3.9960318372211043</c:v>
                </c:pt>
                <c:pt idx="61">
                  <c:v>-4.5462459317920638</c:v>
                </c:pt>
                <c:pt idx="62">
                  <c:v>-2.1829690139930626</c:v>
                </c:pt>
                <c:pt idx="63">
                  <c:v>-3.9486514928090086</c:v>
                </c:pt>
                <c:pt idx="64">
                  <c:v>-3.6115101392294338</c:v>
                </c:pt>
                <c:pt idx="65">
                  <c:v>-2.6721740658480857</c:v>
                </c:pt>
                <c:pt idx="66">
                  <c:v>-0.57262175167608009</c:v>
                </c:pt>
                <c:pt idx="67">
                  <c:v>-1.274969508295938</c:v>
                </c:pt>
                <c:pt idx="68">
                  <c:v>-1.1925975102536532</c:v>
                </c:pt>
                <c:pt idx="69">
                  <c:v>9.2574045104486274E-2</c:v>
                </c:pt>
                <c:pt idx="70">
                  <c:v>0.91928839520325745</c:v>
                </c:pt>
                <c:pt idx="71">
                  <c:v>3.5080514411665251E-2</c:v>
                </c:pt>
                <c:pt idx="72">
                  <c:v>0.16708826095663037</c:v>
                </c:pt>
                <c:pt idx="73">
                  <c:v>-0.15885653321230389</c:v>
                </c:pt>
                <c:pt idx="74">
                  <c:v>-1.5984955080242356</c:v>
                </c:pt>
                <c:pt idx="75">
                  <c:v>0.54456477669181169</c:v>
                </c:pt>
                <c:pt idx="76">
                  <c:v>4.6809428539232378</c:v>
                </c:pt>
                <c:pt idx="77">
                  <c:v>5.5045783341493344</c:v>
                </c:pt>
                <c:pt idx="78">
                  <c:v>6.8283883025812102</c:v>
                </c:pt>
                <c:pt idx="79">
                  <c:v>6.982617809333032</c:v>
                </c:pt>
                <c:pt idx="80">
                  <c:v>7.2284766246319672</c:v>
                </c:pt>
                <c:pt idx="81">
                  <c:v>3.9725250175464368</c:v>
                </c:pt>
                <c:pt idx="82">
                  <c:v>4.0038619470046752</c:v>
                </c:pt>
                <c:pt idx="83">
                  <c:v>7.7716997519517355</c:v>
                </c:pt>
                <c:pt idx="84">
                  <c:v>9.4977684141281209</c:v>
                </c:pt>
                <c:pt idx="85">
                  <c:v>9.2674837899476969</c:v>
                </c:pt>
                <c:pt idx="86">
                  <c:v>11.82994493383115</c:v>
                </c:pt>
                <c:pt idx="87">
                  <c:v>21.437375209532188</c:v>
                </c:pt>
                <c:pt idx="88">
                  <c:v>105.04955028986198</c:v>
                </c:pt>
                <c:pt idx="89">
                  <c:v>192.19548246653949</c:v>
                </c:pt>
                <c:pt idx="90">
                  <c:v>216.60052057398462</c:v>
                </c:pt>
                <c:pt idx="91">
                  <c:v>212.42080980510661</c:v>
                </c:pt>
                <c:pt idx="92">
                  <c:v>200.89603828355735</c:v>
                </c:pt>
                <c:pt idx="93">
                  <c:v>194.88865406059281</c:v>
                </c:pt>
                <c:pt idx="94">
                  <c:v>182.60116032784725</c:v>
                </c:pt>
                <c:pt idx="95">
                  <c:v>166.65978705452588</c:v>
                </c:pt>
                <c:pt idx="96">
                  <c:v>150.56670727177311</c:v>
                </c:pt>
                <c:pt idx="97">
                  <c:v>138.74623459806691</c:v>
                </c:pt>
                <c:pt idx="98">
                  <c:v>130.64923336088731</c:v>
                </c:pt>
                <c:pt idx="99">
                  <c:v>120.22193842198423</c:v>
                </c:pt>
                <c:pt idx="100">
                  <c:v>116.52810253227301</c:v>
                </c:pt>
                <c:pt idx="101">
                  <c:v>100.70031967652923</c:v>
                </c:pt>
                <c:pt idx="102">
                  <c:v>96.115540507770845</c:v>
                </c:pt>
                <c:pt idx="103">
                  <c:v>83.847669355247447</c:v>
                </c:pt>
                <c:pt idx="104">
                  <c:v>76.392210181106435</c:v>
                </c:pt>
                <c:pt idx="105">
                  <c:v>69.479727482411292</c:v>
                </c:pt>
                <c:pt idx="106">
                  <c:v>63.876667414924995</c:v>
                </c:pt>
                <c:pt idx="107">
                  <c:v>60.958222146803323</c:v>
                </c:pt>
                <c:pt idx="108">
                  <c:v>57.089921864033265</c:v>
                </c:pt>
                <c:pt idx="109">
                  <c:v>49.643663837665507</c:v>
                </c:pt>
                <c:pt idx="110">
                  <c:v>44.690836185068065</c:v>
                </c:pt>
                <c:pt idx="111">
                  <c:v>40.410611719712811</c:v>
                </c:pt>
                <c:pt idx="112">
                  <c:v>36.763098457980682</c:v>
                </c:pt>
                <c:pt idx="113">
                  <c:v>36.280805104983109</c:v>
                </c:pt>
                <c:pt idx="114">
                  <c:v>33.102417008904474</c:v>
                </c:pt>
                <c:pt idx="115">
                  <c:v>32.393632168586997</c:v>
                </c:pt>
                <c:pt idx="116">
                  <c:v>30.332716183186086</c:v>
                </c:pt>
                <c:pt idx="117">
                  <c:v>27.28911431329729</c:v>
                </c:pt>
                <c:pt idx="118">
                  <c:v>26.909976432463456</c:v>
                </c:pt>
                <c:pt idx="119">
                  <c:v>25.907748209336884</c:v>
                </c:pt>
                <c:pt idx="120">
                  <c:v>25.180514628350082</c:v>
                </c:pt>
                <c:pt idx="121">
                  <c:v>23.75443140040343</c:v>
                </c:pt>
                <c:pt idx="122">
                  <c:v>23.205835350263264</c:v>
                </c:pt>
                <c:pt idx="123">
                  <c:v>22.175573033616804</c:v>
                </c:pt>
                <c:pt idx="124">
                  <c:v>22.643167862151387</c:v>
                </c:pt>
                <c:pt idx="125">
                  <c:v>27.13708999307714</c:v>
                </c:pt>
                <c:pt idx="126">
                  <c:v>24.443129505876481</c:v>
                </c:pt>
                <c:pt idx="127">
                  <c:v>23.061074643877443</c:v>
                </c:pt>
                <c:pt idx="128">
                  <c:v>24.023311762587678</c:v>
                </c:pt>
                <c:pt idx="129">
                  <c:v>22.810310299915272</c:v>
                </c:pt>
                <c:pt idx="130">
                  <c:v>21.593622543786701</c:v>
                </c:pt>
                <c:pt idx="131">
                  <c:v>17.085949925428672</c:v>
                </c:pt>
                <c:pt idx="132">
                  <c:v>14.117688696033628</c:v>
                </c:pt>
                <c:pt idx="133">
                  <c:v>14.72814263507313</c:v>
                </c:pt>
                <c:pt idx="134">
                  <c:v>15.821793784457592</c:v>
                </c:pt>
                <c:pt idx="135">
                  <c:v>15.309365866297767</c:v>
                </c:pt>
                <c:pt idx="136">
                  <c:v>13.479449794066847</c:v>
                </c:pt>
                <c:pt idx="137">
                  <c:v>12.830710081441687</c:v>
                </c:pt>
                <c:pt idx="138">
                  <c:v>11.21916713150835</c:v>
                </c:pt>
                <c:pt idx="139">
                  <c:v>11.994277428085168</c:v>
                </c:pt>
                <c:pt idx="140">
                  <c:v>12.894691752008807</c:v>
                </c:pt>
                <c:pt idx="141">
                  <c:v>14.304191189713631</c:v>
                </c:pt>
                <c:pt idx="142">
                  <c:v>13.768602399253727</c:v>
                </c:pt>
                <c:pt idx="143">
                  <c:v>13.95638490081175</c:v>
                </c:pt>
                <c:pt idx="144">
                  <c:v>14.419327884553665</c:v>
                </c:pt>
                <c:pt idx="145">
                  <c:v>12.598845712073018</c:v>
                </c:pt>
                <c:pt idx="146">
                  <c:v>15.07014173859681</c:v>
                </c:pt>
                <c:pt idx="147">
                  <c:v>12.079863158566166</c:v>
                </c:pt>
                <c:pt idx="148">
                  <c:v>12.285999263174517</c:v>
                </c:pt>
                <c:pt idx="149">
                  <c:v>12.305130112956597</c:v>
                </c:pt>
                <c:pt idx="150">
                  <c:v>12.559696157754782</c:v>
                </c:pt>
                <c:pt idx="151">
                  <c:v>13.416720104849148</c:v>
                </c:pt>
                <c:pt idx="152">
                  <c:v>12.143194843386834</c:v>
                </c:pt>
                <c:pt idx="153">
                  <c:v>10.747855612948696</c:v>
                </c:pt>
                <c:pt idx="154">
                  <c:v>8.9938327827429578</c:v>
                </c:pt>
                <c:pt idx="155">
                  <c:v>10.076390526862046</c:v>
                </c:pt>
                <c:pt idx="156">
                  <c:v>10.701073381188257</c:v>
                </c:pt>
                <c:pt idx="157">
                  <c:v>8.5970004991826094</c:v>
                </c:pt>
                <c:pt idx="158">
                  <c:v>9.194773200669502</c:v>
                </c:pt>
                <c:pt idx="159">
                  <c:v>7.1612065016752418</c:v>
                </c:pt>
                <c:pt idx="160">
                  <c:v>10.154436689270907</c:v>
                </c:pt>
                <c:pt idx="161">
                  <c:v>9.3481844847187272</c:v>
                </c:pt>
                <c:pt idx="162">
                  <c:v>9.0029334799590419</c:v>
                </c:pt>
                <c:pt idx="163">
                  <c:v>3.0010451394435957</c:v>
                </c:pt>
                <c:pt idx="164">
                  <c:v>-2.8870068515972425</c:v>
                </c:pt>
                <c:pt idx="165">
                  <c:v>-6.9639193373125128</c:v>
                </c:pt>
                <c:pt idx="166">
                  <c:v>-10.413471311268868</c:v>
                </c:pt>
                <c:pt idx="167">
                  <c:v>-12.617429633344138</c:v>
                </c:pt>
                <c:pt idx="168">
                  <c:v>-15.081959759534366</c:v>
                </c:pt>
                <c:pt idx="169">
                  <c:v>-17.680122764110443</c:v>
                </c:pt>
                <c:pt idx="170">
                  <c:v>-19.797821572265075</c:v>
                </c:pt>
                <c:pt idx="171">
                  <c:v>-22.946416703140581</c:v>
                </c:pt>
                <c:pt idx="172">
                  <c:v>-23.260671858203057</c:v>
                </c:pt>
                <c:pt idx="173">
                  <c:v>-25.491683023385459</c:v>
                </c:pt>
                <c:pt idx="174">
                  <c:v>-26.45300700166316</c:v>
                </c:pt>
                <c:pt idx="175">
                  <c:v>-26.811765111611859</c:v>
                </c:pt>
                <c:pt idx="176">
                  <c:v>-28.222572303413955</c:v>
                </c:pt>
                <c:pt idx="177">
                  <c:v>-28.747952766945957</c:v>
                </c:pt>
                <c:pt idx="178">
                  <c:v>-29.550332171257025</c:v>
                </c:pt>
                <c:pt idx="179">
                  <c:v>-29.269938721587557</c:v>
                </c:pt>
                <c:pt idx="180">
                  <c:v>-28.768511940291123</c:v>
                </c:pt>
                <c:pt idx="181">
                  <c:v>-30.085972576492587</c:v>
                </c:pt>
                <c:pt idx="182">
                  <c:v>-30.225656756368785</c:v>
                </c:pt>
                <c:pt idx="183">
                  <c:v>-30.219719199822254</c:v>
                </c:pt>
                <c:pt idx="184">
                  <c:v>-31.944915835305991</c:v>
                </c:pt>
                <c:pt idx="185">
                  <c:v>-29.669307374800912</c:v>
                </c:pt>
                <c:pt idx="186">
                  <c:v>-29.987992782810007</c:v>
                </c:pt>
                <c:pt idx="187">
                  <c:v>-28.792183546452836</c:v>
                </c:pt>
                <c:pt idx="188">
                  <c:v>-27.762528433543189</c:v>
                </c:pt>
                <c:pt idx="189">
                  <c:v>-28.509809534376352</c:v>
                </c:pt>
                <c:pt idx="190">
                  <c:v>-28.630377044313132</c:v>
                </c:pt>
                <c:pt idx="191">
                  <c:v>-28.063852177673915</c:v>
                </c:pt>
                <c:pt idx="192">
                  <c:v>-28.614802388106071</c:v>
                </c:pt>
                <c:pt idx="193">
                  <c:v>-25.438471681315956</c:v>
                </c:pt>
                <c:pt idx="194">
                  <c:v>-23.358266093027883</c:v>
                </c:pt>
                <c:pt idx="195">
                  <c:v>-28.290925551315926</c:v>
                </c:pt>
                <c:pt idx="196">
                  <c:v>-26.639597841291678</c:v>
                </c:pt>
                <c:pt idx="197">
                  <c:v>-28.463060383978394</c:v>
                </c:pt>
                <c:pt idx="198">
                  <c:v>-28.908261791871766</c:v>
                </c:pt>
                <c:pt idx="199">
                  <c:v>-26.308613844029388</c:v>
                </c:pt>
                <c:pt idx="200">
                  <c:v>-26.490258819674267</c:v>
                </c:pt>
                <c:pt idx="201">
                  <c:v>-26.754307702879395</c:v>
                </c:pt>
                <c:pt idx="202">
                  <c:v>-24.3361522969277</c:v>
                </c:pt>
                <c:pt idx="203">
                  <c:v>-24.189062201678375</c:v>
                </c:pt>
                <c:pt idx="204">
                  <c:v>-24.762928657370018</c:v>
                </c:pt>
                <c:pt idx="205">
                  <c:v>-24.518353587433939</c:v>
                </c:pt>
                <c:pt idx="206">
                  <c:v>-23.186080844082515</c:v>
                </c:pt>
                <c:pt idx="207">
                  <c:v>-21.212141927236978</c:v>
                </c:pt>
                <c:pt idx="208">
                  <c:v>-23.355898138432536</c:v>
                </c:pt>
                <c:pt idx="209">
                  <c:v>-23.732445563648671</c:v>
                </c:pt>
                <c:pt idx="210">
                  <c:v>-21.465034598885161</c:v>
                </c:pt>
                <c:pt idx="211">
                  <c:v>-23.008829022097963</c:v>
                </c:pt>
                <c:pt idx="212">
                  <c:v>-21.999994824120694</c:v>
                </c:pt>
                <c:pt idx="213">
                  <c:v>-21.732512812508975</c:v>
                </c:pt>
                <c:pt idx="214">
                  <c:v>-21.54109200421966</c:v>
                </c:pt>
                <c:pt idx="215">
                  <c:v>-22.61879257784037</c:v>
                </c:pt>
                <c:pt idx="216">
                  <c:v>-21.439364746967783</c:v>
                </c:pt>
                <c:pt idx="217">
                  <c:v>-20.958658972354431</c:v>
                </c:pt>
                <c:pt idx="218">
                  <c:v>-23.051641913910178</c:v>
                </c:pt>
                <c:pt idx="219">
                  <c:v>-21.402144521728019</c:v>
                </c:pt>
                <c:pt idx="220">
                  <c:v>-19.589246457806844</c:v>
                </c:pt>
                <c:pt idx="221">
                  <c:v>-19.000019654985913</c:v>
                </c:pt>
                <c:pt idx="222">
                  <c:v>-18.918733553386257</c:v>
                </c:pt>
                <c:pt idx="223">
                  <c:v>-20.24454303636308</c:v>
                </c:pt>
                <c:pt idx="224">
                  <c:v>-18.519976835040936</c:v>
                </c:pt>
                <c:pt idx="225">
                  <c:v>-17.821826805087209</c:v>
                </c:pt>
                <c:pt idx="226">
                  <c:v>-18.465727511009007</c:v>
                </c:pt>
                <c:pt idx="227">
                  <c:v>-17.982812161883256</c:v>
                </c:pt>
                <c:pt idx="228">
                  <c:v>-17.459841486257393</c:v>
                </c:pt>
                <c:pt idx="229">
                  <c:v>-15.579301007604759</c:v>
                </c:pt>
                <c:pt idx="230">
                  <c:v>-16.203516659763327</c:v>
                </c:pt>
                <c:pt idx="231">
                  <c:v>-16.377147447773719</c:v>
                </c:pt>
                <c:pt idx="232">
                  <c:v>-14.255110076532738</c:v>
                </c:pt>
                <c:pt idx="233">
                  <c:v>-14.204141414630451</c:v>
                </c:pt>
                <c:pt idx="234">
                  <c:v>-16.554204238714252</c:v>
                </c:pt>
                <c:pt idx="235">
                  <c:v>-14.749663114888797</c:v>
                </c:pt>
                <c:pt idx="236">
                  <c:v>-14.406635089611738</c:v>
                </c:pt>
                <c:pt idx="237">
                  <c:v>-12.422637461221072</c:v>
                </c:pt>
                <c:pt idx="238">
                  <c:v>-12.379203351140916</c:v>
                </c:pt>
                <c:pt idx="239">
                  <c:v>-12.673226341539104</c:v>
                </c:pt>
                <c:pt idx="240">
                  <c:v>-11.666520343827491</c:v>
                </c:pt>
                <c:pt idx="241">
                  <c:v>-11.072864578915514</c:v>
                </c:pt>
                <c:pt idx="242">
                  <c:v>-11.198373414628321</c:v>
                </c:pt>
                <c:pt idx="243">
                  <c:v>-8.6474427603026811</c:v>
                </c:pt>
                <c:pt idx="244">
                  <c:v>-9.9993905164053825</c:v>
                </c:pt>
                <c:pt idx="245">
                  <c:v>-8.3566079460248854</c:v>
                </c:pt>
                <c:pt idx="246">
                  <c:v>-7.6129766528193086</c:v>
                </c:pt>
                <c:pt idx="247">
                  <c:v>-8.6731909910641729</c:v>
                </c:pt>
                <c:pt idx="248">
                  <c:v>-6.8699674980424525</c:v>
                </c:pt>
                <c:pt idx="249">
                  <c:v>-7.8993328285056368</c:v>
                </c:pt>
                <c:pt idx="250">
                  <c:v>-9.1950818428890706</c:v>
                </c:pt>
                <c:pt idx="251">
                  <c:v>-7.8233501229064206</c:v>
                </c:pt>
                <c:pt idx="252">
                  <c:v>-8.7110375881610302</c:v>
                </c:pt>
                <c:pt idx="253">
                  <c:v>-6.8923929992229445</c:v>
                </c:pt>
                <c:pt idx="254">
                  <c:v>-5.79636338072826</c:v>
                </c:pt>
                <c:pt idx="255">
                  <c:v>-5.8886282531183891</c:v>
                </c:pt>
                <c:pt idx="256">
                  <c:v>-6.3294235676137287</c:v>
                </c:pt>
                <c:pt idx="257">
                  <c:v>-5.4970797511971199</c:v>
                </c:pt>
                <c:pt idx="258">
                  <c:v>-6.020116824682396</c:v>
                </c:pt>
                <c:pt idx="259">
                  <c:v>-6.7435995123696229</c:v>
                </c:pt>
                <c:pt idx="260">
                  <c:v>-7.9401767614859455</c:v>
                </c:pt>
                <c:pt idx="261">
                  <c:v>-6.4570088980382438</c:v>
                </c:pt>
                <c:pt idx="262">
                  <c:v>-5.8538090857760672</c:v>
                </c:pt>
                <c:pt idx="263">
                  <c:v>-6.4448685317870682</c:v>
                </c:pt>
                <c:pt idx="264">
                  <c:v>-5.8292850165387025</c:v>
                </c:pt>
                <c:pt idx="265">
                  <c:v>-6.0107055610751976</c:v>
                </c:pt>
                <c:pt idx="266">
                  <c:v>-5.7281345433687774</c:v>
                </c:pt>
                <c:pt idx="267">
                  <c:v>-6.8054588932127231</c:v>
                </c:pt>
                <c:pt idx="268">
                  <c:v>-5.3709196056213022</c:v>
                </c:pt>
                <c:pt idx="269">
                  <c:v>-4.4522857360211958</c:v>
                </c:pt>
                <c:pt idx="270">
                  <c:v>-2.7999273709211705</c:v>
                </c:pt>
                <c:pt idx="271">
                  <c:v>-2.5244080605991388</c:v>
                </c:pt>
                <c:pt idx="272">
                  <c:v>-3.4325575496931853</c:v>
                </c:pt>
                <c:pt idx="273">
                  <c:v>-2.1451769249723509</c:v>
                </c:pt>
                <c:pt idx="274">
                  <c:v>-4.0280648570770428</c:v>
                </c:pt>
                <c:pt idx="275">
                  <c:v>-3.0765204292729171</c:v>
                </c:pt>
                <c:pt idx="276">
                  <c:v>-3.7621806161952693</c:v>
                </c:pt>
                <c:pt idx="277">
                  <c:v>-4.5679052194566001</c:v>
                </c:pt>
                <c:pt idx="278">
                  <c:v>-3.6850642705643879</c:v>
                </c:pt>
                <c:pt idx="279">
                  <c:v>-4.1457605323020177</c:v>
                </c:pt>
                <c:pt idx="280">
                  <c:v>-5.4920114628005017</c:v>
                </c:pt>
                <c:pt idx="281">
                  <c:v>-5.6245094053875349</c:v>
                </c:pt>
                <c:pt idx="282">
                  <c:v>-5.3832567286224071</c:v>
                </c:pt>
                <c:pt idx="283">
                  <c:v>-4.8120309225589901</c:v>
                </c:pt>
                <c:pt idx="284">
                  <c:v>-4.1448893842306385</c:v>
                </c:pt>
                <c:pt idx="285">
                  <c:v>-3.6180709212205433</c:v>
                </c:pt>
                <c:pt idx="286">
                  <c:v>-3.8408427703741927</c:v>
                </c:pt>
                <c:pt idx="287">
                  <c:v>-3.5874322201942297</c:v>
                </c:pt>
                <c:pt idx="288">
                  <c:v>-4.1693213306169898</c:v>
                </c:pt>
                <c:pt idx="289">
                  <c:v>-4.0888449368014799</c:v>
                </c:pt>
                <c:pt idx="290">
                  <c:v>-4.5403534383994923</c:v>
                </c:pt>
                <c:pt idx="291">
                  <c:v>-4.5193693252616507</c:v>
                </c:pt>
                <c:pt idx="292">
                  <c:v>-3.7622960970545063</c:v>
                </c:pt>
                <c:pt idx="293">
                  <c:v>-4.8521651179016567</c:v>
                </c:pt>
                <c:pt idx="294">
                  <c:v>-4.3859546563215766</c:v>
                </c:pt>
                <c:pt idx="295">
                  <c:v>-3.8524790538291205</c:v>
                </c:pt>
                <c:pt idx="296">
                  <c:v>-4.9021728416913799</c:v>
                </c:pt>
                <c:pt idx="297">
                  <c:v>-4.8807947480451865</c:v>
                </c:pt>
                <c:pt idx="298">
                  <c:v>-4.5997571183258232</c:v>
                </c:pt>
                <c:pt idx="299">
                  <c:v>-5.0118665911887819</c:v>
                </c:pt>
                <c:pt idx="300">
                  <c:v>-5.0466086032466908</c:v>
                </c:pt>
                <c:pt idx="301">
                  <c:v>-3.8329503139860424</c:v>
                </c:pt>
                <c:pt idx="302">
                  <c:v>-4.1298775842712114</c:v>
                </c:pt>
                <c:pt idx="303">
                  <c:v>-3.3985565941043454</c:v>
                </c:pt>
                <c:pt idx="304">
                  <c:v>-3.6001521479759111</c:v>
                </c:pt>
                <c:pt idx="305">
                  <c:v>-2.0264091761422338</c:v>
                </c:pt>
                <c:pt idx="306">
                  <c:v>-1.2971716324725648</c:v>
                </c:pt>
                <c:pt idx="307">
                  <c:v>-2.0310921164914681</c:v>
                </c:pt>
                <c:pt idx="308">
                  <c:v>6.3595865914257421E-2</c:v>
                </c:pt>
                <c:pt idx="309">
                  <c:v>-1.2046881829151952</c:v>
                </c:pt>
                <c:pt idx="310">
                  <c:v>1.3380827151583599</c:v>
                </c:pt>
                <c:pt idx="311">
                  <c:v>0.49507079733101428</c:v>
                </c:pt>
                <c:pt idx="312">
                  <c:v>2.9399019594695064</c:v>
                </c:pt>
                <c:pt idx="313">
                  <c:v>1.0760409202076953</c:v>
                </c:pt>
                <c:pt idx="314">
                  <c:v>1.1856151891388478</c:v>
                </c:pt>
                <c:pt idx="315">
                  <c:v>2.2359258256203876</c:v>
                </c:pt>
                <c:pt idx="316">
                  <c:v>3.3173379376779395</c:v>
                </c:pt>
                <c:pt idx="317">
                  <c:v>1.0295375947236298</c:v>
                </c:pt>
                <c:pt idx="318">
                  <c:v>2.0261647980166329</c:v>
                </c:pt>
                <c:pt idx="319">
                  <c:v>5.4378392463622198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F-6E4A-B640-A4090FF11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'240823E020'!$A$2:$A$321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'240823E020'!$J$2:$J$321</c:f>
              <c:numCache>
                <c:formatCode>0.0</c:formatCode>
                <c:ptCount val="320"/>
                <c:pt idx="0">
                  <c:v>1840.5501187648799</c:v>
                </c:pt>
                <c:pt idx="1">
                  <c:v>1823.9339667458798</c:v>
                </c:pt>
                <c:pt idx="2">
                  <c:v>1695.87885985753</c:v>
                </c:pt>
                <c:pt idx="3">
                  <c:v>1223.23895486933</c:v>
                </c:pt>
                <c:pt idx="4">
                  <c:v>1274.18729435776</c:v>
                </c:pt>
                <c:pt idx="5">
                  <c:v>1210.7682626995399</c:v>
                </c:pt>
                <c:pt idx="6">
                  <c:v>1011.69320962419</c:v>
                </c:pt>
                <c:pt idx="7">
                  <c:v>708.75029288571</c:v>
                </c:pt>
                <c:pt idx="8">
                  <c:v>640.41161631691</c:v>
                </c:pt>
                <c:pt idx="9">
                  <c:v>1667.9023747353701</c:v>
                </c:pt>
                <c:pt idx="10">
                  <c:v>1617.21067367467</c:v>
                </c:pt>
                <c:pt idx="11">
                  <c:v>1838.21280526499</c:v>
                </c:pt>
                <c:pt idx="12">
                  <c:v>1869.9960860947301</c:v>
                </c:pt>
                <c:pt idx="13">
                  <c:v>2107.8934350836198</c:v>
                </c:pt>
                <c:pt idx="14">
                  <c:v>2019.2793787166202</c:v>
                </c:pt>
                <c:pt idx="15">
                  <c:v>1297.09758371096</c:v>
                </c:pt>
                <c:pt idx="16">
                  <c:v>1649.8572517443399</c:v>
                </c:pt>
                <c:pt idx="17">
                  <c:v>1270.4882631527</c:v>
                </c:pt>
                <c:pt idx="18">
                  <c:v>1313.7172325484898</c:v>
                </c:pt>
                <c:pt idx="19">
                  <c:v>1593.4912509522301</c:v>
                </c:pt>
                <c:pt idx="20">
                  <c:v>1524.98574956685</c:v>
                </c:pt>
                <c:pt idx="21">
                  <c:v>1406.9178805700101</c:v>
                </c:pt>
                <c:pt idx="22">
                  <c:v>1556.7241554437201</c:v>
                </c:pt>
                <c:pt idx="23">
                  <c:v>1053.72146913349</c:v>
                </c:pt>
                <c:pt idx="24">
                  <c:v>1126.4110299619701</c:v>
                </c:pt>
                <c:pt idx="25">
                  <c:v>1251.0171021377701</c:v>
                </c:pt>
                <c:pt idx="26">
                  <c:v>1118.6792169942901</c:v>
                </c:pt>
                <c:pt idx="27">
                  <c:v>1155.3578129299299</c:v>
                </c:pt>
                <c:pt idx="28">
                  <c:v>1397.30308788602</c:v>
                </c:pt>
                <c:pt idx="29">
                  <c:v>1388.0764845605499</c:v>
                </c:pt>
                <c:pt idx="30">
                  <c:v>1369.90023752971</c:v>
                </c:pt>
                <c:pt idx="31">
                  <c:v>1419.62446589606</c:v>
                </c:pt>
                <c:pt idx="32">
                  <c:v>1384.19456576216</c:v>
                </c:pt>
                <c:pt idx="33">
                  <c:v>1359.6192116356601</c:v>
                </c:pt>
                <c:pt idx="34">
                  <c:v>1432.6191514930899</c:v>
                </c:pt>
                <c:pt idx="35">
                  <c:v>1453.2833956399299</c:v>
                </c:pt>
                <c:pt idx="36">
                  <c:v>1431.8325222234</c:v>
                </c:pt>
                <c:pt idx="37">
                  <c:v>1499.10731371015</c:v>
                </c:pt>
                <c:pt idx="38">
                  <c:v>1461.9528154387899</c:v>
                </c:pt>
                <c:pt idx="39">
                  <c:v>1442.0146581358399</c:v>
                </c:pt>
                <c:pt idx="40">
                  <c:v>1298.0754838170301</c:v>
                </c:pt>
                <c:pt idx="41">
                  <c:v>1463.58533169723</c:v>
                </c:pt>
                <c:pt idx="42">
                  <c:v>1400.9731215097399</c:v>
                </c:pt>
                <c:pt idx="43">
                  <c:v>1398.97880271588</c:v>
                </c:pt>
                <c:pt idx="44">
                  <c:v>1418.52453096002</c:v>
                </c:pt>
                <c:pt idx="45">
                  <c:v>1339.8253572237199</c:v>
                </c:pt>
                <c:pt idx="46">
                  <c:v>1406.48377128227</c:v>
                </c:pt>
                <c:pt idx="47">
                  <c:v>1383.83270183544</c:v>
                </c:pt>
                <c:pt idx="48">
                  <c:v>1359.8172546343399</c:v>
                </c:pt>
                <c:pt idx="49">
                  <c:v>1325.0492726357802</c:v>
                </c:pt>
                <c:pt idx="50">
                  <c:v>1378.7186308545499</c:v>
                </c:pt>
                <c:pt idx="51">
                  <c:v>1425.20482390551</c:v>
                </c:pt>
                <c:pt idx="52">
                  <c:v>1411.2049436853799</c:v>
                </c:pt>
                <c:pt idx="53">
                  <c:v>1462.51161278831</c:v>
                </c:pt>
                <c:pt idx="54">
                  <c:v>1439.2008215414801</c:v>
                </c:pt>
                <c:pt idx="55">
                  <c:v>1477.9388321569199</c:v>
                </c:pt>
                <c:pt idx="56">
                  <c:v>1439.7687284153401</c:v>
                </c:pt>
                <c:pt idx="57">
                  <c:v>1413.6241096020301</c:v>
                </c:pt>
                <c:pt idx="58">
                  <c:v>1486.2169521308601</c:v>
                </c:pt>
                <c:pt idx="59">
                  <c:v>1500.0852625571699</c:v>
                </c:pt>
                <c:pt idx="60">
                  <c:v>1391.0350797292201</c:v>
                </c:pt>
                <c:pt idx="61">
                  <c:v>1416.0544175334801</c:v>
                </c:pt>
                <c:pt idx="62">
                  <c:v>1442.17172471817</c:v>
                </c:pt>
                <c:pt idx="63">
                  <c:v>1368.8541294751201</c:v>
                </c:pt>
                <c:pt idx="64">
                  <c:v>1408.4067679044301</c:v>
                </c:pt>
                <c:pt idx="65">
                  <c:v>1390.81727966473</c:v>
                </c:pt>
                <c:pt idx="66">
                  <c:v>1324.7820336872701</c:v>
                </c:pt>
                <c:pt idx="67">
                  <c:v>1346.4513797249901</c:v>
                </c:pt>
                <c:pt idx="68">
                  <c:v>1357.62826377753</c:v>
                </c:pt>
                <c:pt idx="69">
                  <c:v>1390.30420560639</c:v>
                </c:pt>
                <c:pt idx="70">
                  <c:v>1367.5535551630699</c:v>
                </c:pt>
                <c:pt idx="71">
                  <c:v>1282.9695289783601</c:v>
                </c:pt>
                <c:pt idx="72">
                  <c:v>1326.2198692571501</c:v>
                </c:pt>
                <c:pt idx="73">
                  <c:v>1405.0127766565599</c:v>
                </c:pt>
                <c:pt idx="74">
                  <c:v>1366.9841256248098</c:v>
                </c:pt>
                <c:pt idx="75">
                  <c:v>1341.8673462029201</c:v>
                </c:pt>
                <c:pt idx="76">
                  <c:v>1396.78194774347</c:v>
                </c:pt>
                <c:pt idx="77">
                  <c:v>1402.58242280284</c:v>
                </c:pt>
                <c:pt idx="78">
                  <c:v>1381.7368171021401</c:v>
                </c:pt>
                <c:pt idx="79">
                  <c:v>1417.2674584322799</c:v>
                </c:pt>
                <c:pt idx="80">
                  <c:v>1343.25178147268</c:v>
                </c:pt>
                <c:pt idx="81">
                  <c:v>1294.7187648456402</c:v>
                </c:pt>
                <c:pt idx="82">
                  <c:v>1358.0593824227699</c:v>
                </c:pt>
                <c:pt idx="83">
                  <c:v>1415.97909738718</c:v>
                </c:pt>
                <c:pt idx="84">
                  <c:v>1449.73396674588</c:v>
                </c:pt>
                <c:pt idx="85">
                  <c:v>1490.5263657957501</c:v>
                </c:pt>
                <c:pt idx="86">
                  <c:v>1507.5372921615499</c:v>
                </c:pt>
                <c:pt idx="87">
                  <c:v>1520.5567695961599</c:v>
                </c:pt>
                <c:pt idx="88">
                  <c:v>1514.0470308788601</c:v>
                </c:pt>
                <c:pt idx="89">
                  <c:v>1524.9654291663301</c:v>
                </c:pt>
                <c:pt idx="90">
                  <c:v>1539.81220740197</c:v>
                </c:pt>
                <c:pt idx="91">
                  <c:v>1533.49440282604</c:v>
                </c:pt>
                <c:pt idx="92">
                  <c:v>1504.1354589195701</c:v>
                </c:pt>
                <c:pt idx="93">
                  <c:v>1606.7750037184001</c:v>
                </c:pt>
                <c:pt idx="94">
                  <c:v>1574.47401573912</c:v>
                </c:pt>
                <c:pt idx="95">
                  <c:v>1571.3919559916299</c:v>
                </c:pt>
                <c:pt idx="96">
                  <c:v>1543.1884320335801</c:v>
                </c:pt>
                <c:pt idx="97">
                  <c:v>1548.6432511369901</c:v>
                </c:pt>
                <c:pt idx="98">
                  <c:v>1534.90515759444</c:v>
                </c:pt>
                <c:pt idx="99">
                  <c:v>1546.50384960361</c:v>
                </c:pt>
                <c:pt idx="100">
                  <c:v>1508.3592879968201</c:v>
                </c:pt>
                <c:pt idx="101">
                  <c:v>1520.3437129000902</c:v>
                </c:pt>
                <c:pt idx="102">
                  <c:v>1518.12604803779</c:v>
                </c:pt>
                <c:pt idx="103">
                  <c:v>1521.3900848256499</c:v>
                </c:pt>
                <c:pt idx="104">
                  <c:v>1512.4348526369799</c:v>
                </c:pt>
                <c:pt idx="105">
                  <c:v>1469.26352589611</c:v>
                </c:pt>
                <c:pt idx="106">
                  <c:v>1508.7121620159999</c:v>
                </c:pt>
                <c:pt idx="107">
                  <c:v>1516.2238778187102</c:v>
                </c:pt>
                <c:pt idx="108">
                  <c:v>1494.12633018882</c:v>
                </c:pt>
                <c:pt idx="109">
                  <c:v>1494.5610985410499</c:v>
                </c:pt>
                <c:pt idx="110">
                  <c:v>1479.3694799136501</c:v>
                </c:pt>
                <c:pt idx="111">
                  <c:v>1470.5338455686301</c:v>
                </c:pt>
                <c:pt idx="112">
                  <c:v>1473.03983026216</c:v>
                </c:pt>
                <c:pt idx="113">
                  <c:v>1444.3520501942901</c:v>
                </c:pt>
                <c:pt idx="114">
                  <c:v>1457.6099035407001</c:v>
                </c:pt>
                <c:pt idx="115">
                  <c:v>1471.57670772849</c:v>
                </c:pt>
                <c:pt idx="116">
                  <c:v>1457.3996885521601</c:v>
                </c:pt>
                <c:pt idx="117">
                  <c:v>1453.05709929826</c:v>
                </c:pt>
                <c:pt idx="118">
                  <c:v>1412.7369322612099</c:v>
                </c:pt>
                <c:pt idx="119">
                  <c:v>1319.4500448466999</c:v>
                </c:pt>
                <c:pt idx="120">
                  <c:v>1315.02292093912</c:v>
                </c:pt>
                <c:pt idx="121">
                  <c:v>1312.28463043172</c:v>
                </c:pt>
                <c:pt idx="122">
                  <c:v>1321.5829463147102</c:v>
                </c:pt>
                <c:pt idx="123">
                  <c:v>1315.4254181559299</c:v>
                </c:pt>
                <c:pt idx="124">
                  <c:v>1310.7704422019001</c:v>
                </c:pt>
                <c:pt idx="125">
                  <c:v>1307.3085150112502</c:v>
                </c:pt>
                <c:pt idx="126">
                  <c:v>1306.2275376689199</c:v>
                </c:pt>
                <c:pt idx="127">
                  <c:v>1336.9246979045899</c:v>
                </c:pt>
                <c:pt idx="128">
                  <c:v>1302.8411072850299</c:v>
                </c:pt>
                <c:pt idx="129">
                  <c:v>1293.6831975913099</c:v>
                </c:pt>
                <c:pt idx="130">
                  <c:v>1295.12133891025</c:v>
                </c:pt>
                <c:pt idx="131">
                  <c:v>1343.68049169099</c:v>
                </c:pt>
                <c:pt idx="132">
                  <c:v>1330.4254400158302</c:v>
                </c:pt>
                <c:pt idx="133">
                  <c:v>1311.1481328904099</c:v>
                </c:pt>
                <c:pt idx="134">
                  <c:v>1303.5849765851199</c:v>
                </c:pt>
                <c:pt idx="135">
                  <c:v>1216.391607134</c:v>
                </c:pt>
                <c:pt idx="136">
                  <c:v>1243.6802906509902</c:v>
                </c:pt>
                <c:pt idx="137">
                  <c:v>1312.05785616815</c:v>
                </c:pt>
                <c:pt idx="138">
                  <c:v>1302.54469882026</c:v>
                </c:pt>
                <c:pt idx="139">
                  <c:v>1362.6400925411599</c:v>
                </c:pt>
                <c:pt idx="140">
                  <c:v>1368.4224198828499</c:v>
                </c:pt>
                <c:pt idx="141">
                  <c:v>1350.68540736624</c:v>
                </c:pt>
                <c:pt idx="142">
                  <c:v>1325.85172756521</c:v>
                </c:pt>
                <c:pt idx="143">
                  <c:v>1374.5795724466</c:v>
                </c:pt>
                <c:pt idx="144">
                  <c:v>1368.8964370546601</c:v>
                </c:pt>
                <c:pt idx="145">
                  <c:v>1364.4693586698299</c:v>
                </c:pt>
                <c:pt idx="146">
                  <c:v>1406.38786183969</c:v>
                </c:pt>
                <c:pt idx="147">
                  <c:v>1412.7109875731699</c:v>
                </c:pt>
                <c:pt idx="148">
                  <c:v>1390.17451637722</c:v>
                </c:pt>
                <c:pt idx="149">
                  <c:v>1529.01921248908</c:v>
                </c:pt>
                <c:pt idx="150">
                  <c:v>1527.6966134602799</c:v>
                </c:pt>
                <c:pt idx="151">
                  <c:v>1563.3132864868701</c:v>
                </c:pt>
                <c:pt idx="152">
                  <c:v>1505.36148961352</c:v>
                </c:pt>
                <c:pt idx="153">
                  <c:v>1481.5711261469999</c:v>
                </c:pt>
                <c:pt idx="154">
                  <c:v>1381.7008316347401</c:v>
                </c:pt>
                <c:pt idx="155">
                  <c:v>1391.29122263214</c:v>
                </c:pt>
                <c:pt idx="156">
                  <c:v>1394.31335500864</c:v>
                </c:pt>
                <c:pt idx="157">
                  <c:v>1394.52797066537</c:v>
                </c:pt>
                <c:pt idx="158">
                  <c:v>1398.7882605301702</c:v>
                </c:pt>
                <c:pt idx="159">
                  <c:v>1366.5004217134499</c:v>
                </c:pt>
                <c:pt idx="160">
                  <c:v>1415.2117956233899</c:v>
                </c:pt>
                <c:pt idx="161">
                  <c:v>1395.9735426739401</c:v>
                </c:pt>
                <c:pt idx="162">
                  <c:v>1387.9752194201199</c:v>
                </c:pt>
                <c:pt idx="163">
                  <c:v>1395.2847896767801</c:v>
                </c:pt>
                <c:pt idx="164">
                  <c:v>1405.4332631412999</c:v>
                </c:pt>
                <c:pt idx="165">
                  <c:v>1410.0609850462602</c:v>
                </c:pt>
                <c:pt idx="166">
                  <c:v>1409.66331542032</c:v>
                </c:pt>
                <c:pt idx="167">
                  <c:v>1409.6594082535</c:v>
                </c:pt>
                <c:pt idx="168">
                  <c:v>1369.2206049987601</c:v>
                </c:pt>
                <c:pt idx="169">
                  <c:v>1427.68915842609</c:v>
                </c:pt>
                <c:pt idx="170">
                  <c:v>1408.9983704227502</c:v>
                </c:pt>
                <c:pt idx="171">
                  <c:v>1405.0634007737601</c:v>
                </c:pt>
                <c:pt idx="172">
                  <c:v>1390.6563361634401</c:v>
                </c:pt>
                <c:pt idx="173">
                  <c:v>1412.58818275765</c:v>
                </c:pt>
                <c:pt idx="174">
                  <c:v>1403.1176782903001</c:v>
                </c:pt>
                <c:pt idx="175">
                  <c:v>1335.6285136610302</c:v>
                </c:pt>
                <c:pt idx="176">
                  <c:v>1440.3659658241802</c:v>
                </c:pt>
                <c:pt idx="177">
                  <c:v>1431.2380609986799</c:v>
                </c:pt>
                <c:pt idx="178">
                  <c:v>1392.6441780564601</c:v>
                </c:pt>
                <c:pt idx="179">
                  <c:v>1387.99619952494</c:v>
                </c:pt>
                <c:pt idx="180">
                  <c:v>1408.27600950121</c:v>
                </c:pt>
                <c:pt idx="181">
                  <c:v>1455.1714964371099</c:v>
                </c:pt>
                <c:pt idx="182">
                  <c:v>1467.3952494062301</c:v>
                </c:pt>
                <c:pt idx="183">
                  <c:v>1330.9194768720999</c:v>
                </c:pt>
                <c:pt idx="184">
                  <c:v>1274.8159611851199</c:v>
                </c:pt>
                <c:pt idx="185">
                  <c:v>1217.79896958003</c:v>
                </c:pt>
                <c:pt idx="186">
                  <c:v>1151.04223586797</c:v>
                </c:pt>
                <c:pt idx="187">
                  <c:v>1123.18153806954</c:v>
                </c:pt>
                <c:pt idx="188">
                  <c:v>1115.0103940377501</c:v>
                </c:pt>
                <c:pt idx="189">
                  <c:v>1316.3332543812598</c:v>
                </c:pt>
                <c:pt idx="190">
                  <c:v>1351.3516465432099</c:v>
                </c:pt>
                <c:pt idx="191">
                  <c:v>1389.02912724675</c:v>
                </c:pt>
                <c:pt idx="192">
                  <c:v>1429.5237942640001</c:v>
                </c:pt>
                <c:pt idx="193">
                  <c:v>1412.7731706907498</c:v>
                </c:pt>
                <c:pt idx="194">
                  <c:v>1428.59433641903</c:v>
                </c:pt>
                <c:pt idx="195">
                  <c:v>1337.61857817499</c:v>
                </c:pt>
                <c:pt idx="196">
                  <c:v>1273.50332091275</c:v>
                </c:pt>
                <c:pt idx="197">
                  <c:v>1286.8710866701501</c:v>
                </c:pt>
                <c:pt idx="198">
                  <c:v>1350.1290176667999</c:v>
                </c:pt>
                <c:pt idx="199">
                  <c:v>1355.6191817321301</c:v>
                </c:pt>
                <c:pt idx="200">
                  <c:v>1415.92983348234</c:v>
                </c:pt>
                <c:pt idx="201">
                  <c:v>1344.99394518082</c:v>
                </c:pt>
                <c:pt idx="202">
                  <c:v>1397.2062182679001</c:v>
                </c:pt>
                <c:pt idx="203">
                  <c:v>1403.4285684250899</c:v>
                </c:pt>
                <c:pt idx="204">
                  <c:v>1407.004312216</c:v>
                </c:pt>
                <c:pt idx="205">
                  <c:v>1372.9032741881799</c:v>
                </c:pt>
                <c:pt idx="206">
                  <c:v>1357.89604763598</c:v>
                </c:pt>
                <c:pt idx="207">
                  <c:v>1371.08173837048</c:v>
                </c:pt>
                <c:pt idx="208">
                  <c:v>1366.6818622598598</c:v>
                </c:pt>
                <c:pt idx="209">
                  <c:v>1395.3196406307202</c:v>
                </c:pt>
                <c:pt idx="210">
                  <c:v>1408.6348176405199</c:v>
                </c:pt>
                <c:pt idx="211">
                  <c:v>1399.6960196601201</c:v>
                </c:pt>
                <c:pt idx="212">
                  <c:v>1295.5027183204299</c:v>
                </c:pt>
                <c:pt idx="213">
                  <c:v>1414.00417386455</c:v>
                </c:pt>
                <c:pt idx="214">
                  <c:v>1393.9964771104401</c:v>
                </c:pt>
                <c:pt idx="215">
                  <c:v>1411.9958621966798</c:v>
                </c:pt>
                <c:pt idx="216">
                  <c:v>1491.93362919176</c:v>
                </c:pt>
                <c:pt idx="217">
                  <c:v>1469.4568203581598</c:v>
                </c:pt>
                <c:pt idx="218">
                  <c:v>1350.4251770167002</c:v>
                </c:pt>
                <c:pt idx="219">
                  <c:v>1380.74304242984</c:v>
                </c:pt>
                <c:pt idx="220">
                  <c:v>1387.4852557020099</c:v>
                </c:pt>
                <c:pt idx="221">
                  <c:v>1334.8677305993701</c:v>
                </c:pt>
                <c:pt idx="222">
                  <c:v>1312.52644733743</c:v>
                </c:pt>
                <c:pt idx="223">
                  <c:v>1344.2176010739799</c:v>
                </c:pt>
                <c:pt idx="224">
                  <c:v>1372.6057950938002</c:v>
                </c:pt>
                <c:pt idx="225">
                  <c:v>1332.3167038567701</c:v>
                </c:pt>
                <c:pt idx="226">
                  <c:v>1339.60315297339</c:v>
                </c:pt>
                <c:pt idx="227">
                  <c:v>1268.40068212498</c:v>
                </c:pt>
                <c:pt idx="228">
                  <c:v>1307.3140532761399</c:v>
                </c:pt>
                <c:pt idx="229">
                  <c:v>1370.9944823480801</c:v>
                </c:pt>
                <c:pt idx="230">
                  <c:v>1341.4280129389799</c:v>
                </c:pt>
                <c:pt idx="231">
                  <c:v>1300.9435746300799</c:v>
                </c:pt>
                <c:pt idx="232">
                  <c:v>1236.2823386637101</c:v>
                </c:pt>
                <c:pt idx="233">
                  <c:v>1267.3622648106</c:v>
                </c:pt>
                <c:pt idx="234">
                  <c:v>1292.0477661647101</c:v>
                </c:pt>
                <c:pt idx="235">
                  <c:v>1337.19675368602</c:v>
                </c:pt>
                <c:pt idx="236">
                  <c:v>1351.60120270478</c:v>
                </c:pt>
                <c:pt idx="237">
                  <c:v>1328.9736005597999</c:v>
                </c:pt>
                <c:pt idx="238">
                  <c:v>1348.4620872108301</c:v>
                </c:pt>
                <c:pt idx="239">
                  <c:v>1378.2456646053899</c:v>
                </c:pt>
                <c:pt idx="240">
                  <c:v>1373.8986531741</c:v>
                </c:pt>
                <c:pt idx="241">
                  <c:v>1312.11026301382</c:v>
                </c:pt>
                <c:pt idx="242">
                  <c:v>1326.55164537276</c:v>
                </c:pt>
                <c:pt idx="243">
                  <c:v>1294.4801546579999</c:v>
                </c:pt>
                <c:pt idx="244">
                  <c:v>1314.2702416923501</c:v>
                </c:pt>
                <c:pt idx="245">
                  <c:v>1327.2033254156602</c:v>
                </c:pt>
                <c:pt idx="246">
                  <c:v>1324.15405319622</c:v>
                </c:pt>
                <c:pt idx="247">
                  <c:v>1322.9099124314</c:v>
                </c:pt>
                <c:pt idx="248">
                  <c:v>1321.6093017214898</c:v>
                </c:pt>
                <c:pt idx="249">
                  <c:v>1360.69892717635</c:v>
                </c:pt>
                <c:pt idx="250">
                  <c:v>1357.17032567463</c:v>
                </c:pt>
                <c:pt idx="251">
                  <c:v>1378.61186297577</c:v>
                </c:pt>
                <c:pt idx="252">
                  <c:v>1378.71597190171</c:v>
                </c:pt>
                <c:pt idx="253">
                  <c:v>1368.2519000684601</c:v>
                </c:pt>
                <c:pt idx="254">
                  <c:v>1343.4935866983899</c:v>
                </c:pt>
                <c:pt idx="255">
                  <c:v>1335.7182897862299</c:v>
                </c:pt>
                <c:pt idx="256">
                  <c:v>1303.4855106888799</c:v>
                </c:pt>
                <c:pt idx="257">
                  <c:v>1347.0570071259199</c:v>
                </c:pt>
                <c:pt idx="258">
                  <c:v>1309.8622327791002</c:v>
                </c:pt>
                <c:pt idx="259">
                  <c:v>1384.40712589073</c:v>
                </c:pt>
                <c:pt idx="260">
                  <c:v>1393.7573670704198</c:v>
                </c:pt>
                <c:pt idx="261">
                  <c:v>1390.17959940024</c:v>
                </c:pt>
                <c:pt idx="262">
                  <c:v>1401.5038612646101</c:v>
                </c:pt>
                <c:pt idx="263">
                  <c:v>1379.5921018563199</c:v>
                </c:pt>
                <c:pt idx="264">
                  <c:v>1306.8277774650801</c:v>
                </c:pt>
                <c:pt idx="265">
                  <c:v>1264.6050324848202</c:v>
                </c:pt>
                <c:pt idx="266">
                  <c:v>1289.7080002021401</c:v>
                </c:pt>
                <c:pt idx="267">
                  <c:v>1271.05523604165</c:v>
                </c:pt>
                <c:pt idx="268">
                  <c:v>1412.4240876445001</c:v>
                </c:pt>
                <c:pt idx="269">
                  <c:v>1420.5243891892901</c:v>
                </c:pt>
                <c:pt idx="270">
                  <c:v>1394.2059848497702</c:v>
                </c:pt>
                <c:pt idx="271">
                  <c:v>1347.80172728448</c:v>
                </c:pt>
                <c:pt idx="272">
                  <c:v>1330.6166910934801</c:v>
                </c:pt>
                <c:pt idx="273">
                  <c:v>1238.5401223025699</c:v>
                </c:pt>
                <c:pt idx="274">
                  <c:v>1348.9561284572799</c:v>
                </c:pt>
                <c:pt idx="275">
                  <c:v>1353.4070847084702</c:v>
                </c:pt>
                <c:pt idx="276">
                  <c:v>1368.6801437105398</c:v>
                </c:pt>
                <c:pt idx="277">
                  <c:v>1461.23810954639</c:v>
                </c:pt>
                <c:pt idx="278">
                  <c:v>1442.8003536578601</c:v>
                </c:pt>
                <c:pt idx="279">
                  <c:v>1432.4321375872801</c:v>
                </c:pt>
                <c:pt idx="280">
                  <c:v>1373.2242914297299</c:v>
                </c:pt>
                <c:pt idx="281">
                  <c:v>1362.95434731042</c:v>
                </c:pt>
                <c:pt idx="282">
                  <c:v>1271.1634795570501</c:v>
                </c:pt>
                <c:pt idx="283">
                  <c:v>1359.3772196642899</c:v>
                </c:pt>
                <c:pt idx="284">
                  <c:v>1329.8560570071702</c:v>
                </c:pt>
                <c:pt idx="285">
                  <c:v>1310.5790973872201</c:v>
                </c:pt>
                <c:pt idx="286">
                  <c:v>1380.1964146462199</c:v>
                </c:pt>
                <c:pt idx="287">
                  <c:v>1449.20389630058</c:v>
                </c:pt>
                <c:pt idx="288">
                  <c:v>1482.4949555363798</c:v>
                </c:pt>
                <c:pt idx="289">
                  <c:v>1427.01565014178</c:v>
                </c:pt>
                <c:pt idx="290">
                  <c:v>1422.47662405861</c:v>
                </c:pt>
                <c:pt idx="291">
                  <c:v>1443.7698984075701</c:v>
                </c:pt>
                <c:pt idx="292">
                  <c:v>1449.7167113631301</c:v>
                </c:pt>
                <c:pt idx="293">
                  <c:v>1435.6332897636801</c:v>
                </c:pt>
                <c:pt idx="294">
                  <c:v>1401.2853227384201</c:v>
                </c:pt>
                <c:pt idx="295">
                  <c:v>1479.0103736999499</c:v>
                </c:pt>
                <c:pt idx="296">
                  <c:v>1456.4870374731599</c:v>
                </c:pt>
                <c:pt idx="297">
                  <c:v>1443.3982341159101</c:v>
                </c:pt>
                <c:pt idx="298">
                  <c:v>1459.8080175544699</c:v>
                </c:pt>
                <c:pt idx="299">
                  <c:v>1483.2115347476001</c:v>
                </c:pt>
                <c:pt idx="300">
                  <c:v>1472.11093389746</c:v>
                </c:pt>
                <c:pt idx="301">
                  <c:v>1476.7386150433902</c:v>
                </c:pt>
                <c:pt idx="302">
                  <c:v>1461.17788714363</c:v>
                </c:pt>
                <c:pt idx="303">
                  <c:v>1448.6678181554898</c:v>
                </c:pt>
                <c:pt idx="304">
                  <c:v>1429.7383416641999</c:v>
                </c:pt>
                <c:pt idx="305">
                  <c:v>1489.08548640757</c:v>
                </c:pt>
                <c:pt idx="306">
                  <c:v>1470.75892546196</c:v>
                </c:pt>
                <c:pt idx="307">
                  <c:v>1482.0570817684602</c:v>
                </c:pt>
                <c:pt idx="308">
                  <c:v>1461.0199524940699</c:v>
                </c:pt>
                <c:pt idx="309">
                  <c:v>1493.23587080365</c:v>
                </c:pt>
                <c:pt idx="310">
                  <c:v>1504.0945599633599</c:v>
                </c:pt>
                <c:pt idx="311">
                  <c:v>1509.3496160648701</c:v>
                </c:pt>
                <c:pt idx="312">
                  <c:v>1481.1396586943399</c:v>
                </c:pt>
                <c:pt idx="313">
                  <c:v>1524.0351460796801</c:v>
                </c:pt>
                <c:pt idx="314">
                  <c:v>1522.7586496089</c:v>
                </c:pt>
                <c:pt idx="315">
                  <c:v>1535.2803407663901</c:v>
                </c:pt>
                <c:pt idx="316">
                  <c:v>1517.2815675161701</c:v>
                </c:pt>
                <c:pt idx="317">
                  <c:v>1506.4717795849901</c:v>
                </c:pt>
                <c:pt idx="318">
                  <c:v>1531.22616804162</c:v>
                </c:pt>
                <c:pt idx="319">
                  <c:v>1523.1617458095102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C-8144-A93A-F6DBE89F6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D-0741-B0B1-4246C99AF5FA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'240823E020'!$A$2:$A$321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'240823E020'!$P$2:$P$321</c:f>
              <c:numCache>
                <c:formatCode>General</c:formatCode>
                <c:ptCount val="320"/>
                <c:pt idx="0">
                  <c:v>40.443434835391699</c:v>
                </c:pt>
                <c:pt idx="1">
                  <c:v>46.38235491565738</c:v>
                </c:pt>
                <c:pt idx="2">
                  <c:v>54.790152784073612</c:v>
                </c:pt>
                <c:pt idx="3">
                  <c:v>81.72810482460892</c:v>
                </c:pt>
                <c:pt idx="4">
                  <c:v>68.207152063454828</c:v>
                </c:pt>
                <c:pt idx="5">
                  <c:v>61.862249457159201</c:v>
                </c:pt>
                <c:pt idx="6">
                  <c:v>59.318900518566828</c:v>
                </c:pt>
                <c:pt idx="7">
                  <c:v>52.737449476480805</c:v>
                </c:pt>
                <c:pt idx="8">
                  <c:v>52.963102069321089</c:v>
                </c:pt>
                <c:pt idx="9">
                  <c:v>44.356643500980404</c:v>
                </c:pt>
                <c:pt idx="10">
                  <c:v>42.431731495199081</c:v>
                </c:pt>
                <c:pt idx="11">
                  <c:v>35.738223822221975</c:v>
                </c:pt>
                <c:pt idx="12">
                  <c:v>33.662886862468504</c:v>
                </c:pt>
                <c:pt idx="13">
                  <c:v>26.438994025686025</c:v>
                </c:pt>
                <c:pt idx="14">
                  <c:v>24.835042292320367</c:v>
                </c:pt>
                <c:pt idx="15">
                  <c:v>24.891416062133587</c:v>
                </c:pt>
                <c:pt idx="16">
                  <c:v>17.520039011382345</c:v>
                </c:pt>
                <c:pt idx="17">
                  <c:v>25.998867009838943</c:v>
                </c:pt>
                <c:pt idx="18">
                  <c:v>24.620614109302682</c:v>
                </c:pt>
                <c:pt idx="19">
                  <c:v>15.997265456440632</c:v>
                </c:pt>
                <c:pt idx="20">
                  <c:v>12.612879709426808</c:v>
                </c:pt>
                <c:pt idx="21">
                  <c:v>10.974982101290417</c:v>
                </c:pt>
                <c:pt idx="22">
                  <c:v>8.5832208693928465</c:v>
                </c:pt>
                <c:pt idx="23">
                  <c:v>17.787544104578341</c:v>
                </c:pt>
                <c:pt idx="24">
                  <c:v>12.885256784942614</c:v>
                </c:pt>
                <c:pt idx="25">
                  <c:v>5.3800078207467079</c:v>
                </c:pt>
                <c:pt idx="26">
                  <c:v>5.8500244776524806</c:v>
                </c:pt>
                <c:pt idx="27">
                  <c:v>5.8554981416867129</c:v>
                </c:pt>
                <c:pt idx="28">
                  <c:v>4.2904570806128124</c:v>
                </c:pt>
                <c:pt idx="29">
                  <c:v>1.403383508915792</c:v>
                </c:pt>
                <c:pt idx="30">
                  <c:v>0.71315755748531884</c:v>
                </c:pt>
                <c:pt idx="31">
                  <c:v>0.22656212675098061</c:v>
                </c:pt>
                <c:pt idx="32">
                  <c:v>-0.40834380829587563</c:v>
                </c:pt>
                <c:pt idx="33">
                  <c:v>-0.5283206186641346</c:v>
                </c:pt>
                <c:pt idx="34">
                  <c:v>-0.24501481119682281</c:v>
                </c:pt>
                <c:pt idx="35">
                  <c:v>0.58799688275994688</c:v>
                </c:pt>
                <c:pt idx="36">
                  <c:v>0.46183725305022083</c:v>
                </c:pt>
                <c:pt idx="37">
                  <c:v>-1.5291615902835771</c:v>
                </c:pt>
                <c:pt idx="38">
                  <c:v>-1.3699589068471469</c:v>
                </c:pt>
                <c:pt idx="39">
                  <c:v>-1.030027437655809</c:v>
                </c:pt>
                <c:pt idx="40">
                  <c:v>4.844639767442831</c:v>
                </c:pt>
                <c:pt idx="41">
                  <c:v>-1.752943440221872</c:v>
                </c:pt>
                <c:pt idx="42">
                  <c:v>-0.1863004735697707</c:v>
                </c:pt>
                <c:pt idx="43">
                  <c:v>3.5157134018221528</c:v>
                </c:pt>
                <c:pt idx="44">
                  <c:v>2.4409110788810211</c:v>
                </c:pt>
                <c:pt idx="45">
                  <c:v>5.0717097703845591</c:v>
                </c:pt>
                <c:pt idx="46">
                  <c:v>2.4564278838499485</c:v>
                </c:pt>
                <c:pt idx="47">
                  <c:v>2.1427304383534644</c:v>
                </c:pt>
                <c:pt idx="48">
                  <c:v>0.13388704508226551</c:v>
                </c:pt>
                <c:pt idx="49">
                  <c:v>4.4735267040982363</c:v>
                </c:pt>
                <c:pt idx="50">
                  <c:v>1.2106567069213445</c:v>
                </c:pt>
                <c:pt idx="51">
                  <c:v>0.11280029972671356</c:v>
                </c:pt>
                <c:pt idx="52">
                  <c:v>0.74569078326117444</c:v>
                </c:pt>
                <c:pt idx="53">
                  <c:v>0.25250943610586124</c:v>
                </c:pt>
                <c:pt idx="54">
                  <c:v>-1.4106531027315155</c:v>
                </c:pt>
                <c:pt idx="55">
                  <c:v>-2.7030430024707246</c:v>
                </c:pt>
                <c:pt idx="56">
                  <c:v>-1.5920870351720264</c:v>
                </c:pt>
                <c:pt idx="57">
                  <c:v>-2.0987454719618297</c:v>
                </c:pt>
                <c:pt idx="58">
                  <c:v>-3.6272035809900611</c:v>
                </c:pt>
                <c:pt idx="59">
                  <c:v>-4.1887792030552182</c:v>
                </c:pt>
                <c:pt idx="60">
                  <c:v>-0.85372482443383957</c:v>
                </c:pt>
                <c:pt idx="61">
                  <c:v>3.1589890751192597E-2</c:v>
                </c:pt>
                <c:pt idx="62">
                  <c:v>-0.84632083840701111</c:v>
                </c:pt>
                <c:pt idx="63">
                  <c:v>-1.1964679352868473</c:v>
                </c:pt>
                <c:pt idx="64">
                  <c:v>-2.4499898883797133</c:v>
                </c:pt>
                <c:pt idx="65">
                  <c:v>-2.4483859674230297</c:v>
                </c:pt>
                <c:pt idx="66">
                  <c:v>-3.394972275464482</c:v>
                </c:pt>
                <c:pt idx="67">
                  <c:v>0.52040567268063265</c:v>
                </c:pt>
                <c:pt idx="68">
                  <c:v>-1.0549094844883831</c:v>
                </c:pt>
                <c:pt idx="69">
                  <c:v>-2.214142240855649</c:v>
                </c:pt>
                <c:pt idx="70">
                  <c:v>-2.6848283687514383</c:v>
                </c:pt>
                <c:pt idx="71">
                  <c:v>0.64327705900702525</c:v>
                </c:pt>
                <c:pt idx="72">
                  <c:v>6.7616440441037984</c:v>
                </c:pt>
                <c:pt idx="73">
                  <c:v>5.9564861132444227</c:v>
                </c:pt>
                <c:pt idx="74">
                  <c:v>2.1654213163581972</c:v>
                </c:pt>
                <c:pt idx="75">
                  <c:v>1.7199514487545118</c:v>
                </c:pt>
                <c:pt idx="76">
                  <c:v>0.4364871894003225</c:v>
                </c:pt>
                <c:pt idx="77">
                  <c:v>-0.16833501334570561</c:v>
                </c:pt>
                <c:pt idx="78">
                  <c:v>-0.10421544773332883</c:v>
                </c:pt>
                <c:pt idx="79">
                  <c:v>-0.81897044973066113</c:v>
                </c:pt>
                <c:pt idx="80">
                  <c:v>-0.77011541487613322</c:v>
                </c:pt>
                <c:pt idx="81">
                  <c:v>1.3208048435646325</c:v>
                </c:pt>
                <c:pt idx="82">
                  <c:v>3.3268840989000201E-3</c:v>
                </c:pt>
                <c:pt idx="83">
                  <c:v>-1.5603339130060463</c:v>
                </c:pt>
                <c:pt idx="84">
                  <c:v>40.530458114085484</c:v>
                </c:pt>
                <c:pt idx="85">
                  <c:v>60.153400254411295</c:v>
                </c:pt>
                <c:pt idx="86">
                  <c:v>75.462037190199567</c:v>
                </c:pt>
                <c:pt idx="87">
                  <c:v>85.538211957142892</c:v>
                </c:pt>
                <c:pt idx="88">
                  <c:v>92.978511483267752</c:v>
                </c:pt>
                <c:pt idx="89">
                  <c:v>95.914008143624613</c:v>
                </c:pt>
                <c:pt idx="90">
                  <c:v>95.510893615143416</c:v>
                </c:pt>
                <c:pt idx="91">
                  <c:v>92.836287897729235</c:v>
                </c:pt>
                <c:pt idx="92">
                  <c:v>89.991110530681468</c:v>
                </c:pt>
                <c:pt idx="93">
                  <c:v>84.430971950763336</c:v>
                </c:pt>
                <c:pt idx="94">
                  <c:v>81.670671072779683</c:v>
                </c:pt>
                <c:pt idx="95">
                  <c:v>77.62342031747427</c:v>
                </c:pt>
                <c:pt idx="96">
                  <c:v>73.710828916552799</c:v>
                </c:pt>
                <c:pt idx="97">
                  <c:v>71.450171213662543</c:v>
                </c:pt>
                <c:pt idx="98">
                  <c:v>68.044111900485476</c:v>
                </c:pt>
                <c:pt idx="99">
                  <c:v>64.914063187177206</c:v>
                </c:pt>
                <c:pt idx="100">
                  <c:v>63.578860983667141</c:v>
                </c:pt>
                <c:pt idx="101">
                  <c:v>63.710100478628625</c:v>
                </c:pt>
                <c:pt idx="102">
                  <c:v>61.366752061567368</c:v>
                </c:pt>
                <c:pt idx="103">
                  <c:v>60.923446669165571</c:v>
                </c:pt>
                <c:pt idx="104">
                  <c:v>58.23455933988545</c:v>
                </c:pt>
                <c:pt idx="105">
                  <c:v>56.549959491136327</c:v>
                </c:pt>
                <c:pt idx="106">
                  <c:v>55.036989932408808</c:v>
                </c:pt>
                <c:pt idx="107">
                  <c:v>53.558835282897846</c:v>
                </c:pt>
                <c:pt idx="108">
                  <c:v>52.168790313418569</c:v>
                </c:pt>
                <c:pt idx="109">
                  <c:v>50.402543410255618</c:v>
                </c:pt>
                <c:pt idx="110">
                  <c:v>47.446530506597725</c:v>
                </c:pt>
                <c:pt idx="111">
                  <c:v>47.02963243692141</c:v>
                </c:pt>
                <c:pt idx="112">
                  <c:v>45.419808398314863</c:v>
                </c:pt>
                <c:pt idx="113">
                  <c:v>44.528560560873935</c:v>
                </c:pt>
                <c:pt idx="114">
                  <c:v>42.91732908788412</c:v>
                </c:pt>
                <c:pt idx="115">
                  <c:v>40.901170627918205</c:v>
                </c:pt>
                <c:pt idx="116">
                  <c:v>40.080062570639129</c:v>
                </c:pt>
                <c:pt idx="117">
                  <c:v>39.280594300958377</c:v>
                </c:pt>
                <c:pt idx="118">
                  <c:v>39.050049474607981</c:v>
                </c:pt>
                <c:pt idx="119">
                  <c:v>38.199494084907165</c:v>
                </c:pt>
                <c:pt idx="120">
                  <c:v>36.745239020376708</c:v>
                </c:pt>
                <c:pt idx="121">
                  <c:v>35.930641866615311</c:v>
                </c:pt>
                <c:pt idx="122">
                  <c:v>34.468791719595536</c:v>
                </c:pt>
                <c:pt idx="123">
                  <c:v>33.82952043461048</c:v>
                </c:pt>
                <c:pt idx="124">
                  <c:v>32.283586049575398</c:v>
                </c:pt>
                <c:pt idx="125">
                  <c:v>31.531128983140626</c:v>
                </c:pt>
                <c:pt idx="126">
                  <c:v>29.345245524965453</c:v>
                </c:pt>
                <c:pt idx="127">
                  <c:v>26.278956816452233</c:v>
                </c:pt>
                <c:pt idx="128">
                  <c:v>27.369584134498204</c:v>
                </c:pt>
                <c:pt idx="129">
                  <c:v>27.477543184158186</c:v>
                </c:pt>
                <c:pt idx="130">
                  <c:v>26.2366192742636</c:v>
                </c:pt>
                <c:pt idx="131">
                  <c:v>21.730338052146021</c:v>
                </c:pt>
                <c:pt idx="132">
                  <c:v>20.134338630015204</c:v>
                </c:pt>
                <c:pt idx="133">
                  <c:v>19.118172579666638</c:v>
                </c:pt>
                <c:pt idx="134">
                  <c:v>17.983455407249373</c:v>
                </c:pt>
                <c:pt idx="135">
                  <c:v>17.326527190146756</c:v>
                </c:pt>
                <c:pt idx="136">
                  <c:v>18.792789339406454</c:v>
                </c:pt>
                <c:pt idx="137">
                  <c:v>17.620746426103089</c:v>
                </c:pt>
                <c:pt idx="138">
                  <c:v>16.750823241791778</c:v>
                </c:pt>
                <c:pt idx="139">
                  <c:v>15.746704484142567</c:v>
                </c:pt>
                <c:pt idx="140">
                  <c:v>15.216956144651093</c:v>
                </c:pt>
                <c:pt idx="141">
                  <c:v>15.074237007423058</c:v>
                </c:pt>
                <c:pt idx="142">
                  <c:v>11.95439234182844</c:v>
                </c:pt>
                <c:pt idx="143">
                  <c:v>15.180063808005089</c:v>
                </c:pt>
                <c:pt idx="144">
                  <c:v>14.866601453445282</c:v>
                </c:pt>
                <c:pt idx="145">
                  <c:v>13.766122156813903</c:v>
                </c:pt>
                <c:pt idx="146">
                  <c:v>9.9572975319530617</c:v>
                </c:pt>
                <c:pt idx="147">
                  <c:v>9.5926552120449919</c:v>
                </c:pt>
                <c:pt idx="148">
                  <c:v>9.186713461383718</c:v>
                </c:pt>
                <c:pt idx="149">
                  <c:v>6.4016395707981513</c:v>
                </c:pt>
                <c:pt idx="150">
                  <c:v>4.9111091679388723</c:v>
                </c:pt>
                <c:pt idx="151">
                  <c:v>4.0001084097837118</c:v>
                </c:pt>
                <c:pt idx="152">
                  <c:v>4.090186725622134</c:v>
                </c:pt>
                <c:pt idx="153">
                  <c:v>3.8289947351543696</c:v>
                </c:pt>
                <c:pt idx="154">
                  <c:v>4.4659664206234666</c:v>
                </c:pt>
                <c:pt idx="155">
                  <c:v>3.8931523412819788</c:v>
                </c:pt>
                <c:pt idx="156">
                  <c:v>3.7139169977421149</c:v>
                </c:pt>
                <c:pt idx="157">
                  <c:v>2.3037261159793117</c:v>
                </c:pt>
                <c:pt idx="158">
                  <c:v>1.1650226628200695</c:v>
                </c:pt>
                <c:pt idx="159">
                  <c:v>1.0501505295327274</c:v>
                </c:pt>
                <c:pt idx="160">
                  <c:v>0.34173954780371435</c:v>
                </c:pt>
                <c:pt idx="161">
                  <c:v>-0.31147022598698659</c:v>
                </c:pt>
                <c:pt idx="162">
                  <c:v>-0.99825325562514189</c:v>
                </c:pt>
                <c:pt idx="163">
                  <c:v>-1.9684068463411759</c:v>
                </c:pt>
                <c:pt idx="164">
                  <c:v>-2.1269399846495158</c:v>
                </c:pt>
                <c:pt idx="165">
                  <c:v>-0.67104957540908516</c:v>
                </c:pt>
                <c:pt idx="166">
                  <c:v>-0.67718944087255761</c:v>
                </c:pt>
                <c:pt idx="167">
                  <c:v>-1.8454042807814417</c:v>
                </c:pt>
                <c:pt idx="168">
                  <c:v>-3.3320194399480458</c:v>
                </c:pt>
                <c:pt idx="169">
                  <c:v>-1.9272660258864556</c:v>
                </c:pt>
                <c:pt idx="170">
                  <c:v>-0.32474043881813008</c:v>
                </c:pt>
                <c:pt idx="171">
                  <c:v>-0.6292198027735969</c:v>
                </c:pt>
                <c:pt idx="172">
                  <c:v>-9.4477744037948758E-2</c:v>
                </c:pt>
                <c:pt idx="173">
                  <c:v>-0.99480402367697873</c:v>
                </c:pt>
                <c:pt idx="174">
                  <c:v>-3.0855154613023195</c:v>
                </c:pt>
                <c:pt idx="175">
                  <c:v>-2.4927353262659047</c:v>
                </c:pt>
                <c:pt idx="176">
                  <c:v>-3.5040399667101756</c:v>
                </c:pt>
                <c:pt idx="177">
                  <c:v>-3.4088070008762994</c:v>
                </c:pt>
                <c:pt idx="178">
                  <c:v>-1.4853635200918613</c:v>
                </c:pt>
                <c:pt idx="179">
                  <c:v>-1.6648394219070839</c:v>
                </c:pt>
                <c:pt idx="180">
                  <c:v>-2.5595008388387996</c:v>
                </c:pt>
                <c:pt idx="181">
                  <c:v>-3.9435985953080768</c:v>
                </c:pt>
                <c:pt idx="182">
                  <c:v>-5.430592355951144</c:v>
                </c:pt>
                <c:pt idx="183">
                  <c:v>-5.303185254507552</c:v>
                </c:pt>
                <c:pt idx="184">
                  <c:v>-5.2951035851102732</c:v>
                </c:pt>
                <c:pt idx="185">
                  <c:v>-4.3198679734678382</c:v>
                </c:pt>
                <c:pt idx="186">
                  <c:v>-5.2452248559413981</c:v>
                </c:pt>
                <c:pt idx="187">
                  <c:v>-6.0447343520230028</c:v>
                </c:pt>
                <c:pt idx="188">
                  <c:v>-5.6735455425597872</c:v>
                </c:pt>
                <c:pt idx="189">
                  <c:v>-7.6843312496323755</c:v>
                </c:pt>
                <c:pt idx="190">
                  <c:v>-9.5909248213237408</c:v>
                </c:pt>
                <c:pt idx="191">
                  <c:v>-10.937872898727996</c:v>
                </c:pt>
                <c:pt idx="192">
                  <c:v>-11.676594415166608</c:v>
                </c:pt>
                <c:pt idx="193">
                  <c:v>-10.461151520724973</c:v>
                </c:pt>
                <c:pt idx="194">
                  <c:v>-13.686109448648009</c:v>
                </c:pt>
                <c:pt idx="195">
                  <c:v>-13.100248004561422</c:v>
                </c:pt>
                <c:pt idx="196">
                  <c:v>-11.4487127587047</c:v>
                </c:pt>
                <c:pt idx="197">
                  <c:v>-11.963600333782631</c:v>
                </c:pt>
                <c:pt idx="198">
                  <c:v>-13.765449688079014</c:v>
                </c:pt>
                <c:pt idx="199">
                  <c:v>-14.810051808661436</c:v>
                </c:pt>
                <c:pt idx="200">
                  <c:v>-15.806919321095725</c:v>
                </c:pt>
                <c:pt idx="201">
                  <c:v>-14.454574097578195</c:v>
                </c:pt>
                <c:pt idx="202">
                  <c:v>-17.364746515790099</c:v>
                </c:pt>
                <c:pt idx="203">
                  <c:v>-16.564651553315638</c:v>
                </c:pt>
                <c:pt idx="204">
                  <c:v>-18.02683452548942</c:v>
                </c:pt>
                <c:pt idx="205">
                  <c:v>-16.575004065677419</c:v>
                </c:pt>
                <c:pt idx="206">
                  <c:v>-17.841460445368469</c:v>
                </c:pt>
                <c:pt idx="207">
                  <c:v>-17.876577956134039</c:v>
                </c:pt>
                <c:pt idx="208">
                  <c:v>-17.688882143879901</c:v>
                </c:pt>
                <c:pt idx="209">
                  <c:v>-18.470410144554492</c:v>
                </c:pt>
                <c:pt idx="210">
                  <c:v>-19.04332103811441</c:v>
                </c:pt>
                <c:pt idx="211">
                  <c:v>-19.028061571845509</c:v>
                </c:pt>
                <c:pt idx="212">
                  <c:v>-18.28582373602346</c:v>
                </c:pt>
                <c:pt idx="213">
                  <c:v>-18.654776211586864</c:v>
                </c:pt>
                <c:pt idx="214">
                  <c:v>-18.623524305504169</c:v>
                </c:pt>
                <c:pt idx="215">
                  <c:v>-19.303212651002308</c:v>
                </c:pt>
                <c:pt idx="216">
                  <c:v>-21.173051388951663</c:v>
                </c:pt>
                <c:pt idx="217">
                  <c:v>-20.031376683535473</c:v>
                </c:pt>
                <c:pt idx="218">
                  <c:v>-18.807210081879372</c:v>
                </c:pt>
                <c:pt idx="219">
                  <c:v>-20.941104031540917</c:v>
                </c:pt>
                <c:pt idx="220">
                  <c:v>-21.102024195296746</c:v>
                </c:pt>
                <c:pt idx="221">
                  <c:v>-19.460492719766247</c:v>
                </c:pt>
                <c:pt idx="222">
                  <c:v>-18.821947058257525</c:v>
                </c:pt>
                <c:pt idx="223">
                  <c:v>-19.171871546763604</c:v>
                </c:pt>
                <c:pt idx="224">
                  <c:v>-19.941843287619275</c:v>
                </c:pt>
                <c:pt idx="225">
                  <c:v>-20.422478477244439</c:v>
                </c:pt>
                <c:pt idx="226">
                  <c:v>-20.615456206226742</c:v>
                </c:pt>
                <c:pt idx="227">
                  <c:v>-17.590235917969796</c:v>
                </c:pt>
                <c:pt idx="228">
                  <c:v>-18.845628745494292</c:v>
                </c:pt>
                <c:pt idx="229">
                  <c:v>-19.397104832845173</c:v>
                </c:pt>
                <c:pt idx="230">
                  <c:v>-16.804150880783972</c:v>
                </c:pt>
                <c:pt idx="231">
                  <c:v>-15.835776634870005</c:v>
                </c:pt>
                <c:pt idx="232">
                  <c:v>-15.70268260405205</c:v>
                </c:pt>
                <c:pt idx="233">
                  <c:v>-15.817798541991651</c:v>
                </c:pt>
                <c:pt idx="234">
                  <c:v>-15.628841268513177</c:v>
                </c:pt>
                <c:pt idx="235">
                  <c:v>-15.877929346973241</c:v>
                </c:pt>
                <c:pt idx="236">
                  <c:v>-17.497514808093985</c:v>
                </c:pt>
                <c:pt idx="237">
                  <c:v>-15.238391650804095</c:v>
                </c:pt>
                <c:pt idx="238">
                  <c:v>-15.686440670981646</c:v>
                </c:pt>
                <c:pt idx="239">
                  <c:v>-16.568005261123663</c:v>
                </c:pt>
                <c:pt idx="240">
                  <c:v>-16.546166052550397</c:v>
                </c:pt>
                <c:pt idx="241">
                  <c:v>-12.88853456761146</c:v>
                </c:pt>
                <c:pt idx="242">
                  <c:v>-13.231298531987607</c:v>
                </c:pt>
                <c:pt idx="243">
                  <c:v>-13.107446177252532</c:v>
                </c:pt>
                <c:pt idx="244">
                  <c:v>-12.304810060710684</c:v>
                </c:pt>
                <c:pt idx="245">
                  <c:v>-12.632932937719223</c:v>
                </c:pt>
                <c:pt idx="246">
                  <c:v>-12.412292859175867</c:v>
                </c:pt>
                <c:pt idx="247">
                  <c:v>-12.120396787909694</c:v>
                </c:pt>
                <c:pt idx="248">
                  <c:v>-11.202630054746074</c:v>
                </c:pt>
                <c:pt idx="249">
                  <c:v>-12.097177283734489</c:v>
                </c:pt>
                <c:pt idx="250">
                  <c:v>-11.416486360620045</c:v>
                </c:pt>
                <c:pt idx="251">
                  <c:v>-12.134303117676932</c:v>
                </c:pt>
                <c:pt idx="252">
                  <c:v>-12.15388788217779</c:v>
                </c:pt>
                <c:pt idx="253">
                  <c:v>-11.719636686729888</c:v>
                </c:pt>
                <c:pt idx="254">
                  <c:v>-9.4714908137593437</c:v>
                </c:pt>
                <c:pt idx="255">
                  <c:v>-8.4642854658591045</c:v>
                </c:pt>
                <c:pt idx="256">
                  <c:v>-7.4110854921068645</c:v>
                </c:pt>
                <c:pt idx="257">
                  <c:v>-8.3986957660965196</c:v>
                </c:pt>
                <c:pt idx="258">
                  <c:v>-7.8878741904097742</c:v>
                </c:pt>
                <c:pt idx="259">
                  <c:v>-9.0164763401487136</c:v>
                </c:pt>
                <c:pt idx="260">
                  <c:v>-8.2977067771010375</c:v>
                </c:pt>
                <c:pt idx="261">
                  <c:v>-8.6186156751982246</c:v>
                </c:pt>
                <c:pt idx="262">
                  <c:v>-8.512375806178003</c:v>
                </c:pt>
                <c:pt idx="263">
                  <c:v>-7.7179849202514115</c:v>
                </c:pt>
                <c:pt idx="264">
                  <c:v>-5.014616741452496</c:v>
                </c:pt>
                <c:pt idx="265">
                  <c:v>-5.129357584358087</c:v>
                </c:pt>
                <c:pt idx="266">
                  <c:v>-4.8373421403113355</c:v>
                </c:pt>
                <c:pt idx="267">
                  <c:v>-4.3939871706372768</c:v>
                </c:pt>
                <c:pt idx="268">
                  <c:v>-6.3942924722671988</c:v>
                </c:pt>
                <c:pt idx="269">
                  <c:v>-4.6235169743361757</c:v>
                </c:pt>
                <c:pt idx="270">
                  <c:v>-2.5829683204483427</c:v>
                </c:pt>
                <c:pt idx="271">
                  <c:v>-2.8714004961858435</c:v>
                </c:pt>
                <c:pt idx="272">
                  <c:v>-2.2384534389826829</c:v>
                </c:pt>
                <c:pt idx="273">
                  <c:v>2.308743034505778</c:v>
                </c:pt>
                <c:pt idx="274">
                  <c:v>-1.1279198270991166</c:v>
                </c:pt>
                <c:pt idx="275">
                  <c:v>-1.0588750759620704</c:v>
                </c:pt>
                <c:pt idx="276">
                  <c:v>-1.6128436705249785</c:v>
                </c:pt>
                <c:pt idx="277">
                  <c:v>-2.6685513626286377</c:v>
                </c:pt>
                <c:pt idx="278">
                  <c:v>-1.5242196268918373</c:v>
                </c:pt>
                <c:pt idx="279">
                  <c:v>-1.1747442715868377</c:v>
                </c:pt>
                <c:pt idx="280">
                  <c:v>0.22047647841368262</c:v>
                </c:pt>
                <c:pt idx="281">
                  <c:v>-7.2866077107751781E-2</c:v>
                </c:pt>
                <c:pt idx="282">
                  <c:v>5.2459522770119369</c:v>
                </c:pt>
                <c:pt idx="283">
                  <c:v>2.023550724780145</c:v>
                </c:pt>
                <c:pt idx="284">
                  <c:v>2.8177582954430853E-2</c:v>
                </c:pt>
                <c:pt idx="285">
                  <c:v>0.95911026716613024</c:v>
                </c:pt>
                <c:pt idx="286">
                  <c:v>-1.6256841434396798</c:v>
                </c:pt>
                <c:pt idx="287">
                  <c:v>-1.9113512477151386</c:v>
                </c:pt>
                <c:pt idx="288">
                  <c:v>-2.1333333275009831</c:v>
                </c:pt>
                <c:pt idx="289">
                  <c:v>-1.4413518787826971</c:v>
                </c:pt>
                <c:pt idx="290">
                  <c:v>-1.1304460756747241</c:v>
                </c:pt>
                <c:pt idx="291">
                  <c:v>-1.5856565207885076</c:v>
                </c:pt>
                <c:pt idx="292">
                  <c:v>-1.4376783697996154</c:v>
                </c:pt>
                <c:pt idx="293">
                  <c:v>-1.5570737317059993</c:v>
                </c:pt>
                <c:pt idx="294">
                  <c:v>-1.1291837077820617</c:v>
                </c:pt>
                <c:pt idx="295">
                  <c:v>-1.8492230586835567</c:v>
                </c:pt>
                <c:pt idx="296">
                  <c:v>-1.78903209576897</c:v>
                </c:pt>
                <c:pt idx="297">
                  <c:v>-1.3418491233017991</c:v>
                </c:pt>
                <c:pt idx="298">
                  <c:v>-1.9294343590492733</c:v>
                </c:pt>
                <c:pt idx="299">
                  <c:v>-2.1894981835446203</c:v>
                </c:pt>
                <c:pt idx="300">
                  <c:v>-1.9474689280711444</c:v>
                </c:pt>
                <c:pt idx="301">
                  <c:v>-1.4965172286010442</c:v>
                </c:pt>
                <c:pt idx="302">
                  <c:v>-1.2260063417873792</c:v>
                </c:pt>
                <c:pt idx="303">
                  <c:v>-2.0218110997294545</c:v>
                </c:pt>
                <c:pt idx="304">
                  <c:v>-1.5507532090901521</c:v>
                </c:pt>
                <c:pt idx="305">
                  <c:v>-0.90685988268542528</c:v>
                </c:pt>
                <c:pt idx="306">
                  <c:v>0.12013715526709368</c:v>
                </c:pt>
                <c:pt idx="307">
                  <c:v>-0.20768639046163745</c:v>
                </c:pt>
                <c:pt idx="308">
                  <c:v>-0.51369772787044454</c:v>
                </c:pt>
                <c:pt idx="309">
                  <c:v>0.18054524715885001</c:v>
                </c:pt>
                <c:pt idx="310">
                  <c:v>-9.2655075467231646E-2</c:v>
                </c:pt>
                <c:pt idx="311">
                  <c:v>-0.11510836692131358</c:v>
                </c:pt>
                <c:pt idx="312">
                  <c:v>0.58340506509608536</c:v>
                </c:pt>
                <c:pt idx="313">
                  <c:v>0.6559666310001423</c:v>
                </c:pt>
                <c:pt idx="314">
                  <c:v>0.66792016910975816</c:v>
                </c:pt>
                <c:pt idx="315">
                  <c:v>1.068148610859099</c:v>
                </c:pt>
                <c:pt idx="316">
                  <c:v>0.85159608809204745</c:v>
                </c:pt>
                <c:pt idx="317">
                  <c:v>1.3356173328498331</c:v>
                </c:pt>
                <c:pt idx="318">
                  <c:v>1.2399039633667301</c:v>
                </c:pt>
                <c:pt idx="319">
                  <c:v>1.4700174751953918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D-0741-B0B1-4246C99A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3D091F5-477C-D045-B9B7-6E5E2755E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261281-9B70-0D4D-A377-B3F420F49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A53D35D-54A2-CC4D-BBBB-F780BB3DB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1299C6-BC70-2243-A681-EFCC2AA2B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F4B956B-C3C6-1A47-AF9D-6E1C79BDF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D7886-E346-D848-9466-D313DCFC3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5157-C1B6-B145-B668-E5B1681ABDC5}">
  <dimension ref="A1:Y798"/>
  <sheetViews>
    <sheetView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1145.8921933086001</v>
      </c>
      <c r="E2">
        <v>381.65799256506</v>
      </c>
      <c r="F2">
        <v>152.14110756124001</v>
      </c>
      <c r="G2">
        <v>119.6560170394</v>
      </c>
      <c r="H2" s="4"/>
      <c r="I2" s="5">
        <f>E2-G2</f>
        <v>262.00197552565999</v>
      </c>
      <c r="J2" s="5">
        <f>D2-F2</f>
        <v>993.75108574736009</v>
      </c>
      <c r="K2" s="9">
        <f>I2*1</f>
        <v>262.00197552565999</v>
      </c>
      <c r="L2" s="6">
        <f t="shared" ref="L2:L65" si="0">K2/J2</f>
        <v>0.26364949863538401</v>
      </c>
      <c r="M2" s="6">
        <f>L2+ABS($N$2)*A2</f>
        <v>0.26364949863538401</v>
      </c>
      <c r="N2" s="4">
        <f>LINEST(V64:V103,U64:U103)</f>
        <v>-2.0797031041525278E-4</v>
      </c>
      <c r="O2" s="7">
        <f>AVERAGE(M62:M81)</f>
        <v>0.22321238046601502</v>
      </c>
      <c r="P2" s="4">
        <f>(M2-$O$2)/$O$2*100</f>
        <v>18.115983569077031</v>
      </c>
    </row>
    <row r="3" spans="1:16" x14ac:dyDescent="0.2">
      <c r="A3" s="8">
        <v>0.5</v>
      </c>
      <c r="B3" s="8">
        <v>1</v>
      </c>
      <c r="D3">
        <v>996.92724375995999</v>
      </c>
      <c r="E3">
        <v>348.70525756771002</v>
      </c>
      <c r="F3">
        <v>152.72097976571001</v>
      </c>
      <c r="G3">
        <v>119.60969116081</v>
      </c>
      <c r="I3" s="9">
        <f t="shared" ref="I3:I66" si="1">E3-G3</f>
        <v>229.09556640690002</v>
      </c>
      <c r="J3" s="9">
        <f t="shared" ref="J3:J66" si="2">D3-F3</f>
        <v>844.20626399424998</v>
      </c>
      <c r="K3" s="9">
        <f t="shared" ref="K3:K66" si="3">I3*1</f>
        <v>229.09556640690002</v>
      </c>
      <c r="L3" s="10">
        <f t="shared" si="0"/>
        <v>0.27137392385951359</v>
      </c>
      <c r="M3" s="10">
        <f t="shared" ref="M3:M66" si="4">L3+ABS($N$2)*A3</f>
        <v>0.27147790901472124</v>
      </c>
      <c r="P3" s="8">
        <f t="shared" ref="P3:P66" si="5">(M3-$O$2)/$O$2*100</f>
        <v>21.623141354408361</v>
      </c>
    </row>
    <row r="4" spans="1:16" ht="16" x14ac:dyDescent="0.2">
      <c r="A4" s="8">
        <v>1</v>
      </c>
      <c r="B4" s="8">
        <v>2</v>
      </c>
      <c r="D4">
        <v>898.29739776951999</v>
      </c>
      <c r="E4">
        <v>326.51566648964001</v>
      </c>
      <c r="F4">
        <v>152.08572949947001</v>
      </c>
      <c r="G4">
        <v>119.81416400425999</v>
      </c>
      <c r="I4" s="9">
        <f t="shared" si="1"/>
        <v>206.70150248538002</v>
      </c>
      <c r="J4" s="9">
        <f t="shared" si="2"/>
        <v>746.21166827005004</v>
      </c>
      <c r="K4" s="9">
        <f t="shared" si="3"/>
        <v>206.70150248538002</v>
      </c>
      <c r="L4" s="10">
        <f t="shared" si="0"/>
        <v>0.27700116639100292</v>
      </c>
      <c r="M4" s="10">
        <f t="shared" si="4"/>
        <v>0.27720913670141817</v>
      </c>
      <c r="N4" s="1" t="s">
        <v>7</v>
      </c>
      <c r="P4" s="8">
        <f t="shared" si="5"/>
        <v>24.19075327393158</v>
      </c>
    </row>
    <row r="5" spans="1:16" x14ac:dyDescent="0.2">
      <c r="A5" s="8">
        <v>1.5</v>
      </c>
      <c r="B5" s="8">
        <v>3</v>
      </c>
      <c r="D5">
        <v>1287.7342917998001</v>
      </c>
      <c r="E5">
        <v>433.25079872204998</v>
      </c>
      <c r="F5">
        <v>152.44195953142</v>
      </c>
      <c r="G5">
        <v>119.50319488818</v>
      </c>
      <c r="I5" s="9">
        <f t="shared" si="1"/>
        <v>313.74760383386996</v>
      </c>
      <c r="J5" s="9">
        <f t="shared" si="2"/>
        <v>1135.2923322683801</v>
      </c>
      <c r="K5" s="9">
        <f t="shared" si="3"/>
        <v>313.74760383386996</v>
      </c>
      <c r="L5" s="10">
        <f t="shared" si="0"/>
        <v>0.27635842761924062</v>
      </c>
      <c r="M5" s="10">
        <f t="shared" si="4"/>
        <v>0.27667038308486352</v>
      </c>
      <c r="N5" s="8">
        <f>RSQ(V64:V83,U64:U83)</f>
        <v>0.39542450096141701</v>
      </c>
      <c r="P5" s="8">
        <f t="shared" si="5"/>
        <v>23.94938959355245</v>
      </c>
    </row>
    <row r="6" spans="1:16" x14ac:dyDescent="0.2">
      <c r="A6" s="8">
        <v>2</v>
      </c>
      <c r="B6" s="8">
        <v>4</v>
      </c>
      <c r="D6">
        <v>1222.7438764643</v>
      </c>
      <c r="E6">
        <v>419.59052183173998</v>
      </c>
      <c r="F6">
        <v>152.37859424920001</v>
      </c>
      <c r="G6">
        <v>119.84504792332</v>
      </c>
      <c r="I6" s="9">
        <f t="shared" si="1"/>
        <v>299.74547390841997</v>
      </c>
      <c r="J6" s="9">
        <f t="shared" si="2"/>
        <v>1070.3652822151</v>
      </c>
      <c r="K6" s="9">
        <f t="shared" si="3"/>
        <v>299.74547390841997</v>
      </c>
      <c r="L6" s="10">
        <f t="shared" si="0"/>
        <v>0.28004035527768856</v>
      </c>
      <c r="M6" s="10">
        <f t="shared" si="4"/>
        <v>0.28045629589851906</v>
      </c>
      <c r="P6" s="8">
        <f t="shared" si="5"/>
        <v>25.645493011181632</v>
      </c>
    </row>
    <row r="7" spans="1:16" x14ac:dyDescent="0.2">
      <c r="A7" s="8">
        <v>2.5</v>
      </c>
      <c r="B7" s="8">
        <v>5</v>
      </c>
      <c r="D7">
        <v>1186.2036150984</v>
      </c>
      <c r="E7">
        <v>409.25305688463999</v>
      </c>
      <c r="F7">
        <v>152.63205537805999</v>
      </c>
      <c r="G7">
        <v>119.66400425985</v>
      </c>
      <c r="I7" s="9">
        <f t="shared" si="1"/>
        <v>289.58905262478999</v>
      </c>
      <c r="J7" s="9">
        <f t="shared" si="2"/>
        <v>1033.57155972034</v>
      </c>
      <c r="K7" s="9">
        <f t="shared" si="3"/>
        <v>289.58905262478999</v>
      </c>
      <c r="L7" s="10">
        <f t="shared" si="0"/>
        <v>0.28018287645525569</v>
      </c>
      <c r="M7" s="10">
        <f t="shared" si="4"/>
        <v>0.28070280223129385</v>
      </c>
      <c r="P7" s="8">
        <f t="shared" si="5"/>
        <v>25.755928790890685</v>
      </c>
    </row>
    <row r="8" spans="1:16" x14ac:dyDescent="0.2">
      <c r="A8" s="8">
        <v>3</v>
      </c>
      <c r="B8" s="8">
        <v>6</v>
      </c>
      <c r="D8">
        <v>1186.3444976077001</v>
      </c>
      <c r="E8">
        <v>405.32642211590002</v>
      </c>
      <c r="F8">
        <v>152.75665601704</v>
      </c>
      <c r="G8">
        <v>119.76198083067</v>
      </c>
      <c r="I8" s="9">
        <f t="shared" si="1"/>
        <v>285.56444128523003</v>
      </c>
      <c r="J8" s="9">
        <f t="shared" si="2"/>
        <v>1033.58784159066</v>
      </c>
      <c r="K8" s="9">
        <f t="shared" si="3"/>
        <v>285.56444128523003</v>
      </c>
      <c r="L8" s="10">
        <f t="shared" si="0"/>
        <v>0.27628463667466824</v>
      </c>
      <c r="M8" s="10">
        <f t="shared" si="4"/>
        <v>0.27690854760591399</v>
      </c>
      <c r="P8" s="8">
        <f t="shared" si="5"/>
        <v>24.056088209710406</v>
      </c>
    </row>
    <row r="9" spans="1:16" x14ac:dyDescent="0.2">
      <c r="A9" s="8">
        <v>3.5</v>
      </c>
      <c r="B9" s="8">
        <v>7</v>
      </c>
      <c r="D9">
        <v>989.50505050505001</v>
      </c>
      <c r="E9">
        <v>359.82934609249997</v>
      </c>
      <c r="F9">
        <v>152.88551650692</v>
      </c>
      <c r="G9">
        <v>119.44994675186</v>
      </c>
      <c r="I9" s="9">
        <f t="shared" si="1"/>
        <v>240.37939934063996</v>
      </c>
      <c r="J9" s="9">
        <f t="shared" si="2"/>
        <v>836.61953399813001</v>
      </c>
      <c r="K9" s="9">
        <f t="shared" si="3"/>
        <v>240.37939934063996</v>
      </c>
      <c r="L9" s="10">
        <f t="shared" si="0"/>
        <v>0.28732224096165709</v>
      </c>
      <c r="M9" s="10">
        <f t="shared" si="4"/>
        <v>0.2880501370481105</v>
      </c>
      <c r="P9" s="8">
        <f t="shared" si="5"/>
        <v>29.047562884607686</v>
      </c>
    </row>
    <row r="10" spans="1:16" x14ac:dyDescent="0.2">
      <c r="A10" s="8">
        <v>4</v>
      </c>
      <c r="B10" s="8">
        <v>8</v>
      </c>
      <c r="D10">
        <v>859.27272727272998</v>
      </c>
      <c r="E10">
        <v>325.37533227006998</v>
      </c>
      <c r="F10">
        <v>152.73375931842</v>
      </c>
      <c r="G10">
        <v>119.71884984026001</v>
      </c>
      <c r="I10" s="9">
        <f t="shared" si="1"/>
        <v>205.65648242980996</v>
      </c>
      <c r="J10" s="9">
        <f t="shared" si="2"/>
        <v>706.53896795431001</v>
      </c>
      <c r="K10" s="9">
        <f t="shared" si="3"/>
        <v>205.65648242980996</v>
      </c>
      <c r="L10" s="10">
        <f t="shared" si="0"/>
        <v>0.29107592327888304</v>
      </c>
      <c r="M10" s="10">
        <f t="shared" si="4"/>
        <v>0.29190780452054405</v>
      </c>
      <c r="P10" s="8">
        <f t="shared" si="5"/>
        <v>30.77581266375508</v>
      </c>
    </row>
    <row r="11" spans="1:16" x14ac:dyDescent="0.2">
      <c r="A11" s="8">
        <v>4.5</v>
      </c>
      <c r="B11" s="8">
        <v>9</v>
      </c>
      <c r="D11">
        <v>1358.0042440318</v>
      </c>
      <c r="E11">
        <v>430.87214854110999</v>
      </c>
      <c r="F11">
        <v>152.52715654951999</v>
      </c>
      <c r="G11">
        <v>119.68477103300999</v>
      </c>
      <c r="I11" s="9">
        <f t="shared" si="1"/>
        <v>311.18737750809998</v>
      </c>
      <c r="J11" s="9">
        <f t="shared" si="2"/>
        <v>1205.47708748228</v>
      </c>
      <c r="K11" s="9">
        <f t="shared" si="3"/>
        <v>311.18737750809998</v>
      </c>
      <c r="L11" s="10">
        <f t="shared" si="0"/>
        <v>0.2581445808796215</v>
      </c>
      <c r="M11" s="10">
        <f t="shared" si="4"/>
        <v>0.25908044727649016</v>
      </c>
      <c r="P11" s="8">
        <f t="shared" si="5"/>
        <v>16.069031088504605</v>
      </c>
    </row>
    <row r="12" spans="1:16" x14ac:dyDescent="0.2">
      <c r="A12" s="8">
        <v>5</v>
      </c>
      <c r="B12" s="8">
        <v>10</v>
      </c>
      <c r="D12">
        <v>1351.3039787798</v>
      </c>
      <c r="E12">
        <v>426.42546419097999</v>
      </c>
      <c r="F12">
        <v>152.20660276890001</v>
      </c>
      <c r="G12">
        <v>119.48722044728</v>
      </c>
      <c r="I12" s="9">
        <f t="shared" si="1"/>
        <v>306.93824374370001</v>
      </c>
      <c r="J12" s="9">
        <f t="shared" si="2"/>
        <v>1199.0973760109</v>
      </c>
      <c r="K12" s="9">
        <f t="shared" si="3"/>
        <v>306.93824374370001</v>
      </c>
      <c r="L12" s="10">
        <f t="shared" si="0"/>
        <v>0.25597441032254403</v>
      </c>
      <c r="M12" s="10">
        <f t="shared" si="4"/>
        <v>0.25701426187462029</v>
      </c>
      <c r="P12" s="8">
        <f t="shared" si="5"/>
        <v>15.143372127493501</v>
      </c>
    </row>
    <row r="13" spans="1:16" x14ac:dyDescent="0.2">
      <c r="A13" s="8">
        <v>5.5</v>
      </c>
      <c r="B13" s="8">
        <v>11</v>
      </c>
      <c r="D13">
        <v>1384.2270557029001</v>
      </c>
      <c r="E13">
        <v>429.24880636605002</v>
      </c>
      <c r="F13">
        <v>152.84238551651001</v>
      </c>
      <c r="G13">
        <v>119.53461128860999</v>
      </c>
      <c r="I13" s="9">
        <f t="shared" si="1"/>
        <v>309.71419507744002</v>
      </c>
      <c r="J13" s="9">
        <f t="shared" si="2"/>
        <v>1231.3846701863902</v>
      </c>
      <c r="K13" s="9">
        <f t="shared" si="3"/>
        <v>309.71419507744002</v>
      </c>
      <c r="L13" s="10">
        <f t="shared" si="0"/>
        <v>0.25151701379436509</v>
      </c>
      <c r="M13" s="10">
        <f t="shared" si="4"/>
        <v>0.25266085050164899</v>
      </c>
      <c r="P13" s="8">
        <f t="shared" si="5"/>
        <v>13.193027185209209</v>
      </c>
    </row>
    <row r="14" spans="1:16" x14ac:dyDescent="0.2">
      <c r="A14" s="8">
        <v>6</v>
      </c>
      <c r="B14" s="8">
        <v>12</v>
      </c>
      <c r="D14">
        <v>1372.6865750529</v>
      </c>
      <c r="E14">
        <v>424.03805496829</v>
      </c>
      <c r="F14">
        <v>151.91746538871001</v>
      </c>
      <c r="G14">
        <v>119.2630457934</v>
      </c>
      <c r="I14" s="9">
        <f t="shared" si="1"/>
        <v>304.77500917488999</v>
      </c>
      <c r="J14" s="9">
        <f t="shared" si="2"/>
        <v>1220.76910966419</v>
      </c>
      <c r="K14" s="9">
        <f t="shared" si="3"/>
        <v>304.77500917488999</v>
      </c>
      <c r="L14" s="10">
        <f t="shared" si="0"/>
        <v>0.24965819233313311</v>
      </c>
      <c r="M14" s="10">
        <f t="shared" si="4"/>
        <v>0.25090601419562464</v>
      </c>
      <c r="P14" s="8">
        <f t="shared" si="5"/>
        <v>12.406853809717818</v>
      </c>
    </row>
    <row r="15" spans="1:16" x14ac:dyDescent="0.2">
      <c r="A15" s="8">
        <v>6.5</v>
      </c>
      <c r="B15" s="8">
        <v>13</v>
      </c>
      <c r="D15">
        <v>1367.0105708245001</v>
      </c>
      <c r="E15">
        <v>419.27272727272998</v>
      </c>
      <c r="F15">
        <v>152.56336528221999</v>
      </c>
      <c r="G15">
        <v>119.84984025559</v>
      </c>
      <c r="I15" s="9">
        <f t="shared" si="1"/>
        <v>299.42288701714</v>
      </c>
      <c r="J15" s="9">
        <f t="shared" si="2"/>
        <v>1214.44720554228</v>
      </c>
      <c r="K15" s="9">
        <f t="shared" si="3"/>
        <v>299.42288701714</v>
      </c>
      <c r="L15" s="10">
        <f t="shared" si="0"/>
        <v>0.24655076453771446</v>
      </c>
      <c r="M15" s="10">
        <f t="shared" si="4"/>
        <v>0.24790257155541359</v>
      </c>
      <c r="P15" s="8">
        <f t="shared" si="5"/>
        <v>11.061300021912428</v>
      </c>
    </row>
    <row r="16" spans="1:16" x14ac:dyDescent="0.2">
      <c r="A16" s="8">
        <v>7</v>
      </c>
      <c r="B16" s="8">
        <v>14</v>
      </c>
      <c r="D16">
        <v>1372.0417547569</v>
      </c>
      <c r="E16">
        <v>415.22938689218</v>
      </c>
      <c r="F16">
        <v>152.49094781682999</v>
      </c>
      <c r="G16">
        <v>119.50851970181</v>
      </c>
      <c r="I16" s="9">
        <f t="shared" si="1"/>
        <v>295.72086719036997</v>
      </c>
      <c r="J16" s="9">
        <f t="shared" si="2"/>
        <v>1219.5508069400701</v>
      </c>
      <c r="K16" s="9">
        <f t="shared" si="3"/>
        <v>295.72086719036997</v>
      </c>
      <c r="L16" s="10">
        <f t="shared" si="0"/>
        <v>0.24248343366058878</v>
      </c>
      <c r="M16" s="10">
        <f t="shared" si="4"/>
        <v>0.24393922583349553</v>
      </c>
      <c r="P16" s="8">
        <f t="shared" si="5"/>
        <v>9.2857059828884623</v>
      </c>
    </row>
    <row r="17" spans="1:16" x14ac:dyDescent="0.2">
      <c r="A17" s="8">
        <v>7.5</v>
      </c>
      <c r="B17" s="8">
        <v>15</v>
      </c>
      <c r="D17">
        <v>1376.6182594767999</v>
      </c>
      <c r="E17">
        <v>418.95515216231001</v>
      </c>
      <c r="F17">
        <v>152.64536741213999</v>
      </c>
      <c r="G17">
        <v>119.68317358892</v>
      </c>
      <c r="I17" s="9">
        <f t="shared" si="1"/>
        <v>299.27197857339002</v>
      </c>
      <c r="J17" s="9">
        <f t="shared" si="2"/>
        <v>1223.9728920646598</v>
      </c>
      <c r="K17" s="9">
        <f t="shared" si="3"/>
        <v>299.27197857339002</v>
      </c>
      <c r="L17" s="10">
        <f t="shared" si="0"/>
        <v>0.24450866560333931</v>
      </c>
      <c r="M17" s="10">
        <f t="shared" si="4"/>
        <v>0.24606844293145372</v>
      </c>
      <c r="P17" s="8">
        <f t="shared" si="5"/>
        <v>10.239603384776691</v>
      </c>
    </row>
    <row r="18" spans="1:16" x14ac:dyDescent="0.2">
      <c r="A18" s="8">
        <v>8</v>
      </c>
      <c r="B18" s="8">
        <v>16</v>
      </c>
      <c r="D18">
        <v>1376.6046883325</v>
      </c>
      <c r="E18">
        <v>415.47149706979002</v>
      </c>
      <c r="F18">
        <v>152.58040468583999</v>
      </c>
      <c r="G18">
        <v>119.91586794462</v>
      </c>
      <c r="I18" s="9">
        <f t="shared" si="1"/>
        <v>295.55562912517001</v>
      </c>
      <c r="J18" s="9">
        <f t="shared" si="2"/>
        <v>1224.02428364666</v>
      </c>
      <c r="K18" s="9">
        <f t="shared" si="3"/>
        <v>295.55562912517001</v>
      </c>
      <c r="L18" s="10">
        <f t="shared" si="0"/>
        <v>0.24146222674981527</v>
      </c>
      <c r="M18" s="10">
        <f t="shared" si="4"/>
        <v>0.2431259892331373</v>
      </c>
      <c r="P18" s="8">
        <f t="shared" si="5"/>
        <v>8.9213728761582782</v>
      </c>
    </row>
    <row r="19" spans="1:16" x14ac:dyDescent="0.2">
      <c r="A19" s="8">
        <v>8.5</v>
      </c>
      <c r="B19" s="8">
        <v>17</v>
      </c>
      <c r="D19">
        <v>1391.0548748002</v>
      </c>
      <c r="E19">
        <v>414.14331379862</v>
      </c>
      <c r="F19">
        <v>152.84558040469</v>
      </c>
      <c r="G19">
        <v>119.29712460064</v>
      </c>
      <c r="I19" s="9">
        <f t="shared" si="1"/>
        <v>294.84618919797998</v>
      </c>
      <c r="J19" s="9">
        <f t="shared" si="2"/>
        <v>1238.2092943955099</v>
      </c>
      <c r="K19" s="9">
        <f t="shared" si="3"/>
        <v>294.84618919797998</v>
      </c>
      <c r="L19" s="10">
        <f t="shared" si="0"/>
        <v>0.2381230625004499</v>
      </c>
      <c r="M19" s="10">
        <f t="shared" si="4"/>
        <v>0.23989081013897956</v>
      </c>
      <c r="P19" s="8">
        <f t="shared" si="5"/>
        <v>7.4720002708379782</v>
      </c>
    </row>
    <row r="20" spans="1:16" x14ac:dyDescent="0.2">
      <c r="A20" s="8">
        <v>9</v>
      </c>
      <c r="B20" s="8">
        <v>18</v>
      </c>
      <c r="D20">
        <v>1354.9967999999999</v>
      </c>
      <c r="E20">
        <v>407.82293333333001</v>
      </c>
      <c r="F20">
        <v>153.21299254525999</v>
      </c>
      <c r="G20">
        <v>119.33706070288</v>
      </c>
      <c r="I20" s="9">
        <f t="shared" si="1"/>
        <v>288.48587263044999</v>
      </c>
      <c r="J20" s="9">
        <f t="shared" si="2"/>
        <v>1201.7838074547399</v>
      </c>
      <c r="K20" s="9">
        <f t="shared" si="3"/>
        <v>288.48587263044999</v>
      </c>
      <c r="L20" s="10">
        <f t="shared" si="0"/>
        <v>0.24004806092489692</v>
      </c>
      <c r="M20" s="10">
        <f t="shared" si="4"/>
        <v>0.2419197937186342</v>
      </c>
      <c r="P20" s="8">
        <f t="shared" si="5"/>
        <v>8.3809926732390458</v>
      </c>
    </row>
    <row r="21" spans="1:16" x14ac:dyDescent="0.2">
      <c r="A21" s="8">
        <v>9.5</v>
      </c>
      <c r="B21" s="8">
        <v>19</v>
      </c>
      <c r="D21">
        <v>1360.1605333333</v>
      </c>
      <c r="E21">
        <v>403.50240000000002</v>
      </c>
      <c r="F21">
        <v>153.27689030884</v>
      </c>
      <c r="G21">
        <v>119.52183173589</v>
      </c>
      <c r="I21" s="9">
        <f t="shared" si="1"/>
        <v>283.98056826411005</v>
      </c>
      <c r="J21" s="9">
        <f t="shared" si="2"/>
        <v>1206.8836430244601</v>
      </c>
      <c r="K21" s="9">
        <f t="shared" si="3"/>
        <v>283.98056826411005</v>
      </c>
      <c r="L21" s="10">
        <f t="shared" si="0"/>
        <v>0.23530070185759785</v>
      </c>
      <c r="M21" s="10">
        <f t="shared" si="4"/>
        <v>0.23727641980654277</v>
      </c>
      <c r="P21" s="8">
        <f t="shared" si="5"/>
        <v>6.3007434046289612</v>
      </c>
    </row>
    <row r="22" spans="1:16" x14ac:dyDescent="0.2">
      <c r="A22" s="8">
        <v>10</v>
      </c>
      <c r="B22" s="8">
        <v>20</v>
      </c>
      <c r="D22">
        <v>1359.6842666667001</v>
      </c>
      <c r="E22">
        <v>400.01066666666998</v>
      </c>
      <c r="F22">
        <v>152.45367412140999</v>
      </c>
      <c r="G22">
        <v>119.78807241747</v>
      </c>
      <c r="I22" s="9">
        <f t="shared" si="1"/>
        <v>280.22259424919997</v>
      </c>
      <c r="J22" s="9">
        <f t="shared" si="2"/>
        <v>1207.2305925452902</v>
      </c>
      <c r="K22" s="9">
        <f t="shared" si="3"/>
        <v>280.22259424919997</v>
      </c>
      <c r="L22" s="10">
        <f t="shared" si="0"/>
        <v>0.2321201897794743</v>
      </c>
      <c r="M22" s="10">
        <f t="shared" si="4"/>
        <v>0.23419989288362683</v>
      </c>
      <c r="P22" s="8">
        <f t="shared" si="5"/>
        <v>4.9224475787017132</v>
      </c>
    </row>
    <row r="23" spans="1:16" x14ac:dyDescent="0.2">
      <c r="A23" s="8">
        <v>10.5</v>
      </c>
      <c r="B23" s="8">
        <v>21</v>
      </c>
      <c r="D23">
        <v>1390.6769394261</v>
      </c>
      <c r="E23">
        <v>406.12221041445002</v>
      </c>
      <c r="F23">
        <v>153.29126730563999</v>
      </c>
      <c r="G23">
        <v>119.39297124601001</v>
      </c>
      <c r="I23" s="9">
        <f t="shared" si="1"/>
        <v>286.72923916844002</v>
      </c>
      <c r="J23" s="9">
        <f t="shared" si="2"/>
        <v>1237.38567212046</v>
      </c>
      <c r="K23" s="9">
        <f t="shared" si="3"/>
        <v>286.72923916844002</v>
      </c>
      <c r="L23" s="10">
        <f t="shared" si="0"/>
        <v>0.23172180317643667</v>
      </c>
      <c r="M23" s="10">
        <f t="shared" si="4"/>
        <v>0.23390549143579684</v>
      </c>
      <c r="P23" s="8">
        <f t="shared" si="5"/>
        <v>4.7905546042997758</v>
      </c>
    </row>
    <row r="24" spans="1:16" x14ac:dyDescent="0.2">
      <c r="A24" s="8">
        <v>11</v>
      </c>
      <c r="B24" s="8">
        <v>22</v>
      </c>
      <c r="D24">
        <v>1385.7996811902001</v>
      </c>
      <c r="E24">
        <v>404.69128586609997</v>
      </c>
      <c r="F24">
        <v>152.84238551651001</v>
      </c>
      <c r="G24">
        <v>119.797657082</v>
      </c>
      <c r="I24" s="9">
        <f t="shared" si="1"/>
        <v>284.89362878409997</v>
      </c>
      <c r="J24" s="9">
        <f t="shared" si="2"/>
        <v>1232.9572956736902</v>
      </c>
      <c r="K24" s="9">
        <f t="shared" si="3"/>
        <v>284.89362878409997</v>
      </c>
      <c r="L24" s="10">
        <f t="shared" si="0"/>
        <v>0.23106528489166656</v>
      </c>
      <c r="M24" s="10">
        <f t="shared" si="4"/>
        <v>0.23335295830623434</v>
      </c>
      <c r="P24" s="8">
        <f t="shared" si="5"/>
        <v>4.5430176494010679</v>
      </c>
    </row>
    <row r="25" spans="1:16" x14ac:dyDescent="0.2">
      <c r="A25" s="8">
        <v>11.5</v>
      </c>
      <c r="B25" s="8">
        <v>23</v>
      </c>
      <c r="D25">
        <v>1384.0181721004999</v>
      </c>
      <c r="E25">
        <v>401.80598610368997</v>
      </c>
      <c r="F25">
        <v>153.1458998935</v>
      </c>
      <c r="G25">
        <v>119.85463258786</v>
      </c>
      <c r="I25" s="9">
        <f t="shared" si="1"/>
        <v>281.95135351582996</v>
      </c>
      <c r="J25" s="9">
        <f t="shared" si="2"/>
        <v>1230.8722722069999</v>
      </c>
      <c r="K25" s="9">
        <f t="shared" si="3"/>
        <v>281.95135351582996</v>
      </c>
      <c r="L25" s="10">
        <f t="shared" si="0"/>
        <v>0.22906629703363182</v>
      </c>
      <c r="M25" s="10">
        <f t="shared" si="4"/>
        <v>0.23145795560340723</v>
      </c>
      <c r="P25" s="8">
        <f t="shared" si="5"/>
        <v>3.6940491921538534</v>
      </c>
    </row>
    <row r="26" spans="1:16" x14ac:dyDescent="0.2">
      <c r="A26" s="8">
        <v>12</v>
      </c>
      <c r="B26" s="8">
        <v>24</v>
      </c>
      <c r="D26">
        <v>1373.7132978723</v>
      </c>
      <c r="E26">
        <v>400.95159574467999</v>
      </c>
      <c r="F26">
        <v>153.41107561235</v>
      </c>
      <c r="G26">
        <v>119.8583599574</v>
      </c>
      <c r="I26" s="9">
        <f t="shared" si="1"/>
        <v>281.09323578727998</v>
      </c>
      <c r="J26" s="9">
        <f t="shared" si="2"/>
        <v>1220.30222225995</v>
      </c>
      <c r="K26" s="9">
        <f t="shared" si="3"/>
        <v>281.09323578727998</v>
      </c>
      <c r="L26" s="10">
        <f t="shared" si="0"/>
        <v>0.23034722928448559</v>
      </c>
      <c r="M26" s="10">
        <f t="shared" si="4"/>
        <v>0.23284287300946863</v>
      </c>
      <c r="P26" s="8">
        <f t="shared" si="5"/>
        <v>4.3144974859133702</v>
      </c>
    </row>
    <row r="27" spans="1:16" x14ac:dyDescent="0.2">
      <c r="A27" s="8">
        <v>12.5</v>
      </c>
      <c r="B27" s="8">
        <v>25</v>
      </c>
      <c r="D27">
        <v>1356.1382978723</v>
      </c>
      <c r="E27">
        <v>391.92340425532001</v>
      </c>
      <c r="F27">
        <v>153.07667731628999</v>
      </c>
      <c r="G27">
        <v>119.66879659212</v>
      </c>
      <c r="I27" s="9">
        <f t="shared" si="1"/>
        <v>272.25460766319998</v>
      </c>
      <c r="J27" s="9">
        <f t="shared" si="2"/>
        <v>1203.06162055601</v>
      </c>
      <c r="K27" s="9">
        <f t="shared" si="3"/>
        <v>272.25460766319998</v>
      </c>
      <c r="L27" s="10">
        <f t="shared" si="0"/>
        <v>0.22630146537080462</v>
      </c>
      <c r="M27" s="10">
        <f t="shared" si="4"/>
        <v>0.22890109425099528</v>
      </c>
      <c r="P27" s="8">
        <f t="shared" si="5"/>
        <v>2.5485655289834557</v>
      </c>
    </row>
    <row r="28" spans="1:16" x14ac:dyDescent="0.2">
      <c r="A28" s="8">
        <v>13</v>
      </c>
      <c r="B28" s="8">
        <v>26</v>
      </c>
      <c r="D28">
        <v>1357.0260638298</v>
      </c>
      <c r="E28">
        <v>391.55319148936002</v>
      </c>
      <c r="F28">
        <v>152.53940362086999</v>
      </c>
      <c r="G28">
        <v>119.86687965921</v>
      </c>
      <c r="I28" s="9">
        <f t="shared" si="1"/>
        <v>271.68631183015003</v>
      </c>
      <c r="J28" s="9">
        <f t="shared" si="2"/>
        <v>1204.4866602089301</v>
      </c>
      <c r="K28" s="9">
        <f t="shared" si="3"/>
        <v>271.68631183015003</v>
      </c>
      <c r="L28" s="10">
        <f t="shared" si="0"/>
        <v>0.22556191015268146</v>
      </c>
      <c r="M28" s="10">
        <f t="shared" si="4"/>
        <v>0.22826552418807974</v>
      </c>
      <c r="P28" s="8">
        <f t="shared" si="5"/>
        <v>2.2638277104141564</v>
      </c>
    </row>
    <row r="29" spans="1:16" x14ac:dyDescent="0.2">
      <c r="A29" s="8">
        <v>13.5</v>
      </c>
      <c r="B29" s="8">
        <v>27</v>
      </c>
      <c r="D29">
        <v>1361.7026595745001</v>
      </c>
      <c r="E29">
        <v>388.86170212766001</v>
      </c>
      <c r="F29">
        <v>152.92917997870001</v>
      </c>
      <c r="G29">
        <v>119.66347177849001</v>
      </c>
      <c r="I29" s="9">
        <f t="shared" si="1"/>
        <v>269.19823034916999</v>
      </c>
      <c r="J29" s="9">
        <f t="shared" si="2"/>
        <v>1208.7734795958002</v>
      </c>
      <c r="K29" s="9">
        <f t="shared" si="3"/>
        <v>269.19823034916999</v>
      </c>
      <c r="L29" s="10">
        <f t="shared" si="0"/>
        <v>0.22270362056519205</v>
      </c>
      <c r="M29" s="10">
        <f t="shared" si="4"/>
        <v>0.22551121975579796</v>
      </c>
      <c r="P29" s="8">
        <f t="shared" si="5"/>
        <v>1.0298887924511662</v>
      </c>
    </row>
    <row r="30" spans="1:16" x14ac:dyDescent="0.2">
      <c r="A30" s="8">
        <v>14</v>
      </c>
      <c r="B30" s="8">
        <v>28</v>
      </c>
      <c r="D30">
        <v>1377.0351624933</v>
      </c>
      <c r="E30">
        <v>394.20138518913001</v>
      </c>
      <c r="F30">
        <v>153.28274760382999</v>
      </c>
      <c r="G30">
        <v>119.80617678381</v>
      </c>
      <c r="I30" s="9">
        <f t="shared" si="1"/>
        <v>274.39520840531998</v>
      </c>
      <c r="J30" s="9">
        <f t="shared" si="2"/>
        <v>1223.7524148894699</v>
      </c>
      <c r="K30" s="9">
        <f t="shared" si="3"/>
        <v>274.39520840531998</v>
      </c>
      <c r="L30" s="10">
        <f t="shared" si="0"/>
        <v>0.22422444692793805</v>
      </c>
      <c r="M30" s="10">
        <f t="shared" si="4"/>
        <v>0.22713603127375159</v>
      </c>
      <c r="P30" s="8">
        <f t="shared" si="5"/>
        <v>1.7578105656796059</v>
      </c>
    </row>
    <row r="31" spans="1:16" x14ac:dyDescent="0.2">
      <c r="A31" s="8">
        <v>14.5</v>
      </c>
      <c r="B31" s="8">
        <v>29</v>
      </c>
      <c r="D31">
        <v>1386.0932338839</v>
      </c>
      <c r="E31">
        <v>393.44326052210999</v>
      </c>
      <c r="F31">
        <v>152.39350372736999</v>
      </c>
      <c r="G31">
        <v>119.94195953142</v>
      </c>
      <c r="I31" s="9">
        <f t="shared" si="1"/>
        <v>273.50130099068997</v>
      </c>
      <c r="J31" s="9">
        <f t="shared" si="2"/>
        <v>1233.69973015653</v>
      </c>
      <c r="K31" s="9">
        <f t="shared" si="3"/>
        <v>273.50130099068997</v>
      </c>
      <c r="L31" s="10">
        <f t="shared" si="0"/>
        <v>0.22169195170042594</v>
      </c>
      <c r="M31" s="10">
        <f t="shared" si="4"/>
        <v>0.2247075212014471</v>
      </c>
      <c r="P31" s="8">
        <f t="shared" si="5"/>
        <v>0.66982876680521919</v>
      </c>
    </row>
    <row r="32" spans="1:16" x14ac:dyDescent="0.2">
      <c r="A32" s="8">
        <v>15</v>
      </c>
      <c r="B32" s="8">
        <v>30</v>
      </c>
      <c r="D32">
        <v>1332.9712765956999</v>
      </c>
      <c r="E32">
        <v>381.30053191488997</v>
      </c>
      <c r="F32">
        <v>152.60915867944999</v>
      </c>
      <c r="G32">
        <v>119.55963791267</v>
      </c>
      <c r="I32" s="9">
        <f t="shared" si="1"/>
        <v>261.74089400221999</v>
      </c>
      <c r="J32" s="9">
        <f t="shared" si="2"/>
        <v>1180.3621179162499</v>
      </c>
      <c r="K32" s="9">
        <f t="shared" si="3"/>
        <v>261.74089400221999</v>
      </c>
      <c r="L32" s="10">
        <f t="shared" si="0"/>
        <v>0.22174626754735555</v>
      </c>
      <c r="M32" s="10">
        <f t="shared" si="4"/>
        <v>0.22486582220358434</v>
      </c>
      <c r="P32" s="8">
        <f t="shared" si="5"/>
        <v>0.74074822109657124</v>
      </c>
    </row>
    <row r="33" spans="1:16" x14ac:dyDescent="0.2">
      <c r="A33" s="8">
        <v>15.5</v>
      </c>
      <c r="B33" s="8">
        <v>31</v>
      </c>
      <c r="D33">
        <v>1346.4521276595999</v>
      </c>
      <c r="E33">
        <v>384.16808510637998</v>
      </c>
      <c r="F33">
        <v>152.86315228967001</v>
      </c>
      <c r="G33">
        <v>119.62247071353001</v>
      </c>
      <c r="I33" s="9">
        <f t="shared" si="1"/>
        <v>264.54561439284998</v>
      </c>
      <c r="J33" s="9">
        <f t="shared" si="2"/>
        <v>1193.5889753699298</v>
      </c>
      <c r="K33" s="9">
        <f t="shared" si="3"/>
        <v>264.54561439284998</v>
      </c>
      <c r="L33" s="10">
        <f t="shared" si="0"/>
        <v>0.22163878843708254</v>
      </c>
      <c r="M33" s="10">
        <f t="shared" si="4"/>
        <v>0.22486232824851896</v>
      </c>
      <c r="P33" s="8">
        <f t="shared" si="5"/>
        <v>0.73918291586659846</v>
      </c>
    </row>
    <row r="34" spans="1:16" x14ac:dyDescent="0.2">
      <c r="A34" s="8">
        <v>16</v>
      </c>
      <c r="B34" s="8">
        <v>32</v>
      </c>
      <c r="D34">
        <v>1371.9207868154999</v>
      </c>
      <c r="E34">
        <v>388.64008506113998</v>
      </c>
      <c r="F34">
        <v>152.84185303513999</v>
      </c>
      <c r="G34">
        <v>119.67784877529</v>
      </c>
      <c r="I34" s="9">
        <f t="shared" si="1"/>
        <v>268.96223628585</v>
      </c>
      <c r="J34" s="9">
        <f t="shared" si="2"/>
        <v>1219.0789337803599</v>
      </c>
      <c r="K34" s="9">
        <f t="shared" si="3"/>
        <v>268.96223628585</v>
      </c>
      <c r="L34" s="10">
        <f t="shared" si="0"/>
        <v>0.2206274170055576</v>
      </c>
      <c r="M34" s="10">
        <f t="shared" si="4"/>
        <v>0.22395494197220164</v>
      </c>
      <c r="P34" s="8">
        <f t="shared" si="5"/>
        <v>0.33267039428383366</v>
      </c>
    </row>
    <row r="35" spans="1:16" x14ac:dyDescent="0.2">
      <c r="A35" s="8">
        <v>16.5</v>
      </c>
      <c r="B35" s="8">
        <v>33</v>
      </c>
      <c r="D35">
        <v>1365.1770334928001</v>
      </c>
      <c r="E35">
        <v>387.17756512493003</v>
      </c>
      <c r="F35">
        <v>153.22151224707</v>
      </c>
      <c r="G35">
        <v>119.66932907348</v>
      </c>
      <c r="I35" s="9">
        <f t="shared" si="1"/>
        <v>267.50823605145001</v>
      </c>
      <c r="J35" s="9">
        <f t="shared" si="2"/>
        <v>1211.9555212457301</v>
      </c>
      <c r="K35" s="9">
        <f t="shared" si="3"/>
        <v>267.50823605145001</v>
      </c>
      <c r="L35" s="10">
        <f t="shared" si="0"/>
        <v>0.22072446666729725</v>
      </c>
      <c r="M35" s="10">
        <f t="shared" si="4"/>
        <v>0.22415597678914892</v>
      </c>
      <c r="P35" s="8">
        <f t="shared" si="5"/>
        <v>0.42273476102171931</v>
      </c>
    </row>
    <row r="36" spans="1:16" x14ac:dyDescent="0.2">
      <c r="A36" s="8">
        <v>17</v>
      </c>
      <c r="B36" s="8">
        <v>34</v>
      </c>
      <c r="D36">
        <v>1372.9782146652999</v>
      </c>
      <c r="E36">
        <v>387.44845908607999</v>
      </c>
      <c r="F36">
        <v>152.90095846644999</v>
      </c>
      <c r="G36">
        <v>119.81576144835</v>
      </c>
      <c r="I36" s="9">
        <f t="shared" si="1"/>
        <v>267.63269763772996</v>
      </c>
      <c r="J36" s="9">
        <f t="shared" si="2"/>
        <v>1220.0772561988499</v>
      </c>
      <c r="K36" s="9">
        <f t="shared" si="3"/>
        <v>267.63269763772996</v>
      </c>
      <c r="L36" s="10">
        <f t="shared" si="0"/>
        <v>0.21935717289865683</v>
      </c>
      <c r="M36" s="10">
        <f t="shared" si="4"/>
        <v>0.22289266817571612</v>
      </c>
      <c r="P36" s="8">
        <f t="shared" si="5"/>
        <v>-0.14323232861520119</v>
      </c>
    </row>
    <row r="37" spans="1:16" x14ac:dyDescent="0.2">
      <c r="A37" s="8">
        <v>17.5</v>
      </c>
      <c r="B37" s="8">
        <v>35</v>
      </c>
      <c r="D37">
        <v>1349.2263549416</v>
      </c>
      <c r="E37">
        <v>384.59351753454001</v>
      </c>
      <c r="F37">
        <v>153.31895633652999</v>
      </c>
      <c r="G37">
        <v>119.80085197018001</v>
      </c>
      <c r="I37" s="9">
        <f t="shared" si="1"/>
        <v>264.79266556435999</v>
      </c>
      <c r="J37" s="9">
        <f t="shared" si="2"/>
        <v>1195.9073986050701</v>
      </c>
      <c r="K37" s="9">
        <f t="shared" si="3"/>
        <v>264.79266556435999</v>
      </c>
      <c r="L37" s="10">
        <f t="shared" si="0"/>
        <v>0.22141569311572065</v>
      </c>
      <c r="M37" s="10">
        <f t="shared" si="4"/>
        <v>0.22505517354798757</v>
      </c>
      <c r="P37" s="8">
        <f t="shared" si="5"/>
        <v>0.82557834745780234</v>
      </c>
    </row>
    <row r="38" spans="1:16" x14ac:dyDescent="0.2">
      <c r="A38" s="8">
        <v>18</v>
      </c>
      <c r="B38" s="8">
        <v>36</v>
      </c>
      <c r="D38">
        <v>1314.2938363443</v>
      </c>
      <c r="E38">
        <v>373.43783209352</v>
      </c>
      <c r="F38">
        <v>153.15867944621999</v>
      </c>
      <c r="G38">
        <v>119.67891373802</v>
      </c>
      <c r="I38" s="9">
        <f t="shared" si="1"/>
        <v>253.75891835549999</v>
      </c>
      <c r="J38" s="9">
        <f t="shared" si="2"/>
        <v>1161.1351568980799</v>
      </c>
      <c r="K38" s="9">
        <f t="shared" si="3"/>
        <v>253.75891835549999</v>
      </c>
      <c r="L38" s="10">
        <f t="shared" si="0"/>
        <v>0.21854382484930132</v>
      </c>
      <c r="M38" s="10">
        <f t="shared" si="4"/>
        <v>0.22228729043677586</v>
      </c>
      <c r="P38" s="8">
        <f t="shared" si="5"/>
        <v>-0.41444387058987747</v>
      </c>
    </row>
    <row r="39" spans="1:16" x14ac:dyDescent="0.2">
      <c r="A39" s="8">
        <v>18.5</v>
      </c>
      <c r="B39" s="8">
        <v>37</v>
      </c>
      <c r="D39">
        <v>1319.9362380446</v>
      </c>
      <c r="E39">
        <v>376.71200850158999</v>
      </c>
      <c r="F39">
        <v>153.67412140574999</v>
      </c>
      <c r="G39">
        <v>120.17039403621</v>
      </c>
      <c r="I39" s="9">
        <f t="shared" si="1"/>
        <v>256.54161446538001</v>
      </c>
      <c r="J39" s="9">
        <f t="shared" si="2"/>
        <v>1166.2621166388501</v>
      </c>
      <c r="K39" s="9">
        <f t="shared" si="3"/>
        <v>256.54161446538001</v>
      </c>
      <c r="L39" s="10">
        <f t="shared" si="0"/>
        <v>0.21996908825670261</v>
      </c>
      <c r="M39" s="10">
        <f t="shared" si="4"/>
        <v>0.22381653899938478</v>
      </c>
      <c r="P39" s="8">
        <f t="shared" si="5"/>
        <v>0.27066533321691993</v>
      </c>
    </row>
    <row r="40" spans="1:16" x14ac:dyDescent="0.2">
      <c r="A40" s="8">
        <v>19</v>
      </c>
      <c r="B40" s="8">
        <v>38</v>
      </c>
      <c r="D40">
        <v>1311.1907545165</v>
      </c>
      <c r="E40">
        <v>373.82199787460002</v>
      </c>
      <c r="F40">
        <v>153.32268370606999</v>
      </c>
      <c r="G40">
        <v>119.84185303514001</v>
      </c>
      <c r="I40" s="9">
        <f t="shared" si="1"/>
        <v>253.98014483946002</v>
      </c>
      <c r="J40" s="9">
        <f t="shared" si="2"/>
        <v>1157.86807081043</v>
      </c>
      <c r="K40" s="9">
        <f t="shared" si="3"/>
        <v>253.98014483946002</v>
      </c>
      <c r="L40" s="10">
        <f t="shared" si="0"/>
        <v>0.21935154033713958</v>
      </c>
      <c r="M40" s="10">
        <f t="shared" si="4"/>
        <v>0.22330297623502937</v>
      </c>
      <c r="P40" s="8">
        <f t="shared" si="5"/>
        <v>4.0587250951407076E-2</v>
      </c>
    </row>
    <row r="41" spans="1:16" x14ac:dyDescent="0.2">
      <c r="A41" s="8">
        <v>19.5</v>
      </c>
      <c r="B41" s="8">
        <v>39</v>
      </c>
      <c r="D41">
        <v>1318.5074388948001</v>
      </c>
      <c r="E41">
        <v>376.05632306056998</v>
      </c>
      <c r="F41">
        <v>153.34664536740999</v>
      </c>
      <c r="G41">
        <v>120.03940362087</v>
      </c>
      <c r="I41" s="9">
        <f t="shared" si="1"/>
        <v>256.01691943969996</v>
      </c>
      <c r="J41" s="9">
        <f t="shared" si="2"/>
        <v>1165.1607935273901</v>
      </c>
      <c r="K41" s="9">
        <f t="shared" si="3"/>
        <v>256.01691943969996</v>
      </c>
      <c r="L41" s="10">
        <f t="shared" si="0"/>
        <v>0.21972668567454817</v>
      </c>
      <c r="M41" s="10">
        <f t="shared" si="4"/>
        <v>0.22378210672764559</v>
      </c>
      <c r="P41" s="8">
        <f t="shared" si="5"/>
        <v>0.25523954381074937</v>
      </c>
    </row>
    <row r="42" spans="1:16" x14ac:dyDescent="0.2">
      <c r="A42" s="8">
        <v>20</v>
      </c>
      <c r="B42" s="8">
        <v>40</v>
      </c>
      <c r="D42">
        <v>1338.3995749203</v>
      </c>
      <c r="E42">
        <v>379.13283740701002</v>
      </c>
      <c r="F42">
        <v>153.44195953142</v>
      </c>
      <c r="G42">
        <v>119.72204472844</v>
      </c>
      <c r="I42" s="9">
        <f t="shared" si="1"/>
        <v>259.41079267857003</v>
      </c>
      <c r="J42" s="9">
        <f t="shared" si="2"/>
        <v>1184.95761538888</v>
      </c>
      <c r="K42" s="9">
        <f t="shared" si="3"/>
        <v>259.41079267857003</v>
      </c>
      <c r="L42" s="10">
        <f t="shared" si="0"/>
        <v>0.2189198915721863</v>
      </c>
      <c r="M42" s="10">
        <f t="shared" si="4"/>
        <v>0.22307929778049135</v>
      </c>
      <c r="P42" s="8">
        <f t="shared" si="5"/>
        <v>-5.9621552015092893E-2</v>
      </c>
    </row>
    <row r="43" spans="1:16" x14ac:dyDescent="0.2">
      <c r="A43" s="8">
        <v>20.5</v>
      </c>
      <c r="B43" s="8">
        <v>41</v>
      </c>
      <c r="D43">
        <v>1341.4808714134001</v>
      </c>
      <c r="E43">
        <v>376.90276301807</v>
      </c>
      <c r="F43">
        <v>153.81522896698999</v>
      </c>
      <c r="G43">
        <v>120.06496272631</v>
      </c>
      <c r="I43" s="9">
        <f t="shared" si="1"/>
        <v>256.83780029176</v>
      </c>
      <c r="J43" s="9">
        <f t="shared" si="2"/>
        <v>1187.6656424464102</v>
      </c>
      <c r="K43" s="9">
        <f t="shared" si="3"/>
        <v>256.83780029176</v>
      </c>
      <c r="L43" s="10">
        <f t="shared" si="0"/>
        <v>0.21625429844271093</v>
      </c>
      <c r="M43" s="10">
        <f t="shared" si="4"/>
        <v>0.2205176898062236</v>
      </c>
      <c r="P43" s="8">
        <f t="shared" si="5"/>
        <v>-1.2072317199276916</v>
      </c>
    </row>
    <row r="44" spans="1:16" x14ac:dyDescent="0.2">
      <c r="A44" s="8">
        <v>21</v>
      </c>
      <c r="B44" s="8">
        <v>42</v>
      </c>
      <c r="D44">
        <v>1343.9707757705</v>
      </c>
      <c r="E44">
        <v>375.71094580234001</v>
      </c>
      <c r="F44">
        <v>153.68051118211</v>
      </c>
      <c r="G44">
        <v>119.95314164004</v>
      </c>
      <c r="I44" s="9">
        <f t="shared" si="1"/>
        <v>255.7578041623</v>
      </c>
      <c r="J44" s="9">
        <f t="shared" si="2"/>
        <v>1190.2902645883901</v>
      </c>
      <c r="K44" s="9">
        <f t="shared" si="3"/>
        <v>255.7578041623</v>
      </c>
      <c r="L44" s="10">
        <f t="shared" si="0"/>
        <v>0.21487011342627646</v>
      </c>
      <c r="M44" s="10">
        <f t="shared" si="4"/>
        <v>0.21923748994499676</v>
      </c>
      <c r="P44" s="8">
        <f t="shared" si="5"/>
        <v>-1.7807661531675023</v>
      </c>
    </row>
    <row r="45" spans="1:16" x14ac:dyDescent="0.2">
      <c r="A45" s="8">
        <v>21.5</v>
      </c>
      <c r="B45" s="8">
        <v>43</v>
      </c>
      <c r="D45">
        <v>1320.2874601487999</v>
      </c>
      <c r="E45">
        <v>368.35759829967998</v>
      </c>
      <c r="F45">
        <v>153.80777422790001</v>
      </c>
      <c r="G45">
        <v>119.80457933971999</v>
      </c>
      <c r="I45" s="9">
        <f t="shared" si="1"/>
        <v>248.55301895995999</v>
      </c>
      <c r="J45" s="9">
        <f t="shared" si="2"/>
        <v>1166.4796859209</v>
      </c>
      <c r="K45" s="9">
        <f t="shared" si="3"/>
        <v>248.55301895995999</v>
      </c>
      <c r="L45" s="10">
        <f t="shared" si="0"/>
        <v>0.21307959492130801</v>
      </c>
      <c r="M45" s="10">
        <f t="shared" si="4"/>
        <v>0.21755095659523593</v>
      </c>
      <c r="P45" s="8">
        <f t="shared" si="5"/>
        <v>-2.5363395430662776</v>
      </c>
    </row>
    <row r="46" spans="1:16" x14ac:dyDescent="0.2">
      <c r="A46" s="8">
        <v>22</v>
      </c>
      <c r="B46" s="8">
        <v>44</v>
      </c>
      <c r="D46">
        <v>1354.4336000000001</v>
      </c>
      <c r="E46">
        <v>376.79306666666997</v>
      </c>
      <c r="F46">
        <v>153.87859424920001</v>
      </c>
      <c r="G46">
        <v>119.88019169329</v>
      </c>
      <c r="I46" s="9">
        <f t="shared" si="1"/>
        <v>256.91287497337999</v>
      </c>
      <c r="J46" s="9">
        <f t="shared" si="2"/>
        <v>1200.5550057508001</v>
      </c>
      <c r="K46" s="9">
        <f t="shared" si="3"/>
        <v>256.91287497337999</v>
      </c>
      <c r="L46" s="10">
        <f t="shared" si="0"/>
        <v>0.21399508872374612</v>
      </c>
      <c r="M46" s="10">
        <f t="shared" si="4"/>
        <v>0.21857043555288169</v>
      </c>
      <c r="P46" s="8">
        <f t="shared" si="5"/>
        <v>-2.0796090716124422</v>
      </c>
    </row>
    <row r="47" spans="1:16" x14ac:dyDescent="0.2">
      <c r="A47" s="8">
        <v>22.5</v>
      </c>
      <c r="B47" s="8">
        <v>45</v>
      </c>
      <c r="D47">
        <v>1370.8469333333001</v>
      </c>
      <c r="E47">
        <v>381.87040000000002</v>
      </c>
      <c r="F47">
        <v>153.77422790201999</v>
      </c>
      <c r="G47">
        <v>119.95580404686</v>
      </c>
      <c r="I47" s="9">
        <f t="shared" si="1"/>
        <v>261.91459595314001</v>
      </c>
      <c r="J47" s="9">
        <f t="shared" si="2"/>
        <v>1217.0727054312802</v>
      </c>
      <c r="K47" s="9">
        <f t="shared" si="3"/>
        <v>261.91459595314001</v>
      </c>
      <c r="L47" s="10">
        <f t="shared" si="0"/>
        <v>0.21520045169390956</v>
      </c>
      <c r="M47" s="10">
        <f t="shared" si="4"/>
        <v>0.21987978367825275</v>
      </c>
      <c r="P47" s="8">
        <f t="shared" si="5"/>
        <v>-1.493016104574749</v>
      </c>
    </row>
    <row r="48" spans="1:16" x14ac:dyDescent="0.2">
      <c r="A48" s="8">
        <v>23</v>
      </c>
      <c r="B48" s="8">
        <v>46</v>
      </c>
      <c r="D48">
        <v>1339.0319148936001</v>
      </c>
      <c r="E48">
        <v>378.14893617020999</v>
      </c>
      <c r="F48">
        <v>153.82428115016</v>
      </c>
      <c r="G48">
        <v>120.34504792332</v>
      </c>
      <c r="I48" s="9">
        <f t="shared" si="1"/>
        <v>257.80388824688998</v>
      </c>
      <c r="J48" s="9">
        <f t="shared" si="2"/>
        <v>1185.2076337434401</v>
      </c>
      <c r="K48" s="9">
        <f t="shared" si="3"/>
        <v>257.80388824688998</v>
      </c>
      <c r="L48" s="10">
        <f t="shared" si="0"/>
        <v>0.21751791070786874</v>
      </c>
      <c r="M48" s="10">
        <f t="shared" si="4"/>
        <v>0.22230122784741957</v>
      </c>
      <c r="P48" s="8">
        <f t="shared" si="5"/>
        <v>-0.40819985732564584</v>
      </c>
    </row>
    <row r="49" spans="1:25" x14ac:dyDescent="0.2">
      <c r="A49" s="8">
        <v>23.5</v>
      </c>
      <c r="B49" s="8">
        <v>47</v>
      </c>
      <c r="D49">
        <v>1346.2723880597</v>
      </c>
      <c r="E49">
        <v>378.12100213219998</v>
      </c>
      <c r="F49">
        <v>154.38658146965</v>
      </c>
      <c r="G49">
        <v>119.90628328008999</v>
      </c>
      <c r="I49" s="9">
        <f t="shared" si="1"/>
        <v>258.21471885210997</v>
      </c>
      <c r="J49" s="9">
        <f t="shared" si="2"/>
        <v>1191.8858065900499</v>
      </c>
      <c r="K49" s="9">
        <f t="shared" si="3"/>
        <v>258.21471885210997</v>
      </c>
      <c r="L49" s="10">
        <f t="shared" si="0"/>
        <v>0.21664384073072793</v>
      </c>
      <c r="M49" s="10">
        <f t="shared" si="4"/>
        <v>0.22153114302548638</v>
      </c>
      <c r="P49" s="8">
        <f t="shared" si="5"/>
        <v>-0.7532008023115091</v>
      </c>
    </row>
    <row r="50" spans="1:25" x14ac:dyDescent="0.2">
      <c r="A50" s="8">
        <v>24</v>
      </c>
      <c r="B50" s="8">
        <v>48</v>
      </c>
      <c r="D50">
        <v>1319.7432072455999</v>
      </c>
      <c r="E50">
        <v>373.13585508790999</v>
      </c>
      <c r="F50">
        <v>153.87220447284</v>
      </c>
      <c r="G50">
        <v>120.22097976571</v>
      </c>
      <c r="I50" s="9">
        <f t="shared" si="1"/>
        <v>252.91487532219998</v>
      </c>
      <c r="J50" s="9">
        <f t="shared" si="2"/>
        <v>1165.87100277276</v>
      </c>
      <c r="K50" s="9">
        <f t="shared" si="3"/>
        <v>252.91487532219998</v>
      </c>
      <c r="L50" s="10">
        <f t="shared" si="0"/>
        <v>0.21693212604198858</v>
      </c>
      <c r="M50" s="10">
        <f t="shared" si="4"/>
        <v>0.22192341349195466</v>
      </c>
      <c r="P50" s="8">
        <f t="shared" si="5"/>
        <v>-0.57746213331415686</v>
      </c>
    </row>
    <row r="51" spans="1:25" x14ac:dyDescent="0.2">
      <c r="A51" s="8">
        <v>24.5</v>
      </c>
      <c r="B51" s="8">
        <v>49</v>
      </c>
      <c r="D51">
        <v>1323.0261054875</v>
      </c>
      <c r="E51">
        <v>373.28609483218003</v>
      </c>
      <c r="F51">
        <v>154.19116080936999</v>
      </c>
      <c r="G51">
        <v>120.19435569754999</v>
      </c>
      <c r="I51" s="9">
        <f t="shared" si="1"/>
        <v>253.09173913463002</v>
      </c>
      <c r="J51" s="9">
        <f t="shared" si="2"/>
        <v>1168.8349446781299</v>
      </c>
      <c r="K51" s="9">
        <f t="shared" si="3"/>
        <v>253.09173913463002</v>
      </c>
      <c r="L51" s="10">
        <f t="shared" si="0"/>
        <v>0.21653334398239235</v>
      </c>
      <c r="M51" s="10">
        <f t="shared" si="4"/>
        <v>0.22162861658756605</v>
      </c>
      <c r="P51" s="8">
        <f t="shared" si="5"/>
        <v>-0.70953227376655414</v>
      </c>
    </row>
    <row r="52" spans="1:25" x14ac:dyDescent="0.2">
      <c r="A52" s="8">
        <v>25</v>
      </c>
      <c r="B52" s="8">
        <v>50</v>
      </c>
      <c r="D52">
        <v>1333.1592967501001</v>
      </c>
      <c r="E52">
        <v>374.63612147043</v>
      </c>
      <c r="F52">
        <v>154.09637912673</v>
      </c>
      <c r="G52">
        <v>120.18956336527999</v>
      </c>
      <c r="I52" s="9">
        <f t="shared" si="1"/>
        <v>254.44655810515002</v>
      </c>
      <c r="J52" s="9">
        <f t="shared" si="2"/>
        <v>1179.0629176233701</v>
      </c>
      <c r="K52" s="9">
        <f t="shared" si="3"/>
        <v>254.44655810515002</v>
      </c>
      <c r="L52" s="10">
        <f t="shared" si="0"/>
        <v>0.21580405447576656</v>
      </c>
      <c r="M52" s="10">
        <f t="shared" si="4"/>
        <v>0.22100331223614789</v>
      </c>
      <c r="P52" s="8">
        <f t="shared" si="5"/>
        <v>-0.98967101432954496</v>
      </c>
    </row>
    <row r="53" spans="1:25" x14ac:dyDescent="0.2">
      <c r="A53" s="8">
        <v>25.5</v>
      </c>
      <c r="B53" s="8">
        <v>51</v>
      </c>
      <c r="D53">
        <v>1334.7826318594</v>
      </c>
      <c r="E53">
        <v>374.87533297815997</v>
      </c>
      <c r="F53">
        <v>154.52662406816</v>
      </c>
      <c r="G53">
        <v>120.34504792332</v>
      </c>
      <c r="I53" s="9">
        <f t="shared" si="1"/>
        <v>254.53028505483996</v>
      </c>
      <c r="J53" s="9">
        <f t="shared" si="2"/>
        <v>1180.2560077912399</v>
      </c>
      <c r="K53" s="9">
        <f t="shared" si="3"/>
        <v>254.53028505483996</v>
      </c>
      <c r="L53" s="10">
        <f t="shared" si="0"/>
        <v>0.21565684340906191</v>
      </c>
      <c r="M53" s="10">
        <f t="shared" si="4"/>
        <v>0.22096008632465086</v>
      </c>
      <c r="P53" s="8">
        <f t="shared" si="5"/>
        <v>-1.009036387973596</v>
      </c>
      <c r="S53" s="11"/>
      <c r="U53" s="12"/>
    </row>
    <row r="54" spans="1:25" x14ac:dyDescent="0.2">
      <c r="A54" s="8">
        <v>26</v>
      </c>
      <c r="B54" s="8">
        <v>52</v>
      </c>
      <c r="D54">
        <v>1312.7037826318999</v>
      </c>
      <c r="E54">
        <v>367.90090570058999</v>
      </c>
      <c r="F54">
        <v>154.23908413205999</v>
      </c>
      <c r="G54">
        <v>120.26038338658</v>
      </c>
      <c r="I54" s="9">
        <f t="shared" si="1"/>
        <v>247.64052231400998</v>
      </c>
      <c r="J54" s="9">
        <f t="shared" si="2"/>
        <v>1158.4646984998399</v>
      </c>
      <c r="K54" s="9">
        <f t="shared" si="3"/>
        <v>247.64052231400998</v>
      </c>
      <c r="L54" s="10">
        <f t="shared" si="0"/>
        <v>0.21376613602010783</v>
      </c>
      <c r="M54" s="10">
        <f t="shared" si="4"/>
        <v>0.2191733640909044</v>
      </c>
      <c r="P54" s="8">
        <f t="shared" si="5"/>
        <v>-1.8094947810144302</v>
      </c>
      <c r="S54" s="11"/>
    </row>
    <row r="55" spans="1:25" x14ac:dyDescent="0.2">
      <c r="A55" s="8">
        <v>26.5</v>
      </c>
      <c r="B55" s="8">
        <v>53</v>
      </c>
      <c r="D55">
        <v>1349.3434343434001</v>
      </c>
      <c r="E55">
        <v>377.15789473683998</v>
      </c>
      <c r="F55">
        <v>154.55271565494999</v>
      </c>
      <c r="G55">
        <v>120.18264110756</v>
      </c>
      <c r="I55" s="9">
        <f t="shared" si="1"/>
        <v>256.97525362927996</v>
      </c>
      <c r="J55" s="9">
        <f t="shared" si="2"/>
        <v>1194.7907186884502</v>
      </c>
      <c r="K55" s="9">
        <f t="shared" si="3"/>
        <v>256.97525362927996</v>
      </c>
      <c r="L55" s="10">
        <f t="shared" si="0"/>
        <v>0.21507972033074355</v>
      </c>
      <c r="M55" s="10">
        <f t="shared" si="4"/>
        <v>0.22059093355674775</v>
      </c>
      <c r="P55" s="8">
        <f t="shared" si="5"/>
        <v>-1.1744182396130118</v>
      </c>
      <c r="S55" s="11"/>
    </row>
    <row r="56" spans="1:25" x14ac:dyDescent="0.2">
      <c r="A56" s="8">
        <v>27</v>
      </c>
      <c r="B56" s="8">
        <v>54</v>
      </c>
      <c r="D56">
        <v>1332.3822434875001</v>
      </c>
      <c r="E56">
        <v>376.61137692717</v>
      </c>
      <c r="F56">
        <v>154.54100106496</v>
      </c>
      <c r="G56">
        <v>120.20500532481</v>
      </c>
      <c r="I56" s="9">
        <f t="shared" si="1"/>
        <v>256.40637160235997</v>
      </c>
      <c r="J56" s="9">
        <f t="shared" si="2"/>
        <v>1177.8412424225401</v>
      </c>
      <c r="K56" s="9">
        <f t="shared" si="3"/>
        <v>256.40637160235997</v>
      </c>
      <c r="L56" s="10">
        <f t="shared" si="0"/>
        <v>0.21769179271986849</v>
      </c>
      <c r="M56" s="10">
        <f t="shared" si="4"/>
        <v>0.22330699110108032</v>
      </c>
      <c r="P56" s="8">
        <f t="shared" si="5"/>
        <v>4.2385926294848025E-2</v>
      </c>
      <c r="S56" s="11"/>
    </row>
    <row r="57" spans="1:25" x14ac:dyDescent="0.2">
      <c r="A57" s="8">
        <v>27.5</v>
      </c>
      <c r="B57" s="8">
        <v>55</v>
      </c>
      <c r="D57">
        <v>1359.5002658161</v>
      </c>
      <c r="E57">
        <v>381.82934609249997</v>
      </c>
      <c r="F57">
        <v>154.8541001065</v>
      </c>
      <c r="G57">
        <v>120.37539936102</v>
      </c>
      <c r="I57" s="9">
        <f t="shared" si="1"/>
        <v>261.45394673147996</v>
      </c>
      <c r="J57" s="9">
        <f t="shared" si="2"/>
        <v>1204.6461657095999</v>
      </c>
      <c r="K57" s="9">
        <f t="shared" si="3"/>
        <v>261.45394673147996</v>
      </c>
      <c r="L57" s="10">
        <f t="shared" si="0"/>
        <v>0.21703796033540673</v>
      </c>
      <c r="M57" s="10">
        <f t="shared" si="4"/>
        <v>0.22275714387182619</v>
      </c>
      <c r="P57" s="8">
        <f t="shared" si="5"/>
        <v>-0.20394773499498894</v>
      </c>
      <c r="S57" s="11"/>
    </row>
    <row r="58" spans="1:25" x14ac:dyDescent="0.2">
      <c r="A58" s="8">
        <v>28</v>
      </c>
      <c r="B58" s="8">
        <v>56</v>
      </c>
      <c r="D58">
        <v>1343.6631355932</v>
      </c>
      <c r="E58">
        <v>379.69597457626998</v>
      </c>
      <c r="F58">
        <v>154.38871139509999</v>
      </c>
      <c r="G58">
        <v>120.06975505857</v>
      </c>
      <c r="I58" s="9">
        <f t="shared" si="1"/>
        <v>259.62621951769995</v>
      </c>
      <c r="J58" s="9">
        <f t="shared" si="2"/>
        <v>1189.2744241981</v>
      </c>
      <c r="K58" s="9">
        <f t="shared" si="3"/>
        <v>259.62621951769995</v>
      </c>
      <c r="L58" s="10">
        <f t="shared" si="0"/>
        <v>0.21830640114266298</v>
      </c>
      <c r="M58" s="10">
        <f t="shared" si="4"/>
        <v>0.22412956983429005</v>
      </c>
      <c r="P58" s="8">
        <f t="shared" si="5"/>
        <v>0.41090434426628053</v>
      </c>
      <c r="S58" s="11"/>
    </row>
    <row r="59" spans="1:25" x14ac:dyDescent="0.2">
      <c r="A59" s="8">
        <v>28.5</v>
      </c>
      <c r="B59" s="8">
        <v>57</v>
      </c>
      <c r="D59">
        <v>1336.1636652541999</v>
      </c>
      <c r="E59">
        <v>374.85063559321998</v>
      </c>
      <c r="F59">
        <v>154.505857295</v>
      </c>
      <c r="G59">
        <v>120.37113951012</v>
      </c>
      <c r="I59" s="9">
        <f t="shared" si="1"/>
        <v>254.47949608309997</v>
      </c>
      <c r="J59" s="9">
        <f t="shared" si="2"/>
        <v>1181.6578079592</v>
      </c>
      <c r="K59" s="9">
        <f t="shared" si="3"/>
        <v>254.47949608309997</v>
      </c>
      <c r="L59" s="10">
        <f t="shared" si="0"/>
        <v>0.21535802866872486</v>
      </c>
      <c r="M59" s="10">
        <f t="shared" si="4"/>
        <v>0.22128518251555956</v>
      </c>
      <c r="P59" s="8">
        <f t="shared" si="5"/>
        <v>-0.86339205129747698</v>
      </c>
      <c r="R59" s="1"/>
      <c r="S59" s="11"/>
    </row>
    <row r="60" spans="1:25" x14ac:dyDescent="0.2">
      <c r="A60" s="8">
        <v>29</v>
      </c>
      <c r="B60" s="8">
        <v>58</v>
      </c>
      <c r="D60">
        <v>1315.7863974495001</v>
      </c>
      <c r="E60">
        <v>369.8958554729</v>
      </c>
      <c r="F60">
        <v>154.82481363151999</v>
      </c>
      <c r="G60">
        <v>120.34078807242</v>
      </c>
      <c r="I60" s="9">
        <f t="shared" si="1"/>
        <v>249.55506740048</v>
      </c>
      <c r="J60" s="9">
        <f t="shared" si="2"/>
        <v>1160.9615838179802</v>
      </c>
      <c r="K60" s="9">
        <f t="shared" si="3"/>
        <v>249.55506740048</v>
      </c>
      <c r="L60" s="10">
        <f t="shared" si="0"/>
        <v>0.21495549110228451</v>
      </c>
      <c r="M60" s="10">
        <f t="shared" si="4"/>
        <v>0.22098663010432684</v>
      </c>
      <c r="P60" s="8">
        <f t="shared" si="5"/>
        <v>-0.99714467317687938</v>
      </c>
      <c r="S60" s="11"/>
    </row>
    <row r="61" spans="1:25" x14ac:dyDescent="0.2">
      <c r="A61" s="8">
        <v>29.5</v>
      </c>
      <c r="B61" s="8">
        <v>59</v>
      </c>
      <c r="C61" s="2"/>
      <c r="D61">
        <v>1322.9744952179001</v>
      </c>
      <c r="E61">
        <v>371.73804463337001</v>
      </c>
      <c r="F61">
        <v>154.83865814697</v>
      </c>
      <c r="G61">
        <v>120.71458998935</v>
      </c>
      <c r="I61" s="9">
        <f t="shared" si="1"/>
        <v>251.02345464402001</v>
      </c>
      <c r="J61" s="9">
        <f t="shared" si="2"/>
        <v>1168.1358370709302</v>
      </c>
      <c r="K61" s="9">
        <f t="shared" si="3"/>
        <v>251.02345464402001</v>
      </c>
      <c r="L61" s="10">
        <f t="shared" si="0"/>
        <v>0.21489234956908326</v>
      </c>
      <c r="M61" s="10">
        <f t="shared" si="4"/>
        <v>0.22102747372633322</v>
      </c>
      <c r="P61" s="8">
        <f t="shared" si="5"/>
        <v>-0.97884657433437616</v>
      </c>
      <c r="S61" s="11"/>
    </row>
    <row r="62" spans="1:25" x14ac:dyDescent="0.2">
      <c r="A62" s="8">
        <v>30</v>
      </c>
      <c r="B62" s="8">
        <v>60</v>
      </c>
      <c r="D62">
        <v>1322.8825717321999</v>
      </c>
      <c r="E62">
        <v>371.24548352815998</v>
      </c>
      <c r="F62">
        <v>155.15228966986001</v>
      </c>
      <c r="G62">
        <v>120.46432374867</v>
      </c>
      <c r="I62" s="9">
        <f t="shared" si="1"/>
        <v>250.78115977949</v>
      </c>
      <c r="J62" s="9">
        <f t="shared" si="2"/>
        <v>1167.7302820623399</v>
      </c>
      <c r="K62" s="9">
        <f t="shared" si="3"/>
        <v>250.78115977949</v>
      </c>
      <c r="L62" s="10">
        <f t="shared" si="0"/>
        <v>0.21475948995394975</v>
      </c>
      <c r="M62" s="10">
        <f t="shared" si="4"/>
        <v>0.22099859926640733</v>
      </c>
      <c r="P62" s="8">
        <f t="shared" si="5"/>
        <v>-0.99178244279543737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1321.7104144527</v>
      </c>
      <c r="E63">
        <v>371.58289054198002</v>
      </c>
      <c r="F63">
        <v>154.68849840255999</v>
      </c>
      <c r="G63">
        <v>120.85090521831999</v>
      </c>
      <c r="I63" s="9">
        <f t="shared" si="1"/>
        <v>250.73198532366001</v>
      </c>
      <c r="J63" s="9">
        <f t="shared" si="2"/>
        <v>1167.0219160501399</v>
      </c>
      <c r="K63" s="9">
        <f t="shared" si="3"/>
        <v>250.73198532366001</v>
      </c>
      <c r="L63" s="10">
        <f t="shared" si="0"/>
        <v>0.21484770926348873</v>
      </c>
      <c r="M63" s="10">
        <f t="shared" si="4"/>
        <v>0.22119080373115393</v>
      </c>
      <c r="P63" s="8">
        <f t="shared" si="5"/>
        <v>-0.90567410761020883</v>
      </c>
    </row>
    <row r="64" spans="1:25" x14ac:dyDescent="0.2">
      <c r="A64" s="8">
        <v>31</v>
      </c>
      <c r="B64" s="8">
        <v>62</v>
      </c>
      <c r="D64">
        <v>1300.340063762</v>
      </c>
      <c r="E64">
        <v>366.71094580234001</v>
      </c>
      <c r="F64">
        <v>154.99361022363999</v>
      </c>
      <c r="G64">
        <v>120.53514376997001</v>
      </c>
      <c r="I64" s="9">
        <f t="shared" si="1"/>
        <v>246.17580203237</v>
      </c>
      <c r="J64" s="9">
        <f t="shared" si="2"/>
        <v>1145.34645353836</v>
      </c>
      <c r="K64" s="9">
        <f t="shared" si="3"/>
        <v>246.17580203237</v>
      </c>
      <c r="L64" s="10">
        <f t="shared" si="0"/>
        <v>0.21493566533676359</v>
      </c>
      <c r="M64" s="10">
        <f t="shared" si="4"/>
        <v>0.22138274495963642</v>
      </c>
      <c r="P64" s="8">
        <f t="shared" si="5"/>
        <v>-0.81968370327790629</v>
      </c>
      <c r="U64" s="8">
        <v>30.5</v>
      </c>
      <c r="V64" s="10">
        <f>L62</f>
        <v>0.21475948995394975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1301.1588735388</v>
      </c>
      <c r="E65">
        <v>367.78852284803003</v>
      </c>
      <c r="F65">
        <v>155.13045793397001</v>
      </c>
      <c r="G65">
        <v>120.85143769968001</v>
      </c>
      <c r="I65" s="9">
        <f t="shared" si="1"/>
        <v>246.93708514835004</v>
      </c>
      <c r="J65" s="9">
        <f t="shared" si="2"/>
        <v>1146.0284156048299</v>
      </c>
      <c r="K65" s="9">
        <f t="shared" si="3"/>
        <v>246.93708514835004</v>
      </c>
      <c r="L65" s="10">
        <f t="shared" si="0"/>
        <v>0.21547204396151565</v>
      </c>
      <c r="M65" s="10">
        <f t="shared" si="4"/>
        <v>0.2220231087395961</v>
      </c>
      <c r="P65" s="8">
        <f t="shared" si="5"/>
        <v>-0.53279828114193162</v>
      </c>
      <c r="U65" s="8">
        <v>31</v>
      </c>
      <c r="V65" s="10">
        <f t="shared" ref="V65:V83" si="6">L63</f>
        <v>0.21484770926348873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1313.7380446334</v>
      </c>
      <c r="E66">
        <v>368.55472901168997</v>
      </c>
      <c r="F66">
        <v>155.47177848774999</v>
      </c>
      <c r="G66">
        <v>120.61821086262</v>
      </c>
      <c r="I66" s="9">
        <f t="shared" si="1"/>
        <v>247.93651814906997</v>
      </c>
      <c r="J66" s="9">
        <f t="shared" si="2"/>
        <v>1158.26626614565</v>
      </c>
      <c r="K66" s="9">
        <f t="shared" si="3"/>
        <v>247.93651814906997</v>
      </c>
      <c r="L66" s="10">
        <f t="shared" ref="L66:L129" si="7">K66/J66</f>
        <v>0.21405830886720514</v>
      </c>
      <c r="M66" s="10">
        <f t="shared" si="4"/>
        <v>0.22071335880049323</v>
      </c>
      <c r="P66" s="8">
        <f t="shared" si="5"/>
        <v>-1.1195712622679908</v>
      </c>
      <c r="U66" s="8">
        <v>31.5</v>
      </c>
      <c r="V66" s="10">
        <f t="shared" si="6"/>
        <v>0.21493566533676359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1317.3990435707001</v>
      </c>
      <c r="E67">
        <v>371.34378320935002</v>
      </c>
      <c r="F67">
        <v>155.47550585729999</v>
      </c>
      <c r="G67">
        <v>120.64536741214</v>
      </c>
      <c r="I67" s="9">
        <f t="shared" ref="I67:I130" si="8">E67-G67</f>
        <v>250.69841579721003</v>
      </c>
      <c r="J67" s="9">
        <f t="shared" ref="J67:J130" si="9">D67-F67</f>
        <v>1161.9235377134</v>
      </c>
      <c r="K67" s="9">
        <f t="shared" ref="K67:K130" si="10">I67*1</f>
        <v>250.69841579721003</v>
      </c>
      <c r="L67" s="10">
        <f t="shared" si="7"/>
        <v>0.21576154338913761</v>
      </c>
      <c r="M67" s="10">
        <f t="shared" ref="M67:M130" si="11">L67+ABS($N$2)*A67</f>
        <v>0.22252057847763332</v>
      </c>
      <c r="P67" s="8">
        <f t="shared" ref="P67:P130" si="12">(M67-$O$2)/$O$2*100</f>
        <v>-0.30992993620577036</v>
      </c>
      <c r="U67" s="8">
        <v>32</v>
      </c>
      <c r="V67" s="10">
        <f t="shared" si="6"/>
        <v>0.21547204396151565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1326.6255949233</v>
      </c>
      <c r="E68">
        <v>372.48387096774002</v>
      </c>
      <c r="F68">
        <v>155.84398296059999</v>
      </c>
      <c r="G68">
        <v>120.65122470714</v>
      </c>
      <c r="I68" s="9">
        <f t="shared" si="8"/>
        <v>251.83264626060003</v>
      </c>
      <c r="J68" s="9">
        <f t="shared" si="9"/>
        <v>1170.7816119627</v>
      </c>
      <c r="K68" s="9">
        <f t="shared" si="10"/>
        <v>251.83264626060003</v>
      </c>
      <c r="L68" s="10">
        <f t="shared" si="7"/>
        <v>0.21509788306157918</v>
      </c>
      <c r="M68" s="10">
        <f t="shared" si="11"/>
        <v>0.22196090330528251</v>
      </c>
      <c r="P68" s="8">
        <f t="shared" si="12"/>
        <v>-0.56066655358440287</v>
      </c>
      <c r="U68" s="8">
        <v>32.5</v>
      </c>
      <c r="V68" s="10">
        <f t="shared" si="6"/>
        <v>0.21405830886720514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1353.3946949602</v>
      </c>
      <c r="E69">
        <v>375.57559681698001</v>
      </c>
      <c r="F69">
        <v>155.75665601704</v>
      </c>
      <c r="G69">
        <v>120.57774227902</v>
      </c>
      <c r="I69" s="9">
        <f t="shared" si="8"/>
        <v>254.99785453796</v>
      </c>
      <c r="J69" s="9">
        <f t="shared" si="9"/>
        <v>1197.6380389431599</v>
      </c>
      <c r="K69" s="9">
        <f t="shared" si="10"/>
        <v>254.99785453796</v>
      </c>
      <c r="L69" s="10">
        <f t="shared" si="7"/>
        <v>0.21291729741899273</v>
      </c>
      <c r="M69" s="10">
        <f t="shared" si="11"/>
        <v>0.21988430281790369</v>
      </c>
      <c r="P69" s="8">
        <f t="shared" si="12"/>
        <v>-1.4909915127302003</v>
      </c>
      <c r="U69" s="8">
        <v>33</v>
      </c>
      <c r="V69" s="10">
        <f t="shared" si="6"/>
        <v>0.21576154338913761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1344.6143236073999</v>
      </c>
      <c r="E70">
        <v>375.13952254641998</v>
      </c>
      <c r="F70">
        <v>155.77902023428999</v>
      </c>
      <c r="G70">
        <v>120.78966986156</v>
      </c>
      <c r="I70" s="9">
        <f t="shared" si="8"/>
        <v>254.34985268485997</v>
      </c>
      <c r="J70" s="9">
        <f t="shared" si="9"/>
        <v>1188.83530337311</v>
      </c>
      <c r="K70" s="9">
        <f t="shared" si="10"/>
        <v>254.34985268485997</v>
      </c>
      <c r="L70" s="10">
        <f t="shared" si="7"/>
        <v>0.21394877151039107</v>
      </c>
      <c r="M70" s="10">
        <f t="shared" si="11"/>
        <v>0.22101976206450966</v>
      </c>
      <c r="P70" s="8">
        <f t="shared" si="12"/>
        <v>-0.98230142832028033</v>
      </c>
      <c r="U70" s="8">
        <v>33.5</v>
      </c>
      <c r="V70" s="10">
        <f t="shared" si="6"/>
        <v>0.21509788306157918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1351.5220159150999</v>
      </c>
      <c r="E71">
        <v>375.72413793102999</v>
      </c>
      <c r="F71">
        <v>155.93450479232999</v>
      </c>
      <c r="G71">
        <v>121.10276890308999</v>
      </c>
      <c r="I71" s="9">
        <f t="shared" si="8"/>
        <v>254.62136902793998</v>
      </c>
      <c r="J71" s="9">
        <f t="shared" si="9"/>
        <v>1195.5875111227699</v>
      </c>
      <c r="K71" s="9">
        <f t="shared" si="10"/>
        <v>254.62136902793998</v>
      </c>
      <c r="L71" s="10">
        <f t="shared" si="7"/>
        <v>0.21296757172448749</v>
      </c>
      <c r="M71" s="10">
        <f t="shared" si="11"/>
        <v>0.2201425474338137</v>
      </c>
      <c r="P71" s="8">
        <f t="shared" si="12"/>
        <v>-1.3752969372900503</v>
      </c>
      <c r="U71" s="8">
        <v>34</v>
      </c>
      <c r="V71" s="10">
        <f t="shared" si="6"/>
        <v>0.21291729741899273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1378.7994680851</v>
      </c>
      <c r="E72">
        <v>384.82925531914998</v>
      </c>
      <c r="F72">
        <v>155.69329073482001</v>
      </c>
      <c r="G72">
        <v>120.80883919063</v>
      </c>
      <c r="I72" s="9">
        <f t="shared" si="8"/>
        <v>264.02041612851997</v>
      </c>
      <c r="J72" s="9">
        <f t="shared" si="9"/>
        <v>1223.1061773502799</v>
      </c>
      <c r="K72" s="9">
        <f t="shared" si="10"/>
        <v>264.02041612851997</v>
      </c>
      <c r="L72" s="10">
        <f t="shared" si="7"/>
        <v>0.21586058595541566</v>
      </c>
      <c r="M72" s="10">
        <f t="shared" si="11"/>
        <v>0.22313954681994949</v>
      </c>
      <c r="P72" s="8">
        <f t="shared" si="12"/>
        <v>-3.2629751949004457E-2</v>
      </c>
      <c r="U72" s="8">
        <v>34.5</v>
      </c>
      <c r="V72" s="10">
        <f t="shared" si="6"/>
        <v>0.21394877151039107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1375.1240021287999</v>
      </c>
      <c r="E73">
        <v>382.26237360298001</v>
      </c>
      <c r="F73">
        <v>155.97710330138</v>
      </c>
      <c r="G73">
        <v>120.9898828541</v>
      </c>
      <c r="I73" s="9">
        <f t="shared" si="8"/>
        <v>261.27249074887999</v>
      </c>
      <c r="J73" s="9">
        <f t="shared" si="9"/>
        <v>1219.14689882742</v>
      </c>
      <c r="K73" s="9">
        <f t="shared" si="10"/>
        <v>261.27249074887999</v>
      </c>
      <c r="L73" s="10">
        <f t="shared" si="7"/>
        <v>0.21430763675827155</v>
      </c>
      <c r="M73" s="10">
        <f t="shared" si="11"/>
        <v>0.22169058277801301</v>
      </c>
      <c r="P73" s="8">
        <f t="shared" si="12"/>
        <v>-0.68177118349118981</v>
      </c>
      <c r="U73" s="8">
        <v>35</v>
      </c>
      <c r="V73" s="10">
        <f t="shared" si="6"/>
        <v>0.21296757172448749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1348.5942644715999</v>
      </c>
      <c r="E74">
        <v>379.07806691450003</v>
      </c>
      <c r="F74">
        <v>156.21139510117001</v>
      </c>
      <c r="G74">
        <v>120.94781682641</v>
      </c>
      <c r="I74" s="9">
        <f t="shared" si="8"/>
        <v>258.13025008809001</v>
      </c>
      <c r="J74" s="9">
        <f t="shared" si="9"/>
        <v>1192.3828693704299</v>
      </c>
      <c r="K74" s="9">
        <f t="shared" si="10"/>
        <v>258.13025008809001</v>
      </c>
      <c r="L74" s="10">
        <f t="shared" si="7"/>
        <v>0.21648268917548358</v>
      </c>
      <c r="M74" s="10">
        <f t="shared" si="11"/>
        <v>0.22396962035043269</v>
      </c>
      <c r="P74" s="8">
        <f t="shared" si="12"/>
        <v>0.33924636386061197</v>
      </c>
      <c r="U74" s="8">
        <v>35.5</v>
      </c>
      <c r="V74" s="10">
        <f t="shared" si="6"/>
        <v>0.21586058595541566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1398.6249336870001</v>
      </c>
      <c r="E75">
        <v>388.03713527852</v>
      </c>
      <c r="F75">
        <v>156.05591054313001</v>
      </c>
      <c r="G75">
        <v>121.31522896699001</v>
      </c>
      <c r="I75" s="9">
        <f t="shared" si="8"/>
        <v>266.72190631153001</v>
      </c>
      <c r="J75" s="9">
        <f t="shared" si="9"/>
        <v>1242.56902314387</v>
      </c>
      <c r="K75" s="9">
        <f t="shared" si="10"/>
        <v>266.72190631153001</v>
      </c>
      <c r="L75" s="10">
        <f t="shared" si="7"/>
        <v>0.21465359375907103</v>
      </c>
      <c r="M75" s="10">
        <f t="shared" si="11"/>
        <v>0.22224451008922777</v>
      </c>
      <c r="P75" s="8">
        <f t="shared" si="12"/>
        <v>-0.43360962988099666</v>
      </c>
      <c r="U75" s="8">
        <v>36</v>
      </c>
      <c r="V75" s="10">
        <f t="shared" si="6"/>
        <v>0.21430763675827155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1399.4466843501</v>
      </c>
      <c r="E76">
        <v>390.40053050398001</v>
      </c>
      <c r="F76">
        <v>156.49733759317999</v>
      </c>
      <c r="G76">
        <v>121.05271565495001</v>
      </c>
      <c r="I76" s="9">
        <f t="shared" si="8"/>
        <v>269.34781484902999</v>
      </c>
      <c r="J76" s="9">
        <f t="shared" si="9"/>
        <v>1242.94934675692</v>
      </c>
      <c r="K76" s="9">
        <f t="shared" si="10"/>
        <v>269.34781484902999</v>
      </c>
      <c r="L76" s="10">
        <f t="shared" si="7"/>
        <v>0.21670055626305867</v>
      </c>
      <c r="M76" s="10">
        <f t="shared" si="11"/>
        <v>0.22439545774842304</v>
      </c>
      <c r="P76" s="8">
        <f t="shared" si="12"/>
        <v>0.53002314653785365</v>
      </c>
      <c r="U76" s="8">
        <v>36.5</v>
      </c>
      <c r="V76" s="10">
        <f t="shared" si="6"/>
        <v>0.21648268917548358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1343.3938265034999</v>
      </c>
      <c r="E77">
        <v>382.92602448111001</v>
      </c>
      <c r="F77">
        <v>156.33865814697</v>
      </c>
      <c r="G77">
        <v>120.91054313099001</v>
      </c>
      <c r="I77" s="9">
        <f t="shared" si="8"/>
        <v>262.01548135012001</v>
      </c>
      <c r="J77" s="9">
        <f t="shared" si="9"/>
        <v>1187.05516835653</v>
      </c>
      <c r="K77" s="9">
        <f t="shared" si="10"/>
        <v>262.01548135012001</v>
      </c>
      <c r="L77" s="10">
        <f t="shared" si="7"/>
        <v>0.22072729923149126</v>
      </c>
      <c r="M77" s="10">
        <f t="shared" si="11"/>
        <v>0.22852618587206325</v>
      </c>
      <c r="P77" s="8">
        <f t="shared" si="12"/>
        <v>2.3806051415939606</v>
      </c>
      <c r="U77" s="8">
        <v>37</v>
      </c>
      <c r="V77" s="10">
        <f t="shared" si="6"/>
        <v>0.21465359375907103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1345.5109100585</v>
      </c>
      <c r="E78">
        <v>384.72804683342002</v>
      </c>
      <c r="F78">
        <v>156.00798722044999</v>
      </c>
      <c r="G78">
        <v>120.71458998935</v>
      </c>
      <c r="I78" s="9">
        <f t="shared" si="8"/>
        <v>264.01345684406999</v>
      </c>
      <c r="J78" s="9">
        <f t="shared" si="9"/>
        <v>1189.5029228380499</v>
      </c>
      <c r="K78" s="9">
        <f t="shared" si="10"/>
        <v>264.01345684406999</v>
      </c>
      <c r="L78" s="10">
        <f t="shared" si="7"/>
        <v>0.22195276007742543</v>
      </c>
      <c r="M78" s="10">
        <f t="shared" si="11"/>
        <v>0.22985563187320504</v>
      </c>
      <c r="P78" s="8">
        <f t="shared" si="12"/>
        <v>2.9762020338300554</v>
      </c>
      <c r="U78" s="8">
        <v>37.5</v>
      </c>
      <c r="V78" s="10">
        <f t="shared" si="6"/>
        <v>0.21670055626305867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1340.6232038318001</v>
      </c>
      <c r="E79">
        <v>377.92283129323999</v>
      </c>
      <c r="F79">
        <v>156.58679446219</v>
      </c>
      <c r="G79">
        <v>121.2875399361</v>
      </c>
      <c r="I79" s="9">
        <f t="shared" si="8"/>
        <v>256.63529135713998</v>
      </c>
      <c r="J79" s="9">
        <f t="shared" si="9"/>
        <v>1184.0364093696101</v>
      </c>
      <c r="K79" s="9">
        <f t="shared" si="10"/>
        <v>256.63529135713998</v>
      </c>
      <c r="L79" s="10">
        <f t="shared" si="7"/>
        <v>0.21674611466869886</v>
      </c>
      <c r="M79" s="10">
        <f t="shared" si="11"/>
        <v>0.2247529716196861</v>
      </c>
      <c r="P79" s="8">
        <f t="shared" si="12"/>
        <v>0.69019072797606085</v>
      </c>
      <c r="U79" s="8">
        <v>38</v>
      </c>
      <c r="V79" s="10">
        <f t="shared" si="6"/>
        <v>0.22072729923149126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1374.2747077577001</v>
      </c>
      <c r="E80">
        <v>384.90063761955003</v>
      </c>
      <c r="F80">
        <v>156.47603833866</v>
      </c>
      <c r="G80">
        <v>121.46485623002999</v>
      </c>
      <c r="I80" s="9">
        <f t="shared" si="8"/>
        <v>263.43578138952</v>
      </c>
      <c r="J80" s="9">
        <f t="shared" si="9"/>
        <v>1217.7986694190402</v>
      </c>
      <c r="K80" s="9">
        <f t="shared" si="10"/>
        <v>263.43578138952</v>
      </c>
      <c r="L80" s="10">
        <f t="shared" si="7"/>
        <v>0.21632129185622612</v>
      </c>
      <c r="M80" s="10">
        <f t="shared" si="11"/>
        <v>0.22443213396242098</v>
      </c>
      <c r="P80" s="8">
        <f t="shared" si="12"/>
        <v>0.54645423065665233</v>
      </c>
      <c r="U80" s="8">
        <v>38.5</v>
      </c>
      <c r="V80" s="10">
        <f t="shared" si="6"/>
        <v>0.22195276007742543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1324.1477151966001</v>
      </c>
      <c r="E81">
        <v>379.41764080765</v>
      </c>
      <c r="F81">
        <v>156.43556975505999</v>
      </c>
      <c r="G81">
        <v>121.13205537806</v>
      </c>
      <c r="I81" s="9">
        <f t="shared" si="8"/>
        <v>258.28558542959001</v>
      </c>
      <c r="J81" s="9">
        <f t="shared" si="9"/>
        <v>1167.7121454415401</v>
      </c>
      <c r="K81" s="9">
        <f t="shared" si="10"/>
        <v>258.28558542959001</v>
      </c>
      <c r="L81" s="10">
        <f t="shared" si="7"/>
        <v>0.22118943134904709</v>
      </c>
      <c r="M81" s="10">
        <f t="shared" si="11"/>
        <v>0.22940425861044958</v>
      </c>
      <c r="P81" s="8">
        <f t="shared" si="12"/>
        <v>2.7739850860903736</v>
      </c>
      <c r="U81" s="8">
        <v>39</v>
      </c>
      <c r="V81" s="10">
        <f t="shared" si="6"/>
        <v>0.21674611466869886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1321.0031880977999</v>
      </c>
      <c r="E82">
        <v>375.11742826779999</v>
      </c>
      <c r="F82">
        <v>156.63525026624001</v>
      </c>
      <c r="G82">
        <v>121.42651757189</v>
      </c>
      <c r="H82" s="13"/>
      <c r="I82" s="14">
        <f t="shared" si="8"/>
        <v>253.69091069590999</v>
      </c>
      <c r="J82" s="14">
        <f t="shared" si="9"/>
        <v>1164.3679378315599</v>
      </c>
      <c r="K82" s="9">
        <f t="shared" si="10"/>
        <v>253.69091069590999</v>
      </c>
      <c r="L82" s="15">
        <f t="shared" si="7"/>
        <v>0.21787864682049454</v>
      </c>
      <c r="M82" s="15">
        <f t="shared" si="11"/>
        <v>0.22619745923710466</v>
      </c>
      <c r="N82" s="13"/>
      <c r="O82" s="13"/>
      <c r="P82" s="13">
        <f t="shared" si="12"/>
        <v>1.3373267042166279</v>
      </c>
      <c r="U82" s="8">
        <v>39.5</v>
      </c>
      <c r="V82" s="10">
        <f t="shared" si="6"/>
        <v>0.21632129185622612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1319.0945802337999</v>
      </c>
      <c r="E83">
        <v>374.71147715196997</v>
      </c>
      <c r="F83">
        <v>156.97497337593001</v>
      </c>
      <c r="G83">
        <v>121.60809371672001</v>
      </c>
      <c r="I83" s="9">
        <f t="shared" si="8"/>
        <v>253.10338343524995</v>
      </c>
      <c r="J83" s="9">
        <f t="shared" si="9"/>
        <v>1162.1196068578699</v>
      </c>
      <c r="K83" s="9">
        <f t="shared" si="10"/>
        <v>253.10338343524995</v>
      </c>
      <c r="L83" s="10">
        <f t="shared" si="7"/>
        <v>0.21779460732066033</v>
      </c>
      <c r="M83" s="10">
        <f t="shared" si="11"/>
        <v>0.22621740489247807</v>
      </c>
      <c r="P83" s="8">
        <f t="shared" si="12"/>
        <v>1.3462624340949498</v>
      </c>
      <c r="U83" s="8">
        <v>40</v>
      </c>
      <c r="V83" s="10">
        <f t="shared" si="6"/>
        <v>0.22118943134904709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1391.3796592118999</v>
      </c>
      <c r="E84">
        <v>382.06922257720998</v>
      </c>
      <c r="F84">
        <v>156.72523961661</v>
      </c>
      <c r="G84">
        <v>121.26198083067</v>
      </c>
      <c r="I84" s="9">
        <f t="shared" si="8"/>
        <v>260.80724174654</v>
      </c>
      <c r="J84" s="9">
        <f t="shared" si="9"/>
        <v>1234.6544195952899</v>
      </c>
      <c r="K84" s="9">
        <f t="shared" si="10"/>
        <v>260.80724174654</v>
      </c>
      <c r="L84" s="10">
        <f t="shared" si="7"/>
        <v>0.21123906220821739</v>
      </c>
      <c r="M84" s="10">
        <f t="shared" si="11"/>
        <v>0.21976584493524276</v>
      </c>
      <c r="P84" s="8">
        <f t="shared" si="12"/>
        <v>-1.5440610971383861</v>
      </c>
      <c r="U84" s="8">
        <v>150.5</v>
      </c>
      <c r="V84" s="10">
        <f>L302</f>
        <v>0.19391125076577923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1387.9222577210001</v>
      </c>
      <c r="E85">
        <v>384.26624068157997</v>
      </c>
      <c r="F85">
        <v>156.76996805112</v>
      </c>
      <c r="G85">
        <v>121.15335463258999</v>
      </c>
      <c r="I85" s="9">
        <f t="shared" si="8"/>
        <v>263.11288604898999</v>
      </c>
      <c r="J85" s="9">
        <f t="shared" si="9"/>
        <v>1231.15228966988</v>
      </c>
      <c r="K85" s="9">
        <f t="shared" si="10"/>
        <v>263.11288604898999</v>
      </c>
      <c r="L85" s="10">
        <f t="shared" si="7"/>
        <v>0.21371270496482675</v>
      </c>
      <c r="M85" s="10">
        <f t="shared" si="11"/>
        <v>0.22234347284705974</v>
      </c>
      <c r="P85" s="8">
        <f t="shared" si="12"/>
        <v>-0.38927393594441445</v>
      </c>
      <c r="U85" s="8">
        <v>151</v>
      </c>
      <c r="V85" s="10">
        <f t="shared" ref="V85:V103" si="13">L303</f>
        <v>0.19599695917938803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1361.5759829967999</v>
      </c>
      <c r="E86">
        <v>391.71253985122001</v>
      </c>
      <c r="F86">
        <v>157.14270500532999</v>
      </c>
      <c r="G86">
        <v>121.67997870075</v>
      </c>
      <c r="I86" s="9">
        <f t="shared" si="8"/>
        <v>270.03256115047003</v>
      </c>
      <c r="J86" s="9">
        <f t="shared" si="9"/>
        <v>1204.4332779914698</v>
      </c>
      <c r="K86" s="9">
        <f t="shared" si="10"/>
        <v>270.03256115047003</v>
      </c>
      <c r="L86" s="10">
        <f t="shared" si="7"/>
        <v>0.22419885441954926</v>
      </c>
      <c r="M86" s="10">
        <f t="shared" si="11"/>
        <v>0.23293360745698988</v>
      </c>
      <c r="P86" s="8">
        <f t="shared" si="12"/>
        <v>4.3551468653661676</v>
      </c>
      <c r="U86" s="8">
        <v>151.5</v>
      </c>
      <c r="V86" s="10">
        <f t="shared" si="13"/>
        <v>0.19474319423513936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1353.4091392135999</v>
      </c>
      <c r="E87">
        <v>444.07598299681001</v>
      </c>
      <c r="F87">
        <v>157.39297124601001</v>
      </c>
      <c r="G87">
        <v>121.46059637913</v>
      </c>
      <c r="I87" s="9">
        <f t="shared" si="8"/>
        <v>322.61538661768003</v>
      </c>
      <c r="J87" s="9">
        <f t="shared" si="9"/>
        <v>1196.0161679675898</v>
      </c>
      <c r="K87" s="9">
        <f t="shared" si="10"/>
        <v>322.61538661768003</v>
      </c>
      <c r="L87" s="10">
        <f t="shared" si="7"/>
        <v>0.26974166006961742</v>
      </c>
      <c r="M87" s="10">
        <f t="shared" si="11"/>
        <v>0.27858039826226566</v>
      </c>
      <c r="P87" s="8">
        <f t="shared" si="12"/>
        <v>24.805083696816112</v>
      </c>
      <c r="U87" s="8">
        <v>152</v>
      </c>
      <c r="V87" s="10">
        <f t="shared" si="13"/>
        <v>0.19691555714471901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1382.8065887354001</v>
      </c>
      <c r="E88">
        <v>485.46280552603997</v>
      </c>
      <c r="F88">
        <v>157.31895633652999</v>
      </c>
      <c r="G88">
        <v>121.96698615549001</v>
      </c>
      <c r="I88" s="9">
        <f t="shared" si="8"/>
        <v>363.49581937054995</v>
      </c>
      <c r="J88" s="9">
        <f t="shared" si="9"/>
        <v>1225.4876323988701</v>
      </c>
      <c r="K88" s="9">
        <f t="shared" si="10"/>
        <v>363.49581937054995</v>
      </c>
      <c r="L88" s="10">
        <f t="shared" si="7"/>
        <v>0.29661320911008576</v>
      </c>
      <c r="M88" s="10">
        <f t="shared" si="11"/>
        <v>0.30555593245794166</v>
      </c>
      <c r="P88" s="8">
        <f t="shared" si="12"/>
        <v>36.890226169360609</v>
      </c>
      <c r="U88" s="8">
        <v>152.5</v>
      </c>
      <c r="V88" s="10">
        <f t="shared" si="13"/>
        <v>0.19541656177725472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1417.0414452709999</v>
      </c>
      <c r="E89">
        <v>526.90010626993001</v>
      </c>
      <c r="F89">
        <v>157.92705005325001</v>
      </c>
      <c r="G89">
        <v>121.49946751864</v>
      </c>
      <c r="I89" s="9">
        <f t="shared" si="8"/>
        <v>405.40063875128999</v>
      </c>
      <c r="J89" s="9">
        <f t="shared" si="9"/>
        <v>1259.1143952177499</v>
      </c>
      <c r="K89" s="9">
        <f t="shared" si="10"/>
        <v>405.40063875128999</v>
      </c>
      <c r="L89" s="10">
        <f t="shared" si="7"/>
        <v>0.321972840824507</v>
      </c>
      <c r="M89" s="10">
        <f t="shared" si="11"/>
        <v>0.33101954932757049</v>
      </c>
      <c r="P89" s="8">
        <f t="shared" si="12"/>
        <v>48.298023898351616</v>
      </c>
      <c r="U89" s="8">
        <v>153</v>
      </c>
      <c r="V89" s="10">
        <f t="shared" si="13"/>
        <v>0.19490369635488666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1402.8878852285</v>
      </c>
      <c r="E90">
        <v>542.86769394261</v>
      </c>
      <c r="F90">
        <v>157.58998935036999</v>
      </c>
      <c r="G90">
        <v>121.45260915868</v>
      </c>
      <c r="I90" s="9">
        <f t="shared" si="8"/>
        <v>421.41508478393001</v>
      </c>
      <c r="J90" s="9">
        <f t="shared" si="9"/>
        <v>1245.29789587813</v>
      </c>
      <c r="K90" s="9">
        <f t="shared" si="10"/>
        <v>421.41508478393001</v>
      </c>
      <c r="L90" s="10">
        <f t="shared" si="7"/>
        <v>0.33840504041546332</v>
      </c>
      <c r="M90" s="10">
        <f t="shared" si="11"/>
        <v>0.34755573407373447</v>
      </c>
      <c r="P90" s="8">
        <f t="shared" si="12"/>
        <v>55.706297898046572</v>
      </c>
      <c r="U90" s="8">
        <v>153.5</v>
      </c>
      <c r="V90" s="10">
        <f t="shared" si="13"/>
        <v>0.19162598416906482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1435.0074388948001</v>
      </c>
      <c r="E91">
        <v>579.58182784272003</v>
      </c>
      <c r="F91">
        <v>157.31096911608</v>
      </c>
      <c r="G91">
        <v>121.54313099042</v>
      </c>
      <c r="I91" s="9">
        <f t="shared" si="8"/>
        <v>458.03869685230006</v>
      </c>
      <c r="J91" s="9">
        <f t="shared" si="9"/>
        <v>1277.69646977872</v>
      </c>
      <c r="K91" s="9">
        <f t="shared" si="10"/>
        <v>458.03869685230006</v>
      </c>
      <c r="L91" s="10">
        <f t="shared" si="7"/>
        <v>0.35848787852691355</v>
      </c>
      <c r="M91" s="10">
        <f t="shared" si="11"/>
        <v>0.3677425573403923</v>
      </c>
      <c r="P91" s="8">
        <f t="shared" si="12"/>
        <v>64.750071914753221</v>
      </c>
      <c r="U91" s="8">
        <v>154</v>
      </c>
      <c r="V91" s="10">
        <f t="shared" si="13"/>
        <v>0.19150924892940083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1423.412858661</v>
      </c>
      <c r="E92">
        <v>590.88257173219995</v>
      </c>
      <c r="F92">
        <v>157.36102236421999</v>
      </c>
      <c r="G92">
        <v>121.61341853035</v>
      </c>
      <c r="I92" s="9">
        <f t="shared" si="8"/>
        <v>469.26915320184992</v>
      </c>
      <c r="J92" s="9">
        <f t="shared" si="9"/>
        <v>1266.05183629678</v>
      </c>
      <c r="K92" s="9">
        <f t="shared" si="10"/>
        <v>469.26915320184992</v>
      </c>
      <c r="L92" s="10">
        <f t="shared" si="7"/>
        <v>0.37065556065576982</v>
      </c>
      <c r="M92" s="10">
        <f t="shared" si="11"/>
        <v>0.38001422462445622</v>
      </c>
      <c r="P92" s="8">
        <f t="shared" si="12"/>
        <v>70.247825784159375</v>
      </c>
      <c r="U92" s="8">
        <v>154.5</v>
      </c>
      <c r="V92" s="10">
        <f t="shared" si="13"/>
        <v>0.18555919019323003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1522.2555910543001</v>
      </c>
      <c r="E93">
        <v>646.10063897763996</v>
      </c>
      <c r="F93">
        <v>157.51277955271999</v>
      </c>
      <c r="G93">
        <v>121.85037273695001</v>
      </c>
      <c r="I93" s="9">
        <f t="shared" si="8"/>
        <v>524.25026624068994</v>
      </c>
      <c r="J93" s="9">
        <f t="shared" si="9"/>
        <v>1364.74281150158</v>
      </c>
      <c r="K93" s="9">
        <f t="shared" si="10"/>
        <v>524.25026624068994</v>
      </c>
      <c r="L93" s="10">
        <f t="shared" si="7"/>
        <v>0.38413850714031256</v>
      </c>
      <c r="M93" s="10">
        <f t="shared" si="11"/>
        <v>0.39360115626420655</v>
      </c>
      <c r="P93" s="8">
        <f t="shared" si="12"/>
        <v>76.334823114407811</v>
      </c>
      <c r="U93" s="8">
        <v>155</v>
      </c>
      <c r="V93" s="10">
        <f t="shared" si="13"/>
        <v>0.18988064361291543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1527.4984025558999</v>
      </c>
      <c r="E94">
        <v>655.27263045792995</v>
      </c>
      <c r="F94">
        <v>157.44888178913999</v>
      </c>
      <c r="G94">
        <v>121.91107561235</v>
      </c>
      <c r="I94" s="9">
        <f t="shared" si="8"/>
        <v>533.36155484557992</v>
      </c>
      <c r="J94" s="9">
        <f t="shared" si="9"/>
        <v>1370.04952076676</v>
      </c>
      <c r="K94" s="9">
        <f t="shared" si="10"/>
        <v>533.36155484557992</v>
      </c>
      <c r="L94" s="10">
        <f t="shared" si="7"/>
        <v>0.38930093165324386</v>
      </c>
      <c r="M94" s="10">
        <f t="shared" si="11"/>
        <v>0.39886756593234551</v>
      </c>
      <c r="P94" s="8">
        <f t="shared" si="12"/>
        <v>78.694194784179857</v>
      </c>
      <c r="U94" s="8">
        <v>155.5</v>
      </c>
      <c r="V94" s="10">
        <f t="shared" si="13"/>
        <v>0.19037473753918827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1480.2620946305001</v>
      </c>
      <c r="E95">
        <v>643.40350877192998</v>
      </c>
      <c r="F95">
        <v>157.54685835996</v>
      </c>
      <c r="G95">
        <v>121.95101171459</v>
      </c>
      <c r="I95" s="9">
        <f t="shared" si="8"/>
        <v>521.45249705734</v>
      </c>
      <c r="J95" s="9">
        <f t="shared" si="9"/>
        <v>1322.7152362705401</v>
      </c>
      <c r="K95" s="9">
        <f t="shared" si="10"/>
        <v>521.45249705734</v>
      </c>
      <c r="L95" s="10">
        <f t="shared" si="7"/>
        <v>0.39422884288201038</v>
      </c>
      <c r="M95" s="10">
        <f t="shared" si="11"/>
        <v>0.40389946231631962</v>
      </c>
      <c r="P95" s="8">
        <f t="shared" si="12"/>
        <v>80.94850360588083</v>
      </c>
      <c r="U95" s="8">
        <v>156</v>
      </c>
      <c r="V95" s="10">
        <f t="shared" si="13"/>
        <v>0.18963944769487145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1477.0308346623999</v>
      </c>
      <c r="E96">
        <v>642.54013822435002</v>
      </c>
      <c r="F96">
        <v>157.86687965921001</v>
      </c>
      <c r="G96">
        <v>121.60915867945</v>
      </c>
      <c r="I96" s="9">
        <f t="shared" si="8"/>
        <v>520.93097954489997</v>
      </c>
      <c r="J96" s="9">
        <f t="shared" si="9"/>
        <v>1319.1639550031898</v>
      </c>
      <c r="K96" s="9">
        <f t="shared" si="10"/>
        <v>520.93097954489997</v>
      </c>
      <c r="L96" s="10">
        <f t="shared" si="7"/>
        <v>0.39489479497159269</v>
      </c>
      <c r="M96" s="10">
        <f t="shared" si="11"/>
        <v>0.40466939956110959</v>
      </c>
      <c r="P96" s="8">
        <f t="shared" si="12"/>
        <v>81.293438435742203</v>
      </c>
      <c r="U96" s="8">
        <v>156.5</v>
      </c>
      <c r="V96" s="10">
        <f t="shared" si="13"/>
        <v>0.19096455026474871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1486.3083466241001</v>
      </c>
      <c r="E97">
        <v>648.21477937267002</v>
      </c>
      <c r="F97">
        <v>157.61128860490001</v>
      </c>
      <c r="G97">
        <v>121.67891373802</v>
      </c>
      <c r="I97" s="9">
        <f t="shared" si="8"/>
        <v>526.53586563465001</v>
      </c>
      <c r="J97" s="9">
        <f t="shared" si="9"/>
        <v>1328.6970580192001</v>
      </c>
      <c r="K97" s="9">
        <f t="shared" si="10"/>
        <v>526.53586563465001</v>
      </c>
      <c r="L97" s="10">
        <f t="shared" si="7"/>
        <v>0.39627984607687855</v>
      </c>
      <c r="M97" s="10">
        <f t="shared" si="11"/>
        <v>0.40615843582160305</v>
      </c>
      <c r="P97" s="8">
        <f t="shared" si="12"/>
        <v>81.960532374431764</v>
      </c>
      <c r="U97" s="8">
        <v>157</v>
      </c>
      <c r="V97" s="10">
        <f t="shared" si="13"/>
        <v>0.18992088044612129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1542.0849256900001</v>
      </c>
      <c r="E98">
        <v>671.85934182589995</v>
      </c>
      <c r="F98">
        <v>157.65548455804</v>
      </c>
      <c r="G98">
        <v>122.3136315229</v>
      </c>
      <c r="I98" s="9">
        <f t="shared" si="8"/>
        <v>549.54571030299996</v>
      </c>
      <c r="J98" s="9">
        <f t="shared" si="9"/>
        <v>1384.4294411319602</v>
      </c>
      <c r="K98" s="9">
        <f t="shared" si="10"/>
        <v>549.54571030299996</v>
      </c>
      <c r="L98" s="10">
        <f t="shared" si="7"/>
        <v>0.3969474311768979</v>
      </c>
      <c r="M98" s="10">
        <f t="shared" si="11"/>
        <v>0.40693000607683005</v>
      </c>
      <c r="P98" s="8">
        <f t="shared" si="12"/>
        <v>82.306198799213462</v>
      </c>
      <c r="U98" s="8">
        <v>157.5</v>
      </c>
      <c r="V98" s="10">
        <f t="shared" si="13"/>
        <v>0.18900859136655115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1557.1406581741001</v>
      </c>
      <c r="E99">
        <v>671.56953290871002</v>
      </c>
      <c r="F99">
        <v>157.50745473908</v>
      </c>
      <c r="G99">
        <v>121.84185303514001</v>
      </c>
      <c r="I99" s="9">
        <f t="shared" si="8"/>
        <v>549.72767987356997</v>
      </c>
      <c r="J99" s="9">
        <f t="shared" si="9"/>
        <v>1399.6332034350201</v>
      </c>
      <c r="K99" s="9">
        <f t="shared" si="10"/>
        <v>549.72767987356997</v>
      </c>
      <c r="L99" s="10">
        <f t="shared" si="7"/>
        <v>0.39276553208684423</v>
      </c>
      <c r="M99" s="10">
        <f t="shared" si="11"/>
        <v>0.40285209214198398</v>
      </c>
      <c r="P99" s="8">
        <f t="shared" si="12"/>
        <v>80.479277762695517</v>
      </c>
      <c r="U99" s="8">
        <v>158</v>
      </c>
      <c r="V99" s="10">
        <f t="shared" si="13"/>
        <v>0.18896571467275727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1510.1350635593001</v>
      </c>
      <c r="E100">
        <v>641.39459745762997</v>
      </c>
      <c r="F100">
        <v>157.79925452609001</v>
      </c>
      <c r="G100">
        <v>122.03141640043</v>
      </c>
      <c r="I100" s="9">
        <f t="shared" si="8"/>
        <v>519.36318105719999</v>
      </c>
      <c r="J100" s="9">
        <f t="shared" si="9"/>
        <v>1352.3358090332101</v>
      </c>
      <c r="K100" s="9">
        <f t="shared" si="10"/>
        <v>519.36318105719999</v>
      </c>
      <c r="L100" s="10">
        <f t="shared" si="7"/>
        <v>0.38404897480936678</v>
      </c>
      <c r="M100" s="10">
        <f t="shared" si="11"/>
        <v>0.39423952001971418</v>
      </c>
      <c r="P100" s="8">
        <f t="shared" si="12"/>
        <v>76.620812517941289</v>
      </c>
      <c r="U100" s="8">
        <v>158.5</v>
      </c>
      <c r="V100" s="10">
        <f t="shared" si="13"/>
        <v>0.18924929510746547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1487.0217161016999</v>
      </c>
      <c r="E101">
        <v>629.45550847458003</v>
      </c>
      <c r="F101">
        <v>158.20127795527</v>
      </c>
      <c r="G101">
        <v>121.65814696485999</v>
      </c>
      <c r="I101" s="9">
        <f t="shared" si="8"/>
        <v>507.79736150972002</v>
      </c>
      <c r="J101" s="9">
        <f t="shared" si="9"/>
        <v>1328.82043814643</v>
      </c>
      <c r="K101" s="9">
        <f t="shared" si="10"/>
        <v>507.79736150972002</v>
      </c>
      <c r="L101" s="10">
        <f t="shared" si="7"/>
        <v>0.38214144434596892</v>
      </c>
      <c r="M101" s="10">
        <f t="shared" si="11"/>
        <v>0.39243597471152392</v>
      </c>
      <c r="P101" s="8">
        <f t="shared" si="12"/>
        <v>75.812817323219164</v>
      </c>
      <c r="U101" s="8">
        <v>159</v>
      </c>
      <c r="V101" s="10">
        <f t="shared" si="13"/>
        <v>0.19124499855529703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1530.0493630573001</v>
      </c>
      <c r="E102">
        <v>640.67728237792005</v>
      </c>
      <c r="F102">
        <v>158.08519701809999</v>
      </c>
      <c r="G102">
        <v>121.71086261981</v>
      </c>
      <c r="I102" s="9">
        <f t="shared" si="8"/>
        <v>518.96641975811008</v>
      </c>
      <c r="J102" s="9">
        <f t="shared" si="9"/>
        <v>1371.9641660392001</v>
      </c>
      <c r="K102" s="9">
        <f t="shared" si="10"/>
        <v>518.96641975811008</v>
      </c>
      <c r="L102" s="10">
        <f t="shared" si="7"/>
        <v>0.37826528753760619</v>
      </c>
      <c r="M102" s="10">
        <f t="shared" si="11"/>
        <v>0.38866380305836884</v>
      </c>
      <c r="P102" s="8">
        <f t="shared" si="12"/>
        <v>74.12286999803959</v>
      </c>
      <c r="U102" s="8">
        <v>159.5</v>
      </c>
      <c r="V102" s="10">
        <f t="shared" si="13"/>
        <v>0.18607235109167258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1518.7951167727999</v>
      </c>
      <c r="E103">
        <v>632.60615711253001</v>
      </c>
      <c r="F103">
        <v>158.73695420659999</v>
      </c>
      <c r="G103">
        <v>121.83652822150999</v>
      </c>
      <c r="I103" s="9">
        <f t="shared" si="8"/>
        <v>510.76962889102003</v>
      </c>
      <c r="J103" s="9">
        <f t="shared" si="9"/>
        <v>1360.0581625661998</v>
      </c>
      <c r="K103" s="9">
        <f t="shared" si="10"/>
        <v>510.76962889102003</v>
      </c>
      <c r="L103" s="10">
        <f t="shared" si="7"/>
        <v>0.37554984260914553</v>
      </c>
      <c r="M103" s="10">
        <f t="shared" si="11"/>
        <v>0.38605234328511578</v>
      </c>
      <c r="P103" s="8">
        <f t="shared" si="12"/>
        <v>72.952926033551165</v>
      </c>
      <c r="U103" s="8">
        <v>160</v>
      </c>
      <c r="V103" s="10">
        <f t="shared" si="13"/>
        <v>0.18462462575135402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1473.3474352195001</v>
      </c>
      <c r="E104">
        <v>610.94817556848</v>
      </c>
      <c r="F104">
        <v>157.65122470713999</v>
      </c>
      <c r="G104">
        <v>121.79872204473</v>
      </c>
      <c r="I104" s="9">
        <f t="shared" si="8"/>
        <v>489.14945352375003</v>
      </c>
      <c r="J104" s="9">
        <f t="shared" si="9"/>
        <v>1315.69621051236</v>
      </c>
      <c r="K104" s="9">
        <f t="shared" si="10"/>
        <v>489.14945352375003</v>
      </c>
      <c r="L104" s="10">
        <f t="shared" si="7"/>
        <v>0.3717799364438884</v>
      </c>
      <c r="M104" s="10">
        <f t="shared" si="11"/>
        <v>0.38238642227506631</v>
      </c>
      <c r="P104" s="8">
        <f t="shared" si="12"/>
        <v>71.310579402779211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1484.7728723404</v>
      </c>
      <c r="E105">
        <v>610.09574468084998</v>
      </c>
      <c r="F105">
        <v>157.97390841321001</v>
      </c>
      <c r="G105">
        <v>122.10969116081</v>
      </c>
      <c r="I105" s="9">
        <f t="shared" si="8"/>
        <v>487.98605352003995</v>
      </c>
      <c r="J105" s="9">
        <f t="shared" si="9"/>
        <v>1326.79896392719</v>
      </c>
      <c r="K105" s="9">
        <f t="shared" si="10"/>
        <v>487.98605352003995</v>
      </c>
      <c r="L105" s="10">
        <f t="shared" si="7"/>
        <v>0.36779200676766499</v>
      </c>
      <c r="M105" s="10">
        <f t="shared" si="11"/>
        <v>0.37850247775405049</v>
      </c>
      <c r="P105" s="8">
        <f t="shared" si="12"/>
        <v>69.57055740538506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1469.8276595745001</v>
      </c>
      <c r="E106">
        <v>598.36914893616995</v>
      </c>
      <c r="F106">
        <v>157.54845580405001</v>
      </c>
      <c r="G106">
        <v>122.13365282215</v>
      </c>
      <c r="I106" s="9">
        <f t="shared" si="8"/>
        <v>476.23549611401995</v>
      </c>
      <c r="J106" s="9">
        <f t="shared" si="9"/>
        <v>1312.2792037704501</v>
      </c>
      <c r="K106" s="9">
        <f t="shared" si="10"/>
        <v>476.23549611401995</v>
      </c>
      <c r="L106" s="10">
        <f t="shared" si="7"/>
        <v>0.36290714258497481</v>
      </c>
      <c r="M106" s="10">
        <f t="shared" si="11"/>
        <v>0.37372159872656796</v>
      </c>
      <c r="P106" s="8">
        <f t="shared" si="12"/>
        <v>67.428705319268161</v>
      </c>
      <c r="X106" s="8">
        <v>-13</v>
      </c>
    </row>
    <row r="107" spans="1:25" x14ac:dyDescent="0.2">
      <c r="A107" s="8">
        <v>52.5</v>
      </c>
      <c r="B107" s="8">
        <v>105</v>
      </c>
      <c r="D107">
        <v>1473.8063829787</v>
      </c>
      <c r="E107">
        <v>590.35319148936003</v>
      </c>
      <c r="F107">
        <v>157.6517571885</v>
      </c>
      <c r="G107">
        <v>121.97710330138</v>
      </c>
      <c r="I107" s="9">
        <f t="shared" si="8"/>
        <v>468.37608818798003</v>
      </c>
      <c r="J107" s="9">
        <f t="shared" si="9"/>
        <v>1316.1546257902</v>
      </c>
      <c r="K107" s="9">
        <f t="shared" si="10"/>
        <v>468.37608818798003</v>
      </c>
      <c r="L107" s="10">
        <f t="shared" si="7"/>
        <v>0.3558670683596723</v>
      </c>
      <c r="M107" s="10">
        <f t="shared" si="11"/>
        <v>0.36678550965647305</v>
      </c>
      <c r="P107" s="8">
        <f t="shared" si="12"/>
        <v>64.321310892662424</v>
      </c>
      <c r="X107" s="8">
        <v>-13</v>
      </c>
    </row>
    <row r="108" spans="1:25" x14ac:dyDescent="0.2">
      <c r="A108" s="8">
        <v>53</v>
      </c>
      <c r="B108" s="8">
        <v>106</v>
      </c>
      <c r="D108">
        <v>1454.6109632783</v>
      </c>
      <c r="E108">
        <v>570.49334752528</v>
      </c>
      <c r="F108">
        <v>158.00319488817999</v>
      </c>
      <c r="G108">
        <v>122.02183173589</v>
      </c>
      <c r="I108" s="9">
        <f t="shared" si="8"/>
        <v>448.47151578938997</v>
      </c>
      <c r="J108" s="9">
        <f t="shared" si="9"/>
        <v>1296.6077683901201</v>
      </c>
      <c r="K108" s="9">
        <f t="shared" si="10"/>
        <v>448.47151578938997</v>
      </c>
      <c r="L108" s="10">
        <f t="shared" si="7"/>
        <v>0.34588063308167299</v>
      </c>
      <c r="M108" s="10">
        <f t="shared" si="11"/>
        <v>0.3569030595336814</v>
      </c>
      <c r="P108" s="8">
        <f t="shared" si="12"/>
        <v>59.893935447734414</v>
      </c>
      <c r="X108" s="8">
        <v>-13</v>
      </c>
    </row>
    <row r="109" spans="1:25" x14ac:dyDescent="0.2">
      <c r="A109" s="8">
        <v>53.5</v>
      </c>
      <c r="B109" s="8">
        <v>107</v>
      </c>
      <c r="D109">
        <v>1482.1133689840001</v>
      </c>
      <c r="E109">
        <v>577.20106951872003</v>
      </c>
      <c r="F109">
        <v>158.52289669862</v>
      </c>
      <c r="G109">
        <v>121.48029818956</v>
      </c>
      <c r="I109" s="9">
        <f t="shared" si="8"/>
        <v>455.72077132916002</v>
      </c>
      <c r="J109" s="9">
        <f t="shared" si="9"/>
        <v>1323.5904722853802</v>
      </c>
      <c r="K109" s="9">
        <f t="shared" si="10"/>
        <v>455.72077132916002</v>
      </c>
      <c r="L109" s="10">
        <f t="shared" si="7"/>
        <v>0.34430647611287862</v>
      </c>
      <c r="M109" s="10">
        <f t="shared" si="11"/>
        <v>0.35543288772009463</v>
      </c>
      <c r="P109" s="8">
        <f t="shared" si="12"/>
        <v>59.235292853395606</v>
      </c>
      <c r="X109" s="8">
        <v>-13</v>
      </c>
    </row>
    <row r="110" spans="1:25" x14ac:dyDescent="0.2">
      <c r="A110" s="8">
        <v>54</v>
      </c>
      <c r="B110" s="8">
        <v>108</v>
      </c>
      <c r="D110">
        <v>1495.377540107</v>
      </c>
      <c r="E110">
        <v>573.69197860963004</v>
      </c>
      <c r="F110">
        <v>158.14483493078001</v>
      </c>
      <c r="G110">
        <v>121.91267305644</v>
      </c>
      <c r="I110" s="9">
        <f t="shared" si="8"/>
        <v>451.77930555319006</v>
      </c>
      <c r="J110" s="9">
        <f t="shared" si="9"/>
        <v>1337.23270517622</v>
      </c>
      <c r="K110" s="9">
        <f t="shared" si="10"/>
        <v>451.77930555319006</v>
      </c>
      <c r="L110" s="10">
        <f t="shared" si="7"/>
        <v>0.33784643750068527</v>
      </c>
      <c r="M110" s="10">
        <f t="shared" si="11"/>
        <v>0.34907683426310893</v>
      </c>
      <c r="P110" s="8">
        <f t="shared" si="12"/>
        <v>56.387756599485428</v>
      </c>
      <c r="X110" s="8">
        <v>-13</v>
      </c>
    </row>
    <row r="111" spans="1:25" x14ac:dyDescent="0.2">
      <c r="A111" s="8">
        <v>54.5</v>
      </c>
      <c r="B111" s="8">
        <v>109</v>
      </c>
      <c r="D111">
        <v>1486.5251336898</v>
      </c>
      <c r="E111">
        <v>564.43636363636006</v>
      </c>
      <c r="F111">
        <v>158.28913738019</v>
      </c>
      <c r="G111">
        <v>122.10170394036</v>
      </c>
      <c r="I111" s="9">
        <f t="shared" si="8"/>
        <v>442.33465969600007</v>
      </c>
      <c r="J111" s="9">
        <f t="shared" si="9"/>
        <v>1328.2359963096101</v>
      </c>
      <c r="K111" s="9">
        <f t="shared" si="10"/>
        <v>442.33465969600007</v>
      </c>
      <c r="L111" s="10">
        <f t="shared" si="7"/>
        <v>0.3330241470077524</v>
      </c>
      <c r="M111" s="10">
        <f t="shared" si="11"/>
        <v>0.34435852892538366</v>
      </c>
      <c r="P111" s="8">
        <f t="shared" si="12"/>
        <v>54.273937765657955</v>
      </c>
      <c r="X111" s="8">
        <v>-13</v>
      </c>
    </row>
    <row r="112" spans="1:25" x14ac:dyDescent="0.2">
      <c r="A112" s="8">
        <v>55</v>
      </c>
      <c r="B112" s="8">
        <v>110</v>
      </c>
      <c r="D112">
        <v>1485.5267379679001</v>
      </c>
      <c r="E112">
        <v>559.31925133690004</v>
      </c>
      <c r="F112">
        <v>158.20181043663999</v>
      </c>
      <c r="G112">
        <v>121.95899893504</v>
      </c>
      <c r="I112" s="9">
        <f t="shared" si="8"/>
        <v>437.36025240186007</v>
      </c>
      <c r="J112" s="9">
        <f t="shared" si="9"/>
        <v>1327.3249275312601</v>
      </c>
      <c r="K112" s="9">
        <f t="shared" si="10"/>
        <v>437.36025240186007</v>
      </c>
      <c r="L112" s="10">
        <f t="shared" si="7"/>
        <v>0.32950503929382408</v>
      </c>
      <c r="M112" s="10">
        <f t="shared" si="11"/>
        <v>0.34094340636666298</v>
      </c>
      <c r="P112" s="8">
        <f t="shared" si="12"/>
        <v>52.743949800120063</v>
      </c>
      <c r="X112" s="8">
        <v>-13</v>
      </c>
    </row>
    <row r="113" spans="1:24" x14ac:dyDescent="0.2">
      <c r="A113" s="8">
        <v>55.5</v>
      </c>
      <c r="B113" s="8">
        <v>111</v>
      </c>
      <c r="D113">
        <v>1445.1120552310001</v>
      </c>
      <c r="E113">
        <v>544.53212958046004</v>
      </c>
      <c r="F113">
        <v>158.32161874334</v>
      </c>
      <c r="G113">
        <v>121.96858359957</v>
      </c>
      <c r="I113" s="9">
        <f t="shared" si="8"/>
        <v>422.56354598089001</v>
      </c>
      <c r="J113" s="9">
        <f t="shared" si="9"/>
        <v>1286.7904364876601</v>
      </c>
      <c r="K113" s="9">
        <f t="shared" si="10"/>
        <v>422.56354598089001</v>
      </c>
      <c r="L113" s="10">
        <f t="shared" si="7"/>
        <v>0.32838567493110388</v>
      </c>
      <c r="M113" s="10">
        <f t="shared" si="11"/>
        <v>0.33992802715915038</v>
      </c>
      <c r="P113" s="8">
        <f t="shared" si="12"/>
        <v>52.289056032403089</v>
      </c>
      <c r="X113" s="8">
        <v>-13</v>
      </c>
    </row>
    <row r="114" spans="1:24" x14ac:dyDescent="0.2">
      <c r="A114" s="8">
        <v>56</v>
      </c>
      <c r="B114" s="8">
        <v>112</v>
      </c>
      <c r="D114">
        <v>1420.3436006372999</v>
      </c>
      <c r="E114">
        <v>539.33988316516002</v>
      </c>
      <c r="F114">
        <v>157.81043663471999</v>
      </c>
      <c r="G114">
        <v>121.47710330138</v>
      </c>
      <c r="I114" s="9">
        <f t="shared" si="8"/>
        <v>417.86277986378002</v>
      </c>
      <c r="J114" s="9">
        <f t="shared" si="9"/>
        <v>1262.53316400258</v>
      </c>
      <c r="K114" s="9">
        <f t="shared" si="10"/>
        <v>417.86277986378002</v>
      </c>
      <c r="L114" s="10">
        <f t="shared" si="7"/>
        <v>0.33097172555771859</v>
      </c>
      <c r="M114" s="10">
        <f t="shared" si="11"/>
        <v>0.34261806294097275</v>
      </c>
      <c r="P114" s="8">
        <f t="shared" si="12"/>
        <v>53.494202349200663</v>
      </c>
      <c r="X114" s="8">
        <v>-13</v>
      </c>
    </row>
    <row r="115" spans="1:24" x14ac:dyDescent="0.2">
      <c r="A115" s="8">
        <v>56.5</v>
      </c>
      <c r="B115" s="8">
        <v>113</v>
      </c>
      <c r="D115">
        <v>1397.8656399363001</v>
      </c>
      <c r="E115">
        <v>525.67764206054005</v>
      </c>
      <c r="F115">
        <v>158.08945686901001</v>
      </c>
      <c r="G115">
        <v>122.14110756124001</v>
      </c>
      <c r="I115" s="9">
        <f t="shared" si="8"/>
        <v>403.53653449930005</v>
      </c>
      <c r="J115" s="9">
        <f t="shared" si="9"/>
        <v>1239.77618306729</v>
      </c>
      <c r="K115" s="9">
        <f t="shared" si="10"/>
        <v>403.53653449930005</v>
      </c>
      <c r="L115" s="10">
        <f t="shared" si="7"/>
        <v>0.32549143951202819</v>
      </c>
      <c r="M115" s="10">
        <f t="shared" si="11"/>
        <v>0.33724176205048995</v>
      </c>
      <c r="P115" s="8">
        <f t="shared" si="12"/>
        <v>51.085598991600904</v>
      </c>
      <c r="X115" s="8">
        <v>-13</v>
      </c>
    </row>
    <row r="116" spans="1:24" x14ac:dyDescent="0.2">
      <c r="A116" s="8">
        <v>57</v>
      </c>
      <c r="B116" s="8">
        <v>114</v>
      </c>
      <c r="D116">
        <v>1405.9522039299</v>
      </c>
      <c r="E116">
        <v>522.67392458842005</v>
      </c>
      <c r="F116">
        <v>157.93663471779001</v>
      </c>
      <c r="G116">
        <v>122.12673056443001</v>
      </c>
      <c r="I116" s="9">
        <f t="shared" si="8"/>
        <v>400.54719402399007</v>
      </c>
      <c r="J116" s="9">
        <f t="shared" si="9"/>
        <v>1248.01556921211</v>
      </c>
      <c r="K116" s="9">
        <f t="shared" si="10"/>
        <v>400.54719402399007</v>
      </c>
      <c r="L116" s="10">
        <f t="shared" si="7"/>
        <v>0.32094727333959561</v>
      </c>
      <c r="M116" s="10">
        <f t="shared" si="11"/>
        <v>0.33280158103326501</v>
      </c>
      <c r="P116" s="8">
        <f t="shared" si="12"/>
        <v>49.096380916888876</v>
      </c>
      <c r="X116" s="8">
        <v>-13</v>
      </c>
    </row>
    <row r="117" spans="1:24" x14ac:dyDescent="0.2">
      <c r="A117" s="8">
        <v>57.5</v>
      </c>
      <c r="B117" s="8">
        <v>115</v>
      </c>
      <c r="D117">
        <v>1398.4561869357001</v>
      </c>
      <c r="E117">
        <v>516.21242697823004</v>
      </c>
      <c r="F117">
        <v>158.41001064963001</v>
      </c>
      <c r="G117">
        <v>121.65282215123</v>
      </c>
      <c r="I117" s="9">
        <f t="shared" si="8"/>
        <v>394.55960482700004</v>
      </c>
      <c r="J117" s="9">
        <f t="shared" si="9"/>
        <v>1240.04617628607</v>
      </c>
      <c r="K117" s="9">
        <f t="shared" si="10"/>
        <v>394.55960482700004</v>
      </c>
      <c r="L117" s="10">
        <f t="shared" si="7"/>
        <v>0.31818138096171822</v>
      </c>
      <c r="M117" s="10">
        <f t="shared" si="11"/>
        <v>0.33013967381059528</v>
      </c>
      <c r="P117" s="8">
        <f t="shared" si="12"/>
        <v>47.903836302153664</v>
      </c>
      <c r="X117" s="8">
        <v>-13</v>
      </c>
    </row>
    <row r="118" spans="1:24" x14ac:dyDescent="0.2">
      <c r="A118" s="8">
        <v>58</v>
      </c>
      <c r="B118" s="8">
        <v>116</v>
      </c>
      <c r="D118">
        <v>1442.126394052</v>
      </c>
      <c r="E118">
        <v>527.66117896973003</v>
      </c>
      <c r="F118">
        <v>157.48668796592</v>
      </c>
      <c r="G118">
        <v>122.39563365282</v>
      </c>
      <c r="I118" s="9">
        <f t="shared" si="8"/>
        <v>405.26554531691005</v>
      </c>
      <c r="J118" s="9">
        <f t="shared" si="9"/>
        <v>1284.63970608608</v>
      </c>
      <c r="K118" s="9">
        <f t="shared" si="10"/>
        <v>405.26554531691005</v>
      </c>
      <c r="L118" s="10">
        <f t="shared" si="7"/>
        <v>0.31547020024130751</v>
      </c>
      <c r="M118" s="10">
        <f t="shared" si="11"/>
        <v>0.32753247824539217</v>
      </c>
      <c r="P118" s="8">
        <f t="shared" si="12"/>
        <v>46.735802719177713</v>
      </c>
      <c r="X118" s="8">
        <v>-13</v>
      </c>
    </row>
    <row r="119" spans="1:24" x14ac:dyDescent="0.2">
      <c r="A119" s="8">
        <v>58.5</v>
      </c>
      <c r="B119" s="8">
        <v>117</v>
      </c>
      <c r="D119">
        <v>1437.4407859798</v>
      </c>
      <c r="E119">
        <v>523.50398300584004</v>
      </c>
      <c r="F119">
        <v>157.94408945686999</v>
      </c>
      <c r="G119">
        <v>121.82321618743001</v>
      </c>
      <c r="I119" s="9">
        <f t="shared" si="8"/>
        <v>401.68076681841001</v>
      </c>
      <c r="J119" s="9">
        <f t="shared" si="9"/>
        <v>1279.4966965229301</v>
      </c>
      <c r="K119" s="9">
        <f t="shared" si="10"/>
        <v>401.68076681841001</v>
      </c>
      <c r="L119" s="10">
        <f t="shared" si="7"/>
        <v>0.31393654075855709</v>
      </c>
      <c r="M119" s="10">
        <f t="shared" si="11"/>
        <v>0.3261028039178494</v>
      </c>
      <c r="P119" s="8">
        <f t="shared" si="12"/>
        <v>46.095303153446665</v>
      </c>
      <c r="X119" s="8">
        <v>-13</v>
      </c>
    </row>
    <row r="120" spans="1:24" x14ac:dyDescent="0.2">
      <c r="A120" s="8">
        <v>59</v>
      </c>
      <c r="B120" s="8">
        <v>118</v>
      </c>
      <c r="D120">
        <v>1425.2081784387001</v>
      </c>
      <c r="E120">
        <v>520.00265533722995</v>
      </c>
      <c r="F120">
        <v>157.94036208732999</v>
      </c>
      <c r="G120">
        <v>121.87167199148</v>
      </c>
      <c r="I120" s="9">
        <f t="shared" si="8"/>
        <v>398.13098334574994</v>
      </c>
      <c r="J120" s="9">
        <f t="shared" si="9"/>
        <v>1267.2678163513701</v>
      </c>
      <c r="K120" s="9">
        <f t="shared" si="10"/>
        <v>398.13098334574994</v>
      </c>
      <c r="L120" s="10">
        <f t="shared" si="7"/>
        <v>0.31416483414849211</v>
      </c>
      <c r="M120" s="10">
        <f t="shared" si="11"/>
        <v>0.32643508246299202</v>
      </c>
      <c r="P120" s="8">
        <f t="shared" si="12"/>
        <v>46.244165212284486</v>
      </c>
      <c r="X120" s="8">
        <v>-13</v>
      </c>
    </row>
    <row r="121" spans="1:24" x14ac:dyDescent="0.2">
      <c r="A121" s="8">
        <v>59.5</v>
      </c>
      <c r="B121" s="8">
        <v>119</v>
      </c>
      <c r="D121">
        <v>1434.2687201275</v>
      </c>
      <c r="E121">
        <v>515.36590547000003</v>
      </c>
      <c r="F121">
        <v>158.00851970181</v>
      </c>
      <c r="G121">
        <v>121.69009584665</v>
      </c>
      <c r="I121" s="9">
        <f t="shared" si="8"/>
        <v>393.67580962335001</v>
      </c>
      <c r="J121" s="9">
        <f t="shared" si="9"/>
        <v>1276.2602004256901</v>
      </c>
      <c r="K121" s="9">
        <f t="shared" si="10"/>
        <v>393.67580962335001</v>
      </c>
      <c r="L121" s="10">
        <f t="shared" si="7"/>
        <v>0.30846046087783779</v>
      </c>
      <c r="M121" s="10">
        <f t="shared" si="11"/>
        <v>0.32083469434754536</v>
      </c>
      <c r="P121" s="8">
        <f t="shared" si="12"/>
        <v>43.735169921004328</v>
      </c>
      <c r="X121" s="8">
        <v>-13</v>
      </c>
    </row>
    <row r="122" spans="1:24" x14ac:dyDescent="0.2">
      <c r="A122" s="8">
        <v>60</v>
      </c>
      <c r="B122" s="8">
        <v>120</v>
      </c>
      <c r="D122">
        <v>1439.9314922995</v>
      </c>
      <c r="E122">
        <v>512.60860329262005</v>
      </c>
      <c r="F122">
        <v>158.03674121405999</v>
      </c>
      <c r="G122">
        <v>121.73855165069</v>
      </c>
      <c r="I122" s="9">
        <f t="shared" si="8"/>
        <v>390.87005164193005</v>
      </c>
      <c r="J122" s="9">
        <f t="shared" si="9"/>
        <v>1281.89475108544</v>
      </c>
      <c r="K122" s="9">
        <f t="shared" si="10"/>
        <v>390.87005164193005</v>
      </c>
      <c r="L122" s="10">
        <f t="shared" si="7"/>
        <v>0.30491586872554255</v>
      </c>
      <c r="M122" s="10">
        <f t="shared" si="11"/>
        <v>0.31739408735045771</v>
      </c>
      <c r="P122" s="8">
        <f t="shared" si="12"/>
        <v>42.193764829627014</v>
      </c>
      <c r="X122" s="8">
        <v>-13</v>
      </c>
    </row>
    <row r="123" spans="1:24" x14ac:dyDescent="0.2">
      <c r="A123" s="8">
        <v>60.5</v>
      </c>
      <c r="B123" s="8">
        <v>121</v>
      </c>
      <c r="D123">
        <v>1351.3627659575</v>
      </c>
      <c r="E123">
        <v>487.81968085106001</v>
      </c>
      <c r="F123">
        <v>158.12140575079999</v>
      </c>
      <c r="G123">
        <v>121.76198083067</v>
      </c>
      <c r="I123" s="9">
        <f t="shared" si="8"/>
        <v>366.05770002039003</v>
      </c>
      <c r="J123" s="9">
        <f t="shared" si="9"/>
        <v>1193.2413602066999</v>
      </c>
      <c r="K123" s="9">
        <f t="shared" si="10"/>
        <v>366.05770002039003</v>
      </c>
      <c r="L123" s="10">
        <f t="shared" si="7"/>
        <v>0.30677590655840109</v>
      </c>
      <c r="M123" s="10">
        <f t="shared" si="11"/>
        <v>0.3193581103385239</v>
      </c>
      <c r="P123" s="8">
        <f t="shared" si="12"/>
        <v>43.073654638590916</v>
      </c>
      <c r="X123" s="8">
        <v>-13</v>
      </c>
    </row>
    <row r="124" spans="1:24" x14ac:dyDescent="0.2">
      <c r="A124" s="8">
        <v>61</v>
      </c>
      <c r="B124" s="8">
        <v>122</v>
      </c>
      <c r="D124">
        <v>1372.6191489362</v>
      </c>
      <c r="E124">
        <v>486.60904255319002</v>
      </c>
      <c r="F124">
        <v>158.00638977636001</v>
      </c>
      <c r="G124">
        <v>121.93823216187</v>
      </c>
      <c r="I124" s="9">
        <f t="shared" si="8"/>
        <v>364.67081039132</v>
      </c>
      <c r="J124" s="9">
        <f t="shared" si="9"/>
        <v>1214.6127591598399</v>
      </c>
      <c r="K124" s="9">
        <f t="shared" si="10"/>
        <v>364.67081039132</v>
      </c>
      <c r="L124" s="10">
        <f t="shared" si="7"/>
        <v>0.30023627501127731</v>
      </c>
      <c r="M124" s="10">
        <f t="shared" si="11"/>
        <v>0.31292246394660772</v>
      </c>
      <c r="P124" s="8">
        <f t="shared" si="12"/>
        <v>40.1904604454731</v>
      </c>
      <c r="X124" s="8">
        <v>-13</v>
      </c>
    </row>
    <row r="125" spans="1:24" x14ac:dyDescent="0.2">
      <c r="A125" s="8">
        <v>61.5</v>
      </c>
      <c r="B125" s="8">
        <v>123</v>
      </c>
      <c r="D125">
        <v>1376.145212766</v>
      </c>
      <c r="E125">
        <v>483.13510638297998</v>
      </c>
      <c r="F125">
        <v>157.50798722044999</v>
      </c>
      <c r="G125">
        <v>122.12939297125</v>
      </c>
      <c r="I125" s="9">
        <f t="shared" si="8"/>
        <v>361.00571341172997</v>
      </c>
      <c r="J125" s="9">
        <f t="shared" si="9"/>
        <v>1218.6372255455499</v>
      </c>
      <c r="K125" s="9">
        <f t="shared" si="10"/>
        <v>361.00571341172997</v>
      </c>
      <c r="L125" s="10">
        <f t="shared" si="7"/>
        <v>0.29623722781824408</v>
      </c>
      <c r="M125" s="10">
        <f t="shared" si="11"/>
        <v>0.30902740190878214</v>
      </c>
      <c r="P125" s="8">
        <f t="shared" si="12"/>
        <v>38.445457758035424</v>
      </c>
      <c r="X125" s="8">
        <v>-13</v>
      </c>
    </row>
    <row r="126" spans="1:24" x14ac:dyDescent="0.2">
      <c r="A126" s="8">
        <v>62</v>
      </c>
      <c r="B126" s="8">
        <v>124</v>
      </c>
      <c r="D126">
        <v>1411.5595111583</v>
      </c>
      <c r="E126">
        <v>492.16206163656</v>
      </c>
      <c r="F126">
        <v>158.38924387646</v>
      </c>
      <c r="G126">
        <v>122.06230031949001</v>
      </c>
      <c r="I126" s="9">
        <f t="shared" si="8"/>
        <v>370.09976131706998</v>
      </c>
      <c r="J126" s="9">
        <f t="shared" si="9"/>
        <v>1253.1702672818401</v>
      </c>
      <c r="K126" s="9">
        <f t="shared" si="10"/>
        <v>370.09976131706998</v>
      </c>
      <c r="L126" s="10">
        <f t="shared" si="7"/>
        <v>0.29533078702850674</v>
      </c>
      <c r="M126" s="10">
        <f t="shared" si="11"/>
        <v>0.3082249462742524</v>
      </c>
      <c r="P126" s="8">
        <f t="shared" si="12"/>
        <v>38.085954565222188</v>
      </c>
      <c r="X126" s="8">
        <v>-13</v>
      </c>
    </row>
    <row r="127" spans="1:24" x14ac:dyDescent="0.2">
      <c r="A127" s="8">
        <v>62.5</v>
      </c>
      <c r="B127" s="8">
        <v>125</v>
      </c>
      <c r="D127">
        <v>1385.5425079701999</v>
      </c>
      <c r="E127">
        <v>483.76620616366</v>
      </c>
      <c r="F127">
        <v>158.15761448348999</v>
      </c>
      <c r="G127">
        <v>121.84877529287</v>
      </c>
      <c r="I127" s="9">
        <f t="shared" si="8"/>
        <v>361.91743087078999</v>
      </c>
      <c r="J127" s="9">
        <f t="shared" si="9"/>
        <v>1227.3848934867099</v>
      </c>
      <c r="K127" s="9">
        <f t="shared" si="10"/>
        <v>361.91743087078999</v>
      </c>
      <c r="L127" s="10">
        <f t="shared" si="7"/>
        <v>0.29486873497576482</v>
      </c>
      <c r="M127" s="10">
        <f t="shared" si="11"/>
        <v>0.30786687937671814</v>
      </c>
      <c r="P127" s="8">
        <f t="shared" si="12"/>
        <v>37.925539225899755</v>
      </c>
      <c r="X127" s="8">
        <v>-13</v>
      </c>
    </row>
    <row r="128" spans="1:24" x14ac:dyDescent="0.2">
      <c r="A128" s="8">
        <v>63</v>
      </c>
      <c r="B128" s="8">
        <v>126</v>
      </c>
      <c r="D128">
        <v>1416.4113588109999</v>
      </c>
      <c r="E128">
        <v>488.53715498937999</v>
      </c>
      <c r="F128">
        <v>157.94249201278001</v>
      </c>
      <c r="G128">
        <v>121.78381256656</v>
      </c>
      <c r="I128" s="9">
        <f t="shared" si="8"/>
        <v>366.75334242281997</v>
      </c>
      <c r="J128" s="9">
        <f t="shared" si="9"/>
        <v>1258.46886679822</v>
      </c>
      <c r="K128" s="9">
        <f t="shared" si="10"/>
        <v>366.75334242281997</v>
      </c>
      <c r="L128" s="10">
        <f t="shared" si="7"/>
        <v>0.29142822051363815</v>
      </c>
      <c r="M128" s="10">
        <f t="shared" si="11"/>
        <v>0.30453035006979906</v>
      </c>
      <c r="P128" s="8">
        <f t="shared" si="12"/>
        <v>36.430761337705029</v>
      </c>
      <c r="X128" s="8">
        <v>-13</v>
      </c>
    </row>
    <row r="129" spans="1:24" x14ac:dyDescent="0.2">
      <c r="A129" s="8">
        <v>63.5</v>
      </c>
      <c r="B129" s="8">
        <v>127</v>
      </c>
      <c r="D129">
        <v>1412.1926751592</v>
      </c>
      <c r="E129">
        <v>483.33439490446</v>
      </c>
      <c r="F129">
        <v>157.65708200213001</v>
      </c>
      <c r="G129">
        <v>122.22257720979999</v>
      </c>
      <c r="I129" s="9">
        <f t="shared" si="8"/>
        <v>361.11181769465998</v>
      </c>
      <c r="J129" s="9">
        <f t="shared" si="9"/>
        <v>1254.53559315707</v>
      </c>
      <c r="K129" s="9">
        <f t="shared" si="10"/>
        <v>361.11181769465998</v>
      </c>
      <c r="L129" s="10">
        <f t="shared" si="7"/>
        <v>0.28784501584838507</v>
      </c>
      <c r="M129" s="10">
        <f t="shared" si="11"/>
        <v>0.30105113055975363</v>
      </c>
      <c r="P129" s="8">
        <f t="shared" si="12"/>
        <v>34.872057692870612</v>
      </c>
      <c r="X129" s="8">
        <v>-13</v>
      </c>
    </row>
    <row r="130" spans="1:24" x14ac:dyDescent="0.2">
      <c r="A130" s="8">
        <v>64</v>
      </c>
      <c r="B130" s="8">
        <v>128</v>
      </c>
      <c r="D130">
        <v>1331.0270844397</v>
      </c>
      <c r="E130">
        <v>465.79288369622998</v>
      </c>
      <c r="F130">
        <v>157.60330138444999</v>
      </c>
      <c r="G130">
        <v>121.72949946752</v>
      </c>
      <c r="I130" s="9">
        <f t="shared" si="8"/>
        <v>344.06338422870999</v>
      </c>
      <c r="J130" s="9">
        <f t="shared" si="9"/>
        <v>1173.4237830552502</v>
      </c>
      <c r="K130" s="9">
        <f t="shared" si="10"/>
        <v>344.06338422870999</v>
      </c>
      <c r="L130" s="10">
        <f t="shared" ref="L130:L193" si="14">K130/J130</f>
        <v>0.29321323565887697</v>
      </c>
      <c r="M130" s="10">
        <f t="shared" si="11"/>
        <v>0.30652333552545313</v>
      </c>
      <c r="P130" s="8">
        <f t="shared" si="12"/>
        <v>37.323626442899091</v>
      </c>
      <c r="X130" s="8">
        <v>-13</v>
      </c>
    </row>
    <row r="131" spans="1:24" x14ac:dyDescent="0.2">
      <c r="A131" s="8">
        <v>64.5</v>
      </c>
      <c r="B131" s="8">
        <v>129</v>
      </c>
      <c r="D131">
        <v>1335.5161975571</v>
      </c>
      <c r="E131">
        <v>461.31067445565998</v>
      </c>
      <c r="F131">
        <v>158.45686900959001</v>
      </c>
      <c r="G131">
        <v>121.88764643238</v>
      </c>
      <c r="I131" s="9">
        <f t="shared" ref="I131:I194" si="15">E131-G131</f>
        <v>339.42302802327998</v>
      </c>
      <c r="J131" s="9">
        <f t="shared" ref="J131:J194" si="16">D131-F131</f>
        <v>1177.0593285475099</v>
      </c>
      <c r="K131" s="9">
        <f t="shared" ref="K131:K194" si="17">I131*1</f>
        <v>339.42302802327998</v>
      </c>
      <c r="L131" s="10">
        <f t="shared" si="14"/>
        <v>0.28836526740086049</v>
      </c>
      <c r="M131" s="10">
        <f t="shared" ref="M131:M181" si="18">L131+ABS($N$2)*A131</f>
        <v>0.30177935242264431</v>
      </c>
      <c r="P131" s="8">
        <f t="shared" ref="P131:P194" si="19">(M131-$O$2)/$O$2*100</f>
        <v>35.198303872123901</v>
      </c>
      <c r="X131" s="8">
        <v>-13</v>
      </c>
    </row>
    <row r="132" spans="1:24" x14ac:dyDescent="0.2">
      <c r="A132" s="8">
        <v>65</v>
      </c>
      <c r="B132" s="8">
        <v>130</v>
      </c>
      <c r="D132">
        <v>1322.5942644715999</v>
      </c>
      <c r="E132">
        <v>454.42113648433002</v>
      </c>
      <c r="F132">
        <v>158.35463258786001</v>
      </c>
      <c r="G132">
        <v>121.72630457934</v>
      </c>
      <c r="I132" s="9">
        <f t="shared" si="15"/>
        <v>332.69483190499</v>
      </c>
      <c r="J132" s="9">
        <f t="shared" si="16"/>
        <v>1164.23963188374</v>
      </c>
      <c r="K132" s="9">
        <f t="shared" si="17"/>
        <v>332.69483190499</v>
      </c>
      <c r="L132" s="10">
        <f t="shared" si="14"/>
        <v>0.28576147280494968</v>
      </c>
      <c r="M132" s="10">
        <f t="shared" si="18"/>
        <v>0.29927954298194109</v>
      </c>
      <c r="P132" s="8">
        <f t="shared" si="19"/>
        <v>34.078379683562218</v>
      </c>
      <c r="X132" s="8">
        <v>-13</v>
      </c>
    </row>
    <row r="133" spans="1:24" x14ac:dyDescent="0.2">
      <c r="A133" s="8">
        <v>65.5</v>
      </c>
      <c r="B133" s="8">
        <v>131</v>
      </c>
      <c r="D133">
        <v>1330.0993096123</v>
      </c>
      <c r="E133">
        <v>456.74137015400999</v>
      </c>
      <c r="F133">
        <v>158.43450479232999</v>
      </c>
      <c r="G133">
        <v>121.85889243877</v>
      </c>
      <c r="I133" s="9">
        <f t="shared" si="15"/>
        <v>334.88247771523999</v>
      </c>
      <c r="J133" s="9">
        <f t="shared" si="16"/>
        <v>1171.66480481997</v>
      </c>
      <c r="K133" s="9">
        <f t="shared" si="17"/>
        <v>334.88247771523999</v>
      </c>
      <c r="L133" s="10">
        <f t="shared" si="14"/>
        <v>0.28581764710999896</v>
      </c>
      <c r="M133" s="10">
        <f t="shared" si="18"/>
        <v>0.29943970244219803</v>
      </c>
      <c r="P133" s="8">
        <f t="shared" si="19"/>
        <v>34.150131734197835</v>
      </c>
      <c r="X133" s="8">
        <v>-13</v>
      </c>
    </row>
    <row r="134" spans="1:24" x14ac:dyDescent="0.2">
      <c r="A134" s="8">
        <v>66</v>
      </c>
      <c r="B134" s="8">
        <v>132</v>
      </c>
      <c r="D134">
        <v>1378.0872340425999</v>
      </c>
      <c r="E134">
        <v>471.07553191489001</v>
      </c>
      <c r="F134">
        <v>157.57774227901999</v>
      </c>
      <c r="G134">
        <v>121.65122470714</v>
      </c>
      <c r="I134" s="9">
        <f t="shared" si="15"/>
        <v>349.42430720775002</v>
      </c>
      <c r="J134" s="9">
        <f t="shared" si="16"/>
        <v>1220.5094917635799</v>
      </c>
      <c r="K134" s="9">
        <f t="shared" si="17"/>
        <v>349.42430720775002</v>
      </c>
      <c r="L134" s="10">
        <f t="shared" si="14"/>
        <v>0.28629380563263623</v>
      </c>
      <c r="M134" s="10">
        <f t="shared" si="18"/>
        <v>0.3000198461200429</v>
      </c>
      <c r="P134" s="8">
        <f t="shared" si="19"/>
        <v>34.410038320308189</v>
      </c>
      <c r="X134" s="8">
        <v>-13</v>
      </c>
    </row>
    <row r="135" spans="1:24" x14ac:dyDescent="0.2">
      <c r="A135" s="8">
        <v>66.5</v>
      </c>
      <c r="B135" s="8">
        <v>133</v>
      </c>
      <c r="D135">
        <v>1372.7930851064</v>
      </c>
      <c r="E135">
        <v>466.33191489362002</v>
      </c>
      <c r="F135">
        <v>157.42438764643001</v>
      </c>
      <c r="G135">
        <v>121.62460063898</v>
      </c>
      <c r="I135" s="9">
        <f t="shared" si="15"/>
        <v>344.70731425464004</v>
      </c>
      <c r="J135" s="9">
        <f t="shared" si="16"/>
        <v>1215.36869745997</v>
      </c>
      <c r="K135" s="9">
        <f t="shared" si="17"/>
        <v>344.70731425464004</v>
      </c>
      <c r="L135" s="10">
        <f t="shared" si="14"/>
        <v>0.28362365673482676</v>
      </c>
      <c r="M135" s="10">
        <f t="shared" si="18"/>
        <v>0.29745368237744108</v>
      </c>
      <c r="P135" s="8">
        <f t="shared" si="19"/>
        <v>33.260387150760927</v>
      </c>
      <c r="X135" s="8">
        <v>-13</v>
      </c>
    </row>
    <row r="136" spans="1:24" x14ac:dyDescent="0.2">
      <c r="A136" s="8">
        <v>67</v>
      </c>
      <c r="B136" s="8">
        <v>134</v>
      </c>
      <c r="D136">
        <v>1418.9539614560999</v>
      </c>
      <c r="E136">
        <v>477.92773019271999</v>
      </c>
      <c r="F136">
        <v>157.34877529286999</v>
      </c>
      <c r="G136">
        <v>121.80883919063</v>
      </c>
      <c r="I136" s="9">
        <f t="shared" si="15"/>
        <v>356.11889100208998</v>
      </c>
      <c r="J136" s="9">
        <f t="shared" si="16"/>
        <v>1261.60518616323</v>
      </c>
      <c r="K136" s="9">
        <f t="shared" si="17"/>
        <v>356.11889100208998</v>
      </c>
      <c r="L136" s="10">
        <f t="shared" si="14"/>
        <v>0.28227443490868331</v>
      </c>
      <c r="M136" s="10">
        <f t="shared" si="18"/>
        <v>0.29620844570650523</v>
      </c>
      <c r="P136" s="8">
        <f t="shared" si="19"/>
        <v>32.702516360468707</v>
      </c>
      <c r="X136" s="8">
        <v>-13</v>
      </c>
    </row>
    <row r="137" spans="1:24" x14ac:dyDescent="0.2">
      <c r="A137" s="8">
        <v>67.5</v>
      </c>
      <c r="B137" s="8">
        <v>135</v>
      </c>
      <c r="D137">
        <v>1342.0895127118999</v>
      </c>
      <c r="E137">
        <v>462.16949152542003</v>
      </c>
      <c r="F137">
        <v>157.80511182109001</v>
      </c>
      <c r="G137">
        <v>121.63045793397001</v>
      </c>
      <c r="I137" s="9">
        <f t="shared" si="15"/>
        <v>340.53903359144999</v>
      </c>
      <c r="J137" s="9">
        <f t="shared" si="16"/>
        <v>1184.28440089081</v>
      </c>
      <c r="K137" s="9">
        <f t="shared" si="17"/>
        <v>340.53903359144999</v>
      </c>
      <c r="L137" s="10">
        <f t="shared" si="14"/>
        <v>0.2875483569109743</v>
      </c>
      <c r="M137" s="10">
        <f t="shared" si="18"/>
        <v>0.30158635286400387</v>
      </c>
      <c r="P137" s="8">
        <f t="shared" si="19"/>
        <v>35.111839331833835</v>
      </c>
      <c r="X137" s="8">
        <v>-13</v>
      </c>
    </row>
    <row r="138" spans="1:24" x14ac:dyDescent="0.2">
      <c r="A138" s="8">
        <v>68</v>
      </c>
      <c r="B138" s="8">
        <v>136</v>
      </c>
      <c r="D138">
        <v>1345.3877118644</v>
      </c>
      <c r="E138">
        <v>461.97987288136</v>
      </c>
      <c r="F138">
        <v>157.75612353567999</v>
      </c>
      <c r="G138">
        <v>122.04845580404999</v>
      </c>
      <c r="I138" s="9">
        <f t="shared" si="15"/>
        <v>339.93141707731002</v>
      </c>
      <c r="J138" s="9">
        <f t="shared" si="16"/>
        <v>1187.63158832872</v>
      </c>
      <c r="K138" s="9">
        <f t="shared" si="17"/>
        <v>339.93141707731002</v>
      </c>
      <c r="L138" s="10">
        <f t="shared" si="14"/>
        <v>0.28622631834479439</v>
      </c>
      <c r="M138" s="10">
        <f t="shared" si="18"/>
        <v>0.30036829945303156</v>
      </c>
      <c r="P138" s="8">
        <f t="shared" si="19"/>
        <v>34.566146745952494</v>
      </c>
      <c r="X138" s="8">
        <v>-13</v>
      </c>
    </row>
    <row r="139" spans="1:24" x14ac:dyDescent="0.2">
      <c r="A139" s="8">
        <v>68.5</v>
      </c>
      <c r="B139" s="8">
        <v>137</v>
      </c>
      <c r="D139">
        <v>1338.8993644068</v>
      </c>
      <c r="E139">
        <v>458.46663135593002</v>
      </c>
      <c r="F139">
        <v>157.13951011715</v>
      </c>
      <c r="G139">
        <v>121.88764643238</v>
      </c>
      <c r="I139" s="9">
        <f t="shared" si="15"/>
        <v>336.57898492355002</v>
      </c>
      <c r="J139" s="9">
        <f t="shared" si="16"/>
        <v>1181.7598542896501</v>
      </c>
      <c r="K139" s="9">
        <f t="shared" si="17"/>
        <v>336.57898492355002</v>
      </c>
      <c r="L139" s="10">
        <f t="shared" si="14"/>
        <v>0.28481165924007967</v>
      </c>
      <c r="M139" s="10">
        <f t="shared" si="18"/>
        <v>0.29905762550352449</v>
      </c>
      <c r="P139" s="8">
        <f t="shared" si="19"/>
        <v>33.978959804631991</v>
      </c>
      <c r="X139" s="8">
        <v>-13</v>
      </c>
    </row>
    <row r="140" spans="1:24" x14ac:dyDescent="0.2">
      <c r="A140" s="8">
        <v>69</v>
      </c>
      <c r="B140" s="8">
        <v>138</v>
      </c>
      <c r="D140">
        <v>1336.8024364406999</v>
      </c>
      <c r="E140">
        <v>455.14936440678002</v>
      </c>
      <c r="F140">
        <v>158.11288604898999</v>
      </c>
      <c r="G140">
        <v>121.52129925453001</v>
      </c>
      <c r="I140" s="9">
        <f t="shared" si="15"/>
        <v>333.62806515225003</v>
      </c>
      <c r="J140" s="9">
        <f t="shared" si="16"/>
        <v>1178.6895503917099</v>
      </c>
      <c r="K140" s="9">
        <f t="shared" si="17"/>
        <v>333.62806515225003</v>
      </c>
      <c r="L140" s="10">
        <f t="shared" si="14"/>
        <v>0.28304998974613504</v>
      </c>
      <c r="M140" s="10">
        <f t="shared" si="18"/>
        <v>0.29739994116478746</v>
      </c>
      <c r="P140" s="8">
        <f t="shared" si="19"/>
        <v>33.236310881988821</v>
      </c>
      <c r="X140" s="8">
        <v>-13</v>
      </c>
    </row>
    <row r="141" spans="1:24" x14ac:dyDescent="0.2">
      <c r="A141" s="8">
        <v>69.5</v>
      </c>
      <c r="B141" s="8">
        <v>139</v>
      </c>
      <c r="D141">
        <v>1326.7616525424</v>
      </c>
      <c r="E141">
        <v>449.46716101695</v>
      </c>
      <c r="F141">
        <v>157.95846645367001</v>
      </c>
      <c r="G141">
        <v>121.93876464324001</v>
      </c>
      <c r="I141" s="9">
        <f t="shared" si="15"/>
        <v>327.52839637371</v>
      </c>
      <c r="J141" s="9">
        <f t="shared" si="16"/>
        <v>1168.8031860887299</v>
      </c>
      <c r="K141" s="9">
        <f t="shared" si="17"/>
        <v>327.52839637371</v>
      </c>
      <c r="L141" s="10">
        <f t="shared" si="14"/>
        <v>0.28022544793854248</v>
      </c>
      <c r="M141" s="10">
        <f t="shared" si="18"/>
        <v>0.29467938451240255</v>
      </c>
      <c r="P141" s="8">
        <f t="shared" si="19"/>
        <v>32.017491098469186</v>
      </c>
      <c r="X141" s="8">
        <v>-13</v>
      </c>
    </row>
    <row r="142" spans="1:24" x14ac:dyDescent="0.2">
      <c r="A142" s="8">
        <v>70</v>
      </c>
      <c r="B142" s="8">
        <v>140</v>
      </c>
      <c r="D142">
        <v>1347.2627118644</v>
      </c>
      <c r="E142">
        <v>449.85116525424002</v>
      </c>
      <c r="F142">
        <v>157.28487752928999</v>
      </c>
      <c r="G142">
        <v>121.93397231097001</v>
      </c>
      <c r="I142" s="9">
        <f t="shared" si="15"/>
        <v>327.91719294327004</v>
      </c>
      <c r="J142" s="9">
        <f t="shared" si="16"/>
        <v>1189.9778343351099</v>
      </c>
      <c r="K142" s="9">
        <f t="shared" si="17"/>
        <v>327.91719294327004</v>
      </c>
      <c r="L142" s="10">
        <f t="shared" si="14"/>
        <v>0.27556579919531948</v>
      </c>
      <c r="M142" s="10">
        <f t="shared" si="18"/>
        <v>0.29012372092438715</v>
      </c>
      <c r="P142" s="8">
        <f t="shared" si="19"/>
        <v>29.97653639044437</v>
      </c>
      <c r="X142" s="8">
        <v>-13</v>
      </c>
    </row>
    <row r="143" spans="1:24" x14ac:dyDescent="0.2">
      <c r="A143" s="8">
        <v>70.5</v>
      </c>
      <c r="B143" s="8">
        <v>141</v>
      </c>
      <c r="D143">
        <v>1354.1488347458001</v>
      </c>
      <c r="E143">
        <v>446.40995762711998</v>
      </c>
      <c r="F143">
        <v>158.10809371671999</v>
      </c>
      <c r="G143">
        <v>121.75452609158999</v>
      </c>
      <c r="I143" s="9">
        <f t="shared" si="15"/>
        <v>324.65543153553</v>
      </c>
      <c r="J143" s="9">
        <f t="shared" si="16"/>
        <v>1196.04074102908</v>
      </c>
      <c r="K143" s="9">
        <f t="shared" si="17"/>
        <v>324.65543153553</v>
      </c>
      <c r="L143" s="10">
        <f t="shared" si="14"/>
        <v>0.2714417832089856</v>
      </c>
      <c r="M143" s="10">
        <f t="shared" si="18"/>
        <v>0.28610369009326092</v>
      </c>
      <c r="P143" s="8">
        <f t="shared" si="19"/>
        <v>28.175547205734564</v>
      </c>
      <c r="X143" s="8">
        <v>-13</v>
      </c>
    </row>
    <row r="144" spans="1:24" x14ac:dyDescent="0.2">
      <c r="A144" s="8">
        <v>71</v>
      </c>
      <c r="B144" s="8">
        <v>142</v>
      </c>
      <c r="D144">
        <v>1339.7987288136001</v>
      </c>
      <c r="E144">
        <v>440.6594279661</v>
      </c>
      <c r="F144">
        <v>157.36794462194001</v>
      </c>
      <c r="G144">
        <v>121.47284345048</v>
      </c>
      <c r="I144" s="9">
        <f t="shared" si="15"/>
        <v>319.18658451561998</v>
      </c>
      <c r="J144" s="9">
        <f t="shared" si="16"/>
        <v>1182.43078419166</v>
      </c>
      <c r="K144" s="9">
        <f t="shared" si="17"/>
        <v>319.18658451561998</v>
      </c>
      <c r="L144" s="10">
        <f t="shared" si="14"/>
        <v>0.26994103061501745</v>
      </c>
      <c r="M144" s="10">
        <f t="shared" si="18"/>
        <v>0.28470692265450037</v>
      </c>
      <c r="P144" s="8">
        <f t="shared" si="19"/>
        <v>27.549790052011986</v>
      </c>
    </row>
    <row r="145" spans="1:16" x14ac:dyDescent="0.2">
      <c r="A145" s="8">
        <v>71.5</v>
      </c>
      <c r="B145" s="8">
        <v>143</v>
      </c>
      <c r="D145">
        <v>1313.3085501859</v>
      </c>
      <c r="E145">
        <v>430.37546468402002</v>
      </c>
      <c r="F145">
        <v>157.75985090521999</v>
      </c>
      <c r="G145">
        <v>121.82694355698</v>
      </c>
      <c r="I145" s="9">
        <f t="shared" si="15"/>
        <v>308.54852112704003</v>
      </c>
      <c r="J145" s="9">
        <f t="shared" si="16"/>
        <v>1155.54869928068</v>
      </c>
      <c r="K145" s="9">
        <f t="shared" si="17"/>
        <v>308.54852112704003</v>
      </c>
      <c r="L145" s="10">
        <f t="shared" si="14"/>
        <v>0.26701472756544925</v>
      </c>
      <c r="M145" s="10">
        <f t="shared" si="18"/>
        <v>0.28188460476013982</v>
      </c>
      <c r="P145" s="8">
        <f t="shared" si="19"/>
        <v>26.285380842958162</v>
      </c>
    </row>
    <row r="146" spans="1:16" x14ac:dyDescent="0.2">
      <c r="A146" s="8">
        <v>72</v>
      </c>
      <c r="B146" s="8">
        <v>144</v>
      </c>
      <c r="D146">
        <v>1313.6792352629</v>
      </c>
      <c r="E146">
        <v>427.93149229952002</v>
      </c>
      <c r="F146">
        <v>158.02662406816</v>
      </c>
      <c r="G146">
        <v>121.72790202343</v>
      </c>
      <c r="I146" s="9">
        <f t="shared" si="15"/>
        <v>306.20359027609004</v>
      </c>
      <c r="J146" s="9">
        <f t="shared" si="16"/>
        <v>1155.6526111947401</v>
      </c>
      <c r="K146" s="9">
        <f t="shared" si="17"/>
        <v>306.20359027609004</v>
      </c>
      <c r="L146" s="10">
        <f t="shared" si="14"/>
        <v>0.2649616219527508</v>
      </c>
      <c r="M146" s="10">
        <f t="shared" si="18"/>
        <v>0.27993548430264903</v>
      </c>
      <c r="P146" s="8">
        <f t="shared" si="19"/>
        <v>25.412167424678454</v>
      </c>
    </row>
    <row r="147" spans="1:16" x14ac:dyDescent="0.2">
      <c r="A147" s="8">
        <v>72.5</v>
      </c>
      <c r="B147" s="8">
        <v>145</v>
      </c>
      <c r="D147">
        <v>1373.0763925729</v>
      </c>
      <c r="E147">
        <v>440.92572944297001</v>
      </c>
      <c r="F147">
        <v>157.73855165069</v>
      </c>
      <c r="G147">
        <v>121.72896698616</v>
      </c>
      <c r="I147" s="9">
        <f t="shared" si="15"/>
        <v>319.19676245681001</v>
      </c>
      <c r="J147" s="9">
        <f t="shared" si="16"/>
        <v>1215.33784092221</v>
      </c>
      <c r="K147" s="9">
        <f t="shared" si="17"/>
        <v>319.19676245681001</v>
      </c>
      <c r="L147" s="10">
        <f t="shared" si="14"/>
        <v>0.26264035538842467</v>
      </c>
      <c r="M147" s="10">
        <f t="shared" si="18"/>
        <v>0.2777182028935305</v>
      </c>
      <c r="P147" s="8">
        <f t="shared" si="19"/>
        <v>24.418816874637564</v>
      </c>
    </row>
    <row r="148" spans="1:16" x14ac:dyDescent="0.2">
      <c r="A148" s="8">
        <v>73</v>
      </c>
      <c r="B148" s="8">
        <v>146</v>
      </c>
      <c r="D148">
        <v>1378.5021276596001</v>
      </c>
      <c r="E148">
        <v>441.77765957447002</v>
      </c>
      <c r="F148">
        <v>157.72736954206999</v>
      </c>
      <c r="G148">
        <v>121.52928647496999</v>
      </c>
      <c r="I148" s="9">
        <f t="shared" si="15"/>
        <v>320.24837309950004</v>
      </c>
      <c r="J148" s="9">
        <f t="shared" si="16"/>
        <v>1220.7747581175302</v>
      </c>
      <c r="K148" s="9">
        <f t="shared" si="17"/>
        <v>320.24837309950004</v>
      </c>
      <c r="L148" s="10">
        <f t="shared" si="14"/>
        <v>0.2623320731117772</v>
      </c>
      <c r="M148" s="10">
        <f t="shared" si="18"/>
        <v>0.27751390577209067</v>
      </c>
      <c r="P148" s="8">
        <f t="shared" si="19"/>
        <v>24.327290983012155</v>
      </c>
    </row>
    <row r="149" spans="1:16" x14ac:dyDescent="0.2">
      <c r="A149" s="8">
        <v>73.5</v>
      </c>
      <c r="B149" s="8">
        <v>147</v>
      </c>
      <c r="D149">
        <v>1367.1829787234001</v>
      </c>
      <c r="E149">
        <v>438.29680851064001</v>
      </c>
      <c r="F149">
        <v>157.20820021298999</v>
      </c>
      <c r="G149">
        <v>121.71512247071</v>
      </c>
      <c r="I149" s="9">
        <f t="shared" si="15"/>
        <v>316.58168603992999</v>
      </c>
      <c r="J149" s="9">
        <f t="shared" si="16"/>
        <v>1209.97477851041</v>
      </c>
      <c r="K149" s="9">
        <f t="shared" si="17"/>
        <v>316.58168603992999</v>
      </c>
      <c r="L149" s="10">
        <f t="shared" si="14"/>
        <v>0.26164321080284919</v>
      </c>
      <c r="M149" s="10">
        <f t="shared" si="18"/>
        <v>0.27692902861837027</v>
      </c>
      <c r="P149" s="8">
        <f t="shared" si="19"/>
        <v>24.065263781609023</v>
      </c>
    </row>
    <row r="150" spans="1:16" x14ac:dyDescent="0.2">
      <c r="A150" s="8">
        <v>74</v>
      </c>
      <c r="B150" s="8">
        <v>148</v>
      </c>
      <c r="D150">
        <v>1311.0763481045999</v>
      </c>
      <c r="E150">
        <v>426.03737319807999</v>
      </c>
      <c r="F150">
        <v>157.24920127796</v>
      </c>
      <c r="G150">
        <v>121.69435569754999</v>
      </c>
      <c r="I150" s="9">
        <f t="shared" si="15"/>
        <v>304.34301750052998</v>
      </c>
      <c r="J150" s="9">
        <f t="shared" si="16"/>
        <v>1153.8271468266398</v>
      </c>
      <c r="K150" s="9">
        <f t="shared" si="17"/>
        <v>304.34301750052998</v>
      </c>
      <c r="L150" s="10">
        <f t="shared" si="14"/>
        <v>0.26376829348968067</v>
      </c>
      <c r="M150" s="10">
        <f t="shared" si="18"/>
        <v>0.2791580964604094</v>
      </c>
      <c r="P150" s="8">
        <f t="shared" si="19"/>
        <v>25.063894698668982</v>
      </c>
    </row>
    <row r="151" spans="1:16" x14ac:dyDescent="0.2">
      <c r="A151" s="8">
        <v>74.5</v>
      </c>
      <c r="B151" s="8">
        <v>149</v>
      </c>
      <c r="D151">
        <v>1316.093966898</v>
      </c>
      <c r="E151">
        <v>423.74265883609002</v>
      </c>
      <c r="F151">
        <v>157.31363152290001</v>
      </c>
      <c r="G151">
        <v>121.68210862620001</v>
      </c>
      <c r="I151" s="9">
        <f t="shared" si="15"/>
        <v>302.06055020989004</v>
      </c>
      <c r="J151" s="9">
        <f t="shared" si="16"/>
        <v>1158.7803353750999</v>
      </c>
      <c r="K151" s="9">
        <f t="shared" si="17"/>
        <v>302.06055020989004</v>
      </c>
      <c r="L151" s="10">
        <f t="shared" si="14"/>
        <v>0.26067110477164973</v>
      </c>
      <c r="M151" s="10">
        <f t="shared" si="18"/>
        <v>0.27616489289758606</v>
      </c>
      <c r="P151" s="8">
        <f t="shared" si="19"/>
        <v>23.722928056686925</v>
      </c>
    </row>
    <row r="152" spans="1:16" x14ac:dyDescent="0.2">
      <c r="A152" s="8">
        <v>75</v>
      </c>
      <c r="B152" s="8">
        <v>150</v>
      </c>
      <c r="D152">
        <v>1314.0880939669</v>
      </c>
      <c r="E152">
        <v>418.44207154297999</v>
      </c>
      <c r="F152">
        <v>157.80937167198999</v>
      </c>
      <c r="G152">
        <v>121.64962726304999</v>
      </c>
      <c r="I152" s="9">
        <f t="shared" si="15"/>
        <v>296.79244427993001</v>
      </c>
      <c r="J152" s="9">
        <f t="shared" si="16"/>
        <v>1156.27872229491</v>
      </c>
      <c r="K152" s="9">
        <f t="shared" si="17"/>
        <v>296.79244427993001</v>
      </c>
      <c r="L152" s="10">
        <f t="shared" si="14"/>
        <v>0.25667898107722231</v>
      </c>
      <c r="M152" s="10">
        <f t="shared" si="18"/>
        <v>0.27227675435836629</v>
      </c>
      <c r="P152" s="8">
        <f t="shared" si="19"/>
        <v>21.981027123099707</v>
      </c>
    </row>
    <row r="153" spans="1:16" x14ac:dyDescent="0.2">
      <c r="A153" s="8">
        <v>75.5</v>
      </c>
      <c r="B153" s="8">
        <v>151</v>
      </c>
      <c r="D153">
        <v>1331.6679124399</v>
      </c>
      <c r="E153">
        <v>420.62413240789999</v>
      </c>
      <c r="F153">
        <v>157.43397231097001</v>
      </c>
      <c r="G153">
        <v>121.79286474973</v>
      </c>
      <c r="I153" s="9">
        <f t="shared" si="15"/>
        <v>298.83126765816996</v>
      </c>
      <c r="J153" s="9">
        <f t="shared" si="16"/>
        <v>1174.23394012893</v>
      </c>
      <c r="K153" s="9">
        <f t="shared" si="17"/>
        <v>298.83126765816996</v>
      </c>
      <c r="L153" s="10">
        <f t="shared" si="14"/>
        <v>0.25449040216411944</v>
      </c>
      <c r="M153" s="10">
        <f t="shared" si="18"/>
        <v>0.27019216060047102</v>
      </c>
      <c r="P153" s="8">
        <f t="shared" si="19"/>
        <v>21.04712114819673</v>
      </c>
    </row>
    <row r="154" spans="1:16" x14ac:dyDescent="0.2">
      <c r="A154" s="8">
        <v>76</v>
      </c>
      <c r="B154" s="8">
        <v>152</v>
      </c>
      <c r="D154">
        <v>1359.4255205553</v>
      </c>
      <c r="E154">
        <v>420.91884676989002</v>
      </c>
      <c r="F154">
        <v>157.40202342917999</v>
      </c>
      <c r="G154">
        <v>121.62406815761</v>
      </c>
      <c r="I154" s="9">
        <f t="shared" si="15"/>
        <v>299.29477861228003</v>
      </c>
      <c r="J154" s="9">
        <f t="shared" si="16"/>
        <v>1202.02349712612</v>
      </c>
      <c r="K154" s="9">
        <f t="shared" si="17"/>
        <v>299.29477861228003</v>
      </c>
      <c r="L154" s="10">
        <f t="shared" si="14"/>
        <v>0.24899245258337666</v>
      </c>
      <c r="M154" s="10">
        <f t="shared" si="18"/>
        <v>0.26479819617493588</v>
      </c>
      <c r="P154" s="8">
        <f t="shared" si="19"/>
        <v>18.630604459349183</v>
      </c>
    </row>
    <row r="155" spans="1:16" x14ac:dyDescent="0.2">
      <c r="A155" s="8">
        <v>76.5</v>
      </c>
      <c r="B155" s="8">
        <v>153</v>
      </c>
      <c r="D155">
        <v>1376.4132407902</v>
      </c>
      <c r="E155">
        <v>422.07367859049998</v>
      </c>
      <c r="F155">
        <v>157.56975505857</v>
      </c>
      <c r="G155">
        <v>121.50425985091</v>
      </c>
      <c r="I155" s="9">
        <f t="shared" si="15"/>
        <v>300.56941873958999</v>
      </c>
      <c r="J155" s="9">
        <f t="shared" si="16"/>
        <v>1218.8434857316299</v>
      </c>
      <c r="K155" s="9">
        <f t="shared" si="17"/>
        <v>300.56941873958999</v>
      </c>
      <c r="L155" s="10">
        <f t="shared" si="14"/>
        <v>0.24660214560622482</v>
      </c>
      <c r="M155" s="10">
        <f t="shared" si="18"/>
        <v>0.26251187435299167</v>
      </c>
      <c r="P155" s="8">
        <f t="shared" si="19"/>
        <v>17.606323540355842</v>
      </c>
    </row>
    <row r="156" spans="1:16" x14ac:dyDescent="0.2">
      <c r="A156" s="8">
        <v>77</v>
      </c>
      <c r="B156" s="8">
        <v>154</v>
      </c>
      <c r="D156">
        <v>1285.2379679144001</v>
      </c>
      <c r="E156">
        <v>403.98823529411999</v>
      </c>
      <c r="F156">
        <v>157.54526091586999</v>
      </c>
      <c r="G156">
        <v>121.48775292865</v>
      </c>
      <c r="I156" s="9">
        <f t="shared" si="15"/>
        <v>282.50048236547002</v>
      </c>
      <c r="J156" s="9">
        <f t="shared" si="16"/>
        <v>1127.6927069985302</v>
      </c>
      <c r="K156" s="9">
        <f t="shared" si="17"/>
        <v>282.50048236547002</v>
      </c>
      <c r="L156" s="10">
        <f t="shared" si="14"/>
        <v>0.25051193522158532</v>
      </c>
      <c r="M156" s="10">
        <f t="shared" si="18"/>
        <v>0.2665256491235598</v>
      </c>
      <c r="P156" s="8">
        <f t="shared" si="19"/>
        <v>19.404509986012808</v>
      </c>
    </row>
    <row r="157" spans="1:16" x14ac:dyDescent="0.2">
      <c r="A157" s="8">
        <v>77.5</v>
      </c>
      <c r="B157" s="8">
        <v>155</v>
      </c>
      <c r="D157">
        <v>1278.0887700535</v>
      </c>
      <c r="E157">
        <v>403.24545454546001</v>
      </c>
      <c r="F157">
        <v>157.48509052182999</v>
      </c>
      <c r="G157">
        <v>121.31469648562</v>
      </c>
      <c r="I157" s="9">
        <f t="shared" si="15"/>
        <v>281.93075805984</v>
      </c>
      <c r="J157" s="9">
        <f t="shared" si="16"/>
        <v>1120.60367953167</v>
      </c>
      <c r="K157" s="9">
        <f t="shared" si="17"/>
        <v>281.93075805984</v>
      </c>
      <c r="L157" s="10">
        <f t="shared" si="14"/>
        <v>0.25158828514436643</v>
      </c>
      <c r="M157" s="10">
        <f t="shared" si="18"/>
        <v>0.26770598420154851</v>
      </c>
      <c r="P157" s="8">
        <f t="shared" si="19"/>
        <v>19.933304614484776</v>
      </c>
    </row>
    <row r="158" spans="1:16" x14ac:dyDescent="0.2">
      <c r="A158" s="8">
        <v>78</v>
      </c>
      <c r="B158" s="8">
        <v>156</v>
      </c>
      <c r="D158">
        <v>1269.5529411765001</v>
      </c>
      <c r="E158">
        <v>395.43850267379997</v>
      </c>
      <c r="F158">
        <v>157.23056443025001</v>
      </c>
      <c r="G158">
        <v>121.55963791267</v>
      </c>
      <c r="I158" s="9">
        <f t="shared" si="15"/>
        <v>273.87886476112999</v>
      </c>
      <c r="J158" s="9">
        <f t="shared" si="16"/>
        <v>1112.32237674625</v>
      </c>
      <c r="K158" s="9">
        <f t="shared" si="17"/>
        <v>273.87886476112999</v>
      </c>
      <c r="L158" s="10">
        <f t="shared" si="14"/>
        <v>0.24622256145046426</v>
      </c>
      <c r="M158" s="10">
        <f t="shared" si="18"/>
        <v>0.26244424566285396</v>
      </c>
      <c r="P158" s="8">
        <f t="shared" si="19"/>
        <v>17.576025628565951</v>
      </c>
    </row>
    <row r="159" spans="1:16" x14ac:dyDescent="0.2">
      <c r="A159" s="8">
        <v>78.5</v>
      </c>
      <c r="B159" s="8">
        <v>157</v>
      </c>
      <c r="D159">
        <v>1336.2494692144001</v>
      </c>
      <c r="E159">
        <v>408.14755838641003</v>
      </c>
      <c r="F159">
        <v>157.41586794462</v>
      </c>
      <c r="G159">
        <v>121.76624068158</v>
      </c>
      <c r="I159" s="9">
        <f t="shared" si="15"/>
        <v>286.38131770483005</v>
      </c>
      <c r="J159" s="9">
        <f t="shared" si="16"/>
        <v>1178.83360126978</v>
      </c>
      <c r="K159" s="9">
        <f t="shared" si="17"/>
        <v>286.38131770483005</v>
      </c>
      <c r="L159" s="10">
        <f t="shared" si="14"/>
        <v>0.24293616791746905</v>
      </c>
      <c r="M159" s="10">
        <f t="shared" si="18"/>
        <v>0.25926183728506641</v>
      </c>
      <c r="P159" s="8">
        <f t="shared" si="19"/>
        <v>16.150294505971662</v>
      </c>
    </row>
    <row r="160" spans="1:16" x14ac:dyDescent="0.2">
      <c r="A160" s="8">
        <v>79</v>
      </c>
      <c r="B160" s="8">
        <v>158</v>
      </c>
      <c r="D160">
        <v>1321.8837579618</v>
      </c>
      <c r="E160">
        <v>404.78662420382</v>
      </c>
      <c r="F160">
        <v>157.27476038339</v>
      </c>
      <c r="G160">
        <v>121.49148029819</v>
      </c>
      <c r="I160" s="9">
        <f t="shared" si="15"/>
        <v>283.29514390562997</v>
      </c>
      <c r="J160" s="9">
        <f t="shared" si="16"/>
        <v>1164.60899757841</v>
      </c>
      <c r="K160" s="9">
        <f t="shared" si="17"/>
        <v>283.29514390562997</v>
      </c>
      <c r="L160" s="10">
        <f t="shared" si="14"/>
        <v>0.24325343913252437</v>
      </c>
      <c r="M160" s="10">
        <f t="shared" si="18"/>
        <v>0.25968309365532932</v>
      </c>
      <c r="P160" s="8">
        <f t="shared" si="19"/>
        <v>16.339018970709429</v>
      </c>
    </row>
    <row r="161" spans="1:16" x14ac:dyDescent="0.2">
      <c r="A161" s="8">
        <v>79.5</v>
      </c>
      <c r="B161" s="8">
        <v>159</v>
      </c>
      <c r="D161">
        <v>1341.2462845011</v>
      </c>
      <c r="E161">
        <v>405.82218683652002</v>
      </c>
      <c r="F161">
        <v>157.36261980831</v>
      </c>
      <c r="G161">
        <v>121.42492012779999</v>
      </c>
      <c r="I161" s="9">
        <f t="shared" si="15"/>
        <v>284.39726670872005</v>
      </c>
      <c r="J161" s="9">
        <f t="shared" si="16"/>
        <v>1183.88366469279</v>
      </c>
      <c r="K161" s="9">
        <f t="shared" si="17"/>
        <v>284.39726670872005</v>
      </c>
      <c r="L161" s="10">
        <f t="shared" si="14"/>
        <v>0.24022399767000693</v>
      </c>
      <c r="M161" s="10">
        <f t="shared" si="18"/>
        <v>0.25675763734801954</v>
      </c>
      <c r="P161" s="8">
        <f t="shared" si="19"/>
        <v>15.028403358259029</v>
      </c>
    </row>
    <row r="162" spans="1:16" x14ac:dyDescent="0.2">
      <c r="A162" s="8">
        <v>80</v>
      </c>
      <c r="B162" s="4">
        <v>160</v>
      </c>
      <c r="C162" s="4" t="s">
        <v>6</v>
      </c>
      <c r="D162">
        <v>1309.5700636943</v>
      </c>
      <c r="E162">
        <v>393.58598726115002</v>
      </c>
      <c r="F162">
        <v>157.06496272631</v>
      </c>
      <c r="G162">
        <v>121.35356762513</v>
      </c>
      <c r="H162" s="4"/>
      <c r="I162" s="5">
        <f t="shared" si="15"/>
        <v>272.23241963602004</v>
      </c>
      <c r="J162" s="5">
        <f t="shared" si="16"/>
        <v>1152.5051009679901</v>
      </c>
      <c r="K162" s="9">
        <f t="shared" si="17"/>
        <v>272.23241963602004</v>
      </c>
      <c r="L162" s="6">
        <f t="shared" si="14"/>
        <v>0.23620929695440981</v>
      </c>
      <c r="M162" s="6">
        <f t="shared" si="18"/>
        <v>0.25284692178763002</v>
      </c>
      <c r="N162" s="4"/>
      <c r="O162" s="4"/>
      <c r="P162" s="4">
        <f t="shared" si="19"/>
        <v>13.276387832854539</v>
      </c>
    </row>
    <row r="163" spans="1:16" x14ac:dyDescent="0.2">
      <c r="A163" s="8">
        <v>80.5</v>
      </c>
      <c r="B163" s="8">
        <v>161</v>
      </c>
      <c r="D163">
        <v>1301.1061571125001</v>
      </c>
      <c r="E163">
        <v>392.18949044585997</v>
      </c>
      <c r="F163">
        <v>157.66506922258</v>
      </c>
      <c r="G163">
        <v>121.21512247071</v>
      </c>
      <c r="I163" s="9">
        <f t="shared" si="15"/>
        <v>270.97436797514996</v>
      </c>
      <c r="J163" s="9">
        <f t="shared" si="16"/>
        <v>1143.44108788992</v>
      </c>
      <c r="K163" s="9">
        <f t="shared" si="17"/>
        <v>270.97436797514996</v>
      </c>
      <c r="L163" s="10">
        <f t="shared" si="14"/>
        <v>0.23698148583693091</v>
      </c>
      <c r="M163" s="10">
        <f t="shared" si="18"/>
        <v>0.25372309582535874</v>
      </c>
      <c r="P163" s="8">
        <f t="shared" si="19"/>
        <v>13.668917152195817</v>
      </c>
    </row>
    <row r="164" spans="1:16" x14ac:dyDescent="0.2">
      <c r="A164" s="8">
        <v>81</v>
      </c>
      <c r="B164" s="8">
        <v>162</v>
      </c>
      <c r="D164">
        <v>1216.825464191</v>
      </c>
      <c r="E164">
        <v>378.68381962864999</v>
      </c>
      <c r="F164">
        <v>156.99520766773</v>
      </c>
      <c r="G164">
        <v>121.35889243877</v>
      </c>
      <c r="I164" s="9">
        <f t="shared" si="15"/>
        <v>257.32492718987999</v>
      </c>
      <c r="J164" s="9">
        <f t="shared" si="16"/>
        <v>1059.83025652327</v>
      </c>
      <c r="K164" s="9">
        <f t="shared" si="17"/>
        <v>257.32492718987999</v>
      </c>
      <c r="L164" s="10">
        <f t="shared" si="14"/>
        <v>0.24279824585686385</v>
      </c>
      <c r="M164" s="10">
        <f t="shared" si="18"/>
        <v>0.25964384100049931</v>
      </c>
      <c r="P164" s="8">
        <f t="shared" si="19"/>
        <v>16.321433631245704</v>
      </c>
    </row>
    <row r="165" spans="1:16" x14ac:dyDescent="0.2">
      <c r="A165" s="8">
        <v>81.5</v>
      </c>
      <c r="B165" s="8">
        <v>163</v>
      </c>
      <c r="D165">
        <v>1243.1575596816999</v>
      </c>
      <c r="E165">
        <v>381.23713527851999</v>
      </c>
      <c r="F165">
        <v>157.50159744409001</v>
      </c>
      <c r="G165">
        <v>121.58572949947001</v>
      </c>
      <c r="I165" s="9">
        <f t="shared" si="15"/>
        <v>259.65140577904998</v>
      </c>
      <c r="J165" s="9">
        <f t="shared" si="16"/>
        <v>1085.6559622376099</v>
      </c>
      <c r="K165" s="9">
        <f t="shared" si="17"/>
        <v>259.65140577904998</v>
      </c>
      <c r="L165" s="10">
        <f t="shared" si="14"/>
        <v>0.23916545831323119</v>
      </c>
      <c r="M165" s="10">
        <f t="shared" si="18"/>
        <v>0.2561150386120743</v>
      </c>
      <c r="P165" s="8">
        <f t="shared" si="19"/>
        <v>14.74051666729518</v>
      </c>
    </row>
    <row r="166" spans="1:16" x14ac:dyDescent="0.2">
      <c r="A166" s="8">
        <v>82</v>
      </c>
      <c r="B166" s="8">
        <v>164</v>
      </c>
      <c r="D166">
        <v>1314.0425985090999</v>
      </c>
      <c r="E166">
        <v>389.46805111820998</v>
      </c>
      <c r="F166">
        <v>156.69116080936999</v>
      </c>
      <c r="G166">
        <v>121.70074547391</v>
      </c>
      <c r="I166" s="9">
        <f t="shared" si="15"/>
        <v>267.7673056443</v>
      </c>
      <c r="J166" s="9">
        <f t="shared" si="16"/>
        <v>1157.35143769973</v>
      </c>
      <c r="K166" s="9">
        <f t="shared" si="17"/>
        <v>267.7673056443</v>
      </c>
      <c r="L166" s="10">
        <f t="shared" si="14"/>
        <v>0.23136214024712787</v>
      </c>
      <c r="M166" s="10">
        <f t="shared" si="18"/>
        <v>0.2484157057011786</v>
      </c>
      <c r="P166" s="8">
        <f t="shared" si="19"/>
        <v>11.29118608141043</v>
      </c>
    </row>
    <row r="167" spans="1:16" x14ac:dyDescent="0.2">
      <c r="A167" s="8">
        <v>82.5</v>
      </c>
      <c r="B167" s="8">
        <v>165</v>
      </c>
      <c r="D167">
        <v>1359.2944621938</v>
      </c>
      <c r="E167">
        <v>399.73429179979001</v>
      </c>
      <c r="F167">
        <v>156.88977635782999</v>
      </c>
      <c r="G167">
        <v>121.26943556976001</v>
      </c>
      <c r="I167" s="9">
        <f t="shared" si="15"/>
        <v>278.46485623003002</v>
      </c>
      <c r="J167" s="9">
        <f t="shared" si="16"/>
        <v>1202.40468583597</v>
      </c>
      <c r="K167" s="9">
        <f t="shared" si="17"/>
        <v>278.46485623003002</v>
      </c>
      <c r="L167" s="10">
        <f t="shared" si="14"/>
        <v>0.23158996260599879</v>
      </c>
      <c r="M167" s="10">
        <f t="shared" si="18"/>
        <v>0.24874751321525715</v>
      </c>
      <c r="P167" s="8">
        <f t="shared" si="19"/>
        <v>11.439837116530351</v>
      </c>
    </row>
    <row r="168" spans="1:16" x14ac:dyDescent="0.2">
      <c r="A168" s="8">
        <v>83</v>
      </c>
      <c r="B168" s="8">
        <v>166</v>
      </c>
      <c r="D168">
        <v>1387.1508231544999</v>
      </c>
      <c r="E168">
        <v>403.05523101433999</v>
      </c>
      <c r="F168">
        <v>157.40628328009001</v>
      </c>
      <c r="G168">
        <v>121.27955271566</v>
      </c>
      <c r="I168" s="9">
        <f t="shared" si="15"/>
        <v>281.77567829867996</v>
      </c>
      <c r="J168" s="9">
        <f t="shared" si="16"/>
        <v>1229.7445398744098</v>
      </c>
      <c r="K168" s="9">
        <f t="shared" si="17"/>
        <v>281.77567829867996</v>
      </c>
      <c r="L168" s="10">
        <f t="shared" si="14"/>
        <v>0.22913350631949694</v>
      </c>
      <c r="M168" s="10">
        <f t="shared" si="18"/>
        <v>0.24639504208396293</v>
      </c>
      <c r="P168" s="8">
        <f t="shared" si="19"/>
        <v>10.385921053997075</v>
      </c>
    </row>
    <row r="169" spans="1:16" x14ac:dyDescent="0.2">
      <c r="A169" s="8">
        <v>83.5</v>
      </c>
      <c r="B169" s="8">
        <v>167</v>
      </c>
      <c r="D169">
        <v>1373.8539564524999</v>
      </c>
      <c r="E169">
        <v>401.16622411046001</v>
      </c>
      <c r="F169">
        <v>157.26357827475999</v>
      </c>
      <c r="G169">
        <v>121.61661341852999</v>
      </c>
      <c r="I169" s="9">
        <f t="shared" si="15"/>
        <v>279.54961069193001</v>
      </c>
      <c r="J169" s="9">
        <f t="shared" si="16"/>
        <v>1216.5903781777399</v>
      </c>
      <c r="K169" s="9">
        <f t="shared" si="17"/>
        <v>279.54961069193001</v>
      </c>
      <c r="L169" s="10">
        <f t="shared" si="14"/>
        <v>0.22978121124930409</v>
      </c>
      <c r="M169" s="10">
        <f t="shared" si="18"/>
        <v>0.2471467321689777</v>
      </c>
      <c r="P169" s="8">
        <f t="shared" si="19"/>
        <v>10.722681086503076</v>
      </c>
    </row>
    <row r="170" spans="1:16" x14ac:dyDescent="0.2">
      <c r="A170" s="8">
        <v>84</v>
      </c>
      <c r="B170" s="8">
        <v>168</v>
      </c>
      <c r="D170">
        <v>1364.8948486458</v>
      </c>
      <c r="E170">
        <v>395.49654806159998</v>
      </c>
      <c r="F170">
        <v>157.38338658147001</v>
      </c>
      <c r="G170">
        <v>121.57294994675</v>
      </c>
      <c r="I170" s="9">
        <f t="shared" si="15"/>
        <v>273.92359811484999</v>
      </c>
      <c r="J170" s="9">
        <f t="shared" si="16"/>
        <v>1207.5114620643301</v>
      </c>
      <c r="K170" s="9">
        <f t="shared" si="17"/>
        <v>273.92359811484999</v>
      </c>
      <c r="L170" s="10">
        <f t="shared" si="14"/>
        <v>0.22684968774255554</v>
      </c>
      <c r="M170" s="10">
        <f t="shared" si="18"/>
        <v>0.24431919381743677</v>
      </c>
      <c r="P170" s="8">
        <f t="shared" si="19"/>
        <v>9.4559330926697189</v>
      </c>
    </row>
    <row r="171" spans="1:16" x14ac:dyDescent="0.2">
      <c r="A171" s="8">
        <v>84.5</v>
      </c>
      <c r="B171" s="8">
        <v>169</v>
      </c>
      <c r="D171">
        <v>1422.0708245243</v>
      </c>
      <c r="E171">
        <v>404.26955602536998</v>
      </c>
      <c r="F171">
        <v>157.70447284344999</v>
      </c>
      <c r="G171">
        <v>121.72044728435</v>
      </c>
      <c r="I171" s="9">
        <f t="shared" si="15"/>
        <v>282.54910874101995</v>
      </c>
      <c r="J171" s="9">
        <f t="shared" si="16"/>
        <v>1264.3663516808499</v>
      </c>
      <c r="K171" s="9">
        <f t="shared" si="17"/>
        <v>282.54910874101995</v>
      </c>
      <c r="L171" s="10">
        <f t="shared" si="14"/>
        <v>0.22347091755913853</v>
      </c>
      <c r="M171" s="10">
        <f t="shared" si="18"/>
        <v>0.24104440878922739</v>
      </c>
      <c r="P171" s="8">
        <f t="shared" si="19"/>
        <v>7.9888168774434858</v>
      </c>
    </row>
    <row r="172" spans="1:16" x14ac:dyDescent="0.2">
      <c r="A172" s="8">
        <v>85</v>
      </c>
      <c r="B172" s="8">
        <v>170</v>
      </c>
      <c r="D172">
        <v>1429.3467230444001</v>
      </c>
      <c r="E172">
        <v>401.80496828753002</v>
      </c>
      <c r="F172">
        <v>157.38764643238</v>
      </c>
      <c r="G172">
        <v>121.78221512247001</v>
      </c>
      <c r="I172" s="9">
        <f t="shared" si="15"/>
        <v>280.02275316506001</v>
      </c>
      <c r="J172" s="9">
        <f t="shared" si="16"/>
        <v>1271.95907661202</v>
      </c>
      <c r="K172" s="9">
        <f t="shared" si="17"/>
        <v>280.02275316506001</v>
      </c>
      <c r="L172" s="10">
        <f t="shared" si="14"/>
        <v>0.22015075666657954</v>
      </c>
      <c r="M172" s="10">
        <f t="shared" si="18"/>
        <v>0.23782823305187603</v>
      </c>
      <c r="P172" s="8">
        <f t="shared" si="19"/>
        <v>6.5479578486401806</v>
      </c>
    </row>
    <row r="173" spans="1:16" x14ac:dyDescent="0.2">
      <c r="A173" s="8">
        <v>85.5</v>
      </c>
      <c r="B173" s="8">
        <v>171</v>
      </c>
      <c r="D173">
        <v>1432.7130021142</v>
      </c>
      <c r="E173">
        <v>401.43710359407999</v>
      </c>
      <c r="F173">
        <v>157.33706070288</v>
      </c>
      <c r="G173">
        <v>121.72577209798</v>
      </c>
      <c r="I173" s="9">
        <f t="shared" si="15"/>
        <v>279.7113314961</v>
      </c>
      <c r="J173" s="9">
        <f t="shared" si="16"/>
        <v>1275.3759414113199</v>
      </c>
      <c r="K173" s="9">
        <f t="shared" si="17"/>
        <v>279.7113314961</v>
      </c>
      <c r="L173" s="10">
        <f t="shared" si="14"/>
        <v>0.21931676960016502</v>
      </c>
      <c r="M173" s="10">
        <f t="shared" si="18"/>
        <v>0.23709823114066914</v>
      </c>
      <c r="P173" s="8">
        <f t="shared" si="19"/>
        <v>6.2209142009344287</v>
      </c>
    </row>
    <row r="174" spans="1:16" x14ac:dyDescent="0.2">
      <c r="A174" s="8">
        <v>86</v>
      </c>
      <c r="B174" s="8">
        <v>172</v>
      </c>
      <c r="D174">
        <v>1433.0528541225999</v>
      </c>
      <c r="E174">
        <v>400.03382663847998</v>
      </c>
      <c r="F174">
        <v>158.15335463259001</v>
      </c>
      <c r="G174">
        <v>122.02875399361</v>
      </c>
      <c r="I174" s="9">
        <f t="shared" si="15"/>
        <v>278.00507264486998</v>
      </c>
      <c r="J174" s="9">
        <f t="shared" si="16"/>
        <v>1274.8994994900099</v>
      </c>
      <c r="K174" s="9">
        <f t="shared" si="17"/>
        <v>278.00507264486998</v>
      </c>
      <c r="L174" s="10">
        <f t="shared" si="14"/>
        <v>0.21806038260747504</v>
      </c>
      <c r="M174" s="10">
        <f t="shared" si="18"/>
        <v>0.23594582930318678</v>
      </c>
      <c r="P174" s="8">
        <f t="shared" si="19"/>
        <v>5.7046337710243966</v>
      </c>
    </row>
    <row r="175" spans="1:16" x14ac:dyDescent="0.2">
      <c r="A175" s="8">
        <v>86.5</v>
      </c>
      <c r="B175" s="8">
        <v>173</v>
      </c>
      <c r="D175">
        <v>1442.5179704017</v>
      </c>
      <c r="E175">
        <v>397.96247357293998</v>
      </c>
      <c r="F175">
        <v>157.60170394036001</v>
      </c>
      <c r="G175">
        <v>121.76624068158</v>
      </c>
      <c r="I175" s="9">
        <f t="shared" si="15"/>
        <v>276.19623289135995</v>
      </c>
      <c r="J175" s="9">
        <f t="shared" si="16"/>
        <v>1284.91626646134</v>
      </c>
      <c r="K175" s="9">
        <f t="shared" si="17"/>
        <v>276.19623289135995</v>
      </c>
      <c r="L175" s="10">
        <f t="shared" si="14"/>
        <v>0.21495270944931261</v>
      </c>
      <c r="M175" s="10">
        <f t="shared" si="18"/>
        <v>0.23294214130023197</v>
      </c>
      <c r="P175" s="8">
        <f t="shared" si="19"/>
        <v>4.3589700597715479</v>
      </c>
    </row>
    <row r="176" spans="1:16" x14ac:dyDescent="0.2">
      <c r="A176" s="8">
        <v>87</v>
      </c>
      <c r="B176" s="8">
        <v>174</v>
      </c>
      <c r="D176">
        <v>1427.7525118985</v>
      </c>
      <c r="E176">
        <v>392.45742993124998</v>
      </c>
      <c r="F176">
        <v>157.49148029819</v>
      </c>
      <c r="G176">
        <v>121.4148029819</v>
      </c>
      <c r="I176" s="9">
        <f t="shared" si="15"/>
        <v>271.04262694934999</v>
      </c>
      <c r="J176" s="9">
        <f t="shared" si="16"/>
        <v>1270.2610316003099</v>
      </c>
      <c r="K176" s="9">
        <f t="shared" si="17"/>
        <v>271.04262694934999</v>
      </c>
      <c r="L176" s="10">
        <f t="shared" si="14"/>
        <v>0.21337553479687793</v>
      </c>
      <c r="M176" s="10">
        <f t="shared" si="18"/>
        <v>0.23146895180300492</v>
      </c>
      <c r="P176" s="8">
        <f t="shared" si="19"/>
        <v>3.6989755316224469</v>
      </c>
    </row>
    <row r="177" spans="1:16" x14ac:dyDescent="0.2">
      <c r="A177" s="8">
        <v>87.5</v>
      </c>
      <c r="B177" s="8">
        <v>175</v>
      </c>
      <c r="D177">
        <v>1430.5499735589999</v>
      </c>
      <c r="E177">
        <v>389.86409307244998</v>
      </c>
      <c r="F177">
        <v>158.04898828540999</v>
      </c>
      <c r="G177">
        <v>121.68690095847001</v>
      </c>
      <c r="I177" s="9">
        <f t="shared" si="15"/>
        <v>268.17719211397997</v>
      </c>
      <c r="J177" s="9">
        <f t="shared" si="16"/>
        <v>1272.50098527359</v>
      </c>
      <c r="K177" s="9">
        <f t="shared" si="17"/>
        <v>268.17719211397997</v>
      </c>
      <c r="L177" s="10">
        <f t="shared" si="14"/>
        <v>0.2107481213905083</v>
      </c>
      <c r="M177" s="10">
        <f t="shared" si="18"/>
        <v>0.22894552355184292</v>
      </c>
      <c r="P177" s="8">
        <f t="shared" si="19"/>
        <v>2.568470025658272</v>
      </c>
    </row>
    <row r="178" spans="1:16" x14ac:dyDescent="0.2">
      <c r="A178" s="8">
        <v>88</v>
      </c>
      <c r="B178" s="8">
        <v>176</v>
      </c>
      <c r="D178">
        <v>1428.5896351137001</v>
      </c>
      <c r="E178">
        <v>387.68059227921998</v>
      </c>
      <c r="F178">
        <v>157.65601703940001</v>
      </c>
      <c r="G178">
        <v>121.93982960596</v>
      </c>
      <c r="I178" s="9">
        <f t="shared" si="15"/>
        <v>265.74076267325995</v>
      </c>
      <c r="J178" s="9">
        <f t="shared" si="16"/>
        <v>1270.9336180743001</v>
      </c>
      <c r="K178" s="9">
        <f t="shared" si="17"/>
        <v>265.74076267325995</v>
      </c>
      <c r="L178" s="10">
        <f t="shared" si="14"/>
        <v>0.20909098547248003</v>
      </c>
      <c r="M178" s="10">
        <f t="shared" si="18"/>
        <v>0.22739237278902227</v>
      </c>
      <c r="P178" s="8">
        <f t="shared" si="19"/>
        <v>1.8726525447559903</v>
      </c>
    </row>
    <row r="179" spans="1:16" x14ac:dyDescent="0.2">
      <c r="A179" s="8">
        <v>88.5</v>
      </c>
      <c r="B179" s="8">
        <v>177</v>
      </c>
      <c r="D179">
        <v>1430.7715494447</v>
      </c>
      <c r="E179">
        <v>386.74299312532997</v>
      </c>
      <c r="F179">
        <v>158.13152289670001</v>
      </c>
      <c r="G179">
        <v>121.72736954206999</v>
      </c>
      <c r="I179" s="9">
        <f t="shared" si="15"/>
        <v>265.01562358325998</v>
      </c>
      <c r="J179" s="9">
        <f t="shared" si="16"/>
        <v>1272.6400265479999</v>
      </c>
      <c r="K179" s="9">
        <f t="shared" si="17"/>
        <v>265.01562358325998</v>
      </c>
      <c r="L179" s="10">
        <f t="shared" si="14"/>
        <v>0.20824083641476165</v>
      </c>
      <c r="M179" s="10">
        <f t="shared" si="18"/>
        <v>0.22664620888651152</v>
      </c>
      <c r="P179" s="8">
        <f t="shared" si="19"/>
        <v>1.5383682631435907</v>
      </c>
    </row>
    <row r="180" spans="1:16" x14ac:dyDescent="0.2">
      <c r="A180" s="8">
        <v>89</v>
      </c>
      <c r="B180" s="8">
        <v>178</v>
      </c>
      <c r="D180">
        <v>1435.5055526177</v>
      </c>
      <c r="E180">
        <v>382.05129561079002</v>
      </c>
      <c r="F180">
        <v>157.46485623002999</v>
      </c>
      <c r="G180">
        <v>121.39243876464</v>
      </c>
      <c r="I180" s="9">
        <f t="shared" si="15"/>
        <v>260.65885684615</v>
      </c>
      <c r="J180" s="9">
        <f t="shared" si="16"/>
        <v>1278.0406963876701</v>
      </c>
      <c r="K180" s="9">
        <f t="shared" si="17"/>
        <v>260.65885684615</v>
      </c>
      <c r="L180" s="10">
        <f t="shared" si="14"/>
        <v>0.20395192233149667</v>
      </c>
      <c r="M180" s="10">
        <f t="shared" si="18"/>
        <v>0.22246127995845416</v>
      </c>
      <c r="P180" s="8">
        <f t="shared" si="19"/>
        <v>-0.33649589955213843</v>
      </c>
    </row>
    <row r="181" spans="1:16" x14ac:dyDescent="0.2">
      <c r="A181" s="8">
        <v>89.5</v>
      </c>
      <c r="B181" s="8">
        <v>179</v>
      </c>
      <c r="D181">
        <v>1439.4685351666001</v>
      </c>
      <c r="E181">
        <v>381.88418826018</v>
      </c>
      <c r="F181">
        <v>158.63791267305999</v>
      </c>
      <c r="G181">
        <v>122.04100106496</v>
      </c>
      <c r="I181" s="9">
        <f t="shared" si="15"/>
        <v>259.84318719522003</v>
      </c>
      <c r="J181" s="9">
        <f t="shared" si="16"/>
        <v>1280.83062249354</v>
      </c>
      <c r="K181" s="9">
        <f t="shared" si="17"/>
        <v>259.84318719522003</v>
      </c>
      <c r="L181" s="10">
        <f t="shared" si="14"/>
        <v>0.2028708422737063</v>
      </c>
      <c r="M181" s="10">
        <f t="shared" si="18"/>
        <v>0.22148418505587142</v>
      </c>
      <c r="P181" s="8">
        <f t="shared" si="19"/>
        <v>-0.77423815226356862</v>
      </c>
    </row>
    <row r="182" spans="1:16" x14ac:dyDescent="0.2">
      <c r="A182" s="8">
        <v>90</v>
      </c>
      <c r="B182" s="8">
        <v>180</v>
      </c>
      <c r="D182">
        <v>1422.5774722368999</v>
      </c>
      <c r="E182">
        <v>370.51454257006998</v>
      </c>
      <c r="F182">
        <v>158.07188498402999</v>
      </c>
      <c r="G182">
        <v>121.80937167198999</v>
      </c>
      <c r="I182" s="9">
        <f t="shared" si="15"/>
        <v>248.70517089807998</v>
      </c>
      <c r="J182" s="9">
        <f t="shared" si="16"/>
        <v>1264.5055872528699</v>
      </c>
      <c r="K182" s="9">
        <f t="shared" si="17"/>
        <v>248.70517089807998</v>
      </c>
      <c r="L182" s="10">
        <f t="shared" si="14"/>
        <v>0.19668174929807178</v>
      </c>
      <c r="M182" s="10">
        <f>L182+ABS($N$2)*A182</f>
        <v>0.21539907723544452</v>
      </c>
      <c r="P182" s="8">
        <f t="shared" si="19"/>
        <v>-3.5003897249149709</v>
      </c>
    </row>
    <row r="183" spans="1:16" x14ac:dyDescent="0.2">
      <c r="A183" s="8">
        <v>90.5</v>
      </c>
      <c r="B183" s="8">
        <v>181</v>
      </c>
      <c r="D183">
        <v>1427.5811739820001</v>
      </c>
      <c r="E183">
        <v>372.08302485457</v>
      </c>
      <c r="F183">
        <v>157.89084132055001</v>
      </c>
      <c r="G183">
        <v>121.65548455804</v>
      </c>
      <c r="I183" s="9">
        <f t="shared" si="15"/>
        <v>250.42754029653</v>
      </c>
      <c r="J183" s="9">
        <f t="shared" si="16"/>
        <v>1269.6903326614502</v>
      </c>
      <c r="K183" s="9">
        <f t="shared" si="17"/>
        <v>250.42754029653</v>
      </c>
      <c r="L183" s="10">
        <f t="shared" si="14"/>
        <v>0.19723513194874731</v>
      </c>
      <c r="M183" s="10">
        <f t="shared" ref="M183:M241" si="20">L183+ABS($N$2)*A183</f>
        <v>0.21605644504132768</v>
      </c>
      <c r="P183" s="8">
        <f t="shared" si="19"/>
        <v>-3.2058864341428692</v>
      </c>
    </row>
    <row r="184" spans="1:16" x14ac:dyDescent="0.2">
      <c r="A184" s="8">
        <v>91</v>
      </c>
      <c r="B184" s="8">
        <v>182</v>
      </c>
      <c r="D184">
        <v>1427.2649391856</v>
      </c>
      <c r="E184">
        <v>370.90163934425999</v>
      </c>
      <c r="F184">
        <v>157.80085197017999</v>
      </c>
      <c r="G184">
        <v>121.41693290735</v>
      </c>
      <c r="I184" s="9">
        <f t="shared" si="15"/>
        <v>249.48470643690999</v>
      </c>
      <c r="J184" s="9">
        <f t="shared" si="16"/>
        <v>1269.46408721542</v>
      </c>
      <c r="K184" s="9">
        <f t="shared" si="17"/>
        <v>249.48470643690999</v>
      </c>
      <c r="L184" s="10">
        <f t="shared" si="14"/>
        <v>0.1965275811654954</v>
      </c>
      <c r="M184" s="10">
        <f t="shared" si="20"/>
        <v>0.21545287941328339</v>
      </c>
      <c r="P184" s="8">
        <f t="shared" si="19"/>
        <v>-3.4762861435067407</v>
      </c>
    </row>
    <row r="185" spans="1:16" x14ac:dyDescent="0.2">
      <c r="A185" s="8">
        <v>91.5</v>
      </c>
      <c r="B185" s="8">
        <v>183</v>
      </c>
      <c r="D185">
        <v>1428.3305129560999</v>
      </c>
      <c r="E185">
        <v>370.10153358012002</v>
      </c>
      <c r="F185">
        <v>158.34984025559001</v>
      </c>
      <c r="G185">
        <v>121.48296059638</v>
      </c>
      <c r="I185" s="9">
        <f t="shared" si="15"/>
        <v>248.61857298374002</v>
      </c>
      <c r="J185" s="9">
        <f t="shared" si="16"/>
        <v>1269.98067270051</v>
      </c>
      <c r="K185" s="9">
        <f t="shared" si="17"/>
        <v>248.61857298374002</v>
      </c>
      <c r="L185" s="10">
        <f t="shared" si="14"/>
        <v>0.19576563512188966</v>
      </c>
      <c r="M185" s="10">
        <f t="shared" si="20"/>
        <v>0.21479491852488528</v>
      </c>
      <c r="P185" s="8">
        <f t="shared" si="19"/>
        <v>-3.771055137513458</v>
      </c>
    </row>
    <row r="186" spans="1:16" x14ac:dyDescent="0.2">
      <c r="A186" s="8">
        <v>92</v>
      </c>
      <c r="B186" s="8">
        <v>184</v>
      </c>
      <c r="D186">
        <v>1431.6546800635001</v>
      </c>
      <c r="E186">
        <v>368.11316763616998</v>
      </c>
      <c r="F186">
        <v>157.96006389775999</v>
      </c>
      <c r="G186">
        <v>121.7066027689</v>
      </c>
      <c r="I186" s="9">
        <f t="shared" si="15"/>
        <v>246.40656486726999</v>
      </c>
      <c r="J186" s="9">
        <f t="shared" si="16"/>
        <v>1273.6946161657402</v>
      </c>
      <c r="K186" s="9">
        <f t="shared" si="17"/>
        <v>246.40656486726999</v>
      </c>
      <c r="L186" s="10">
        <f t="shared" si="14"/>
        <v>0.19345811919111244</v>
      </c>
      <c r="M186" s="10">
        <f t="shared" si="20"/>
        <v>0.21259138774931569</v>
      </c>
      <c r="P186" s="8">
        <f t="shared" si="19"/>
        <v>-4.758245351142798</v>
      </c>
    </row>
    <row r="187" spans="1:16" x14ac:dyDescent="0.2">
      <c r="A187" s="8">
        <v>92.5</v>
      </c>
      <c r="B187" s="8">
        <v>185</v>
      </c>
      <c r="D187">
        <v>1476.8124006359001</v>
      </c>
      <c r="E187">
        <v>371.97350291468001</v>
      </c>
      <c r="F187">
        <v>158.42758253461</v>
      </c>
      <c r="G187">
        <v>121.84877529287</v>
      </c>
      <c r="I187" s="9">
        <f t="shared" si="15"/>
        <v>250.12472762181</v>
      </c>
      <c r="J187" s="9">
        <f t="shared" si="16"/>
        <v>1318.38481810129</v>
      </c>
      <c r="K187" s="9">
        <f t="shared" si="17"/>
        <v>250.12472762181</v>
      </c>
      <c r="L187" s="10">
        <f t="shared" si="14"/>
        <v>0.18972057641109244</v>
      </c>
      <c r="M187" s="10">
        <f t="shared" si="20"/>
        <v>0.20895783012450331</v>
      </c>
      <c r="P187" s="8">
        <f t="shared" si="19"/>
        <v>-6.3860930615728213</v>
      </c>
    </row>
    <row r="188" spans="1:16" x14ac:dyDescent="0.2">
      <c r="A188" s="8">
        <v>93</v>
      </c>
      <c r="B188" s="8">
        <v>186</v>
      </c>
      <c r="D188">
        <v>1474.0238473767999</v>
      </c>
      <c r="E188">
        <v>368.33492315845001</v>
      </c>
      <c r="F188">
        <v>158.25133120340999</v>
      </c>
      <c r="G188">
        <v>121.89723109691001</v>
      </c>
      <c r="I188" s="9">
        <f t="shared" si="15"/>
        <v>246.43769206154002</v>
      </c>
      <c r="J188" s="9">
        <f t="shared" si="16"/>
        <v>1315.7725161733899</v>
      </c>
      <c r="K188" s="9">
        <f t="shared" si="17"/>
        <v>246.43769206154002</v>
      </c>
      <c r="L188" s="10">
        <f t="shared" si="14"/>
        <v>0.18729505977085248</v>
      </c>
      <c r="M188" s="10">
        <f t="shared" si="20"/>
        <v>0.20663629863947097</v>
      </c>
      <c r="P188" s="8">
        <f t="shared" si="19"/>
        <v>-7.4261480442693557</v>
      </c>
    </row>
    <row r="189" spans="1:16" x14ac:dyDescent="0.2">
      <c r="A189" s="8">
        <v>93.5</v>
      </c>
      <c r="B189" s="8">
        <v>187</v>
      </c>
      <c r="D189">
        <v>1474.2093269740001</v>
      </c>
      <c r="E189">
        <v>367.46157922628998</v>
      </c>
      <c r="F189">
        <v>158.19755058573</v>
      </c>
      <c r="G189">
        <v>121.82268370606999</v>
      </c>
      <c r="I189" s="9">
        <f t="shared" si="15"/>
        <v>245.63889552021999</v>
      </c>
      <c r="J189" s="9">
        <f t="shared" si="16"/>
        <v>1316.0117763882702</v>
      </c>
      <c r="K189" s="9">
        <f t="shared" si="17"/>
        <v>245.63889552021999</v>
      </c>
      <c r="L189" s="10">
        <f t="shared" si="14"/>
        <v>0.18665402538749606</v>
      </c>
      <c r="M189" s="10">
        <f t="shared" si="20"/>
        <v>0.20609924941132221</v>
      </c>
      <c r="P189" s="8">
        <f t="shared" si="19"/>
        <v>-7.6667481521251695</v>
      </c>
    </row>
    <row r="190" spans="1:16" x14ac:dyDescent="0.2">
      <c r="A190" s="8">
        <v>94</v>
      </c>
      <c r="B190" s="8">
        <v>188</v>
      </c>
      <c r="D190">
        <v>1446.7302596714001</v>
      </c>
      <c r="E190">
        <v>359.83571807100998</v>
      </c>
      <c r="F190">
        <v>158.58253461128999</v>
      </c>
      <c r="G190">
        <v>121.91267305644</v>
      </c>
      <c r="I190" s="9">
        <f t="shared" si="15"/>
        <v>237.92304501456999</v>
      </c>
      <c r="J190" s="9">
        <f t="shared" si="16"/>
        <v>1288.1477250601101</v>
      </c>
      <c r="K190" s="9">
        <f t="shared" si="17"/>
        <v>237.92304501456999</v>
      </c>
      <c r="L190" s="10">
        <f t="shared" si="14"/>
        <v>0.18470167697844403</v>
      </c>
      <c r="M190" s="10">
        <f t="shared" si="20"/>
        <v>0.2042508861574778</v>
      </c>
      <c r="P190" s="8">
        <f t="shared" si="19"/>
        <v>-8.4948219578815802</v>
      </c>
    </row>
    <row r="191" spans="1:16" x14ac:dyDescent="0.2">
      <c r="A191" s="8">
        <v>94.5</v>
      </c>
      <c r="B191" s="8">
        <v>189</v>
      </c>
      <c r="D191">
        <v>1460.9962904081001</v>
      </c>
      <c r="E191">
        <v>359.70323264440998</v>
      </c>
      <c r="F191">
        <v>158.13152289670001</v>
      </c>
      <c r="G191">
        <v>121.85516506922001</v>
      </c>
      <c r="I191" s="9">
        <f t="shared" si="15"/>
        <v>237.84806757518999</v>
      </c>
      <c r="J191" s="9">
        <f t="shared" si="16"/>
        <v>1302.8647675114</v>
      </c>
      <c r="K191" s="9">
        <f t="shared" si="17"/>
        <v>237.84806757518999</v>
      </c>
      <c r="L191" s="10">
        <f t="shared" si="14"/>
        <v>0.18255775542192548</v>
      </c>
      <c r="M191" s="10">
        <f t="shared" si="20"/>
        <v>0.20221094975616688</v>
      </c>
      <c r="P191" s="8">
        <f t="shared" si="19"/>
        <v>-9.4087212662676158</v>
      </c>
    </row>
    <row r="192" spans="1:16" x14ac:dyDescent="0.2">
      <c r="A192" s="8">
        <v>95</v>
      </c>
      <c r="B192" s="8">
        <v>190</v>
      </c>
      <c r="D192">
        <v>1441.0902335456999</v>
      </c>
      <c r="E192">
        <v>356.24097664544001</v>
      </c>
      <c r="F192">
        <v>158.80138445154</v>
      </c>
      <c r="G192">
        <v>121.54526091587</v>
      </c>
      <c r="I192" s="9">
        <f t="shared" si="15"/>
        <v>234.69571572957</v>
      </c>
      <c r="J192" s="9">
        <f t="shared" si="16"/>
        <v>1282.28884909416</v>
      </c>
      <c r="K192" s="9">
        <f t="shared" si="17"/>
        <v>234.69571572957</v>
      </c>
      <c r="L192" s="10">
        <f t="shared" si="14"/>
        <v>0.18302874262329019</v>
      </c>
      <c r="M192" s="10">
        <f t="shared" si="20"/>
        <v>0.20278592211273921</v>
      </c>
      <c r="P192" s="8">
        <f t="shared" si="19"/>
        <v>-9.1511314518621951</v>
      </c>
    </row>
    <row r="193" spans="1:16" x14ac:dyDescent="0.2">
      <c r="A193" s="8">
        <v>95.5</v>
      </c>
      <c r="B193" s="8">
        <v>191</v>
      </c>
      <c r="D193">
        <v>1450.3954352441999</v>
      </c>
      <c r="E193">
        <v>353.80360934183</v>
      </c>
      <c r="F193">
        <v>158.41693290735</v>
      </c>
      <c r="G193">
        <v>121.90149094781999</v>
      </c>
      <c r="I193" s="9">
        <f t="shared" si="15"/>
        <v>231.90211839401002</v>
      </c>
      <c r="J193" s="9">
        <f t="shared" si="16"/>
        <v>1291.9785023368499</v>
      </c>
      <c r="K193" s="9">
        <f t="shared" si="17"/>
        <v>231.90211839401002</v>
      </c>
      <c r="L193" s="10">
        <f t="shared" si="14"/>
        <v>0.17949379031815155</v>
      </c>
      <c r="M193" s="10">
        <f t="shared" si="20"/>
        <v>0.1993549549628082</v>
      </c>
      <c r="P193" s="8">
        <f t="shared" si="19"/>
        <v>-10.688217854851118</v>
      </c>
    </row>
    <row r="194" spans="1:16" x14ac:dyDescent="0.2">
      <c r="A194" s="8">
        <v>96</v>
      </c>
      <c r="B194" s="8">
        <v>192</v>
      </c>
      <c r="D194">
        <v>1447.3126326964</v>
      </c>
      <c r="E194">
        <v>351.95116772824002</v>
      </c>
      <c r="F194">
        <v>158.19542066028001</v>
      </c>
      <c r="G194">
        <v>122.04526091587</v>
      </c>
      <c r="I194" s="9">
        <f t="shared" si="15"/>
        <v>229.90590681237001</v>
      </c>
      <c r="J194" s="9">
        <f t="shared" si="16"/>
        <v>1289.11721203612</v>
      </c>
      <c r="K194" s="9">
        <f t="shared" si="17"/>
        <v>229.90590681237001</v>
      </c>
      <c r="L194" s="10">
        <f t="shared" ref="L194:L257" si="21">K194/J194</f>
        <v>0.17834367943101223</v>
      </c>
      <c r="M194" s="10">
        <f t="shared" si="20"/>
        <v>0.1983088292308765</v>
      </c>
      <c r="P194" s="8">
        <f t="shared" si="19"/>
        <v>-11.156886183080774</v>
      </c>
    </row>
    <row r="195" spans="1:16" x14ac:dyDescent="0.2">
      <c r="A195" s="8">
        <v>96.5</v>
      </c>
      <c r="B195" s="8">
        <v>193</v>
      </c>
      <c r="D195">
        <v>1464.5382165604999</v>
      </c>
      <c r="E195">
        <v>351.45010615710999</v>
      </c>
      <c r="F195">
        <v>159.07561235356999</v>
      </c>
      <c r="G195">
        <v>122.0159744409</v>
      </c>
      <c r="I195" s="9">
        <f t="shared" ref="I195:I241" si="22">E195-G195</f>
        <v>229.43413171621</v>
      </c>
      <c r="J195" s="9">
        <f t="shared" ref="J195:J241" si="23">D195-F195</f>
        <v>1305.4626042069299</v>
      </c>
      <c r="K195" s="9">
        <f t="shared" ref="K195:K258" si="24">I195*1</f>
        <v>229.43413171621</v>
      </c>
      <c r="L195" s="10">
        <f t="shared" si="21"/>
        <v>0.17574929452352372</v>
      </c>
      <c r="M195" s="10">
        <f t="shared" si="20"/>
        <v>0.19581842947859562</v>
      </c>
      <c r="P195" s="8">
        <f t="shared" ref="P195:P241" si="25">(M195-$O$2)/$O$2*100</f>
        <v>-12.272594795247137</v>
      </c>
    </row>
    <row r="196" spans="1:16" x14ac:dyDescent="0.2">
      <c r="A196" s="8">
        <v>97</v>
      </c>
      <c r="B196" s="8">
        <v>194</v>
      </c>
      <c r="D196">
        <v>1475.0493630573001</v>
      </c>
      <c r="E196">
        <v>348.71815286624002</v>
      </c>
      <c r="F196">
        <v>157.91267305644001</v>
      </c>
      <c r="G196">
        <v>121.90042598509</v>
      </c>
      <c r="I196" s="9">
        <f t="shared" si="22"/>
        <v>226.81772688115001</v>
      </c>
      <c r="J196" s="9">
        <f t="shared" si="23"/>
        <v>1317.13669000086</v>
      </c>
      <c r="K196" s="9">
        <f t="shared" si="24"/>
        <v>226.81772688115001</v>
      </c>
      <c r="L196" s="10">
        <f t="shared" si="21"/>
        <v>0.17220515425851657</v>
      </c>
      <c r="M196" s="10">
        <f t="shared" si="20"/>
        <v>0.19237827436879609</v>
      </c>
      <c r="P196" s="8">
        <f t="shared" si="25"/>
        <v>-13.813797439391379</v>
      </c>
    </row>
    <row r="197" spans="1:16" x14ac:dyDescent="0.2">
      <c r="A197" s="8">
        <v>97.5</v>
      </c>
      <c r="B197" s="8">
        <v>195</v>
      </c>
      <c r="D197">
        <v>1452.3550955414</v>
      </c>
      <c r="E197">
        <v>347.06263269638998</v>
      </c>
      <c r="F197">
        <v>158.23695420659999</v>
      </c>
      <c r="G197">
        <v>122.03194888179</v>
      </c>
      <c r="I197" s="9">
        <f t="shared" si="22"/>
        <v>225.03068381459997</v>
      </c>
      <c r="J197" s="9">
        <f t="shared" si="23"/>
        <v>1294.1181413347999</v>
      </c>
      <c r="K197" s="9">
        <f t="shared" si="24"/>
        <v>225.03068381459997</v>
      </c>
      <c r="L197" s="10">
        <f t="shared" si="21"/>
        <v>0.1738872801694096</v>
      </c>
      <c r="M197" s="10">
        <f t="shared" si="20"/>
        <v>0.19416438543489675</v>
      </c>
      <c r="P197" s="8">
        <f t="shared" si="25"/>
        <v>-13.013612851792933</v>
      </c>
    </row>
    <row r="198" spans="1:16" x14ac:dyDescent="0.2">
      <c r="A198" s="8">
        <v>98</v>
      </c>
      <c r="B198" s="8">
        <v>196</v>
      </c>
      <c r="D198">
        <v>1452.2006369426999</v>
      </c>
      <c r="E198">
        <v>344.35138004245999</v>
      </c>
      <c r="F198">
        <v>158.27050053248001</v>
      </c>
      <c r="G198">
        <v>122.17571884984</v>
      </c>
      <c r="I198" s="9">
        <f t="shared" si="22"/>
        <v>222.17566119262</v>
      </c>
      <c r="J198" s="9">
        <f t="shared" si="23"/>
        <v>1293.9301364102198</v>
      </c>
      <c r="K198" s="9">
        <f t="shared" si="24"/>
        <v>222.17566119262</v>
      </c>
      <c r="L198" s="10">
        <f t="shared" si="21"/>
        <v>0.1717060720210189</v>
      </c>
      <c r="M198" s="10">
        <f t="shared" si="20"/>
        <v>0.19208716244171367</v>
      </c>
      <c r="P198" s="8">
        <f t="shared" si="25"/>
        <v>-13.944216695919467</v>
      </c>
    </row>
    <row r="199" spans="1:16" x14ac:dyDescent="0.2">
      <c r="A199" s="8">
        <v>98.5</v>
      </c>
      <c r="B199" s="8">
        <v>197</v>
      </c>
      <c r="D199">
        <v>1427.0695329087</v>
      </c>
      <c r="E199">
        <v>335.09501061571001</v>
      </c>
      <c r="F199">
        <v>158.36954206602999</v>
      </c>
      <c r="G199">
        <v>122.16826411076001</v>
      </c>
      <c r="I199" s="9">
        <f t="shared" si="22"/>
        <v>212.92674650495002</v>
      </c>
      <c r="J199" s="9">
        <f t="shared" si="23"/>
        <v>1268.6999908426701</v>
      </c>
      <c r="K199" s="9">
        <f t="shared" si="24"/>
        <v>212.92674650495002</v>
      </c>
      <c r="L199" s="10">
        <f t="shared" si="21"/>
        <v>0.16783065188131999</v>
      </c>
      <c r="M199" s="10">
        <f t="shared" si="20"/>
        <v>0.18831572745722239</v>
      </c>
      <c r="P199" s="8">
        <f t="shared" si="25"/>
        <v>-15.633833990720683</v>
      </c>
    </row>
    <row r="200" spans="1:16" x14ac:dyDescent="0.2">
      <c r="A200" s="8">
        <v>99</v>
      </c>
      <c r="B200" s="8">
        <v>198</v>
      </c>
      <c r="D200">
        <v>1413.9730158729999</v>
      </c>
      <c r="E200">
        <v>333.58095238095001</v>
      </c>
      <c r="F200">
        <v>157.97177848774999</v>
      </c>
      <c r="G200">
        <v>121.64802981896</v>
      </c>
      <c r="I200" s="9">
        <f t="shared" si="22"/>
        <v>211.93292256199001</v>
      </c>
      <c r="J200" s="9">
        <f t="shared" si="23"/>
        <v>1256.0012373852499</v>
      </c>
      <c r="K200" s="9">
        <f t="shared" si="24"/>
        <v>211.93292256199001</v>
      </c>
      <c r="L200" s="10">
        <f t="shared" si="21"/>
        <v>0.16873623707823179</v>
      </c>
      <c r="M200" s="10">
        <f t="shared" si="20"/>
        <v>0.18932529780934182</v>
      </c>
      <c r="P200" s="8">
        <f t="shared" si="25"/>
        <v>-15.181542612432578</v>
      </c>
    </row>
    <row r="201" spans="1:16" x14ac:dyDescent="0.2">
      <c r="A201" s="8">
        <v>99.5</v>
      </c>
      <c r="B201" s="8">
        <v>199</v>
      </c>
      <c r="D201">
        <v>1456.7388771185999</v>
      </c>
      <c r="E201">
        <v>339.37447033898002</v>
      </c>
      <c r="F201">
        <v>158.36741214058</v>
      </c>
      <c r="G201">
        <v>121.72683706070001</v>
      </c>
      <c r="I201" s="9">
        <f t="shared" si="22"/>
        <v>217.64763327828001</v>
      </c>
      <c r="J201" s="9">
        <f t="shared" si="23"/>
        <v>1298.37146497802</v>
      </c>
      <c r="K201" s="9">
        <f t="shared" si="24"/>
        <v>217.64763327828001</v>
      </c>
      <c r="L201" s="10">
        <f t="shared" si="21"/>
        <v>0.16763125126287687</v>
      </c>
      <c r="M201" s="10">
        <f t="shared" si="20"/>
        <v>0.18832429714919452</v>
      </c>
      <c r="P201" s="8">
        <f t="shared" si="25"/>
        <v>-15.629994735947164</v>
      </c>
    </row>
    <row r="202" spans="1:16" x14ac:dyDescent="0.2">
      <c r="A202" s="8">
        <v>100</v>
      </c>
      <c r="B202" s="8">
        <v>200</v>
      </c>
      <c r="D202">
        <v>1480.7547669492001</v>
      </c>
      <c r="E202">
        <v>338.93538135593002</v>
      </c>
      <c r="F202">
        <v>158.39456869009999</v>
      </c>
      <c r="G202">
        <v>121.99680511182</v>
      </c>
      <c r="I202" s="9">
        <f t="shared" si="22"/>
        <v>216.93857624411004</v>
      </c>
      <c r="J202" s="9">
        <f t="shared" si="23"/>
        <v>1322.3601982591001</v>
      </c>
      <c r="K202" s="9">
        <f t="shared" si="24"/>
        <v>216.93857624411004</v>
      </c>
      <c r="L202" s="10">
        <f t="shared" si="21"/>
        <v>0.16405407280838591</v>
      </c>
      <c r="M202" s="10">
        <f t="shared" si="20"/>
        <v>0.18485110384991119</v>
      </c>
      <c r="P202" s="8">
        <f t="shared" si="25"/>
        <v>-17.185998615316272</v>
      </c>
    </row>
    <row r="203" spans="1:16" x14ac:dyDescent="0.2">
      <c r="A203" s="8">
        <v>100.5</v>
      </c>
      <c r="B203" s="8">
        <v>201</v>
      </c>
      <c r="D203">
        <v>1494.1980932203001</v>
      </c>
      <c r="E203">
        <v>337.74576271185998</v>
      </c>
      <c r="F203">
        <v>158.72843450478999</v>
      </c>
      <c r="G203">
        <v>121.69435569754999</v>
      </c>
      <c r="I203" s="9">
        <f t="shared" si="22"/>
        <v>216.05140701430997</v>
      </c>
      <c r="J203" s="9">
        <f t="shared" si="23"/>
        <v>1335.4696587155101</v>
      </c>
      <c r="K203" s="9">
        <f t="shared" si="24"/>
        <v>216.05140701430997</v>
      </c>
      <c r="L203" s="10">
        <f t="shared" si="21"/>
        <v>0.16177934526952406</v>
      </c>
      <c r="M203" s="10">
        <f t="shared" si="20"/>
        <v>0.18268036146625696</v>
      </c>
      <c r="P203" s="8">
        <f t="shared" si="25"/>
        <v>-18.158499503986615</v>
      </c>
    </row>
    <row r="204" spans="1:16" x14ac:dyDescent="0.2">
      <c r="A204" s="8">
        <v>101</v>
      </c>
      <c r="B204" s="8">
        <v>202</v>
      </c>
      <c r="D204">
        <v>1479.2325211863999</v>
      </c>
      <c r="E204">
        <v>335.76853813559001</v>
      </c>
      <c r="F204">
        <v>158.84771033013999</v>
      </c>
      <c r="G204">
        <v>121.95740149095001</v>
      </c>
      <c r="I204" s="9">
        <f t="shared" si="22"/>
        <v>213.81113664463999</v>
      </c>
      <c r="J204" s="9">
        <f t="shared" si="23"/>
        <v>1320.3848108562599</v>
      </c>
      <c r="K204" s="9">
        <f t="shared" si="24"/>
        <v>213.81113664463999</v>
      </c>
      <c r="L204" s="10">
        <f t="shared" si="21"/>
        <v>0.16193092717113658</v>
      </c>
      <c r="M204" s="10">
        <f t="shared" si="20"/>
        <v>0.18293592852307711</v>
      </c>
      <c r="P204" s="8">
        <f t="shared" si="25"/>
        <v>-18.044004485257556</v>
      </c>
    </row>
    <row r="205" spans="1:16" x14ac:dyDescent="0.2">
      <c r="A205" s="8">
        <v>101.5</v>
      </c>
      <c r="B205" s="8">
        <v>203</v>
      </c>
      <c r="D205">
        <v>1453.8845338983001</v>
      </c>
      <c r="E205">
        <v>333.9030720339</v>
      </c>
      <c r="F205">
        <v>158.42971246005999</v>
      </c>
      <c r="G205">
        <v>121.99680511182</v>
      </c>
      <c r="I205" s="9">
        <f t="shared" si="22"/>
        <v>211.90626692208002</v>
      </c>
      <c r="J205" s="9">
        <f t="shared" si="23"/>
        <v>1295.4548214382401</v>
      </c>
      <c r="K205" s="9">
        <f t="shared" si="24"/>
        <v>211.90626692208002</v>
      </c>
      <c r="L205" s="10">
        <f t="shared" si="21"/>
        <v>0.1635767326002287</v>
      </c>
      <c r="M205" s="10">
        <f t="shared" si="20"/>
        <v>0.18468571910737686</v>
      </c>
      <c r="P205" s="8">
        <f t="shared" si="25"/>
        <v>-17.260091612393339</v>
      </c>
    </row>
    <row r="206" spans="1:16" x14ac:dyDescent="0.2">
      <c r="A206" s="8">
        <v>102</v>
      </c>
      <c r="B206" s="8">
        <v>204</v>
      </c>
      <c r="D206">
        <v>1421.3050847458001</v>
      </c>
      <c r="E206">
        <v>327.95497881355999</v>
      </c>
      <c r="F206">
        <v>158.26251331202999</v>
      </c>
      <c r="G206">
        <v>121.57082002129999</v>
      </c>
      <c r="I206" s="9">
        <f t="shared" si="22"/>
        <v>206.38415879226</v>
      </c>
      <c r="J206" s="9">
        <f t="shared" si="23"/>
        <v>1263.04257143377</v>
      </c>
      <c r="K206" s="9">
        <f t="shared" si="24"/>
        <v>206.38415879226</v>
      </c>
      <c r="L206" s="10">
        <f t="shared" si="21"/>
        <v>0.16340237729119342</v>
      </c>
      <c r="M206" s="10">
        <f t="shared" si="20"/>
        <v>0.1846153489535492</v>
      </c>
      <c r="P206" s="8">
        <f t="shared" si="25"/>
        <v>-17.291617710399525</v>
      </c>
    </row>
    <row r="207" spans="1:16" x14ac:dyDescent="0.2">
      <c r="A207" s="8">
        <v>102.5</v>
      </c>
      <c r="B207" s="8">
        <v>205</v>
      </c>
      <c r="D207">
        <v>1400.9595314164001</v>
      </c>
      <c r="E207">
        <v>326.96538871140001</v>
      </c>
      <c r="F207">
        <v>158.27689030884</v>
      </c>
      <c r="G207">
        <v>121.67039403621</v>
      </c>
      <c r="I207" s="9">
        <f t="shared" si="22"/>
        <v>205.29499467519003</v>
      </c>
      <c r="J207" s="9">
        <f t="shared" si="23"/>
        <v>1242.6826411075601</v>
      </c>
      <c r="K207" s="9">
        <f t="shared" si="24"/>
        <v>205.29499467519003</v>
      </c>
      <c r="L207" s="10">
        <f t="shared" si="21"/>
        <v>0.16520307589733263</v>
      </c>
      <c r="M207" s="10">
        <f t="shared" si="20"/>
        <v>0.18652003271489603</v>
      </c>
      <c r="P207" s="8">
        <f t="shared" si="25"/>
        <v>-16.438312101915667</v>
      </c>
    </row>
    <row r="208" spans="1:16" x14ac:dyDescent="0.2">
      <c r="A208" s="8">
        <v>103</v>
      </c>
      <c r="B208" s="8">
        <v>206</v>
      </c>
      <c r="D208">
        <v>1393.4387646432001</v>
      </c>
      <c r="E208">
        <v>325.00479233226997</v>
      </c>
      <c r="F208">
        <v>158.38391906282999</v>
      </c>
      <c r="G208">
        <v>121.7875399361</v>
      </c>
      <c r="I208" s="9">
        <f t="shared" si="22"/>
        <v>203.21725239616995</v>
      </c>
      <c r="J208" s="9">
        <f t="shared" si="23"/>
        <v>1235.0548455803701</v>
      </c>
      <c r="K208" s="9">
        <f t="shared" si="24"/>
        <v>203.21725239616995</v>
      </c>
      <c r="L208" s="10">
        <f t="shared" si="21"/>
        <v>0.16454107534040341</v>
      </c>
      <c r="M208" s="10">
        <f t="shared" si="20"/>
        <v>0.18596201731317444</v>
      </c>
      <c r="P208" s="8">
        <f t="shared" si="25"/>
        <v>-16.688305135705544</v>
      </c>
    </row>
    <row r="209" spans="1:16" x14ac:dyDescent="0.2">
      <c r="A209" s="8">
        <v>103.5</v>
      </c>
      <c r="B209" s="8">
        <v>207</v>
      </c>
      <c r="D209">
        <v>1451.0905218317</v>
      </c>
      <c r="E209">
        <v>326.06869009585</v>
      </c>
      <c r="F209">
        <v>158.24547390840999</v>
      </c>
      <c r="G209">
        <v>121.73162939297001</v>
      </c>
      <c r="I209" s="9">
        <f t="shared" si="22"/>
        <v>204.33706070288</v>
      </c>
      <c r="J209" s="9">
        <f t="shared" si="23"/>
        <v>1292.8450479232899</v>
      </c>
      <c r="K209" s="9">
        <f t="shared" si="24"/>
        <v>204.33706070288</v>
      </c>
      <c r="L209" s="10">
        <f t="shared" si="21"/>
        <v>0.158052243794497</v>
      </c>
      <c r="M209" s="10">
        <f t="shared" si="20"/>
        <v>0.17957717092247566</v>
      </c>
      <c r="P209" s="8">
        <f t="shared" si="25"/>
        <v>-19.548740734021695</v>
      </c>
    </row>
    <row r="210" spans="1:16" x14ac:dyDescent="0.2">
      <c r="A210" s="8">
        <v>104</v>
      </c>
      <c r="B210" s="8">
        <v>208</v>
      </c>
      <c r="D210">
        <v>1443.6512247071</v>
      </c>
      <c r="E210">
        <v>326.40308839190999</v>
      </c>
      <c r="F210">
        <v>157.77635782748001</v>
      </c>
      <c r="G210">
        <v>121.56176783813</v>
      </c>
      <c r="I210" s="9">
        <f t="shared" si="22"/>
        <v>204.84132055378001</v>
      </c>
      <c r="J210" s="9">
        <f t="shared" si="23"/>
        <v>1285.87486687962</v>
      </c>
      <c r="K210" s="9">
        <f t="shared" si="24"/>
        <v>204.84132055378001</v>
      </c>
      <c r="L210" s="10">
        <f t="shared" si="21"/>
        <v>0.1593011309497479</v>
      </c>
      <c r="M210" s="10">
        <f t="shared" si="20"/>
        <v>0.18093004323293418</v>
      </c>
      <c r="P210" s="8">
        <f t="shared" si="25"/>
        <v>-18.94264876563085</v>
      </c>
    </row>
    <row r="211" spans="1:16" x14ac:dyDescent="0.2">
      <c r="A211" s="8">
        <v>104.5</v>
      </c>
      <c r="B211" s="8">
        <v>209</v>
      </c>
      <c r="D211">
        <v>1408.8833865815</v>
      </c>
      <c r="E211">
        <v>324</v>
      </c>
      <c r="F211">
        <v>158.47497337593001</v>
      </c>
      <c r="G211">
        <v>121.52768903088</v>
      </c>
      <c r="I211" s="9">
        <f t="shared" si="22"/>
        <v>202.47231096912</v>
      </c>
      <c r="J211" s="9">
        <f t="shared" si="23"/>
        <v>1250.40841320557</v>
      </c>
      <c r="K211" s="9">
        <f t="shared" si="24"/>
        <v>202.47231096912</v>
      </c>
      <c r="L211" s="10">
        <f t="shared" si="21"/>
        <v>0.16192494294728732</v>
      </c>
      <c r="M211" s="10">
        <f t="shared" si="20"/>
        <v>0.18365784038568123</v>
      </c>
      <c r="P211" s="8">
        <f t="shared" si="25"/>
        <v>-17.720585210261728</v>
      </c>
    </row>
    <row r="212" spans="1:16" x14ac:dyDescent="0.2">
      <c r="A212" s="8">
        <v>105</v>
      </c>
      <c r="B212" s="8">
        <v>210</v>
      </c>
      <c r="D212">
        <v>1389.3599574015</v>
      </c>
      <c r="E212">
        <v>321.67252396165998</v>
      </c>
      <c r="F212">
        <v>158.41267305644001</v>
      </c>
      <c r="G212">
        <v>121.88604898829</v>
      </c>
      <c r="I212" s="9">
        <f t="shared" si="22"/>
        <v>199.78647497336999</v>
      </c>
      <c r="J212" s="9">
        <f t="shared" si="23"/>
        <v>1230.9472843450599</v>
      </c>
      <c r="K212" s="9">
        <f t="shared" si="24"/>
        <v>199.78647497336999</v>
      </c>
      <c r="L212" s="10">
        <f t="shared" si="21"/>
        <v>0.16230303077492775</v>
      </c>
      <c r="M212" s="10">
        <f t="shared" si="20"/>
        <v>0.18413991336852928</v>
      </c>
      <c r="P212" s="8">
        <f t="shared" si="25"/>
        <v>-17.50461467052661</v>
      </c>
    </row>
    <row r="213" spans="1:16" x14ac:dyDescent="0.2">
      <c r="A213" s="8">
        <v>105.5</v>
      </c>
      <c r="B213" s="8">
        <v>211</v>
      </c>
      <c r="D213">
        <v>1390.9659211927999</v>
      </c>
      <c r="E213">
        <v>319.58998935036999</v>
      </c>
      <c r="F213">
        <v>158.08679446219</v>
      </c>
      <c r="G213">
        <v>121.76890308839</v>
      </c>
      <c r="I213" s="9">
        <f t="shared" si="22"/>
        <v>197.82108626197999</v>
      </c>
      <c r="J213" s="9">
        <f t="shared" si="23"/>
        <v>1232.8791267306099</v>
      </c>
      <c r="K213" s="9">
        <f t="shared" si="24"/>
        <v>197.82108626197999</v>
      </c>
      <c r="L213" s="10">
        <f t="shared" si="21"/>
        <v>0.16045456685325557</v>
      </c>
      <c r="M213" s="10">
        <f t="shared" si="20"/>
        <v>0.18239543460206473</v>
      </c>
      <c r="P213" s="8">
        <f t="shared" si="25"/>
        <v>-18.286147828688577</v>
      </c>
    </row>
    <row r="214" spans="1:16" x14ac:dyDescent="0.2">
      <c r="A214" s="8">
        <v>106</v>
      </c>
      <c r="B214" s="8">
        <v>212</v>
      </c>
      <c r="D214">
        <v>1410.3903088392001</v>
      </c>
      <c r="E214">
        <v>320.404685836</v>
      </c>
      <c r="F214">
        <v>158.04579339723</v>
      </c>
      <c r="G214">
        <v>121.72843450479</v>
      </c>
      <c r="I214" s="9">
        <f t="shared" si="22"/>
        <v>198.67625133120998</v>
      </c>
      <c r="J214" s="9">
        <f t="shared" si="23"/>
        <v>1252.3445154419701</v>
      </c>
      <c r="K214" s="9">
        <f t="shared" si="24"/>
        <v>198.67625133120998</v>
      </c>
      <c r="L214" s="10">
        <f t="shared" si="21"/>
        <v>0.15864344745510728</v>
      </c>
      <c r="M214" s="10">
        <f t="shared" si="20"/>
        <v>0.18068830035912409</v>
      </c>
      <c r="P214" s="8">
        <f t="shared" si="25"/>
        <v>-19.050950497508534</v>
      </c>
    </row>
    <row r="215" spans="1:16" x14ac:dyDescent="0.2">
      <c r="A215" s="8">
        <v>106.5</v>
      </c>
      <c r="B215" s="8">
        <v>213</v>
      </c>
      <c r="D215">
        <v>1450.4478330658001</v>
      </c>
      <c r="E215">
        <v>324.26324237559999</v>
      </c>
      <c r="F215">
        <v>158.47231096912</v>
      </c>
      <c r="G215">
        <v>121.67571884984</v>
      </c>
      <c r="I215" s="9">
        <f t="shared" si="22"/>
        <v>202.58752352575999</v>
      </c>
      <c r="J215" s="9">
        <f t="shared" si="23"/>
        <v>1291.9755220966802</v>
      </c>
      <c r="K215" s="9">
        <f t="shared" si="24"/>
        <v>202.58752352575999</v>
      </c>
      <c r="L215" s="10">
        <f t="shared" si="21"/>
        <v>0.15680445957442846</v>
      </c>
      <c r="M215" s="10">
        <f t="shared" si="20"/>
        <v>0.17895329763365286</v>
      </c>
      <c r="P215" s="8">
        <f t="shared" si="25"/>
        <v>-19.828238353069658</v>
      </c>
    </row>
    <row r="216" spans="1:16" x14ac:dyDescent="0.2">
      <c r="A216" s="8">
        <v>107</v>
      </c>
      <c r="B216" s="8">
        <v>214</v>
      </c>
      <c r="D216">
        <v>1465.8352059925001</v>
      </c>
      <c r="E216">
        <v>325.72017121455002</v>
      </c>
      <c r="F216">
        <v>157.97284345048001</v>
      </c>
      <c r="G216">
        <v>121.63951011715</v>
      </c>
      <c r="I216" s="9">
        <f t="shared" si="22"/>
        <v>204.08066109740003</v>
      </c>
      <c r="J216" s="9">
        <f t="shared" si="23"/>
        <v>1307.86236254202</v>
      </c>
      <c r="K216" s="9">
        <f t="shared" si="24"/>
        <v>204.08066109740003</v>
      </c>
      <c r="L216" s="10">
        <f t="shared" si="21"/>
        <v>0.15604139008996304</v>
      </c>
      <c r="M216" s="10">
        <f t="shared" si="20"/>
        <v>0.1782942133043951</v>
      </c>
      <c r="P216" s="8">
        <f t="shared" si="25"/>
        <v>-20.123510652877467</v>
      </c>
    </row>
    <row r="217" spans="1:16" x14ac:dyDescent="0.2">
      <c r="A217" s="8">
        <v>107.5</v>
      </c>
      <c r="B217" s="8">
        <v>215</v>
      </c>
      <c r="D217">
        <v>1448.6622127205001</v>
      </c>
      <c r="E217">
        <v>324.00374131480999</v>
      </c>
      <c r="F217">
        <v>158.17145899894001</v>
      </c>
      <c r="G217">
        <v>122.08732694356</v>
      </c>
      <c r="I217" s="9">
        <f t="shared" si="22"/>
        <v>201.91641437124997</v>
      </c>
      <c r="J217" s="9">
        <f t="shared" si="23"/>
        <v>1290.4907537215599</v>
      </c>
      <c r="K217" s="9">
        <f t="shared" si="24"/>
        <v>201.91641437124997</v>
      </c>
      <c r="L217" s="10">
        <f t="shared" si="21"/>
        <v>0.15646482842977119</v>
      </c>
      <c r="M217" s="10">
        <f t="shared" si="20"/>
        <v>0.17882163679941088</v>
      </c>
      <c r="P217" s="8">
        <f t="shared" si="25"/>
        <v>-19.887222910273479</v>
      </c>
    </row>
    <row r="218" spans="1:16" x14ac:dyDescent="0.2">
      <c r="A218" s="8">
        <v>108</v>
      </c>
      <c r="B218" s="8">
        <v>216</v>
      </c>
      <c r="D218">
        <v>1431.7642971672999</v>
      </c>
      <c r="E218">
        <v>321.94120791020998</v>
      </c>
      <c r="F218">
        <v>158.33599574015</v>
      </c>
      <c r="G218">
        <v>121.87326943556999</v>
      </c>
      <c r="I218" s="9">
        <f t="shared" si="22"/>
        <v>200.06793847463999</v>
      </c>
      <c r="J218" s="9">
        <f t="shared" si="23"/>
        <v>1273.42830142715</v>
      </c>
      <c r="K218" s="9">
        <f t="shared" si="24"/>
        <v>200.06793847463999</v>
      </c>
      <c r="L218" s="10">
        <f t="shared" si="21"/>
        <v>0.15710970005175862</v>
      </c>
      <c r="M218" s="10">
        <f t="shared" si="20"/>
        <v>0.17957049357660593</v>
      </c>
      <c r="P218" s="8">
        <f t="shared" si="25"/>
        <v>-19.551732210505119</v>
      </c>
    </row>
    <row r="219" spans="1:16" x14ac:dyDescent="0.2">
      <c r="A219" s="8">
        <v>108.5</v>
      </c>
      <c r="B219" s="8">
        <v>217</v>
      </c>
      <c r="D219">
        <v>1427.6419027258</v>
      </c>
      <c r="E219">
        <v>320.21592731160001</v>
      </c>
      <c r="F219">
        <v>158.45101171459001</v>
      </c>
      <c r="G219">
        <v>122.10383386581999</v>
      </c>
      <c r="I219" s="9">
        <f t="shared" si="22"/>
        <v>198.11209344578003</v>
      </c>
      <c r="J219" s="9">
        <f t="shared" si="23"/>
        <v>1269.1908910112099</v>
      </c>
      <c r="K219" s="9">
        <f t="shared" si="24"/>
        <v>198.11209344578003</v>
      </c>
      <c r="L219" s="10">
        <f t="shared" si="21"/>
        <v>0.15609322037281328</v>
      </c>
      <c r="M219" s="10">
        <f t="shared" si="20"/>
        <v>0.17865799905286822</v>
      </c>
      <c r="P219" s="8">
        <f t="shared" si="25"/>
        <v>-19.960533246465861</v>
      </c>
    </row>
    <row r="220" spans="1:16" x14ac:dyDescent="0.2">
      <c r="A220" s="8">
        <v>109</v>
      </c>
      <c r="B220" s="8">
        <v>218</v>
      </c>
      <c r="D220">
        <v>1457.778727953</v>
      </c>
      <c r="E220">
        <v>320.88615713522</v>
      </c>
      <c r="F220">
        <v>158.13099041533999</v>
      </c>
      <c r="G220">
        <v>121.68423855165</v>
      </c>
      <c r="I220" s="9">
        <f t="shared" si="22"/>
        <v>199.20191858357001</v>
      </c>
      <c r="J220" s="9">
        <f t="shared" si="23"/>
        <v>1299.6477375376601</v>
      </c>
      <c r="K220" s="9">
        <f t="shared" si="24"/>
        <v>199.20191858357001</v>
      </c>
      <c r="L220" s="10">
        <f t="shared" si="21"/>
        <v>0.15327377783227797</v>
      </c>
      <c r="M220" s="10">
        <f t="shared" si="20"/>
        <v>0.17594254166754053</v>
      </c>
      <c r="P220" s="8">
        <f t="shared" si="25"/>
        <v>-21.177068538844562</v>
      </c>
    </row>
    <row r="221" spans="1:16" x14ac:dyDescent="0.2">
      <c r="A221" s="8">
        <v>109.5</v>
      </c>
      <c r="B221" s="8">
        <v>219</v>
      </c>
      <c r="D221">
        <v>1456.2854088723</v>
      </c>
      <c r="E221">
        <v>321.76002137894</v>
      </c>
      <c r="F221">
        <v>158.31363152290001</v>
      </c>
      <c r="G221">
        <v>121.3945686901</v>
      </c>
      <c r="I221" s="9">
        <f t="shared" si="22"/>
        <v>200.36545268883998</v>
      </c>
      <c r="J221" s="9">
        <f t="shared" si="23"/>
        <v>1297.9717773493999</v>
      </c>
      <c r="K221" s="9">
        <f t="shared" si="24"/>
        <v>200.36545268883998</v>
      </c>
      <c r="L221" s="10">
        <f t="shared" si="21"/>
        <v>0.15436811199239486</v>
      </c>
      <c r="M221" s="10">
        <f t="shared" si="20"/>
        <v>0.17714086098286505</v>
      </c>
      <c r="P221" s="8">
        <f t="shared" si="25"/>
        <v>-20.640216903275462</v>
      </c>
    </row>
    <row r="222" spans="1:16" x14ac:dyDescent="0.2">
      <c r="A222" s="8">
        <v>110</v>
      </c>
      <c r="B222" s="8">
        <v>220</v>
      </c>
      <c r="D222">
        <v>1490.0218085106001</v>
      </c>
      <c r="E222">
        <v>323.79734042553002</v>
      </c>
      <c r="F222">
        <v>157.90308839190999</v>
      </c>
      <c r="G222">
        <v>121.73855165069</v>
      </c>
      <c r="I222" s="9">
        <f t="shared" si="22"/>
        <v>202.05878877484002</v>
      </c>
      <c r="J222" s="9">
        <f t="shared" si="23"/>
        <v>1332.1187201186901</v>
      </c>
      <c r="K222" s="9">
        <f t="shared" si="24"/>
        <v>202.05878877484002</v>
      </c>
      <c r="L222" s="10">
        <f t="shared" si="21"/>
        <v>0.15168226804652729</v>
      </c>
      <c r="M222" s="10">
        <f t="shared" si="20"/>
        <v>0.1745590021922051</v>
      </c>
      <c r="P222" s="8">
        <f t="shared" si="25"/>
        <v>-21.79689951436972</v>
      </c>
    </row>
    <row r="223" spans="1:16" x14ac:dyDescent="0.2">
      <c r="A223" s="8">
        <v>110.5</v>
      </c>
      <c r="B223" s="8">
        <v>221</v>
      </c>
      <c r="D223">
        <v>1483.4617021276999</v>
      </c>
      <c r="E223">
        <v>323.90531914894001</v>
      </c>
      <c r="F223">
        <v>158.32907348243</v>
      </c>
      <c r="G223">
        <v>121.86315228967</v>
      </c>
      <c r="I223" s="9">
        <f t="shared" si="22"/>
        <v>202.04216685927003</v>
      </c>
      <c r="J223" s="9">
        <f t="shared" si="23"/>
        <v>1325.13262864527</v>
      </c>
      <c r="K223" s="9">
        <f t="shared" si="24"/>
        <v>202.04216685927003</v>
      </c>
      <c r="L223" s="10">
        <f t="shared" si="21"/>
        <v>0.15246939249079158</v>
      </c>
      <c r="M223" s="10">
        <f t="shared" si="20"/>
        <v>0.17545011179167702</v>
      </c>
      <c r="P223" s="8">
        <f t="shared" si="25"/>
        <v>-21.397679006254762</v>
      </c>
    </row>
    <row r="224" spans="1:16" x14ac:dyDescent="0.2">
      <c r="A224" s="8">
        <v>111</v>
      </c>
      <c r="B224" s="8">
        <v>222</v>
      </c>
      <c r="D224">
        <v>1496.5707446808999</v>
      </c>
      <c r="E224">
        <v>323.8</v>
      </c>
      <c r="F224">
        <v>157.83652822151001</v>
      </c>
      <c r="G224">
        <v>121.75452609158999</v>
      </c>
      <c r="I224" s="9">
        <f t="shared" si="22"/>
        <v>202.04547390841003</v>
      </c>
      <c r="J224" s="9">
        <f t="shared" si="23"/>
        <v>1338.7342164593899</v>
      </c>
      <c r="K224" s="9">
        <f t="shared" si="24"/>
        <v>202.04547390841003</v>
      </c>
      <c r="L224" s="10">
        <f t="shared" si="21"/>
        <v>0.1509227682569948</v>
      </c>
      <c r="M224" s="10">
        <f t="shared" si="20"/>
        <v>0.17400747271308786</v>
      </c>
      <c r="P224" s="8">
        <f t="shared" si="25"/>
        <v>-22.043986830031052</v>
      </c>
    </row>
    <row r="225" spans="1:16" x14ac:dyDescent="0.2">
      <c r="A225" s="8">
        <v>111.5</v>
      </c>
      <c r="B225" s="8">
        <v>223</v>
      </c>
      <c r="D225">
        <v>1468.2802547771</v>
      </c>
      <c r="E225">
        <v>323.04777070064</v>
      </c>
      <c r="F225">
        <v>158.14909478167999</v>
      </c>
      <c r="G225">
        <v>121.96805111821</v>
      </c>
      <c r="I225" s="9">
        <f t="shared" si="22"/>
        <v>201.07971958243002</v>
      </c>
      <c r="J225" s="9">
        <f t="shared" si="23"/>
        <v>1310.1311599954201</v>
      </c>
      <c r="K225" s="9">
        <f t="shared" si="24"/>
        <v>201.07971958243002</v>
      </c>
      <c r="L225" s="10">
        <f t="shared" si="21"/>
        <v>0.15348060234147315</v>
      </c>
      <c r="M225" s="10">
        <f t="shared" si="20"/>
        <v>0.17666929195277384</v>
      </c>
      <c r="P225" s="8">
        <f t="shared" si="25"/>
        <v>-20.851481632009005</v>
      </c>
    </row>
    <row r="226" spans="1:16" x14ac:dyDescent="0.2">
      <c r="A226" s="8">
        <v>112</v>
      </c>
      <c r="B226" s="8">
        <v>224</v>
      </c>
      <c r="D226">
        <v>1401.9506631300001</v>
      </c>
      <c r="E226">
        <v>319.19840848806001</v>
      </c>
      <c r="F226">
        <v>157.72949946751999</v>
      </c>
      <c r="G226">
        <v>121.57135250266001</v>
      </c>
      <c r="I226" s="9">
        <f t="shared" si="22"/>
        <v>197.62705598540001</v>
      </c>
      <c r="J226" s="9">
        <f t="shared" si="23"/>
        <v>1244.2211636624802</v>
      </c>
      <c r="K226" s="9">
        <f t="shared" si="24"/>
        <v>197.62705598540001</v>
      </c>
      <c r="L226" s="10">
        <f t="shared" si="21"/>
        <v>0.15883595437620307</v>
      </c>
      <c r="M226" s="10">
        <f t="shared" si="20"/>
        <v>0.18212862914271138</v>
      </c>
      <c r="P226" s="8">
        <f t="shared" si="25"/>
        <v>-18.405677694727512</v>
      </c>
    </row>
    <row r="227" spans="1:16" x14ac:dyDescent="0.2">
      <c r="A227" s="8">
        <v>112.5</v>
      </c>
      <c r="B227" s="8">
        <v>225</v>
      </c>
      <c r="D227">
        <v>1339.3642666666999</v>
      </c>
      <c r="E227">
        <v>318.79733333333002</v>
      </c>
      <c r="F227">
        <v>157.8338658147</v>
      </c>
      <c r="G227">
        <v>121.94036208733</v>
      </c>
      <c r="I227" s="9">
        <f t="shared" si="22"/>
        <v>196.856971246</v>
      </c>
      <c r="J227" s="9">
        <f t="shared" si="23"/>
        <v>1181.530400852</v>
      </c>
      <c r="K227" s="9">
        <f t="shared" si="24"/>
        <v>196.856971246</v>
      </c>
      <c r="L227" s="10">
        <f t="shared" si="21"/>
        <v>0.16661185451008853</v>
      </c>
      <c r="M227" s="10">
        <f t="shared" si="20"/>
        <v>0.19000851443180447</v>
      </c>
      <c r="P227" s="8">
        <f t="shared" si="25"/>
        <v>-14.875458952988485</v>
      </c>
    </row>
    <row r="228" spans="1:16" x14ac:dyDescent="0.2">
      <c r="A228" s="8">
        <v>113</v>
      </c>
      <c r="B228" s="8">
        <v>226</v>
      </c>
      <c r="D228">
        <v>1416.5061333333001</v>
      </c>
      <c r="E228">
        <v>320.84213333333003</v>
      </c>
      <c r="F228">
        <v>157.87113951012</v>
      </c>
      <c r="G228">
        <v>122.02715654952</v>
      </c>
      <c r="I228" s="9">
        <f t="shared" si="22"/>
        <v>198.81497678381004</v>
      </c>
      <c r="J228" s="9">
        <f t="shared" si="23"/>
        <v>1258.6349938231801</v>
      </c>
      <c r="K228" s="9">
        <f t="shared" si="24"/>
        <v>198.81497678381004</v>
      </c>
      <c r="L228" s="10">
        <f t="shared" si="21"/>
        <v>0.15796078907666272</v>
      </c>
      <c r="M228" s="10">
        <f t="shared" si="20"/>
        <v>0.18146143415358629</v>
      </c>
      <c r="P228" s="8">
        <f t="shared" si="25"/>
        <v>-18.704583601170583</v>
      </c>
    </row>
    <row r="229" spans="1:16" x14ac:dyDescent="0.2">
      <c r="A229" s="8">
        <v>113.5</v>
      </c>
      <c r="B229" s="8">
        <v>227</v>
      </c>
      <c r="D229">
        <v>1454.0360742706</v>
      </c>
      <c r="E229">
        <v>324.81591511936</v>
      </c>
      <c r="F229">
        <v>158.10436634717999</v>
      </c>
      <c r="G229">
        <v>121.75985090522001</v>
      </c>
      <c r="I229" s="9">
        <f t="shared" si="22"/>
        <v>203.05606421414001</v>
      </c>
      <c r="J229" s="9">
        <f t="shared" si="23"/>
        <v>1295.9317079234199</v>
      </c>
      <c r="K229" s="9">
        <f t="shared" si="24"/>
        <v>203.05606421414001</v>
      </c>
      <c r="L229" s="10">
        <f t="shared" si="21"/>
        <v>0.15668731845408257</v>
      </c>
      <c r="M229" s="10">
        <f t="shared" si="20"/>
        <v>0.18029194868621376</v>
      </c>
      <c r="P229" s="8">
        <f t="shared" si="25"/>
        <v>-19.228517562598221</v>
      </c>
    </row>
    <row r="230" spans="1:16" x14ac:dyDescent="0.2">
      <c r="A230" s="8">
        <v>114</v>
      </c>
      <c r="B230" s="8">
        <v>228</v>
      </c>
      <c r="D230">
        <v>1453.6891246683999</v>
      </c>
      <c r="E230">
        <v>324.87320954907</v>
      </c>
      <c r="F230">
        <v>157.62300319489</v>
      </c>
      <c r="G230">
        <v>121.47177848775</v>
      </c>
      <c r="I230" s="9">
        <f t="shared" si="22"/>
        <v>203.40143106132001</v>
      </c>
      <c r="J230" s="9">
        <f t="shared" si="23"/>
        <v>1296.0661214735098</v>
      </c>
      <c r="K230" s="9">
        <f t="shared" si="24"/>
        <v>203.40143106132001</v>
      </c>
      <c r="L230" s="10">
        <f t="shared" si="21"/>
        <v>0.15693754175911256</v>
      </c>
      <c r="M230" s="10">
        <f t="shared" si="20"/>
        <v>0.18064615714645138</v>
      </c>
      <c r="P230" s="8">
        <f t="shared" si="25"/>
        <v>-19.069830817939113</v>
      </c>
    </row>
    <row r="231" spans="1:16" x14ac:dyDescent="0.2">
      <c r="A231" s="8">
        <v>114.5</v>
      </c>
      <c r="B231" s="8">
        <v>229</v>
      </c>
      <c r="D231">
        <v>1441.6250663834001</v>
      </c>
      <c r="E231">
        <v>324.13860860328998</v>
      </c>
      <c r="F231">
        <v>158.02396166134</v>
      </c>
      <c r="G231">
        <v>121.68477103300999</v>
      </c>
      <c r="I231" s="9">
        <f t="shared" si="22"/>
        <v>202.45383757027997</v>
      </c>
      <c r="J231" s="9">
        <f t="shared" si="23"/>
        <v>1283.60110472206</v>
      </c>
      <c r="K231" s="9">
        <f t="shared" si="24"/>
        <v>202.45383757027997</v>
      </c>
      <c r="L231" s="10">
        <f t="shared" si="21"/>
        <v>0.1577233276175137</v>
      </c>
      <c r="M231" s="10">
        <f t="shared" si="20"/>
        <v>0.18153592816006014</v>
      </c>
      <c r="P231" s="8">
        <f t="shared" si="25"/>
        <v>-18.671210001409523</v>
      </c>
    </row>
    <row r="232" spans="1:16" x14ac:dyDescent="0.2">
      <c r="A232" s="8">
        <v>115</v>
      </c>
      <c r="B232" s="8">
        <v>230</v>
      </c>
      <c r="D232">
        <v>1459.6181625065999</v>
      </c>
      <c r="E232">
        <v>329.04673393521</v>
      </c>
      <c r="F232">
        <v>158.08093716720001</v>
      </c>
      <c r="G232">
        <v>121.53461128860999</v>
      </c>
      <c r="I232" s="9">
        <f t="shared" si="22"/>
        <v>207.51212264660001</v>
      </c>
      <c r="J232" s="9">
        <f t="shared" si="23"/>
        <v>1301.5372253393998</v>
      </c>
      <c r="K232" s="9">
        <f t="shared" si="24"/>
        <v>207.51212264660001</v>
      </c>
      <c r="L232" s="10">
        <f t="shared" si="21"/>
        <v>0.15943617947038541</v>
      </c>
      <c r="M232" s="10">
        <f t="shared" si="20"/>
        <v>0.18335276516813948</v>
      </c>
      <c r="P232" s="8">
        <f t="shared" si="25"/>
        <v>-17.857260074310407</v>
      </c>
    </row>
    <row r="233" spans="1:16" x14ac:dyDescent="0.2">
      <c r="A233" s="8">
        <v>115.5</v>
      </c>
      <c r="B233" s="8">
        <v>231</v>
      </c>
      <c r="D233">
        <v>1522.0288153682</v>
      </c>
      <c r="E233">
        <v>336.16168623265997</v>
      </c>
      <c r="F233">
        <v>157.92012779552999</v>
      </c>
      <c r="G233">
        <v>121.5851970181</v>
      </c>
      <c r="I233" s="9">
        <f t="shared" si="22"/>
        <v>214.57648921455996</v>
      </c>
      <c r="J233" s="9">
        <f t="shared" si="23"/>
        <v>1364.1086875726701</v>
      </c>
      <c r="K233" s="9">
        <f t="shared" si="24"/>
        <v>214.57648921455996</v>
      </c>
      <c r="L233" s="10">
        <f t="shared" si="21"/>
        <v>0.15730160739345694</v>
      </c>
      <c r="M233" s="10">
        <f t="shared" si="20"/>
        <v>0.18132217824641864</v>
      </c>
      <c r="P233" s="8">
        <f t="shared" si="25"/>
        <v>-18.766970780088219</v>
      </c>
    </row>
    <row r="234" spans="1:16" x14ac:dyDescent="0.2">
      <c r="A234" s="8">
        <v>116</v>
      </c>
      <c r="B234" s="8">
        <v>232</v>
      </c>
      <c r="D234">
        <v>1540.1264674493</v>
      </c>
      <c r="E234">
        <v>336.11259338313999</v>
      </c>
      <c r="F234">
        <v>157.57614483493001</v>
      </c>
      <c r="G234">
        <v>121.43077742279</v>
      </c>
      <c r="I234" s="9">
        <f t="shared" si="22"/>
        <v>214.68181596034998</v>
      </c>
      <c r="J234" s="9">
        <f t="shared" si="23"/>
        <v>1382.5503226143701</v>
      </c>
      <c r="K234" s="9">
        <f t="shared" si="24"/>
        <v>214.68181596034998</v>
      </c>
      <c r="L234" s="10">
        <f t="shared" si="21"/>
        <v>0.15527956736821827</v>
      </c>
      <c r="M234" s="10">
        <f t="shared" si="20"/>
        <v>0.17940412337638759</v>
      </c>
      <c r="P234" s="8">
        <f t="shared" si="25"/>
        <v>-19.626266696392953</v>
      </c>
    </row>
    <row r="235" spans="1:16" x14ac:dyDescent="0.2">
      <c r="A235" s="8">
        <v>116.5</v>
      </c>
      <c r="B235" s="8">
        <v>233</v>
      </c>
      <c r="D235">
        <v>1458.2604055495999</v>
      </c>
      <c r="E235">
        <v>329.68036286018997</v>
      </c>
      <c r="F235">
        <v>158.64909478167999</v>
      </c>
      <c r="G235">
        <v>121.53248136315</v>
      </c>
      <c r="I235" s="9">
        <f t="shared" si="22"/>
        <v>208.14788149703998</v>
      </c>
      <c r="J235" s="9">
        <f t="shared" si="23"/>
        <v>1299.6113107679198</v>
      </c>
      <c r="K235" s="9">
        <f t="shared" si="24"/>
        <v>208.14788149703998</v>
      </c>
      <c r="L235" s="10">
        <f t="shared" si="21"/>
        <v>0.16016164200206034</v>
      </c>
      <c r="M235" s="10">
        <f t="shared" si="20"/>
        <v>0.18439018316543729</v>
      </c>
      <c r="P235" s="8">
        <f t="shared" si="25"/>
        <v>-17.392492844494605</v>
      </c>
    </row>
    <row r="236" spans="1:16" x14ac:dyDescent="0.2">
      <c r="A236" s="8">
        <v>117</v>
      </c>
      <c r="B236" s="8">
        <v>234</v>
      </c>
      <c r="D236">
        <v>1450.6333155934001</v>
      </c>
      <c r="E236">
        <v>329.64928153273001</v>
      </c>
      <c r="F236">
        <v>157.42225772098001</v>
      </c>
      <c r="G236">
        <v>121.60436634718</v>
      </c>
      <c r="I236" s="9">
        <f t="shared" si="22"/>
        <v>208.04491518555</v>
      </c>
      <c r="J236" s="9">
        <f t="shared" si="23"/>
        <v>1293.21105787242</v>
      </c>
      <c r="K236" s="9">
        <f t="shared" si="24"/>
        <v>208.04491518555</v>
      </c>
      <c r="L236" s="10">
        <f t="shared" si="21"/>
        <v>0.160874680060209</v>
      </c>
      <c r="M236" s="10">
        <f t="shared" si="20"/>
        <v>0.18520720637879357</v>
      </c>
      <c r="P236" s="8">
        <f t="shared" si="25"/>
        <v>-17.026463320661506</v>
      </c>
    </row>
    <row r="237" spans="1:16" x14ac:dyDescent="0.2">
      <c r="A237" s="8">
        <v>117.5</v>
      </c>
      <c r="B237" s="8">
        <v>235</v>
      </c>
      <c r="D237">
        <v>1493.9489089942001</v>
      </c>
      <c r="E237">
        <v>333.29803086748001</v>
      </c>
      <c r="F237">
        <v>158.18051118211</v>
      </c>
      <c r="G237">
        <v>121.55963791267</v>
      </c>
      <c r="I237" s="9">
        <f t="shared" si="22"/>
        <v>211.73839295481002</v>
      </c>
      <c r="J237" s="9">
        <f t="shared" si="23"/>
        <v>1335.7683978120901</v>
      </c>
      <c r="K237" s="9">
        <f t="shared" si="24"/>
        <v>211.73839295481002</v>
      </c>
      <c r="L237" s="10">
        <f t="shared" si="21"/>
        <v>0.1585143003095634</v>
      </c>
      <c r="M237" s="10">
        <f t="shared" si="20"/>
        <v>0.18295081178335559</v>
      </c>
      <c r="P237" s="8">
        <f t="shared" si="25"/>
        <v>-18.037336727740069</v>
      </c>
    </row>
    <row r="238" spans="1:16" x14ac:dyDescent="0.2">
      <c r="A238" s="8">
        <v>118</v>
      </c>
      <c r="B238" s="8">
        <v>236</v>
      </c>
      <c r="D238">
        <v>1497.8275678552</v>
      </c>
      <c r="E238">
        <v>333.56572645023999</v>
      </c>
      <c r="F238">
        <v>157.97018104366001</v>
      </c>
      <c r="G238">
        <v>121.25399361021999</v>
      </c>
      <c r="I238" s="9">
        <f t="shared" si="22"/>
        <v>212.31173284002</v>
      </c>
      <c r="J238" s="9">
        <f t="shared" si="23"/>
        <v>1339.85738681154</v>
      </c>
      <c r="K238" s="9">
        <f t="shared" si="24"/>
        <v>212.31173284002</v>
      </c>
      <c r="L238" s="10">
        <f t="shared" si="21"/>
        <v>0.15845845604901165</v>
      </c>
      <c r="M238" s="10">
        <f t="shared" si="20"/>
        <v>0.18299895267801147</v>
      </c>
      <c r="P238" s="8">
        <f t="shared" si="25"/>
        <v>-18.01576942284624</v>
      </c>
    </row>
    <row r="239" spans="1:16" x14ac:dyDescent="0.2">
      <c r="A239" s="8">
        <v>118.5</v>
      </c>
      <c r="B239" s="8">
        <v>237</v>
      </c>
      <c r="D239">
        <v>1461.2549228313001</v>
      </c>
      <c r="E239">
        <v>331.28046833422002</v>
      </c>
      <c r="F239">
        <v>157.57348242812</v>
      </c>
      <c r="G239">
        <v>121.53194888179</v>
      </c>
      <c r="I239" s="9">
        <f t="shared" si="22"/>
        <v>209.74851945243</v>
      </c>
      <c r="J239" s="9">
        <f t="shared" si="23"/>
        <v>1303.68144040318</v>
      </c>
      <c r="K239" s="9">
        <f t="shared" si="24"/>
        <v>209.74851945243</v>
      </c>
      <c r="L239" s="10">
        <f t="shared" si="21"/>
        <v>0.16088939594596255</v>
      </c>
      <c r="M239" s="10">
        <f t="shared" si="20"/>
        <v>0.18553387773016999</v>
      </c>
      <c r="P239" s="8">
        <f t="shared" si="25"/>
        <v>-16.880113306072523</v>
      </c>
    </row>
    <row r="240" spans="1:16" x14ac:dyDescent="0.2">
      <c r="A240" s="8">
        <v>119</v>
      </c>
      <c r="B240" s="8">
        <v>238</v>
      </c>
      <c r="D240">
        <v>1484.1630377058</v>
      </c>
      <c r="E240">
        <v>332.92618162507</v>
      </c>
      <c r="F240">
        <v>157.71938232162</v>
      </c>
      <c r="G240">
        <v>121.23482428115</v>
      </c>
      <c r="I240" s="9">
        <f t="shared" si="22"/>
        <v>211.69135734392</v>
      </c>
      <c r="J240" s="9">
        <f t="shared" si="23"/>
        <v>1326.4436553841799</v>
      </c>
      <c r="K240" s="9">
        <f t="shared" si="24"/>
        <v>211.69135734392</v>
      </c>
      <c r="L240" s="10">
        <f t="shared" si="21"/>
        <v>0.15959317720329969</v>
      </c>
      <c r="M240" s="10">
        <f t="shared" si="20"/>
        <v>0.18434164414271476</v>
      </c>
      <c r="P240" s="8">
        <f t="shared" si="25"/>
        <v>-17.414238512284712</v>
      </c>
    </row>
    <row r="241" spans="1:16" x14ac:dyDescent="0.2">
      <c r="A241" s="8">
        <v>119.5</v>
      </c>
      <c r="B241" s="8">
        <v>239</v>
      </c>
      <c r="D241">
        <v>1542.6139139671</v>
      </c>
      <c r="E241">
        <v>339.98247477429999</v>
      </c>
      <c r="F241">
        <v>157.75186368477</v>
      </c>
      <c r="G241">
        <v>121.47497337593001</v>
      </c>
      <c r="I241" s="9">
        <f t="shared" si="22"/>
        <v>218.50750139836998</v>
      </c>
      <c r="J241" s="9">
        <f t="shared" si="23"/>
        <v>1384.8620502823301</v>
      </c>
      <c r="K241" s="9">
        <f t="shared" si="24"/>
        <v>218.50750139836998</v>
      </c>
      <c r="L241" s="10">
        <f t="shared" si="21"/>
        <v>0.15778286462093688</v>
      </c>
      <c r="M241" s="10">
        <f t="shared" si="20"/>
        <v>0.18263531671555958</v>
      </c>
      <c r="P241" s="8">
        <f t="shared" si="25"/>
        <v>-18.178679724547568</v>
      </c>
    </row>
    <row r="242" spans="1:16" x14ac:dyDescent="0.2">
      <c r="A242" s="8">
        <v>120</v>
      </c>
      <c r="B242" s="8">
        <v>240</v>
      </c>
      <c r="D242">
        <v>1495.8996282528001</v>
      </c>
      <c r="E242">
        <v>338.09187466807998</v>
      </c>
      <c r="F242">
        <v>157.52289669862</v>
      </c>
      <c r="G242">
        <v>121.2470713525</v>
      </c>
      <c r="I242" s="9">
        <f>E242-G242</f>
        <v>216.84480331557998</v>
      </c>
      <c r="J242" s="9">
        <f>D242-F242</f>
        <v>1338.37673155418</v>
      </c>
      <c r="K242" s="9">
        <f t="shared" si="24"/>
        <v>216.84480331557998</v>
      </c>
      <c r="L242" s="10">
        <f t="shared" si="21"/>
        <v>0.16202075111076578</v>
      </c>
      <c r="M242" s="10">
        <f>L242+ABS($N$2)*A242</f>
        <v>0.18697718836059612</v>
      </c>
      <c r="O242" s="11"/>
      <c r="P242" s="8">
        <f>(M242-$O$2)/$O$2*100</f>
        <v>-16.233504624505294</v>
      </c>
    </row>
    <row r="243" spans="1:16" x14ac:dyDescent="0.2">
      <c r="A243" s="8">
        <v>120.5</v>
      </c>
      <c r="B243" s="8">
        <v>241</v>
      </c>
      <c r="D243">
        <v>1478.5289431757999</v>
      </c>
      <c r="E243">
        <v>335.41263940520003</v>
      </c>
      <c r="F243">
        <v>157.85889243877</v>
      </c>
      <c r="G243">
        <v>121.62353567625</v>
      </c>
      <c r="I243" s="9">
        <f t="shared" ref="I243:I274" si="26">E243-G243</f>
        <v>213.78910372895001</v>
      </c>
      <c r="J243" s="9">
        <f t="shared" ref="J243:J274" si="27">D243-F243</f>
        <v>1320.6700507370299</v>
      </c>
      <c r="K243" s="9">
        <f t="shared" si="24"/>
        <v>213.78910372895001</v>
      </c>
      <c r="L243" s="10">
        <f t="shared" si="21"/>
        <v>0.16187927000361685</v>
      </c>
      <c r="M243" s="10">
        <f t="shared" ref="M243:M274" si="28">L243+ABS($N$2)*A243</f>
        <v>0.18693969240865482</v>
      </c>
      <c r="P243" s="8">
        <f t="shared" ref="P243:P274" si="29">(M243-$O$2)/$O$2*100</f>
        <v>-16.250302954357345</v>
      </c>
    </row>
    <row r="244" spans="1:16" x14ac:dyDescent="0.2">
      <c r="A244" s="8">
        <v>121</v>
      </c>
      <c r="B244" s="8">
        <v>242</v>
      </c>
      <c r="D244">
        <v>1449.2304832714001</v>
      </c>
      <c r="E244">
        <v>333.11205523101</v>
      </c>
      <c r="F244">
        <v>157.89456869009999</v>
      </c>
      <c r="G244">
        <v>121.34025559105</v>
      </c>
      <c r="I244" s="9">
        <f t="shared" si="26"/>
        <v>211.77179963996002</v>
      </c>
      <c r="J244" s="9">
        <f t="shared" si="27"/>
        <v>1291.3359145813001</v>
      </c>
      <c r="K244" s="9">
        <f t="shared" si="24"/>
        <v>211.77179963996002</v>
      </c>
      <c r="L244" s="10">
        <f t="shared" si="21"/>
        <v>0.16399435441135735</v>
      </c>
      <c r="M244" s="10">
        <f t="shared" si="28"/>
        <v>0.18915876197160292</v>
      </c>
      <c r="N244" s="1"/>
      <c r="P244" s="8">
        <f t="shared" si="29"/>
        <v>-15.256151304563012</v>
      </c>
    </row>
    <row r="245" spans="1:16" x14ac:dyDescent="0.2">
      <c r="A245" s="8">
        <v>121.5</v>
      </c>
      <c r="B245" s="8">
        <v>243</v>
      </c>
      <c r="D245">
        <v>1461.3732694355999</v>
      </c>
      <c r="E245">
        <v>339.34504792332001</v>
      </c>
      <c r="F245">
        <v>157.75186368477</v>
      </c>
      <c r="G245">
        <v>121.55484558041</v>
      </c>
      <c r="I245" s="9">
        <f t="shared" si="26"/>
        <v>217.79020234290999</v>
      </c>
      <c r="J245" s="9">
        <f t="shared" si="27"/>
        <v>1303.62140575083</v>
      </c>
      <c r="K245" s="9">
        <f t="shared" si="24"/>
        <v>217.79020234290999</v>
      </c>
      <c r="L245" s="10">
        <f t="shared" si="21"/>
        <v>0.16706553097559193</v>
      </c>
      <c r="M245" s="10">
        <f t="shared" si="28"/>
        <v>0.19233392369104513</v>
      </c>
      <c r="P245" s="8">
        <f t="shared" si="29"/>
        <v>-13.833666712618237</v>
      </c>
    </row>
    <row r="246" spans="1:16" x14ac:dyDescent="0.2">
      <c r="A246" s="8">
        <v>122</v>
      </c>
      <c r="B246" s="8">
        <v>244</v>
      </c>
      <c r="D246">
        <v>1500.8189563364999</v>
      </c>
      <c r="E246">
        <v>340.24760383387002</v>
      </c>
      <c r="F246">
        <v>157.73429179978999</v>
      </c>
      <c r="G246">
        <v>121.65921192758</v>
      </c>
      <c r="I246" s="9">
        <f t="shared" si="26"/>
        <v>218.58839190629001</v>
      </c>
      <c r="J246" s="9">
        <f t="shared" si="27"/>
        <v>1343.0846645367099</v>
      </c>
      <c r="K246" s="9">
        <f t="shared" si="24"/>
        <v>218.58839190629001</v>
      </c>
      <c r="L246" s="10">
        <f t="shared" si="21"/>
        <v>0.16275101464410729</v>
      </c>
      <c r="M246" s="10">
        <f t="shared" si="28"/>
        <v>0.18812339251476815</v>
      </c>
      <c r="P246" s="8">
        <f t="shared" si="29"/>
        <v>-15.720000780417873</v>
      </c>
    </row>
    <row r="247" spans="1:16" x14ac:dyDescent="0.2">
      <c r="A247" s="8">
        <v>122.5</v>
      </c>
      <c r="B247" s="8">
        <v>245</v>
      </c>
      <c r="D247">
        <v>1519.6272630458</v>
      </c>
      <c r="E247">
        <v>345.78807241747</v>
      </c>
      <c r="F247">
        <v>157.37752928648001</v>
      </c>
      <c r="G247">
        <v>121.63205537806</v>
      </c>
      <c r="I247" s="9">
        <f t="shared" si="26"/>
        <v>224.15601703941002</v>
      </c>
      <c r="J247" s="9">
        <f t="shared" si="27"/>
        <v>1362.24973375932</v>
      </c>
      <c r="K247" s="9">
        <f t="shared" si="24"/>
        <v>224.15601703941002</v>
      </c>
      <c r="L247" s="10">
        <f t="shared" si="21"/>
        <v>0.16454840216471903</v>
      </c>
      <c r="M247" s="10">
        <f t="shared" si="28"/>
        <v>0.1900247651905875</v>
      </c>
      <c r="P247" s="8">
        <f t="shared" si="29"/>
        <v>-14.868178550911725</v>
      </c>
    </row>
    <row r="248" spans="1:16" x14ac:dyDescent="0.2">
      <c r="A248" s="8">
        <v>123</v>
      </c>
      <c r="B248" s="8">
        <v>246</v>
      </c>
      <c r="D248">
        <v>1518.8519701810001</v>
      </c>
      <c r="E248">
        <v>344.27316293929999</v>
      </c>
      <c r="F248">
        <v>157.81096911608</v>
      </c>
      <c r="G248">
        <v>121.31948881789</v>
      </c>
      <c r="I248" s="9">
        <f t="shared" si="26"/>
        <v>222.95367412140999</v>
      </c>
      <c r="J248" s="9">
        <f t="shared" si="27"/>
        <v>1361.04100106492</v>
      </c>
      <c r="K248" s="9">
        <f t="shared" si="24"/>
        <v>222.95367412140999</v>
      </c>
      <c r="L248" s="10">
        <f t="shared" si="21"/>
        <v>0.1638111371714476</v>
      </c>
      <c r="M248" s="10">
        <f t="shared" si="28"/>
        <v>0.1893914853525237</v>
      </c>
      <c r="P248" s="8">
        <f t="shared" si="29"/>
        <v>-15.151890339989759</v>
      </c>
    </row>
    <row r="249" spans="1:16" x14ac:dyDescent="0.2">
      <c r="A249" s="8">
        <v>123.5</v>
      </c>
      <c r="B249" s="8">
        <v>247</v>
      </c>
      <c r="D249">
        <v>1509.8232161874</v>
      </c>
      <c r="E249">
        <v>344.65388711395002</v>
      </c>
      <c r="F249">
        <v>157.53141640043</v>
      </c>
      <c r="G249">
        <v>121.58679446219</v>
      </c>
      <c r="I249" s="9">
        <f t="shared" si="26"/>
        <v>223.06709265176002</v>
      </c>
      <c r="J249" s="9">
        <f t="shared" si="27"/>
        <v>1352.2917997869699</v>
      </c>
      <c r="K249" s="9">
        <f t="shared" si="24"/>
        <v>223.06709265176002</v>
      </c>
      <c r="L249" s="10">
        <f t="shared" si="21"/>
        <v>0.16495485122878092</v>
      </c>
      <c r="M249" s="10">
        <f t="shared" si="28"/>
        <v>0.19063918456506465</v>
      </c>
      <c r="P249" s="8">
        <f t="shared" si="29"/>
        <v>-14.592916321641832</v>
      </c>
    </row>
    <row r="250" spans="1:16" x14ac:dyDescent="0.2">
      <c r="A250" s="8">
        <v>124</v>
      </c>
      <c r="B250" s="8">
        <v>248</v>
      </c>
      <c r="D250">
        <v>1472.0495207668</v>
      </c>
      <c r="E250">
        <v>341.59371671992</v>
      </c>
      <c r="F250">
        <v>157.57614483493001</v>
      </c>
      <c r="G250">
        <v>121.32587859425</v>
      </c>
      <c r="I250" s="9">
        <f t="shared" si="26"/>
        <v>220.26783812566998</v>
      </c>
      <c r="J250" s="9">
        <f t="shared" si="27"/>
        <v>1314.4733759318701</v>
      </c>
      <c r="K250" s="9">
        <f t="shared" si="24"/>
        <v>220.26783812566998</v>
      </c>
      <c r="L250" s="10">
        <f t="shared" si="21"/>
        <v>0.16757116740345951</v>
      </c>
      <c r="M250" s="10">
        <f t="shared" si="28"/>
        <v>0.19335948589495086</v>
      </c>
      <c r="P250" s="8">
        <f t="shared" si="29"/>
        <v>-13.37421092357795</v>
      </c>
    </row>
    <row r="251" spans="1:16" x14ac:dyDescent="0.2">
      <c r="A251" s="8">
        <v>124.5</v>
      </c>
      <c r="B251" s="8">
        <v>249</v>
      </c>
      <c r="D251">
        <v>1499.9387646432001</v>
      </c>
      <c r="E251">
        <v>343.41586794462</v>
      </c>
      <c r="F251">
        <v>157.59158679446</v>
      </c>
      <c r="G251">
        <v>121.59052183174001</v>
      </c>
      <c r="I251" s="9">
        <f t="shared" si="26"/>
        <v>221.82534611288</v>
      </c>
      <c r="J251" s="9">
        <f t="shared" si="27"/>
        <v>1342.3471778487401</v>
      </c>
      <c r="K251" s="9">
        <f t="shared" si="24"/>
        <v>221.82534611288</v>
      </c>
      <c r="L251" s="10">
        <f t="shared" si="21"/>
        <v>0.16525184376547031</v>
      </c>
      <c r="M251" s="10">
        <f t="shared" si="28"/>
        <v>0.19114414741216929</v>
      </c>
      <c r="P251" s="8">
        <f t="shared" si="29"/>
        <v>-14.366691035190252</v>
      </c>
    </row>
    <row r="252" spans="1:16" x14ac:dyDescent="0.2">
      <c r="A252" s="8">
        <v>125</v>
      </c>
      <c r="B252" s="8">
        <v>250</v>
      </c>
      <c r="D252">
        <v>1493.6246006389999</v>
      </c>
      <c r="E252">
        <v>342.57135250265998</v>
      </c>
      <c r="F252">
        <v>157.31522896698999</v>
      </c>
      <c r="G252">
        <v>121.67838125666</v>
      </c>
      <c r="I252" s="9">
        <f t="shared" si="26"/>
        <v>220.89297124599997</v>
      </c>
      <c r="J252" s="9">
        <f t="shared" si="27"/>
        <v>1336.30937167201</v>
      </c>
      <c r="K252" s="9">
        <f t="shared" si="24"/>
        <v>220.89297124599997</v>
      </c>
      <c r="L252" s="10">
        <f t="shared" si="21"/>
        <v>0.16530077235753832</v>
      </c>
      <c r="M252" s="10">
        <f t="shared" si="28"/>
        <v>0.19129706115944492</v>
      </c>
      <c r="P252" s="8">
        <f t="shared" si="29"/>
        <v>-14.298185091677446</v>
      </c>
    </row>
    <row r="253" spans="1:16" x14ac:dyDescent="0.2">
      <c r="A253" s="8">
        <v>125.5</v>
      </c>
      <c r="B253" s="8">
        <v>251</v>
      </c>
      <c r="D253">
        <v>1481.3390191898</v>
      </c>
      <c r="E253">
        <v>344.17910447761</v>
      </c>
      <c r="F253">
        <v>157.68849840255999</v>
      </c>
      <c r="G253">
        <v>121.37007454739</v>
      </c>
      <c r="I253" s="9">
        <f t="shared" si="26"/>
        <v>222.80902993021999</v>
      </c>
      <c r="J253" s="9">
        <f t="shared" si="27"/>
        <v>1323.6505207872399</v>
      </c>
      <c r="K253" s="9">
        <f t="shared" si="24"/>
        <v>222.80902993021999</v>
      </c>
      <c r="L253" s="10">
        <f t="shared" si="21"/>
        <v>0.16832919749671124</v>
      </c>
      <c r="M253" s="10">
        <f t="shared" si="28"/>
        <v>0.19442947145382547</v>
      </c>
      <c r="P253" s="8">
        <f t="shared" si="29"/>
        <v>-12.894853301639273</v>
      </c>
    </row>
    <row r="254" spans="1:16" x14ac:dyDescent="0.2">
      <c r="A254" s="8">
        <v>126</v>
      </c>
      <c r="B254" s="8">
        <v>252</v>
      </c>
      <c r="D254">
        <v>1475.1556503198001</v>
      </c>
      <c r="E254">
        <v>343.86034115139</v>
      </c>
      <c r="F254">
        <v>157.08732694355999</v>
      </c>
      <c r="G254">
        <v>121.33280085197001</v>
      </c>
      <c r="I254" s="9">
        <f t="shared" si="26"/>
        <v>222.52754029942</v>
      </c>
      <c r="J254" s="9">
        <f t="shared" si="27"/>
        <v>1318.0683233762402</v>
      </c>
      <c r="K254" s="9">
        <f t="shared" si="24"/>
        <v>222.52754029942</v>
      </c>
      <c r="L254" s="10">
        <f t="shared" si="21"/>
        <v>0.16882853214271498</v>
      </c>
      <c r="M254" s="10">
        <f t="shared" si="28"/>
        <v>0.19503279125503684</v>
      </c>
      <c r="P254" s="8">
        <f t="shared" si="29"/>
        <v>-12.624563723636575</v>
      </c>
    </row>
    <row r="255" spans="1:16" x14ac:dyDescent="0.2">
      <c r="A255" s="8">
        <v>126.5</v>
      </c>
      <c r="B255" s="8">
        <v>253</v>
      </c>
      <c r="D255">
        <v>1521.4605543709999</v>
      </c>
      <c r="E255">
        <v>348.71268656716001</v>
      </c>
      <c r="F255">
        <v>157.46538871140001</v>
      </c>
      <c r="G255">
        <v>121.26996805112</v>
      </c>
      <c r="I255" s="9">
        <f t="shared" si="26"/>
        <v>227.44271851604</v>
      </c>
      <c r="J255" s="9">
        <f t="shared" si="27"/>
        <v>1363.9951656595999</v>
      </c>
      <c r="K255" s="9">
        <f t="shared" si="24"/>
        <v>227.44271851604</v>
      </c>
      <c r="L255" s="10">
        <f t="shared" si="21"/>
        <v>0.16674745207476846</v>
      </c>
      <c r="M255" s="10">
        <f t="shared" si="28"/>
        <v>0.19305569634229794</v>
      </c>
      <c r="P255" s="8">
        <f t="shared" si="29"/>
        <v>-13.510309804840128</v>
      </c>
    </row>
    <row r="256" spans="1:16" x14ac:dyDescent="0.2">
      <c r="A256" s="8">
        <v>127</v>
      </c>
      <c r="B256" s="8">
        <v>254</v>
      </c>
      <c r="D256">
        <v>1498.6972281450001</v>
      </c>
      <c r="E256">
        <v>345.97388059702001</v>
      </c>
      <c r="F256">
        <v>157.56815761447999</v>
      </c>
      <c r="G256">
        <v>121.33546325879</v>
      </c>
      <c r="I256" s="9">
        <f t="shared" si="26"/>
        <v>224.63841733823</v>
      </c>
      <c r="J256" s="9">
        <f t="shared" si="27"/>
        <v>1341.12907053052</v>
      </c>
      <c r="K256" s="9">
        <f t="shared" si="24"/>
        <v>224.63841733823</v>
      </c>
      <c r="L256" s="10">
        <f t="shared" si="21"/>
        <v>0.16749947657861758</v>
      </c>
      <c r="M256" s="10">
        <f t="shared" si="28"/>
        <v>0.19391170600135468</v>
      </c>
      <c r="P256" s="8">
        <f t="shared" si="29"/>
        <v>-13.126814204251311</v>
      </c>
    </row>
    <row r="257" spans="1:16" x14ac:dyDescent="0.2">
      <c r="A257" s="8">
        <v>127.5</v>
      </c>
      <c r="B257" s="8">
        <v>255</v>
      </c>
      <c r="D257">
        <v>1476.7395447327001</v>
      </c>
      <c r="E257">
        <v>346.94865007941002</v>
      </c>
      <c r="F257">
        <v>157.65335463259001</v>
      </c>
      <c r="G257">
        <v>121.32108626198</v>
      </c>
      <c r="I257" s="9">
        <f t="shared" si="26"/>
        <v>225.62756381743003</v>
      </c>
      <c r="J257" s="9">
        <f t="shared" si="27"/>
        <v>1319.0861901001101</v>
      </c>
      <c r="K257" s="9">
        <f t="shared" si="24"/>
        <v>225.62756381743003</v>
      </c>
      <c r="L257" s="10">
        <f t="shared" si="21"/>
        <v>0.17104838600448569</v>
      </c>
      <c r="M257" s="10">
        <f t="shared" si="28"/>
        <v>0.19756460058243042</v>
      </c>
      <c r="P257" s="8">
        <f t="shared" si="29"/>
        <v>-11.490303463471903</v>
      </c>
    </row>
    <row r="258" spans="1:16" x14ac:dyDescent="0.2">
      <c r="A258" s="8">
        <v>128</v>
      </c>
      <c r="B258" s="8">
        <v>256</v>
      </c>
      <c r="D258">
        <v>1491.0534674431001</v>
      </c>
      <c r="E258">
        <v>347.11699311805</v>
      </c>
      <c r="F258">
        <v>157.09744408946</v>
      </c>
      <c r="G258">
        <v>120.92172523962</v>
      </c>
      <c r="I258" s="9">
        <f t="shared" si="26"/>
        <v>226.19526787843</v>
      </c>
      <c r="J258" s="9">
        <f t="shared" si="27"/>
        <v>1333.9560233536401</v>
      </c>
      <c r="K258" s="9">
        <f t="shared" si="24"/>
        <v>226.19526787843</v>
      </c>
      <c r="L258" s="10">
        <f t="shared" ref="L258:L321" si="30">K258/J258</f>
        <v>0.16956726002837966</v>
      </c>
      <c r="M258" s="10">
        <f t="shared" si="28"/>
        <v>0.19618745976153201</v>
      </c>
      <c r="P258" s="8">
        <f t="shared" si="29"/>
        <v>-12.107267817341189</v>
      </c>
    </row>
    <row r="259" spans="1:16" x14ac:dyDescent="0.2">
      <c r="A259" s="8">
        <v>128.5</v>
      </c>
      <c r="B259" s="8">
        <v>257</v>
      </c>
      <c r="D259">
        <v>1520.2969664714999</v>
      </c>
      <c r="E259">
        <v>349.35284725918001</v>
      </c>
      <c r="F259">
        <v>157.60170394036001</v>
      </c>
      <c r="G259">
        <v>121.35143769968001</v>
      </c>
      <c r="I259" s="9">
        <f t="shared" si="26"/>
        <v>228.00140955950002</v>
      </c>
      <c r="J259" s="9">
        <f t="shared" si="27"/>
        <v>1362.6952625311399</v>
      </c>
      <c r="K259" s="9">
        <f t="shared" ref="K259:K322" si="31">I259*1</f>
        <v>228.00140955950002</v>
      </c>
      <c r="L259" s="10">
        <f t="shared" si="30"/>
        <v>0.16731650562576886</v>
      </c>
      <c r="M259" s="10">
        <f t="shared" si="28"/>
        <v>0.19404069051412884</v>
      </c>
      <c r="P259" s="8">
        <f t="shared" si="29"/>
        <v>-13.069028649299177</v>
      </c>
    </row>
    <row r="260" spans="1:16" x14ac:dyDescent="0.2">
      <c r="A260" s="8">
        <v>129</v>
      </c>
      <c r="B260" s="8">
        <v>258</v>
      </c>
      <c r="D260">
        <v>1522.7408195849</v>
      </c>
      <c r="E260">
        <v>350.99946780201998</v>
      </c>
      <c r="F260">
        <v>157.07294994674999</v>
      </c>
      <c r="G260">
        <v>121.05378061768</v>
      </c>
      <c r="I260" s="9">
        <f t="shared" si="26"/>
        <v>229.94568718433999</v>
      </c>
      <c r="J260" s="9">
        <f t="shared" si="27"/>
        <v>1365.66786963815</v>
      </c>
      <c r="K260" s="9">
        <f t="shared" si="31"/>
        <v>229.94568718433999</v>
      </c>
      <c r="L260" s="10">
        <f t="shared" si="30"/>
        <v>0.16837599558175653</v>
      </c>
      <c r="M260" s="10">
        <f t="shared" si="28"/>
        <v>0.19520416562532414</v>
      </c>
      <c r="P260" s="8">
        <f t="shared" si="29"/>
        <v>-12.547787350422187</v>
      </c>
    </row>
    <row r="261" spans="1:16" x14ac:dyDescent="0.2">
      <c r="A261" s="8">
        <v>129.5</v>
      </c>
      <c r="B261" s="8">
        <v>259</v>
      </c>
      <c r="D261">
        <v>1488.6354443852999</v>
      </c>
      <c r="E261">
        <v>349.47312400213002</v>
      </c>
      <c r="F261">
        <v>157.56922257721001</v>
      </c>
      <c r="G261">
        <v>121.23003194888</v>
      </c>
      <c r="I261" s="9">
        <f t="shared" si="26"/>
        <v>228.24309205325002</v>
      </c>
      <c r="J261" s="9">
        <f t="shared" si="27"/>
        <v>1331.0662218080899</v>
      </c>
      <c r="K261" s="9">
        <f t="shared" si="31"/>
        <v>228.24309205325002</v>
      </c>
      <c r="L261" s="10">
        <f t="shared" si="30"/>
        <v>0.17147388185030329</v>
      </c>
      <c r="M261" s="10">
        <f t="shared" si="28"/>
        <v>0.19840603704907853</v>
      </c>
      <c r="P261" s="8">
        <f t="shared" si="29"/>
        <v>-11.113336708809197</v>
      </c>
    </row>
    <row r="262" spans="1:16" x14ac:dyDescent="0.2">
      <c r="A262" s="8">
        <v>130</v>
      </c>
      <c r="B262" s="8">
        <v>260</v>
      </c>
      <c r="D262">
        <v>1520.1740287386999</v>
      </c>
      <c r="E262">
        <v>352.87333688131997</v>
      </c>
      <c r="F262">
        <v>157.33173588924001</v>
      </c>
      <c r="G262">
        <v>121.03780617677999</v>
      </c>
      <c r="I262" s="9">
        <f t="shared" si="26"/>
        <v>231.83553070453996</v>
      </c>
      <c r="J262" s="9">
        <f t="shared" si="27"/>
        <v>1362.8422928494599</v>
      </c>
      <c r="K262" s="9">
        <f t="shared" si="31"/>
        <v>231.83553070453996</v>
      </c>
      <c r="L262" s="10">
        <f t="shared" si="30"/>
        <v>0.17011178176736302</v>
      </c>
      <c r="M262" s="10">
        <f t="shared" si="28"/>
        <v>0.19714792212134588</v>
      </c>
      <c r="P262" s="8">
        <f t="shared" si="29"/>
        <v>-11.676977007392097</v>
      </c>
    </row>
    <row r="263" spans="1:16" x14ac:dyDescent="0.2">
      <c r="A263" s="8">
        <v>130.5</v>
      </c>
      <c r="B263" s="8">
        <v>261</v>
      </c>
      <c r="D263">
        <v>1438.030982906</v>
      </c>
      <c r="E263">
        <v>343.00801282050998</v>
      </c>
      <c r="F263">
        <v>157.29392971246</v>
      </c>
      <c r="G263">
        <v>121.06230031949001</v>
      </c>
      <c r="I263" s="9">
        <f t="shared" si="26"/>
        <v>221.94571250101995</v>
      </c>
      <c r="J263" s="9">
        <f t="shared" si="27"/>
        <v>1280.7370531935399</v>
      </c>
      <c r="K263" s="9">
        <f t="shared" si="31"/>
        <v>221.94571250101995</v>
      </c>
      <c r="L263" s="10">
        <f t="shared" si="30"/>
        <v>0.17329530050496667</v>
      </c>
      <c r="M263" s="10">
        <f t="shared" si="28"/>
        <v>0.20043542601415715</v>
      </c>
      <c r="P263" s="8">
        <f t="shared" si="29"/>
        <v>-10.204162692188016</v>
      </c>
    </row>
    <row r="264" spans="1:16" x14ac:dyDescent="0.2">
      <c r="A264" s="8">
        <v>131</v>
      </c>
      <c r="B264" s="8">
        <v>262</v>
      </c>
      <c r="D264">
        <v>1424.0748805098001</v>
      </c>
      <c r="E264">
        <v>344.04407859797999</v>
      </c>
      <c r="F264">
        <v>157.20500532481</v>
      </c>
      <c r="G264">
        <v>121.42651757189</v>
      </c>
      <c r="I264" s="9">
        <f t="shared" si="26"/>
        <v>222.61756102608999</v>
      </c>
      <c r="J264" s="9">
        <f t="shared" si="27"/>
        <v>1266.8698751849902</v>
      </c>
      <c r="K264" s="9">
        <f t="shared" si="31"/>
        <v>222.61756102608999</v>
      </c>
      <c r="L264" s="10">
        <f t="shared" si="30"/>
        <v>0.1757225153006208</v>
      </c>
      <c r="M264" s="10">
        <f t="shared" si="28"/>
        <v>0.20296662596501891</v>
      </c>
      <c r="P264" s="8">
        <f t="shared" si="29"/>
        <v>-9.0701754350398183</v>
      </c>
    </row>
    <row r="265" spans="1:16" x14ac:dyDescent="0.2">
      <c r="A265" s="8">
        <v>131.5</v>
      </c>
      <c r="B265" s="8">
        <v>263</v>
      </c>
      <c r="D265">
        <v>1475.6473712161001</v>
      </c>
      <c r="E265">
        <v>351.04460966543002</v>
      </c>
      <c r="F265">
        <v>157.32747603834</v>
      </c>
      <c r="G265">
        <v>121.16027689031</v>
      </c>
      <c r="I265" s="9">
        <f t="shared" si="26"/>
        <v>229.88433277512001</v>
      </c>
      <c r="J265" s="9">
        <f t="shared" si="27"/>
        <v>1318.3198951777601</v>
      </c>
      <c r="K265" s="9">
        <f t="shared" si="31"/>
        <v>229.88433277512001</v>
      </c>
      <c r="L265" s="10">
        <f t="shared" si="30"/>
        <v>0.17437674544395979</v>
      </c>
      <c r="M265" s="10">
        <f t="shared" si="28"/>
        <v>0.20172484126356552</v>
      </c>
      <c r="P265" s="8">
        <f t="shared" si="29"/>
        <v>-9.6264997298037702</v>
      </c>
    </row>
    <row r="266" spans="1:16" x14ac:dyDescent="0.2">
      <c r="A266" s="8">
        <v>132</v>
      </c>
      <c r="B266" s="8">
        <v>264</v>
      </c>
      <c r="D266">
        <v>1532.7110164981</v>
      </c>
      <c r="E266">
        <v>359.04843001596998</v>
      </c>
      <c r="F266">
        <v>157.12087326944001</v>
      </c>
      <c r="G266">
        <v>121.24920127796</v>
      </c>
      <c r="I266" s="9">
        <f t="shared" si="26"/>
        <v>237.79922873800999</v>
      </c>
      <c r="J266" s="9">
        <f t="shared" si="27"/>
        <v>1375.5901432286601</v>
      </c>
      <c r="K266" s="9">
        <f t="shared" si="31"/>
        <v>237.79922873800999</v>
      </c>
      <c r="L266" s="10">
        <f t="shared" si="30"/>
        <v>0.1728706983752219</v>
      </c>
      <c r="M266" s="10">
        <f t="shared" si="28"/>
        <v>0.20032277935003526</v>
      </c>
      <c r="P266" s="8">
        <f t="shared" si="29"/>
        <v>-10.254628828468947</v>
      </c>
    </row>
    <row r="267" spans="1:16" x14ac:dyDescent="0.2">
      <c r="A267" s="8">
        <v>132.5</v>
      </c>
      <c r="B267" s="8">
        <v>265</v>
      </c>
      <c r="D267">
        <v>1537.4071314529001</v>
      </c>
      <c r="E267">
        <v>358.19531665779999</v>
      </c>
      <c r="F267">
        <v>157.31150159744001</v>
      </c>
      <c r="G267">
        <v>121.22417465389</v>
      </c>
      <c r="I267" s="9">
        <f t="shared" si="26"/>
        <v>236.97114200390999</v>
      </c>
      <c r="J267" s="9">
        <f t="shared" si="27"/>
        <v>1380.0956298554602</v>
      </c>
      <c r="K267" s="9">
        <f t="shared" si="31"/>
        <v>236.97114200390999</v>
      </c>
      <c r="L267" s="10">
        <f t="shared" si="30"/>
        <v>0.17170632011111317</v>
      </c>
      <c r="M267" s="10">
        <f t="shared" si="28"/>
        <v>0.19926238624113415</v>
      </c>
      <c r="P267" s="8">
        <f t="shared" si="29"/>
        <v>-10.729688996138522</v>
      </c>
    </row>
    <row r="268" spans="1:16" x14ac:dyDescent="0.2">
      <c r="A268" s="8">
        <v>133</v>
      </c>
      <c r="B268" s="8">
        <v>266</v>
      </c>
      <c r="D268">
        <v>1455.6226716338999</v>
      </c>
      <c r="E268">
        <v>351.65300691856999</v>
      </c>
      <c r="F268">
        <v>157.17252396166</v>
      </c>
      <c r="G268">
        <v>121.13897763577999</v>
      </c>
      <c r="I268" s="9">
        <f t="shared" si="26"/>
        <v>230.51402928278998</v>
      </c>
      <c r="J268" s="9">
        <f t="shared" si="27"/>
        <v>1298.4501476722398</v>
      </c>
      <c r="K268" s="9">
        <f t="shared" si="31"/>
        <v>230.51402928278998</v>
      </c>
      <c r="L268" s="10">
        <f t="shared" si="30"/>
        <v>0.17753013444223295</v>
      </c>
      <c r="M268" s="10">
        <f t="shared" si="28"/>
        <v>0.20519018572746156</v>
      </c>
      <c r="P268" s="8">
        <f t="shared" si="29"/>
        <v>-8.0740121587016578</v>
      </c>
    </row>
    <row r="269" spans="1:16" x14ac:dyDescent="0.2">
      <c r="A269" s="8">
        <v>133.5</v>
      </c>
      <c r="B269" s="8">
        <v>267</v>
      </c>
      <c r="D269">
        <v>1459.1868014902</v>
      </c>
      <c r="E269">
        <v>352.03778605641003</v>
      </c>
      <c r="F269">
        <v>157.37965921193</v>
      </c>
      <c r="G269">
        <v>121.28966986156</v>
      </c>
      <c r="I269" s="9">
        <f t="shared" si="26"/>
        <v>230.74811619485001</v>
      </c>
      <c r="J269" s="9">
        <f t="shared" si="27"/>
        <v>1301.80714227827</v>
      </c>
      <c r="K269" s="9">
        <f t="shared" si="31"/>
        <v>230.74811619485001</v>
      </c>
      <c r="L269" s="10">
        <f t="shared" si="30"/>
        <v>0.17725215102985359</v>
      </c>
      <c r="M269" s="10">
        <f t="shared" si="28"/>
        <v>0.20501618747028982</v>
      </c>
      <c r="P269" s="8">
        <f t="shared" si="29"/>
        <v>-8.1519640432738623</v>
      </c>
    </row>
    <row r="270" spans="1:16" x14ac:dyDescent="0.2">
      <c r="A270" s="8">
        <v>134</v>
      </c>
      <c r="B270" s="8">
        <v>268</v>
      </c>
      <c r="D270">
        <v>1407.0493368699999</v>
      </c>
      <c r="E270">
        <v>346.70875331564997</v>
      </c>
      <c r="F270">
        <v>157.13471778488</v>
      </c>
      <c r="G270">
        <v>121.03035143770001</v>
      </c>
      <c r="I270" s="9">
        <f t="shared" si="26"/>
        <v>225.67840187794997</v>
      </c>
      <c r="J270" s="9">
        <f t="shared" si="27"/>
        <v>1249.91461908512</v>
      </c>
      <c r="K270" s="9">
        <f t="shared" si="31"/>
        <v>225.67840187794997</v>
      </c>
      <c r="L270" s="10">
        <f t="shared" si="30"/>
        <v>0.18055505426693561</v>
      </c>
      <c r="M270" s="10">
        <f t="shared" si="28"/>
        <v>0.20842307586257947</v>
      </c>
      <c r="P270" s="8">
        <f t="shared" si="29"/>
        <v>-6.6256650157840529</v>
      </c>
    </row>
    <row r="271" spans="1:16" x14ac:dyDescent="0.2">
      <c r="A271" s="8">
        <v>134.5</v>
      </c>
      <c r="B271" s="8">
        <v>269</v>
      </c>
      <c r="D271">
        <v>1448.1867374005001</v>
      </c>
      <c r="E271">
        <v>353.38938992042</v>
      </c>
      <c r="F271">
        <v>157.09211927582999</v>
      </c>
      <c r="G271">
        <v>120.88019169329</v>
      </c>
      <c r="I271" s="9">
        <f t="shared" si="26"/>
        <v>232.50919822713001</v>
      </c>
      <c r="J271" s="9">
        <f t="shared" si="27"/>
        <v>1291.09461812467</v>
      </c>
      <c r="K271" s="9">
        <f t="shared" si="31"/>
        <v>232.50919822713001</v>
      </c>
      <c r="L271" s="10">
        <f t="shared" si="30"/>
        <v>0.1800868774163526</v>
      </c>
      <c r="M271" s="10">
        <f t="shared" si="28"/>
        <v>0.20805888416720408</v>
      </c>
      <c r="P271" s="8">
        <f t="shared" si="29"/>
        <v>-6.7888242879601908</v>
      </c>
    </row>
    <row r="272" spans="1:16" x14ac:dyDescent="0.2">
      <c r="A272" s="8">
        <v>135</v>
      </c>
      <c r="B272" s="8">
        <v>270</v>
      </c>
      <c r="D272">
        <v>1489.8719316969</v>
      </c>
      <c r="E272">
        <v>360.57043756669998</v>
      </c>
      <c r="F272">
        <v>157.01970181044001</v>
      </c>
      <c r="G272">
        <v>120.99893503727</v>
      </c>
      <c r="I272" s="9">
        <f t="shared" si="26"/>
        <v>239.57150252942998</v>
      </c>
      <c r="J272" s="9">
        <f t="shared" si="27"/>
        <v>1332.85222988646</v>
      </c>
      <c r="K272" s="9">
        <f t="shared" si="31"/>
        <v>239.57150252942998</v>
      </c>
      <c r="L272" s="10">
        <f t="shared" si="30"/>
        <v>0.17974348330410045</v>
      </c>
      <c r="M272" s="10">
        <f t="shared" si="28"/>
        <v>0.20781947521015959</v>
      </c>
      <c r="P272" s="8">
        <f t="shared" si="29"/>
        <v>-6.8960804162021212</v>
      </c>
    </row>
    <row r="273" spans="1:16" x14ac:dyDescent="0.2">
      <c r="A273" s="8">
        <v>135.5</v>
      </c>
      <c r="B273" s="8">
        <v>271</v>
      </c>
      <c r="D273">
        <v>1510.3100320171</v>
      </c>
      <c r="E273">
        <v>363.77001067236</v>
      </c>
      <c r="F273">
        <v>156.99520766773</v>
      </c>
      <c r="G273">
        <v>121.02129925453001</v>
      </c>
      <c r="I273" s="9">
        <f t="shared" si="26"/>
        <v>242.74871141783001</v>
      </c>
      <c r="J273" s="9">
        <f t="shared" si="27"/>
        <v>1353.3148243493699</v>
      </c>
      <c r="K273" s="9">
        <f t="shared" si="31"/>
        <v>242.74871141783001</v>
      </c>
      <c r="L273" s="10">
        <f t="shared" si="30"/>
        <v>0.17937342224455108</v>
      </c>
      <c r="M273" s="10">
        <f t="shared" si="28"/>
        <v>0.20755339930581784</v>
      </c>
      <c r="P273" s="8">
        <f t="shared" si="29"/>
        <v>-7.0152834388060832</v>
      </c>
    </row>
    <row r="274" spans="1:16" x14ac:dyDescent="0.2">
      <c r="A274" s="8">
        <v>136</v>
      </c>
      <c r="B274" s="8">
        <v>272</v>
      </c>
      <c r="D274">
        <v>1481.7232237539999</v>
      </c>
      <c r="E274">
        <v>360.26935312831</v>
      </c>
      <c r="F274">
        <v>156.63791267305999</v>
      </c>
      <c r="G274">
        <v>121.03567625133</v>
      </c>
      <c r="I274" s="9">
        <f t="shared" si="26"/>
        <v>239.23367687697998</v>
      </c>
      <c r="J274" s="9">
        <f t="shared" si="27"/>
        <v>1325.0853110809398</v>
      </c>
      <c r="K274" s="9">
        <f t="shared" si="31"/>
        <v>239.23367687697998</v>
      </c>
      <c r="L274" s="10">
        <f t="shared" si="30"/>
        <v>0.18054209406473976</v>
      </c>
      <c r="M274" s="10">
        <f t="shared" si="28"/>
        <v>0.20882605628121415</v>
      </c>
      <c r="P274" s="8">
        <f t="shared" si="29"/>
        <v>-6.4451282472619162</v>
      </c>
    </row>
    <row r="275" spans="1:16" x14ac:dyDescent="0.2">
      <c r="A275" s="8">
        <v>136.5</v>
      </c>
      <c r="B275" s="8">
        <v>273</v>
      </c>
      <c r="D275">
        <v>1462.0922587487</v>
      </c>
      <c r="E275">
        <v>356.18133616119002</v>
      </c>
      <c r="F275">
        <v>156.67784877528999</v>
      </c>
      <c r="G275">
        <v>121.09424920127999</v>
      </c>
      <c r="I275" s="9">
        <f>E275-G275</f>
        <v>235.08708695991004</v>
      </c>
      <c r="J275" s="9">
        <f>D275-F275</f>
        <v>1305.4144099734101</v>
      </c>
      <c r="K275" s="9">
        <f t="shared" si="31"/>
        <v>235.08708695991004</v>
      </c>
      <c r="L275" s="10">
        <f t="shared" si="30"/>
        <v>0.18008617429364712</v>
      </c>
      <c r="M275" s="10">
        <f>L275+ABS($N$2)*A275</f>
        <v>0.20847412166532914</v>
      </c>
      <c r="O275" s="11"/>
      <c r="P275" s="8">
        <f>(M275-$O$2)/$O$2*100</f>
        <v>-6.6027963009560047</v>
      </c>
    </row>
    <row r="276" spans="1:16" x14ac:dyDescent="0.2">
      <c r="A276" s="8">
        <v>137</v>
      </c>
      <c r="B276" s="8">
        <v>274</v>
      </c>
      <c r="D276">
        <v>1428.0529100529</v>
      </c>
      <c r="E276">
        <v>355.17248677249</v>
      </c>
      <c r="F276">
        <v>156.71192758254</v>
      </c>
      <c r="G276">
        <v>121.24121405751001</v>
      </c>
      <c r="I276" s="9">
        <f t="shared" ref="I276:I291" si="32">E276-G276</f>
        <v>233.93127271498</v>
      </c>
      <c r="J276" s="9">
        <f t="shared" ref="J276:J291" si="33">D276-F276</f>
        <v>1271.3409824703599</v>
      </c>
      <c r="K276" s="9">
        <f t="shared" si="31"/>
        <v>233.93127271498</v>
      </c>
      <c r="L276" s="10">
        <f t="shared" si="30"/>
        <v>0.18400356469310458</v>
      </c>
      <c r="M276" s="10">
        <f t="shared" ref="M276:M291" si="34">L276+ABS($N$2)*A276</f>
        <v>0.21249549721999422</v>
      </c>
      <c r="P276" s="8">
        <f t="shared" ref="P276:P291" si="35">(M276-$O$2)/$O$2*100</f>
        <v>-4.8012046749586474</v>
      </c>
    </row>
    <row r="277" spans="1:16" x14ac:dyDescent="0.2">
      <c r="A277" s="8">
        <v>137.5</v>
      </c>
      <c r="B277" s="8">
        <v>275</v>
      </c>
      <c r="D277">
        <v>1512.6926751592</v>
      </c>
      <c r="E277">
        <v>362.80201698514003</v>
      </c>
      <c r="F277">
        <v>157.44568690096</v>
      </c>
      <c r="G277">
        <v>121.1054313099</v>
      </c>
      <c r="I277" s="9">
        <f t="shared" si="32"/>
        <v>241.69658567524004</v>
      </c>
      <c r="J277" s="9">
        <f t="shared" si="33"/>
        <v>1355.24698825824</v>
      </c>
      <c r="K277" s="9">
        <f t="shared" si="31"/>
        <v>241.69658567524004</v>
      </c>
      <c r="L277" s="10">
        <f t="shared" si="30"/>
        <v>0.17834135605486043</v>
      </c>
      <c r="M277" s="10">
        <f t="shared" si="34"/>
        <v>0.20693727373695769</v>
      </c>
      <c r="N277" s="1"/>
      <c r="P277" s="8">
        <f t="shared" si="35"/>
        <v>-7.2913100496839496</v>
      </c>
    </row>
    <row r="278" spans="1:16" x14ac:dyDescent="0.2">
      <c r="A278" s="8">
        <v>138</v>
      </c>
      <c r="B278" s="8">
        <v>276</v>
      </c>
      <c r="D278">
        <v>1529.5780254777001</v>
      </c>
      <c r="E278">
        <v>363.43046709129999</v>
      </c>
      <c r="F278">
        <v>156.41107561235</v>
      </c>
      <c r="G278">
        <v>120.80511182108999</v>
      </c>
      <c r="I278" s="9">
        <f t="shared" si="32"/>
        <v>242.62535527020998</v>
      </c>
      <c r="J278" s="9">
        <f t="shared" si="33"/>
        <v>1373.16694986535</v>
      </c>
      <c r="K278" s="9">
        <f t="shared" si="31"/>
        <v>242.62535527020998</v>
      </c>
      <c r="L278" s="10">
        <f t="shared" si="30"/>
        <v>0.17669035458070217</v>
      </c>
      <c r="M278" s="10">
        <f t="shared" si="34"/>
        <v>0.20539025741800707</v>
      </c>
      <c r="P278" s="8">
        <f t="shared" si="35"/>
        <v>-7.9843792762747059</v>
      </c>
    </row>
    <row r="279" spans="1:16" x14ac:dyDescent="0.2">
      <c r="A279" s="8">
        <v>138.5</v>
      </c>
      <c r="B279" s="8">
        <v>277</v>
      </c>
      <c r="D279">
        <v>1497.1459660297</v>
      </c>
      <c r="E279">
        <v>363.70010615710999</v>
      </c>
      <c r="F279">
        <v>156.74068157615</v>
      </c>
      <c r="G279">
        <v>120.95101171459</v>
      </c>
      <c r="I279" s="9">
        <f t="shared" si="32"/>
        <v>242.74909444252</v>
      </c>
      <c r="J279" s="9">
        <f t="shared" si="33"/>
        <v>1340.4052844535499</v>
      </c>
      <c r="K279" s="9">
        <f t="shared" si="31"/>
        <v>242.74909444252</v>
      </c>
      <c r="L279" s="10">
        <f t="shared" si="30"/>
        <v>0.18110126635428986</v>
      </c>
      <c r="M279" s="10">
        <f t="shared" si="34"/>
        <v>0.20990515434680238</v>
      </c>
      <c r="P279" s="8">
        <f t="shared" si="35"/>
        <v>-5.9616881874698358</v>
      </c>
    </row>
    <row r="280" spans="1:16" x14ac:dyDescent="0.2">
      <c r="A280" s="8">
        <v>139</v>
      </c>
      <c r="B280" s="8">
        <v>278</v>
      </c>
      <c r="D280">
        <v>1498.3816348195001</v>
      </c>
      <c r="E280">
        <v>361.40498938428999</v>
      </c>
      <c r="F280">
        <v>156.31842385517001</v>
      </c>
      <c r="G280">
        <v>120.72736954206999</v>
      </c>
      <c r="I280" s="9">
        <f t="shared" si="32"/>
        <v>240.67761984222</v>
      </c>
      <c r="J280" s="9">
        <f t="shared" si="33"/>
        <v>1342.06321096433</v>
      </c>
      <c r="K280" s="9">
        <f t="shared" si="31"/>
        <v>240.67761984222</v>
      </c>
      <c r="L280" s="10">
        <f t="shared" si="30"/>
        <v>0.17933404170231504</v>
      </c>
      <c r="M280" s="10">
        <f t="shared" si="34"/>
        <v>0.20824191485003518</v>
      </c>
      <c r="P280" s="8">
        <f t="shared" si="35"/>
        <v>-6.7068258421531208</v>
      </c>
    </row>
    <row r="281" spans="1:16" x14ac:dyDescent="0.2">
      <c r="A281" s="8">
        <v>139.5</v>
      </c>
      <c r="B281" s="8">
        <v>279</v>
      </c>
      <c r="D281">
        <v>1428.4888653234</v>
      </c>
      <c r="E281">
        <v>352.45864262991</v>
      </c>
      <c r="F281">
        <v>156.02555910543001</v>
      </c>
      <c r="G281">
        <v>120.64802981896</v>
      </c>
      <c r="I281" s="9">
        <f t="shared" si="32"/>
        <v>231.81061281095</v>
      </c>
      <c r="J281" s="9">
        <f t="shared" si="33"/>
        <v>1272.4633062179701</v>
      </c>
      <c r="K281" s="9">
        <f t="shared" si="31"/>
        <v>231.81061281095</v>
      </c>
      <c r="L281" s="10">
        <f t="shared" si="30"/>
        <v>0.18217469350840471</v>
      </c>
      <c r="M281" s="10">
        <f t="shared" si="34"/>
        <v>0.21118655181133247</v>
      </c>
      <c r="P281" s="8">
        <f t="shared" si="35"/>
        <v>-5.3876172233706043</v>
      </c>
    </row>
    <row r="282" spans="1:16" x14ac:dyDescent="0.2">
      <c r="A282" s="8">
        <v>140</v>
      </c>
      <c r="B282" s="8">
        <v>280</v>
      </c>
      <c r="D282">
        <v>1422.539766702</v>
      </c>
      <c r="E282">
        <v>353.10021208908</v>
      </c>
      <c r="F282">
        <v>155.72577209798001</v>
      </c>
      <c r="G282">
        <v>120.84664536741001</v>
      </c>
      <c r="I282" s="9">
        <f t="shared" si="32"/>
        <v>232.25356672166998</v>
      </c>
      <c r="J282" s="9">
        <f t="shared" si="33"/>
        <v>1266.8139946040199</v>
      </c>
      <c r="K282" s="9">
        <f t="shared" si="31"/>
        <v>232.25356672166998</v>
      </c>
      <c r="L282" s="10">
        <f t="shared" si="30"/>
        <v>0.18333675481242825</v>
      </c>
      <c r="M282" s="10">
        <f t="shared" si="34"/>
        <v>0.21245259827056365</v>
      </c>
      <c r="P282" s="8">
        <f t="shared" si="35"/>
        <v>-4.8204235683466461</v>
      </c>
    </row>
    <row r="283" spans="1:16" x14ac:dyDescent="0.2">
      <c r="A283" s="8">
        <v>140.5</v>
      </c>
      <c r="B283" s="8">
        <v>281</v>
      </c>
      <c r="D283">
        <v>1437.0715800636001</v>
      </c>
      <c r="E283">
        <v>359.23913043478001</v>
      </c>
      <c r="F283">
        <v>156.26996805112</v>
      </c>
      <c r="G283">
        <v>120.95899893504</v>
      </c>
      <c r="I283" s="9">
        <f t="shared" si="32"/>
        <v>238.28013149974001</v>
      </c>
      <c r="J283" s="9">
        <f t="shared" si="33"/>
        <v>1280.8016120124801</v>
      </c>
      <c r="K283" s="9">
        <f t="shared" si="31"/>
        <v>238.28013149974001</v>
      </c>
      <c r="L283" s="10">
        <f t="shared" si="30"/>
        <v>0.18603984353621988</v>
      </c>
      <c r="M283" s="10">
        <f t="shared" si="34"/>
        <v>0.2152596721495629</v>
      </c>
      <c r="P283" s="8">
        <f t="shared" si="35"/>
        <v>-3.5628437364669154</v>
      </c>
    </row>
    <row r="284" spans="1:16" x14ac:dyDescent="0.2">
      <c r="A284" s="8">
        <v>141</v>
      </c>
      <c r="B284" s="8">
        <v>282</v>
      </c>
      <c r="D284">
        <v>1421.5567338282001</v>
      </c>
      <c r="E284">
        <v>353.50159066807998</v>
      </c>
      <c r="F284">
        <v>156.16134185304</v>
      </c>
      <c r="G284">
        <v>120.91214057508</v>
      </c>
      <c r="I284" s="9">
        <f t="shared" si="32"/>
        <v>232.58945009299998</v>
      </c>
      <c r="J284" s="9">
        <f t="shared" si="33"/>
        <v>1265.39539197516</v>
      </c>
      <c r="K284" s="9">
        <f t="shared" si="31"/>
        <v>232.58945009299998</v>
      </c>
      <c r="L284" s="10">
        <f t="shared" si="30"/>
        <v>0.18380772647666302</v>
      </c>
      <c r="M284" s="10">
        <f t="shared" si="34"/>
        <v>0.21313154024521366</v>
      </c>
      <c r="P284" s="8">
        <f t="shared" si="35"/>
        <v>-4.516254967468619</v>
      </c>
    </row>
    <row r="285" spans="1:16" x14ac:dyDescent="0.2">
      <c r="A285" s="8">
        <v>141.5</v>
      </c>
      <c r="B285" s="8">
        <v>283</v>
      </c>
      <c r="D285">
        <v>1418.8515376457999</v>
      </c>
      <c r="E285">
        <v>353.48303287380998</v>
      </c>
      <c r="F285">
        <v>156.47071352502999</v>
      </c>
      <c r="G285">
        <v>121.07082002129999</v>
      </c>
      <c r="I285" s="9">
        <f t="shared" si="32"/>
        <v>232.41221285250998</v>
      </c>
      <c r="J285" s="9">
        <f t="shared" si="33"/>
        <v>1262.3808241207698</v>
      </c>
      <c r="K285" s="9">
        <f t="shared" si="31"/>
        <v>232.41221285250998</v>
      </c>
      <c r="L285" s="10">
        <f t="shared" si="30"/>
        <v>0.18410626049740716</v>
      </c>
      <c r="M285" s="10">
        <f t="shared" si="34"/>
        <v>0.21353405942116543</v>
      </c>
      <c r="P285" s="8">
        <f t="shared" si="35"/>
        <v>-4.3359248374321906</v>
      </c>
    </row>
    <row r="286" spans="1:16" x14ac:dyDescent="0.2">
      <c r="A286" s="8">
        <v>142</v>
      </c>
      <c r="B286" s="8">
        <v>284</v>
      </c>
      <c r="D286">
        <v>1399.9835630964999</v>
      </c>
      <c r="E286">
        <v>353.41039236479003</v>
      </c>
      <c r="F286">
        <v>156.09957401490999</v>
      </c>
      <c r="G286">
        <v>120.76517571885</v>
      </c>
      <c r="I286" s="9">
        <f t="shared" si="32"/>
        <v>232.64521664594002</v>
      </c>
      <c r="J286" s="9">
        <f t="shared" si="33"/>
        <v>1243.8839890815898</v>
      </c>
      <c r="K286" s="9">
        <f t="shared" si="31"/>
        <v>232.64521664594002</v>
      </c>
      <c r="L286" s="10">
        <f t="shared" si="30"/>
        <v>0.18703128160505664</v>
      </c>
      <c r="M286" s="10">
        <f t="shared" si="34"/>
        <v>0.21656306568402253</v>
      </c>
      <c r="P286" s="8">
        <f t="shared" si="35"/>
        <v>-2.9789184489275553</v>
      </c>
    </row>
    <row r="287" spans="1:16" x14ac:dyDescent="0.2">
      <c r="A287" s="8">
        <v>142.5</v>
      </c>
      <c r="B287" s="8">
        <v>285</v>
      </c>
      <c r="D287">
        <v>1406.6696712619</v>
      </c>
      <c r="E287">
        <v>353.44485683987</v>
      </c>
      <c r="F287">
        <v>156.40575079871999</v>
      </c>
      <c r="G287">
        <v>120.98296059638</v>
      </c>
      <c r="I287" s="9">
        <f t="shared" si="32"/>
        <v>232.46189624349</v>
      </c>
      <c r="J287" s="9">
        <f t="shared" si="33"/>
        <v>1250.2639204631801</v>
      </c>
      <c r="K287" s="9">
        <f t="shared" si="31"/>
        <v>232.46189624349</v>
      </c>
      <c r="L287" s="10">
        <f t="shared" si="30"/>
        <v>0.18593026035444646</v>
      </c>
      <c r="M287" s="10">
        <f t="shared" si="34"/>
        <v>0.21556602958861998</v>
      </c>
      <c r="P287" s="8">
        <f t="shared" si="35"/>
        <v>-3.425594432276228</v>
      </c>
    </row>
    <row r="288" spans="1:16" x14ac:dyDescent="0.2">
      <c r="A288" s="8">
        <v>143</v>
      </c>
      <c r="B288" s="8">
        <v>286</v>
      </c>
      <c r="D288">
        <v>1404.6855779427001</v>
      </c>
      <c r="E288">
        <v>354.25874867444003</v>
      </c>
      <c r="F288">
        <v>155.93876464324001</v>
      </c>
      <c r="G288">
        <v>120.78541001065</v>
      </c>
      <c r="I288" s="9">
        <f t="shared" si="32"/>
        <v>233.47333866379003</v>
      </c>
      <c r="J288" s="9">
        <f t="shared" si="33"/>
        <v>1248.74681329946</v>
      </c>
      <c r="K288" s="9">
        <f t="shared" si="31"/>
        <v>233.47333866379003</v>
      </c>
      <c r="L288" s="10">
        <f t="shared" si="30"/>
        <v>0.18696611368873312</v>
      </c>
      <c r="M288" s="10">
        <f t="shared" si="34"/>
        <v>0.21670586807811426</v>
      </c>
      <c r="P288" s="8">
        <f t="shared" si="35"/>
        <v>-2.91494243030637</v>
      </c>
    </row>
    <row r="289" spans="1:16" x14ac:dyDescent="0.2">
      <c r="A289" s="8">
        <v>143.5</v>
      </c>
      <c r="B289" s="8">
        <v>287</v>
      </c>
      <c r="D289">
        <v>1427.4290271131999</v>
      </c>
      <c r="E289">
        <v>357.99468367889</v>
      </c>
      <c r="F289">
        <v>156.08945686901001</v>
      </c>
      <c r="G289">
        <v>120.8338658147</v>
      </c>
      <c r="I289" s="9">
        <f t="shared" si="32"/>
        <v>237.16081786418999</v>
      </c>
      <c r="J289" s="9">
        <f t="shared" si="33"/>
        <v>1271.3395702441899</v>
      </c>
      <c r="K289" s="9">
        <f t="shared" si="31"/>
        <v>237.16081786418999</v>
      </c>
      <c r="L289" s="10">
        <f t="shared" si="30"/>
        <v>0.18654403859909577</v>
      </c>
      <c r="M289" s="10">
        <f t="shared" si="34"/>
        <v>0.21638777814368454</v>
      </c>
      <c r="P289" s="8">
        <f t="shared" si="35"/>
        <v>-3.0574479372883863</v>
      </c>
    </row>
    <row r="290" spans="1:16" x14ac:dyDescent="0.2">
      <c r="A290" s="8">
        <v>144</v>
      </c>
      <c r="B290" s="8">
        <v>288</v>
      </c>
      <c r="D290">
        <v>1452.5980861244</v>
      </c>
      <c r="E290">
        <v>360.64965443913002</v>
      </c>
      <c r="F290">
        <v>156.54952076677</v>
      </c>
      <c r="G290">
        <v>120.78008519702</v>
      </c>
      <c r="I290" s="9">
        <f t="shared" si="32"/>
        <v>239.86956924211</v>
      </c>
      <c r="J290" s="9">
        <f t="shared" si="33"/>
        <v>1296.04856535763</v>
      </c>
      <c r="K290" s="9">
        <f t="shared" si="31"/>
        <v>239.86956924211</v>
      </c>
      <c r="L290" s="10">
        <f t="shared" si="30"/>
        <v>0.18507760870513421</v>
      </c>
      <c r="M290" s="10">
        <f t="shared" si="34"/>
        <v>0.2150253334049306</v>
      </c>
      <c r="P290" s="8">
        <f t="shared" si="35"/>
        <v>-3.6678283901599844</v>
      </c>
    </row>
    <row r="291" spans="1:16" x14ac:dyDescent="0.2">
      <c r="A291" s="8">
        <v>144.5</v>
      </c>
      <c r="B291" s="8">
        <v>289</v>
      </c>
      <c r="D291">
        <v>1511.0875133405</v>
      </c>
      <c r="E291">
        <v>369.17662753469</v>
      </c>
      <c r="F291">
        <v>156.67944621938</v>
      </c>
      <c r="G291">
        <v>120.95740149095001</v>
      </c>
      <c r="I291" s="9">
        <f t="shared" si="32"/>
        <v>248.21922604373998</v>
      </c>
      <c r="J291" s="9">
        <f t="shared" si="33"/>
        <v>1354.40806712112</v>
      </c>
      <c r="K291" s="9">
        <f t="shared" si="31"/>
        <v>248.21922604373998</v>
      </c>
      <c r="L291" s="10">
        <f t="shared" si="30"/>
        <v>0.18326768133576291</v>
      </c>
      <c r="M291" s="10">
        <f t="shared" si="34"/>
        <v>0.21331939119076693</v>
      </c>
      <c r="P291" s="8">
        <f t="shared" si="35"/>
        <v>-4.4320970255296128</v>
      </c>
    </row>
    <row r="292" spans="1:16" x14ac:dyDescent="0.2">
      <c r="A292" s="8">
        <v>145</v>
      </c>
      <c r="B292" s="8">
        <v>290</v>
      </c>
      <c r="D292">
        <v>1450.4877529287</v>
      </c>
      <c r="E292">
        <v>360.27742279019998</v>
      </c>
      <c r="F292">
        <v>156.19116080936999</v>
      </c>
      <c r="G292">
        <v>120.88977635783</v>
      </c>
      <c r="I292" s="9">
        <f>E292-G292</f>
        <v>239.38764643236999</v>
      </c>
      <c r="J292" s="9">
        <f>D292-F292</f>
        <v>1294.2965921193299</v>
      </c>
      <c r="K292" s="9">
        <f t="shared" si="31"/>
        <v>239.38764643236999</v>
      </c>
      <c r="L292" s="10">
        <f t="shared" si="30"/>
        <v>0.184955788255911</v>
      </c>
      <c r="M292" s="10">
        <f>L292+ABS($N$2)*A292</f>
        <v>0.21511148326612264</v>
      </c>
      <c r="O292" s="11"/>
      <c r="P292" s="8">
        <f>(M292-$O$2)/$O$2*100</f>
        <v>-3.6292329229138658</v>
      </c>
    </row>
    <row r="293" spans="1:16" x14ac:dyDescent="0.2">
      <c r="A293" s="8">
        <v>145.5</v>
      </c>
      <c r="B293" s="8">
        <v>291</v>
      </c>
      <c r="D293">
        <v>1503.707537155</v>
      </c>
      <c r="E293">
        <v>365.96390658173999</v>
      </c>
      <c r="F293">
        <v>155.99893503727</v>
      </c>
      <c r="G293">
        <v>120.83280085197001</v>
      </c>
      <c r="I293" s="9">
        <f t="shared" ref="I293:I301" si="36">E293-G293</f>
        <v>245.13110572976998</v>
      </c>
      <c r="J293" s="9">
        <f t="shared" ref="J293:J301" si="37">D293-F293</f>
        <v>1347.7086021177299</v>
      </c>
      <c r="K293" s="9">
        <f t="shared" si="31"/>
        <v>245.13110572976998</v>
      </c>
      <c r="L293" s="10">
        <f t="shared" si="30"/>
        <v>0.18188731996262528</v>
      </c>
      <c r="M293" s="10">
        <f t="shared" ref="M293:M301" si="38">L293+ABS($N$2)*A293</f>
        <v>0.21214700012804455</v>
      </c>
      <c r="P293" s="8">
        <f t="shared" ref="P293:P301" si="39">(M293-$O$2)/$O$2*100</f>
        <v>-4.9573327047848137</v>
      </c>
    </row>
    <row r="294" spans="1:16" x14ac:dyDescent="0.2">
      <c r="A294" s="8">
        <v>146</v>
      </c>
      <c r="B294" s="8">
        <v>292</v>
      </c>
      <c r="D294">
        <v>1465.0207006369001</v>
      </c>
      <c r="E294">
        <v>362.04617834394998</v>
      </c>
      <c r="F294">
        <v>155.82907348243</v>
      </c>
      <c r="G294">
        <v>120.78860489883</v>
      </c>
      <c r="I294" s="9">
        <f t="shared" si="36"/>
        <v>241.25757344511999</v>
      </c>
      <c r="J294" s="9">
        <f t="shared" si="37"/>
        <v>1309.1916271544701</v>
      </c>
      <c r="K294" s="9">
        <f t="shared" si="31"/>
        <v>241.25757344511999</v>
      </c>
      <c r="L294" s="10">
        <f t="shared" si="30"/>
        <v>0.18427980170442557</v>
      </c>
      <c r="M294" s="10">
        <f t="shared" si="38"/>
        <v>0.21464346702505246</v>
      </c>
      <c r="N294" s="1"/>
      <c r="P294" s="8">
        <f t="shared" si="39"/>
        <v>-3.8389059885803274</v>
      </c>
    </row>
    <row r="295" spans="1:16" x14ac:dyDescent="0.2">
      <c r="A295" s="8">
        <v>146.5</v>
      </c>
      <c r="B295" s="8">
        <v>293</v>
      </c>
      <c r="D295">
        <v>1417.2176220807</v>
      </c>
      <c r="E295">
        <v>361.52813163482</v>
      </c>
      <c r="F295">
        <v>156.63738019169</v>
      </c>
      <c r="G295">
        <v>120.32587859425</v>
      </c>
      <c r="I295" s="9">
        <f t="shared" si="36"/>
        <v>241.20225304056999</v>
      </c>
      <c r="J295" s="9">
        <f t="shared" si="37"/>
        <v>1260.58024188901</v>
      </c>
      <c r="K295" s="9">
        <f t="shared" si="31"/>
        <v>241.20225304056999</v>
      </c>
      <c r="L295" s="10">
        <f t="shared" si="30"/>
        <v>0.19134224464689575</v>
      </c>
      <c r="M295" s="10">
        <f t="shared" si="38"/>
        <v>0.22180989512273028</v>
      </c>
      <c r="P295" s="8">
        <f t="shared" si="39"/>
        <v>-0.62831879681435354</v>
      </c>
    </row>
    <row r="296" spans="1:16" x14ac:dyDescent="0.2">
      <c r="A296" s="8">
        <v>147</v>
      </c>
      <c r="B296" s="8">
        <v>294</v>
      </c>
      <c r="D296">
        <v>1433.2452229298999</v>
      </c>
      <c r="E296">
        <v>363.45435244161001</v>
      </c>
      <c r="F296">
        <v>156.29446219382001</v>
      </c>
      <c r="G296">
        <v>120.54739084132</v>
      </c>
      <c r="I296" s="9">
        <f t="shared" si="36"/>
        <v>242.90696160029</v>
      </c>
      <c r="J296" s="9">
        <f t="shared" si="37"/>
        <v>1276.9507607360799</v>
      </c>
      <c r="K296" s="9">
        <f t="shared" si="31"/>
        <v>242.90696160029</v>
      </c>
      <c r="L296" s="10">
        <f t="shared" si="30"/>
        <v>0.19022421934285844</v>
      </c>
      <c r="M296" s="10">
        <f t="shared" si="38"/>
        <v>0.22079585497390058</v>
      </c>
      <c r="P296" s="8">
        <f t="shared" si="39"/>
        <v>-1.0826126611209008</v>
      </c>
    </row>
    <row r="297" spans="1:16" x14ac:dyDescent="0.2">
      <c r="A297" s="8">
        <v>147.5</v>
      </c>
      <c r="B297" s="8">
        <v>295</v>
      </c>
      <c r="D297">
        <v>1434.1884288747001</v>
      </c>
      <c r="E297">
        <v>362.58970276009001</v>
      </c>
      <c r="F297">
        <v>156.54632587859001</v>
      </c>
      <c r="G297">
        <v>120.79126730564001</v>
      </c>
      <c r="I297" s="9">
        <f t="shared" si="36"/>
        <v>241.79843545444999</v>
      </c>
      <c r="J297" s="9">
        <f t="shared" si="37"/>
        <v>1277.64210299611</v>
      </c>
      <c r="K297" s="9">
        <f t="shared" si="31"/>
        <v>241.79843545444999</v>
      </c>
      <c r="L297" s="10">
        <f t="shared" si="30"/>
        <v>0.18925365318458529</v>
      </c>
      <c r="M297" s="10">
        <f t="shared" si="38"/>
        <v>0.21992927397083506</v>
      </c>
      <c r="P297" s="8">
        <f t="shared" si="39"/>
        <v>-1.4708442642498616</v>
      </c>
    </row>
    <row r="298" spans="1:16" x14ac:dyDescent="0.2">
      <c r="A298" s="8">
        <v>148</v>
      </c>
      <c r="B298" s="8">
        <v>296</v>
      </c>
      <c r="D298">
        <v>1428.7518597236999</v>
      </c>
      <c r="E298">
        <v>362.82837407014</v>
      </c>
      <c r="F298">
        <v>156.13631522897001</v>
      </c>
      <c r="G298">
        <v>120.85782747604</v>
      </c>
      <c r="I298" s="9">
        <f t="shared" si="36"/>
        <v>241.9705465941</v>
      </c>
      <c r="J298" s="9">
        <f t="shared" si="37"/>
        <v>1272.6155444947299</v>
      </c>
      <c r="K298" s="9">
        <f t="shared" si="31"/>
        <v>241.9705465941</v>
      </c>
      <c r="L298" s="10">
        <f t="shared" si="30"/>
        <v>0.19013640658473197</v>
      </c>
      <c r="M298" s="10">
        <f t="shared" si="38"/>
        <v>0.22091601252618936</v>
      </c>
      <c r="P298" s="8">
        <f t="shared" si="39"/>
        <v>-1.0287816182200011</v>
      </c>
    </row>
    <row r="299" spans="1:16" x14ac:dyDescent="0.2">
      <c r="A299" s="8">
        <v>148.5</v>
      </c>
      <c r="B299" s="8">
        <v>297</v>
      </c>
      <c r="D299">
        <v>1430.6487778958999</v>
      </c>
      <c r="E299">
        <v>364.82624867163003</v>
      </c>
      <c r="F299">
        <v>155.68370607028999</v>
      </c>
      <c r="G299">
        <v>120.85676251331</v>
      </c>
      <c r="I299" s="9">
        <f t="shared" si="36"/>
        <v>243.96948615832002</v>
      </c>
      <c r="J299" s="9">
        <f t="shared" si="37"/>
        <v>1274.9650718256098</v>
      </c>
      <c r="K299" s="9">
        <f t="shared" si="31"/>
        <v>243.96948615832002</v>
      </c>
      <c r="L299" s="10">
        <f t="shared" si="30"/>
        <v>0.19135385866609078</v>
      </c>
      <c r="M299" s="10">
        <f t="shared" si="38"/>
        <v>0.22223744976275583</v>
      </c>
      <c r="P299" s="8">
        <f t="shared" si="39"/>
        <v>-0.43677268313870388</v>
      </c>
    </row>
    <row r="300" spans="1:16" x14ac:dyDescent="0.2">
      <c r="A300" s="8">
        <v>149</v>
      </c>
      <c r="B300" s="8">
        <v>298</v>
      </c>
      <c r="D300">
        <v>1419.3475026568001</v>
      </c>
      <c r="E300">
        <v>363.16843783208998</v>
      </c>
      <c r="F300">
        <v>155.60756123536001</v>
      </c>
      <c r="G300">
        <v>120.88764643238</v>
      </c>
      <c r="I300" s="9">
        <f t="shared" si="36"/>
        <v>242.28079139970998</v>
      </c>
      <c r="J300" s="9">
        <f t="shared" si="37"/>
        <v>1263.7399414214401</v>
      </c>
      <c r="K300" s="9">
        <f t="shared" si="31"/>
        <v>242.28079139970998</v>
      </c>
      <c r="L300" s="10">
        <f t="shared" si="30"/>
        <v>0.19171728569977406</v>
      </c>
      <c r="M300" s="10">
        <f t="shared" si="38"/>
        <v>0.22270486195164674</v>
      </c>
      <c r="P300" s="8">
        <f t="shared" si="39"/>
        <v>-0.2273702351584187</v>
      </c>
    </row>
    <row r="301" spans="1:16" x14ac:dyDescent="0.2">
      <c r="A301" s="8">
        <v>149.5</v>
      </c>
      <c r="B301" s="8">
        <v>299</v>
      </c>
      <c r="D301">
        <v>1421.8469713070999</v>
      </c>
      <c r="E301">
        <v>361.66046758766998</v>
      </c>
      <c r="F301">
        <v>156.12193823216001</v>
      </c>
      <c r="G301">
        <v>120.4653887114</v>
      </c>
      <c r="I301" s="9">
        <f t="shared" si="36"/>
        <v>241.19507887626997</v>
      </c>
      <c r="J301" s="9">
        <f t="shared" si="37"/>
        <v>1265.7250330749398</v>
      </c>
      <c r="K301" s="9">
        <f t="shared" si="31"/>
        <v>241.19507887626997</v>
      </c>
      <c r="L301" s="10">
        <f t="shared" si="30"/>
        <v>0.19055882800256629</v>
      </c>
      <c r="M301" s="10">
        <f t="shared" si="38"/>
        <v>0.2216503894096466</v>
      </c>
      <c r="P301" s="8">
        <f t="shared" si="39"/>
        <v>-0.69977796621645805</v>
      </c>
    </row>
    <row r="302" spans="1:16" x14ac:dyDescent="0.2">
      <c r="A302" s="8">
        <v>150</v>
      </c>
      <c r="B302" s="8">
        <v>300</v>
      </c>
      <c r="D302">
        <v>1405.5371155886</v>
      </c>
      <c r="E302">
        <v>362.91834570520001</v>
      </c>
      <c r="F302">
        <v>155.55910543131</v>
      </c>
      <c r="G302">
        <v>120.53354632588</v>
      </c>
      <c r="I302" s="9">
        <f>E302-G302</f>
        <v>242.38479937932001</v>
      </c>
      <c r="J302" s="9">
        <f>D302-F302</f>
        <v>1249.9780101572901</v>
      </c>
      <c r="K302" s="9">
        <f t="shared" si="31"/>
        <v>242.38479937932001</v>
      </c>
      <c r="L302" s="10">
        <f t="shared" si="30"/>
        <v>0.19391125076577923</v>
      </c>
      <c r="M302" s="10">
        <f>L302+ABS($N$2)*A302</f>
        <v>0.22510679732806715</v>
      </c>
      <c r="O302" s="11"/>
      <c r="P302" s="8">
        <f>(M302-$O$2)/$O$2*100</f>
        <v>0.84870599833980387</v>
      </c>
    </row>
    <row r="303" spans="1:16" x14ac:dyDescent="0.2">
      <c r="A303" s="8">
        <v>150.5</v>
      </c>
      <c r="B303" s="8">
        <v>301</v>
      </c>
      <c r="D303">
        <v>1407.9178154824999</v>
      </c>
      <c r="E303">
        <v>365.67868504772002</v>
      </c>
      <c r="F303">
        <v>155.81309904152999</v>
      </c>
      <c r="G303">
        <v>120.26996805112</v>
      </c>
      <c r="I303" s="9">
        <f t="shared" ref="I303:I309" si="40">E303-G303</f>
        <v>245.40871699660002</v>
      </c>
      <c r="J303" s="9">
        <f t="shared" ref="J303:J309" si="41">D303-F303</f>
        <v>1252.1047164409699</v>
      </c>
      <c r="K303" s="9">
        <f t="shared" si="31"/>
        <v>245.40871699660002</v>
      </c>
      <c r="L303" s="10">
        <f t="shared" si="30"/>
        <v>0.19599695917938803</v>
      </c>
      <c r="M303" s="10">
        <f t="shared" ref="M303:M309" si="42">L303+ABS($N$2)*A303</f>
        <v>0.22729649089688359</v>
      </c>
      <c r="P303" s="8">
        <f t="shared" ref="P303:P309" si="43">(M303-$O$2)/$O$2*100</f>
        <v>1.829697090431051</v>
      </c>
    </row>
    <row r="304" spans="1:16" x14ac:dyDescent="0.2">
      <c r="A304" s="8">
        <v>151</v>
      </c>
      <c r="B304" s="8">
        <v>302</v>
      </c>
      <c r="D304">
        <v>1426.1045092838001</v>
      </c>
      <c r="E304">
        <v>367.67851458886003</v>
      </c>
      <c r="F304">
        <v>155.61767838125999</v>
      </c>
      <c r="G304">
        <v>120.25985090522001</v>
      </c>
      <c r="I304" s="9">
        <f t="shared" si="40"/>
        <v>247.41866368364003</v>
      </c>
      <c r="J304" s="9">
        <f t="shared" si="41"/>
        <v>1270.4868309025401</v>
      </c>
      <c r="K304" s="9">
        <f t="shared" si="31"/>
        <v>247.41866368364003</v>
      </c>
      <c r="L304" s="10">
        <f t="shared" si="30"/>
        <v>0.19474319423513936</v>
      </c>
      <c r="M304" s="10">
        <f t="shared" si="42"/>
        <v>0.22614671110784251</v>
      </c>
      <c r="N304" s="1"/>
      <c r="P304" s="8">
        <f t="shared" si="43"/>
        <v>1.314591348249277</v>
      </c>
    </row>
    <row r="305" spans="1:16" x14ac:dyDescent="0.2">
      <c r="A305" s="8">
        <v>151.5</v>
      </c>
      <c r="B305" s="8">
        <v>303</v>
      </c>
      <c r="D305">
        <v>1385.2960212201999</v>
      </c>
      <c r="E305">
        <v>362.66631299735002</v>
      </c>
      <c r="F305">
        <v>155.74973375932001</v>
      </c>
      <c r="G305">
        <v>120.54952076677</v>
      </c>
      <c r="I305" s="9">
        <f t="shared" si="40"/>
        <v>242.11679223058002</v>
      </c>
      <c r="J305" s="9">
        <f t="shared" si="41"/>
        <v>1229.54628746088</v>
      </c>
      <c r="K305" s="9">
        <f t="shared" si="31"/>
        <v>242.11679223058002</v>
      </c>
      <c r="L305" s="10">
        <f t="shared" si="30"/>
        <v>0.19691555714471901</v>
      </c>
      <c r="M305" s="10">
        <f t="shared" si="42"/>
        <v>0.22842305917262981</v>
      </c>
      <c r="P305" s="8">
        <f t="shared" si="43"/>
        <v>2.334403985897251</v>
      </c>
    </row>
    <row r="306" spans="1:16" x14ac:dyDescent="0.2">
      <c r="A306" s="8">
        <v>152</v>
      </c>
      <c r="B306" s="8">
        <v>304</v>
      </c>
      <c r="D306">
        <v>1402.2286472149001</v>
      </c>
      <c r="E306">
        <v>364.15225464191002</v>
      </c>
      <c r="F306">
        <v>155.86208732694001</v>
      </c>
      <c r="G306">
        <v>120.59158679446</v>
      </c>
      <c r="I306" s="9">
        <f t="shared" si="40"/>
        <v>243.56066784745002</v>
      </c>
      <c r="J306" s="9">
        <f t="shared" si="41"/>
        <v>1246.3665598879602</v>
      </c>
      <c r="K306" s="9">
        <f t="shared" si="31"/>
        <v>243.56066784745002</v>
      </c>
      <c r="L306" s="10">
        <f t="shared" si="30"/>
        <v>0.19541656177725472</v>
      </c>
      <c r="M306" s="10">
        <f t="shared" si="42"/>
        <v>0.22702804896037315</v>
      </c>
      <c r="P306" s="8">
        <f t="shared" si="43"/>
        <v>1.7094340763679474</v>
      </c>
    </row>
    <row r="307" spans="1:16" x14ac:dyDescent="0.2">
      <c r="A307" s="8">
        <v>152.5</v>
      </c>
      <c r="B307" s="8">
        <v>305</v>
      </c>
      <c r="D307">
        <v>1407.0721485411</v>
      </c>
      <c r="E307">
        <v>364.65782493368999</v>
      </c>
      <c r="F307">
        <v>155.4494142705</v>
      </c>
      <c r="G307">
        <v>120.71192758254</v>
      </c>
      <c r="I307" s="9">
        <f t="shared" si="40"/>
        <v>243.94589735114999</v>
      </c>
      <c r="J307" s="9">
        <f t="shared" si="41"/>
        <v>1251.6227342705999</v>
      </c>
      <c r="K307" s="9">
        <f t="shared" si="31"/>
        <v>243.94589735114999</v>
      </c>
      <c r="L307" s="10">
        <f t="shared" si="30"/>
        <v>0.19490369635488666</v>
      </c>
      <c r="M307" s="10">
        <f t="shared" si="42"/>
        <v>0.22661916869321272</v>
      </c>
      <c r="P307" s="8">
        <f t="shared" si="43"/>
        <v>1.5262541531455942</v>
      </c>
    </row>
    <row r="308" spans="1:16" x14ac:dyDescent="0.2">
      <c r="A308" s="8">
        <v>153</v>
      </c>
      <c r="B308" s="8">
        <v>306</v>
      </c>
      <c r="D308">
        <v>1420.5386254662001</v>
      </c>
      <c r="E308">
        <v>362.74960042621001</v>
      </c>
      <c r="F308">
        <v>155.90362087327</v>
      </c>
      <c r="G308">
        <v>120.41267305644</v>
      </c>
      <c r="I308" s="9">
        <f t="shared" si="40"/>
        <v>242.33692736977002</v>
      </c>
      <c r="J308" s="9">
        <f t="shared" si="41"/>
        <v>1264.63500459293</v>
      </c>
      <c r="K308" s="9">
        <f t="shared" si="31"/>
        <v>242.33692736977002</v>
      </c>
      <c r="L308" s="10">
        <f t="shared" si="30"/>
        <v>0.19162598416906482</v>
      </c>
      <c r="M308" s="10">
        <f t="shared" si="42"/>
        <v>0.2234454416625985</v>
      </c>
      <c r="P308" s="8">
        <f t="shared" si="43"/>
        <v>0.10441230728192644</v>
      </c>
    </row>
    <row r="309" spans="1:16" x14ac:dyDescent="0.2">
      <c r="A309" s="8">
        <v>153.5</v>
      </c>
      <c r="B309" s="8">
        <v>307</v>
      </c>
      <c r="D309">
        <v>1409.9698093219999</v>
      </c>
      <c r="E309">
        <v>360.72298728814002</v>
      </c>
      <c r="F309">
        <v>155.82747603834</v>
      </c>
      <c r="G309">
        <v>120.54313099042</v>
      </c>
      <c r="I309" s="9">
        <f t="shared" si="40"/>
        <v>240.17985629772002</v>
      </c>
      <c r="J309" s="9">
        <f t="shared" si="41"/>
        <v>1254.14233328366</v>
      </c>
      <c r="K309" s="9">
        <f t="shared" si="31"/>
        <v>240.17985629772002</v>
      </c>
      <c r="L309" s="10">
        <f t="shared" si="30"/>
        <v>0.19150924892940083</v>
      </c>
      <c r="M309" s="10">
        <f t="shared" si="42"/>
        <v>0.22343269157814213</v>
      </c>
      <c r="P309" s="8">
        <f t="shared" si="43"/>
        <v>9.8700220689890109E-2</v>
      </c>
    </row>
    <row r="310" spans="1:16" x14ac:dyDescent="0.2">
      <c r="A310" s="8">
        <v>154</v>
      </c>
      <c r="B310" s="8">
        <v>308</v>
      </c>
      <c r="D310">
        <v>1474.9809322034</v>
      </c>
      <c r="E310">
        <v>365.23993644068003</v>
      </c>
      <c r="F310">
        <v>155.85676251331</v>
      </c>
      <c r="G310">
        <v>120.46432374867</v>
      </c>
      <c r="I310" s="9">
        <f>E310-G310</f>
        <v>244.77561269201004</v>
      </c>
      <c r="J310" s="9">
        <f>D310-F310</f>
        <v>1319.12416969009</v>
      </c>
      <c r="K310" s="9">
        <f t="shared" si="31"/>
        <v>244.77561269201004</v>
      </c>
      <c r="L310" s="10">
        <f t="shared" si="30"/>
        <v>0.18555919019323003</v>
      </c>
      <c r="M310" s="10">
        <f>L310+ABS($N$2)*A310</f>
        <v>0.21758661799717896</v>
      </c>
      <c r="O310" s="11"/>
      <c r="P310" s="8">
        <f>(M310-$O$2)/$O$2*100</f>
        <v>-2.5203630986286645</v>
      </c>
    </row>
    <row r="311" spans="1:16" x14ac:dyDescent="0.2">
      <c r="A311" s="8">
        <v>154.5</v>
      </c>
      <c r="B311" s="8">
        <v>309</v>
      </c>
      <c r="D311">
        <v>1397.9078389831</v>
      </c>
      <c r="E311">
        <v>356.33209745763003</v>
      </c>
      <c r="F311">
        <v>155.59478168263999</v>
      </c>
      <c r="G311">
        <v>120.44089456869</v>
      </c>
      <c r="I311" s="9">
        <f t="shared" ref="I311:I319" si="44">E311-G311</f>
        <v>235.89120288894003</v>
      </c>
      <c r="J311" s="9">
        <f t="shared" ref="J311:J319" si="45">D311-F311</f>
        <v>1242.3130573004601</v>
      </c>
      <c r="K311" s="9">
        <f t="shared" si="31"/>
        <v>235.89120288894003</v>
      </c>
      <c r="L311" s="10">
        <f t="shared" si="30"/>
        <v>0.18988064361291543</v>
      </c>
      <c r="M311" s="10">
        <f t="shared" ref="M311:M319" si="46">L311+ABS($N$2)*A311</f>
        <v>0.22201205657207199</v>
      </c>
      <c r="P311" s="8">
        <f t="shared" ref="P311:P319" si="47">(M311-$O$2)/$O$2*100</f>
        <v>-0.53774969445558507</v>
      </c>
    </row>
    <row r="312" spans="1:16" x14ac:dyDescent="0.2">
      <c r="A312" s="8">
        <v>155</v>
      </c>
      <c r="B312" s="8">
        <v>310</v>
      </c>
      <c r="D312">
        <v>1472.0667372881001</v>
      </c>
      <c r="E312">
        <v>370.98887711864</v>
      </c>
      <c r="F312">
        <v>155.18051118211</v>
      </c>
      <c r="G312">
        <v>120.28700745474001</v>
      </c>
      <c r="I312" s="9">
        <f t="shared" si="44"/>
        <v>250.7018696639</v>
      </c>
      <c r="J312" s="9">
        <f t="shared" si="45"/>
        <v>1316.8862261059901</v>
      </c>
      <c r="K312" s="9">
        <f t="shared" si="31"/>
        <v>250.7018696639</v>
      </c>
      <c r="L312" s="10">
        <f t="shared" si="30"/>
        <v>0.19037473753918827</v>
      </c>
      <c r="M312" s="10">
        <f t="shared" si="46"/>
        <v>0.22261013565355245</v>
      </c>
      <c r="N312" s="1"/>
      <c r="P312" s="8">
        <f t="shared" si="47"/>
        <v>-0.26980797893254194</v>
      </c>
    </row>
    <row r="313" spans="1:16" x14ac:dyDescent="0.2">
      <c r="A313" s="8">
        <v>155.5</v>
      </c>
      <c r="B313" s="8">
        <v>311</v>
      </c>
      <c r="D313">
        <v>1474.8910838227</v>
      </c>
      <c r="E313">
        <v>370.50774159103003</v>
      </c>
      <c r="F313">
        <v>155.55111821086001</v>
      </c>
      <c r="G313">
        <v>120.30883919063</v>
      </c>
      <c r="I313" s="9">
        <f t="shared" si="44"/>
        <v>250.19890240040002</v>
      </c>
      <c r="J313" s="9">
        <f t="shared" si="45"/>
        <v>1319.3399656118399</v>
      </c>
      <c r="K313" s="9">
        <f t="shared" si="31"/>
        <v>250.19890240040002</v>
      </c>
      <c r="L313" s="10">
        <f t="shared" si="30"/>
        <v>0.18963944769487145</v>
      </c>
      <c r="M313" s="10">
        <f t="shared" si="46"/>
        <v>0.22197883096444326</v>
      </c>
      <c r="P313" s="8">
        <f t="shared" si="47"/>
        <v>-0.55263489372605368</v>
      </c>
    </row>
    <row r="314" spans="1:16" x14ac:dyDescent="0.2">
      <c r="A314" s="8">
        <v>156</v>
      </c>
      <c r="B314" s="8">
        <v>312</v>
      </c>
      <c r="D314">
        <v>1418.1657782515999</v>
      </c>
      <c r="E314">
        <v>361.26972281450003</v>
      </c>
      <c r="F314">
        <v>155.38871139509999</v>
      </c>
      <c r="G314">
        <v>120.12406815761</v>
      </c>
      <c r="I314" s="9">
        <f t="shared" si="44"/>
        <v>241.14565465689003</v>
      </c>
      <c r="J314" s="9">
        <f t="shared" si="45"/>
        <v>1262.7770668564999</v>
      </c>
      <c r="K314" s="9">
        <f t="shared" si="31"/>
        <v>241.14565465689003</v>
      </c>
      <c r="L314" s="10">
        <f t="shared" si="30"/>
        <v>0.19096455026474871</v>
      </c>
      <c r="M314" s="10">
        <f t="shared" si="46"/>
        <v>0.22340791868952814</v>
      </c>
      <c r="P314" s="8">
        <f t="shared" si="47"/>
        <v>8.7601871860728278E-2</v>
      </c>
    </row>
    <row r="315" spans="1:16" x14ac:dyDescent="0.2">
      <c r="A315" s="8">
        <v>156.5</v>
      </c>
      <c r="B315" s="8">
        <v>313</v>
      </c>
      <c r="D315">
        <v>1438.4482942431</v>
      </c>
      <c r="E315">
        <v>364.31396588486001</v>
      </c>
      <c r="F315">
        <v>155.20660276890001</v>
      </c>
      <c r="G315">
        <v>120.59957401491</v>
      </c>
      <c r="I315" s="9">
        <f t="shared" si="44"/>
        <v>243.71439186995002</v>
      </c>
      <c r="J315" s="9">
        <f t="shared" si="45"/>
        <v>1283.2416914742</v>
      </c>
      <c r="K315" s="9">
        <f t="shared" si="31"/>
        <v>243.71439186995002</v>
      </c>
      <c r="L315" s="10">
        <f t="shared" si="30"/>
        <v>0.18992088044612129</v>
      </c>
      <c r="M315" s="10">
        <f t="shared" si="46"/>
        <v>0.22246823402610835</v>
      </c>
      <c r="P315" s="8">
        <f t="shared" si="47"/>
        <v>-0.3333804506511085</v>
      </c>
    </row>
    <row r="316" spans="1:16" x14ac:dyDescent="0.2">
      <c r="A316" s="8">
        <v>157</v>
      </c>
      <c r="B316" s="8">
        <v>314</v>
      </c>
      <c r="D316">
        <v>1481.9328042328</v>
      </c>
      <c r="E316">
        <v>370.99259259258997</v>
      </c>
      <c r="F316">
        <v>156.30298189563001</v>
      </c>
      <c r="G316">
        <v>120.43716719915</v>
      </c>
      <c r="I316" s="9">
        <f t="shared" si="44"/>
        <v>250.55542539343998</v>
      </c>
      <c r="J316" s="9">
        <f t="shared" si="45"/>
        <v>1325.62982233717</v>
      </c>
      <c r="K316" s="9">
        <f t="shared" si="31"/>
        <v>250.55542539343998</v>
      </c>
      <c r="L316" s="10">
        <f t="shared" si="30"/>
        <v>0.18900859136655115</v>
      </c>
      <c r="M316" s="10">
        <f t="shared" si="46"/>
        <v>0.22165993010174584</v>
      </c>
      <c r="P316" s="8">
        <f t="shared" si="47"/>
        <v>-0.69550369967294356</v>
      </c>
    </row>
    <row r="317" spans="1:16" x14ac:dyDescent="0.2">
      <c r="A317" s="8">
        <v>157.5</v>
      </c>
      <c r="B317" s="8">
        <v>315</v>
      </c>
      <c r="D317">
        <v>1472.3439153439001</v>
      </c>
      <c r="E317">
        <v>369.05132275132001</v>
      </c>
      <c r="F317">
        <v>155.85516506921999</v>
      </c>
      <c r="G317">
        <v>120.28008519702</v>
      </c>
      <c r="I317" s="9">
        <f t="shared" si="44"/>
        <v>248.7712375543</v>
      </c>
      <c r="J317" s="9">
        <f t="shared" si="45"/>
        <v>1316.4887502746801</v>
      </c>
      <c r="K317" s="9">
        <f t="shared" si="31"/>
        <v>248.7712375543</v>
      </c>
      <c r="L317" s="10">
        <f t="shared" si="30"/>
        <v>0.18896571467275727</v>
      </c>
      <c r="M317" s="10">
        <f t="shared" si="46"/>
        <v>0.22172103856315958</v>
      </c>
      <c r="P317" s="8">
        <f t="shared" si="47"/>
        <v>-0.66812687528436587</v>
      </c>
    </row>
    <row r="318" spans="1:16" x14ac:dyDescent="0.2">
      <c r="A318" s="8">
        <v>158</v>
      </c>
      <c r="B318" s="8">
        <v>316</v>
      </c>
      <c r="D318">
        <v>1461.6079575597</v>
      </c>
      <c r="E318">
        <v>367.50557029177997</v>
      </c>
      <c r="F318">
        <v>155.05431309904</v>
      </c>
      <c r="G318">
        <v>120.24121405751001</v>
      </c>
      <c r="I318" s="9">
        <f t="shared" si="44"/>
        <v>247.26435623426997</v>
      </c>
      <c r="J318" s="9">
        <f t="shared" si="45"/>
        <v>1306.5536444606601</v>
      </c>
      <c r="K318" s="9">
        <f t="shared" si="31"/>
        <v>247.26435623426997</v>
      </c>
      <c r="L318" s="10">
        <f t="shared" si="30"/>
        <v>0.18924929510746547</v>
      </c>
      <c r="M318" s="10">
        <f t="shared" si="46"/>
        <v>0.2221086041530754</v>
      </c>
      <c r="P318" s="8">
        <f t="shared" si="47"/>
        <v>-0.49449600897369306</v>
      </c>
    </row>
    <row r="319" spans="1:16" x14ac:dyDescent="0.2">
      <c r="A319" s="8">
        <v>158.5</v>
      </c>
      <c r="B319" s="8">
        <v>317</v>
      </c>
      <c r="D319">
        <v>1470.4084880636999</v>
      </c>
      <c r="E319">
        <v>371.55066312997002</v>
      </c>
      <c r="F319">
        <v>155.39669861555001</v>
      </c>
      <c r="G319">
        <v>120.06123535675999</v>
      </c>
      <c r="I319" s="9">
        <f t="shared" si="44"/>
        <v>251.48942777321002</v>
      </c>
      <c r="J319" s="9">
        <f t="shared" si="45"/>
        <v>1315.01178944815</v>
      </c>
      <c r="K319" s="9">
        <f t="shared" si="31"/>
        <v>251.48942777321002</v>
      </c>
      <c r="L319" s="10">
        <f t="shared" si="30"/>
        <v>0.19124499855529703</v>
      </c>
      <c r="M319" s="10">
        <f t="shared" si="46"/>
        <v>0.22420829275611459</v>
      </c>
      <c r="P319" s="8">
        <f t="shared" si="47"/>
        <v>0.4461725142755702</v>
      </c>
    </row>
    <row r="320" spans="1:16" x14ac:dyDescent="0.2">
      <c r="A320" s="8">
        <v>159</v>
      </c>
      <c r="B320" s="8">
        <v>318</v>
      </c>
      <c r="D320">
        <v>1541.8558558559</v>
      </c>
      <c r="E320">
        <v>378.23476417593997</v>
      </c>
      <c r="F320">
        <v>155.52768903088</v>
      </c>
      <c r="G320">
        <v>120.27742279020001</v>
      </c>
      <c r="I320" s="9">
        <f>E320-G320</f>
        <v>257.95734138573994</v>
      </c>
      <c r="J320" s="9">
        <f>D320-F320</f>
        <v>1386.3281668250199</v>
      </c>
      <c r="K320" s="9">
        <f t="shared" si="31"/>
        <v>257.95734138573994</v>
      </c>
      <c r="L320" s="10">
        <f t="shared" si="30"/>
        <v>0.18607235109167258</v>
      </c>
      <c r="M320" s="10">
        <f>L320+ABS($N$2)*A320</f>
        <v>0.21913963044769777</v>
      </c>
      <c r="O320" s="11"/>
      <c r="P320" s="8">
        <f>(M320-$O$2)/$O$2*100</f>
        <v>-1.8246075821665022</v>
      </c>
    </row>
    <row r="321" spans="1:16" x14ac:dyDescent="0.2">
      <c r="A321" s="8">
        <v>159.5</v>
      </c>
      <c r="B321" s="8">
        <v>319</v>
      </c>
      <c r="D321">
        <v>1545.1775304717</v>
      </c>
      <c r="E321">
        <v>377.01748807630997</v>
      </c>
      <c r="F321">
        <v>155.23801916932999</v>
      </c>
      <c r="G321">
        <v>120.40042598509</v>
      </c>
      <c r="I321" s="9">
        <f t="shared" ref="I321:I322" si="48">E321-G321</f>
        <v>256.61706209121996</v>
      </c>
      <c r="J321" s="9">
        <f t="shared" ref="J321:J322" si="49">D321-F321</f>
        <v>1389.93951130237</v>
      </c>
      <c r="K321" s="9">
        <f t="shared" si="31"/>
        <v>256.61706209121996</v>
      </c>
      <c r="L321" s="10">
        <f t="shared" si="30"/>
        <v>0.18462462575135402</v>
      </c>
      <c r="M321" s="10">
        <f t="shared" ref="M321:M322" si="50">L321+ABS($N$2)*A321</f>
        <v>0.21779589026258683</v>
      </c>
      <c r="P321" s="8">
        <f t="shared" ref="P321:P322" si="51">(M321-$O$2)/$O$2*100</f>
        <v>-2.4266083234809055</v>
      </c>
    </row>
    <row r="322" spans="1:16" x14ac:dyDescent="0.2">
      <c r="A322" s="8">
        <v>160</v>
      </c>
      <c r="B322" s="8">
        <v>320</v>
      </c>
      <c r="D322">
        <v>1492.0514043455</v>
      </c>
      <c r="E322">
        <v>372.59141494436</v>
      </c>
      <c r="F322">
        <v>155.55005324813999</v>
      </c>
      <c r="G322">
        <v>120.21192758254</v>
      </c>
      <c r="I322" s="9">
        <f t="shared" si="48"/>
        <v>252.37948736182</v>
      </c>
      <c r="J322" s="9">
        <f t="shared" si="49"/>
        <v>1336.5013510973599</v>
      </c>
      <c r="K322" s="9">
        <f t="shared" si="31"/>
        <v>252.37948736182</v>
      </c>
      <c r="L322" s="10">
        <f t="shared" ref="L322" si="52">K322/J322</f>
        <v>0.18883593881487587</v>
      </c>
      <c r="M322" s="10">
        <f t="shared" si="50"/>
        <v>0.22211118848131631</v>
      </c>
      <c r="P322" s="8">
        <f t="shared" si="51"/>
        <v>-0.49333822003944522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1215.7027027027</v>
      </c>
      <c r="E2">
        <v>525.23783783783995</v>
      </c>
      <c r="F2">
        <v>134.62853297442999</v>
      </c>
      <c r="G2">
        <v>113.67698519516</v>
      </c>
      <c r="H2" s="4"/>
      <c r="I2" s="5">
        <f>E2-G2</f>
        <v>411.56085264267995</v>
      </c>
      <c r="J2" s="5">
        <f>D2-F2</f>
        <v>1081.0741697282699</v>
      </c>
      <c r="K2" s="9">
        <f>I2*1</f>
        <v>411.56085264267995</v>
      </c>
      <c r="L2" s="6">
        <f t="shared" ref="L2:L65" si="0">K2/J2</f>
        <v>0.38069622248594337</v>
      </c>
      <c r="M2" s="6">
        <f>L2+ABS($N$2)*A2</f>
        <v>0.38069622248594337</v>
      </c>
      <c r="N2" s="4">
        <f>LINEST(V64:V103,U64:U103)</f>
        <v>8.3777786735044131E-5</v>
      </c>
      <c r="O2" s="7">
        <f>AVERAGE(M62:M81)</f>
        <v>0.25040661425705762</v>
      </c>
      <c r="P2" s="4">
        <f>(M2-$O$2)/$O$2*100</f>
        <v>52.031216753378388</v>
      </c>
    </row>
    <row r="3" spans="1:16" x14ac:dyDescent="0.2">
      <c r="A3" s="8">
        <v>0.5</v>
      </c>
      <c r="B3" s="8">
        <v>1</v>
      </c>
      <c r="D3">
        <v>1191.7601351351</v>
      </c>
      <c r="E3">
        <v>532.21486486487004</v>
      </c>
      <c r="F3">
        <v>135.10632570659999</v>
      </c>
      <c r="G3">
        <v>113.17833109018</v>
      </c>
      <c r="I3" s="9">
        <f t="shared" ref="I3:I66" si="1">E3-G3</f>
        <v>419.03653377469004</v>
      </c>
      <c r="J3" s="9">
        <f t="shared" ref="J3:J66" si="2">D3-F3</f>
        <v>1056.6538094284999</v>
      </c>
      <c r="K3" s="9">
        <f t="shared" ref="K3:K66" si="3">I3*1</f>
        <v>419.03653377469004</v>
      </c>
      <c r="L3" s="10">
        <f t="shared" si="0"/>
        <v>0.39656936835473999</v>
      </c>
      <c r="M3" s="10">
        <f t="shared" ref="M3:M66" si="4">L3+ABS($N$2)*A3</f>
        <v>0.39661125724810753</v>
      </c>
      <c r="P3" s="8">
        <f t="shared" ref="P3:P66" si="5">(M3-$O$2)/$O$2*100</f>
        <v>58.38689342325516</v>
      </c>
    </row>
    <row r="4" spans="1:16" ht="16" x14ac:dyDescent="0.2">
      <c r="A4" s="8">
        <v>1</v>
      </c>
      <c r="B4" s="8">
        <v>2</v>
      </c>
      <c r="D4">
        <v>1074.9418918919</v>
      </c>
      <c r="E4">
        <v>514.92837837837999</v>
      </c>
      <c r="F4">
        <v>134.88963660835</v>
      </c>
      <c r="G4">
        <v>113.42732166891</v>
      </c>
      <c r="I4" s="9">
        <f t="shared" si="1"/>
        <v>401.50105670946999</v>
      </c>
      <c r="J4" s="9">
        <f t="shared" si="2"/>
        <v>940.05225528355004</v>
      </c>
      <c r="K4" s="9">
        <f t="shared" si="3"/>
        <v>401.50105670946999</v>
      </c>
      <c r="L4" s="10">
        <f t="shared" si="0"/>
        <v>0.42710504065368615</v>
      </c>
      <c r="M4" s="10">
        <f t="shared" si="4"/>
        <v>0.42718881844042117</v>
      </c>
      <c r="N4" s="1" t="s">
        <v>7</v>
      </c>
      <c r="P4" s="8">
        <f t="shared" si="5"/>
        <v>70.598056967411367</v>
      </c>
    </row>
    <row r="5" spans="1:16" x14ac:dyDescent="0.2">
      <c r="A5" s="8">
        <v>1.5</v>
      </c>
      <c r="B5" s="8">
        <v>3</v>
      </c>
      <c r="D5">
        <v>997.08378378377995</v>
      </c>
      <c r="E5">
        <v>496.44121621622003</v>
      </c>
      <c r="F5">
        <v>135.04508748318</v>
      </c>
      <c r="G5">
        <v>113.21265141319</v>
      </c>
      <c r="I5" s="9">
        <f t="shared" si="1"/>
        <v>383.22856480303005</v>
      </c>
      <c r="J5" s="9">
        <f t="shared" si="2"/>
        <v>862.0386963005999</v>
      </c>
      <c r="K5" s="9">
        <f t="shared" si="3"/>
        <v>383.22856480303005</v>
      </c>
      <c r="L5" s="10">
        <f t="shared" si="0"/>
        <v>0.44456074471788576</v>
      </c>
      <c r="M5" s="10">
        <f t="shared" si="4"/>
        <v>0.44468641139798831</v>
      </c>
      <c r="N5" s="8">
        <f>RSQ(V64:V83,U64:U83)</f>
        <v>0.67335369013901236</v>
      </c>
      <c r="P5" s="8">
        <f t="shared" si="5"/>
        <v>77.585729002146337</v>
      </c>
    </row>
    <row r="6" spans="1:16" x14ac:dyDescent="0.2">
      <c r="A6" s="8">
        <v>2</v>
      </c>
      <c r="B6" s="8">
        <v>4</v>
      </c>
      <c r="D6">
        <v>1037.7871621622</v>
      </c>
      <c r="E6">
        <v>485.51891891892001</v>
      </c>
      <c r="F6">
        <v>135.24629878869001</v>
      </c>
      <c r="G6">
        <v>113.26446837147</v>
      </c>
      <c r="I6" s="9">
        <f t="shared" si="1"/>
        <v>372.25445054745001</v>
      </c>
      <c r="J6" s="9">
        <f t="shared" si="2"/>
        <v>902.54086337351009</v>
      </c>
      <c r="K6" s="9">
        <f t="shared" si="3"/>
        <v>372.25445054745001</v>
      </c>
      <c r="L6" s="10">
        <f t="shared" si="0"/>
        <v>0.41245163034063664</v>
      </c>
      <c r="M6" s="10">
        <f t="shared" si="4"/>
        <v>0.41261918591410673</v>
      </c>
      <c r="P6" s="8">
        <f t="shared" si="5"/>
        <v>64.779667317624458</v>
      </c>
    </row>
    <row r="7" spans="1:16" x14ac:dyDescent="0.2">
      <c r="A7" s="8">
        <v>2.5</v>
      </c>
      <c r="B7" s="8">
        <v>5</v>
      </c>
      <c r="D7">
        <v>1105.9297297297001</v>
      </c>
      <c r="E7">
        <v>491.70472972972999</v>
      </c>
      <c r="F7">
        <v>135.86944818303999</v>
      </c>
      <c r="G7">
        <v>113.74024226109999</v>
      </c>
      <c r="I7" s="9">
        <f t="shared" si="1"/>
        <v>377.96448746863001</v>
      </c>
      <c r="J7" s="9">
        <f t="shared" si="2"/>
        <v>970.06028154666001</v>
      </c>
      <c r="K7" s="9">
        <f t="shared" si="3"/>
        <v>377.96448746863001</v>
      </c>
      <c r="L7" s="10">
        <f t="shared" si="0"/>
        <v>0.38962989688228966</v>
      </c>
      <c r="M7" s="10">
        <f t="shared" si="4"/>
        <v>0.38983934134912729</v>
      </c>
      <c r="P7" s="8">
        <f t="shared" si="5"/>
        <v>55.682525601713337</v>
      </c>
    </row>
    <row r="8" spans="1:16" x14ac:dyDescent="0.2">
      <c r="A8" s="8">
        <v>3</v>
      </c>
      <c r="B8" s="8">
        <v>6</v>
      </c>
      <c r="D8">
        <v>1176.1405405405001</v>
      </c>
      <c r="E8">
        <v>499.77972972972998</v>
      </c>
      <c r="F8">
        <v>135.69044414536</v>
      </c>
      <c r="G8">
        <v>113.5733512786</v>
      </c>
      <c r="I8" s="9">
        <f t="shared" si="1"/>
        <v>386.20637845112998</v>
      </c>
      <c r="J8" s="9">
        <f t="shared" si="2"/>
        <v>1040.45009639514</v>
      </c>
      <c r="K8" s="9">
        <f t="shared" si="3"/>
        <v>386.20637845112998</v>
      </c>
      <c r="L8" s="10">
        <f t="shared" si="0"/>
        <v>0.37119164079971145</v>
      </c>
      <c r="M8" s="10">
        <f t="shared" si="4"/>
        <v>0.37144297415991656</v>
      </c>
      <c r="P8" s="8">
        <f t="shared" si="5"/>
        <v>48.335927651898103</v>
      </c>
    </row>
    <row r="9" spans="1:16" x14ac:dyDescent="0.2">
      <c r="A9" s="8">
        <v>3.5</v>
      </c>
      <c r="B9" s="8">
        <v>7</v>
      </c>
      <c r="D9">
        <v>928.85202702702998</v>
      </c>
      <c r="E9">
        <v>413.38175675676001</v>
      </c>
      <c r="F9">
        <v>136.35195154778</v>
      </c>
      <c r="G9">
        <v>113.37281292058999</v>
      </c>
      <c r="I9" s="9">
        <f t="shared" si="1"/>
        <v>300.00894383617003</v>
      </c>
      <c r="J9" s="9">
        <f t="shared" si="2"/>
        <v>792.50007547924997</v>
      </c>
      <c r="K9" s="9">
        <f t="shared" si="3"/>
        <v>300.00894383617003</v>
      </c>
      <c r="L9" s="10">
        <f t="shared" si="0"/>
        <v>0.37856014544193589</v>
      </c>
      <c r="M9" s="10">
        <f t="shared" si="4"/>
        <v>0.37885336769550854</v>
      </c>
      <c r="P9" s="8">
        <f t="shared" si="5"/>
        <v>51.29527182001371</v>
      </c>
    </row>
    <row r="10" spans="1:16" x14ac:dyDescent="0.2">
      <c r="A10" s="8">
        <v>4</v>
      </c>
      <c r="B10" s="8">
        <v>8</v>
      </c>
      <c r="D10">
        <v>1051.5138047138</v>
      </c>
      <c r="E10">
        <v>442.33400673401002</v>
      </c>
      <c r="F10">
        <v>136.35666218035001</v>
      </c>
      <c r="G10">
        <v>113.47846567968</v>
      </c>
      <c r="I10" s="9">
        <f t="shared" si="1"/>
        <v>328.85554105433005</v>
      </c>
      <c r="J10" s="9">
        <f t="shared" si="2"/>
        <v>915.15714253345004</v>
      </c>
      <c r="K10" s="9">
        <f t="shared" si="3"/>
        <v>328.85554105433005</v>
      </c>
      <c r="L10" s="10">
        <f t="shared" si="0"/>
        <v>0.35934324912107651</v>
      </c>
      <c r="M10" s="10">
        <f t="shared" si="4"/>
        <v>0.35967836026801669</v>
      </c>
      <c r="P10" s="8">
        <f t="shared" si="5"/>
        <v>43.637723522264857</v>
      </c>
    </row>
    <row r="11" spans="1:16" x14ac:dyDescent="0.2">
      <c r="A11" s="8">
        <v>4.5</v>
      </c>
      <c r="B11" s="8">
        <v>9</v>
      </c>
      <c r="D11">
        <v>1189.3225589225999</v>
      </c>
      <c r="E11">
        <v>460.25589225588999</v>
      </c>
      <c r="F11">
        <v>136.62584118439</v>
      </c>
      <c r="G11">
        <v>114.12718707941001</v>
      </c>
      <c r="I11" s="9">
        <f t="shared" si="1"/>
        <v>346.12870517647997</v>
      </c>
      <c r="J11" s="9">
        <f t="shared" si="2"/>
        <v>1052.6967177382098</v>
      </c>
      <c r="K11" s="9">
        <f t="shared" si="3"/>
        <v>346.12870517647997</v>
      </c>
      <c r="L11" s="10">
        <f t="shared" si="0"/>
        <v>0.32880192304594713</v>
      </c>
      <c r="M11" s="10">
        <f t="shared" si="4"/>
        <v>0.32917892308625485</v>
      </c>
      <c r="P11" s="8">
        <f t="shared" si="5"/>
        <v>31.457758838723265</v>
      </c>
    </row>
    <row r="12" spans="1:16" x14ac:dyDescent="0.2">
      <c r="A12" s="8">
        <v>5</v>
      </c>
      <c r="B12" s="8">
        <v>10</v>
      </c>
      <c r="D12">
        <v>1200.2983164983</v>
      </c>
      <c r="E12">
        <v>454.98518518519001</v>
      </c>
      <c r="F12">
        <v>136.47577388964001</v>
      </c>
      <c r="G12">
        <v>113.84589502019</v>
      </c>
      <c r="I12" s="9">
        <f t="shared" si="1"/>
        <v>341.13929016500003</v>
      </c>
      <c r="J12" s="9">
        <f t="shared" si="2"/>
        <v>1063.8225426086599</v>
      </c>
      <c r="K12" s="9">
        <f t="shared" si="3"/>
        <v>341.13929016500003</v>
      </c>
      <c r="L12" s="10">
        <f t="shared" si="0"/>
        <v>0.32067311652230357</v>
      </c>
      <c r="M12" s="10">
        <f t="shared" si="4"/>
        <v>0.32109200545597877</v>
      </c>
      <c r="P12" s="8">
        <f t="shared" si="5"/>
        <v>28.228244452983294</v>
      </c>
    </row>
    <row r="13" spans="1:16" x14ac:dyDescent="0.2">
      <c r="A13" s="8">
        <v>5.5</v>
      </c>
      <c r="B13" s="8">
        <v>11</v>
      </c>
      <c r="D13">
        <v>1152.6464646464999</v>
      </c>
      <c r="E13">
        <v>431.10976430976001</v>
      </c>
      <c r="F13">
        <v>136.47106325707</v>
      </c>
      <c r="G13">
        <v>113.91722745625999</v>
      </c>
      <c r="I13" s="9">
        <f t="shared" si="1"/>
        <v>317.19253685350003</v>
      </c>
      <c r="J13" s="9">
        <f t="shared" si="2"/>
        <v>1016.1754013894299</v>
      </c>
      <c r="K13" s="9">
        <f t="shared" si="3"/>
        <v>317.19253685350003</v>
      </c>
      <c r="L13" s="10">
        <f t="shared" si="0"/>
        <v>0.31214349060191632</v>
      </c>
      <c r="M13" s="10">
        <f t="shared" si="4"/>
        <v>0.31260426842895905</v>
      </c>
      <c r="P13" s="8">
        <f t="shared" si="5"/>
        <v>24.838662651319488</v>
      </c>
    </row>
    <row r="14" spans="1:16" x14ac:dyDescent="0.2">
      <c r="A14" s="8">
        <v>6</v>
      </c>
      <c r="B14" s="8">
        <v>12</v>
      </c>
      <c r="D14">
        <v>1167.4813811781</v>
      </c>
      <c r="E14">
        <v>427.79959377116</v>
      </c>
      <c r="F14">
        <v>136.49798115747001</v>
      </c>
      <c r="G14">
        <v>113.88896366083</v>
      </c>
      <c r="I14" s="9">
        <f t="shared" si="1"/>
        <v>313.91063011032998</v>
      </c>
      <c r="J14" s="9">
        <f t="shared" si="2"/>
        <v>1030.9834000206301</v>
      </c>
      <c r="K14" s="9">
        <f t="shared" si="3"/>
        <v>313.91063011032998</v>
      </c>
      <c r="L14" s="10">
        <f t="shared" si="0"/>
        <v>0.30447690050494369</v>
      </c>
      <c r="M14" s="10">
        <f t="shared" si="4"/>
        <v>0.30497956722535396</v>
      </c>
      <c r="P14" s="8">
        <f t="shared" si="5"/>
        <v>21.793734614483419</v>
      </c>
    </row>
    <row r="15" spans="1:16" x14ac:dyDescent="0.2">
      <c r="A15" s="8">
        <v>6.5</v>
      </c>
      <c r="B15" s="8">
        <v>13</v>
      </c>
      <c r="D15">
        <v>1127.211238998</v>
      </c>
      <c r="E15">
        <v>408.41976980366002</v>
      </c>
      <c r="F15">
        <v>137.49730820996001</v>
      </c>
      <c r="G15">
        <v>114.09892328398</v>
      </c>
      <c r="I15" s="9">
        <f t="shared" si="1"/>
        <v>294.32084651968</v>
      </c>
      <c r="J15" s="9">
        <f t="shared" si="2"/>
        <v>989.71393078803999</v>
      </c>
      <c r="K15" s="9">
        <f t="shared" si="3"/>
        <v>294.32084651968</v>
      </c>
      <c r="L15" s="10">
        <f t="shared" si="0"/>
        <v>0.29737971484884818</v>
      </c>
      <c r="M15" s="10">
        <f t="shared" si="4"/>
        <v>0.29792427046262598</v>
      </c>
      <c r="P15" s="8">
        <f t="shared" si="5"/>
        <v>18.976198510790372</v>
      </c>
    </row>
    <row r="16" spans="1:16" x14ac:dyDescent="0.2">
      <c r="A16" s="8">
        <v>7</v>
      </c>
      <c r="B16" s="8">
        <v>14</v>
      </c>
      <c r="D16">
        <v>1103.8107744107999</v>
      </c>
      <c r="E16">
        <v>391.62962962963002</v>
      </c>
      <c r="F16">
        <v>137.4401076716</v>
      </c>
      <c r="G16">
        <v>114.15948855988999</v>
      </c>
      <c r="I16" s="9">
        <f t="shared" si="1"/>
        <v>277.47014106974001</v>
      </c>
      <c r="J16" s="9">
        <f t="shared" si="2"/>
        <v>966.37066673919992</v>
      </c>
      <c r="K16" s="9">
        <f t="shared" si="3"/>
        <v>277.47014106974001</v>
      </c>
      <c r="L16" s="10">
        <f t="shared" si="0"/>
        <v>0.28712599690758461</v>
      </c>
      <c r="M16" s="10">
        <f t="shared" si="4"/>
        <v>0.2877124414147299</v>
      </c>
      <c r="P16" s="8">
        <f t="shared" si="5"/>
        <v>14.898099744032949</v>
      </c>
    </row>
    <row r="17" spans="1:16" x14ac:dyDescent="0.2">
      <c r="A17" s="8">
        <v>7.5</v>
      </c>
      <c r="B17" s="8">
        <v>15</v>
      </c>
      <c r="D17">
        <v>1065.6498316498</v>
      </c>
      <c r="E17">
        <v>377.79865319865002</v>
      </c>
      <c r="F17">
        <v>137.91722745626001</v>
      </c>
      <c r="G17">
        <v>114.01413189771</v>
      </c>
      <c r="I17" s="9">
        <f t="shared" si="1"/>
        <v>263.78452130094001</v>
      </c>
      <c r="J17" s="9">
        <f t="shared" si="2"/>
        <v>927.73260419354006</v>
      </c>
      <c r="K17" s="9">
        <f t="shared" si="3"/>
        <v>263.78452130094001</v>
      </c>
      <c r="L17" s="10">
        <f t="shared" si="0"/>
        <v>0.2843324898883367</v>
      </c>
      <c r="M17" s="10">
        <f t="shared" si="4"/>
        <v>0.28496082328884953</v>
      </c>
      <c r="P17" s="8">
        <f t="shared" si="5"/>
        <v>13.799239742253736</v>
      </c>
    </row>
    <row r="18" spans="1:16" x14ac:dyDescent="0.2">
      <c r="A18" s="8">
        <v>8</v>
      </c>
      <c r="B18" s="8">
        <v>16</v>
      </c>
      <c r="D18">
        <v>1070.6087542088001</v>
      </c>
      <c r="E18">
        <v>372.49629629629999</v>
      </c>
      <c r="F18">
        <v>137.47240915208999</v>
      </c>
      <c r="G18">
        <v>114.33714670256001</v>
      </c>
      <c r="I18" s="9">
        <f t="shared" si="1"/>
        <v>258.15914959373998</v>
      </c>
      <c r="J18" s="9">
        <f t="shared" si="2"/>
        <v>933.13634505671007</v>
      </c>
      <c r="K18" s="9">
        <f t="shared" si="3"/>
        <v>258.15914959373998</v>
      </c>
      <c r="L18" s="10">
        <f t="shared" si="0"/>
        <v>0.27665747986490735</v>
      </c>
      <c r="M18" s="10">
        <f t="shared" si="4"/>
        <v>0.27732770215878771</v>
      </c>
      <c r="P18" s="8">
        <f t="shared" si="5"/>
        <v>10.750949203799367</v>
      </c>
    </row>
    <row r="19" spans="1:16" x14ac:dyDescent="0.2">
      <c r="A19" s="8">
        <v>8.5</v>
      </c>
      <c r="B19" s="8">
        <v>17</v>
      </c>
      <c r="D19">
        <v>1103.1458474004</v>
      </c>
      <c r="E19">
        <v>376.50101282917001</v>
      </c>
      <c r="F19">
        <v>138.08209959622999</v>
      </c>
      <c r="G19">
        <v>114.60296096904</v>
      </c>
      <c r="I19" s="9">
        <f t="shared" si="1"/>
        <v>261.89805186013001</v>
      </c>
      <c r="J19" s="9">
        <f t="shared" si="2"/>
        <v>965.06374780417002</v>
      </c>
      <c r="K19" s="9">
        <f t="shared" si="3"/>
        <v>261.89805186013001</v>
      </c>
      <c r="L19" s="10">
        <f t="shared" si="0"/>
        <v>0.27137901766181993</v>
      </c>
      <c r="M19" s="10">
        <f t="shared" si="4"/>
        <v>0.27209112884906783</v>
      </c>
      <c r="P19" s="8">
        <f t="shared" si="5"/>
        <v>8.6597211724406495</v>
      </c>
    </row>
    <row r="20" spans="1:16" x14ac:dyDescent="0.2">
      <c r="A20" s="8">
        <v>9</v>
      </c>
      <c r="B20" s="8">
        <v>18</v>
      </c>
      <c r="D20">
        <v>1088.5779878461001</v>
      </c>
      <c r="E20">
        <v>366.88723835246998</v>
      </c>
      <c r="F20">
        <v>137.96904441454001</v>
      </c>
      <c r="G20">
        <v>114.61170928668</v>
      </c>
      <c r="I20" s="9">
        <f t="shared" si="1"/>
        <v>252.27552906578998</v>
      </c>
      <c r="J20" s="9">
        <f t="shared" si="2"/>
        <v>950.60894343156008</v>
      </c>
      <c r="K20" s="9">
        <f t="shared" si="3"/>
        <v>252.27552906578998</v>
      </c>
      <c r="L20" s="10">
        <f t="shared" si="0"/>
        <v>0.26538307977106967</v>
      </c>
      <c r="M20" s="10">
        <f t="shared" si="4"/>
        <v>0.26613707985168505</v>
      </c>
      <c r="P20" s="8">
        <f t="shared" si="5"/>
        <v>6.2819688854061777</v>
      </c>
    </row>
    <row r="21" spans="1:16" x14ac:dyDescent="0.2">
      <c r="A21" s="8">
        <v>9.5</v>
      </c>
      <c r="B21" s="8">
        <v>19</v>
      </c>
      <c r="D21">
        <v>1100.3538149899</v>
      </c>
      <c r="E21">
        <v>365.89466576637</v>
      </c>
      <c r="F21">
        <v>138.57873485868001</v>
      </c>
      <c r="G21">
        <v>114.61709286676</v>
      </c>
      <c r="I21" s="9">
        <f t="shared" si="1"/>
        <v>251.27757289960999</v>
      </c>
      <c r="J21" s="9">
        <f t="shared" si="2"/>
        <v>961.77508013121997</v>
      </c>
      <c r="K21" s="9">
        <f t="shared" si="3"/>
        <v>251.27757289960999</v>
      </c>
      <c r="L21" s="10">
        <f t="shared" si="0"/>
        <v>0.2612643830045242</v>
      </c>
      <c r="M21" s="10">
        <f t="shared" si="4"/>
        <v>0.26206027197850712</v>
      </c>
      <c r="P21" s="8">
        <f t="shared" si="5"/>
        <v>4.6538937304133299</v>
      </c>
    </row>
    <row r="22" spans="1:16" x14ac:dyDescent="0.2">
      <c r="A22" s="8">
        <v>10</v>
      </c>
      <c r="B22" s="8">
        <v>20</v>
      </c>
      <c r="D22">
        <v>1108.4475997295999</v>
      </c>
      <c r="E22">
        <v>363.10074374576999</v>
      </c>
      <c r="F22">
        <v>139.24697173621001</v>
      </c>
      <c r="G22">
        <v>114.59219380888</v>
      </c>
      <c r="I22" s="9">
        <f t="shared" si="1"/>
        <v>248.50854993689001</v>
      </c>
      <c r="J22" s="9">
        <f t="shared" si="2"/>
        <v>969.20062799338984</v>
      </c>
      <c r="K22" s="9">
        <f t="shared" si="3"/>
        <v>248.50854993689001</v>
      </c>
      <c r="L22" s="10">
        <f t="shared" si="0"/>
        <v>0.2564056839824756</v>
      </c>
      <c r="M22" s="10">
        <f t="shared" si="4"/>
        <v>0.25724346184982605</v>
      </c>
      <c r="P22" s="8">
        <f t="shared" si="5"/>
        <v>2.7302983242087948</v>
      </c>
    </row>
    <row r="23" spans="1:16" x14ac:dyDescent="0.2">
      <c r="A23" s="8">
        <v>10.5</v>
      </c>
      <c r="B23" s="8">
        <v>21</v>
      </c>
      <c r="D23">
        <v>1102.8950201883999</v>
      </c>
      <c r="E23">
        <v>358.91453566621999</v>
      </c>
      <c r="F23">
        <v>139.02960969044</v>
      </c>
      <c r="G23">
        <v>115.12180349933</v>
      </c>
      <c r="I23" s="9">
        <f t="shared" si="1"/>
        <v>243.79273216689</v>
      </c>
      <c r="J23" s="9">
        <f t="shared" si="2"/>
        <v>963.86541049795994</v>
      </c>
      <c r="K23" s="9">
        <f t="shared" si="3"/>
        <v>243.79273216689</v>
      </c>
      <c r="L23" s="10">
        <f t="shared" si="0"/>
        <v>0.25293233838626894</v>
      </c>
      <c r="M23" s="10">
        <f t="shared" si="4"/>
        <v>0.25381200514698693</v>
      </c>
      <c r="P23" s="8">
        <f t="shared" si="5"/>
        <v>1.359944464739044</v>
      </c>
    </row>
    <row r="24" spans="1:16" x14ac:dyDescent="0.2">
      <c r="A24" s="8">
        <v>11</v>
      </c>
      <c r="B24" s="8">
        <v>22</v>
      </c>
      <c r="D24">
        <v>1100.0686406459999</v>
      </c>
      <c r="E24">
        <v>355.76446837147</v>
      </c>
      <c r="F24">
        <v>139.25302826379999</v>
      </c>
      <c r="G24">
        <v>114.51076716016</v>
      </c>
      <c r="I24" s="9">
        <f t="shared" si="1"/>
        <v>241.25370121130999</v>
      </c>
      <c r="J24" s="9">
        <f t="shared" si="2"/>
        <v>960.81561238220002</v>
      </c>
      <c r="K24" s="9">
        <f t="shared" si="3"/>
        <v>241.25370121130999</v>
      </c>
      <c r="L24" s="10">
        <f t="shared" si="0"/>
        <v>0.25109261142536721</v>
      </c>
      <c r="M24" s="10">
        <f t="shared" si="4"/>
        <v>0.25201416707945268</v>
      </c>
      <c r="P24" s="8">
        <f t="shared" si="5"/>
        <v>0.6419769809853354</v>
      </c>
    </row>
    <row r="25" spans="1:16" x14ac:dyDescent="0.2">
      <c r="A25" s="8">
        <v>11.5</v>
      </c>
      <c r="B25" s="8">
        <v>23</v>
      </c>
      <c r="D25">
        <v>1109.1629327902001</v>
      </c>
      <c r="E25">
        <v>353.62321792261002</v>
      </c>
      <c r="F25">
        <v>138.89771197847</v>
      </c>
      <c r="G25">
        <v>115.10699865411</v>
      </c>
      <c r="I25" s="9">
        <f t="shared" si="1"/>
        <v>238.51621926850004</v>
      </c>
      <c r="J25" s="9">
        <f t="shared" si="2"/>
        <v>970.26522081173016</v>
      </c>
      <c r="K25" s="9">
        <f t="shared" si="3"/>
        <v>238.51621926850004</v>
      </c>
      <c r="L25" s="10">
        <f t="shared" si="0"/>
        <v>0.24582579500165513</v>
      </c>
      <c r="M25" s="10">
        <f t="shared" si="4"/>
        <v>0.24678923954910814</v>
      </c>
      <c r="P25" s="8">
        <f t="shared" si="5"/>
        <v>-1.4446003028642158</v>
      </c>
    </row>
    <row r="26" spans="1:16" x14ac:dyDescent="0.2">
      <c r="A26" s="8">
        <v>12</v>
      </c>
      <c r="B26" s="8">
        <v>24</v>
      </c>
      <c r="D26">
        <v>1096.8886625934001</v>
      </c>
      <c r="E26">
        <v>348.31093007468002</v>
      </c>
      <c r="F26">
        <v>139.79676985194999</v>
      </c>
      <c r="G26">
        <v>115.23485868102</v>
      </c>
      <c r="I26" s="9">
        <f t="shared" si="1"/>
        <v>233.07607139366002</v>
      </c>
      <c r="J26" s="9">
        <f t="shared" si="2"/>
        <v>957.09189274145012</v>
      </c>
      <c r="K26" s="9">
        <f t="shared" si="3"/>
        <v>233.07607139366002</v>
      </c>
      <c r="L26" s="10">
        <f t="shared" si="0"/>
        <v>0.24352528023829312</v>
      </c>
      <c r="M26" s="10">
        <f t="shared" si="4"/>
        <v>0.24453061367911363</v>
      </c>
      <c r="P26" s="8">
        <f t="shared" si="5"/>
        <v>-2.3465836137666547</v>
      </c>
    </row>
    <row r="27" spans="1:16" x14ac:dyDescent="0.2">
      <c r="A27" s="8">
        <v>12.5</v>
      </c>
      <c r="B27" s="8">
        <v>25</v>
      </c>
      <c r="D27">
        <v>1092.9572301426001</v>
      </c>
      <c r="E27">
        <v>345.33469110659001</v>
      </c>
      <c r="F27">
        <v>139.79071332436001</v>
      </c>
      <c r="G27">
        <v>114.77052489906001</v>
      </c>
      <c r="I27" s="9">
        <f t="shared" si="1"/>
        <v>230.56416620753001</v>
      </c>
      <c r="J27" s="9">
        <f t="shared" si="2"/>
        <v>953.1665168182401</v>
      </c>
      <c r="K27" s="9">
        <f t="shared" si="3"/>
        <v>230.56416620753001</v>
      </c>
      <c r="L27" s="10">
        <f t="shared" si="0"/>
        <v>0.24189285097547802</v>
      </c>
      <c r="M27" s="10">
        <f t="shared" si="4"/>
        <v>0.24294007330966608</v>
      </c>
      <c r="P27" s="8">
        <f t="shared" si="5"/>
        <v>-2.9817666636100473</v>
      </c>
    </row>
    <row r="28" spans="1:16" x14ac:dyDescent="0.2">
      <c r="A28" s="8">
        <v>13</v>
      </c>
      <c r="B28" s="8">
        <v>26</v>
      </c>
      <c r="D28">
        <v>1100.5132024374</v>
      </c>
      <c r="E28">
        <v>344.94719025051</v>
      </c>
      <c r="F28">
        <v>140.1534320323</v>
      </c>
      <c r="G28">
        <v>115.17092866756001</v>
      </c>
      <c r="I28" s="9">
        <f t="shared" si="1"/>
        <v>229.77626158294999</v>
      </c>
      <c r="J28" s="9">
        <f t="shared" si="2"/>
        <v>960.35977040509999</v>
      </c>
      <c r="K28" s="9">
        <f t="shared" si="3"/>
        <v>229.77626158294999</v>
      </c>
      <c r="L28" s="10">
        <f t="shared" si="0"/>
        <v>0.23926060697651413</v>
      </c>
      <c r="M28" s="10">
        <f t="shared" si="4"/>
        <v>0.2403497182040697</v>
      </c>
      <c r="P28" s="8">
        <f t="shared" si="5"/>
        <v>-4.0162262018621897</v>
      </c>
    </row>
    <row r="29" spans="1:16" x14ac:dyDescent="0.2">
      <c r="A29" s="8">
        <v>13.5</v>
      </c>
      <c r="B29" s="8">
        <v>27</v>
      </c>
      <c r="D29">
        <v>1078.7467840217</v>
      </c>
      <c r="E29">
        <v>338.25186188218998</v>
      </c>
      <c r="F29">
        <v>140.23755047105999</v>
      </c>
      <c r="G29">
        <v>115.22274562584001</v>
      </c>
      <c r="I29" s="9">
        <f t="shared" si="1"/>
        <v>223.02911625634999</v>
      </c>
      <c r="J29" s="9">
        <f t="shared" si="2"/>
        <v>938.50923355064003</v>
      </c>
      <c r="K29" s="9">
        <f t="shared" si="3"/>
        <v>223.02911625634999</v>
      </c>
      <c r="L29" s="10">
        <f t="shared" si="0"/>
        <v>0.23764189875103217</v>
      </c>
      <c r="M29" s="10">
        <f t="shared" si="4"/>
        <v>0.23877289887195527</v>
      </c>
      <c r="P29" s="8">
        <f t="shared" si="5"/>
        <v>-4.6459297489480997</v>
      </c>
    </row>
    <row r="30" spans="1:16" x14ac:dyDescent="0.2">
      <c r="A30" s="8">
        <v>14</v>
      </c>
      <c r="B30" s="8">
        <v>28</v>
      </c>
      <c r="D30">
        <v>1073.7117726658</v>
      </c>
      <c r="E30">
        <v>337.53044654938998</v>
      </c>
      <c r="F30">
        <v>140.32772543742001</v>
      </c>
      <c r="G30">
        <v>115.19448183042</v>
      </c>
      <c r="I30" s="9">
        <f t="shared" si="1"/>
        <v>222.33596471896999</v>
      </c>
      <c r="J30" s="9">
        <f t="shared" si="2"/>
        <v>933.38404722838004</v>
      </c>
      <c r="K30" s="9">
        <f t="shared" si="3"/>
        <v>222.33596471896999</v>
      </c>
      <c r="L30" s="10">
        <f t="shared" si="0"/>
        <v>0.23820416191939578</v>
      </c>
      <c r="M30" s="10">
        <f t="shared" si="4"/>
        <v>0.23937705093368639</v>
      </c>
      <c r="P30" s="8">
        <f t="shared" si="5"/>
        <v>-4.4046613369600216</v>
      </c>
    </row>
    <row r="31" spans="1:16" x14ac:dyDescent="0.2">
      <c r="A31" s="8">
        <v>14.5</v>
      </c>
      <c r="B31" s="8">
        <v>29</v>
      </c>
      <c r="D31">
        <v>1074.9493243243001</v>
      </c>
      <c r="E31">
        <v>336.39459459459999</v>
      </c>
      <c r="F31">
        <v>140.19582772544001</v>
      </c>
      <c r="G31">
        <v>115.18640646030001</v>
      </c>
      <c r="I31" s="9">
        <f t="shared" si="1"/>
        <v>221.20818813429997</v>
      </c>
      <c r="J31" s="9">
        <f t="shared" si="2"/>
        <v>934.75349659886001</v>
      </c>
      <c r="K31" s="9">
        <f t="shared" si="3"/>
        <v>221.20818813429997</v>
      </c>
      <c r="L31" s="10">
        <f t="shared" si="0"/>
        <v>0.23664868753010851</v>
      </c>
      <c r="M31" s="10">
        <f t="shared" si="4"/>
        <v>0.23786346543776665</v>
      </c>
      <c r="P31" s="8">
        <f t="shared" si="5"/>
        <v>-5.00911242161306</v>
      </c>
    </row>
    <row r="32" spans="1:16" x14ac:dyDescent="0.2">
      <c r="A32" s="8">
        <v>15</v>
      </c>
      <c r="B32" s="8">
        <v>30</v>
      </c>
      <c r="D32">
        <v>1069.4770270270001</v>
      </c>
      <c r="E32">
        <v>334.39797297297002</v>
      </c>
      <c r="F32">
        <v>140.42261103633999</v>
      </c>
      <c r="G32">
        <v>115.13189771198</v>
      </c>
      <c r="I32" s="9">
        <f t="shared" si="1"/>
        <v>219.26607526099002</v>
      </c>
      <c r="J32" s="9">
        <f t="shared" si="2"/>
        <v>929.05441599066012</v>
      </c>
      <c r="K32" s="9">
        <f t="shared" si="3"/>
        <v>219.26607526099002</v>
      </c>
      <c r="L32" s="10">
        <f t="shared" si="0"/>
        <v>0.23600993815543558</v>
      </c>
      <c r="M32" s="10">
        <f t="shared" si="4"/>
        <v>0.23726660495646124</v>
      </c>
      <c r="P32" s="8">
        <f t="shared" si="5"/>
        <v>-5.2474689375047294</v>
      </c>
    </row>
    <row r="33" spans="1:16" x14ac:dyDescent="0.2">
      <c r="A33" s="8">
        <v>15.5</v>
      </c>
      <c r="B33" s="8">
        <v>31</v>
      </c>
      <c r="D33">
        <v>1062.1925675676</v>
      </c>
      <c r="E33">
        <v>330.73445945946003</v>
      </c>
      <c r="F33">
        <v>141.04777927321999</v>
      </c>
      <c r="G33">
        <v>115.2866756393</v>
      </c>
      <c r="I33" s="9">
        <f t="shared" si="1"/>
        <v>215.44778382016003</v>
      </c>
      <c r="J33" s="9">
        <f t="shared" si="2"/>
        <v>921.14478829438008</v>
      </c>
      <c r="K33" s="9">
        <f t="shared" si="3"/>
        <v>215.44778382016003</v>
      </c>
      <c r="L33" s="10">
        <f t="shared" si="0"/>
        <v>0.2338913345198313</v>
      </c>
      <c r="M33" s="10">
        <f t="shared" si="4"/>
        <v>0.23518989021422448</v>
      </c>
      <c r="P33" s="8">
        <f t="shared" si="5"/>
        <v>-6.0768059533811858</v>
      </c>
    </row>
    <row r="34" spans="1:16" x14ac:dyDescent="0.2">
      <c r="A34" s="8">
        <v>16</v>
      </c>
      <c r="B34" s="8">
        <v>32</v>
      </c>
      <c r="D34">
        <v>1060.0868385346</v>
      </c>
      <c r="E34">
        <v>330.28833107191002</v>
      </c>
      <c r="F34">
        <v>140.29407806191</v>
      </c>
      <c r="G34">
        <v>115.27590847914</v>
      </c>
      <c r="I34" s="9">
        <f t="shared" si="1"/>
        <v>215.01242259277001</v>
      </c>
      <c r="J34" s="9">
        <f t="shared" si="2"/>
        <v>919.79276047269002</v>
      </c>
      <c r="K34" s="9">
        <f t="shared" si="3"/>
        <v>215.01242259277001</v>
      </c>
      <c r="L34" s="10">
        <f t="shared" si="0"/>
        <v>0.2337618122611371</v>
      </c>
      <c r="M34" s="10">
        <f t="shared" si="4"/>
        <v>0.23510225684889779</v>
      </c>
      <c r="P34" s="8">
        <f t="shared" si="5"/>
        <v>-6.1118023793289167</v>
      </c>
    </row>
    <row r="35" spans="1:16" x14ac:dyDescent="0.2">
      <c r="A35" s="8">
        <v>16.5</v>
      </c>
      <c r="B35" s="8">
        <v>33</v>
      </c>
      <c r="D35">
        <v>1056.4599184783001</v>
      </c>
      <c r="E35">
        <v>329.55163043478001</v>
      </c>
      <c r="F35">
        <v>140.49394347241</v>
      </c>
      <c r="G35">
        <v>115.48452220727</v>
      </c>
      <c r="I35" s="9">
        <f t="shared" si="1"/>
        <v>214.06710822751</v>
      </c>
      <c r="J35" s="9">
        <f t="shared" si="2"/>
        <v>915.96597500589007</v>
      </c>
      <c r="K35" s="9">
        <f t="shared" si="3"/>
        <v>214.06710822751</v>
      </c>
      <c r="L35" s="10">
        <f t="shared" si="0"/>
        <v>0.23370639747413485</v>
      </c>
      <c r="M35" s="10">
        <f t="shared" si="4"/>
        <v>0.23508873095526309</v>
      </c>
      <c r="P35" s="8">
        <f t="shared" si="5"/>
        <v>-6.1172039513580101</v>
      </c>
    </row>
    <row r="36" spans="1:16" x14ac:dyDescent="0.2">
      <c r="A36" s="8">
        <v>17</v>
      </c>
      <c r="B36" s="8">
        <v>34</v>
      </c>
      <c r="D36">
        <v>1079.9796195652</v>
      </c>
      <c r="E36">
        <v>334.984375</v>
      </c>
      <c r="F36">
        <v>140.26244952894001</v>
      </c>
      <c r="G36">
        <v>115.33714670256001</v>
      </c>
      <c r="I36" s="9">
        <f t="shared" si="1"/>
        <v>219.64722829743999</v>
      </c>
      <c r="J36" s="9">
        <f t="shared" si="2"/>
        <v>939.71717003625997</v>
      </c>
      <c r="K36" s="9">
        <f t="shared" si="3"/>
        <v>219.64722829743999</v>
      </c>
      <c r="L36" s="10">
        <f t="shared" si="0"/>
        <v>0.2337375918000569</v>
      </c>
      <c r="M36" s="10">
        <f t="shared" si="4"/>
        <v>0.23516181417455265</v>
      </c>
      <c r="P36" s="8">
        <f t="shared" si="5"/>
        <v>-6.0880181331213814</v>
      </c>
    </row>
    <row r="37" spans="1:16" x14ac:dyDescent="0.2">
      <c r="A37" s="8">
        <v>17.5</v>
      </c>
      <c r="B37" s="8">
        <v>35</v>
      </c>
      <c r="D37">
        <v>1069.9157608696</v>
      </c>
      <c r="E37">
        <v>331.88179347826002</v>
      </c>
      <c r="F37">
        <v>140.92395693136001</v>
      </c>
      <c r="G37">
        <v>115.72543741587999</v>
      </c>
      <c r="I37" s="9">
        <f t="shared" si="1"/>
        <v>216.15635606238004</v>
      </c>
      <c r="J37" s="9">
        <f t="shared" si="2"/>
        <v>928.99180393824008</v>
      </c>
      <c r="K37" s="9">
        <f t="shared" si="3"/>
        <v>216.15635606238004</v>
      </c>
      <c r="L37" s="10">
        <f t="shared" si="0"/>
        <v>0.23267843176445316</v>
      </c>
      <c r="M37" s="10">
        <f t="shared" si="4"/>
        <v>0.23414454303231644</v>
      </c>
      <c r="P37" s="8">
        <f t="shared" si="5"/>
        <v>-6.4942658455687514</v>
      </c>
    </row>
    <row r="38" spans="1:16" x14ac:dyDescent="0.2">
      <c r="A38" s="8">
        <v>18</v>
      </c>
      <c r="B38" s="8">
        <v>36</v>
      </c>
      <c r="D38">
        <v>1073.3107650643001</v>
      </c>
      <c r="E38">
        <v>335.54434664860997</v>
      </c>
      <c r="F38">
        <v>141.06123822341999</v>
      </c>
      <c r="G38">
        <v>115.35666218035</v>
      </c>
      <c r="I38" s="9">
        <f t="shared" si="1"/>
        <v>220.18768446825999</v>
      </c>
      <c r="J38" s="9">
        <f t="shared" si="2"/>
        <v>932.24952684088009</v>
      </c>
      <c r="K38" s="9">
        <f t="shared" si="3"/>
        <v>220.18768446825999</v>
      </c>
      <c r="L38" s="10">
        <f t="shared" si="0"/>
        <v>0.23618964464847883</v>
      </c>
      <c r="M38" s="10">
        <f t="shared" si="4"/>
        <v>0.23769764480970962</v>
      </c>
      <c r="P38" s="8">
        <f t="shared" si="5"/>
        <v>-5.0753329679628489</v>
      </c>
    </row>
    <row r="39" spans="1:16" x14ac:dyDescent="0.2">
      <c r="A39" s="8">
        <v>18.5</v>
      </c>
      <c r="B39" s="8">
        <v>37</v>
      </c>
      <c r="D39">
        <v>1076.7393652937001</v>
      </c>
      <c r="E39">
        <v>334.03916272789002</v>
      </c>
      <c r="F39">
        <v>141.08613728129001</v>
      </c>
      <c r="G39">
        <v>115.70592193809</v>
      </c>
      <c r="I39" s="9">
        <f t="shared" si="1"/>
        <v>218.33324078980002</v>
      </c>
      <c r="J39" s="9">
        <f t="shared" si="2"/>
        <v>935.65322801241007</v>
      </c>
      <c r="K39" s="9">
        <f t="shared" si="3"/>
        <v>218.33324078980002</v>
      </c>
      <c r="L39" s="10">
        <f t="shared" si="0"/>
        <v>0.23334846100365739</v>
      </c>
      <c r="M39" s="10">
        <f t="shared" si="4"/>
        <v>0.23489835005825571</v>
      </c>
      <c r="P39" s="8">
        <f t="shared" si="5"/>
        <v>-6.193232652745241</v>
      </c>
    </row>
    <row r="40" spans="1:16" x14ac:dyDescent="0.2">
      <c r="A40" s="8">
        <v>19</v>
      </c>
      <c r="B40" s="8">
        <v>38</v>
      </c>
      <c r="D40">
        <v>1071.7393652937001</v>
      </c>
      <c r="E40">
        <v>331.17690749494</v>
      </c>
      <c r="F40">
        <v>140.98384925976001</v>
      </c>
      <c r="G40">
        <v>115.5733512786</v>
      </c>
      <c r="I40" s="9">
        <f t="shared" si="1"/>
        <v>215.60355621634</v>
      </c>
      <c r="J40" s="9">
        <f t="shared" si="2"/>
        <v>930.75551603394001</v>
      </c>
      <c r="K40" s="9">
        <f t="shared" si="3"/>
        <v>215.60355621634</v>
      </c>
      <c r="L40" s="10">
        <f t="shared" si="0"/>
        <v>0.23164359759591047</v>
      </c>
      <c r="M40" s="10">
        <f t="shared" si="4"/>
        <v>0.2332353755438763</v>
      </c>
      <c r="P40" s="8">
        <f t="shared" si="5"/>
        <v>-6.8573423126731008</v>
      </c>
    </row>
    <row r="41" spans="1:16" x14ac:dyDescent="0.2">
      <c r="A41" s="8">
        <v>19.5</v>
      </c>
      <c r="B41" s="8">
        <v>39</v>
      </c>
      <c r="D41">
        <v>1071.8480756245999</v>
      </c>
      <c r="E41">
        <v>329.99527346387998</v>
      </c>
      <c r="F41">
        <v>141.33647375505001</v>
      </c>
      <c r="G41">
        <v>115.49798115746999</v>
      </c>
      <c r="I41" s="9">
        <f t="shared" si="1"/>
        <v>214.49729230640997</v>
      </c>
      <c r="J41" s="9">
        <f t="shared" si="2"/>
        <v>930.51160186954985</v>
      </c>
      <c r="K41" s="9">
        <f t="shared" si="3"/>
        <v>214.49729230640997</v>
      </c>
      <c r="L41" s="10">
        <f t="shared" si="0"/>
        <v>0.23051544104925706</v>
      </c>
      <c r="M41" s="10">
        <f t="shared" si="4"/>
        <v>0.23214910789059043</v>
      </c>
      <c r="P41" s="8">
        <f t="shared" si="5"/>
        <v>-7.2911438144859693</v>
      </c>
    </row>
    <row r="42" spans="1:16" x14ac:dyDescent="0.2">
      <c r="A42" s="8">
        <v>20</v>
      </c>
      <c r="B42" s="8">
        <v>40</v>
      </c>
      <c r="D42">
        <v>1074.3484132343001</v>
      </c>
      <c r="E42">
        <v>331.53342336258999</v>
      </c>
      <c r="F42">
        <v>141.40040376850999</v>
      </c>
      <c r="G42">
        <v>115.47577388964</v>
      </c>
      <c r="I42" s="9">
        <f t="shared" si="1"/>
        <v>216.05764947295</v>
      </c>
      <c r="J42" s="9">
        <f t="shared" si="2"/>
        <v>932.94800946579016</v>
      </c>
      <c r="K42" s="9">
        <f t="shared" si="3"/>
        <v>216.05764947295</v>
      </c>
      <c r="L42" s="10">
        <f t="shared" si="0"/>
        <v>0.23158594828522705</v>
      </c>
      <c r="M42" s="10">
        <f t="shared" si="4"/>
        <v>0.23326150401992793</v>
      </c>
      <c r="P42" s="8">
        <f t="shared" si="5"/>
        <v>-6.8469078933870318</v>
      </c>
    </row>
    <row r="43" spans="1:16" x14ac:dyDescent="0.2">
      <c r="A43" s="8">
        <v>20.5</v>
      </c>
      <c r="B43" s="8">
        <v>41</v>
      </c>
      <c r="D43">
        <v>1064.4125590817</v>
      </c>
      <c r="E43">
        <v>328.98852126941</v>
      </c>
      <c r="F43">
        <v>141.32570659488999</v>
      </c>
      <c r="G43">
        <v>115.48115746972</v>
      </c>
      <c r="I43" s="9">
        <f t="shared" si="1"/>
        <v>213.50736379968998</v>
      </c>
      <c r="J43" s="9">
        <f t="shared" si="2"/>
        <v>923.08685248681002</v>
      </c>
      <c r="K43" s="9">
        <f t="shared" si="3"/>
        <v>213.50736379968998</v>
      </c>
      <c r="L43" s="10">
        <f t="shared" si="0"/>
        <v>0.23129715608503998</v>
      </c>
      <c r="M43" s="10">
        <f t="shared" si="4"/>
        <v>0.23301460071310839</v>
      </c>
      <c r="P43" s="8">
        <f t="shared" si="5"/>
        <v>-6.9455088459026371</v>
      </c>
    </row>
    <row r="44" spans="1:16" x14ac:dyDescent="0.2">
      <c r="A44" s="8">
        <v>21</v>
      </c>
      <c r="B44" s="8">
        <v>42</v>
      </c>
      <c r="D44">
        <v>1048.449255751</v>
      </c>
      <c r="E44">
        <v>323.40121786198</v>
      </c>
      <c r="F44">
        <v>141.39905787348999</v>
      </c>
      <c r="G44">
        <v>115.84454912517</v>
      </c>
      <c r="I44" s="9">
        <f t="shared" si="1"/>
        <v>207.55666873681</v>
      </c>
      <c r="J44" s="9">
        <f t="shared" si="2"/>
        <v>907.05019787751007</v>
      </c>
      <c r="K44" s="9">
        <f t="shared" si="3"/>
        <v>207.55666873681</v>
      </c>
      <c r="L44" s="10">
        <f t="shared" si="0"/>
        <v>0.22882600017340923</v>
      </c>
      <c r="M44" s="10">
        <f t="shared" si="4"/>
        <v>0.23058533369484516</v>
      </c>
      <c r="P44" s="8">
        <f t="shared" si="5"/>
        <v>-7.9156377801844782</v>
      </c>
    </row>
    <row r="45" spans="1:16" x14ac:dyDescent="0.2">
      <c r="A45" s="8">
        <v>21.5</v>
      </c>
      <c r="B45" s="8">
        <v>43</v>
      </c>
      <c r="D45">
        <v>1059.3423913044001</v>
      </c>
      <c r="E45">
        <v>326.99048913043998</v>
      </c>
      <c r="F45">
        <v>141.67160161506999</v>
      </c>
      <c r="G45">
        <v>115.27187079408</v>
      </c>
      <c r="I45" s="9">
        <f t="shared" si="1"/>
        <v>211.71861833635998</v>
      </c>
      <c r="J45" s="9">
        <f t="shared" si="2"/>
        <v>917.67078968933004</v>
      </c>
      <c r="K45" s="9">
        <f t="shared" si="3"/>
        <v>211.71861833635998</v>
      </c>
      <c r="L45" s="10">
        <f t="shared" si="0"/>
        <v>0.2307130407932409</v>
      </c>
      <c r="M45" s="10">
        <f t="shared" si="4"/>
        <v>0.23251426320804436</v>
      </c>
      <c r="P45" s="8">
        <f t="shared" si="5"/>
        <v>-7.1453188655175373</v>
      </c>
    </row>
    <row r="46" spans="1:16" x14ac:dyDescent="0.2">
      <c r="A46" s="8">
        <v>22</v>
      </c>
      <c r="B46" s="8">
        <v>44</v>
      </c>
      <c r="D46">
        <v>1063.9004707465001</v>
      </c>
      <c r="E46">
        <v>329.51378614660001</v>
      </c>
      <c r="F46">
        <v>141.59959623149001</v>
      </c>
      <c r="G46">
        <v>116.07806191117</v>
      </c>
      <c r="I46" s="9">
        <f t="shared" si="1"/>
        <v>213.43572423543003</v>
      </c>
      <c r="J46" s="9">
        <f t="shared" si="2"/>
        <v>922.30087451501004</v>
      </c>
      <c r="K46" s="9">
        <f t="shared" si="3"/>
        <v>213.43572423543003</v>
      </c>
      <c r="L46" s="10">
        <f t="shared" si="0"/>
        <v>0.23141659097706566</v>
      </c>
      <c r="M46" s="10">
        <f t="shared" si="4"/>
        <v>0.23325970228523663</v>
      </c>
      <c r="P46" s="8">
        <f t="shared" si="5"/>
        <v>-6.8476274169893339</v>
      </c>
    </row>
    <row r="47" spans="1:16" x14ac:dyDescent="0.2">
      <c r="A47" s="8">
        <v>22.5</v>
      </c>
      <c r="B47" s="8">
        <v>45</v>
      </c>
      <c r="D47">
        <v>1070.6725543478001</v>
      </c>
      <c r="E47">
        <v>330.95244565217001</v>
      </c>
      <c r="F47">
        <v>141.30820995962</v>
      </c>
      <c r="G47">
        <v>116.00471063257</v>
      </c>
      <c r="I47" s="9">
        <f t="shared" si="1"/>
        <v>214.94773501960003</v>
      </c>
      <c r="J47" s="9">
        <f t="shared" si="2"/>
        <v>929.36434438818014</v>
      </c>
      <c r="K47" s="9">
        <f t="shared" si="3"/>
        <v>214.94773501960003</v>
      </c>
      <c r="L47" s="10">
        <f t="shared" si="0"/>
        <v>0.23128468002622221</v>
      </c>
      <c r="M47" s="10">
        <f t="shared" si="4"/>
        <v>0.23316968022776072</v>
      </c>
      <c r="P47" s="8">
        <f t="shared" si="5"/>
        <v>-6.883577768278176</v>
      </c>
    </row>
    <row r="48" spans="1:16" x14ac:dyDescent="0.2">
      <c r="A48" s="8">
        <v>23</v>
      </c>
      <c r="B48" s="8">
        <v>46</v>
      </c>
      <c r="D48">
        <v>1063.123056119</v>
      </c>
      <c r="E48">
        <v>327.14807302230997</v>
      </c>
      <c r="F48">
        <v>141.73216689098001</v>
      </c>
      <c r="G48">
        <v>115.57537012113001</v>
      </c>
      <c r="I48" s="9">
        <f t="shared" si="1"/>
        <v>211.57270290117998</v>
      </c>
      <c r="J48" s="9">
        <f t="shared" si="2"/>
        <v>921.39088922802</v>
      </c>
      <c r="K48" s="9">
        <f t="shared" si="3"/>
        <v>211.57270290117998</v>
      </c>
      <c r="L48" s="10">
        <f t="shared" si="0"/>
        <v>0.2296231766285908</v>
      </c>
      <c r="M48" s="10">
        <f t="shared" si="4"/>
        <v>0.23155006572349682</v>
      </c>
      <c r="P48" s="8">
        <f t="shared" si="5"/>
        <v>-7.5303715876304338</v>
      </c>
    </row>
    <row r="49" spans="1:25" x14ac:dyDescent="0.2">
      <c r="A49" s="8">
        <v>23.5</v>
      </c>
      <c r="B49" s="8">
        <v>47</v>
      </c>
      <c r="D49">
        <v>1066.5551048005</v>
      </c>
      <c r="E49">
        <v>330.39012846518</v>
      </c>
      <c r="F49">
        <v>141.8465679677</v>
      </c>
      <c r="G49">
        <v>115.5598923284</v>
      </c>
      <c r="I49" s="9">
        <f t="shared" si="1"/>
        <v>214.83023613678</v>
      </c>
      <c r="J49" s="9">
        <f t="shared" si="2"/>
        <v>924.70853683279995</v>
      </c>
      <c r="K49" s="9">
        <f t="shared" si="3"/>
        <v>214.83023613678</v>
      </c>
      <c r="L49" s="10">
        <f t="shared" si="0"/>
        <v>0.2323221075395179</v>
      </c>
      <c r="M49" s="10">
        <f t="shared" si="4"/>
        <v>0.23429088552779143</v>
      </c>
      <c r="P49" s="8">
        <f t="shared" si="5"/>
        <v>-6.4358239006907469</v>
      </c>
    </row>
    <row r="50" spans="1:25" x14ac:dyDescent="0.2">
      <c r="A50" s="8">
        <v>24</v>
      </c>
      <c r="B50" s="8">
        <v>48</v>
      </c>
      <c r="D50">
        <v>1067.9324324324</v>
      </c>
      <c r="E50">
        <v>333.74932432432001</v>
      </c>
      <c r="F50">
        <v>141.33849259758</v>
      </c>
      <c r="G50">
        <v>115.66419919246</v>
      </c>
      <c r="I50" s="9">
        <f t="shared" si="1"/>
        <v>218.08512513186002</v>
      </c>
      <c r="J50" s="9">
        <f t="shared" si="2"/>
        <v>926.59393983482005</v>
      </c>
      <c r="K50" s="9">
        <f t="shared" si="3"/>
        <v>218.08512513186002</v>
      </c>
      <c r="L50" s="10">
        <f t="shared" si="0"/>
        <v>0.23536213195041739</v>
      </c>
      <c r="M50" s="10">
        <f t="shared" si="4"/>
        <v>0.23737279883205845</v>
      </c>
      <c r="P50" s="8">
        <f t="shared" si="5"/>
        <v>-5.2050603629899221</v>
      </c>
    </row>
    <row r="51" spans="1:25" x14ac:dyDescent="0.2">
      <c r="A51" s="8">
        <v>24.5</v>
      </c>
      <c r="B51" s="8">
        <v>49</v>
      </c>
      <c r="D51">
        <v>1086.8722109534001</v>
      </c>
      <c r="E51">
        <v>338.42123056118999</v>
      </c>
      <c r="F51">
        <v>141.86137281292</v>
      </c>
      <c r="G51">
        <v>115.74764468372</v>
      </c>
      <c r="I51" s="9">
        <f t="shared" si="1"/>
        <v>222.67358587746998</v>
      </c>
      <c r="J51" s="9">
        <f t="shared" si="2"/>
        <v>945.01083814048013</v>
      </c>
      <c r="K51" s="9">
        <f t="shared" si="3"/>
        <v>222.67358587746998</v>
      </c>
      <c r="L51" s="10">
        <f t="shared" si="0"/>
        <v>0.23563072177630257</v>
      </c>
      <c r="M51" s="10">
        <f t="shared" si="4"/>
        <v>0.23768327755131113</v>
      </c>
      <c r="P51" s="8">
        <f t="shared" si="5"/>
        <v>-5.0810705394088398</v>
      </c>
    </row>
    <row r="52" spans="1:25" x14ac:dyDescent="0.2">
      <c r="A52" s="8">
        <v>25</v>
      </c>
      <c r="B52" s="8">
        <v>50</v>
      </c>
      <c r="D52">
        <v>1095.0223123732001</v>
      </c>
      <c r="E52">
        <v>338.64232589587999</v>
      </c>
      <c r="F52">
        <v>141.7934051144</v>
      </c>
      <c r="G52">
        <v>115.83310901750001</v>
      </c>
      <c r="I52" s="9">
        <f t="shared" si="1"/>
        <v>222.80921687837997</v>
      </c>
      <c r="J52" s="9">
        <f t="shared" si="2"/>
        <v>953.22890725880006</v>
      </c>
      <c r="K52" s="9">
        <f t="shared" si="3"/>
        <v>222.80921687837997</v>
      </c>
      <c r="L52" s="10">
        <f t="shared" si="0"/>
        <v>0.23374156530681842</v>
      </c>
      <c r="M52" s="10">
        <f t="shared" si="4"/>
        <v>0.23583600997519452</v>
      </c>
      <c r="P52" s="8">
        <f t="shared" si="5"/>
        <v>-5.8187777208254934</v>
      </c>
    </row>
    <row r="53" spans="1:25" x14ac:dyDescent="0.2">
      <c r="A53" s="8">
        <v>25.5</v>
      </c>
      <c r="B53" s="8">
        <v>51</v>
      </c>
      <c r="D53">
        <v>1075.5835023664999</v>
      </c>
      <c r="E53">
        <v>336.46653144016</v>
      </c>
      <c r="F53">
        <v>142.19851951548</v>
      </c>
      <c r="G53">
        <v>116.14266487214</v>
      </c>
      <c r="I53" s="9">
        <f t="shared" si="1"/>
        <v>220.32386656801998</v>
      </c>
      <c r="J53" s="9">
        <f t="shared" si="2"/>
        <v>933.38498285101991</v>
      </c>
      <c r="K53" s="9">
        <f t="shared" si="3"/>
        <v>220.32386656801998</v>
      </c>
      <c r="L53" s="10">
        <f t="shared" si="0"/>
        <v>0.23604822299051972</v>
      </c>
      <c r="M53" s="10">
        <f t="shared" si="4"/>
        <v>0.23818455655226334</v>
      </c>
      <c r="P53" s="8">
        <f t="shared" si="5"/>
        <v>-4.8808845329650925</v>
      </c>
      <c r="S53" s="11"/>
      <c r="U53" s="12"/>
    </row>
    <row r="54" spans="1:25" x14ac:dyDescent="0.2">
      <c r="A54" s="8">
        <v>26</v>
      </c>
      <c r="B54" s="8">
        <v>52</v>
      </c>
      <c r="D54">
        <v>1071.507775524</v>
      </c>
      <c r="E54">
        <v>336.4462474645</v>
      </c>
      <c r="F54">
        <v>141.49528936742999</v>
      </c>
      <c r="G54">
        <v>115.54979811574999</v>
      </c>
      <c r="I54" s="9">
        <f t="shared" si="1"/>
        <v>220.89644934875002</v>
      </c>
      <c r="J54" s="9">
        <f t="shared" si="2"/>
        <v>930.01248615656993</v>
      </c>
      <c r="K54" s="9">
        <f t="shared" si="3"/>
        <v>220.89644934875002</v>
      </c>
      <c r="L54" s="10">
        <f t="shared" si="0"/>
        <v>0.23751987488000409</v>
      </c>
      <c r="M54" s="10">
        <f t="shared" si="4"/>
        <v>0.23969809733511524</v>
      </c>
      <c r="P54" s="8">
        <f t="shared" si="5"/>
        <v>-4.2764513044968693</v>
      </c>
      <c r="S54" s="11"/>
    </row>
    <row r="55" spans="1:25" x14ac:dyDescent="0.2">
      <c r="A55" s="8">
        <v>26.5</v>
      </c>
      <c r="B55" s="8">
        <v>53</v>
      </c>
      <c r="D55">
        <v>1066.8593644354</v>
      </c>
      <c r="E55">
        <v>338.01690331305002</v>
      </c>
      <c r="F55">
        <v>141.89636608345</v>
      </c>
      <c r="G55">
        <v>115.88627187079</v>
      </c>
      <c r="I55" s="9">
        <f t="shared" si="1"/>
        <v>222.13063144226004</v>
      </c>
      <c r="J55" s="9">
        <f t="shared" si="2"/>
        <v>924.96299835195009</v>
      </c>
      <c r="K55" s="9">
        <f t="shared" si="3"/>
        <v>222.13063144226004</v>
      </c>
      <c r="L55" s="10">
        <f t="shared" si="0"/>
        <v>0.2401508296418782</v>
      </c>
      <c r="M55" s="10">
        <f t="shared" si="4"/>
        <v>0.24237094099035686</v>
      </c>
      <c r="P55" s="8">
        <f t="shared" si="5"/>
        <v>-3.2090499248760493</v>
      </c>
      <c r="S55" s="11"/>
    </row>
    <row r="56" spans="1:25" x14ac:dyDescent="0.2">
      <c r="A56" s="8">
        <v>27</v>
      </c>
      <c r="B56" s="8">
        <v>54</v>
      </c>
      <c r="D56">
        <v>1101.5974289581</v>
      </c>
      <c r="E56">
        <v>346.64276048714999</v>
      </c>
      <c r="F56">
        <v>141.35060565276001</v>
      </c>
      <c r="G56">
        <v>115.77456258412001</v>
      </c>
      <c r="I56" s="9">
        <f t="shared" si="1"/>
        <v>230.86819790302997</v>
      </c>
      <c r="J56" s="9">
        <f t="shared" si="2"/>
        <v>960.24682330533994</v>
      </c>
      <c r="K56" s="9">
        <f t="shared" si="3"/>
        <v>230.86819790302997</v>
      </c>
      <c r="L56" s="10">
        <f t="shared" si="0"/>
        <v>0.2404258908228831</v>
      </c>
      <c r="M56" s="10">
        <f t="shared" si="4"/>
        <v>0.24268789106472929</v>
      </c>
      <c r="P56" s="8">
        <f t="shared" si="5"/>
        <v>-3.0824757625629617</v>
      </c>
      <c r="S56" s="11"/>
    </row>
    <row r="57" spans="1:25" x14ac:dyDescent="0.2">
      <c r="A57" s="8">
        <v>27.5</v>
      </c>
      <c r="B57" s="8">
        <v>55</v>
      </c>
      <c r="D57">
        <v>1097.0608930988001</v>
      </c>
      <c r="E57">
        <v>345.18741542625003</v>
      </c>
      <c r="F57">
        <v>141.5067294751</v>
      </c>
      <c r="G57">
        <v>115.90107671602</v>
      </c>
      <c r="I57" s="9">
        <f t="shared" si="1"/>
        <v>229.28633871023004</v>
      </c>
      <c r="J57" s="9">
        <f t="shared" si="2"/>
        <v>955.55416362370011</v>
      </c>
      <c r="K57" s="9">
        <f t="shared" si="3"/>
        <v>229.28633871023004</v>
      </c>
      <c r="L57" s="10">
        <f t="shared" si="0"/>
        <v>0.23995116911083195</v>
      </c>
      <c r="M57" s="10">
        <f t="shared" si="4"/>
        <v>0.24225505824604565</v>
      </c>
      <c r="P57" s="8">
        <f t="shared" si="5"/>
        <v>-3.2553277537005889</v>
      </c>
      <c r="S57" s="11"/>
    </row>
    <row r="58" spans="1:25" x14ac:dyDescent="0.2">
      <c r="A58" s="8">
        <v>28</v>
      </c>
      <c r="B58" s="8">
        <v>56</v>
      </c>
      <c r="D58">
        <v>1096.4113667117999</v>
      </c>
      <c r="E58">
        <v>345.65426251692003</v>
      </c>
      <c r="F58">
        <v>141.80955585464</v>
      </c>
      <c r="G58">
        <v>116.09488559892</v>
      </c>
      <c r="I58" s="9">
        <f t="shared" si="1"/>
        <v>229.55937691800003</v>
      </c>
      <c r="J58" s="9">
        <f t="shared" si="2"/>
        <v>954.60181085715999</v>
      </c>
      <c r="K58" s="9">
        <f t="shared" si="3"/>
        <v>229.55937691800003</v>
      </c>
      <c r="L58" s="10">
        <f t="shared" si="0"/>
        <v>0.2404765780947693</v>
      </c>
      <c r="M58" s="10">
        <f t="shared" si="4"/>
        <v>0.24282235612335054</v>
      </c>
      <c r="P58" s="8">
        <f t="shared" si="5"/>
        <v>-3.028777077717836</v>
      </c>
      <c r="S58" s="11"/>
    </row>
    <row r="59" spans="1:25" x14ac:dyDescent="0.2">
      <c r="A59" s="8">
        <v>28.5</v>
      </c>
      <c r="B59" s="8">
        <v>57</v>
      </c>
      <c r="D59">
        <v>1084.9098915989</v>
      </c>
      <c r="E59">
        <v>338.80962059620998</v>
      </c>
      <c r="F59">
        <v>141.89569313594001</v>
      </c>
      <c r="G59">
        <v>115.91049798116001</v>
      </c>
      <c r="I59" s="9">
        <f t="shared" si="1"/>
        <v>222.89912261504998</v>
      </c>
      <c r="J59" s="9">
        <f t="shared" si="2"/>
        <v>943.01419846295994</v>
      </c>
      <c r="K59" s="9">
        <f t="shared" si="3"/>
        <v>222.89912261504998</v>
      </c>
      <c r="L59" s="10">
        <f t="shared" si="0"/>
        <v>0.23636878742478987</v>
      </c>
      <c r="M59" s="10">
        <f t="shared" si="4"/>
        <v>0.23875645434673862</v>
      </c>
      <c r="P59" s="8">
        <f t="shared" si="5"/>
        <v>-4.6524968778817515</v>
      </c>
      <c r="R59" s="1"/>
      <c r="S59" s="11"/>
    </row>
    <row r="60" spans="1:25" x14ac:dyDescent="0.2">
      <c r="A60" s="8">
        <v>29</v>
      </c>
      <c r="B60" s="8">
        <v>58</v>
      </c>
      <c r="D60">
        <v>1059.4261517615</v>
      </c>
      <c r="E60">
        <v>334.98373983739998</v>
      </c>
      <c r="F60">
        <v>141.73620457604</v>
      </c>
      <c r="G60">
        <v>115.62314939434999</v>
      </c>
      <c r="I60" s="9">
        <f t="shared" si="1"/>
        <v>219.36059044305</v>
      </c>
      <c r="J60" s="9">
        <f t="shared" si="2"/>
        <v>917.68994718546003</v>
      </c>
      <c r="K60" s="9">
        <f t="shared" si="3"/>
        <v>219.36059044305</v>
      </c>
      <c r="L60" s="10">
        <f t="shared" si="0"/>
        <v>0.2390356253937676</v>
      </c>
      <c r="M60" s="10">
        <f t="shared" si="4"/>
        <v>0.24146518120908389</v>
      </c>
      <c r="P60" s="8">
        <f t="shared" si="5"/>
        <v>-3.5707655225092458</v>
      </c>
      <c r="S60" s="11"/>
    </row>
    <row r="61" spans="1:25" x14ac:dyDescent="0.2">
      <c r="A61" s="8">
        <v>29.5</v>
      </c>
      <c r="B61" s="8">
        <v>59</v>
      </c>
      <c r="C61" s="2"/>
      <c r="D61">
        <v>1075.8570460705</v>
      </c>
      <c r="E61">
        <v>339.47696476965001</v>
      </c>
      <c r="F61">
        <v>142.20188425302999</v>
      </c>
      <c r="G61">
        <v>115.94549125168</v>
      </c>
      <c r="I61" s="9">
        <f t="shared" si="1"/>
        <v>223.53147351797003</v>
      </c>
      <c r="J61" s="9">
        <f t="shared" si="2"/>
        <v>933.65516181747</v>
      </c>
      <c r="K61" s="9">
        <f t="shared" si="3"/>
        <v>223.53147351797003</v>
      </c>
      <c r="L61" s="10">
        <f t="shared" si="0"/>
        <v>0.23941545300605377</v>
      </c>
      <c r="M61" s="10">
        <f t="shared" si="4"/>
        <v>0.24188689771473756</v>
      </c>
      <c r="P61" s="8">
        <f t="shared" si="5"/>
        <v>-3.4023528362449937</v>
      </c>
      <c r="S61" s="11"/>
    </row>
    <row r="62" spans="1:25" x14ac:dyDescent="0.2">
      <c r="A62" s="8">
        <v>30</v>
      </c>
      <c r="B62" s="8">
        <v>60</v>
      </c>
      <c r="D62">
        <v>1068.9024390244001</v>
      </c>
      <c r="E62">
        <v>338.65447154472002</v>
      </c>
      <c r="F62">
        <v>141.63526244952999</v>
      </c>
      <c r="G62">
        <v>115.84791386272001</v>
      </c>
      <c r="I62" s="9">
        <f t="shared" si="1"/>
        <v>222.806557682</v>
      </c>
      <c r="J62" s="9">
        <f t="shared" si="2"/>
        <v>927.26717657487006</v>
      </c>
      <c r="K62" s="9">
        <f t="shared" si="3"/>
        <v>222.806557682</v>
      </c>
      <c r="L62" s="10">
        <f t="shared" si="0"/>
        <v>0.24028302015930356</v>
      </c>
      <c r="M62" s="10">
        <f t="shared" si="4"/>
        <v>0.24279635376135489</v>
      </c>
      <c r="P62" s="8">
        <f t="shared" si="5"/>
        <v>-3.0391611332959205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1071.3556910569</v>
      </c>
      <c r="E63">
        <v>340.33943089431</v>
      </c>
      <c r="F63">
        <v>141.83243606999</v>
      </c>
      <c r="G63">
        <v>115.76043068641</v>
      </c>
      <c r="I63" s="9">
        <f t="shared" si="1"/>
        <v>224.57900020789998</v>
      </c>
      <c r="J63" s="9">
        <f t="shared" si="2"/>
        <v>929.52325498691005</v>
      </c>
      <c r="K63" s="9">
        <f t="shared" si="3"/>
        <v>224.57900020789998</v>
      </c>
      <c r="L63" s="10">
        <f t="shared" si="0"/>
        <v>0.24160665050931146</v>
      </c>
      <c r="M63" s="10">
        <f t="shared" si="4"/>
        <v>0.2441618730047303</v>
      </c>
      <c r="P63" s="8">
        <f t="shared" si="5"/>
        <v>-2.4938403767229236</v>
      </c>
    </row>
    <row r="64" spans="1:25" x14ac:dyDescent="0.2">
      <c r="A64" s="8">
        <v>31</v>
      </c>
      <c r="B64" s="8">
        <v>62</v>
      </c>
      <c r="D64">
        <v>1050.3515889114001</v>
      </c>
      <c r="E64">
        <v>339.41649763354002</v>
      </c>
      <c r="F64">
        <v>141.54710632570999</v>
      </c>
      <c r="G64">
        <v>116.31493943472</v>
      </c>
      <c r="I64" s="9">
        <f t="shared" si="1"/>
        <v>223.10155819882002</v>
      </c>
      <c r="J64" s="9">
        <f t="shared" si="2"/>
        <v>908.80448258569004</v>
      </c>
      <c r="K64" s="9">
        <f t="shared" si="3"/>
        <v>223.10155819882002</v>
      </c>
      <c r="L64" s="10">
        <f t="shared" si="0"/>
        <v>0.24548906004959548</v>
      </c>
      <c r="M64" s="10">
        <f t="shared" si="4"/>
        <v>0.24808617143838185</v>
      </c>
      <c r="P64" s="8">
        <f t="shared" si="5"/>
        <v>-0.92666993863576474</v>
      </c>
      <c r="U64" s="8">
        <v>30.5</v>
      </c>
      <c r="V64" s="10">
        <f>L62</f>
        <v>0.24028302015930356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1055.8228532792</v>
      </c>
      <c r="E65">
        <v>342.16970926302002</v>
      </c>
      <c r="F65">
        <v>142.19515477792999</v>
      </c>
      <c r="G65">
        <v>116.18304172275</v>
      </c>
      <c r="I65" s="9">
        <f t="shared" si="1"/>
        <v>225.98666754027002</v>
      </c>
      <c r="J65" s="9">
        <f t="shared" si="2"/>
        <v>913.62769850127006</v>
      </c>
      <c r="K65" s="9">
        <f t="shared" si="3"/>
        <v>225.98666754027002</v>
      </c>
      <c r="L65" s="10">
        <f t="shared" si="0"/>
        <v>0.24735093727016189</v>
      </c>
      <c r="M65" s="10">
        <f t="shared" si="4"/>
        <v>0.24998993755231577</v>
      </c>
      <c r="P65" s="8">
        <f t="shared" si="5"/>
        <v>-0.16640003938318854</v>
      </c>
      <c r="U65" s="8">
        <v>31</v>
      </c>
      <c r="V65" s="10">
        <f t="shared" ref="V65:V83" si="6">L63</f>
        <v>0.24160665050931146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1021.6146044625</v>
      </c>
      <c r="E66">
        <v>333.38674780257003</v>
      </c>
      <c r="F66">
        <v>142.37752355315999</v>
      </c>
      <c r="G66">
        <v>115.80484522207</v>
      </c>
      <c r="I66" s="9">
        <f t="shared" si="1"/>
        <v>217.58190258050001</v>
      </c>
      <c r="J66" s="9">
        <f t="shared" si="2"/>
        <v>879.23708090933997</v>
      </c>
      <c r="K66" s="9">
        <f t="shared" si="3"/>
        <v>217.58190258050001</v>
      </c>
      <c r="L66" s="10">
        <f t="shared" ref="L66:L129" si="7">K66/J66</f>
        <v>0.24746670415159089</v>
      </c>
      <c r="M66" s="10">
        <f t="shared" si="4"/>
        <v>0.25014759332711228</v>
      </c>
      <c r="P66" s="8">
        <f t="shared" si="5"/>
        <v>-0.10344013104998932</v>
      </c>
      <c r="U66" s="8">
        <v>31.5</v>
      </c>
      <c r="V66" s="10">
        <f t="shared" si="6"/>
        <v>0.24548906004959548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1032.7755240027</v>
      </c>
      <c r="E67">
        <v>335.46788370521</v>
      </c>
      <c r="F67">
        <v>142.17227456257999</v>
      </c>
      <c r="G67">
        <v>115.83714670256001</v>
      </c>
      <c r="I67" s="9">
        <f t="shared" ref="I67:I130" si="8">E67-G67</f>
        <v>219.63073700264999</v>
      </c>
      <c r="J67" s="9">
        <f t="shared" ref="J67:J130" si="9">D67-F67</f>
        <v>890.60324944011995</v>
      </c>
      <c r="K67" s="9">
        <f t="shared" ref="K67:K130" si="10">I67*1</f>
        <v>219.63073700264999</v>
      </c>
      <c r="L67" s="10">
        <f t="shared" si="7"/>
        <v>0.2466089553802116</v>
      </c>
      <c r="M67" s="10">
        <f t="shared" ref="M67:M130" si="11">L67+ABS($N$2)*A67</f>
        <v>0.24933173344910053</v>
      </c>
      <c r="P67" s="8">
        <f t="shared" ref="P67:P130" si="12">(M67-$O$2)/$O$2*100</f>
        <v>-0.42925415973783337</v>
      </c>
      <c r="U67" s="8">
        <v>32</v>
      </c>
      <c r="V67" s="10">
        <f t="shared" si="6"/>
        <v>0.24735093727016189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1009.2513550136</v>
      </c>
      <c r="E68">
        <v>327.27981029810002</v>
      </c>
      <c r="F68">
        <v>141.79004037684999</v>
      </c>
      <c r="G68">
        <v>116.02288021534</v>
      </c>
      <c r="I68" s="9">
        <f t="shared" si="8"/>
        <v>211.25693008276002</v>
      </c>
      <c r="J68" s="9">
        <f t="shared" si="9"/>
        <v>867.46131463674999</v>
      </c>
      <c r="K68" s="9">
        <f t="shared" si="10"/>
        <v>211.25693008276002</v>
      </c>
      <c r="L68" s="10">
        <f t="shared" si="7"/>
        <v>0.24353469891763876</v>
      </c>
      <c r="M68" s="10">
        <f t="shared" si="11"/>
        <v>0.24629936587989523</v>
      </c>
      <c r="P68" s="8">
        <f t="shared" si="12"/>
        <v>-1.6402315846761348</v>
      </c>
      <c r="U68" s="8">
        <v>32.5</v>
      </c>
      <c r="V68" s="10">
        <f t="shared" si="6"/>
        <v>0.24746670415159089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1011.7926829268</v>
      </c>
      <c r="E69">
        <v>328.38482384823999</v>
      </c>
      <c r="F69">
        <v>141.84791386271999</v>
      </c>
      <c r="G69">
        <v>115.61305518170001</v>
      </c>
      <c r="I69" s="9">
        <f t="shared" si="8"/>
        <v>212.77176866653997</v>
      </c>
      <c r="J69" s="9">
        <f t="shared" si="9"/>
        <v>869.94476906407999</v>
      </c>
      <c r="K69" s="9">
        <f t="shared" si="10"/>
        <v>212.77176866653997</v>
      </c>
      <c r="L69" s="10">
        <f t="shared" si="7"/>
        <v>0.24458077826647318</v>
      </c>
      <c r="M69" s="10">
        <f t="shared" si="11"/>
        <v>0.24738733412209715</v>
      </c>
      <c r="P69" s="8">
        <f t="shared" si="12"/>
        <v>-1.2057509518742175</v>
      </c>
      <c r="U69" s="8">
        <v>33</v>
      </c>
      <c r="V69" s="10">
        <f t="shared" si="6"/>
        <v>0.2466089553802116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988.53116531165006</v>
      </c>
      <c r="E70">
        <v>323.59349593496</v>
      </c>
      <c r="F70">
        <v>141.96769851952001</v>
      </c>
      <c r="G70">
        <v>115.82301480485</v>
      </c>
      <c r="I70" s="9">
        <f t="shared" si="8"/>
        <v>207.77048113011</v>
      </c>
      <c r="J70" s="9">
        <f t="shared" si="9"/>
        <v>846.56346679213004</v>
      </c>
      <c r="K70" s="9">
        <f t="shared" si="10"/>
        <v>207.77048113011</v>
      </c>
      <c r="L70" s="10">
        <f t="shared" si="7"/>
        <v>0.24542812119853399</v>
      </c>
      <c r="M70" s="10">
        <f t="shared" si="11"/>
        <v>0.24827656594752551</v>
      </c>
      <c r="P70" s="8">
        <f t="shared" si="12"/>
        <v>-0.85063580123546312</v>
      </c>
      <c r="U70" s="8">
        <v>33.5</v>
      </c>
      <c r="V70" s="10">
        <f t="shared" si="6"/>
        <v>0.24353469891763876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977.52659932660004</v>
      </c>
      <c r="E71">
        <v>321.85925925926</v>
      </c>
      <c r="F71">
        <v>141.87146702557001</v>
      </c>
      <c r="G71">
        <v>115.76244952894</v>
      </c>
      <c r="I71" s="9">
        <f t="shared" si="8"/>
        <v>206.09680973031999</v>
      </c>
      <c r="J71" s="9">
        <f t="shared" si="9"/>
        <v>835.65513230102999</v>
      </c>
      <c r="K71" s="9">
        <f t="shared" si="10"/>
        <v>206.09680973031999</v>
      </c>
      <c r="L71" s="10">
        <f t="shared" si="7"/>
        <v>0.24662902406022352</v>
      </c>
      <c r="M71" s="10">
        <f t="shared" si="11"/>
        <v>0.24951935770258254</v>
      </c>
      <c r="P71" s="8">
        <f t="shared" si="12"/>
        <v>-0.35432632524804519</v>
      </c>
      <c r="U71" s="8">
        <v>34</v>
      </c>
      <c r="V71" s="10">
        <f t="shared" si="6"/>
        <v>0.24458077826647318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988.87340067340006</v>
      </c>
      <c r="E72">
        <v>327.25858585858998</v>
      </c>
      <c r="F72">
        <v>142.10565275908999</v>
      </c>
      <c r="G72">
        <v>115.91453566622</v>
      </c>
      <c r="I72" s="9">
        <f t="shared" si="8"/>
        <v>211.34405019236999</v>
      </c>
      <c r="J72" s="9">
        <f t="shared" si="9"/>
        <v>846.76774791431012</v>
      </c>
      <c r="K72" s="9">
        <f t="shared" si="10"/>
        <v>211.34405019236999</v>
      </c>
      <c r="L72" s="10">
        <f t="shared" si="7"/>
        <v>0.24958915914421112</v>
      </c>
      <c r="M72" s="10">
        <f t="shared" si="11"/>
        <v>0.25252138167993765</v>
      </c>
      <c r="P72" s="8">
        <f t="shared" si="12"/>
        <v>0.84453337191368627</v>
      </c>
      <c r="U72" s="8">
        <v>34.5</v>
      </c>
      <c r="V72" s="10">
        <f t="shared" si="6"/>
        <v>0.24542812119853399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1009.5178451179</v>
      </c>
      <c r="E73">
        <v>330.91111111111002</v>
      </c>
      <c r="F73">
        <v>142.02624495289001</v>
      </c>
      <c r="G73">
        <v>115.76244952894</v>
      </c>
      <c r="I73" s="9">
        <f t="shared" si="8"/>
        <v>215.14866158217001</v>
      </c>
      <c r="J73" s="9">
        <f t="shared" si="9"/>
        <v>867.49160016501003</v>
      </c>
      <c r="K73" s="9">
        <f t="shared" si="10"/>
        <v>215.14866158217001</v>
      </c>
      <c r="L73" s="10">
        <f t="shared" si="7"/>
        <v>0.24801238598880437</v>
      </c>
      <c r="M73" s="10">
        <f t="shared" si="11"/>
        <v>0.25098649741789841</v>
      </c>
      <c r="P73" s="8">
        <f t="shared" si="12"/>
        <v>0.23157661492339937</v>
      </c>
      <c r="U73" s="8">
        <v>35</v>
      </c>
      <c r="V73" s="10">
        <f t="shared" si="6"/>
        <v>0.24662902406022352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1019.0244399185</v>
      </c>
      <c r="E74">
        <v>335.92600135777002</v>
      </c>
      <c r="F74">
        <v>141.96433378197</v>
      </c>
      <c r="G74">
        <v>115.81090174966</v>
      </c>
      <c r="I74" s="9">
        <f t="shared" si="8"/>
        <v>220.11509960811003</v>
      </c>
      <c r="J74" s="9">
        <f t="shared" si="9"/>
        <v>877.06010613652995</v>
      </c>
      <c r="K74" s="9">
        <f t="shared" si="10"/>
        <v>220.11509960811003</v>
      </c>
      <c r="L74" s="10">
        <f t="shared" si="7"/>
        <v>0.25096923012234834</v>
      </c>
      <c r="M74" s="10">
        <f t="shared" si="11"/>
        <v>0.25398523044480992</v>
      </c>
      <c r="P74" s="8">
        <f t="shared" si="12"/>
        <v>1.4291220694668334</v>
      </c>
      <c r="U74" s="8">
        <v>35.5</v>
      </c>
      <c r="V74" s="10">
        <f t="shared" si="6"/>
        <v>0.24958915914421112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1030.3355932203001</v>
      </c>
      <c r="E75">
        <v>339.85220338982998</v>
      </c>
      <c r="F75">
        <v>141.59219380888001</v>
      </c>
      <c r="G75">
        <v>115.84522207268</v>
      </c>
      <c r="I75" s="9">
        <f t="shared" si="8"/>
        <v>224.00698131714998</v>
      </c>
      <c r="J75" s="9">
        <f t="shared" si="9"/>
        <v>888.74339941142011</v>
      </c>
      <c r="K75" s="9">
        <f t="shared" si="10"/>
        <v>224.00698131714998</v>
      </c>
      <c r="L75" s="10">
        <f t="shared" si="7"/>
        <v>0.25204910828648741</v>
      </c>
      <c r="M75" s="10">
        <f t="shared" si="11"/>
        <v>0.25510699750231652</v>
      </c>
      <c r="P75" s="8">
        <f t="shared" si="12"/>
        <v>1.8771002751683186</v>
      </c>
      <c r="U75" s="8">
        <v>36</v>
      </c>
      <c r="V75" s="10">
        <f t="shared" si="6"/>
        <v>0.24801238598880437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1038.4711864407</v>
      </c>
      <c r="E76">
        <v>338.96135593219998</v>
      </c>
      <c r="F76">
        <v>141.72812920592</v>
      </c>
      <c r="G76">
        <v>116.01009421265</v>
      </c>
      <c r="I76" s="9">
        <f t="shared" si="8"/>
        <v>222.95126171954996</v>
      </c>
      <c r="J76" s="9">
        <f t="shared" si="9"/>
        <v>896.74305723477994</v>
      </c>
      <c r="K76" s="9">
        <f t="shared" si="10"/>
        <v>222.95126171954996</v>
      </c>
      <c r="L76" s="10">
        <f t="shared" si="7"/>
        <v>0.24862334859558125</v>
      </c>
      <c r="M76" s="10">
        <f t="shared" si="11"/>
        <v>0.25172312670477787</v>
      </c>
      <c r="P76" s="8">
        <f t="shared" si="12"/>
        <v>0.52574986951772829</v>
      </c>
      <c r="U76" s="8">
        <v>36.5</v>
      </c>
      <c r="V76" s="10">
        <f t="shared" si="6"/>
        <v>0.25096923012234834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1029.2705084746001</v>
      </c>
      <c r="E77">
        <v>336.81559322034002</v>
      </c>
      <c r="F77">
        <v>141.93876177658001</v>
      </c>
      <c r="G77">
        <v>115.45625841184</v>
      </c>
      <c r="I77" s="9">
        <f t="shared" si="8"/>
        <v>221.35933480850002</v>
      </c>
      <c r="J77" s="9">
        <f t="shared" si="9"/>
        <v>887.33174669802008</v>
      </c>
      <c r="K77" s="9">
        <f t="shared" si="10"/>
        <v>221.35933480850002</v>
      </c>
      <c r="L77" s="10">
        <f t="shared" si="7"/>
        <v>0.24946626290813173</v>
      </c>
      <c r="M77" s="10">
        <f t="shared" si="11"/>
        <v>0.25260792991069586</v>
      </c>
      <c r="P77" s="8">
        <f t="shared" si="12"/>
        <v>0.87909644885755756</v>
      </c>
      <c r="U77" s="8">
        <v>37</v>
      </c>
      <c r="V77" s="10">
        <f t="shared" si="6"/>
        <v>0.25204910828648741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997.92881355932002</v>
      </c>
      <c r="E78">
        <v>331.20949152541999</v>
      </c>
      <c r="F78">
        <v>141.65948855989001</v>
      </c>
      <c r="G78">
        <v>115.94751009421</v>
      </c>
      <c r="I78" s="9">
        <f t="shared" si="8"/>
        <v>215.26198143120999</v>
      </c>
      <c r="J78" s="9">
        <f t="shared" si="9"/>
        <v>856.26932499942995</v>
      </c>
      <c r="K78" s="9">
        <f t="shared" si="10"/>
        <v>215.26198143120999</v>
      </c>
      <c r="L78" s="10">
        <f t="shared" si="7"/>
        <v>0.25139518040232645</v>
      </c>
      <c r="M78" s="10">
        <f t="shared" si="11"/>
        <v>0.25457873629825811</v>
      </c>
      <c r="P78" s="8">
        <f t="shared" si="12"/>
        <v>1.6661389131349185</v>
      </c>
      <c r="U78" s="8">
        <v>37.5</v>
      </c>
      <c r="V78" s="10">
        <f t="shared" si="6"/>
        <v>0.24862334859558125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1019.8888135593</v>
      </c>
      <c r="E79">
        <v>335.16542372881003</v>
      </c>
      <c r="F79">
        <v>141.9266487214</v>
      </c>
      <c r="G79">
        <v>115.81695827725</v>
      </c>
      <c r="I79" s="9">
        <f t="shared" si="8"/>
        <v>219.34846545156003</v>
      </c>
      <c r="J79" s="9">
        <f t="shared" si="9"/>
        <v>877.96216483789999</v>
      </c>
      <c r="K79" s="9">
        <f t="shared" si="10"/>
        <v>219.34846545156003</v>
      </c>
      <c r="L79" s="10">
        <f t="shared" si="7"/>
        <v>0.24983817553465848</v>
      </c>
      <c r="M79" s="10">
        <f t="shared" si="11"/>
        <v>0.25306362032395768</v>
      </c>
      <c r="P79" s="8">
        <f t="shared" si="12"/>
        <v>1.0610766312156914</v>
      </c>
      <c r="U79" s="8">
        <v>38</v>
      </c>
      <c r="V79" s="10">
        <f t="shared" si="6"/>
        <v>0.24946626290813173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984.02237288135996</v>
      </c>
      <c r="E80">
        <v>327.53016949152999</v>
      </c>
      <c r="F80">
        <v>141.77187079408</v>
      </c>
      <c r="G80">
        <v>115.85127860027001</v>
      </c>
      <c r="I80" s="9">
        <f t="shared" si="8"/>
        <v>211.67889089125998</v>
      </c>
      <c r="J80" s="9">
        <f t="shared" si="9"/>
        <v>842.25050208727998</v>
      </c>
      <c r="K80" s="9">
        <f t="shared" si="10"/>
        <v>211.67889089125998</v>
      </c>
      <c r="L80" s="10">
        <f t="shared" si="7"/>
        <v>0.25132533654378791</v>
      </c>
      <c r="M80" s="10">
        <f t="shared" si="11"/>
        <v>0.25459267022645465</v>
      </c>
      <c r="P80" s="8">
        <f t="shared" si="12"/>
        <v>1.6717034339595309</v>
      </c>
      <c r="U80" s="8">
        <v>38.5</v>
      </c>
      <c r="V80" s="10">
        <f t="shared" si="6"/>
        <v>0.25139518040232645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1005.9136884693</v>
      </c>
      <c r="E81">
        <v>331.44234659474</v>
      </c>
      <c r="F81">
        <v>141.74899057874001</v>
      </c>
      <c r="G81">
        <v>115.69448183042</v>
      </c>
      <c r="I81" s="9">
        <f t="shared" si="8"/>
        <v>215.74786476432001</v>
      </c>
      <c r="J81" s="9">
        <f t="shared" si="9"/>
        <v>864.16469789056009</v>
      </c>
      <c r="K81" s="9">
        <f t="shared" si="10"/>
        <v>215.74786476432001</v>
      </c>
      <c r="L81" s="10">
        <f t="shared" si="7"/>
        <v>0.24966058587091561</v>
      </c>
      <c r="M81" s="10">
        <f t="shared" si="11"/>
        <v>0.25296980844694983</v>
      </c>
      <c r="P81" s="8">
        <f t="shared" si="12"/>
        <v>1.0236128137018494</v>
      </c>
      <c r="U81" s="8">
        <v>39</v>
      </c>
      <c r="V81" s="10">
        <f t="shared" si="6"/>
        <v>0.24983817553465848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965.18906144496998</v>
      </c>
      <c r="E82">
        <v>327.80013504389001</v>
      </c>
      <c r="F82">
        <v>141.66890982503</v>
      </c>
      <c r="G82">
        <v>115.66890982503</v>
      </c>
      <c r="H82" s="13"/>
      <c r="I82" s="14">
        <f t="shared" si="8"/>
        <v>212.13122521886001</v>
      </c>
      <c r="J82" s="14">
        <f t="shared" si="9"/>
        <v>823.52015161993995</v>
      </c>
      <c r="K82" s="9">
        <f t="shared" si="10"/>
        <v>212.13122521886001</v>
      </c>
      <c r="L82" s="15">
        <f t="shared" si="7"/>
        <v>0.25759081280716489</v>
      </c>
      <c r="M82" s="15">
        <f t="shared" si="11"/>
        <v>0.26094192427656665</v>
      </c>
      <c r="N82" s="13"/>
      <c r="O82" s="13"/>
      <c r="P82" s="13">
        <f t="shared" si="12"/>
        <v>4.2072810459766412</v>
      </c>
      <c r="U82" s="8">
        <v>39.5</v>
      </c>
      <c r="V82" s="10">
        <f t="shared" si="6"/>
        <v>0.25132533654378791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1034.3502710027001</v>
      </c>
      <c r="E83">
        <v>347.31097560976002</v>
      </c>
      <c r="F83">
        <v>141.61036339166</v>
      </c>
      <c r="G83">
        <v>116.14333781965</v>
      </c>
      <c r="I83" s="9">
        <f t="shared" si="8"/>
        <v>231.16763779011001</v>
      </c>
      <c r="J83" s="9">
        <f t="shared" si="9"/>
        <v>892.73990761104005</v>
      </c>
      <c r="K83" s="9">
        <f t="shared" si="10"/>
        <v>231.16763779011001</v>
      </c>
      <c r="L83" s="10">
        <f t="shared" si="7"/>
        <v>0.25894175427724686</v>
      </c>
      <c r="M83" s="10">
        <f t="shared" si="11"/>
        <v>0.26233475464001615</v>
      </c>
      <c r="P83" s="8">
        <f t="shared" si="12"/>
        <v>4.7635085112861946</v>
      </c>
      <c r="U83" s="8">
        <v>40</v>
      </c>
      <c r="V83" s="10">
        <f t="shared" si="6"/>
        <v>0.24966058587091561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1056.1571815718</v>
      </c>
      <c r="E84">
        <v>350.05826558266</v>
      </c>
      <c r="F84">
        <v>141.42328398385001</v>
      </c>
      <c r="G84">
        <v>115.30955585464</v>
      </c>
      <c r="I84" s="9">
        <f t="shared" si="8"/>
        <v>234.74870972802</v>
      </c>
      <c r="J84" s="9">
        <f t="shared" si="9"/>
        <v>914.73389758794997</v>
      </c>
      <c r="K84" s="9">
        <f t="shared" si="10"/>
        <v>234.74870972802</v>
      </c>
      <c r="L84" s="10">
        <f t="shared" si="7"/>
        <v>0.25663060081956712</v>
      </c>
      <c r="M84" s="10">
        <f t="shared" si="11"/>
        <v>0.26006549007570395</v>
      </c>
      <c r="P84" s="8">
        <f t="shared" si="12"/>
        <v>3.8572766327693344</v>
      </c>
      <c r="U84" s="8">
        <v>150.5</v>
      </c>
      <c r="V84" s="10">
        <f>L302</f>
        <v>0.25333559035902203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1040.6856368563999</v>
      </c>
      <c r="E85">
        <v>345.34823848239</v>
      </c>
      <c r="F85">
        <v>141.5</v>
      </c>
      <c r="G85">
        <v>115.85598923284</v>
      </c>
      <c r="I85" s="9">
        <f t="shared" si="8"/>
        <v>229.49224924955001</v>
      </c>
      <c r="J85" s="9">
        <f t="shared" si="9"/>
        <v>899.18563685639992</v>
      </c>
      <c r="K85" s="9">
        <f t="shared" si="10"/>
        <v>229.49224924955001</v>
      </c>
      <c r="L85" s="10">
        <f t="shared" si="7"/>
        <v>0.25522232544980028</v>
      </c>
      <c r="M85" s="10">
        <f t="shared" si="11"/>
        <v>0.25869910359930459</v>
      </c>
      <c r="P85" s="8">
        <f t="shared" si="12"/>
        <v>3.3116095462774888</v>
      </c>
      <c r="U85" s="8">
        <v>151</v>
      </c>
      <c r="V85" s="10">
        <f t="shared" ref="V85:V103" si="13">L303</f>
        <v>0.25499157931681132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1025.3699460916</v>
      </c>
      <c r="E86">
        <v>349.16105121293998</v>
      </c>
      <c r="F86">
        <v>141.85733512786001</v>
      </c>
      <c r="G86">
        <v>115.91386271871001</v>
      </c>
      <c r="I86" s="9">
        <f t="shared" si="8"/>
        <v>233.24718849422999</v>
      </c>
      <c r="J86" s="9">
        <f t="shared" si="9"/>
        <v>883.51261096374003</v>
      </c>
      <c r="K86" s="9">
        <f t="shared" si="10"/>
        <v>233.24718849422999</v>
      </c>
      <c r="L86" s="10">
        <f t="shared" si="7"/>
        <v>0.26399984063589399</v>
      </c>
      <c r="M86" s="10">
        <f t="shared" si="11"/>
        <v>0.26751850767876584</v>
      </c>
      <c r="P86" s="8">
        <f t="shared" si="12"/>
        <v>6.8336427424164654</v>
      </c>
      <c r="U86" s="8">
        <v>151.5</v>
      </c>
      <c r="V86" s="10">
        <f t="shared" si="13"/>
        <v>0.25470299809772717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1060.8598382749001</v>
      </c>
      <c r="E87">
        <v>434.67115902965003</v>
      </c>
      <c r="F87">
        <v>141.76581426649</v>
      </c>
      <c r="G87">
        <v>115.67698519516</v>
      </c>
      <c r="I87" s="9">
        <f t="shared" si="8"/>
        <v>318.99417383449003</v>
      </c>
      <c r="J87" s="9">
        <f t="shared" si="9"/>
        <v>919.09402400841009</v>
      </c>
      <c r="K87" s="9">
        <f t="shared" si="10"/>
        <v>318.99417383449003</v>
      </c>
      <c r="L87" s="10">
        <f t="shared" si="7"/>
        <v>0.34707458160077331</v>
      </c>
      <c r="M87" s="10">
        <f t="shared" si="11"/>
        <v>0.3506351375370127</v>
      </c>
      <c r="P87" s="8">
        <f t="shared" si="12"/>
        <v>40.026308241628314</v>
      </c>
      <c r="U87" s="8">
        <v>152</v>
      </c>
      <c r="V87" s="10">
        <f t="shared" si="13"/>
        <v>0.25396298623937102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1089.8551212938</v>
      </c>
      <c r="E88">
        <v>513.57210242587996</v>
      </c>
      <c r="F88">
        <v>141.60767160162001</v>
      </c>
      <c r="G88">
        <v>115.88963660835</v>
      </c>
      <c r="I88" s="9">
        <f t="shared" si="8"/>
        <v>397.68246581752999</v>
      </c>
      <c r="J88" s="9">
        <f t="shared" si="9"/>
        <v>948.24744969218</v>
      </c>
      <c r="K88" s="9">
        <f t="shared" si="10"/>
        <v>397.68246581752999</v>
      </c>
      <c r="L88" s="10">
        <f t="shared" si="7"/>
        <v>0.41938680240756315</v>
      </c>
      <c r="M88" s="10">
        <f t="shared" si="11"/>
        <v>0.42298924723717007</v>
      </c>
      <c r="P88" s="8">
        <f t="shared" si="12"/>
        <v>68.920956218411177</v>
      </c>
      <c r="U88" s="8">
        <v>152.5</v>
      </c>
      <c r="V88" s="10">
        <f t="shared" si="13"/>
        <v>0.25549917012414769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1107.7574123989</v>
      </c>
      <c r="E89">
        <v>570.85107816712002</v>
      </c>
      <c r="F89">
        <v>141.61440107671999</v>
      </c>
      <c r="G89">
        <v>115.86204576042999</v>
      </c>
      <c r="I89" s="9">
        <f t="shared" si="8"/>
        <v>454.98903240669006</v>
      </c>
      <c r="J89" s="9">
        <f t="shared" si="9"/>
        <v>966.14301132217997</v>
      </c>
      <c r="K89" s="9">
        <f t="shared" si="10"/>
        <v>454.98903240669006</v>
      </c>
      <c r="L89" s="10">
        <f t="shared" si="7"/>
        <v>0.47093341987127901</v>
      </c>
      <c r="M89" s="10">
        <f t="shared" si="11"/>
        <v>0.47457775359425342</v>
      </c>
      <c r="P89" s="8">
        <f t="shared" si="12"/>
        <v>89.522850665226628</v>
      </c>
      <c r="U89" s="8">
        <v>153</v>
      </c>
      <c r="V89" s="10">
        <f t="shared" si="13"/>
        <v>0.25368051240644729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1122.4218328841</v>
      </c>
      <c r="E90">
        <v>619.82681940701002</v>
      </c>
      <c r="F90">
        <v>142.01009421264999</v>
      </c>
      <c r="G90">
        <v>115.88425302826001</v>
      </c>
      <c r="I90" s="9">
        <f t="shared" si="8"/>
        <v>503.94256637875003</v>
      </c>
      <c r="J90" s="9">
        <f t="shared" si="9"/>
        <v>980.41173867145005</v>
      </c>
      <c r="K90" s="9">
        <f t="shared" si="10"/>
        <v>503.94256637875003</v>
      </c>
      <c r="L90" s="10">
        <f t="shared" si="7"/>
        <v>0.51401115113293061</v>
      </c>
      <c r="M90" s="10">
        <f t="shared" si="11"/>
        <v>0.5176973737492726</v>
      </c>
      <c r="P90" s="8">
        <f t="shared" si="12"/>
        <v>106.74269139625233</v>
      </c>
      <c r="U90" s="8">
        <v>153.5</v>
      </c>
      <c r="V90" s="10">
        <f t="shared" si="13"/>
        <v>0.2573409658675691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1137.1778975740999</v>
      </c>
      <c r="E91">
        <v>661.10444743935</v>
      </c>
      <c r="F91">
        <v>141.76716016150999</v>
      </c>
      <c r="G91">
        <v>115.74360699864999</v>
      </c>
      <c r="I91" s="9">
        <f t="shared" si="8"/>
        <v>545.36084044070003</v>
      </c>
      <c r="J91" s="9">
        <f t="shared" si="9"/>
        <v>995.41073741258992</v>
      </c>
      <c r="K91" s="9">
        <f t="shared" si="10"/>
        <v>545.36084044070003</v>
      </c>
      <c r="L91" s="10">
        <f t="shared" si="7"/>
        <v>0.54787518352301268</v>
      </c>
      <c r="M91" s="10">
        <f t="shared" si="11"/>
        <v>0.5516032950327221</v>
      </c>
      <c r="P91" s="8">
        <f t="shared" si="12"/>
        <v>120.28303711916641</v>
      </c>
      <c r="U91" s="8">
        <v>154</v>
      </c>
      <c r="V91" s="10">
        <f t="shared" si="13"/>
        <v>0.25614838156273617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1143.8355795148</v>
      </c>
      <c r="E92">
        <v>686.56603773585005</v>
      </c>
      <c r="F92">
        <v>141.50134589501999</v>
      </c>
      <c r="G92">
        <v>116.21534320323001</v>
      </c>
      <c r="I92" s="9">
        <f t="shared" si="8"/>
        <v>570.35069453262008</v>
      </c>
      <c r="J92" s="9">
        <f t="shared" si="9"/>
        <v>1002.33423361978</v>
      </c>
      <c r="K92" s="9">
        <f t="shared" si="10"/>
        <v>570.35069453262008</v>
      </c>
      <c r="L92" s="10">
        <f t="shared" si="7"/>
        <v>0.56902246316868177</v>
      </c>
      <c r="M92" s="10">
        <f t="shared" si="11"/>
        <v>0.57279246357175873</v>
      </c>
      <c r="P92" s="8">
        <f t="shared" si="12"/>
        <v>128.74494161074853</v>
      </c>
      <c r="U92" s="8">
        <v>154.5</v>
      </c>
      <c r="V92" s="10">
        <f t="shared" si="13"/>
        <v>0.25562433500521692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1145.2689701897</v>
      </c>
      <c r="E93">
        <v>704.93631436314001</v>
      </c>
      <c r="F93">
        <v>142.01211305518001</v>
      </c>
      <c r="G93">
        <v>115.67092866756001</v>
      </c>
      <c r="I93" s="9">
        <f t="shared" si="8"/>
        <v>589.26538569557999</v>
      </c>
      <c r="J93" s="9">
        <f t="shared" si="9"/>
        <v>1003.25685713452</v>
      </c>
      <c r="K93" s="9">
        <f t="shared" si="10"/>
        <v>589.26538569557999</v>
      </c>
      <c r="L93" s="10">
        <f t="shared" si="7"/>
        <v>0.58735246263716223</v>
      </c>
      <c r="M93" s="10">
        <f t="shared" si="11"/>
        <v>0.59116435193360672</v>
      </c>
      <c r="P93" s="8">
        <f t="shared" si="12"/>
        <v>136.08176392926288</v>
      </c>
      <c r="U93" s="8">
        <v>155</v>
      </c>
      <c r="V93" s="10">
        <f t="shared" si="13"/>
        <v>0.25697034446278622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1150.4308943089</v>
      </c>
      <c r="E94">
        <v>717.47560975609997</v>
      </c>
      <c r="F94">
        <v>141.83647375505001</v>
      </c>
      <c r="G94">
        <v>115.58479138627</v>
      </c>
      <c r="I94" s="9">
        <f t="shared" si="8"/>
        <v>601.89081836982996</v>
      </c>
      <c r="J94" s="9">
        <f t="shared" si="9"/>
        <v>1008.5944205538499</v>
      </c>
      <c r="K94" s="9">
        <f t="shared" si="10"/>
        <v>601.89081836982996</v>
      </c>
      <c r="L94" s="10">
        <f t="shared" si="7"/>
        <v>0.59676199481582837</v>
      </c>
      <c r="M94" s="10">
        <f t="shared" si="11"/>
        <v>0.6006157730056404</v>
      </c>
      <c r="P94" s="8">
        <f t="shared" si="12"/>
        <v>139.85619341071867</v>
      </c>
      <c r="U94" s="8">
        <v>155.5</v>
      </c>
      <c r="V94" s="10">
        <f t="shared" si="13"/>
        <v>0.25718393730526407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1131.9291497976001</v>
      </c>
      <c r="E95">
        <v>706.13360323887002</v>
      </c>
      <c r="F95">
        <v>141.61978465679999</v>
      </c>
      <c r="G95">
        <v>115.86137281292</v>
      </c>
      <c r="I95" s="9">
        <f t="shared" si="8"/>
        <v>590.27223042595006</v>
      </c>
      <c r="J95" s="9">
        <f t="shared" si="9"/>
        <v>990.30936514080008</v>
      </c>
      <c r="K95" s="9">
        <f t="shared" si="10"/>
        <v>590.27223042595006</v>
      </c>
      <c r="L95" s="10">
        <f t="shared" si="7"/>
        <v>0.59604831702467687</v>
      </c>
      <c r="M95" s="10">
        <f t="shared" si="11"/>
        <v>0.59994398410785643</v>
      </c>
      <c r="P95" s="8">
        <f t="shared" si="12"/>
        <v>139.58791419621906</v>
      </c>
      <c r="U95" s="8">
        <v>156</v>
      </c>
      <c r="V95" s="10">
        <f t="shared" si="13"/>
        <v>0.25699114915293642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1108.9844804319</v>
      </c>
      <c r="E96">
        <v>691.29689608637</v>
      </c>
      <c r="F96">
        <v>141.03768506057</v>
      </c>
      <c r="G96">
        <v>115.73485868102</v>
      </c>
      <c r="I96" s="9">
        <f t="shared" si="8"/>
        <v>575.56203740535</v>
      </c>
      <c r="J96" s="9">
        <f t="shared" si="9"/>
        <v>967.94679537133004</v>
      </c>
      <c r="K96" s="9">
        <f t="shared" si="10"/>
        <v>575.56203740535</v>
      </c>
      <c r="L96" s="10">
        <f t="shared" si="7"/>
        <v>0.59462156407527456</v>
      </c>
      <c r="M96" s="10">
        <f t="shared" si="11"/>
        <v>0.59855912005182166</v>
      </c>
      <c r="P96" s="8">
        <f t="shared" si="12"/>
        <v>139.03486807954852</v>
      </c>
      <c r="U96" s="8">
        <v>156.5</v>
      </c>
      <c r="V96" s="10">
        <f t="shared" si="13"/>
        <v>0.25813989438400364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1080.6686909581999</v>
      </c>
      <c r="E97">
        <v>669.48920377868001</v>
      </c>
      <c r="F97">
        <v>141.52220726783</v>
      </c>
      <c r="G97">
        <v>115.41251682369</v>
      </c>
      <c r="I97" s="9">
        <f t="shared" si="8"/>
        <v>554.07668695499001</v>
      </c>
      <c r="J97" s="9">
        <f t="shared" si="9"/>
        <v>939.14648369036991</v>
      </c>
      <c r="K97" s="9">
        <f t="shared" si="10"/>
        <v>554.07668695499001</v>
      </c>
      <c r="L97" s="10">
        <f t="shared" si="7"/>
        <v>0.58997898259465265</v>
      </c>
      <c r="M97" s="10">
        <f t="shared" si="11"/>
        <v>0.59395842746456728</v>
      </c>
      <c r="P97" s="8">
        <f t="shared" si="12"/>
        <v>137.19757931586935</v>
      </c>
      <c r="U97" s="8">
        <v>157</v>
      </c>
      <c r="V97" s="10">
        <f t="shared" si="13"/>
        <v>0.2600940079240886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1128.1888964116999</v>
      </c>
      <c r="E98">
        <v>685.69939065673998</v>
      </c>
      <c r="F98">
        <v>140.67765814267</v>
      </c>
      <c r="G98">
        <v>116.04576043069</v>
      </c>
      <c r="I98" s="9">
        <f t="shared" si="8"/>
        <v>569.65363022604993</v>
      </c>
      <c r="J98" s="9">
        <f t="shared" si="9"/>
        <v>987.51123826902995</v>
      </c>
      <c r="K98" s="9">
        <f t="shared" si="10"/>
        <v>569.65363022604993</v>
      </c>
      <c r="L98" s="10">
        <f t="shared" si="7"/>
        <v>0.576857870726184</v>
      </c>
      <c r="M98" s="10">
        <f t="shared" si="11"/>
        <v>0.58087920448946606</v>
      </c>
      <c r="P98" s="8">
        <f t="shared" si="12"/>
        <v>131.97438542624047</v>
      </c>
      <c r="U98" s="8">
        <v>157.5</v>
      </c>
      <c r="V98" s="10">
        <f t="shared" si="13"/>
        <v>0.260367508194076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1131.0988490182999</v>
      </c>
      <c r="E99">
        <v>679.88287068381999</v>
      </c>
      <c r="F99">
        <v>140.98923283984001</v>
      </c>
      <c r="G99">
        <v>115.30148048452</v>
      </c>
      <c r="I99" s="9">
        <f t="shared" si="8"/>
        <v>564.58139019930002</v>
      </c>
      <c r="J99" s="9">
        <f t="shared" si="9"/>
        <v>990.10961617845987</v>
      </c>
      <c r="K99" s="9">
        <f t="shared" si="10"/>
        <v>564.58139019930002</v>
      </c>
      <c r="L99" s="10">
        <f t="shared" si="7"/>
        <v>0.57022109569890134</v>
      </c>
      <c r="M99" s="10">
        <f t="shared" si="11"/>
        <v>0.57428431835555094</v>
      </c>
      <c r="P99" s="8">
        <f t="shared" si="12"/>
        <v>129.34071452522141</v>
      </c>
      <c r="U99" s="8">
        <v>158</v>
      </c>
      <c r="V99" s="10">
        <f t="shared" si="13"/>
        <v>0.25976187126861455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1125.9343263372</v>
      </c>
      <c r="E100">
        <v>665.43060257278</v>
      </c>
      <c r="F100">
        <v>141.51615074023999</v>
      </c>
      <c r="G100">
        <v>115.54576043069</v>
      </c>
      <c r="I100" s="9">
        <f t="shared" si="8"/>
        <v>549.88484214209006</v>
      </c>
      <c r="J100" s="9">
        <f t="shared" si="9"/>
        <v>984.41817559696005</v>
      </c>
      <c r="K100" s="9">
        <f t="shared" si="10"/>
        <v>549.88484214209006</v>
      </c>
      <c r="L100" s="10">
        <f t="shared" si="7"/>
        <v>0.55858867275447743</v>
      </c>
      <c r="M100" s="10">
        <f t="shared" si="11"/>
        <v>0.56269378430449457</v>
      </c>
      <c r="P100" s="8">
        <f t="shared" si="12"/>
        <v>124.71202926247594</v>
      </c>
      <c r="U100" s="8">
        <v>158.5</v>
      </c>
      <c r="V100" s="10">
        <f t="shared" si="13"/>
        <v>0.25979827532702465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1106.4983073798001</v>
      </c>
      <c r="E101">
        <v>641.67772511848</v>
      </c>
      <c r="F101">
        <v>141.33916554509</v>
      </c>
      <c r="G101">
        <v>115.54037685061</v>
      </c>
      <c r="I101" s="9">
        <f t="shared" si="8"/>
        <v>526.13734826787004</v>
      </c>
      <c r="J101" s="9">
        <f t="shared" si="9"/>
        <v>965.15914183471</v>
      </c>
      <c r="K101" s="9">
        <f t="shared" si="10"/>
        <v>526.13734826787004</v>
      </c>
      <c r="L101" s="10">
        <f t="shared" si="7"/>
        <v>0.54513015052389635</v>
      </c>
      <c r="M101" s="10">
        <f t="shared" si="11"/>
        <v>0.54927715096728102</v>
      </c>
      <c r="P101" s="8">
        <f t="shared" si="12"/>
        <v>119.35409038493472</v>
      </c>
      <c r="U101" s="8">
        <v>159</v>
      </c>
      <c r="V101" s="10">
        <f t="shared" si="13"/>
        <v>0.26135678619375002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1109.2918077183999</v>
      </c>
      <c r="E102">
        <v>632.45091401490004</v>
      </c>
      <c r="F102">
        <v>141.32974427995001</v>
      </c>
      <c r="G102">
        <v>115.56998654105</v>
      </c>
      <c r="I102" s="9">
        <f t="shared" si="8"/>
        <v>516.88092747385008</v>
      </c>
      <c r="J102" s="9">
        <f t="shared" si="9"/>
        <v>967.96206343844995</v>
      </c>
      <c r="K102" s="9">
        <f t="shared" si="10"/>
        <v>516.88092747385008</v>
      </c>
      <c r="L102" s="10">
        <f t="shared" si="7"/>
        <v>0.53398882765896449</v>
      </c>
      <c r="M102" s="10">
        <f t="shared" si="11"/>
        <v>0.5381777169957167</v>
      </c>
      <c r="P102" s="8">
        <f t="shared" si="12"/>
        <v>114.92152617152698</v>
      </c>
      <c r="U102" s="8">
        <v>159.5</v>
      </c>
      <c r="V102" s="10">
        <f t="shared" si="13"/>
        <v>0.26027432292038999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1119.9932295193</v>
      </c>
      <c r="E103">
        <v>621.10426540284004</v>
      </c>
      <c r="F103">
        <v>141.06931359353999</v>
      </c>
      <c r="G103">
        <v>115.73687752355001</v>
      </c>
      <c r="I103" s="9">
        <f t="shared" si="8"/>
        <v>505.36738787929005</v>
      </c>
      <c r="J103" s="9">
        <f t="shared" si="9"/>
        <v>978.92391592576007</v>
      </c>
      <c r="K103" s="9">
        <f t="shared" si="10"/>
        <v>505.36738787929005</v>
      </c>
      <c r="L103" s="10">
        <f t="shared" si="7"/>
        <v>0.51624787142049577</v>
      </c>
      <c r="M103" s="10">
        <f t="shared" si="11"/>
        <v>0.52047864965061552</v>
      </c>
      <c r="P103" s="8">
        <f t="shared" si="12"/>
        <v>107.85339524470888</v>
      </c>
      <c r="U103" s="8">
        <v>160</v>
      </c>
      <c r="V103" s="10">
        <f t="shared" si="13"/>
        <v>0.26044339667635735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1123.9438050102001</v>
      </c>
      <c r="E104">
        <v>611.79011509816996</v>
      </c>
      <c r="F104">
        <v>140.74764468372001</v>
      </c>
      <c r="G104">
        <v>115.55518169583</v>
      </c>
      <c r="I104" s="9">
        <f t="shared" si="8"/>
        <v>496.23493340233995</v>
      </c>
      <c r="J104" s="9">
        <f t="shared" si="9"/>
        <v>983.19616032648014</v>
      </c>
      <c r="K104" s="9">
        <f t="shared" si="10"/>
        <v>496.23493340233995</v>
      </c>
      <c r="L104" s="10">
        <f t="shared" si="7"/>
        <v>0.50471610185861604</v>
      </c>
      <c r="M104" s="10">
        <f t="shared" si="11"/>
        <v>0.50898876898210332</v>
      </c>
      <c r="P104" s="8">
        <f t="shared" si="12"/>
        <v>103.26490595795342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1096.4587280108001</v>
      </c>
      <c r="E105">
        <v>582.25710419485995</v>
      </c>
      <c r="F105">
        <v>141.34051144010999</v>
      </c>
      <c r="G105">
        <v>115.70995962315</v>
      </c>
      <c r="I105" s="9">
        <f t="shared" si="8"/>
        <v>466.54714457170996</v>
      </c>
      <c r="J105" s="9">
        <f t="shared" si="9"/>
        <v>955.11821657069004</v>
      </c>
      <c r="K105" s="9">
        <f t="shared" si="10"/>
        <v>466.54714457170996</v>
      </c>
      <c r="L105" s="10">
        <f t="shared" si="7"/>
        <v>0.48847057513658043</v>
      </c>
      <c r="M105" s="10">
        <f t="shared" si="11"/>
        <v>0.4927851311534352</v>
      </c>
      <c r="P105" s="8">
        <f t="shared" si="12"/>
        <v>96.793975516781387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1047.8700947226</v>
      </c>
      <c r="E106">
        <v>547.94993234100002</v>
      </c>
      <c r="F106">
        <v>141.05316285329999</v>
      </c>
      <c r="G106">
        <v>115.68304172275</v>
      </c>
      <c r="I106" s="9">
        <f t="shared" si="8"/>
        <v>432.26689061825005</v>
      </c>
      <c r="J106" s="9">
        <f t="shared" si="9"/>
        <v>906.81693186929999</v>
      </c>
      <c r="K106" s="9">
        <f t="shared" si="10"/>
        <v>432.26689061825005</v>
      </c>
      <c r="L106" s="10">
        <f t="shared" si="7"/>
        <v>0.47668594997138064</v>
      </c>
      <c r="M106" s="10">
        <f t="shared" si="11"/>
        <v>0.48104239488160294</v>
      </c>
      <c r="P106" s="8">
        <f t="shared" si="12"/>
        <v>92.10450822508372</v>
      </c>
      <c r="X106" s="8">
        <v>-13</v>
      </c>
    </row>
    <row r="107" spans="1:25" x14ac:dyDescent="0.2">
      <c r="A107" s="8">
        <v>52.5</v>
      </c>
      <c r="B107" s="8">
        <v>105</v>
      </c>
      <c r="D107">
        <v>1032.9280430397</v>
      </c>
      <c r="E107">
        <v>535.45527908540998</v>
      </c>
      <c r="F107">
        <v>141.12382234186001</v>
      </c>
      <c r="G107">
        <v>115.32907133243999</v>
      </c>
      <c r="I107" s="9">
        <f t="shared" si="8"/>
        <v>420.12620775297</v>
      </c>
      <c r="J107" s="9">
        <f t="shared" si="9"/>
        <v>891.80422069784004</v>
      </c>
      <c r="K107" s="9">
        <f t="shared" si="10"/>
        <v>420.12620775297</v>
      </c>
      <c r="L107" s="10">
        <f t="shared" si="7"/>
        <v>0.47109690445759467</v>
      </c>
      <c r="M107" s="10">
        <f t="shared" si="11"/>
        <v>0.47549523826118451</v>
      </c>
      <c r="P107" s="8">
        <f t="shared" si="12"/>
        <v>89.889248601500483</v>
      </c>
      <c r="X107" s="8">
        <v>-13</v>
      </c>
    </row>
    <row r="108" spans="1:25" x14ac:dyDescent="0.2">
      <c r="A108" s="8">
        <v>53</v>
      </c>
      <c r="B108" s="8">
        <v>106</v>
      </c>
      <c r="D108">
        <v>981.00201748486995</v>
      </c>
      <c r="E108">
        <v>499.86751849361002</v>
      </c>
      <c r="F108">
        <v>140.79744279945999</v>
      </c>
      <c r="G108">
        <v>115.37281292058999</v>
      </c>
      <c r="I108" s="9">
        <f t="shared" si="8"/>
        <v>384.49470557302004</v>
      </c>
      <c r="J108" s="9">
        <f t="shared" si="9"/>
        <v>840.20457468540997</v>
      </c>
      <c r="K108" s="9">
        <f t="shared" si="10"/>
        <v>384.49470557302004</v>
      </c>
      <c r="L108" s="10">
        <f t="shared" si="7"/>
        <v>0.45762034289920744</v>
      </c>
      <c r="M108" s="10">
        <f t="shared" si="11"/>
        <v>0.46206056559616476</v>
      </c>
      <c r="P108" s="8">
        <f t="shared" si="12"/>
        <v>84.524105709856158</v>
      </c>
      <c r="X108" s="8">
        <v>-13</v>
      </c>
    </row>
    <row r="109" spans="1:25" x14ac:dyDescent="0.2">
      <c r="A109" s="8">
        <v>53.5</v>
      </c>
      <c r="B109" s="8">
        <v>107</v>
      </c>
      <c r="D109">
        <v>1033.2564102563999</v>
      </c>
      <c r="E109">
        <v>518.15721997301</v>
      </c>
      <c r="F109">
        <v>140.55248990579</v>
      </c>
      <c r="G109">
        <v>115.7530282638</v>
      </c>
      <c r="I109" s="9">
        <f t="shared" si="8"/>
        <v>402.40419170921001</v>
      </c>
      <c r="J109" s="9">
        <f t="shared" si="9"/>
        <v>892.70392035060991</v>
      </c>
      <c r="K109" s="9">
        <f t="shared" si="10"/>
        <v>402.40419170921001</v>
      </c>
      <c r="L109" s="10">
        <f t="shared" si="7"/>
        <v>0.45077005100545048</v>
      </c>
      <c r="M109" s="10">
        <f t="shared" si="11"/>
        <v>0.45525216259577533</v>
      </c>
      <c r="P109" s="8">
        <f t="shared" si="12"/>
        <v>81.805166747085721</v>
      </c>
      <c r="X109" s="8">
        <v>-13</v>
      </c>
    </row>
    <row r="110" spans="1:25" x14ac:dyDescent="0.2">
      <c r="A110" s="8">
        <v>54</v>
      </c>
      <c r="B110" s="8">
        <v>108</v>
      </c>
      <c r="D110">
        <v>980.50674763833001</v>
      </c>
      <c r="E110">
        <v>489.13022941970002</v>
      </c>
      <c r="F110">
        <v>141.30282637953999</v>
      </c>
      <c r="G110">
        <v>115.41722745625999</v>
      </c>
      <c r="I110" s="9">
        <f t="shared" si="8"/>
        <v>373.71300196344004</v>
      </c>
      <c r="J110" s="9">
        <f t="shared" si="9"/>
        <v>839.20392125879005</v>
      </c>
      <c r="K110" s="9">
        <f t="shared" si="10"/>
        <v>373.71300196344004</v>
      </c>
      <c r="L110" s="10">
        <f t="shared" si="7"/>
        <v>0.44531846491241078</v>
      </c>
      <c r="M110" s="10">
        <f t="shared" si="11"/>
        <v>0.44984246539610317</v>
      </c>
      <c r="P110" s="8">
        <f t="shared" si="12"/>
        <v>79.644801608280417</v>
      </c>
      <c r="X110" s="8">
        <v>-13</v>
      </c>
    </row>
    <row r="111" spans="1:25" x14ac:dyDescent="0.2">
      <c r="A111" s="8">
        <v>54.5</v>
      </c>
      <c r="B111" s="8">
        <v>109</v>
      </c>
      <c r="D111">
        <v>967.05802968960995</v>
      </c>
      <c r="E111">
        <v>474.22739541161002</v>
      </c>
      <c r="F111">
        <v>141.10969044415</v>
      </c>
      <c r="G111">
        <v>115.56796769851999</v>
      </c>
      <c r="I111" s="9">
        <f t="shared" si="8"/>
        <v>358.65942771309005</v>
      </c>
      <c r="J111" s="9">
        <f t="shared" si="9"/>
        <v>825.94833924545992</v>
      </c>
      <c r="K111" s="9">
        <f t="shared" si="10"/>
        <v>358.65942771309005</v>
      </c>
      <c r="L111" s="10">
        <f t="shared" si="7"/>
        <v>0.43423954098720169</v>
      </c>
      <c r="M111" s="10">
        <f t="shared" si="11"/>
        <v>0.43880543036426162</v>
      </c>
      <c r="P111" s="8">
        <f t="shared" si="12"/>
        <v>75.237156441004046</v>
      </c>
      <c r="X111" s="8">
        <v>-13</v>
      </c>
    </row>
    <row r="112" spans="1:25" x14ac:dyDescent="0.2">
      <c r="A112" s="8">
        <v>55</v>
      </c>
      <c r="B112" s="8">
        <v>110</v>
      </c>
      <c r="D112">
        <v>958.94129554656001</v>
      </c>
      <c r="E112">
        <v>466.21524966262001</v>
      </c>
      <c r="F112">
        <v>141.09959623149001</v>
      </c>
      <c r="G112">
        <v>115.7267833109</v>
      </c>
      <c r="I112" s="9">
        <f t="shared" si="8"/>
        <v>350.48846635172004</v>
      </c>
      <c r="J112" s="9">
        <f t="shared" si="9"/>
        <v>817.84169931506995</v>
      </c>
      <c r="K112" s="9">
        <f t="shared" si="10"/>
        <v>350.48846635172004</v>
      </c>
      <c r="L112" s="10">
        <f t="shared" si="7"/>
        <v>0.4285529420244148</v>
      </c>
      <c r="M112" s="10">
        <f t="shared" si="11"/>
        <v>0.43316072029484221</v>
      </c>
      <c r="P112" s="8">
        <f t="shared" si="12"/>
        <v>72.982938801359438</v>
      </c>
      <c r="X112" s="8">
        <v>-13</v>
      </c>
    </row>
    <row r="113" spans="1:24" x14ac:dyDescent="0.2">
      <c r="A113" s="8">
        <v>55.5</v>
      </c>
      <c r="B113" s="8">
        <v>111</v>
      </c>
      <c r="D113">
        <v>937.84885290148998</v>
      </c>
      <c r="E113">
        <v>448.34615384615</v>
      </c>
      <c r="F113">
        <v>140.72476446837001</v>
      </c>
      <c r="G113">
        <v>115.37146702557</v>
      </c>
      <c r="I113" s="9">
        <f t="shared" si="8"/>
        <v>332.97468682058002</v>
      </c>
      <c r="J113" s="9">
        <f t="shared" si="9"/>
        <v>797.12408843311994</v>
      </c>
      <c r="K113" s="9">
        <f t="shared" si="10"/>
        <v>332.97468682058002</v>
      </c>
      <c r="L113" s="10">
        <f t="shared" si="7"/>
        <v>0.41772001580719659</v>
      </c>
      <c r="M113" s="10">
        <f t="shared" si="11"/>
        <v>0.42236968297099153</v>
      </c>
      <c r="P113" s="8">
        <f t="shared" si="12"/>
        <v>68.673532935277564</v>
      </c>
      <c r="X113" s="8">
        <v>-13</v>
      </c>
    </row>
    <row r="114" spans="1:24" x14ac:dyDescent="0.2">
      <c r="A114" s="8">
        <v>56</v>
      </c>
      <c r="B114" s="8">
        <v>112</v>
      </c>
      <c r="D114">
        <v>920.33265856950004</v>
      </c>
      <c r="E114">
        <v>437.52564102564003</v>
      </c>
      <c r="F114">
        <v>141</v>
      </c>
      <c r="G114">
        <v>115.58613728128999</v>
      </c>
      <c r="I114" s="9">
        <f t="shared" si="8"/>
        <v>321.93950374435002</v>
      </c>
      <c r="J114" s="9">
        <f t="shared" si="9"/>
        <v>779.33265856950004</v>
      </c>
      <c r="K114" s="9">
        <f t="shared" si="10"/>
        <v>321.93950374435002</v>
      </c>
      <c r="L114" s="10">
        <f t="shared" si="7"/>
        <v>0.41309638471366567</v>
      </c>
      <c r="M114" s="10">
        <f t="shared" si="11"/>
        <v>0.41778794077082815</v>
      </c>
      <c r="P114" s="8">
        <f t="shared" si="12"/>
        <v>66.843812017658365</v>
      </c>
      <c r="X114" s="8">
        <v>-13</v>
      </c>
    </row>
    <row r="115" spans="1:24" x14ac:dyDescent="0.2">
      <c r="A115" s="8">
        <v>56.5</v>
      </c>
      <c r="B115" s="8">
        <v>113</v>
      </c>
      <c r="D115">
        <v>915.93319838057005</v>
      </c>
      <c r="E115">
        <v>430.32658569501001</v>
      </c>
      <c r="F115">
        <v>140.55720053836001</v>
      </c>
      <c r="G115">
        <v>115.2530282638</v>
      </c>
      <c r="I115" s="9">
        <f t="shared" si="8"/>
        <v>315.07355743121002</v>
      </c>
      <c r="J115" s="9">
        <f t="shared" si="9"/>
        <v>775.37599784221004</v>
      </c>
      <c r="K115" s="9">
        <f t="shared" si="10"/>
        <v>315.07355743121002</v>
      </c>
      <c r="L115" s="10">
        <f t="shared" si="7"/>
        <v>0.40634938185864228</v>
      </c>
      <c r="M115" s="10">
        <f t="shared" si="11"/>
        <v>0.4110828268091723</v>
      </c>
      <c r="P115" s="8">
        <f t="shared" si="12"/>
        <v>64.166121581425458</v>
      </c>
      <c r="X115" s="8">
        <v>-13</v>
      </c>
    </row>
    <row r="116" spans="1:24" x14ac:dyDescent="0.2">
      <c r="A116" s="8">
        <v>57</v>
      </c>
      <c r="B116" s="8">
        <v>114</v>
      </c>
      <c r="D116">
        <v>924.89068825910999</v>
      </c>
      <c r="E116">
        <v>427.21457489878998</v>
      </c>
      <c r="F116">
        <v>140.13930013459</v>
      </c>
      <c r="G116">
        <v>115.24360699864999</v>
      </c>
      <c r="I116" s="9">
        <f t="shared" si="8"/>
        <v>311.97096790013995</v>
      </c>
      <c r="J116" s="9">
        <f t="shared" si="9"/>
        <v>784.75138812451996</v>
      </c>
      <c r="K116" s="9">
        <f t="shared" si="10"/>
        <v>311.97096790013995</v>
      </c>
      <c r="L116" s="10">
        <f t="shared" si="7"/>
        <v>0.39754114821729775</v>
      </c>
      <c r="M116" s="10">
        <f t="shared" si="11"/>
        <v>0.40231648206119525</v>
      </c>
      <c r="P116" s="8">
        <f t="shared" si="12"/>
        <v>60.665277654444424</v>
      </c>
      <c r="X116" s="8">
        <v>-13</v>
      </c>
    </row>
    <row r="117" spans="1:24" x14ac:dyDescent="0.2">
      <c r="A117" s="8">
        <v>57.5</v>
      </c>
      <c r="B117" s="8">
        <v>115</v>
      </c>
      <c r="D117">
        <v>904.93387314439997</v>
      </c>
      <c r="E117">
        <v>415.97233468285998</v>
      </c>
      <c r="F117">
        <v>140.40578734859</v>
      </c>
      <c r="G117">
        <v>115.32839838493</v>
      </c>
      <c r="I117" s="9">
        <f t="shared" si="8"/>
        <v>300.64393629793</v>
      </c>
      <c r="J117" s="9">
        <f t="shared" si="9"/>
        <v>764.52808579580994</v>
      </c>
      <c r="K117" s="9">
        <f t="shared" si="10"/>
        <v>300.64393629793</v>
      </c>
      <c r="L117" s="10">
        <f t="shared" si="7"/>
        <v>0.39324119268291463</v>
      </c>
      <c r="M117" s="10">
        <f t="shared" si="11"/>
        <v>0.39805841542017967</v>
      </c>
      <c r="P117" s="8">
        <f t="shared" si="12"/>
        <v>58.964816724668658</v>
      </c>
      <c r="X117" s="8">
        <v>-13</v>
      </c>
    </row>
    <row r="118" spans="1:24" x14ac:dyDescent="0.2">
      <c r="A118" s="8">
        <v>58</v>
      </c>
      <c r="B118" s="8">
        <v>116</v>
      </c>
      <c r="D118">
        <v>896.66194331984002</v>
      </c>
      <c r="E118">
        <v>408.60863697705997</v>
      </c>
      <c r="F118">
        <v>140.19650067295001</v>
      </c>
      <c r="G118">
        <v>115.17362045759999</v>
      </c>
      <c r="I118" s="9">
        <f t="shared" si="8"/>
        <v>293.43501651945996</v>
      </c>
      <c r="J118" s="9">
        <f t="shared" si="9"/>
        <v>756.46544264688998</v>
      </c>
      <c r="K118" s="9">
        <f t="shared" si="10"/>
        <v>293.43501651945996</v>
      </c>
      <c r="L118" s="10">
        <f t="shared" si="7"/>
        <v>0.38790273815116272</v>
      </c>
      <c r="M118" s="10">
        <f t="shared" si="11"/>
        <v>0.39276184978179529</v>
      </c>
      <c r="P118" s="8">
        <f t="shared" si="12"/>
        <v>56.849630728444481</v>
      </c>
      <c r="X118" s="8">
        <v>-13</v>
      </c>
    </row>
    <row r="119" spans="1:24" x14ac:dyDescent="0.2">
      <c r="A119" s="8">
        <v>58.5</v>
      </c>
      <c r="B119" s="8">
        <v>117</v>
      </c>
      <c r="D119">
        <v>915.53256445047998</v>
      </c>
      <c r="E119">
        <v>409.56309362280001</v>
      </c>
      <c r="F119">
        <v>140.67833109018</v>
      </c>
      <c r="G119">
        <v>115.12516823688</v>
      </c>
      <c r="I119" s="9">
        <f t="shared" si="8"/>
        <v>294.43792538592004</v>
      </c>
      <c r="J119" s="9">
        <f t="shared" si="9"/>
        <v>774.85423336029999</v>
      </c>
      <c r="K119" s="9">
        <f t="shared" si="10"/>
        <v>294.43792538592004</v>
      </c>
      <c r="L119" s="10">
        <f t="shared" si="7"/>
        <v>0.3799913747764338</v>
      </c>
      <c r="M119" s="10">
        <f t="shared" si="11"/>
        <v>0.38489237530043385</v>
      </c>
      <c r="P119" s="8">
        <f t="shared" si="12"/>
        <v>53.706952367208004</v>
      </c>
      <c r="X119" s="8">
        <v>-13</v>
      </c>
    </row>
    <row r="120" spans="1:24" x14ac:dyDescent="0.2">
      <c r="A120" s="8">
        <v>59</v>
      </c>
      <c r="B120" s="8">
        <v>118</v>
      </c>
      <c r="D120">
        <v>920.25033921302997</v>
      </c>
      <c r="E120">
        <v>406.87856173677</v>
      </c>
      <c r="F120">
        <v>140.47106325707</v>
      </c>
      <c r="G120">
        <v>115.18102288022</v>
      </c>
      <c r="I120" s="9">
        <f t="shared" si="8"/>
        <v>291.69753885655001</v>
      </c>
      <c r="J120" s="9">
        <f t="shared" si="9"/>
        <v>779.77927595595997</v>
      </c>
      <c r="K120" s="9">
        <f t="shared" si="10"/>
        <v>291.69753885655001</v>
      </c>
      <c r="L120" s="10">
        <f t="shared" si="7"/>
        <v>0.37407705981791745</v>
      </c>
      <c r="M120" s="10">
        <f t="shared" si="11"/>
        <v>0.37901994923528504</v>
      </c>
      <c r="P120" s="8">
        <f t="shared" si="12"/>
        <v>51.361796236819046</v>
      </c>
      <c r="X120" s="8">
        <v>-13</v>
      </c>
    </row>
    <row r="121" spans="1:24" x14ac:dyDescent="0.2">
      <c r="A121" s="8">
        <v>59.5</v>
      </c>
      <c r="B121" s="8">
        <v>119</v>
      </c>
      <c r="D121">
        <v>920.24423337856001</v>
      </c>
      <c r="E121">
        <v>404.92198100407001</v>
      </c>
      <c r="F121">
        <v>140.57402422611</v>
      </c>
      <c r="G121">
        <v>115.07200538358001</v>
      </c>
      <c r="I121" s="9">
        <f t="shared" si="8"/>
        <v>289.84997562049</v>
      </c>
      <c r="J121" s="9">
        <f t="shared" si="9"/>
        <v>779.67020915245007</v>
      </c>
      <c r="K121" s="9">
        <f t="shared" si="10"/>
        <v>289.84997562049</v>
      </c>
      <c r="L121" s="10">
        <f t="shared" si="7"/>
        <v>0.37175971611840208</v>
      </c>
      <c r="M121" s="10">
        <f t="shared" si="11"/>
        <v>0.37674449442913721</v>
      </c>
      <c r="P121" s="8">
        <f t="shared" si="12"/>
        <v>50.453092282293333</v>
      </c>
      <c r="X121" s="8">
        <v>-13</v>
      </c>
    </row>
    <row r="122" spans="1:24" x14ac:dyDescent="0.2">
      <c r="A122" s="8">
        <v>60</v>
      </c>
      <c r="B122" s="8">
        <v>120</v>
      </c>
      <c r="D122">
        <v>925.42944369064003</v>
      </c>
      <c r="E122">
        <v>404.37924016282</v>
      </c>
      <c r="F122">
        <v>140.58142664872</v>
      </c>
      <c r="G122">
        <v>115.37550471063</v>
      </c>
      <c r="I122" s="9">
        <f t="shared" si="8"/>
        <v>289.00373545218997</v>
      </c>
      <c r="J122" s="9">
        <f t="shared" si="9"/>
        <v>784.84801704192</v>
      </c>
      <c r="K122" s="9">
        <f t="shared" si="10"/>
        <v>289.00373545218997</v>
      </c>
      <c r="L122" s="10">
        <f t="shared" si="7"/>
        <v>0.36822891716212847</v>
      </c>
      <c r="M122" s="10">
        <f t="shared" si="11"/>
        <v>0.37325558436623113</v>
      </c>
      <c r="P122" s="8">
        <f t="shared" si="12"/>
        <v>49.059794396270043</v>
      </c>
      <c r="X122" s="8">
        <v>-13</v>
      </c>
    </row>
    <row r="123" spans="1:24" x14ac:dyDescent="0.2">
      <c r="A123" s="8">
        <v>60.5</v>
      </c>
      <c r="B123" s="8">
        <v>121</v>
      </c>
      <c r="D123">
        <v>902.30868385346002</v>
      </c>
      <c r="E123">
        <v>391.42265943012001</v>
      </c>
      <c r="F123">
        <v>140.25975773889999</v>
      </c>
      <c r="G123">
        <v>115.23283983848999</v>
      </c>
      <c r="I123" s="9">
        <f t="shared" si="8"/>
        <v>276.18981959163</v>
      </c>
      <c r="J123" s="9">
        <f t="shared" si="9"/>
        <v>762.04892611456</v>
      </c>
      <c r="K123" s="9">
        <f t="shared" si="10"/>
        <v>276.18981959163</v>
      </c>
      <c r="L123" s="10">
        <f t="shared" si="7"/>
        <v>0.36243056072506025</v>
      </c>
      <c r="M123" s="10">
        <f t="shared" si="11"/>
        <v>0.36749911682253039</v>
      </c>
      <c r="P123" s="8">
        <f t="shared" si="12"/>
        <v>46.76094635634113</v>
      </c>
      <c r="X123" s="8">
        <v>-13</v>
      </c>
    </row>
    <row r="124" spans="1:24" x14ac:dyDescent="0.2">
      <c r="A124" s="8">
        <v>61</v>
      </c>
      <c r="B124" s="8">
        <v>122</v>
      </c>
      <c r="D124">
        <v>889.81818181818005</v>
      </c>
      <c r="E124">
        <v>379.89145183174998</v>
      </c>
      <c r="F124">
        <v>139.81224764468001</v>
      </c>
      <c r="G124">
        <v>115.03768506057</v>
      </c>
      <c r="I124" s="9">
        <f t="shared" si="8"/>
        <v>264.85376677117995</v>
      </c>
      <c r="J124" s="9">
        <f t="shared" si="9"/>
        <v>750.00593417350001</v>
      </c>
      <c r="K124" s="9">
        <f t="shared" si="10"/>
        <v>264.85376677117995</v>
      </c>
      <c r="L124" s="10">
        <f t="shared" si="7"/>
        <v>0.35313556160465115</v>
      </c>
      <c r="M124" s="10">
        <f t="shared" si="11"/>
        <v>0.35824600659548883</v>
      </c>
      <c r="P124" s="8">
        <f t="shared" si="12"/>
        <v>43.065712404756013</v>
      </c>
      <c r="X124" s="8">
        <v>-13</v>
      </c>
    </row>
    <row r="125" spans="1:24" x14ac:dyDescent="0.2">
      <c r="A125" s="8">
        <v>61.5</v>
      </c>
      <c r="B125" s="8">
        <v>123</v>
      </c>
      <c r="D125">
        <v>876.05088195386998</v>
      </c>
      <c r="E125">
        <v>371.78900949797003</v>
      </c>
      <c r="F125">
        <v>140.45491251682</v>
      </c>
      <c r="G125">
        <v>115.41386271871001</v>
      </c>
      <c r="I125" s="9">
        <f t="shared" si="8"/>
        <v>256.37514677926004</v>
      </c>
      <c r="J125" s="9">
        <f t="shared" si="9"/>
        <v>735.59596943704992</v>
      </c>
      <c r="K125" s="9">
        <f t="shared" si="10"/>
        <v>256.37514677926004</v>
      </c>
      <c r="L125" s="10">
        <f t="shared" si="7"/>
        <v>0.34852712281099557</v>
      </c>
      <c r="M125" s="10">
        <f t="shared" si="11"/>
        <v>0.35367945669520079</v>
      </c>
      <c r="P125" s="8">
        <f t="shared" si="12"/>
        <v>41.242058539287349</v>
      </c>
      <c r="X125" s="8">
        <v>-13</v>
      </c>
    </row>
    <row r="126" spans="1:24" x14ac:dyDescent="0.2">
      <c r="A126" s="8">
        <v>62</v>
      </c>
      <c r="B126" s="8">
        <v>124</v>
      </c>
      <c r="D126">
        <v>888.46811397557997</v>
      </c>
      <c r="E126">
        <v>371.70013568521</v>
      </c>
      <c r="F126">
        <v>139.9333781965</v>
      </c>
      <c r="G126">
        <v>115.08411843876</v>
      </c>
      <c r="I126" s="9">
        <f t="shared" si="8"/>
        <v>256.61601724644999</v>
      </c>
      <c r="J126" s="9">
        <f t="shared" si="9"/>
        <v>748.53473577907994</v>
      </c>
      <c r="K126" s="9">
        <f t="shared" si="10"/>
        <v>256.61601724644999</v>
      </c>
      <c r="L126" s="10">
        <f t="shared" si="7"/>
        <v>0.34282446088405277</v>
      </c>
      <c r="M126" s="10">
        <f t="shared" si="11"/>
        <v>0.34801868366162553</v>
      </c>
      <c r="P126" s="8">
        <f t="shared" si="12"/>
        <v>38.981426147299437</v>
      </c>
      <c r="X126" s="8">
        <v>-13</v>
      </c>
    </row>
    <row r="127" spans="1:24" x14ac:dyDescent="0.2">
      <c r="A127" s="8">
        <v>62.5</v>
      </c>
      <c r="B127" s="8">
        <v>125</v>
      </c>
      <c r="D127">
        <v>883.39891451832</v>
      </c>
      <c r="E127">
        <v>367.75373134327998</v>
      </c>
      <c r="F127">
        <v>140.39771197847</v>
      </c>
      <c r="G127">
        <v>115.23485868102</v>
      </c>
      <c r="I127" s="9">
        <f t="shared" si="8"/>
        <v>252.51887266225998</v>
      </c>
      <c r="J127" s="9">
        <f t="shared" si="9"/>
        <v>743.00120253985006</v>
      </c>
      <c r="K127" s="9">
        <f t="shared" si="10"/>
        <v>252.51887266225998</v>
      </c>
      <c r="L127" s="10">
        <f t="shared" si="7"/>
        <v>0.33986334315349431</v>
      </c>
      <c r="M127" s="10">
        <f t="shared" si="11"/>
        <v>0.34509945482443455</v>
      </c>
      <c r="P127" s="8">
        <f t="shared" si="12"/>
        <v>37.815630728575314</v>
      </c>
      <c r="X127" s="8">
        <v>-13</v>
      </c>
    </row>
    <row r="128" spans="1:24" x14ac:dyDescent="0.2">
      <c r="A128" s="8">
        <v>63</v>
      </c>
      <c r="B128" s="8">
        <v>126</v>
      </c>
      <c r="D128">
        <v>883.91316146539998</v>
      </c>
      <c r="E128">
        <v>367</v>
      </c>
      <c r="F128">
        <v>139.77860026918</v>
      </c>
      <c r="G128">
        <v>114.97106325707</v>
      </c>
      <c r="I128" s="9">
        <f t="shared" si="8"/>
        <v>252.02893674293</v>
      </c>
      <c r="J128" s="9">
        <f t="shared" si="9"/>
        <v>744.13456119621992</v>
      </c>
      <c r="K128" s="9">
        <f t="shared" si="10"/>
        <v>252.02893674293</v>
      </c>
      <c r="L128" s="10">
        <f t="shared" si="7"/>
        <v>0.33868731528580731</v>
      </c>
      <c r="M128" s="10">
        <f t="shared" si="11"/>
        <v>0.34396531585011508</v>
      </c>
      <c r="P128" s="8">
        <f t="shared" si="12"/>
        <v>37.362711792035071</v>
      </c>
      <c r="X128" s="8">
        <v>-13</v>
      </c>
    </row>
    <row r="129" spans="1:24" x14ac:dyDescent="0.2">
      <c r="A129" s="8">
        <v>63.5</v>
      </c>
      <c r="B129" s="8">
        <v>127</v>
      </c>
      <c r="D129">
        <v>880.11194029851004</v>
      </c>
      <c r="E129">
        <v>361.78358208955001</v>
      </c>
      <c r="F129">
        <v>140.01816958277001</v>
      </c>
      <c r="G129">
        <v>115.16419919246</v>
      </c>
      <c r="I129" s="9">
        <f t="shared" si="8"/>
        <v>246.61938289709002</v>
      </c>
      <c r="J129" s="9">
        <f t="shared" si="9"/>
        <v>740.09377071573999</v>
      </c>
      <c r="K129" s="9">
        <f t="shared" si="10"/>
        <v>246.61938289709002</v>
      </c>
      <c r="L129" s="10">
        <f t="shared" si="7"/>
        <v>0.33322721073383171</v>
      </c>
      <c r="M129" s="10">
        <f t="shared" si="11"/>
        <v>0.33854710019150702</v>
      </c>
      <c r="P129" s="8">
        <f t="shared" si="12"/>
        <v>35.198944802619245</v>
      </c>
      <c r="X129" s="8">
        <v>-13</v>
      </c>
    </row>
    <row r="130" spans="1:24" x14ac:dyDescent="0.2">
      <c r="A130" s="8">
        <v>64</v>
      </c>
      <c r="B130" s="8">
        <v>128</v>
      </c>
      <c r="D130">
        <v>877.46743554953002</v>
      </c>
      <c r="E130">
        <v>358.06919945726003</v>
      </c>
      <c r="F130">
        <v>140.46769851952001</v>
      </c>
      <c r="G130">
        <v>114.94145356662</v>
      </c>
      <c r="I130" s="9">
        <f t="shared" si="8"/>
        <v>243.12774589064003</v>
      </c>
      <c r="J130" s="9">
        <f t="shared" si="9"/>
        <v>736.99973703001001</v>
      </c>
      <c r="K130" s="9">
        <f t="shared" si="10"/>
        <v>243.12774589064003</v>
      </c>
      <c r="L130" s="10">
        <f t="shared" ref="L130:L193" si="14">K130/J130</f>
        <v>0.32988851104670081</v>
      </c>
      <c r="M130" s="10">
        <f t="shared" si="11"/>
        <v>0.33525028939774365</v>
      </c>
      <c r="P130" s="8">
        <f t="shared" si="12"/>
        <v>33.882361850709273</v>
      </c>
      <c r="X130" s="8">
        <v>-13</v>
      </c>
    </row>
    <row r="131" spans="1:24" x14ac:dyDescent="0.2">
      <c r="A131" s="8">
        <v>64.5</v>
      </c>
      <c r="B131" s="8">
        <v>129</v>
      </c>
      <c r="D131">
        <v>892.30393487109995</v>
      </c>
      <c r="E131">
        <v>360.90773405699002</v>
      </c>
      <c r="F131">
        <v>140.18506056528</v>
      </c>
      <c r="G131">
        <v>115.01144010767</v>
      </c>
      <c r="I131" s="9">
        <f t="shared" ref="I131:I194" si="15">E131-G131</f>
        <v>245.89629394932001</v>
      </c>
      <c r="J131" s="9">
        <f t="shared" ref="J131:J194" si="16">D131-F131</f>
        <v>752.11887430581999</v>
      </c>
      <c r="K131" s="9">
        <f t="shared" ref="K131:K194" si="17">I131*1</f>
        <v>245.89629394932001</v>
      </c>
      <c r="L131" s="10">
        <f t="shared" si="14"/>
        <v>0.32693807102803246</v>
      </c>
      <c r="M131" s="10">
        <f t="shared" ref="M131:M181" si="18">L131+ABS($N$2)*A131</f>
        <v>0.33234173827244279</v>
      </c>
      <c r="P131" s="8">
        <f t="shared" ref="P131:P194" si="19">(M131-$O$2)/$O$2*100</f>
        <v>32.72083058128559</v>
      </c>
      <c r="X131" s="8">
        <v>-13</v>
      </c>
    </row>
    <row r="132" spans="1:24" x14ac:dyDescent="0.2">
      <c r="A132" s="8">
        <v>65</v>
      </c>
      <c r="B132" s="8">
        <v>130</v>
      </c>
      <c r="D132">
        <v>897.04274084124995</v>
      </c>
      <c r="E132">
        <v>362.16010854817</v>
      </c>
      <c r="F132">
        <v>139.78263795423999</v>
      </c>
      <c r="G132">
        <v>114.71938088829</v>
      </c>
      <c r="I132" s="9">
        <f t="shared" si="15"/>
        <v>247.44072765988</v>
      </c>
      <c r="J132" s="9">
        <f t="shared" si="16"/>
        <v>757.26010288700991</v>
      </c>
      <c r="K132" s="9">
        <f t="shared" si="17"/>
        <v>247.44072765988</v>
      </c>
      <c r="L132" s="10">
        <f t="shared" si="14"/>
        <v>0.32675790883017164</v>
      </c>
      <c r="M132" s="10">
        <f t="shared" si="18"/>
        <v>0.3322034649679495</v>
      </c>
      <c r="P132" s="8">
        <f t="shared" si="19"/>
        <v>32.665611071647824</v>
      </c>
      <c r="X132" s="8">
        <v>-13</v>
      </c>
    </row>
    <row r="133" spans="1:24" x14ac:dyDescent="0.2">
      <c r="A133" s="8">
        <v>65.5</v>
      </c>
      <c r="B133" s="8">
        <v>131</v>
      </c>
      <c r="D133">
        <v>910.61668928086999</v>
      </c>
      <c r="E133">
        <v>363.79308005426998</v>
      </c>
      <c r="F133">
        <v>140.13257065949</v>
      </c>
      <c r="G133">
        <v>115.20188425303</v>
      </c>
      <c r="I133" s="9">
        <f t="shared" si="15"/>
        <v>248.59119580123996</v>
      </c>
      <c r="J133" s="9">
        <f t="shared" si="16"/>
        <v>770.48411862138005</v>
      </c>
      <c r="K133" s="9">
        <f t="shared" si="17"/>
        <v>248.59119580123996</v>
      </c>
      <c r="L133" s="10">
        <f t="shared" si="14"/>
        <v>0.32264285504812462</v>
      </c>
      <c r="M133" s="10">
        <f t="shared" si="18"/>
        <v>0.32813030007927002</v>
      </c>
      <c r="P133" s="8">
        <f t="shared" si="19"/>
        <v>31.038990744239808</v>
      </c>
      <c r="X133" s="8">
        <v>-13</v>
      </c>
    </row>
    <row r="134" spans="1:24" x14ac:dyDescent="0.2">
      <c r="A134" s="8">
        <v>66</v>
      </c>
      <c r="B134" s="8">
        <v>132</v>
      </c>
      <c r="D134">
        <v>907.03663500677999</v>
      </c>
      <c r="E134">
        <v>363.77476255087998</v>
      </c>
      <c r="F134">
        <v>140.39569313594001</v>
      </c>
      <c r="G134">
        <v>114.93674293405</v>
      </c>
      <c r="I134" s="9">
        <f t="shared" si="15"/>
        <v>248.83801961682997</v>
      </c>
      <c r="J134" s="9">
        <f t="shared" si="16"/>
        <v>766.64094187083992</v>
      </c>
      <c r="K134" s="9">
        <f t="shared" si="17"/>
        <v>248.83801961682997</v>
      </c>
      <c r="L134" s="10">
        <f t="shared" si="14"/>
        <v>0.32458222099329653</v>
      </c>
      <c r="M134" s="10">
        <f t="shared" si="18"/>
        <v>0.33011155491780947</v>
      </c>
      <c r="P134" s="8">
        <f t="shared" si="19"/>
        <v>31.830205802363459</v>
      </c>
      <c r="X134" s="8">
        <v>-13</v>
      </c>
    </row>
    <row r="135" spans="1:24" x14ac:dyDescent="0.2">
      <c r="A135" s="8">
        <v>66.5</v>
      </c>
      <c r="B135" s="8">
        <v>133</v>
      </c>
      <c r="D135">
        <v>874.97693351425005</v>
      </c>
      <c r="E135">
        <v>351.79308005426998</v>
      </c>
      <c r="F135">
        <v>139.77860026918</v>
      </c>
      <c r="G135">
        <v>114.90444145357</v>
      </c>
      <c r="I135" s="9">
        <f t="shared" si="15"/>
        <v>236.88863860069998</v>
      </c>
      <c r="J135" s="9">
        <f t="shared" si="16"/>
        <v>735.19833324506999</v>
      </c>
      <c r="K135" s="9">
        <f t="shared" si="17"/>
        <v>236.88863860069998</v>
      </c>
      <c r="L135" s="10">
        <f t="shared" si="14"/>
        <v>0.32221052182627274</v>
      </c>
      <c r="M135" s="10">
        <f t="shared" si="18"/>
        <v>0.32778174464415316</v>
      </c>
      <c r="P135" s="8">
        <f t="shared" si="19"/>
        <v>30.899794966144643</v>
      </c>
      <c r="X135" s="8">
        <v>-13</v>
      </c>
    </row>
    <row r="136" spans="1:24" x14ac:dyDescent="0.2">
      <c r="A136" s="8">
        <v>67</v>
      </c>
      <c r="B136" s="8">
        <v>134</v>
      </c>
      <c r="D136">
        <v>871.65875169607</v>
      </c>
      <c r="E136">
        <v>348.80189959294</v>
      </c>
      <c r="F136">
        <v>139.74158815612</v>
      </c>
      <c r="G136">
        <v>114.81763122476001</v>
      </c>
      <c r="I136" s="9">
        <f t="shared" si="15"/>
        <v>233.98426836817998</v>
      </c>
      <c r="J136" s="9">
        <f t="shared" si="16"/>
        <v>731.91716353995002</v>
      </c>
      <c r="K136" s="9">
        <f t="shared" si="17"/>
        <v>233.98426836817998</v>
      </c>
      <c r="L136" s="10">
        <f t="shared" si="14"/>
        <v>0.31968681706616175</v>
      </c>
      <c r="M136" s="10">
        <f t="shared" si="18"/>
        <v>0.32529992877740971</v>
      </c>
      <c r="P136" s="8">
        <f t="shared" si="19"/>
        <v>29.908680624334284</v>
      </c>
      <c r="X136" s="8">
        <v>-13</v>
      </c>
    </row>
    <row r="137" spans="1:24" x14ac:dyDescent="0.2">
      <c r="A137" s="8">
        <v>67.5</v>
      </c>
      <c r="B137" s="8">
        <v>135</v>
      </c>
      <c r="D137">
        <v>891.75712347353999</v>
      </c>
      <c r="E137">
        <v>353.18928086838997</v>
      </c>
      <c r="F137">
        <v>140.32099596232001</v>
      </c>
      <c r="G137">
        <v>114.76043068641</v>
      </c>
      <c r="I137" s="9">
        <f t="shared" si="15"/>
        <v>238.42885018197995</v>
      </c>
      <c r="J137" s="9">
        <f t="shared" si="16"/>
        <v>751.43612751121998</v>
      </c>
      <c r="K137" s="9">
        <f t="shared" si="17"/>
        <v>238.42885018197995</v>
      </c>
      <c r="L137" s="10">
        <f t="shared" si="14"/>
        <v>0.31729756056800701</v>
      </c>
      <c r="M137" s="10">
        <f t="shared" si="18"/>
        <v>0.3229525611726225</v>
      </c>
      <c r="P137" s="8">
        <f t="shared" si="19"/>
        <v>28.97125825961292</v>
      </c>
      <c r="X137" s="8">
        <v>-13</v>
      </c>
    </row>
    <row r="138" spans="1:24" x14ac:dyDescent="0.2">
      <c r="A138" s="8">
        <v>68</v>
      </c>
      <c r="B138" s="8">
        <v>136</v>
      </c>
      <c r="D138">
        <v>881.49457259158999</v>
      </c>
      <c r="E138">
        <v>348.91112618724998</v>
      </c>
      <c r="F138">
        <v>140.10363391656</v>
      </c>
      <c r="G138">
        <v>115.09555854643</v>
      </c>
      <c r="I138" s="9">
        <f t="shared" si="15"/>
        <v>233.81556764081998</v>
      </c>
      <c r="J138" s="9">
        <f t="shared" si="16"/>
        <v>741.39093867502993</v>
      </c>
      <c r="K138" s="9">
        <f t="shared" si="17"/>
        <v>233.81556764081998</v>
      </c>
      <c r="L138" s="10">
        <f t="shared" si="14"/>
        <v>0.31537419119079246</v>
      </c>
      <c r="M138" s="10">
        <f t="shared" si="18"/>
        <v>0.32107108068877549</v>
      </c>
      <c r="P138" s="8">
        <f t="shared" si="19"/>
        <v>28.219888137290372</v>
      </c>
      <c r="X138" s="8">
        <v>-13</v>
      </c>
    </row>
    <row r="139" spans="1:24" x14ac:dyDescent="0.2">
      <c r="A139" s="8">
        <v>68.5</v>
      </c>
      <c r="B139" s="8">
        <v>137</v>
      </c>
      <c r="D139">
        <v>872.26662143826002</v>
      </c>
      <c r="E139">
        <v>344.15061058344997</v>
      </c>
      <c r="F139">
        <v>139.86944818303999</v>
      </c>
      <c r="G139">
        <v>114.97375504711</v>
      </c>
      <c r="I139" s="9">
        <f t="shared" si="15"/>
        <v>229.17685553633999</v>
      </c>
      <c r="J139" s="9">
        <f t="shared" si="16"/>
        <v>732.39717325521997</v>
      </c>
      <c r="K139" s="9">
        <f t="shared" si="17"/>
        <v>229.17685553633999</v>
      </c>
      <c r="L139" s="10">
        <f t="shared" si="14"/>
        <v>0.31291335344419502</v>
      </c>
      <c r="M139" s="10">
        <f t="shared" si="18"/>
        <v>0.31865213183554553</v>
      </c>
      <c r="P139" s="8">
        <f t="shared" si="19"/>
        <v>27.253879767101409</v>
      </c>
      <c r="X139" s="8">
        <v>-13</v>
      </c>
    </row>
    <row r="140" spans="1:24" x14ac:dyDescent="0.2">
      <c r="A140" s="8">
        <v>69</v>
      </c>
      <c r="B140" s="8">
        <v>138</v>
      </c>
      <c r="D140">
        <v>865.70081411126</v>
      </c>
      <c r="E140">
        <v>337.9986431479</v>
      </c>
      <c r="F140">
        <v>139.83647375505001</v>
      </c>
      <c r="G140">
        <v>114.88694481829999</v>
      </c>
      <c r="I140" s="9">
        <f t="shared" si="15"/>
        <v>223.11169832960002</v>
      </c>
      <c r="J140" s="9">
        <f t="shared" si="16"/>
        <v>725.86434035621005</v>
      </c>
      <c r="K140" s="9">
        <f t="shared" si="17"/>
        <v>223.11169832960002</v>
      </c>
      <c r="L140" s="10">
        <f t="shared" si="14"/>
        <v>0.30737382445335498</v>
      </c>
      <c r="M140" s="10">
        <f t="shared" si="18"/>
        <v>0.31315449173807303</v>
      </c>
      <c r="P140" s="8">
        <f t="shared" si="19"/>
        <v>25.058394590408419</v>
      </c>
      <c r="X140" s="8">
        <v>-13</v>
      </c>
    </row>
    <row r="141" spans="1:24" x14ac:dyDescent="0.2">
      <c r="A141" s="8">
        <v>69.5</v>
      </c>
      <c r="B141" s="8">
        <v>139</v>
      </c>
      <c r="D141">
        <v>854.44165535956995</v>
      </c>
      <c r="E141">
        <v>331.90230664858001</v>
      </c>
      <c r="F141">
        <v>139.74427994615999</v>
      </c>
      <c r="G141">
        <v>114.88223418573</v>
      </c>
      <c r="I141" s="9">
        <f t="shared" si="15"/>
        <v>217.02007246285001</v>
      </c>
      <c r="J141" s="9">
        <f t="shared" si="16"/>
        <v>714.69737541340999</v>
      </c>
      <c r="K141" s="9">
        <f t="shared" si="17"/>
        <v>217.02007246285001</v>
      </c>
      <c r="L141" s="10">
        <f t="shared" si="14"/>
        <v>0.30365309840030796</v>
      </c>
      <c r="M141" s="10">
        <f t="shared" si="18"/>
        <v>0.30947565457839354</v>
      </c>
      <c r="P141" s="8">
        <f t="shared" si="19"/>
        <v>23.589249228336261</v>
      </c>
      <c r="X141" s="8">
        <v>-13</v>
      </c>
    </row>
    <row r="142" spans="1:24" x14ac:dyDescent="0.2">
      <c r="A142" s="8">
        <v>70</v>
      </c>
      <c r="B142" s="8">
        <v>140</v>
      </c>
      <c r="D142">
        <v>859.41723202170999</v>
      </c>
      <c r="E142">
        <v>333.46675712347002</v>
      </c>
      <c r="F142">
        <v>139.95693135934999</v>
      </c>
      <c r="G142">
        <v>114.74831763122999</v>
      </c>
      <c r="I142" s="9">
        <f t="shared" si="15"/>
        <v>218.71843949224001</v>
      </c>
      <c r="J142" s="9">
        <f t="shared" si="16"/>
        <v>719.46030066235994</v>
      </c>
      <c r="K142" s="9">
        <f t="shared" si="17"/>
        <v>218.71843949224001</v>
      </c>
      <c r="L142" s="10">
        <f t="shared" si="14"/>
        <v>0.30400348607265792</v>
      </c>
      <c r="M142" s="10">
        <f t="shared" si="18"/>
        <v>0.30986793114411104</v>
      </c>
      <c r="P142" s="8">
        <f t="shared" si="19"/>
        <v>23.745905060643789</v>
      </c>
      <c r="X142" s="8">
        <v>-13</v>
      </c>
    </row>
    <row r="143" spans="1:24" x14ac:dyDescent="0.2">
      <c r="A143" s="8">
        <v>70.5</v>
      </c>
      <c r="B143" s="8">
        <v>141</v>
      </c>
      <c r="D143">
        <v>855.58955223881003</v>
      </c>
      <c r="E143">
        <v>329.97761194029999</v>
      </c>
      <c r="F143">
        <v>140.28532974428001</v>
      </c>
      <c r="G143">
        <v>115.04239569313999</v>
      </c>
      <c r="I143" s="9">
        <f t="shared" si="15"/>
        <v>214.93521624715999</v>
      </c>
      <c r="J143" s="9">
        <f t="shared" si="16"/>
        <v>715.30422249452999</v>
      </c>
      <c r="K143" s="9">
        <f t="shared" si="17"/>
        <v>214.93521624715999</v>
      </c>
      <c r="L143" s="10">
        <f t="shared" si="14"/>
        <v>0.30048084365782368</v>
      </c>
      <c r="M143" s="10">
        <f t="shared" si="18"/>
        <v>0.30638717762264428</v>
      </c>
      <c r="P143" s="8">
        <f t="shared" si="19"/>
        <v>22.355864493307354</v>
      </c>
      <c r="X143" s="8">
        <v>-13</v>
      </c>
    </row>
    <row r="144" spans="1:24" x14ac:dyDescent="0.2">
      <c r="A144" s="8">
        <v>71</v>
      </c>
      <c r="B144" s="8">
        <v>142</v>
      </c>
      <c r="D144">
        <v>896.43351424695004</v>
      </c>
      <c r="E144">
        <v>341.16350067843001</v>
      </c>
      <c r="F144">
        <v>139.49259757739</v>
      </c>
      <c r="G144">
        <v>114.71601615074</v>
      </c>
      <c r="I144" s="9">
        <f t="shared" si="15"/>
        <v>226.44748452768999</v>
      </c>
      <c r="J144" s="9">
        <f t="shared" si="16"/>
        <v>756.94091666956001</v>
      </c>
      <c r="K144" s="9">
        <f t="shared" si="17"/>
        <v>226.44748452768999</v>
      </c>
      <c r="L144" s="10">
        <f t="shared" si="14"/>
        <v>0.29916137381505148</v>
      </c>
      <c r="M144" s="10">
        <f t="shared" si="18"/>
        <v>0.30510959667323961</v>
      </c>
      <c r="P144" s="8">
        <f t="shared" si="19"/>
        <v>21.845661936080511</v>
      </c>
    </row>
    <row r="145" spans="1:16" x14ac:dyDescent="0.2">
      <c r="A145" s="8">
        <v>71.5</v>
      </c>
      <c r="B145" s="8">
        <v>143</v>
      </c>
      <c r="D145">
        <v>911.27204884668004</v>
      </c>
      <c r="E145">
        <v>344.2605156038</v>
      </c>
      <c r="F145">
        <v>139.58613728129001</v>
      </c>
      <c r="G145">
        <v>114.58882907133</v>
      </c>
      <c r="I145" s="9">
        <f t="shared" si="15"/>
        <v>229.67168653247001</v>
      </c>
      <c r="J145" s="9">
        <f t="shared" si="16"/>
        <v>771.68591156539003</v>
      </c>
      <c r="K145" s="9">
        <f t="shared" si="17"/>
        <v>229.67168653247001</v>
      </c>
      <c r="L145" s="10">
        <f t="shared" si="14"/>
        <v>0.29762327274651612</v>
      </c>
      <c r="M145" s="10">
        <f t="shared" si="18"/>
        <v>0.30361338449807179</v>
      </c>
      <c r="P145" s="8">
        <f t="shared" si="19"/>
        <v>21.248148895298023</v>
      </c>
    </row>
    <row r="146" spans="1:16" x14ac:dyDescent="0.2">
      <c r="A146" s="8">
        <v>72</v>
      </c>
      <c r="B146" s="8">
        <v>144</v>
      </c>
      <c r="D146">
        <v>927.29288135593004</v>
      </c>
      <c r="E146">
        <v>347.53152542372999</v>
      </c>
      <c r="F146">
        <v>139.26312247645001</v>
      </c>
      <c r="G146">
        <v>114.72880215343</v>
      </c>
      <c r="I146" s="9">
        <f t="shared" si="15"/>
        <v>232.80272327029999</v>
      </c>
      <c r="J146" s="9">
        <f t="shared" si="16"/>
        <v>788.02975887948003</v>
      </c>
      <c r="K146" s="9">
        <f t="shared" si="17"/>
        <v>232.80272327029999</v>
      </c>
      <c r="L146" s="10">
        <f t="shared" si="14"/>
        <v>0.29542377130697223</v>
      </c>
      <c r="M146" s="10">
        <f t="shared" si="18"/>
        <v>0.30145577195189538</v>
      </c>
      <c r="P146" s="8">
        <f t="shared" si="19"/>
        <v>20.38650530310381</v>
      </c>
    </row>
    <row r="147" spans="1:16" x14ac:dyDescent="0.2">
      <c r="A147" s="8">
        <v>72.5</v>
      </c>
      <c r="B147" s="8">
        <v>145</v>
      </c>
      <c r="D147">
        <v>943.77830508474995</v>
      </c>
      <c r="E147">
        <v>353.34711864407001</v>
      </c>
      <c r="F147">
        <v>139.12584118439</v>
      </c>
      <c r="G147">
        <v>114.6534320323</v>
      </c>
      <c r="I147" s="9">
        <f t="shared" si="15"/>
        <v>238.69368661177</v>
      </c>
      <c r="J147" s="9">
        <f t="shared" si="16"/>
        <v>804.65246390035998</v>
      </c>
      <c r="K147" s="9">
        <f t="shared" si="17"/>
        <v>238.69368661177</v>
      </c>
      <c r="L147" s="10">
        <f t="shared" si="14"/>
        <v>0.29664196323311998</v>
      </c>
      <c r="M147" s="10">
        <f t="shared" si="18"/>
        <v>0.30271585277141067</v>
      </c>
      <c r="P147" s="8">
        <f t="shared" si="19"/>
        <v>20.889719175170999</v>
      </c>
    </row>
    <row r="148" spans="1:16" x14ac:dyDescent="0.2">
      <c r="A148" s="8">
        <v>73</v>
      </c>
      <c r="B148" s="8">
        <v>146</v>
      </c>
      <c r="D148">
        <v>952.51661016949004</v>
      </c>
      <c r="E148">
        <v>356.43661016949</v>
      </c>
      <c r="F148">
        <v>139.26244952894001</v>
      </c>
      <c r="G148">
        <v>114.91790040377001</v>
      </c>
      <c r="I148" s="9">
        <f t="shared" si="15"/>
        <v>241.51870976571999</v>
      </c>
      <c r="J148" s="9">
        <f t="shared" si="16"/>
        <v>813.25416064055003</v>
      </c>
      <c r="K148" s="9">
        <f t="shared" si="17"/>
        <v>241.51870976571999</v>
      </c>
      <c r="L148" s="10">
        <f t="shared" si="14"/>
        <v>0.29697814220279012</v>
      </c>
      <c r="M148" s="10">
        <f t="shared" si="18"/>
        <v>0.30309392063444834</v>
      </c>
      <c r="P148" s="8">
        <f t="shared" si="19"/>
        <v>21.04070075533388</v>
      </c>
    </row>
    <row r="149" spans="1:16" x14ac:dyDescent="0.2">
      <c r="A149" s="8">
        <v>73.5</v>
      </c>
      <c r="B149" s="8">
        <v>147</v>
      </c>
      <c r="D149">
        <v>935.05016949153003</v>
      </c>
      <c r="E149">
        <v>349.45762711864</v>
      </c>
      <c r="F149">
        <v>139.47846567968</v>
      </c>
      <c r="G149">
        <v>114.52691790039999</v>
      </c>
      <c r="I149" s="9">
        <f t="shared" si="15"/>
        <v>234.93070921824</v>
      </c>
      <c r="J149" s="9">
        <f t="shared" si="16"/>
        <v>795.57170381185006</v>
      </c>
      <c r="K149" s="9">
        <f t="shared" si="17"/>
        <v>234.93070921824</v>
      </c>
      <c r="L149" s="10">
        <f t="shared" si="14"/>
        <v>0.29529797011709746</v>
      </c>
      <c r="M149" s="10">
        <f t="shared" si="18"/>
        <v>0.30145563744212323</v>
      </c>
      <c r="P149" s="8">
        <f t="shared" si="19"/>
        <v>20.386451586562597</v>
      </c>
    </row>
    <row r="150" spans="1:16" x14ac:dyDescent="0.2">
      <c r="A150" s="8">
        <v>74</v>
      </c>
      <c r="B150" s="8">
        <v>148</v>
      </c>
      <c r="D150">
        <v>939.57627118643995</v>
      </c>
      <c r="E150">
        <v>349.25084745763002</v>
      </c>
      <c r="F150">
        <v>139.30888290713</v>
      </c>
      <c r="G150">
        <v>114.54643337820001</v>
      </c>
      <c r="I150" s="9">
        <f t="shared" si="15"/>
        <v>234.70441407943002</v>
      </c>
      <c r="J150" s="9">
        <f t="shared" si="16"/>
        <v>800.2673882793099</v>
      </c>
      <c r="K150" s="9">
        <f t="shared" si="17"/>
        <v>234.70441407943002</v>
      </c>
      <c r="L150" s="10">
        <f t="shared" si="14"/>
        <v>0.29328249222310349</v>
      </c>
      <c r="M150" s="10">
        <f t="shared" si="18"/>
        <v>0.29948204844149673</v>
      </c>
      <c r="P150" s="8">
        <f t="shared" si="19"/>
        <v>19.598297884440139</v>
      </c>
    </row>
    <row r="151" spans="1:16" x14ac:dyDescent="0.2">
      <c r="A151" s="8">
        <v>74.5</v>
      </c>
      <c r="B151" s="8">
        <v>149</v>
      </c>
      <c r="D151">
        <v>937.72135593220003</v>
      </c>
      <c r="E151">
        <v>347.83389830508997</v>
      </c>
      <c r="F151">
        <v>139.60026917900001</v>
      </c>
      <c r="G151">
        <v>114.71197846568001</v>
      </c>
      <c r="I151" s="9">
        <f t="shared" si="15"/>
        <v>233.12191983940997</v>
      </c>
      <c r="J151" s="9">
        <f t="shared" si="16"/>
        <v>798.12108675319996</v>
      </c>
      <c r="K151" s="9">
        <f t="shared" si="17"/>
        <v>233.12191983940997</v>
      </c>
      <c r="L151" s="10">
        <f t="shared" si="14"/>
        <v>0.29208841077957559</v>
      </c>
      <c r="M151" s="10">
        <f t="shared" si="18"/>
        <v>0.29832985589133637</v>
      </c>
      <c r="P151" s="8">
        <f t="shared" si="19"/>
        <v>19.138169243837392</v>
      </c>
    </row>
    <row r="152" spans="1:16" x14ac:dyDescent="0.2">
      <c r="A152" s="8">
        <v>75</v>
      </c>
      <c r="B152" s="8">
        <v>150</v>
      </c>
      <c r="D152">
        <v>940.86508474575999</v>
      </c>
      <c r="E152">
        <v>348.0006779661</v>
      </c>
      <c r="F152">
        <v>139.37685060564999</v>
      </c>
      <c r="G152">
        <v>114.54979811574999</v>
      </c>
      <c r="I152" s="9">
        <f t="shared" si="15"/>
        <v>233.45087985035002</v>
      </c>
      <c r="J152" s="9">
        <f t="shared" si="16"/>
        <v>801.48823414010997</v>
      </c>
      <c r="K152" s="9">
        <f t="shared" si="17"/>
        <v>233.45087985035002</v>
      </c>
      <c r="L152" s="10">
        <f t="shared" si="14"/>
        <v>0.29127174911159076</v>
      </c>
      <c r="M152" s="10">
        <f t="shared" si="18"/>
        <v>0.29755508311671908</v>
      </c>
      <c r="P152" s="8">
        <f t="shared" si="19"/>
        <v>18.828763369349613</v>
      </c>
    </row>
    <row r="153" spans="1:16" x14ac:dyDescent="0.2">
      <c r="A153" s="8">
        <v>75.5</v>
      </c>
      <c r="B153" s="8">
        <v>151</v>
      </c>
      <c r="D153">
        <v>948.61288135592997</v>
      </c>
      <c r="E153">
        <v>352.20203389830999</v>
      </c>
      <c r="F153">
        <v>139.79407806191</v>
      </c>
      <c r="G153">
        <v>114.89703903096</v>
      </c>
      <c r="I153" s="9">
        <f t="shared" si="15"/>
        <v>237.30499486734999</v>
      </c>
      <c r="J153" s="9">
        <f t="shared" si="16"/>
        <v>808.81880329401997</v>
      </c>
      <c r="K153" s="9">
        <f t="shared" si="17"/>
        <v>237.30499486734999</v>
      </c>
      <c r="L153" s="10">
        <f t="shared" si="14"/>
        <v>0.29339698075872428</v>
      </c>
      <c r="M153" s="10">
        <f t="shared" si="18"/>
        <v>0.29972220365722013</v>
      </c>
      <c r="P153" s="8">
        <f t="shared" si="19"/>
        <v>19.694203983580501</v>
      </c>
    </row>
    <row r="154" spans="1:16" x14ac:dyDescent="0.2">
      <c r="A154" s="8">
        <v>76</v>
      </c>
      <c r="B154" s="8">
        <v>152</v>
      </c>
      <c r="D154">
        <v>929.34711864406995</v>
      </c>
      <c r="E154">
        <v>345.00677966102</v>
      </c>
      <c r="F154">
        <v>139.27927321669</v>
      </c>
      <c r="G154">
        <v>114.80349932705001</v>
      </c>
      <c r="I154" s="9">
        <f t="shared" si="15"/>
        <v>230.20328033396999</v>
      </c>
      <c r="J154" s="9">
        <f t="shared" si="16"/>
        <v>790.06784542738001</v>
      </c>
      <c r="K154" s="9">
        <f t="shared" si="17"/>
        <v>230.20328033396999</v>
      </c>
      <c r="L154" s="10">
        <f t="shared" si="14"/>
        <v>0.2913715343135419</v>
      </c>
      <c r="M154" s="10">
        <f t="shared" si="18"/>
        <v>0.29773864610540524</v>
      </c>
      <c r="P154" s="8">
        <f t="shared" si="19"/>
        <v>18.9020693358197</v>
      </c>
    </row>
    <row r="155" spans="1:16" x14ac:dyDescent="0.2">
      <c r="A155" s="8">
        <v>76.5</v>
      </c>
      <c r="B155" s="8">
        <v>153</v>
      </c>
      <c r="D155">
        <v>926.73152542372998</v>
      </c>
      <c r="E155">
        <v>339.52677966101999</v>
      </c>
      <c r="F155">
        <v>139.29071332436001</v>
      </c>
      <c r="G155">
        <v>114.7530282638</v>
      </c>
      <c r="I155" s="9">
        <f t="shared" si="15"/>
        <v>224.77375139722</v>
      </c>
      <c r="J155" s="9">
        <f t="shared" si="16"/>
        <v>787.44081209936996</v>
      </c>
      <c r="K155" s="9">
        <f t="shared" si="17"/>
        <v>224.77375139722</v>
      </c>
      <c r="L155" s="10">
        <f t="shared" si="14"/>
        <v>0.28544843998872516</v>
      </c>
      <c r="M155" s="10">
        <f t="shared" si="18"/>
        <v>0.29185744067395603</v>
      </c>
      <c r="P155" s="8">
        <f t="shared" si="19"/>
        <v>16.553407161340637</v>
      </c>
    </row>
    <row r="156" spans="1:16" x14ac:dyDescent="0.2">
      <c r="A156" s="8">
        <v>77</v>
      </c>
      <c r="B156" s="8">
        <v>154</v>
      </c>
      <c r="D156">
        <v>917.17220338982997</v>
      </c>
      <c r="E156">
        <v>336.39525423728998</v>
      </c>
      <c r="F156">
        <v>138.80686406460001</v>
      </c>
      <c r="G156">
        <v>114.28532974428001</v>
      </c>
      <c r="I156" s="9">
        <f t="shared" si="15"/>
        <v>222.10992449300997</v>
      </c>
      <c r="J156" s="9">
        <f t="shared" si="16"/>
        <v>778.36533932523002</v>
      </c>
      <c r="K156" s="9">
        <f t="shared" si="17"/>
        <v>222.10992449300997</v>
      </c>
      <c r="L156" s="10">
        <f t="shared" si="14"/>
        <v>0.28535433590293025</v>
      </c>
      <c r="M156" s="10">
        <f t="shared" si="18"/>
        <v>0.29180522548152865</v>
      </c>
      <c r="P156" s="8">
        <f t="shared" si="19"/>
        <v>16.532554999514844</v>
      </c>
    </row>
    <row r="157" spans="1:16" x14ac:dyDescent="0.2">
      <c r="A157" s="8">
        <v>77.5</v>
      </c>
      <c r="B157" s="8">
        <v>155</v>
      </c>
      <c r="D157">
        <v>901.53220338982999</v>
      </c>
      <c r="E157">
        <v>330.77084745763</v>
      </c>
      <c r="F157">
        <v>139.71534320322999</v>
      </c>
      <c r="G157">
        <v>114.34051144011001</v>
      </c>
      <c r="I157" s="9">
        <f t="shared" si="15"/>
        <v>216.43033601752001</v>
      </c>
      <c r="J157" s="9">
        <f t="shared" si="16"/>
        <v>761.81686018660002</v>
      </c>
      <c r="K157" s="9">
        <f t="shared" si="17"/>
        <v>216.43033601752001</v>
      </c>
      <c r="L157" s="10">
        <f t="shared" si="14"/>
        <v>0.28409759264780171</v>
      </c>
      <c r="M157" s="10">
        <f t="shared" si="18"/>
        <v>0.29059037111976765</v>
      </c>
      <c r="P157" s="8">
        <f t="shared" si="19"/>
        <v>16.047402334771778</v>
      </c>
    </row>
    <row r="158" spans="1:16" x14ac:dyDescent="0.2">
      <c r="A158" s="8">
        <v>78</v>
      </c>
      <c r="B158" s="8">
        <v>156</v>
      </c>
      <c r="D158">
        <v>929.55254237288</v>
      </c>
      <c r="E158">
        <v>336.08881355931999</v>
      </c>
      <c r="F158">
        <v>139.41790040377001</v>
      </c>
      <c r="G158">
        <v>114.70390309555999</v>
      </c>
      <c r="I158" s="9">
        <f t="shared" si="15"/>
        <v>221.38491046375998</v>
      </c>
      <c r="J158" s="9">
        <f t="shared" si="16"/>
        <v>790.13464196911002</v>
      </c>
      <c r="K158" s="9">
        <f t="shared" si="17"/>
        <v>221.38491046375998</v>
      </c>
      <c r="L158" s="10">
        <f t="shared" si="14"/>
        <v>0.28018631092043034</v>
      </c>
      <c r="M158" s="10">
        <f t="shared" si="18"/>
        <v>0.28672097828576376</v>
      </c>
      <c r="P158" s="8">
        <f t="shared" si="19"/>
        <v>14.502158473908056</v>
      </c>
    </row>
    <row r="159" spans="1:16" x14ac:dyDescent="0.2">
      <c r="A159" s="8">
        <v>78.5</v>
      </c>
      <c r="B159" s="8">
        <v>157</v>
      </c>
      <c r="D159">
        <v>921.08406779661004</v>
      </c>
      <c r="E159">
        <v>333.13016949153001</v>
      </c>
      <c r="F159">
        <v>139.12449528937</v>
      </c>
      <c r="G159">
        <v>114.49125168237001</v>
      </c>
      <c r="I159" s="9">
        <f t="shared" si="15"/>
        <v>218.63891780916001</v>
      </c>
      <c r="J159" s="9">
        <f t="shared" si="16"/>
        <v>781.95957250724007</v>
      </c>
      <c r="K159" s="9">
        <f t="shared" si="17"/>
        <v>218.63891780916001</v>
      </c>
      <c r="L159" s="10">
        <f t="shared" si="14"/>
        <v>0.2796038638009456</v>
      </c>
      <c r="M159" s="10">
        <f t="shared" si="18"/>
        <v>0.28618042005964656</v>
      </c>
      <c r="P159" s="8">
        <f t="shared" si="19"/>
        <v>14.286286290291415</v>
      </c>
    </row>
    <row r="160" spans="1:16" x14ac:dyDescent="0.2">
      <c r="A160" s="8">
        <v>79</v>
      </c>
      <c r="B160" s="8">
        <v>158</v>
      </c>
      <c r="D160">
        <v>932.46779661017001</v>
      </c>
      <c r="E160">
        <v>332.79322033898001</v>
      </c>
      <c r="F160">
        <v>138.88829071332</v>
      </c>
      <c r="G160">
        <v>114.5733512786</v>
      </c>
      <c r="I160" s="9">
        <f t="shared" si="15"/>
        <v>218.21986906038001</v>
      </c>
      <c r="J160" s="9">
        <f t="shared" si="16"/>
        <v>793.57950589685004</v>
      </c>
      <c r="K160" s="9">
        <f t="shared" si="17"/>
        <v>218.21986906038001</v>
      </c>
      <c r="L160" s="10">
        <f t="shared" si="14"/>
        <v>0.27498173458217351</v>
      </c>
      <c r="M160" s="10">
        <f t="shared" si="18"/>
        <v>0.28160017973424201</v>
      </c>
      <c r="P160" s="8">
        <f t="shared" si="19"/>
        <v>12.457165147068475</v>
      </c>
    </row>
    <row r="161" spans="1:16" x14ac:dyDescent="0.2">
      <c r="A161" s="8">
        <v>79.5</v>
      </c>
      <c r="B161" s="8">
        <v>159</v>
      </c>
      <c r="D161">
        <v>916.96338983050998</v>
      </c>
      <c r="E161">
        <v>329.50576271185997</v>
      </c>
      <c r="F161">
        <v>139.10767160162001</v>
      </c>
      <c r="G161">
        <v>114.68034993271</v>
      </c>
      <c r="I161" s="9">
        <f t="shared" si="15"/>
        <v>214.82541277914999</v>
      </c>
      <c r="J161" s="9">
        <f t="shared" si="16"/>
        <v>777.85571822888994</v>
      </c>
      <c r="K161" s="9">
        <f t="shared" si="17"/>
        <v>214.82541277914999</v>
      </c>
      <c r="L161" s="10">
        <f t="shared" si="14"/>
        <v>0.27617642673925291</v>
      </c>
      <c r="M161" s="10">
        <f t="shared" si="18"/>
        <v>0.28283676078468895</v>
      </c>
      <c r="P161" s="8">
        <f t="shared" si="19"/>
        <v>12.950994375228364</v>
      </c>
    </row>
    <row r="162" spans="1:16" x14ac:dyDescent="0.2">
      <c r="A162" s="8">
        <v>80</v>
      </c>
      <c r="B162" s="4">
        <v>160</v>
      </c>
      <c r="C162" s="4" t="s">
        <v>6</v>
      </c>
      <c r="D162">
        <v>917.57220338982995</v>
      </c>
      <c r="E162">
        <v>327.34372881356001</v>
      </c>
      <c r="F162">
        <v>138.89367429340999</v>
      </c>
      <c r="G162">
        <v>114.58209959622999</v>
      </c>
      <c r="H162" s="4"/>
      <c r="I162" s="5">
        <f t="shared" si="15"/>
        <v>212.76162921733001</v>
      </c>
      <c r="J162" s="5">
        <f t="shared" si="16"/>
        <v>778.67852909641999</v>
      </c>
      <c r="K162" s="9">
        <f t="shared" si="17"/>
        <v>212.76162921733001</v>
      </c>
      <c r="L162" s="6">
        <f t="shared" si="14"/>
        <v>0.27323423115854883</v>
      </c>
      <c r="M162" s="6">
        <f t="shared" si="18"/>
        <v>0.27993645409735235</v>
      </c>
      <c r="N162" s="4"/>
      <c r="O162" s="4"/>
      <c r="P162" s="4">
        <f t="shared" si="19"/>
        <v>11.792755526010406</v>
      </c>
    </row>
    <row r="163" spans="1:16" x14ac:dyDescent="0.2">
      <c r="A163" s="8">
        <v>80.5</v>
      </c>
      <c r="B163" s="8">
        <v>161</v>
      </c>
      <c r="D163">
        <v>931.44338983051</v>
      </c>
      <c r="E163">
        <v>333.42372881355999</v>
      </c>
      <c r="F163">
        <v>138.90107671601999</v>
      </c>
      <c r="G163">
        <v>114.67833109018</v>
      </c>
      <c r="I163" s="9">
        <f t="shared" si="15"/>
        <v>218.74539772337999</v>
      </c>
      <c r="J163" s="9">
        <f t="shared" si="16"/>
        <v>792.54231311449007</v>
      </c>
      <c r="K163" s="9">
        <f t="shared" si="17"/>
        <v>218.74539772337999</v>
      </c>
      <c r="L163" s="10">
        <f t="shared" si="14"/>
        <v>0.27600469287723722</v>
      </c>
      <c r="M163" s="10">
        <f t="shared" si="18"/>
        <v>0.28274880470940827</v>
      </c>
      <c r="P163" s="8">
        <f t="shared" si="19"/>
        <v>12.915869074907672</v>
      </c>
    </row>
    <row r="164" spans="1:16" x14ac:dyDescent="0.2">
      <c r="A164" s="8">
        <v>81</v>
      </c>
      <c r="B164" s="8">
        <v>162</v>
      </c>
      <c r="D164">
        <v>934.18237288136004</v>
      </c>
      <c r="E164">
        <v>331.10983050848</v>
      </c>
      <c r="F164">
        <v>139.07604306863999</v>
      </c>
      <c r="G164">
        <v>114.42530282638</v>
      </c>
      <c r="I164" s="9">
        <f t="shared" si="15"/>
        <v>216.6845276821</v>
      </c>
      <c r="J164" s="9">
        <f t="shared" si="16"/>
        <v>795.10632981272011</v>
      </c>
      <c r="K164" s="9">
        <f t="shared" si="17"/>
        <v>216.6845276821</v>
      </c>
      <c r="L164" s="10">
        <f t="shared" si="14"/>
        <v>0.27252270489802038</v>
      </c>
      <c r="M164" s="10">
        <f t="shared" si="18"/>
        <v>0.27930870562355897</v>
      </c>
      <c r="P164" s="8">
        <f t="shared" si="19"/>
        <v>11.542063875689639</v>
      </c>
    </row>
    <row r="165" spans="1:16" x14ac:dyDescent="0.2">
      <c r="A165" s="8">
        <v>81.5</v>
      </c>
      <c r="B165" s="8">
        <v>163</v>
      </c>
      <c r="D165">
        <v>925.98915254236999</v>
      </c>
      <c r="E165">
        <v>326.29491525423998</v>
      </c>
      <c r="F165">
        <v>138.69380888290999</v>
      </c>
      <c r="G165">
        <v>114.55921938089</v>
      </c>
      <c r="I165" s="9">
        <f t="shared" si="15"/>
        <v>211.73569587334998</v>
      </c>
      <c r="J165" s="9">
        <f t="shared" si="16"/>
        <v>787.29534365946006</v>
      </c>
      <c r="K165" s="9">
        <f t="shared" si="17"/>
        <v>211.73569587334998</v>
      </c>
      <c r="L165" s="10">
        <f t="shared" si="14"/>
        <v>0.2689406174932682</v>
      </c>
      <c r="M165" s="10">
        <f t="shared" si="18"/>
        <v>0.27576850711217427</v>
      </c>
      <c r="P165" s="8">
        <f t="shared" si="19"/>
        <v>10.128283923475406</v>
      </c>
    </row>
    <row r="166" spans="1:16" x14ac:dyDescent="0.2">
      <c r="A166" s="8">
        <v>82</v>
      </c>
      <c r="B166" s="8">
        <v>164</v>
      </c>
      <c r="D166">
        <v>908.23661016948995</v>
      </c>
      <c r="E166">
        <v>320.10508474576</v>
      </c>
      <c r="F166">
        <v>139.20255720054001</v>
      </c>
      <c r="G166">
        <v>114.95558546433</v>
      </c>
      <c r="I166" s="9">
        <f t="shared" si="15"/>
        <v>205.14949928143</v>
      </c>
      <c r="J166" s="9">
        <f t="shared" si="16"/>
        <v>769.03405296894994</v>
      </c>
      <c r="K166" s="9">
        <f t="shared" si="17"/>
        <v>205.14949928143</v>
      </c>
      <c r="L166" s="10">
        <f t="shared" si="14"/>
        <v>0.26676256856172398</v>
      </c>
      <c r="M166" s="10">
        <f t="shared" si="18"/>
        <v>0.27363234707399758</v>
      </c>
      <c r="P166" s="8">
        <f t="shared" si="19"/>
        <v>9.2752074005111265</v>
      </c>
    </row>
    <row r="167" spans="1:16" x14ac:dyDescent="0.2">
      <c r="A167" s="8">
        <v>82.5</v>
      </c>
      <c r="B167" s="8">
        <v>165</v>
      </c>
      <c r="D167">
        <v>912.84881355931998</v>
      </c>
      <c r="E167">
        <v>319.31728813558999</v>
      </c>
      <c r="F167">
        <v>139.06931359353999</v>
      </c>
      <c r="G167">
        <v>114.59757738896</v>
      </c>
      <c r="I167" s="9">
        <f t="shared" si="15"/>
        <v>204.71971074662997</v>
      </c>
      <c r="J167" s="9">
        <f t="shared" si="16"/>
        <v>773.77949996578002</v>
      </c>
      <c r="K167" s="9">
        <f t="shared" si="17"/>
        <v>204.71971074662997</v>
      </c>
      <c r="L167" s="10">
        <f t="shared" si="14"/>
        <v>0.26457112233612234</v>
      </c>
      <c r="M167" s="10">
        <f t="shared" si="18"/>
        <v>0.27148278974176349</v>
      </c>
      <c r="P167" s="8">
        <f t="shared" si="19"/>
        <v>8.4167806618198533</v>
      </c>
    </row>
    <row r="168" spans="1:16" x14ac:dyDescent="0.2">
      <c r="A168" s="8">
        <v>83</v>
      </c>
      <c r="B168" s="8">
        <v>166</v>
      </c>
      <c r="D168">
        <v>929.50508474575997</v>
      </c>
      <c r="E168">
        <v>322.47118644068001</v>
      </c>
      <c r="F168">
        <v>138.82637954239999</v>
      </c>
      <c r="G168">
        <v>114.73014804845</v>
      </c>
      <c r="I168" s="9">
        <f t="shared" si="15"/>
        <v>207.74103839223</v>
      </c>
      <c r="J168" s="9">
        <f t="shared" si="16"/>
        <v>790.67870520335998</v>
      </c>
      <c r="K168" s="9">
        <f t="shared" si="17"/>
        <v>207.74103839223</v>
      </c>
      <c r="L168" s="10">
        <f t="shared" si="14"/>
        <v>0.26273761646179616</v>
      </c>
      <c r="M168" s="10">
        <f t="shared" si="18"/>
        <v>0.26969117276080484</v>
      </c>
      <c r="P168" s="8">
        <f t="shared" si="19"/>
        <v>7.7012975719365162</v>
      </c>
    </row>
    <row r="169" spans="1:16" x14ac:dyDescent="0.2">
      <c r="A169" s="8">
        <v>83.5</v>
      </c>
      <c r="B169" s="8">
        <v>167</v>
      </c>
      <c r="D169">
        <v>920.8786440678</v>
      </c>
      <c r="E169">
        <v>317.66508474576</v>
      </c>
      <c r="F169">
        <v>139.15141318977001</v>
      </c>
      <c r="G169">
        <v>114.30417227456</v>
      </c>
      <c r="I169" s="9">
        <f t="shared" si="15"/>
        <v>203.36091247119998</v>
      </c>
      <c r="J169" s="9">
        <f t="shared" si="16"/>
        <v>781.72723087803001</v>
      </c>
      <c r="K169" s="9">
        <f t="shared" si="17"/>
        <v>203.36091247119998</v>
      </c>
      <c r="L169" s="10">
        <f t="shared" si="14"/>
        <v>0.26014305813907312</v>
      </c>
      <c r="M169" s="10">
        <f t="shared" si="18"/>
        <v>0.26713850333144928</v>
      </c>
      <c r="P169" s="8">
        <f t="shared" si="19"/>
        <v>6.6818878263396666</v>
      </c>
    </row>
    <row r="170" spans="1:16" x14ac:dyDescent="0.2">
      <c r="A170" s="8">
        <v>84</v>
      </c>
      <c r="B170" s="8">
        <v>168</v>
      </c>
      <c r="D170">
        <v>930.93084745762997</v>
      </c>
      <c r="E170">
        <v>319.15322033898002</v>
      </c>
      <c r="F170">
        <v>138.86877523552999</v>
      </c>
      <c r="G170">
        <v>114.73553162853</v>
      </c>
      <c r="I170" s="9">
        <f t="shared" si="15"/>
        <v>204.41768871045002</v>
      </c>
      <c r="J170" s="9">
        <f t="shared" si="16"/>
        <v>792.06207222209991</v>
      </c>
      <c r="K170" s="9">
        <f t="shared" si="17"/>
        <v>204.41768871045002</v>
      </c>
      <c r="L170" s="10">
        <f t="shared" si="14"/>
        <v>0.25808291531617467</v>
      </c>
      <c r="M170" s="10">
        <f t="shared" si="18"/>
        <v>0.26512024940191836</v>
      </c>
      <c r="P170" s="8">
        <f t="shared" si="19"/>
        <v>5.8758971637052264</v>
      </c>
    </row>
    <row r="171" spans="1:16" x14ac:dyDescent="0.2">
      <c r="A171" s="8">
        <v>84.5</v>
      </c>
      <c r="B171" s="8">
        <v>169</v>
      </c>
      <c r="D171">
        <v>922.4</v>
      </c>
      <c r="E171">
        <v>312.72677966101998</v>
      </c>
      <c r="F171">
        <v>138.99663526245001</v>
      </c>
      <c r="G171">
        <v>114.47240915208999</v>
      </c>
      <c r="I171" s="9">
        <f t="shared" si="15"/>
        <v>198.25437050892998</v>
      </c>
      <c r="J171" s="9">
        <f t="shared" si="16"/>
        <v>783.40336473754996</v>
      </c>
      <c r="K171" s="9">
        <f t="shared" si="17"/>
        <v>198.25437050892998</v>
      </c>
      <c r="L171" s="10">
        <f t="shared" si="14"/>
        <v>0.25306806101777174</v>
      </c>
      <c r="M171" s="10">
        <f t="shared" si="18"/>
        <v>0.26014728399688297</v>
      </c>
      <c r="P171" s="8">
        <f t="shared" si="19"/>
        <v>3.8899410739310412</v>
      </c>
    </row>
    <row r="172" spans="1:16" x14ac:dyDescent="0.2">
      <c r="A172" s="8">
        <v>85</v>
      </c>
      <c r="B172" s="8">
        <v>170</v>
      </c>
      <c r="D172">
        <v>927.91864406779996</v>
      </c>
      <c r="E172">
        <v>310.8793220339</v>
      </c>
      <c r="F172">
        <v>139.01951547779001</v>
      </c>
      <c r="G172">
        <v>114.13391655450999</v>
      </c>
      <c r="I172" s="9">
        <f t="shared" si="15"/>
        <v>196.74540547939</v>
      </c>
      <c r="J172" s="9">
        <f t="shared" si="16"/>
        <v>788.89912859000992</v>
      </c>
      <c r="K172" s="9">
        <f t="shared" si="17"/>
        <v>196.74540547939</v>
      </c>
      <c r="L172" s="10">
        <f t="shared" si="14"/>
        <v>0.2493923473220597</v>
      </c>
      <c r="M172" s="10">
        <f t="shared" si="18"/>
        <v>0.25651345919453844</v>
      </c>
      <c r="P172" s="8">
        <f t="shared" si="19"/>
        <v>2.4387714180791433</v>
      </c>
    </row>
    <row r="173" spans="1:16" x14ac:dyDescent="0.2">
      <c r="A173" s="8">
        <v>85.5</v>
      </c>
      <c r="B173" s="8">
        <v>171</v>
      </c>
      <c r="D173">
        <v>933.21830508475</v>
      </c>
      <c r="E173">
        <v>309.71322033898002</v>
      </c>
      <c r="F173">
        <v>139.31561238223</v>
      </c>
      <c r="G173">
        <v>114.41722745625999</v>
      </c>
      <c r="I173" s="9">
        <f t="shared" si="15"/>
        <v>195.29599288272004</v>
      </c>
      <c r="J173" s="9">
        <f t="shared" si="16"/>
        <v>793.90269270251997</v>
      </c>
      <c r="K173" s="9">
        <f t="shared" si="17"/>
        <v>195.29599288272004</v>
      </c>
      <c r="L173" s="10">
        <f t="shared" si="14"/>
        <v>0.24599487402910045</v>
      </c>
      <c r="M173" s="10">
        <f t="shared" si="18"/>
        <v>0.25315787479494672</v>
      </c>
      <c r="P173" s="8">
        <f t="shared" si="19"/>
        <v>1.0987171988455398</v>
      </c>
    </row>
    <row r="174" spans="1:16" x14ac:dyDescent="0.2">
      <c r="A174" s="8">
        <v>86</v>
      </c>
      <c r="B174" s="8">
        <v>172</v>
      </c>
      <c r="D174">
        <v>934.64</v>
      </c>
      <c r="E174">
        <v>306.27728813559003</v>
      </c>
      <c r="F174">
        <v>138.94683714670001</v>
      </c>
      <c r="G174">
        <v>114.69650067294999</v>
      </c>
      <c r="I174" s="9">
        <f t="shared" si="15"/>
        <v>191.58078746264005</v>
      </c>
      <c r="J174" s="9">
        <f t="shared" si="16"/>
        <v>795.69316285330001</v>
      </c>
      <c r="K174" s="9">
        <f t="shared" si="17"/>
        <v>191.58078746264005</v>
      </c>
      <c r="L174" s="10">
        <f t="shared" si="14"/>
        <v>0.2407721926070657</v>
      </c>
      <c r="M174" s="10">
        <f t="shared" si="18"/>
        <v>0.24797708226627949</v>
      </c>
      <c r="P174" s="8">
        <f t="shared" si="19"/>
        <v>-0.97023475118116353</v>
      </c>
    </row>
    <row r="175" spans="1:16" x14ac:dyDescent="0.2">
      <c r="A175" s="8">
        <v>86.5</v>
      </c>
      <c r="B175" s="8">
        <v>173</v>
      </c>
      <c r="D175">
        <v>967.64203389831005</v>
      </c>
      <c r="E175">
        <v>309.90169491525</v>
      </c>
      <c r="F175">
        <v>138.90376850606</v>
      </c>
      <c r="G175">
        <v>114.65612382234001</v>
      </c>
      <c r="I175" s="9">
        <f t="shared" si="15"/>
        <v>195.24557109290998</v>
      </c>
      <c r="J175" s="9">
        <f t="shared" si="16"/>
        <v>828.73826539225001</v>
      </c>
      <c r="K175" s="9">
        <f t="shared" si="17"/>
        <v>195.24557109290998</v>
      </c>
      <c r="L175" s="10">
        <f t="shared" si="14"/>
        <v>0.23559376855912201</v>
      </c>
      <c r="M175" s="10">
        <f t="shared" si="18"/>
        <v>0.24284054711170333</v>
      </c>
      <c r="P175" s="8">
        <f t="shared" si="19"/>
        <v>-3.0215124979036161</v>
      </c>
    </row>
    <row r="176" spans="1:16" x14ac:dyDescent="0.2">
      <c r="A176" s="8">
        <v>87</v>
      </c>
      <c r="B176" s="8">
        <v>174</v>
      </c>
      <c r="D176">
        <v>932.99322033898</v>
      </c>
      <c r="E176">
        <v>299.13016949153001</v>
      </c>
      <c r="F176">
        <v>138.99461641991999</v>
      </c>
      <c r="G176">
        <v>114.32032301481</v>
      </c>
      <c r="I176" s="9">
        <f t="shared" si="15"/>
        <v>184.80984647672</v>
      </c>
      <c r="J176" s="9">
        <f t="shared" si="16"/>
        <v>793.99860391905997</v>
      </c>
      <c r="K176" s="9">
        <f t="shared" si="17"/>
        <v>184.80984647672</v>
      </c>
      <c r="L176" s="10">
        <f t="shared" si="14"/>
        <v>0.23275840230011219</v>
      </c>
      <c r="M176" s="10">
        <f t="shared" si="18"/>
        <v>0.24004706974606102</v>
      </c>
      <c r="P176" s="8">
        <f t="shared" si="19"/>
        <v>-4.137089006906943</v>
      </c>
    </row>
    <row r="177" spans="1:16" x14ac:dyDescent="0.2">
      <c r="A177" s="8">
        <v>87.5</v>
      </c>
      <c r="B177" s="8">
        <v>175</v>
      </c>
      <c r="D177">
        <v>938.56949152541995</v>
      </c>
      <c r="E177">
        <v>298.59050847458002</v>
      </c>
      <c r="F177">
        <v>139.03432032302001</v>
      </c>
      <c r="G177">
        <v>114.61978465679999</v>
      </c>
      <c r="I177" s="9">
        <f t="shared" si="15"/>
        <v>183.97072381778003</v>
      </c>
      <c r="J177" s="9">
        <f t="shared" si="16"/>
        <v>799.53517120239997</v>
      </c>
      <c r="K177" s="9">
        <f t="shared" si="17"/>
        <v>183.97072381778003</v>
      </c>
      <c r="L177" s="10">
        <f t="shared" si="14"/>
        <v>0.23009709946982229</v>
      </c>
      <c r="M177" s="10">
        <f t="shared" si="18"/>
        <v>0.23742765580913866</v>
      </c>
      <c r="P177" s="8">
        <f t="shared" si="19"/>
        <v>-5.1831532032118268</v>
      </c>
    </row>
    <row r="178" spans="1:16" x14ac:dyDescent="0.2">
      <c r="A178" s="8">
        <v>88</v>
      </c>
      <c r="B178" s="8">
        <v>176</v>
      </c>
      <c r="D178">
        <v>940.79050847457995</v>
      </c>
      <c r="E178">
        <v>294.96474576270998</v>
      </c>
      <c r="F178">
        <v>139.27388963660999</v>
      </c>
      <c r="G178">
        <v>115.03768506057</v>
      </c>
      <c r="I178" s="9">
        <f t="shared" si="15"/>
        <v>179.92706070213998</v>
      </c>
      <c r="J178" s="9">
        <f t="shared" si="16"/>
        <v>801.51661883796999</v>
      </c>
      <c r="K178" s="9">
        <f t="shared" si="17"/>
        <v>179.92706070213998</v>
      </c>
      <c r="L178" s="10">
        <f t="shared" si="14"/>
        <v>0.22448325645823322</v>
      </c>
      <c r="M178" s="10">
        <f t="shared" si="18"/>
        <v>0.2318557016909171</v>
      </c>
      <c r="P178" s="8">
        <f t="shared" si="19"/>
        <v>-7.4083157192872253</v>
      </c>
    </row>
    <row r="179" spans="1:16" x14ac:dyDescent="0.2">
      <c r="A179" s="8">
        <v>88.5</v>
      </c>
      <c r="B179" s="8">
        <v>177</v>
      </c>
      <c r="D179">
        <v>987.07254237287998</v>
      </c>
      <c r="E179">
        <v>299.88881355932</v>
      </c>
      <c r="F179">
        <v>138.89434724092001</v>
      </c>
      <c r="G179">
        <v>114.60699865411</v>
      </c>
      <c r="I179" s="9">
        <f t="shared" si="15"/>
        <v>185.28181490521001</v>
      </c>
      <c r="J179" s="9">
        <f t="shared" si="16"/>
        <v>848.17819513195991</v>
      </c>
      <c r="K179" s="9">
        <f t="shared" si="17"/>
        <v>185.28181490521001</v>
      </c>
      <c r="L179" s="10">
        <f t="shared" si="14"/>
        <v>0.21844680276929754</v>
      </c>
      <c r="M179" s="10">
        <f t="shared" si="18"/>
        <v>0.22586113689534895</v>
      </c>
      <c r="P179" s="8">
        <f t="shared" si="19"/>
        <v>-9.8022480095159334</v>
      </c>
    </row>
    <row r="180" spans="1:16" x14ac:dyDescent="0.2">
      <c r="A180" s="8">
        <v>89</v>
      </c>
      <c r="B180" s="8">
        <v>178</v>
      </c>
      <c r="D180">
        <v>972.39389830509003</v>
      </c>
      <c r="E180">
        <v>294.35050847458001</v>
      </c>
      <c r="F180">
        <v>139.45962314939001</v>
      </c>
      <c r="G180">
        <v>114.70323014805</v>
      </c>
      <c r="I180" s="9">
        <f t="shared" si="15"/>
        <v>179.64727832653</v>
      </c>
      <c r="J180" s="9">
        <f t="shared" si="16"/>
        <v>832.93427515569999</v>
      </c>
      <c r="K180" s="9">
        <f t="shared" si="17"/>
        <v>179.64727832653</v>
      </c>
      <c r="L180" s="10">
        <f t="shared" si="14"/>
        <v>0.21568001664110728</v>
      </c>
      <c r="M180" s="10">
        <f t="shared" si="18"/>
        <v>0.2231362396605262</v>
      </c>
      <c r="P180" s="8">
        <f t="shared" si="19"/>
        <v>-10.890437010795859</v>
      </c>
    </row>
    <row r="181" spans="1:16" x14ac:dyDescent="0.2">
      <c r="A181" s="8">
        <v>89.5</v>
      </c>
      <c r="B181" s="8">
        <v>179</v>
      </c>
      <c r="D181">
        <v>954.35796610169996</v>
      </c>
      <c r="E181">
        <v>290.02101694915001</v>
      </c>
      <c r="F181">
        <v>139.29475100942</v>
      </c>
      <c r="G181">
        <v>114.57940780619001</v>
      </c>
      <c r="I181" s="9">
        <f t="shared" si="15"/>
        <v>175.44160914296</v>
      </c>
      <c r="J181" s="9">
        <f t="shared" si="16"/>
        <v>815.06321509227996</v>
      </c>
      <c r="K181" s="9">
        <f t="shared" si="17"/>
        <v>175.44160914296</v>
      </c>
      <c r="L181" s="10">
        <f t="shared" si="14"/>
        <v>0.2152490823955254</v>
      </c>
      <c r="M181" s="10">
        <f t="shared" si="18"/>
        <v>0.22274719430831186</v>
      </c>
      <c r="P181" s="8">
        <f t="shared" si="19"/>
        <v>-11.045802456460549</v>
      </c>
    </row>
    <row r="182" spans="1:16" x14ac:dyDescent="0.2">
      <c r="A182" s="8">
        <v>90</v>
      </c>
      <c r="B182" s="8">
        <v>180</v>
      </c>
      <c r="D182">
        <v>947.86508474575999</v>
      </c>
      <c r="E182">
        <v>286.42440677965999</v>
      </c>
      <c r="F182">
        <v>139.92934051143999</v>
      </c>
      <c r="G182">
        <v>114.49730820996</v>
      </c>
      <c r="I182" s="9">
        <f t="shared" si="15"/>
        <v>171.92709856969998</v>
      </c>
      <c r="J182" s="9">
        <f t="shared" si="16"/>
        <v>807.93574423432005</v>
      </c>
      <c r="K182" s="9">
        <f t="shared" si="17"/>
        <v>171.92709856969998</v>
      </c>
      <c r="L182" s="10">
        <f t="shared" si="14"/>
        <v>0.21279798523165369</v>
      </c>
      <c r="M182" s="10">
        <f>L182+ABS($N$2)*A182</f>
        <v>0.22033798603780766</v>
      </c>
      <c r="P182" s="8">
        <f t="shared" si="19"/>
        <v>-12.007920920324688</v>
      </c>
    </row>
    <row r="183" spans="1:16" x14ac:dyDescent="0.2">
      <c r="A183" s="8">
        <v>90.5</v>
      </c>
      <c r="B183" s="8">
        <v>181</v>
      </c>
      <c r="D183">
        <v>966.09559322033999</v>
      </c>
      <c r="E183">
        <v>287.19050847457999</v>
      </c>
      <c r="F183">
        <v>139.7267833109</v>
      </c>
      <c r="G183">
        <v>114.71668909825</v>
      </c>
      <c r="I183" s="9">
        <f t="shared" si="15"/>
        <v>172.47381937632997</v>
      </c>
      <c r="J183" s="9">
        <f t="shared" si="16"/>
        <v>826.36880990943996</v>
      </c>
      <c r="K183" s="9">
        <f t="shared" si="17"/>
        <v>172.47381937632997</v>
      </c>
      <c r="L183" s="10">
        <f t="shared" si="14"/>
        <v>0.20871288619330999</v>
      </c>
      <c r="M183" s="10">
        <f t="shared" ref="M183:M241" si="20">L183+ABS($N$2)*A183</f>
        <v>0.2162947758928315</v>
      </c>
      <c r="P183" s="8">
        <f t="shared" si="19"/>
        <v>-13.622578806647756</v>
      </c>
    </row>
    <row r="184" spans="1:16" x14ac:dyDescent="0.2">
      <c r="A184" s="8">
        <v>91</v>
      </c>
      <c r="B184" s="8">
        <v>182</v>
      </c>
      <c r="D184">
        <v>942.90915254236995</v>
      </c>
      <c r="E184">
        <v>281.20338983050999</v>
      </c>
      <c r="F184">
        <v>138.8001345895</v>
      </c>
      <c r="G184">
        <v>114.59757738896</v>
      </c>
      <c r="I184" s="9">
        <f t="shared" si="15"/>
        <v>166.60581244154997</v>
      </c>
      <c r="J184" s="9">
        <f t="shared" si="16"/>
        <v>804.10901795286998</v>
      </c>
      <c r="K184" s="9">
        <f t="shared" si="17"/>
        <v>166.60581244154997</v>
      </c>
      <c r="L184" s="10">
        <f t="shared" si="14"/>
        <v>0.2071930655195251</v>
      </c>
      <c r="M184" s="10">
        <f t="shared" si="20"/>
        <v>0.21481684411241411</v>
      </c>
      <c r="P184" s="8">
        <f t="shared" si="19"/>
        <v>-14.212791563128778</v>
      </c>
    </row>
    <row r="185" spans="1:16" x14ac:dyDescent="0.2">
      <c r="A185" s="8">
        <v>91.5</v>
      </c>
      <c r="B185" s="8">
        <v>183</v>
      </c>
      <c r="D185">
        <v>971.66055668702995</v>
      </c>
      <c r="E185">
        <v>284.33469110659001</v>
      </c>
      <c r="F185">
        <v>139.41251682369</v>
      </c>
      <c r="G185">
        <v>114.40713324361001</v>
      </c>
      <c r="I185" s="9">
        <f t="shared" si="15"/>
        <v>169.92755786298</v>
      </c>
      <c r="J185" s="9">
        <f t="shared" si="16"/>
        <v>832.24803986333995</v>
      </c>
      <c r="K185" s="9">
        <f t="shared" si="17"/>
        <v>169.92755786298</v>
      </c>
      <c r="L185" s="10">
        <f t="shared" si="14"/>
        <v>0.20417898237511392</v>
      </c>
      <c r="M185" s="10">
        <f t="shared" si="20"/>
        <v>0.21184464986137047</v>
      </c>
      <c r="P185" s="8">
        <f t="shared" si="19"/>
        <v>-15.399738744960207</v>
      </c>
    </row>
    <row r="186" spans="1:16" x14ac:dyDescent="0.2">
      <c r="A186" s="8">
        <v>92</v>
      </c>
      <c r="B186" s="8">
        <v>184</v>
      </c>
      <c r="D186">
        <v>961.86693822131997</v>
      </c>
      <c r="E186">
        <v>279.89069925323003</v>
      </c>
      <c r="F186">
        <v>138.93741588156001</v>
      </c>
      <c r="G186">
        <v>114.84051144011001</v>
      </c>
      <c r="I186" s="9">
        <f t="shared" si="15"/>
        <v>165.05018781312003</v>
      </c>
      <c r="J186" s="9">
        <f t="shared" si="16"/>
        <v>822.92952233975996</v>
      </c>
      <c r="K186" s="9">
        <f t="shared" si="17"/>
        <v>165.05018781312003</v>
      </c>
      <c r="L186" s="10">
        <f t="shared" si="14"/>
        <v>0.20056418360572117</v>
      </c>
      <c r="M186" s="10">
        <f t="shared" si="20"/>
        <v>0.20827173998534523</v>
      </c>
      <c r="P186" s="8">
        <f t="shared" si="19"/>
        <v>-16.826581996136245</v>
      </c>
    </row>
    <row r="187" spans="1:16" x14ac:dyDescent="0.2">
      <c r="A187" s="8">
        <v>92.5</v>
      </c>
      <c r="B187" s="8">
        <v>185</v>
      </c>
      <c r="D187">
        <v>958.40733197556006</v>
      </c>
      <c r="E187">
        <v>277.24915139171998</v>
      </c>
      <c r="F187">
        <v>139.06594885599</v>
      </c>
      <c r="G187">
        <v>114.55383580081001</v>
      </c>
      <c r="I187" s="9">
        <f t="shared" si="15"/>
        <v>162.69531559090996</v>
      </c>
      <c r="J187" s="9">
        <f t="shared" si="16"/>
        <v>819.34138311957008</v>
      </c>
      <c r="K187" s="9">
        <f t="shared" si="17"/>
        <v>162.69531559090996</v>
      </c>
      <c r="L187" s="10">
        <f t="shared" si="14"/>
        <v>0.19856840987509003</v>
      </c>
      <c r="M187" s="10">
        <f t="shared" si="20"/>
        <v>0.20631785514808162</v>
      </c>
      <c r="P187" s="8">
        <f t="shared" si="19"/>
        <v>-17.606866831287533</v>
      </c>
    </row>
    <row r="188" spans="1:16" x14ac:dyDescent="0.2">
      <c r="A188" s="8">
        <v>93</v>
      </c>
      <c r="B188" s="8">
        <v>186</v>
      </c>
      <c r="D188">
        <v>939.02783435165998</v>
      </c>
      <c r="E188">
        <v>270.84317718941003</v>
      </c>
      <c r="F188">
        <v>139.18977119785001</v>
      </c>
      <c r="G188">
        <v>114.29811574697</v>
      </c>
      <c r="I188" s="9">
        <f t="shared" si="15"/>
        <v>156.54506144244004</v>
      </c>
      <c r="J188" s="9">
        <f t="shared" si="16"/>
        <v>799.83806315381003</v>
      </c>
      <c r="K188" s="9">
        <f t="shared" si="17"/>
        <v>156.54506144244004</v>
      </c>
      <c r="L188" s="10">
        <f t="shared" si="14"/>
        <v>0.19572094484372671</v>
      </c>
      <c r="M188" s="10">
        <f t="shared" si="20"/>
        <v>0.20351227901008581</v>
      </c>
      <c r="P188" s="8">
        <f t="shared" si="19"/>
        <v>-18.727274990760399</v>
      </c>
    </row>
    <row r="189" spans="1:16" x14ac:dyDescent="0.2">
      <c r="A189" s="8">
        <v>93.5</v>
      </c>
      <c r="B189" s="8">
        <v>187</v>
      </c>
      <c r="D189">
        <v>939.23861318830996</v>
      </c>
      <c r="E189">
        <v>269.88239292998003</v>
      </c>
      <c r="F189">
        <v>139.22341857334999</v>
      </c>
      <c r="G189">
        <v>114.60161507402</v>
      </c>
      <c r="I189" s="9">
        <f t="shared" si="15"/>
        <v>155.28077785596003</v>
      </c>
      <c r="J189" s="9">
        <f t="shared" si="16"/>
        <v>800.01519461495991</v>
      </c>
      <c r="K189" s="9">
        <f t="shared" si="17"/>
        <v>155.28077785596003</v>
      </c>
      <c r="L189" s="10">
        <f t="shared" si="14"/>
        <v>0.19409728577804733</v>
      </c>
      <c r="M189" s="10">
        <f t="shared" si="20"/>
        <v>0.20193050883777397</v>
      </c>
      <c r="P189" s="8">
        <f t="shared" si="19"/>
        <v>-19.358955658223941</v>
      </c>
    </row>
    <row r="190" spans="1:16" x14ac:dyDescent="0.2">
      <c r="A190" s="8">
        <v>94</v>
      </c>
      <c r="B190" s="8">
        <v>188</v>
      </c>
      <c r="D190">
        <v>959.04146838885003</v>
      </c>
      <c r="E190">
        <v>272.29639700884002</v>
      </c>
      <c r="F190">
        <v>139.21601615073999</v>
      </c>
      <c r="G190">
        <v>114.55383580081001</v>
      </c>
      <c r="I190" s="9">
        <f t="shared" si="15"/>
        <v>157.74256120803</v>
      </c>
      <c r="J190" s="9">
        <f t="shared" si="16"/>
        <v>819.82545223811007</v>
      </c>
      <c r="K190" s="9">
        <f t="shared" si="17"/>
        <v>157.74256120803</v>
      </c>
      <c r="L190" s="10">
        <f t="shared" si="14"/>
        <v>0.19240993406266588</v>
      </c>
      <c r="M190" s="10">
        <f t="shared" si="20"/>
        <v>0.20028504601576003</v>
      </c>
      <c r="P190" s="8">
        <f t="shared" si="19"/>
        <v>-20.016072015511842</v>
      </c>
    </row>
    <row r="191" spans="1:16" x14ac:dyDescent="0.2">
      <c r="A191" s="8">
        <v>94.5</v>
      </c>
      <c r="B191" s="8">
        <v>189</v>
      </c>
      <c r="D191">
        <v>962.08905506457995</v>
      </c>
      <c r="E191">
        <v>269.22297756628001</v>
      </c>
      <c r="F191">
        <v>138.76379542396</v>
      </c>
      <c r="G191">
        <v>114.1467025572</v>
      </c>
      <c r="I191" s="9">
        <f t="shared" si="15"/>
        <v>155.07627500908001</v>
      </c>
      <c r="J191" s="9">
        <f t="shared" si="16"/>
        <v>823.32525964061995</v>
      </c>
      <c r="K191" s="9">
        <f t="shared" si="17"/>
        <v>155.07627500908001</v>
      </c>
      <c r="L191" s="10">
        <f t="shared" si="14"/>
        <v>0.18835359803824134</v>
      </c>
      <c r="M191" s="10">
        <f t="shared" si="20"/>
        <v>0.196270598884703</v>
      </c>
      <c r="P191" s="8">
        <f t="shared" si="19"/>
        <v>-21.619243378603695</v>
      </c>
    </row>
    <row r="192" spans="1:16" x14ac:dyDescent="0.2">
      <c r="A192" s="8">
        <v>95</v>
      </c>
      <c r="B192" s="8">
        <v>190</v>
      </c>
      <c r="D192">
        <v>927.40312712441005</v>
      </c>
      <c r="E192">
        <v>262.06254248810001</v>
      </c>
      <c r="F192">
        <v>139.23351278600001</v>
      </c>
      <c r="G192">
        <v>114.56796769851999</v>
      </c>
      <c r="I192" s="9">
        <f t="shared" si="15"/>
        <v>147.49457478958001</v>
      </c>
      <c r="J192" s="9">
        <f t="shared" si="16"/>
        <v>788.16961433841004</v>
      </c>
      <c r="K192" s="9">
        <f t="shared" si="17"/>
        <v>147.49457478958001</v>
      </c>
      <c r="L192" s="10">
        <f t="shared" si="14"/>
        <v>0.18713557603129249</v>
      </c>
      <c r="M192" s="10">
        <f t="shared" si="20"/>
        <v>0.19509446577112169</v>
      </c>
      <c r="P192" s="8">
        <f t="shared" si="19"/>
        <v>-22.088932694547218</v>
      </c>
    </row>
    <row r="193" spans="1:16" x14ac:dyDescent="0.2">
      <c r="A193" s="8">
        <v>95.5</v>
      </c>
      <c r="B193" s="8">
        <v>191</v>
      </c>
      <c r="D193">
        <v>927.14343983685001</v>
      </c>
      <c r="E193">
        <v>260.61590754589002</v>
      </c>
      <c r="F193">
        <v>139.65545087483</v>
      </c>
      <c r="G193">
        <v>114.19111709287</v>
      </c>
      <c r="I193" s="9">
        <f t="shared" si="15"/>
        <v>146.42479045302002</v>
      </c>
      <c r="J193" s="9">
        <f t="shared" si="16"/>
        <v>787.48798896202004</v>
      </c>
      <c r="K193" s="9">
        <f t="shared" si="17"/>
        <v>146.42479045302002</v>
      </c>
      <c r="L193" s="10">
        <f t="shared" si="14"/>
        <v>0.18593907780869276</v>
      </c>
      <c r="M193" s="10">
        <f t="shared" si="20"/>
        <v>0.19393985644188946</v>
      </c>
      <c r="P193" s="8">
        <f t="shared" si="19"/>
        <v>-22.550026477016939</v>
      </c>
    </row>
    <row r="194" spans="1:16" x14ac:dyDescent="0.2">
      <c r="A194" s="8">
        <v>96</v>
      </c>
      <c r="B194" s="8">
        <v>192</v>
      </c>
      <c r="D194">
        <v>969.99320190346998</v>
      </c>
      <c r="E194">
        <v>268.14276002718998</v>
      </c>
      <c r="F194">
        <v>138.71736204576001</v>
      </c>
      <c r="G194">
        <v>114.48788694482</v>
      </c>
      <c r="I194" s="9">
        <f t="shared" si="15"/>
        <v>153.65487308236999</v>
      </c>
      <c r="J194" s="9">
        <f t="shared" si="16"/>
        <v>831.27583985771003</v>
      </c>
      <c r="K194" s="9">
        <f t="shared" si="17"/>
        <v>153.65487308236999</v>
      </c>
      <c r="L194" s="10">
        <f t="shared" ref="L194:L257" si="21">K194/J194</f>
        <v>0.18484222169703762</v>
      </c>
      <c r="M194" s="10">
        <f t="shared" si="20"/>
        <v>0.19288488922360186</v>
      </c>
      <c r="P194" s="8">
        <f t="shared" si="19"/>
        <v>-22.971328135288875</v>
      </c>
    </row>
    <row r="195" spans="1:16" x14ac:dyDescent="0.2">
      <c r="A195" s="8">
        <v>96.5</v>
      </c>
      <c r="B195" s="8">
        <v>193</v>
      </c>
      <c r="D195">
        <v>949.25900747791002</v>
      </c>
      <c r="E195">
        <v>263.31135282120999</v>
      </c>
      <c r="F195">
        <v>138.99057873486001</v>
      </c>
      <c r="G195">
        <v>114.31292059219</v>
      </c>
      <c r="I195" s="9">
        <f t="shared" ref="I195:I241" si="22">E195-G195</f>
        <v>148.99843222902001</v>
      </c>
      <c r="J195" s="9">
        <f t="shared" ref="J195:J241" si="23">D195-F195</f>
        <v>810.26842874304998</v>
      </c>
      <c r="K195" s="9">
        <f t="shared" ref="K195:K258" si="24">I195*1</f>
        <v>148.99843222902001</v>
      </c>
      <c r="L195" s="10">
        <f t="shared" si="21"/>
        <v>0.18388774255978074</v>
      </c>
      <c r="M195" s="10">
        <f t="shared" si="20"/>
        <v>0.19197229897971249</v>
      </c>
      <c r="P195" s="8">
        <f t="shared" ref="P195:P241" si="25">(M195-$O$2)/$O$2*100</f>
        <v>-23.335771481402944</v>
      </c>
    </row>
    <row r="196" spans="1:16" x14ac:dyDescent="0.2">
      <c r="A196" s="8">
        <v>97</v>
      </c>
      <c r="B196" s="8">
        <v>194</v>
      </c>
      <c r="D196">
        <v>1013.5282121005999</v>
      </c>
      <c r="E196">
        <v>272.41740312712</v>
      </c>
      <c r="F196">
        <v>138.76446837147</v>
      </c>
      <c r="G196">
        <v>114.36944818304001</v>
      </c>
      <c r="I196" s="9">
        <f t="shared" si="22"/>
        <v>158.04795494408</v>
      </c>
      <c r="J196" s="9">
        <f t="shared" si="23"/>
        <v>874.76374372912994</v>
      </c>
      <c r="K196" s="9">
        <f t="shared" si="24"/>
        <v>158.04795494408</v>
      </c>
      <c r="L196" s="10">
        <f t="shared" si="21"/>
        <v>0.18067501777144923</v>
      </c>
      <c r="M196" s="10">
        <f t="shared" si="20"/>
        <v>0.18880146308474852</v>
      </c>
      <c r="P196" s="8">
        <f t="shared" si="25"/>
        <v>-24.602046297813711</v>
      </c>
    </row>
    <row r="197" spans="1:16" x14ac:dyDescent="0.2">
      <c r="A197" s="8">
        <v>97.5</v>
      </c>
      <c r="B197" s="8">
        <v>195</v>
      </c>
      <c r="D197">
        <v>981.84908225696995</v>
      </c>
      <c r="E197">
        <v>266.10333106730002</v>
      </c>
      <c r="F197">
        <v>139.05720053836001</v>
      </c>
      <c r="G197">
        <v>114.1998654105</v>
      </c>
      <c r="I197" s="9">
        <f t="shared" si="22"/>
        <v>151.90346565680002</v>
      </c>
      <c r="J197" s="9">
        <f t="shared" si="23"/>
        <v>842.79188171860994</v>
      </c>
      <c r="K197" s="9">
        <f t="shared" si="24"/>
        <v>151.90346565680002</v>
      </c>
      <c r="L197" s="10">
        <f t="shared" si="21"/>
        <v>0.18023840636319433</v>
      </c>
      <c r="M197" s="10">
        <f t="shared" si="20"/>
        <v>0.18840674056986112</v>
      </c>
      <c r="P197" s="8">
        <f t="shared" si="25"/>
        <v>-24.759678921080681</v>
      </c>
    </row>
    <row r="198" spans="1:16" x14ac:dyDescent="0.2">
      <c r="A198" s="8">
        <v>98</v>
      </c>
      <c r="B198" s="8">
        <v>196</v>
      </c>
      <c r="D198">
        <v>970.38440677966003</v>
      </c>
      <c r="E198">
        <v>265.16677966101997</v>
      </c>
      <c r="F198">
        <v>138.73014804844999</v>
      </c>
      <c r="G198">
        <v>114.19919246299</v>
      </c>
      <c r="I198" s="9">
        <f t="shared" si="22"/>
        <v>150.96758719802997</v>
      </c>
      <c r="J198" s="9">
        <f t="shared" si="23"/>
        <v>831.65425873121001</v>
      </c>
      <c r="K198" s="9">
        <f t="shared" si="24"/>
        <v>150.96758719802997</v>
      </c>
      <c r="L198" s="10">
        <f t="shared" si="21"/>
        <v>0.18152686120834569</v>
      </c>
      <c r="M198" s="10">
        <f t="shared" si="20"/>
        <v>0.18973708430838002</v>
      </c>
      <c r="P198" s="8">
        <f t="shared" si="25"/>
        <v>-24.228405519031796</v>
      </c>
    </row>
    <row r="199" spans="1:16" x14ac:dyDescent="0.2">
      <c r="A199" s="8">
        <v>98.5</v>
      </c>
      <c r="B199" s="8">
        <v>197</v>
      </c>
      <c r="D199">
        <v>965.75864406779999</v>
      </c>
      <c r="E199">
        <v>265.79661016949001</v>
      </c>
      <c r="F199">
        <v>138.97981157469999</v>
      </c>
      <c r="G199">
        <v>114.57267833109</v>
      </c>
      <c r="I199" s="9">
        <f t="shared" si="22"/>
        <v>151.22393183840001</v>
      </c>
      <c r="J199" s="9">
        <f t="shared" si="23"/>
        <v>826.77883249310003</v>
      </c>
      <c r="K199" s="9">
        <f t="shared" si="24"/>
        <v>151.22393183840001</v>
      </c>
      <c r="L199" s="10">
        <f t="shared" si="21"/>
        <v>0.18290735792351343</v>
      </c>
      <c r="M199" s="10">
        <f t="shared" si="20"/>
        <v>0.19115946991691526</v>
      </c>
      <c r="P199" s="8">
        <f t="shared" si="25"/>
        <v>-23.660375152599428</v>
      </c>
    </row>
    <row r="200" spans="1:16" x14ac:dyDescent="0.2">
      <c r="A200" s="8">
        <v>99</v>
      </c>
      <c r="B200" s="8">
        <v>198</v>
      </c>
      <c r="D200">
        <v>967.72474576270997</v>
      </c>
      <c r="E200">
        <v>264.58847457627002</v>
      </c>
      <c r="F200">
        <v>138.74697173621001</v>
      </c>
      <c r="G200">
        <v>114.18438761777</v>
      </c>
      <c r="I200" s="9">
        <f t="shared" si="22"/>
        <v>150.40408695850002</v>
      </c>
      <c r="J200" s="9">
        <f t="shared" si="23"/>
        <v>828.9777740264999</v>
      </c>
      <c r="K200" s="9">
        <f t="shared" si="24"/>
        <v>150.40408695850002</v>
      </c>
      <c r="L200" s="10">
        <f t="shared" si="21"/>
        <v>0.18143319600471225</v>
      </c>
      <c r="M200" s="10">
        <f t="shared" si="20"/>
        <v>0.18972719689148163</v>
      </c>
      <c r="P200" s="8">
        <f t="shared" si="25"/>
        <v>-24.232354063653002</v>
      </c>
    </row>
    <row r="201" spans="1:16" x14ac:dyDescent="0.2">
      <c r="A201" s="8">
        <v>99.5</v>
      </c>
      <c r="B201" s="8">
        <v>199</v>
      </c>
      <c r="D201">
        <v>910.05016949153003</v>
      </c>
      <c r="E201">
        <v>256.06576271185997</v>
      </c>
      <c r="F201">
        <v>138.99865410498001</v>
      </c>
      <c r="G201">
        <v>114.51682368775</v>
      </c>
      <c r="I201" s="9">
        <f t="shared" si="22"/>
        <v>141.54893902410998</v>
      </c>
      <c r="J201" s="9">
        <f t="shared" si="23"/>
        <v>771.05151538655002</v>
      </c>
      <c r="K201" s="9">
        <f t="shared" si="24"/>
        <v>141.54893902410998</v>
      </c>
      <c r="L201" s="10">
        <f t="shared" si="21"/>
        <v>0.18357909452152166</v>
      </c>
      <c r="M201" s="10">
        <f t="shared" si="20"/>
        <v>0.19191498430165854</v>
      </c>
      <c r="P201" s="8">
        <f t="shared" si="25"/>
        <v>-23.358660125228909</v>
      </c>
    </row>
    <row r="202" spans="1:16" x14ac:dyDescent="0.2">
      <c r="A202" s="8">
        <v>100</v>
      </c>
      <c r="B202" s="8">
        <v>200</v>
      </c>
      <c r="D202">
        <v>946.08813559322004</v>
      </c>
      <c r="E202">
        <v>262.00677966102</v>
      </c>
      <c r="F202">
        <v>138.72543741588001</v>
      </c>
      <c r="G202">
        <v>114.22611036339001</v>
      </c>
      <c r="I202" s="9">
        <f t="shared" si="22"/>
        <v>147.78066929763</v>
      </c>
      <c r="J202" s="9">
        <f t="shared" si="23"/>
        <v>807.36269817734001</v>
      </c>
      <c r="K202" s="9">
        <f t="shared" si="24"/>
        <v>147.78066929763</v>
      </c>
      <c r="L202" s="10">
        <f t="shared" si="21"/>
        <v>0.1830412398680939</v>
      </c>
      <c r="M202" s="10">
        <f t="shared" si="20"/>
        <v>0.19141901854159832</v>
      </c>
      <c r="P202" s="8">
        <f t="shared" si="25"/>
        <v>-23.556724286406009</v>
      </c>
    </row>
    <row r="203" spans="1:16" x14ac:dyDescent="0.2">
      <c r="A203" s="8">
        <v>100.5</v>
      </c>
      <c r="B203" s="8">
        <v>201</v>
      </c>
      <c r="D203">
        <v>896.31600270087995</v>
      </c>
      <c r="E203">
        <v>253.17690749494</v>
      </c>
      <c r="F203">
        <v>138.67563930014001</v>
      </c>
      <c r="G203">
        <v>114.21265141319</v>
      </c>
      <c r="I203" s="9">
        <f t="shared" si="22"/>
        <v>138.96425608174999</v>
      </c>
      <c r="J203" s="9">
        <f t="shared" si="23"/>
        <v>757.64036340073994</v>
      </c>
      <c r="K203" s="9">
        <f t="shared" si="24"/>
        <v>138.96425608174999</v>
      </c>
      <c r="L203" s="10">
        <f t="shared" si="21"/>
        <v>0.18341717626816487</v>
      </c>
      <c r="M203" s="10">
        <f t="shared" si="20"/>
        <v>0.1918368438350368</v>
      </c>
      <c r="P203" s="8">
        <f t="shared" si="25"/>
        <v>-23.389865557582834</v>
      </c>
    </row>
    <row r="204" spans="1:16" x14ac:dyDescent="0.2">
      <c r="A204" s="8">
        <v>101</v>
      </c>
      <c r="B204" s="8">
        <v>202</v>
      </c>
      <c r="D204">
        <v>910.42876434841003</v>
      </c>
      <c r="E204">
        <v>255.41188386226</v>
      </c>
      <c r="F204">
        <v>138.61574697174001</v>
      </c>
      <c r="G204">
        <v>113.92462987886999</v>
      </c>
      <c r="I204" s="9">
        <f t="shared" si="22"/>
        <v>141.48725398339002</v>
      </c>
      <c r="J204" s="9">
        <f t="shared" si="23"/>
        <v>771.81301737667002</v>
      </c>
      <c r="K204" s="9">
        <f t="shared" si="24"/>
        <v>141.48725398339002</v>
      </c>
      <c r="L204" s="10">
        <f t="shared" si="21"/>
        <v>0.18331804568973681</v>
      </c>
      <c r="M204" s="10">
        <f t="shared" si="20"/>
        <v>0.19177960214997627</v>
      </c>
      <c r="P204" s="8">
        <f t="shared" si="25"/>
        <v>-23.412725051622303</v>
      </c>
    </row>
    <row r="205" spans="1:16" x14ac:dyDescent="0.2">
      <c r="A205" s="8">
        <v>101.5</v>
      </c>
      <c r="B205" s="8">
        <v>203</v>
      </c>
      <c r="D205">
        <v>936.90209318027996</v>
      </c>
      <c r="E205">
        <v>261.89466576637</v>
      </c>
      <c r="F205">
        <v>138.48990578735001</v>
      </c>
      <c r="G205">
        <v>114.53364737551</v>
      </c>
      <c r="I205" s="9">
        <f t="shared" si="22"/>
        <v>147.36101839086001</v>
      </c>
      <c r="J205" s="9">
        <f t="shared" si="23"/>
        <v>798.41218739292992</v>
      </c>
      <c r="K205" s="9">
        <f t="shared" si="24"/>
        <v>147.36101839086001</v>
      </c>
      <c r="L205" s="10">
        <f t="shared" si="21"/>
        <v>0.18456759643416851</v>
      </c>
      <c r="M205" s="10">
        <f t="shared" si="20"/>
        <v>0.19307104178777548</v>
      </c>
      <c r="P205" s="8">
        <f t="shared" si="25"/>
        <v>-22.896988020621407</v>
      </c>
    </row>
    <row r="206" spans="1:16" x14ac:dyDescent="0.2">
      <c r="A206" s="8">
        <v>102</v>
      </c>
      <c r="B206" s="8">
        <v>204</v>
      </c>
      <c r="D206">
        <v>925.57663740715998</v>
      </c>
      <c r="E206">
        <v>257.61782579338001</v>
      </c>
      <c r="F206">
        <v>138.68102288022001</v>
      </c>
      <c r="G206">
        <v>114.29138627187</v>
      </c>
      <c r="I206" s="9">
        <f t="shared" si="22"/>
        <v>143.32643952151</v>
      </c>
      <c r="J206" s="9">
        <f t="shared" si="23"/>
        <v>786.89561452693999</v>
      </c>
      <c r="K206" s="9">
        <f t="shared" si="24"/>
        <v>143.32643952151</v>
      </c>
      <c r="L206" s="10">
        <f t="shared" si="21"/>
        <v>0.18214161684923599</v>
      </c>
      <c r="M206" s="10">
        <f t="shared" si="20"/>
        <v>0.19068695109621051</v>
      </c>
      <c r="P206" s="8">
        <f t="shared" si="25"/>
        <v>-23.849075767440091</v>
      </c>
    </row>
    <row r="207" spans="1:16" x14ac:dyDescent="0.2">
      <c r="A207" s="8">
        <v>102.5</v>
      </c>
      <c r="B207" s="8">
        <v>205</v>
      </c>
      <c r="D207">
        <v>928.94125590816998</v>
      </c>
      <c r="E207">
        <v>258.90276839973001</v>
      </c>
      <c r="F207">
        <v>138.76379542396</v>
      </c>
      <c r="G207">
        <v>114.25437415882</v>
      </c>
      <c r="I207" s="9">
        <f t="shared" si="22"/>
        <v>144.64839424091002</v>
      </c>
      <c r="J207" s="9">
        <f t="shared" si="23"/>
        <v>790.17746048420997</v>
      </c>
      <c r="K207" s="9">
        <f t="shared" si="24"/>
        <v>144.64839424091002</v>
      </c>
      <c r="L207" s="10">
        <f t="shared" si="21"/>
        <v>0.18305811222743745</v>
      </c>
      <c r="M207" s="10">
        <f t="shared" si="20"/>
        <v>0.19164533536777947</v>
      </c>
      <c r="P207" s="8">
        <f t="shared" si="25"/>
        <v>-23.466344554683417</v>
      </c>
    </row>
    <row r="208" spans="1:16" x14ac:dyDescent="0.2">
      <c r="A208" s="8">
        <v>103</v>
      </c>
      <c r="B208" s="8">
        <v>206</v>
      </c>
      <c r="D208">
        <v>909.48885887914003</v>
      </c>
      <c r="E208">
        <v>255.75692099932999</v>
      </c>
      <c r="F208">
        <v>138.47106325707</v>
      </c>
      <c r="G208">
        <v>114.65746971736</v>
      </c>
      <c r="I208" s="9">
        <f t="shared" si="22"/>
        <v>141.09945128197</v>
      </c>
      <c r="J208" s="9">
        <f t="shared" si="23"/>
        <v>771.01779562207003</v>
      </c>
      <c r="K208" s="9">
        <f t="shared" si="24"/>
        <v>141.09945128197</v>
      </c>
      <c r="L208" s="10">
        <f t="shared" si="21"/>
        <v>0.18300414346225125</v>
      </c>
      <c r="M208" s="10">
        <f t="shared" si="20"/>
        <v>0.1916332554959608</v>
      </c>
      <c r="P208" s="8">
        <f t="shared" si="25"/>
        <v>-23.471168657215419</v>
      </c>
    </row>
    <row r="209" spans="1:16" x14ac:dyDescent="0.2">
      <c r="A209" s="8">
        <v>103.5</v>
      </c>
      <c r="B209" s="8">
        <v>207</v>
      </c>
      <c r="D209">
        <v>921.45239702902995</v>
      </c>
      <c r="E209">
        <v>258.53612424037999</v>
      </c>
      <c r="F209">
        <v>138.85733512786001</v>
      </c>
      <c r="G209">
        <v>114.39098250337</v>
      </c>
      <c r="I209" s="9">
        <f t="shared" si="22"/>
        <v>144.14514173700999</v>
      </c>
      <c r="J209" s="9">
        <f t="shared" si="23"/>
        <v>782.59506190116997</v>
      </c>
      <c r="K209" s="9">
        <f t="shared" si="24"/>
        <v>144.14514173700999</v>
      </c>
      <c r="L209" s="10">
        <f t="shared" si="21"/>
        <v>0.18418866761928707</v>
      </c>
      <c r="M209" s="10">
        <f t="shared" si="20"/>
        <v>0.19285966854636413</v>
      </c>
      <c r="P209" s="8">
        <f t="shared" si="25"/>
        <v>-22.981400024688668</v>
      </c>
    </row>
    <row r="210" spans="1:16" x14ac:dyDescent="0.2">
      <c r="A210" s="8">
        <v>104</v>
      </c>
      <c r="B210" s="8">
        <v>208</v>
      </c>
      <c r="D210">
        <v>915.24915597568997</v>
      </c>
      <c r="E210">
        <v>257.52869682647002</v>
      </c>
      <c r="F210">
        <v>138.56931359353999</v>
      </c>
      <c r="G210">
        <v>113.87685060565001</v>
      </c>
      <c r="I210" s="9">
        <f t="shared" si="22"/>
        <v>143.65184622082</v>
      </c>
      <c r="J210" s="9">
        <f t="shared" si="23"/>
        <v>776.67984238215001</v>
      </c>
      <c r="K210" s="9">
        <f t="shared" si="24"/>
        <v>143.65184622082</v>
      </c>
      <c r="L210" s="10">
        <f t="shared" si="21"/>
        <v>0.18495632097290732</v>
      </c>
      <c r="M210" s="10">
        <f t="shared" si="20"/>
        <v>0.19366921079335192</v>
      </c>
      <c r="P210" s="8">
        <f t="shared" si="25"/>
        <v>-22.658108944942366</v>
      </c>
    </row>
    <row r="211" spans="1:16" x14ac:dyDescent="0.2">
      <c r="A211" s="8">
        <v>104.5</v>
      </c>
      <c r="B211" s="8">
        <v>209</v>
      </c>
      <c r="D211">
        <v>925.91357191087002</v>
      </c>
      <c r="E211">
        <v>260.11411208643</v>
      </c>
      <c r="F211">
        <v>138.54777927321999</v>
      </c>
      <c r="G211">
        <v>114.29609690444001</v>
      </c>
      <c r="I211" s="9">
        <f t="shared" si="22"/>
        <v>145.81801518199001</v>
      </c>
      <c r="J211" s="9">
        <f t="shared" si="23"/>
        <v>787.36579263764997</v>
      </c>
      <c r="K211" s="9">
        <f t="shared" si="24"/>
        <v>145.81801518199001</v>
      </c>
      <c r="L211" s="10">
        <f t="shared" si="21"/>
        <v>0.18519729526666934</v>
      </c>
      <c r="M211" s="10">
        <f t="shared" si="20"/>
        <v>0.19395207398048145</v>
      </c>
      <c r="P211" s="8">
        <f t="shared" si="25"/>
        <v>-22.545147397193812</v>
      </c>
    </row>
    <row r="212" spans="1:16" x14ac:dyDescent="0.2">
      <c r="A212" s="8">
        <v>105</v>
      </c>
      <c r="B212" s="8">
        <v>210</v>
      </c>
      <c r="D212">
        <v>933.82714382174004</v>
      </c>
      <c r="E212">
        <v>262.37542201215001</v>
      </c>
      <c r="F212">
        <v>138.67362045760001</v>
      </c>
      <c r="G212">
        <v>114.21601615074</v>
      </c>
      <c r="I212" s="9">
        <f t="shared" si="22"/>
        <v>148.15940586140999</v>
      </c>
      <c r="J212" s="9">
        <f t="shared" si="23"/>
        <v>795.15352336414003</v>
      </c>
      <c r="K212" s="9">
        <f t="shared" si="24"/>
        <v>148.15940586140999</v>
      </c>
      <c r="L212" s="10">
        <f t="shared" si="21"/>
        <v>0.18632805050599077</v>
      </c>
      <c r="M212" s="10">
        <f t="shared" si="20"/>
        <v>0.19512471811317039</v>
      </c>
      <c r="P212" s="8">
        <f t="shared" si="25"/>
        <v>-22.07685140742209</v>
      </c>
    </row>
    <row r="213" spans="1:16" x14ac:dyDescent="0.2">
      <c r="A213" s="8">
        <v>105.5</v>
      </c>
      <c r="B213" s="8">
        <v>211</v>
      </c>
      <c r="D213">
        <v>940.43146522619998</v>
      </c>
      <c r="E213">
        <v>264.52532072923998</v>
      </c>
      <c r="F213">
        <v>138.30349932704999</v>
      </c>
      <c r="G213">
        <v>114.10296096904</v>
      </c>
      <c r="I213" s="9">
        <f t="shared" si="22"/>
        <v>150.42235976019998</v>
      </c>
      <c r="J213" s="9">
        <f t="shared" si="23"/>
        <v>802.12796589915001</v>
      </c>
      <c r="K213" s="9">
        <f t="shared" si="24"/>
        <v>150.42235976019998</v>
      </c>
      <c r="L213" s="10">
        <f t="shared" si="21"/>
        <v>0.18752913020752637</v>
      </c>
      <c r="M213" s="10">
        <f t="shared" si="20"/>
        <v>0.19636768670807353</v>
      </c>
      <c r="P213" s="8">
        <f t="shared" si="25"/>
        <v>-21.58047131035838</v>
      </c>
    </row>
    <row r="214" spans="1:16" x14ac:dyDescent="0.2">
      <c r="A214" s="8">
        <v>106</v>
      </c>
      <c r="B214" s="8">
        <v>212</v>
      </c>
      <c r="D214">
        <v>975.09520594192998</v>
      </c>
      <c r="E214">
        <v>270.28089128967002</v>
      </c>
      <c r="F214">
        <v>138.36810228802</v>
      </c>
      <c r="G214">
        <v>114.23082099596</v>
      </c>
      <c r="I214" s="9">
        <f t="shared" si="22"/>
        <v>156.05007029371001</v>
      </c>
      <c r="J214" s="9">
        <f t="shared" si="23"/>
        <v>836.72710365391004</v>
      </c>
      <c r="K214" s="9">
        <f t="shared" si="24"/>
        <v>156.05007029371001</v>
      </c>
      <c r="L214" s="10">
        <f t="shared" si="21"/>
        <v>0.18650055628920559</v>
      </c>
      <c r="M214" s="10">
        <f t="shared" si="20"/>
        <v>0.19538100168312025</v>
      </c>
      <c r="P214" s="8">
        <f t="shared" si="25"/>
        <v>-21.974504442382752</v>
      </c>
    </row>
    <row r="215" spans="1:16" x14ac:dyDescent="0.2">
      <c r="A215" s="8">
        <v>106.5</v>
      </c>
      <c r="B215" s="8">
        <v>213</v>
      </c>
      <c r="D215">
        <v>949.31667792031999</v>
      </c>
      <c r="E215">
        <v>266.43146522619998</v>
      </c>
      <c r="F215">
        <v>138.38425302825999</v>
      </c>
      <c r="G215">
        <v>114.21803499327</v>
      </c>
      <c r="I215" s="9">
        <f t="shared" si="22"/>
        <v>152.21343023292997</v>
      </c>
      <c r="J215" s="9">
        <f t="shared" si="23"/>
        <v>810.93242489206</v>
      </c>
      <c r="K215" s="9">
        <f t="shared" si="24"/>
        <v>152.21343023292997</v>
      </c>
      <c r="L215" s="10">
        <f t="shared" si="21"/>
        <v>0.18770174377130189</v>
      </c>
      <c r="M215" s="10">
        <f t="shared" si="20"/>
        <v>0.19662407805858409</v>
      </c>
      <c r="P215" s="8">
        <f t="shared" si="25"/>
        <v>-21.478081303101078</v>
      </c>
    </row>
    <row r="216" spans="1:16" x14ac:dyDescent="0.2">
      <c r="A216" s="8">
        <v>107</v>
      </c>
      <c r="B216" s="8">
        <v>214</v>
      </c>
      <c r="D216">
        <v>898.67656988521003</v>
      </c>
      <c r="E216">
        <v>260.23160027008998</v>
      </c>
      <c r="F216">
        <v>138.20390309556001</v>
      </c>
      <c r="G216">
        <v>113.89030955586</v>
      </c>
      <c r="I216" s="9">
        <f t="shared" si="22"/>
        <v>146.34129071422998</v>
      </c>
      <c r="J216" s="9">
        <f t="shared" si="23"/>
        <v>760.47266678965002</v>
      </c>
      <c r="K216" s="9">
        <f t="shared" si="24"/>
        <v>146.34129071422998</v>
      </c>
      <c r="L216" s="10">
        <f t="shared" si="21"/>
        <v>0.19243464900850751</v>
      </c>
      <c r="M216" s="10">
        <f t="shared" si="20"/>
        <v>0.20139887218915722</v>
      </c>
      <c r="P216" s="8">
        <f t="shared" si="25"/>
        <v>-19.571265005640377</v>
      </c>
    </row>
    <row r="217" spans="1:16" x14ac:dyDescent="0.2">
      <c r="A217" s="8">
        <v>107.5</v>
      </c>
      <c r="B217" s="8">
        <v>215</v>
      </c>
      <c r="D217">
        <v>947.73058744091998</v>
      </c>
      <c r="E217">
        <v>269.82984469952999</v>
      </c>
      <c r="F217">
        <v>139.15814266487001</v>
      </c>
      <c r="G217">
        <v>114.37886944818</v>
      </c>
      <c r="I217" s="9">
        <f t="shared" si="22"/>
        <v>155.45097525134997</v>
      </c>
      <c r="J217" s="9">
        <f t="shared" si="23"/>
        <v>808.57244477604991</v>
      </c>
      <c r="K217" s="9">
        <f t="shared" si="24"/>
        <v>155.45097525134997</v>
      </c>
      <c r="L217" s="10">
        <f t="shared" si="21"/>
        <v>0.19225361469547134</v>
      </c>
      <c r="M217" s="10">
        <f t="shared" si="20"/>
        <v>0.20125972676948858</v>
      </c>
      <c r="P217" s="8">
        <f t="shared" si="25"/>
        <v>-19.626832794886468</v>
      </c>
    </row>
    <row r="218" spans="1:16" x14ac:dyDescent="0.2">
      <c r="A218" s="8">
        <v>108</v>
      </c>
      <c r="B218" s="8">
        <v>216</v>
      </c>
      <c r="D218">
        <v>930.83187035787</v>
      </c>
      <c r="E218">
        <v>266.15124915598</v>
      </c>
      <c r="F218">
        <v>138.07537012112999</v>
      </c>
      <c r="G218">
        <v>114.1534320323</v>
      </c>
      <c r="I218" s="9">
        <f t="shared" si="22"/>
        <v>151.99781712367999</v>
      </c>
      <c r="J218" s="9">
        <f t="shared" si="23"/>
        <v>792.75650023674007</v>
      </c>
      <c r="K218" s="9">
        <f t="shared" si="24"/>
        <v>151.99781712367999</v>
      </c>
      <c r="L218" s="10">
        <f t="shared" si="21"/>
        <v>0.19173329651448967</v>
      </c>
      <c r="M218" s="10">
        <f t="shared" si="20"/>
        <v>0.20078129748187443</v>
      </c>
      <c r="P218" s="8">
        <f t="shared" si="25"/>
        <v>-19.81789375748669</v>
      </c>
    </row>
    <row r="219" spans="1:16" x14ac:dyDescent="0.2">
      <c r="A219" s="8">
        <v>108.5</v>
      </c>
      <c r="B219" s="8">
        <v>217</v>
      </c>
      <c r="D219">
        <v>918.15327481431996</v>
      </c>
      <c r="E219">
        <v>265.45239702903001</v>
      </c>
      <c r="F219">
        <v>138.43539703902999</v>
      </c>
      <c r="G219">
        <v>114.2799461642</v>
      </c>
      <c r="I219" s="9">
        <f t="shared" si="22"/>
        <v>151.17245086483001</v>
      </c>
      <c r="J219" s="9">
        <f t="shared" si="23"/>
        <v>779.71787777528994</v>
      </c>
      <c r="K219" s="9">
        <f t="shared" si="24"/>
        <v>151.17245086483001</v>
      </c>
      <c r="L219" s="10">
        <f t="shared" si="21"/>
        <v>0.19388096024700491</v>
      </c>
      <c r="M219" s="10">
        <f t="shared" si="20"/>
        <v>0.2029708501077572</v>
      </c>
      <c r="P219" s="8">
        <f t="shared" si="25"/>
        <v>-18.943494879334427</v>
      </c>
    </row>
    <row r="220" spans="1:16" x14ac:dyDescent="0.2">
      <c r="A220" s="8">
        <v>109</v>
      </c>
      <c r="B220" s="8">
        <v>218</v>
      </c>
      <c r="D220">
        <v>955.72248480756002</v>
      </c>
      <c r="E220">
        <v>272.93247805536998</v>
      </c>
      <c r="F220">
        <v>138.89636608345</v>
      </c>
      <c r="G220">
        <v>114.22274562584001</v>
      </c>
      <c r="I220" s="9">
        <f t="shared" si="22"/>
        <v>158.70973242952999</v>
      </c>
      <c r="J220" s="9">
        <f t="shared" si="23"/>
        <v>816.82611872411007</v>
      </c>
      <c r="K220" s="9">
        <f t="shared" si="24"/>
        <v>158.70973242952999</v>
      </c>
      <c r="L220" s="10">
        <f t="shared" si="21"/>
        <v>0.19430051119990635</v>
      </c>
      <c r="M220" s="10">
        <f t="shared" si="20"/>
        <v>0.20343228995402615</v>
      </c>
      <c r="P220" s="8">
        <f t="shared" si="25"/>
        <v>-18.759218658181876</v>
      </c>
    </row>
    <row r="221" spans="1:16" x14ac:dyDescent="0.2">
      <c r="A221" s="8">
        <v>109.5</v>
      </c>
      <c r="B221" s="8">
        <v>219</v>
      </c>
      <c r="D221">
        <v>948.34952766532001</v>
      </c>
      <c r="E221">
        <v>273.17948717949002</v>
      </c>
      <c r="F221">
        <v>138.3734858681</v>
      </c>
      <c r="G221">
        <v>114.14401076716</v>
      </c>
      <c r="I221" s="9">
        <f t="shared" si="22"/>
        <v>159.03547641233001</v>
      </c>
      <c r="J221" s="9">
        <f t="shared" si="23"/>
        <v>809.97604179721998</v>
      </c>
      <c r="K221" s="9">
        <f t="shared" si="24"/>
        <v>159.03547641233001</v>
      </c>
      <c r="L221" s="10">
        <f t="shared" si="21"/>
        <v>0.19634590186081707</v>
      </c>
      <c r="M221" s="10">
        <f t="shared" si="20"/>
        <v>0.20551956950830441</v>
      </c>
      <c r="P221" s="8">
        <f t="shared" si="25"/>
        <v>-17.925662579612986</v>
      </c>
    </row>
    <row r="222" spans="1:16" x14ac:dyDescent="0.2">
      <c r="A222" s="8">
        <v>110</v>
      </c>
      <c r="B222" s="8">
        <v>220</v>
      </c>
      <c r="D222">
        <v>908.08232118757996</v>
      </c>
      <c r="E222">
        <v>267.98380566802001</v>
      </c>
      <c r="F222">
        <v>137.89098250337</v>
      </c>
      <c r="G222">
        <v>114.46298788695</v>
      </c>
      <c r="I222" s="9">
        <f t="shared" si="22"/>
        <v>153.52081778107001</v>
      </c>
      <c r="J222" s="9">
        <f t="shared" si="23"/>
        <v>770.19133868421</v>
      </c>
      <c r="K222" s="9">
        <f t="shared" si="24"/>
        <v>153.52081778107001</v>
      </c>
      <c r="L222" s="10">
        <f t="shared" si="21"/>
        <v>0.19932815401864165</v>
      </c>
      <c r="M222" s="10">
        <f t="shared" si="20"/>
        <v>0.2085437105594965</v>
      </c>
      <c r="P222" s="8">
        <f t="shared" si="25"/>
        <v>-16.717970418539469</v>
      </c>
    </row>
    <row r="223" spans="1:16" x14ac:dyDescent="0.2">
      <c r="A223" s="8">
        <v>110.5</v>
      </c>
      <c r="B223" s="8">
        <v>221</v>
      </c>
      <c r="D223">
        <v>936.61538461538998</v>
      </c>
      <c r="E223">
        <v>274.62887989204</v>
      </c>
      <c r="F223">
        <v>138.39502018843001</v>
      </c>
      <c r="G223">
        <v>114.07267833109</v>
      </c>
      <c r="I223" s="9">
        <f t="shared" si="22"/>
        <v>160.55620156095</v>
      </c>
      <c r="J223" s="9">
        <f t="shared" si="23"/>
        <v>798.22036442696003</v>
      </c>
      <c r="K223" s="9">
        <f t="shared" si="24"/>
        <v>160.55620156095</v>
      </c>
      <c r="L223" s="10">
        <f t="shared" si="21"/>
        <v>0.20114270283772176</v>
      </c>
      <c r="M223" s="10">
        <f t="shared" si="20"/>
        <v>0.21040014827194414</v>
      </c>
      <c r="P223" s="8">
        <f t="shared" si="25"/>
        <v>-15.976601138835896</v>
      </c>
    </row>
    <row r="224" spans="1:16" x14ac:dyDescent="0.2">
      <c r="A224" s="8">
        <v>111</v>
      </c>
      <c r="B224" s="8">
        <v>222</v>
      </c>
      <c r="D224">
        <v>928.92712550606996</v>
      </c>
      <c r="E224">
        <v>274.75573549258002</v>
      </c>
      <c r="F224">
        <v>137.69515477792999</v>
      </c>
      <c r="G224">
        <v>114.25235531628999</v>
      </c>
      <c r="I224" s="9">
        <f t="shared" si="22"/>
        <v>160.50338017629002</v>
      </c>
      <c r="J224" s="9">
        <f t="shared" si="23"/>
        <v>791.23197072813991</v>
      </c>
      <c r="K224" s="9">
        <f t="shared" si="24"/>
        <v>160.50338017629002</v>
      </c>
      <c r="L224" s="10">
        <f t="shared" si="21"/>
        <v>0.20285249599884725</v>
      </c>
      <c r="M224" s="10">
        <f t="shared" si="20"/>
        <v>0.21215183032643714</v>
      </c>
      <c r="P224" s="8">
        <f t="shared" si="25"/>
        <v>-15.277066080750416</v>
      </c>
    </row>
    <row r="225" spans="1:16" x14ac:dyDescent="0.2">
      <c r="A225" s="8">
        <v>111.5</v>
      </c>
      <c r="B225" s="8">
        <v>223</v>
      </c>
      <c r="D225">
        <v>936.91295546559002</v>
      </c>
      <c r="E225">
        <v>276.89743589744</v>
      </c>
      <c r="F225">
        <v>138.84253028264001</v>
      </c>
      <c r="G225">
        <v>114.38963660835</v>
      </c>
      <c r="I225" s="9">
        <f t="shared" si="22"/>
        <v>162.50779928909</v>
      </c>
      <c r="J225" s="9">
        <f t="shared" si="23"/>
        <v>798.07042518294998</v>
      </c>
      <c r="K225" s="9">
        <f t="shared" si="24"/>
        <v>162.50779928909</v>
      </c>
      <c r="L225" s="10">
        <f t="shared" si="21"/>
        <v>0.20362588834417295</v>
      </c>
      <c r="M225" s="10">
        <f t="shared" si="20"/>
        <v>0.21296711156513037</v>
      </c>
      <c r="P225" s="8">
        <f t="shared" si="25"/>
        <v>-14.951483131948473</v>
      </c>
    </row>
    <row r="226" spans="1:16" x14ac:dyDescent="0.2">
      <c r="A226" s="8">
        <v>112</v>
      </c>
      <c r="B226" s="8">
        <v>224</v>
      </c>
      <c r="D226">
        <v>913.24459459460002</v>
      </c>
      <c r="E226">
        <v>271.64054054053997</v>
      </c>
      <c r="F226">
        <v>138.77523553162999</v>
      </c>
      <c r="G226">
        <v>114.38829071332</v>
      </c>
      <c r="I226" s="9">
        <f t="shared" si="22"/>
        <v>157.25224982721997</v>
      </c>
      <c r="J226" s="9">
        <f t="shared" si="23"/>
        <v>774.46935906297006</v>
      </c>
      <c r="K226" s="9">
        <f t="shared" si="24"/>
        <v>157.25224982721997</v>
      </c>
      <c r="L226" s="10">
        <f t="shared" si="21"/>
        <v>0.20304515341637189</v>
      </c>
      <c r="M226" s="10">
        <f t="shared" si="20"/>
        <v>0.21242826553069682</v>
      </c>
      <c r="P226" s="8">
        <f t="shared" si="25"/>
        <v>-15.166671551005322</v>
      </c>
    </row>
    <row r="227" spans="1:16" x14ac:dyDescent="0.2">
      <c r="A227" s="8">
        <v>112.5</v>
      </c>
      <c r="B227" s="8">
        <v>225</v>
      </c>
      <c r="D227">
        <v>903.43243243243001</v>
      </c>
      <c r="E227">
        <v>271.68175675676002</v>
      </c>
      <c r="F227">
        <v>138.52759084791001</v>
      </c>
      <c r="G227">
        <v>114.07402422611</v>
      </c>
      <c r="I227" s="9">
        <f t="shared" si="22"/>
        <v>157.60773253065003</v>
      </c>
      <c r="J227" s="9">
        <f t="shared" si="23"/>
        <v>764.90484158452</v>
      </c>
      <c r="K227" s="9">
        <f t="shared" si="24"/>
        <v>157.60773253065003</v>
      </c>
      <c r="L227" s="10">
        <f t="shared" si="21"/>
        <v>0.20604881020776594</v>
      </c>
      <c r="M227" s="10">
        <f t="shared" si="20"/>
        <v>0.21547381121545842</v>
      </c>
      <c r="P227" s="8">
        <f t="shared" si="25"/>
        <v>-13.950431439378258</v>
      </c>
    </row>
    <row r="228" spans="1:16" x14ac:dyDescent="0.2">
      <c r="A228" s="8">
        <v>113</v>
      </c>
      <c r="B228" s="8">
        <v>226</v>
      </c>
      <c r="D228">
        <v>903.28513513513997</v>
      </c>
      <c r="E228">
        <v>273.375</v>
      </c>
      <c r="F228">
        <v>138.10834454913001</v>
      </c>
      <c r="G228">
        <v>114.17563930014001</v>
      </c>
      <c r="I228" s="9">
        <f t="shared" si="22"/>
        <v>159.19936069985999</v>
      </c>
      <c r="J228" s="9">
        <f t="shared" si="23"/>
        <v>765.17679058600993</v>
      </c>
      <c r="K228" s="9">
        <f t="shared" si="24"/>
        <v>159.19936069985999</v>
      </c>
      <c r="L228" s="10">
        <f t="shared" si="21"/>
        <v>0.20805565806293905</v>
      </c>
      <c r="M228" s="10">
        <f t="shared" si="20"/>
        <v>0.21752254796399903</v>
      </c>
      <c r="P228" s="8">
        <f t="shared" si="25"/>
        <v>-13.132267448535165</v>
      </c>
    </row>
    <row r="229" spans="1:16" x14ac:dyDescent="0.2">
      <c r="A229" s="8">
        <v>113.5</v>
      </c>
      <c r="B229" s="8">
        <v>227</v>
      </c>
      <c r="D229">
        <v>841.83851351350995</v>
      </c>
      <c r="E229">
        <v>263.72162162161999</v>
      </c>
      <c r="F229">
        <v>138.28331090175001</v>
      </c>
      <c r="G229">
        <v>114.0800807537</v>
      </c>
      <c r="I229" s="9">
        <f t="shared" si="22"/>
        <v>149.64154086791999</v>
      </c>
      <c r="J229" s="9">
        <f t="shared" si="23"/>
        <v>703.55520261175991</v>
      </c>
      <c r="K229" s="9">
        <f t="shared" si="24"/>
        <v>149.64154086791999</v>
      </c>
      <c r="L229" s="10">
        <f t="shared" si="21"/>
        <v>0.21269338967634085</v>
      </c>
      <c r="M229" s="10">
        <f t="shared" si="20"/>
        <v>0.22220216847076837</v>
      </c>
      <c r="P229" s="8">
        <f t="shared" si="25"/>
        <v>-11.263458782816205</v>
      </c>
    </row>
    <row r="230" spans="1:16" x14ac:dyDescent="0.2">
      <c r="A230" s="8">
        <v>114</v>
      </c>
      <c r="B230" s="8">
        <v>228</v>
      </c>
      <c r="D230">
        <v>895.00403496974002</v>
      </c>
      <c r="E230">
        <v>269.81506388702002</v>
      </c>
      <c r="F230">
        <v>138.53566621804001</v>
      </c>
      <c r="G230">
        <v>113.83041722746</v>
      </c>
      <c r="I230" s="9">
        <f t="shared" si="22"/>
        <v>155.98464665956001</v>
      </c>
      <c r="J230" s="9">
        <f t="shared" si="23"/>
        <v>756.46836875170004</v>
      </c>
      <c r="K230" s="9">
        <f t="shared" si="24"/>
        <v>155.98464665956001</v>
      </c>
      <c r="L230" s="10">
        <f t="shared" si="21"/>
        <v>0.20620114878955337</v>
      </c>
      <c r="M230" s="10">
        <f t="shared" si="20"/>
        <v>0.2157518164773484</v>
      </c>
      <c r="P230" s="8">
        <f t="shared" si="25"/>
        <v>-13.839409906374906</v>
      </c>
    </row>
    <row r="231" spans="1:16" x14ac:dyDescent="0.2">
      <c r="A231" s="8">
        <v>114.5</v>
      </c>
      <c r="B231" s="8">
        <v>229</v>
      </c>
      <c r="D231">
        <v>884.56624075318996</v>
      </c>
      <c r="E231">
        <v>268.91795561533002</v>
      </c>
      <c r="F231">
        <v>138.61641991925001</v>
      </c>
      <c r="G231">
        <v>113.93405114401</v>
      </c>
      <c r="I231" s="9">
        <f t="shared" si="22"/>
        <v>154.98390447132002</v>
      </c>
      <c r="J231" s="9">
        <f t="shared" si="23"/>
        <v>745.94982083393995</v>
      </c>
      <c r="K231" s="9">
        <f t="shared" si="24"/>
        <v>154.98390447132002</v>
      </c>
      <c r="L231" s="10">
        <f t="shared" si="21"/>
        <v>0.20776719846658673</v>
      </c>
      <c r="M231" s="10">
        <f t="shared" si="20"/>
        <v>0.21735975504774929</v>
      </c>
      <c r="P231" s="8">
        <f t="shared" si="25"/>
        <v>-13.197278876740739</v>
      </c>
    </row>
    <row r="232" spans="1:16" x14ac:dyDescent="0.2">
      <c r="A232" s="8">
        <v>115</v>
      </c>
      <c r="B232" s="8">
        <v>230</v>
      </c>
      <c r="D232">
        <v>850.79488903832998</v>
      </c>
      <c r="E232">
        <v>264.23537323469998</v>
      </c>
      <c r="F232">
        <v>138.09623149394</v>
      </c>
      <c r="G232">
        <v>114.0067294751</v>
      </c>
      <c r="I232" s="9">
        <f t="shared" si="22"/>
        <v>150.22864375959998</v>
      </c>
      <c r="J232" s="9">
        <f t="shared" si="23"/>
        <v>712.69865754439002</v>
      </c>
      <c r="K232" s="9">
        <f t="shared" si="24"/>
        <v>150.22864375959998</v>
      </c>
      <c r="L232" s="10">
        <f t="shared" si="21"/>
        <v>0.2107884477813024</v>
      </c>
      <c r="M232" s="10">
        <f t="shared" si="20"/>
        <v>0.22042289325583247</v>
      </c>
      <c r="P232" s="8">
        <f t="shared" si="25"/>
        <v>-11.974013182593108</v>
      </c>
    </row>
    <row r="233" spans="1:16" x14ac:dyDescent="0.2">
      <c r="A233" s="8">
        <v>115.5</v>
      </c>
      <c r="B233" s="8">
        <v>231</v>
      </c>
      <c r="D233">
        <v>878.19121621622003</v>
      </c>
      <c r="E233">
        <v>271.63243243242999</v>
      </c>
      <c r="F233">
        <v>137.9932705249</v>
      </c>
      <c r="G233">
        <v>113.98452220727</v>
      </c>
      <c r="I233" s="9">
        <f t="shared" si="22"/>
        <v>157.64791022515999</v>
      </c>
      <c r="J233" s="9">
        <f t="shared" si="23"/>
        <v>740.19794569132</v>
      </c>
      <c r="K233" s="9">
        <f t="shared" si="24"/>
        <v>157.64791022515999</v>
      </c>
      <c r="L233" s="10">
        <f t="shared" si="21"/>
        <v>0.21298074541117801</v>
      </c>
      <c r="M233" s="10">
        <f t="shared" si="20"/>
        <v>0.22265707977907562</v>
      </c>
      <c r="P233" s="8">
        <f t="shared" si="25"/>
        <v>-11.081789736390677</v>
      </c>
    </row>
    <row r="234" spans="1:16" x14ac:dyDescent="0.2">
      <c r="A234" s="8">
        <v>116</v>
      </c>
      <c r="B234" s="8">
        <v>232</v>
      </c>
      <c r="D234">
        <v>869.81351351350997</v>
      </c>
      <c r="E234">
        <v>272.11283783784</v>
      </c>
      <c r="F234">
        <v>138.09825033646999</v>
      </c>
      <c r="G234">
        <v>113.78600269179</v>
      </c>
      <c r="I234" s="9">
        <f t="shared" si="22"/>
        <v>158.32683514605</v>
      </c>
      <c r="J234" s="9">
        <f t="shared" si="23"/>
        <v>731.71526317704001</v>
      </c>
      <c r="K234" s="9">
        <f t="shared" si="24"/>
        <v>158.32683514605</v>
      </c>
      <c r="L234" s="10">
        <f t="shared" si="21"/>
        <v>0.21637765824182692</v>
      </c>
      <c r="M234" s="10">
        <f t="shared" si="20"/>
        <v>0.22609588150309204</v>
      </c>
      <c r="P234" s="8">
        <f t="shared" si="25"/>
        <v>-9.7085026392350553</v>
      </c>
    </row>
    <row r="235" spans="1:16" x14ac:dyDescent="0.2">
      <c r="A235" s="8">
        <v>116.5</v>
      </c>
      <c r="B235" s="8">
        <v>233</v>
      </c>
      <c r="D235">
        <v>903.71399594320997</v>
      </c>
      <c r="E235">
        <v>278.52738336713998</v>
      </c>
      <c r="F235">
        <v>138.64468371467001</v>
      </c>
      <c r="G235">
        <v>114.02624495289</v>
      </c>
      <c r="I235" s="9">
        <f t="shared" si="22"/>
        <v>164.50113841424997</v>
      </c>
      <c r="J235" s="9">
        <f t="shared" si="23"/>
        <v>765.06931222853996</v>
      </c>
      <c r="K235" s="9">
        <f t="shared" si="24"/>
        <v>164.50113841424997</v>
      </c>
      <c r="L235" s="10">
        <f t="shared" si="21"/>
        <v>0.21501468662372714</v>
      </c>
      <c r="M235" s="10">
        <f t="shared" si="20"/>
        <v>0.22477479877835976</v>
      </c>
      <c r="P235" s="8">
        <f t="shared" si="25"/>
        <v>-10.236077651042095</v>
      </c>
    </row>
    <row r="236" spans="1:16" x14ac:dyDescent="0.2">
      <c r="A236" s="8">
        <v>117</v>
      </c>
      <c r="B236" s="8">
        <v>234</v>
      </c>
      <c r="D236">
        <v>857.96957403651004</v>
      </c>
      <c r="E236">
        <v>270.75388776199998</v>
      </c>
      <c r="F236">
        <v>138.34589502019</v>
      </c>
      <c r="G236">
        <v>114.18371467026</v>
      </c>
      <c r="I236" s="9">
        <f t="shared" si="22"/>
        <v>156.57017309173997</v>
      </c>
      <c r="J236" s="9">
        <f t="shared" si="23"/>
        <v>719.62367901632001</v>
      </c>
      <c r="K236" s="9">
        <f t="shared" si="24"/>
        <v>156.57017309173997</v>
      </c>
      <c r="L236" s="10">
        <f t="shared" si="21"/>
        <v>0.21757229182030458</v>
      </c>
      <c r="M236" s="10">
        <f t="shared" si="20"/>
        <v>0.22737429286830474</v>
      </c>
      <c r="P236" s="8">
        <f t="shared" si="25"/>
        <v>-9.1979684550619769</v>
      </c>
    </row>
    <row r="237" spans="1:16" x14ac:dyDescent="0.2">
      <c r="A237" s="8">
        <v>117.5</v>
      </c>
      <c r="B237" s="8">
        <v>235</v>
      </c>
      <c r="D237">
        <v>860.96484110886001</v>
      </c>
      <c r="E237">
        <v>271.81744421907001</v>
      </c>
      <c r="F237">
        <v>137.93472409152</v>
      </c>
      <c r="G237">
        <v>114.05854643338</v>
      </c>
      <c r="I237" s="9">
        <f t="shared" si="22"/>
        <v>157.75889778569001</v>
      </c>
      <c r="J237" s="9">
        <f t="shared" si="23"/>
        <v>723.03011701733999</v>
      </c>
      <c r="K237" s="9">
        <f t="shared" si="24"/>
        <v>157.75889778569001</v>
      </c>
      <c r="L237" s="10">
        <f t="shared" si="21"/>
        <v>0.21819132297902133</v>
      </c>
      <c r="M237" s="10">
        <f t="shared" si="20"/>
        <v>0.228035212920389</v>
      </c>
      <c r="P237" s="8">
        <f t="shared" si="25"/>
        <v>-8.9340297192401703</v>
      </c>
    </row>
    <row r="238" spans="1:16" x14ac:dyDescent="0.2">
      <c r="A238" s="8">
        <v>118</v>
      </c>
      <c r="B238" s="8">
        <v>236</v>
      </c>
      <c r="D238">
        <v>854.65584854632004</v>
      </c>
      <c r="E238">
        <v>271.67748478701998</v>
      </c>
      <c r="F238">
        <v>138.2200538358</v>
      </c>
      <c r="G238">
        <v>113.98048452221001</v>
      </c>
      <c r="I238" s="9">
        <f t="shared" si="22"/>
        <v>157.69700026480996</v>
      </c>
      <c r="J238" s="9">
        <f t="shared" si="23"/>
        <v>716.43579471051999</v>
      </c>
      <c r="K238" s="9">
        <f t="shared" si="24"/>
        <v>157.69700026480996</v>
      </c>
      <c r="L238" s="10">
        <f t="shared" si="21"/>
        <v>0.22011323475054501</v>
      </c>
      <c r="M238" s="10">
        <f t="shared" si="20"/>
        <v>0.22999901358528022</v>
      </c>
      <c r="P238" s="8">
        <f t="shared" si="25"/>
        <v>-8.1497849936295079</v>
      </c>
    </row>
    <row r="239" spans="1:16" x14ac:dyDescent="0.2">
      <c r="A239" s="8">
        <v>118.5</v>
      </c>
      <c r="B239" s="8">
        <v>237</v>
      </c>
      <c r="D239">
        <v>809.75118323190998</v>
      </c>
      <c r="E239">
        <v>265.24475997296003</v>
      </c>
      <c r="F239">
        <v>138.49798115747001</v>
      </c>
      <c r="G239">
        <v>114.04576043069</v>
      </c>
      <c r="I239" s="9">
        <f t="shared" si="22"/>
        <v>151.19899954227003</v>
      </c>
      <c r="J239" s="9">
        <f t="shared" si="23"/>
        <v>671.25320207443997</v>
      </c>
      <c r="K239" s="9">
        <f t="shared" si="24"/>
        <v>151.19899954227003</v>
      </c>
      <c r="L239" s="10">
        <f t="shared" si="21"/>
        <v>0.2252488317001764</v>
      </c>
      <c r="M239" s="10">
        <f t="shared" si="20"/>
        <v>0.23517649942827912</v>
      </c>
      <c r="P239" s="8">
        <f t="shared" si="25"/>
        <v>-6.0821535700905516</v>
      </c>
    </row>
    <row r="240" spans="1:16" x14ac:dyDescent="0.2">
      <c r="A240" s="8">
        <v>119</v>
      </c>
      <c r="B240" s="8">
        <v>238</v>
      </c>
      <c r="D240">
        <v>847.69100743746003</v>
      </c>
      <c r="E240">
        <v>273.81135902636998</v>
      </c>
      <c r="F240">
        <v>137.65208613728001</v>
      </c>
      <c r="G240">
        <v>114.11574697173999</v>
      </c>
      <c r="I240" s="9">
        <f t="shared" si="22"/>
        <v>159.69561205462998</v>
      </c>
      <c r="J240" s="9">
        <f t="shared" si="23"/>
        <v>710.03892130018005</v>
      </c>
      <c r="K240" s="9">
        <f t="shared" si="24"/>
        <v>159.69561205462998</v>
      </c>
      <c r="L240" s="10">
        <f t="shared" si="21"/>
        <v>0.22491106792034032</v>
      </c>
      <c r="M240" s="10">
        <f t="shared" si="20"/>
        <v>0.23488062454181058</v>
      </c>
      <c r="P240" s="8">
        <f t="shared" si="25"/>
        <v>-6.2003113461326835</v>
      </c>
    </row>
    <row r="241" spans="1:16" x14ac:dyDescent="0.2">
      <c r="A241" s="8">
        <v>119.5</v>
      </c>
      <c r="B241" s="8">
        <v>239</v>
      </c>
      <c r="D241">
        <v>813.42325895876002</v>
      </c>
      <c r="E241">
        <v>267.77146720757003</v>
      </c>
      <c r="F241">
        <v>138.64199192462999</v>
      </c>
      <c r="G241">
        <v>113.78532974428001</v>
      </c>
      <c r="I241" s="9">
        <f t="shared" si="22"/>
        <v>153.98613746329002</v>
      </c>
      <c r="J241" s="9">
        <f t="shared" si="23"/>
        <v>674.78126703413</v>
      </c>
      <c r="K241" s="9">
        <f t="shared" si="24"/>
        <v>153.98613746329002</v>
      </c>
      <c r="L241" s="10">
        <f t="shared" si="21"/>
        <v>0.22820155950698837</v>
      </c>
      <c r="M241" s="10">
        <f t="shared" si="20"/>
        <v>0.23821300502182613</v>
      </c>
      <c r="P241" s="8">
        <f t="shared" si="25"/>
        <v>-4.8695236231715562</v>
      </c>
    </row>
    <row r="242" spans="1:16" x14ac:dyDescent="0.2">
      <c r="A242" s="8">
        <v>120</v>
      </c>
      <c r="B242" s="8">
        <v>240</v>
      </c>
      <c r="D242">
        <v>904.05081300813004</v>
      </c>
      <c r="E242">
        <v>285.76084010839998</v>
      </c>
      <c r="F242">
        <v>138.34724091520999</v>
      </c>
      <c r="G242">
        <v>113.92261103634</v>
      </c>
      <c r="I242" s="9">
        <f>E242-G242</f>
        <v>171.83822907205996</v>
      </c>
      <c r="J242" s="9">
        <f>D242-F242</f>
        <v>765.70357209292001</v>
      </c>
      <c r="K242" s="9">
        <f t="shared" si="24"/>
        <v>171.83822907205996</v>
      </c>
      <c r="L242" s="10">
        <f t="shared" si="21"/>
        <v>0.22441873766158554</v>
      </c>
      <c r="M242" s="10">
        <f>L242+ABS($N$2)*A242</f>
        <v>0.23447207206979084</v>
      </c>
      <c r="O242" s="11"/>
      <c r="P242" s="8">
        <f>(M242-$O$2)/$O$2*100</f>
        <v>-6.3634669693305321</v>
      </c>
    </row>
    <row r="243" spans="1:16" x14ac:dyDescent="0.2">
      <c r="A243" s="8">
        <v>120.5</v>
      </c>
      <c r="B243" s="8">
        <v>241</v>
      </c>
      <c r="D243">
        <v>848.1144211239</v>
      </c>
      <c r="E243">
        <v>274.12931618145001</v>
      </c>
      <c r="F243">
        <v>137.93001345894999</v>
      </c>
      <c r="G243">
        <v>114.24360699864999</v>
      </c>
      <c r="I243" s="9">
        <f t="shared" ref="I243:I274" si="26">E243-G243</f>
        <v>159.88570918280001</v>
      </c>
      <c r="J243" s="9">
        <f t="shared" ref="J243:J274" si="27">D243-F243</f>
        <v>710.18440766494996</v>
      </c>
      <c r="K243" s="9">
        <f t="shared" si="24"/>
        <v>159.88570918280001</v>
      </c>
      <c r="L243" s="10">
        <f t="shared" si="21"/>
        <v>0.22513266618806241</v>
      </c>
      <c r="M243" s="10">
        <f t="shared" ref="M243:M274" si="28">L243+ABS($N$2)*A243</f>
        <v>0.23522788948963522</v>
      </c>
      <c r="P243" s="8">
        <f t="shared" ref="P243:P274" si="29">(M243-$O$2)/$O$2*100</f>
        <v>-6.061630924748866</v>
      </c>
    </row>
    <row r="244" spans="1:16" x14ac:dyDescent="0.2">
      <c r="A244" s="8">
        <v>121</v>
      </c>
      <c r="B244" s="8">
        <v>242</v>
      </c>
      <c r="D244">
        <v>839.25524712255003</v>
      </c>
      <c r="E244">
        <v>273.42315504401</v>
      </c>
      <c r="F244">
        <v>138.17765814267</v>
      </c>
      <c r="G244">
        <v>113.93606998654001</v>
      </c>
      <c r="I244" s="9">
        <f t="shared" si="26"/>
        <v>159.48708505746998</v>
      </c>
      <c r="J244" s="9">
        <f t="shared" si="27"/>
        <v>701.07758897988003</v>
      </c>
      <c r="K244" s="9">
        <f t="shared" si="24"/>
        <v>159.48708505746998</v>
      </c>
      <c r="L244" s="10">
        <f t="shared" si="21"/>
        <v>0.22748849423290729</v>
      </c>
      <c r="M244" s="10">
        <f t="shared" si="28"/>
        <v>0.23762560642784764</v>
      </c>
      <c r="N244" s="1"/>
      <c r="P244" s="8">
        <f t="shared" si="29"/>
        <v>-5.1041015298779238</v>
      </c>
    </row>
    <row r="245" spans="1:16" x14ac:dyDescent="0.2">
      <c r="A245" s="8">
        <v>121.5</v>
      </c>
      <c r="B245" s="8">
        <v>243</v>
      </c>
      <c r="D245">
        <v>808.94512195122002</v>
      </c>
      <c r="E245">
        <v>270.32655826557999</v>
      </c>
      <c r="F245">
        <v>137.73418573351</v>
      </c>
      <c r="G245">
        <v>114.13526244953</v>
      </c>
      <c r="I245" s="9">
        <f t="shared" si="26"/>
        <v>156.19129581605</v>
      </c>
      <c r="J245" s="9">
        <f t="shared" si="27"/>
        <v>671.21093621771001</v>
      </c>
      <c r="K245" s="9">
        <f t="shared" si="24"/>
        <v>156.19129581605</v>
      </c>
      <c r="L245" s="10">
        <f t="shared" si="21"/>
        <v>0.23270076124830708</v>
      </c>
      <c r="M245" s="10">
        <f t="shared" si="28"/>
        <v>0.24287976233661493</v>
      </c>
      <c r="P245" s="8">
        <f t="shared" si="29"/>
        <v>-3.0058518792622322</v>
      </c>
    </row>
    <row r="246" spans="1:16" x14ac:dyDescent="0.2">
      <c r="A246" s="8">
        <v>122</v>
      </c>
      <c r="B246" s="8">
        <v>244</v>
      </c>
      <c r="D246">
        <v>812.33534946237</v>
      </c>
      <c r="E246">
        <v>271.9684139785</v>
      </c>
      <c r="F246">
        <v>137.30551816958001</v>
      </c>
      <c r="G246">
        <v>114.09353970390001</v>
      </c>
      <c r="I246" s="9">
        <f t="shared" si="26"/>
        <v>157.87487427459999</v>
      </c>
      <c r="J246" s="9">
        <f t="shared" si="27"/>
        <v>675.02983129279005</v>
      </c>
      <c r="K246" s="9">
        <f t="shared" si="24"/>
        <v>157.87487427459999</v>
      </c>
      <c r="L246" s="10">
        <f t="shared" si="21"/>
        <v>0.23387836648973626</v>
      </c>
      <c r="M246" s="10">
        <f t="shared" si="28"/>
        <v>0.24409925647141165</v>
      </c>
      <c r="P246" s="8">
        <f t="shared" si="29"/>
        <v>-2.5188463189598864</v>
      </c>
    </row>
    <row r="247" spans="1:16" x14ac:dyDescent="0.2">
      <c r="A247" s="8">
        <v>122.5</v>
      </c>
      <c r="B247" s="8">
        <v>245</v>
      </c>
      <c r="D247">
        <v>868.02964959568999</v>
      </c>
      <c r="E247">
        <v>281.71024258760002</v>
      </c>
      <c r="F247">
        <v>137.91386271870999</v>
      </c>
      <c r="G247">
        <v>113.9199192463</v>
      </c>
      <c r="I247" s="9">
        <f t="shared" si="26"/>
        <v>167.79032334130002</v>
      </c>
      <c r="J247" s="9">
        <f t="shared" si="27"/>
        <v>730.11578687698</v>
      </c>
      <c r="K247" s="9">
        <f t="shared" si="24"/>
        <v>167.79032334130002</v>
      </c>
      <c r="L247" s="10">
        <f t="shared" si="21"/>
        <v>0.22981330681673323</v>
      </c>
      <c r="M247" s="10">
        <f t="shared" si="28"/>
        <v>0.24007608569177613</v>
      </c>
      <c r="P247" s="8">
        <f t="shared" si="29"/>
        <v>-4.1255014752432126</v>
      </c>
    </row>
    <row r="248" spans="1:16" x14ac:dyDescent="0.2">
      <c r="A248" s="8">
        <v>123</v>
      </c>
      <c r="B248" s="8">
        <v>246</v>
      </c>
      <c r="D248">
        <v>803.37398921833005</v>
      </c>
      <c r="E248">
        <v>270.28571428571001</v>
      </c>
      <c r="F248">
        <v>137.59084791385999</v>
      </c>
      <c r="G248">
        <v>113.88358008074999</v>
      </c>
      <c r="I248" s="9">
        <f t="shared" si="26"/>
        <v>156.40213420496002</v>
      </c>
      <c r="J248" s="9">
        <f t="shared" si="27"/>
        <v>665.78314130447006</v>
      </c>
      <c r="K248" s="9">
        <f t="shared" si="24"/>
        <v>156.40213420496002</v>
      </c>
      <c r="L248" s="10">
        <f t="shared" si="21"/>
        <v>0.23491453072620772</v>
      </c>
      <c r="M248" s="10">
        <f t="shared" si="28"/>
        <v>0.24521919849461815</v>
      </c>
      <c r="P248" s="8">
        <f t="shared" si="29"/>
        <v>-2.0715969415705113</v>
      </c>
    </row>
    <row r="249" spans="1:16" x14ac:dyDescent="0.2">
      <c r="A249" s="8">
        <v>123.5</v>
      </c>
      <c r="B249" s="8">
        <v>247</v>
      </c>
      <c r="D249">
        <v>885.94237288136003</v>
      </c>
      <c r="E249">
        <v>286.29830508474998</v>
      </c>
      <c r="F249">
        <v>137.80753701211</v>
      </c>
      <c r="G249">
        <v>114.07200538358001</v>
      </c>
      <c r="I249" s="9">
        <f t="shared" si="26"/>
        <v>172.22629970116998</v>
      </c>
      <c r="J249" s="9">
        <f t="shared" si="27"/>
        <v>748.13483586925008</v>
      </c>
      <c r="K249" s="9">
        <f t="shared" si="24"/>
        <v>172.22629970116998</v>
      </c>
      <c r="L249" s="10">
        <f t="shared" si="21"/>
        <v>0.23020756612818602</v>
      </c>
      <c r="M249" s="10">
        <f t="shared" si="28"/>
        <v>0.24055412278996396</v>
      </c>
      <c r="P249" s="8">
        <f t="shared" si="29"/>
        <v>-3.9345971336761409</v>
      </c>
    </row>
    <row r="250" spans="1:16" x14ac:dyDescent="0.2">
      <c r="A250" s="8">
        <v>124</v>
      </c>
      <c r="B250" s="8">
        <v>248</v>
      </c>
      <c r="D250">
        <v>853.28406779660997</v>
      </c>
      <c r="E250">
        <v>280.06305084745998</v>
      </c>
      <c r="F250">
        <v>138.03633916555</v>
      </c>
      <c r="G250">
        <v>113.71870794078001</v>
      </c>
      <c r="I250" s="9">
        <f t="shared" si="26"/>
        <v>166.34434290667997</v>
      </c>
      <c r="J250" s="9">
        <f t="shared" si="27"/>
        <v>715.24772863106</v>
      </c>
      <c r="K250" s="9">
        <f t="shared" si="24"/>
        <v>166.34434290667997</v>
      </c>
      <c r="L250" s="10">
        <f t="shared" si="21"/>
        <v>0.23256885166913116</v>
      </c>
      <c r="M250" s="10">
        <f t="shared" si="28"/>
        <v>0.24295729722427664</v>
      </c>
      <c r="P250" s="8">
        <f t="shared" si="29"/>
        <v>-2.9748882851528062</v>
      </c>
    </row>
    <row r="251" spans="1:16" x14ac:dyDescent="0.2">
      <c r="A251" s="8">
        <v>124.5</v>
      </c>
      <c r="B251" s="8">
        <v>249</v>
      </c>
      <c r="D251">
        <v>845.14556533513996</v>
      </c>
      <c r="E251">
        <v>279.42924847664</v>
      </c>
      <c r="F251">
        <v>137.59555854643</v>
      </c>
      <c r="G251">
        <v>113.94683714670001</v>
      </c>
      <c r="I251" s="9">
        <f t="shared" si="26"/>
        <v>165.48241132993999</v>
      </c>
      <c r="J251" s="9">
        <f t="shared" si="27"/>
        <v>707.55000678870999</v>
      </c>
      <c r="K251" s="9">
        <f t="shared" si="24"/>
        <v>165.48241132993999</v>
      </c>
      <c r="L251" s="10">
        <f t="shared" si="21"/>
        <v>0.23388087024548171</v>
      </c>
      <c r="M251" s="10">
        <f t="shared" si="28"/>
        <v>0.2443112046939947</v>
      </c>
      <c r="P251" s="8">
        <f t="shared" si="29"/>
        <v>-2.4342046958893895</v>
      </c>
    </row>
    <row r="252" spans="1:16" x14ac:dyDescent="0.2">
      <c r="A252" s="8">
        <v>125</v>
      </c>
      <c r="B252" s="8">
        <v>250</v>
      </c>
      <c r="D252">
        <v>828.74881516588005</v>
      </c>
      <c r="E252">
        <v>278.17535545023998</v>
      </c>
      <c r="F252">
        <v>137.37213997308001</v>
      </c>
      <c r="G252">
        <v>114.08882907133</v>
      </c>
      <c r="I252" s="9">
        <f t="shared" si="26"/>
        <v>164.08652637890998</v>
      </c>
      <c r="J252" s="9">
        <f t="shared" si="27"/>
        <v>691.37667519280001</v>
      </c>
      <c r="K252" s="9">
        <f t="shared" si="24"/>
        <v>164.08652637890998</v>
      </c>
      <c r="L252" s="10">
        <f t="shared" si="21"/>
        <v>0.2373330374981947</v>
      </c>
      <c r="M252" s="10">
        <f t="shared" si="28"/>
        <v>0.24780526084007523</v>
      </c>
      <c r="P252" s="8">
        <f t="shared" si="29"/>
        <v>-1.0388517191131166</v>
      </c>
    </row>
    <row r="253" spans="1:16" x14ac:dyDescent="0.2">
      <c r="A253" s="8">
        <v>125.5</v>
      </c>
      <c r="B253" s="8">
        <v>251</v>
      </c>
      <c r="D253">
        <v>742.03520649966003</v>
      </c>
      <c r="E253">
        <v>260.14353419092998</v>
      </c>
      <c r="F253">
        <v>137.95962314939001</v>
      </c>
      <c r="G253">
        <v>113.90646029609999</v>
      </c>
      <c r="I253" s="9">
        <f t="shared" si="26"/>
        <v>146.23707389482999</v>
      </c>
      <c r="J253" s="9">
        <f t="shared" si="27"/>
        <v>604.07558335026999</v>
      </c>
      <c r="K253" s="9">
        <f t="shared" si="24"/>
        <v>146.23707389482999</v>
      </c>
      <c r="L253" s="10">
        <f t="shared" si="21"/>
        <v>0.24208406683776723</v>
      </c>
      <c r="M253" s="10">
        <f t="shared" si="28"/>
        <v>0.25259817907301529</v>
      </c>
      <c r="P253" s="8">
        <f t="shared" si="29"/>
        <v>0.87520244721167573</v>
      </c>
    </row>
    <row r="254" spans="1:16" x14ac:dyDescent="0.2">
      <c r="A254" s="8">
        <v>126</v>
      </c>
      <c r="B254" s="8">
        <v>252</v>
      </c>
      <c r="D254">
        <v>827.33896016204994</v>
      </c>
      <c r="E254">
        <v>277.91289669142998</v>
      </c>
      <c r="F254">
        <v>137.58075370121</v>
      </c>
      <c r="G254">
        <v>113.83580080754</v>
      </c>
      <c r="I254" s="9">
        <f t="shared" si="26"/>
        <v>164.07709588388997</v>
      </c>
      <c r="J254" s="9">
        <f t="shared" si="27"/>
        <v>689.75820646083992</v>
      </c>
      <c r="K254" s="9">
        <f t="shared" si="24"/>
        <v>164.07709588388997</v>
      </c>
      <c r="L254" s="10">
        <f t="shared" si="21"/>
        <v>0.23787625047010619</v>
      </c>
      <c r="M254" s="10">
        <f t="shared" si="28"/>
        <v>0.24843225159872176</v>
      </c>
      <c r="P254" s="8">
        <f t="shared" si="29"/>
        <v>-0.78846266269510834</v>
      </c>
    </row>
    <row r="255" spans="1:16" x14ac:dyDescent="0.2">
      <c r="A255" s="8">
        <v>126.5</v>
      </c>
      <c r="B255" s="8">
        <v>253</v>
      </c>
      <c r="D255">
        <v>873.14044564484004</v>
      </c>
      <c r="E255">
        <v>288.18973666442002</v>
      </c>
      <c r="F255">
        <v>137.67227456257999</v>
      </c>
      <c r="G255">
        <v>113.79676985195</v>
      </c>
      <c r="I255" s="9">
        <f t="shared" si="26"/>
        <v>174.39296681247004</v>
      </c>
      <c r="J255" s="9">
        <f t="shared" si="27"/>
        <v>735.46817108226003</v>
      </c>
      <c r="K255" s="9">
        <f t="shared" si="24"/>
        <v>174.39296681247004</v>
      </c>
      <c r="L255" s="10">
        <f t="shared" si="21"/>
        <v>0.23711830595720595</v>
      </c>
      <c r="M255" s="10">
        <f t="shared" si="28"/>
        <v>0.24771619597918904</v>
      </c>
      <c r="P255" s="8">
        <f t="shared" si="29"/>
        <v>-1.0744198134905139</v>
      </c>
    </row>
    <row r="256" spans="1:16" x14ac:dyDescent="0.2">
      <c r="A256" s="8">
        <v>127</v>
      </c>
      <c r="B256" s="8">
        <v>254</v>
      </c>
      <c r="D256">
        <v>823.47670492910004</v>
      </c>
      <c r="E256">
        <v>277.46049966239002</v>
      </c>
      <c r="F256">
        <v>137.93741588156001</v>
      </c>
      <c r="G256">
        <v>114.04441453567</v>
      </c>
      <c r="I256" s="9">
        <f t="shared" si="26"/>
        <v>163.41608512672002</v>
      </c>
      <c r="J256" s="9">
        <f t="shared" si="27"/>
        <v>685.53928904754002</v>
      </c>
      <c r="K256" s="9">
        <f t="shared" si="24"/>
        <v>163.41608512672002</v>
      </c>
      <c r="L256" s="10">
        <f t="shared" si="21"/>
        <v>0.23837595851546828</v>
      </c>
      <c r="M256" s="10">
        <f t="shared" si="28"/>
        <v>0.2490157374308189</v>
      </c>
      <c r="P256" s="8">
        <f t="shared" si="29"/>
        <v>-0.55544731929920577</v>
      </c>
    </row>
    <row r="257" spans="1:16" x14ac:dyDescent="0.2">
      <c r="A257" s="8">
        <v>127.5</v>
      </c>
      <c r="B257" s="8">
        <v>255</v>
      </c>
      <c r="D257">
        <v>796.47940580688999</v>
      </c>
      <c r="E257">
        <v>272.24307900067998</v>
      </c>
      <c r="F257">
        <v>137.80349932704999</v>
      </c>
      <c r="G257">
        <v>113.94952893673999</v>
      </c>
      <c r="I257" s="9">
        <f t="shared" si="26"/>
        <v>158.29355006393999</v>
      </c>
      <c r="J257" s="9">
        <f t="shared" si="27"/>
        <v>658.67590647984002</v>
      </c>
      <c r="K257" s="9">
        <f t="shared" si="24"/>
        <v>158.29355006393999</v>
      </c>
      <c r="L257" s="10">
        <f t="shared" si="21"/>
        <v>0.24032084444975041</v>
      </c>
      <c r="M257" s="10">
        <f t="shared" si="28"/>
        <v>0.25100251225846854</v>
      </c>
      <c r="P257" s="8">
        <f t="shared" si="29"/>
        <v>0.23797214908995376</v>
      </c>
    </row>
    <row r="258" spans="1:16" x14ac:dyDescent="0.2">
      <c r="A258" s="8">
        <v>128</v>
      </c>
      <c r="B258" s="8">
        <v>256</v>
      </c>
      <c r="D258">
        <v>742.19986495610999</v>
      </c>
      <c r="E258">
        <v>262.79945982444002</v>
      </c>
      <c r="F258">
        <v>138.16958277254</v>
      </c>
      <c r="G258">
        <v>113.65410497981</v>
      </c>
      <c r="I258" s="9">
        <f t="shared" si="26"/>
        <v>149.14535484463002</v>
      </c>
      <c r="J258" s="9">
        <f t="shared" si="27"/>
        <v>604.03028218356997</v>
      </c>
      <c r="K258" s="9">
        <f t="shared" si="24"/>
        <v>149.14535484463002</v>
      </c>
      <c r="L258" s="10">
        <f t="shared" ref="L258:L321" si="30">K258/J258</f>
        <v>0.24691701599043916</v>
      </c>
      <c r="M258" s="10">
        <f t="shared" si="28"/>
        <v>0.25764057269252483</v>
      </c>
      <c r="P258" s="8">
        <f t="shared" si="29"/>
        <v>2.8888847273183864</v>
      </c>
    </row>
    <row r="259" spans="1:16" x14ac:dyDescent="0.2">
      <c r="A259" s="8">
        <v>128.5</v>
      </c>
      <c r="B259" s="8">
        <v>257</v>
      </c>
      <c r="D259">
        <v>772.34773801486006</v>
      </c>
      <c r="E259">
        <v>267.66576637407002</v>
      </c>
      <c r="F259">
        <v>137.99192462988</v>
      </c>
      <c r="G259">
        <v>113.63660834455</v>
      </c>
      <c r="I259" s="9">
        <f t="shared" si="26"/>
        <v>154.02915802952003</v>
      </c>
      <c r="J259" s="9">
        <f t="shared" si="27"/>
        <v>634.35581338498002</v>
      </c>
      <c r="K259" s="9">
        <f t="shared" ref="K259:K321" si="31">I259*1</f>
        <v>154.02915802952003</v>
      </c>
      <c r="L259" s="10">
        <f t="shared" si="30"/>
        <v>0.24281192791094089</v>
      </c>
      <c r="M259" s="10">
        <f t="shared" si="28"/>
        <v>0.25357737350639409</v>
      </c>
      <c r="P259" s="8">
        <f t="shared" si="29"/>
        <v>1.26624420794312</v>
      </c>
    </row>
    <row r="260" spans="1:16" x14ac:dyDescent="0.2">
      <c r="A260" s="8">
        <v>129</v>
      </c>
      <c r="B260" s="8">
        <v>258</v>
      </c>
      <c r="D260">
        <v>823.91492234975999</v>
      </c>
      <c r="E260">
        <v>279.04996623903003</v>
      </c>
      <c r="F260">
        <v>137.72207267832999</v>
      </c>
      <c r="G260">
        <v>113.75975773890001</v>
      </c>
      <c r="I260" s="9">
        <f t="shared" si="26"/>
        <v>165.29020850013001</v>
      </c>
      <c r="J260" s="9">
        <f t="shared" si="27"/>
        <v>686.19284967142994</v>
      </c>
      <c r="K260" s="9">
        <f t="shared" si="31"/>
        <v>165.29020850013001</v>
      </c>
      <c r="L260" s="10">
        <f t="shared" si="30"/>
        <v>0.24088010911112817</v>
      </c>
      <c r="M260" s="10">
        <f t="shared" si="28"/>
        <v>0.25168744359994888</v>
      </c>
      <c r="P260" s="8">
        <f t="shared" si="29"/>
        <v>0.51149980470420209</v>
      </c>
    </row>
    <row r="261" spans="1:16" x14ac:dyDescent="0.2">
      <c r="A261" s="8">
        <v>129.5</v>
      </c>
      <c r="B261" s="8">
        <v>259</v>
      </c>
      <c r="D261">
        <v>883.85268160217004</v>
      </c>
      <c r="E261">
        <v>292.45213849287001</v>
      </c>
      <c r="F261">
        <v>137.92462987887001</v>
      </c>
      <c r="G261">
        <v>113.6399730821</v>
      </c>
      <c r="I261" s="9">
        <f t="shared" si="26"/>
        <v>178.81216541077001</v>
      </c>
      <c r="J261" s="9">
        <f t="shared" si="27"/>
        <v>745.92805172330009</v>
      </c>
      <c r="K261" s="9">
        <f t="shared" si="31"/>
        <v>178.81216541077001</v>
      </c>
      <c r="L261" s="10">
        <f t="shared" si="30"/>
        <v>0.23971771137667294</v>
      </c>
      <c r="M261" s="10">
        <f t="shared" si="28"/>
        <v>0.25056693475886116</v>
      </c>
      <c r="P261" s="8">
        <f t="shared" si="29"/>
        <v>6.402406832550997E-2</v>
      </c>
    </row>
    <row r="262" spans="1:16" x14ac:dyDescent="0.2">
      <c r="A262" s="8">
        <v>130</v>
      </c>
      <c r="B262" s="8">
        <v>260</v>
      </c>
      <c r="D262">
        <v>879.05498981669996</v>
      </c>
      <c r="E262">
        <v>293.17175831636001</v>
      </c>
      <c r="F262">
        <v>137.25975773889999</v>
      </c>
      <c r="G262">
        <v>113.71265141319</v>
      </c>
      <c r="I262" s="9">
        <f t="shared" si="26"/>
        <v>179.45910690317001</v>
      </c>
      <c r="J262" s="9">
        <f t="shared" si="27"/>
        <v>741.79523207779994</v>
      </c>
      <c r="K262" s="9">
        <f t="shared" si="31"/>
        <v>179.45910690317001</v>
      </c>
      <c r="L262" s="10">
        <f t="shared" si="30"/>
        <v>0.24192539819984746</v>
      </c>
      <c r="M262" s="10">
        <f t="shared" si="28"/>
        <v>0.25281651047540321</v>
      </c>
      <c r="P262" s="8">
        <f t="shared" si="29"/>
        <v>0.96239319616041819</v>
      </c>
    </row>
    <row r="263" spans="1:16" x14ac:dyDescent="0.2">
      <c r="A263" s="8">
        <v>130.5</v>
      </c>
      <c r="B263" s="8">
        <v>261</v>
      </c>
      <c r="D263">
        <v>889.05206220418995</v>
      </c>
      <c r="E263">
        <v>293.29885057471</v>
      </c>
      <c r="F263">
        <v>137.99394347241</v>
      </c>
      <c r="G263">
        <v>113.92597577389</v>
      </c>
      <c r="I263" s="9">
        <f t="shared" si="26"/>
        <v>179.37287480082</v>
      </c>
      <c r="J263" s="9">
        <f t="shared" si="27"/>
        <v>751.05811873177993</v>
      </c>
      <c r="K263" s="9">
        <f t="shared" si="31"/>
        <v>179.37287480082</v>
      </c>
      <c r="L263" s="10">
        <f t="shared" si="30"/>
        <v>0.23882689012629948</v>
      </c>
      <c r="M263" s="10">
        <f t="shared" si="28"/>
        <v>0.24975989129522275</v>
      </c>
      <c r="P263" s="8">
        <f t="shared" si="29"/>
        <v>-0.25826912110675221</v>
      </c>
    </row>
    <row r="264" spans="1:16" x14ac:dyDescent="0.2">
      <c r="A264" s="8">
        <v>131</v>
      </c>
      <c r="B264" s="8">
        <v>262</v>
      </c>
      <c r="D264">
        <v>832.76605814740003</v>
      </c>
      <c r="E264">
        <v>285.20419202163998</v>
      </c>
      <c r="F264">
        <v>137.12516823688</v>
      </c>
      <c r="G264">
        <v>113.71534320323001</v>
      </c>
      <c r="I264" s="9">
        <f t="shared" si="26"/>
        <v>171.48884881840996</v>
      </c>
      <c r="J264" s="9">
        <f t="shared" si="27"/>
        <v>695.64088991052006</v>
      </c>
      <c r="K264" s="9">
        <f t="shared" si="31"/>
        <v>171.48884881840996</v>
      </c>
      <c r="L264" s="10">
        <f t="shared" si="30"/>
        <v>0.2465192189039786</v>
      </c>
      <c r="M264" s="10">
        <f t="shared" si="28"/>
        <v>0.2574941089662694</v>
      </c>
      <c r="P264" s="8">
        <f t="shared" si="29"/>
        <v>2.8303943688707949</v>
      </c>
    </row>
    <row r="265" spans="1:16" x14ac:dyDescent="0.2">
      <c r="A265" s="8">
        <v>131.5</v>
      </c>
      <c r="B265" s="8">
        <v>263</v>
      </c>
      <c r="D265">
        <v>922.48575305292002</v>
      </c>
      <c r="E265">
        <v>304.16824966079002</v>
      </c>
      <c r="F265">
        <v>137.55921938089</v>
      </c>
      <c r="G265">
        <v>113.92193808883</v>
      </c>
      <c r="I265" s="9">
        <f t="shared" si="26"/>
        <v>190.24631157196001</v>
      </c>
      <c r="J265" s="9">
        <f t="shared" si="27"/>
        <v>784.92653367203002</v>
      </c>
      <c r="K265" s="9">
        <f t="shared" si="31"/>
        <v>190.24631157196001</v>
      </c>
      <c r="L265" s="10">
        <f t="shared" si="30"/>
        <v>0.24237467254668146</v>
      </c>
      <c r="M265" s="10">
        <f t="shared" si="28"/>
        <v>0.25339145150233977</v>
      </c>
      <c r="P265" s="8">
        <f t="shared" si="29"/>
        <v>1.1919961675684927</v>
      </c>
    </row>
    <row r="266" spans="1:16" x14ac:dyDescent="0.2">
      <c r="A266" s="8">
        <v>132</v>
      </c>
      <c r="B266" s="8">
        <v>264</v>
      </c>
      <c r="D266">
        <v>908.03120759836997</v>
      </c>
      <c r="E266">
        <v>300.58955223880997</v>
      </c>
      <c r="F266">
        <v>137.23014804844999</v>
      </c>
      <c r="G266">
        <v>113.93068640646</v>
      </c>
      <c r="I266" s="9">
        <f t="shared" si="26"/>
        <v>186.65886583234999</v>
      </c>
      <c r="J266" s="9">
        <f t="shared" si="27"/>
        <v>770.80105954991996</v>
      </c>
      <c r="K266" s="9">
        <f t="shared" si="31"/>
        <v>186.65886583234999</v>
      </c>
      <c r="L266" s="10">
        <f t="shared" si="30"/>
        <v>0.24216218117466309</v>
      </c>
      <c r="M266" s="10">
        <f t="shared" si="28"/>
        <v>0.25322084902368891</v>
      </c>
      <c r="P266" s="8">
        <f t="shared" si="29"/>
        <v>1.1238659869193</v>
      </c>
    </row>
    <row r="267" spans="1:16" x14ac:dyDescent="0.2">
      <c r="A267" s="8">
        <v>132.5</v>
      </c>
      <c r="B267" s="8">
        <v>265</v>
      </c>
      <c r="D267">
        <v>856.57624831308999</v>
      </c>
      <c r="E267">
        <v>287.66734143050002</v>
      </c>
      <c r="F267">
        <v>137.79475100942</v>
      </c>
      <c r="G267">
        <v>113.61978465679999</v>
      </c>
      <c r="I267" s="9">
        <f t="shared" si="26"/>
        <v>174.04755677370002</v>
      </c>
      <c r="J267" s="9">
        <f t="shared" si="27"/>
        <v>718.78149730366999</v>
      </c>
      <c r="K267" s="9">
        <f t="shared" si="31"/>
        <v>174.04755677370002</v>
      </c>
      <c r="L267" s="10">
        <f t="shared" si="30"/>
        <v>0.24214251121738128</v>
      </c>
      <c r="M267" s="10">
        <f t="shared" si="28"/>
        <v>0.25324306795977464</v>
      </c>
      <c r="P267" s="8">
        <f t="shared" si="29"/>
        <v>1.1327391295683669</v>
      </c>
    </row>
    <row r="268" spans="1:16" x14ac:dyDescent="0.2">
      <c r="A268" s="8">
        <v>133</v>
      </c>
      <c r="B268" s="8">
        <v>266</v>
      </c>
      <c r="D268">
        <v>805.78542510121997</v>
      </c>
      <c r="E268">
        <v>280.61875843454999</v>
      </c>
      <c r="F268">
        <v>138.03768506057</v>
      </c>
      <c r="G268">
        <v>113.95289367429</v>
      </c>
      <c r="I268" s="9">
        <f t="shared" si="26"/>
        <v>166.66586476025998</v>
      </c>
      <c r="J268" s="9">
        <f t="shared" si="27"/>
        <v>667.74774004065</v>
      </c>
      <c r="K268" s="9">
        <f t="shared" si="31"/>
        <v>166.66586476025998</v>
      </c>
      <c r="L268" s="10">
        <f t="shared" si="30"/>
        <v>0.24959405291302666</v>
      </c>
      <c r="M268" s="10">
        <f t="shared" si="28"/>
        <v>0.26073649854878755</v>
      </c>
      <c r="P268" s="8">
        <f t="shared" si="29"/>
        <v>4.1252441842952576</v>
      </c>
    </row>
    <row r="269" spans="1:16" x14ac:dyDescent="0.2">
      <c r="A269" s="8">
        <v>133.5</v>
      </c>
      <c r="B269" s="8">
        <v>267</v>
      </c>
      <c r="D269">
        <v>889.53566621803998</v>
      </c>
      <c r="E269">
        <v>300.20457604307001</v>
      </c>
      <c r="F269">
        <v>137.33580080754001</v>
      </c>
      <c r="G269">
        <v>113.81359353969999</v>
      </c>
      <c r="I269" s="9">
        <f t="shared" si="26"/>
        <v>186.39098250337003</v>
      </c>
      <c r="J269" s="9">
        <f t="shared" si="27"/>
        <v>752.19986541050002</v>
      </c>
      <c r="K269" s="9">
        <f t="shared" si="31"/>
        <v>186.39098250337003</v>
      </c>
      <c r="L269" s="10">
        <f t="shared" si="30"/>
        <v>0.24779449063268627</v>
      </c>
      <c r="M269" s="10">
        <f t="shared" si="28"/>
        <v>0.25897882516181464</v>
      </c>
      <c r="P269" s="8">
        <f t="shared" si="29"/>
        <v>3.4233164847463331</v>
      </c>
    </row>
    <row r="270" spans="1:16" x14ac:dyDescent="0.2">
      <c r="A270" s="8">
        <v>134</v>
      </c>
      <c r="B270" s="8">
        <v>268</v>
      </c>
      <c r="D270">
        <v>782.56123822341999</v>
      </c>
      <c r="E270">
        <v>277.36069986541003</v>
      </c>
      <c r="F270">
        <v>137.05652759085001</v>
      </c>
      <c r="G270">
        <v>113.76043068641</v>
      </c>
      <c r="I270" s="9">
        <f t="shared" si="26"/>
        <v>163.60026917900001</v>
      </c>
      <c r="J270" s="9">
        <f t="shared" si="27"/>
        <v>645.50471063256998</v>
      </c>
      <c r="K270" s="9">
        <f t="shared" si="31"/>
        <v>163.60026917900001</v>
      </c>
      <c r="L270" s="10">
        <f t="shared" si="30"/>
        <v>0.25344550780842173</v>
      </c>
      <c r="M270" s="10">
        <f t="shared" si="28"/>
        <v>0.26467173123091764</v>
      </c>
      <c r="P270" s="8">
        <f t="shared" si="29"/>
        <v>5.6967812196909478</v>
      </c>
    </row>
    <row r="271" spans="1:16" x14ac:dyDescent="0.2">
      <c r="A271" s="8">
        <v>134.5</v>
      </c>
      <c r="B271" s="8">
        <v>269</v>
      </c>
      <c r="D271">
        <v>916.90141796084004</v>
      </c>
      <c r="E271">
        <v>306.19108710331</v>
      </c>
      <c r="F271">
        <v>137.44683714670001</v>
      </c>
      <c r="G271">
        <v>113.98586810229</v>
      </c>
      <c r="I271" s="9">
        <f t="shared" si="26"/>
        <v>192.20521900102</v>
      </c>
      <c r="J271" s="9">
        <f t="shared" si="27"/>
        <v>779.45458081414006</v>
      </c>
      <c r="K271" s="9">
        <f t="shared" si="31"/>
        <v>192.20521900102</v>
      </c>
      <c r="L271" s="10">
        <f t="shared" si="30"/>
        <v>0.24658937638195891</v>
      </c>
      <c r="M271" s="10">
        <f t="shared" si="28"/>
        <v>0.25785748869782232</v>
      </c>
      <c r="P271" s="8">
        <f t="shared" si="29"/>
        <v>2.9755102367687152</v>
      </c>
    </row>
    <row r="272" spans="1:16" x14ac:dyDescent="0.2">
      <c r="A272" s="8">
        <v>135</v>
      </c>
      <c r="B272" s="8">
        <v>270</v>
      </c>
      <c r="D272">
        <v>984.34503713706999</v>
      </c>
      <c r="E272">
        <v>321.44226873733999</v>
      </c>
      <c r="F272">
        <v>137.24024226110001</v>
      </c>
      <c r="G272">
        <v>113.64064602961</v>
      </c>
      <c r="I272" s="9">
        <f t="shared" si="26"/>
        <v>207.80162270772999</v>
      </c>
      <c r="J272" s="9">
        <f t="shared" si="27"/>
        <v>847.10479487597001</v>
      </c>
      <c r="K272" s="9">
        <f t="shared" si="31"/>
        <v>207.80162270772999</v>
      </c>
      <c r="L272" s="10">
        <f t="shared" si="30"/>
        <v>0.24530804684933408</v>
      </c>
      <c r="M272" s="10">
        <f t="shared" si="28"/>
        <v>0.25661804805856503</v>
      </c>
      <c r="P272" s="8">
        <f t="shared" si="29"/>
        <v>2.4805390304630652</v>
      </c>
    </row>
    <row r="273" spans="1:16" x14ac:dyDescent="0.2">
      <c r="A273" s="8">
        <v>135.5</v>
      </c>
      <c r="B273" s="8">
        <v>271</v>
      </c>
      <c r="D273">
        <v>1024.9979743417</v>
      </c>
      <c r="E273">
        <v>331.33490884538003</v>
      </c>
      <c r="F273">
        <v>137.72543741588001</v>
      </c>
      <c r="G273">
        <v>113.61372812921</v>
      </c>
      <c r="I273" s="9">
        <f t="shared" si="26"/>
        <v>217.72118071617001</v>
      </c>
      <c r="J273" s="9">
        <f t="shared" si="27"/>
        <v>887.27253692581996</v>
      </c>
      <c r="K273" s="9">
        <f t="shared" si="31"/>
        <v>217.72118071617001</v>
      </c>
      <c r="L273" s="10">
        <f t="shared" si="30"/>
        <v>0.24538253090816953</v>
      </c>
      <c r="M273" s="10">
        <f t="shared" si="28"/>
        <v>0.25673442101076799</v>
      </c>
      <c r="P273" s="8">
        <f t="shared" si="29"/>
        <v>2.5270126240413462</v>
      </c>
    </row>
    <row r="274" spans="1:16" x14ac:dyDescent="0.2">
      <c r="A274" s="8">
        <v>136</v>
      </c>
      <c r="B274" s="8">
        <v>272</v>
      </c>
      <c r="D274">
        <v>1027.3097165992001</v>
      </c>
      <c r="E274">
        <v>330.21929824560999</v>
      </c>
      <c r="F274">
        <v>137.24764468372001</v>
      </c>
      <c r="G274">
        <v>113.55585464334</v>
      </c>
      <c r="I274" s="9">
        <f t="shared" si="26"/>
        <v>216.66344360226998</v>
      </c>
      <c r="J274" s="9">
        <f t="shared" si="27"/>
        <v>890.06207191548015</v>
      </c>
      <c r="K274" s="9">
        <f t="shared" si="31"/>
        <v>216.66344360226998</v>
      </c>
      <c r="L274" s="10">
        <f t="shared" si="30"/>
        <v>0.24342509409034141</v>
      </c>
      <c r="M274" s="10">
        <f t="shared" si="28"/>
        <v>0.25481887308630741</v>
      </c>
      <c r="P274" s="8">
        <f t="shared" si="29"/>
        <v>1.7620376531748998</v>
      </c>
    </row>
    <row r="275" spans="1:16" x14ac:dyDescent="0.2">
      <c r="A275" s="8">
        <v>136.5</v>
      </c>
      <c r="B275" s="8">
        <v>273</v>
      </c>
      <c r="D275">
        <v>1062.1390013494999</v>
      </c>
      <c r="E275">
        <v>339.30364372470001</v>
      </c>
      <c r="F275">
        <v>137.67294751009001</v>
      </c>
      <c r="G275">
        <v>113.92328398385</v>
      </c>
      <c r="I275" s="9">
        <f>E275-G275</f>
        <v>225.38035974085</v>
      </c>
      <c r="J275" s="9">
        <f>D275-F275</f>
        <v>924.46605383940994</v>
      </c>
      <c r="K275" s="9">
        <f t="shared" si="31"/>
        <v>225.38035974085</v>
      </c>
      <c r="L275" s="10">
        <f t="shared" si="30"/>
        <v>0.24379517106639059</v>
      </c>
      <c r="M275" s="10">
        <f>L275+ABS($N$2)*A275</f>
        <v>0.25523083895572413</v>
      </c>
      <c r="O275" s="11"/>
      <c r="P275" s="8">
        <f>(M275-$O$2)/$O$2*100</f>
        <v>1.9265564182398716</v>
      </c>
    </row>
    <row r="276" spans="1:16" x14ac:dyDescent="0.2">
      <c r="A276" s="8">
        <v>137</v>
      </c>
      <c r="B276" s="8">
        <v>274</v>
      </c>
      <c r="D276">
        <v>1061.5350877193</v>
      </c>
      <c r="E276">
        <v>339.53981106613003</v>
      </c>
      <c r="F276">
        <v>137.48048452220999</v>
      </c>
      <c r="G276">
        <v>114.1399730821</v>
      </c>
      <c r="I276" s="9">
        <f t="shared" ref="I276:I291" si="32">E276-G276</f>
        <v>225.39983798403003</v>
      </c>
      <c r="J276" s="9">
        <f t="shared" ref="J276:J291" si="33">D276-F276</f>
        <v>924.05460319709005</v>
      </c>
      <c r="K276" s="9">
        <f t="shared" si="31"/>
        <v>225.39983798403003</v>
      </c>
      <c r="L276" s="10">
        <f t="shared" si="30"/>
        <v>0.24392480401502301</v>
      </c>
      <c r="M276" s="10">
        <f t="shared" ref="M276:M291" si="34">L276+ABS($N$2)*A276</f>
        <v>0.25540236079772405</v>
      </c>
      <c r="P276" s="8">
        <f t="shared" ref="P276:P291" si="35">(M276-$O$2)/$O$2*100</f>
        <v>1.995053747077937</v>
      </c>
    </row>
    <row r="277" spans="1:16" x14ac:dyDescent="0.2">
      <c r="A277" s="8">
        <v>137.5</v>
      </c>
      <c r="B277" s="8">
        <v>275</v>
      </c>
      <c r="D277">
        <v>1036.1443994602</v>
      </c>
      <c r="E277">
        <v>335.56612685559998</v>
      </c>
      <c r="F277">
        <v>137.48452220727</v>
      </c>
      <c r="G277">
        <v>113.88761776581001</v>
      </c>
      <c r="I277" s="9">
        <f t="shared" si="32"/>
        <v>221.67850908978997</v>
      </c>
      <c r="J277" s="9">
        <f t="shared" si="33"/>
        <v>898.65987725293007</v>
      </c>
      <c r="K277" s="9">
        <f t="shared" si="31"/>
        <v>221.67850908978997</v>
      </c>
      <c r="L277" s="10">
        <f t="shared" si="30"/>
        <v>0.24667676247817838</v>
      </c>
      <c r="M277" s="10">
        <f t="shared" si="34"/>
        <v>0.25819620815424693</v>
      </c>
      <c r="N277" s="1"/>
      <c r="P277" s="8">
        <f t="shared" si="35"/>
        <v>3.110778012114654</v>
      </c>
    </row>
    <row r="278" spans="1:16" x14ac:dyDescent="0.2">
      <c r="A278" s="8">
        <v>138</v>
      </c>
      <c r="B278" s="8">
        <v>276</v>
      </c>
      <c r="D278">
        <v>942.52631578947</v>
      </c>
      <c r="E278">
        <v>313.52024291497997</v>
      </c>
      <c r="F278">
        <v>137.50067294751</v>
      </c>
      <c r="G278">
        <v>113.79138627187</v>
      </c>
      <c r="I278" s="9">
        <f t="shared" si="32"/>
        <v>199.72885664310996</v>
      </c>
      <c r="J278" s="9">
        <f t="shared" si="33"/>
        <v>805.02564284196001</v>
      </c>
      <c r="K278" s="9">
        <f t="shared" si="31"/>
        <v>199.72885664310996</v>
      </c>
      <c r="L278" s="10">
        <f t="shared" si="30"/>
        <v>0.24810247775215288</v>
      </c>
      <c r="M278" s="10">
        <f t="shared" si="34"/>
        <v>0.25966381232158897</v>
      </c>
      <c r="P278" s="8">
        <f t="shared" si="35"/>
        <v>3.696866431422722</v>
      </c>
    </row>
    <row r="279" spans="1:16" x14ac:dyDescent="0.2">
      <c r="A279" s="8">
        <v>138.5</v>
      </c>
      <c r="B279" s="8">
        <v>277</v>
      </c>
      <c r="D279">
        <v>987.91604603926999</v>
      </c>
      <c r="E279">
        <v>325.79011509817002</v>
      </c>
      <c r="F279">
        <v>137.16352624494999</v>
      </c>
      <c r="G279">
        <v>113.71870794078001</v>
      </c>
      <c r="I279" s="9">
        <f t="shared" si="32"/>
        <v>212.07140715739001</v>
      </c>
      <c r="J279" s="9">
        <f t="shared" si="33"/>
        <v>850.75251979432005</v>
      </c>
      <c r="K279" s="9">
        <f t="shared" si="31"/>
        <v>212.07140715739001</v>
      </c>
      <c r="L279" s="10">
        <f t="shared" si="30"/>
        <v>0.24927508555444644</v>
      </c>
      <c r="M279" s="10">
        <f t="shared" si="34"/>
        <v>0.26087830901725007</v>
      </c>
      <c r="P279" s="8">
        <f t="shared" si="35"/>
        <v>4.1818762620393919</v>
      </c>
    </row>
    <row r="280" spans="1:16" x14ac:dyDescent="0.2">
      <c r="A280" s="8">
        <v>139</v>
      </c>
      <c r="B280" s="8">
        <v>278</v>
      </c>
      <c r="D280">
        <v>961.96140825998998</v>
      </c>
      <c r="E280">
        <v>317.88964116452001</v>
      </c>
      <c r="F280">
        <v>137.37079407805999</v>
      </c>
      <c r="G280">
        <v>113.60834454913</v>
      </c>
      <c r="I280" s="9">
        <f t="shared" si="32"/>
        <v>204.28129661539003</v>
      </c>
      <c r="J280" s="9">
        <f t="shared" si="33"/>
        <v>824.59061418193005</v>
      </c>
      <c r="K280" s="9">
        <f t="shared" si="31"/>
        <v>204.28129661539003</v>
      </c>
      <c r="L280" s="10">
        <f t="shared" si="30"/>
        <v>0.24773662603236871</v>
      </c>
      <c r="M280" s="10">
        <f t="shared" si="34"/>
        <v>0.25938173838853984</v>
      </c>
      <c r="P280" s="8">
        <f t="shared" si="35"/>
        <v>3.5842200726649751</v>
      </c>
    </row>
    <row r="281" spans="1:16" x14ac:dyDescent="0.2">
      <c r="A281" s="8">
        <v>139.5</v>
      </c>
      <c r="B281" s="8">
        <v>279</v>
      </c>
      <c r="D281">
        <v>908.00744752876994</v>
      </c>
      <c r="E281">
        <v>306.03317535545</v>
      </c>
      <c r="F281">
        <v>137.67765814267</v>
      </c>
      <c r="G281">
        <v>113.80753701211</v>
      </c>
      <c r="I281" s="9">
        <f t="shared" si="32"/>
        <v>192.22563834333999</v>
      </c>
      <c r="J281" s="9">
        <f t="shared" si="33"/>
        <v>770.32978938609995</v>
      </c>
      <c r="K281" s="9">
        <f t="shared" si="31"/>
        <v>192.22563834333999</v>
      </c>
      <c r="L281" s="10">
        <f t="shared" si="30"/>
        <v>0.24953681006745262</v>
      </c>
      <c r="M281" s="10">
        <f t="shared" si="34"/>
        <v>0.26122381131699129</v>
      </c>
      <c r="P281" s="8">
        <f t="shared" si="35"/>
        <v>4.3198527690762827</v>
      </c>
    </row>
    <row r="282" spans="1:16" x14ac:dyDescent="0.2">
      <c r="A282" s="8">
        <v>140</v>
      </c>
      <c r="B282" s="8">
        <v>280</v>
      </c>
      <c r="D282">
        <v>970.36008091706003</v>
      </c>
      <c r="E282">
        <v>321.21038435603998</v>
      </c>
      <c r="F282">
        <v>136.95558546433</v>
      </c>
      <c r="G282">
        <v>113.87752355316</v>
      </c>
      <c r="I282" s="9">
        <f t="shared" si="32"/>
        <v>207.33286080287996</v>
      </c>
      <c r="J282" s="9">
        <f t="shared" si="33"/>
        <v>833.40449545273009</v>
      </c>
      <c r="K282" s="9">
        <f t="shared" si="31"/>
        <v>207.33286080287996</v>
      </c>
      <c r="L282" s="10">
        <f t="shared" si="30"/>
        <v>0.24877818866365797</v>
      </c>
      <c r="M282" s="10">
        <f t="shared" si="34"/>
        <v>0.26050707880656415</v>
      </c>
      <c r="P282" s="8">
        <f t="shared" si="35"/>
        <v>4.0336253015816048</v>
      </c>
    </row>
    <row r="283" spans="1:16" x14ac:dyDescent="0.2">
      <c r="A283" s="8">
        <v>140.5</v>
      </c>
      <c r="B283" s="8">
        <v>281</v>
      </c>
      <c r="D283">
        <v>918.98449089683004</v>
      </c>
      <c r="E283">
        <v>308.81591368847</v>
      </c>
      <c r="F283">
        <v>136.76917900404001</v>
      </c>
      <c r="G283">
        <v>113.96971736205001</v>
      </c>
      <c r="I283" s="9">
        <f t="shared" si="32"/>
        <v>194.84619632642</v>
      </c>
      <c r="J283" s="9">
        <f t="shared" si="33"/>
        <v>782.21531189279006</v>
      </c>
      <c r="K283" s="9">
        <f t="shared" si="31"/>
        <v>194.84619632642</v>
      </c>
      <c r="L283" s="10">
        <f t="shared" si="30"/>
        <v>0.24909534927785396</v>
      </c>
      <c r="M283" s="10">
        <f t="shared" si="34"/>
        <v>0.26086612831412764</v>
      </c>
      <c r="P283" s="8">
        <f t="shared" si="35"/>
        <v>4.1770118924784834</v>
      </c>
    </row>
    <row r="284" spans="1:16" x14ac:dyDescent="0.2">
      <c r="A284" s="8">
        <v>141</v>
      </c>
      <c r="B284" s="8">
        <v>282</v>
      </c>
      <c r="D284">
        <v>853.56844234660002</v>
      </c>
      <c r="E284">
        <v>293.60552933243002</v>
      </c>
      <c r="F284">
        <v>137.16150740242</v>
      </c>
      <c r="G284">
        <v>113.54441453567</v>
      </c>
      <c r="I284" s="9">
        <f t="shared" si="32"/>
        <v>180.06111479676002</v>
      </c>
      <c r="J284" s="9">
        <f t="shared" si="33"/>
        <v>716.40693494417997</v>
      </c>
      <c r="K284" s="9">
        <f t="shared" si="31"/>
        <v>180.06111479676002</v>
      </c>
      <c r="L284" s="10">
        <f t="shared" si="30"/>
        <v>0.25133915657975836</v>
      </c>
      <c r="M284" s="10">
        <f t="shared" si="34"/>
        <v>0.26315182450939956</v>
      </c>
      <c r="P284" s="8">
        <f t="shared" si="35"/>
        <v>5.0898057506013794</v>
      </c>
    </row>
    <row r="285" spans="1:16" x14ac:dyDescent="0.2">
      <c r="A285" s="8">
        <v>141.5</v>
      </c>
      <c r="B285" s="8">
        <v>283</v>
      </c>
      <c r="D285">
        <v>939.05016949153003</v>
      </c>
      <c r="E285">
        <v>316.95999999999998</v>
      </c>
      <c r="F285">
        <v>137.34454912517</v>
      </c>
      <c r="G285">
        <v>113.69784656797</v>
      </c>
      <c r="I285" s="9">
        <f t="shared" si="32"/>
        <v>203.26215343202998</v>
      </c>
      <c r="J285" s="9">
        <f t="shared" si="33"/>
        <v>801.70562036635999</v>
      </c>
      <c r="K285" s="9">
        <f t="shared" si="31"/>
        <v>203.26215343202998</v>
      </c>
      <c r="L285" s="10">
        <f t="shared" si="30"/>
        <v>0.25353714414418616</v>
      </c>
      <c r="M285" s="10">
        <f t="shared" si="34"/>
        <v>0.26539170096719489</v>
      </c>
      <c r="P285" s="8">
        <f t="shared" si="35"/>
        <v>5.9843014748620655</v>
      </c>
    </row>
    <row r="286" spans="1:16" x14ac:dyDescent="0.2">
      <c r="A286" s="8">
        <v>142</v>
      </c>
      <c r="B286" s="8">
        <v>284</v>
      </c>
      <c r="D286">
        <v>936.27728813558997</v>
      </c>
      <c r="E286">
        <v>317.77627118644</v>
      </c>
      <c r="F286">
        <v>137.14602960969</v>
      </c>
      <c r="G286">
        <v>113.29475100942</v>
      </c>
      <c r="I286" s="9">
        <f t="shared" si="32"/>
        <v>204.48152017702</v>
      </c>
      <c r="J286" s="9">
        <f t="shared" si="33"/>
        <v>799.13125852589997</v>
      </c>
      <c r="K286" s="9">
        <f t="shared" si="31"/>
        <v>204.48152017702</v>
      </c>
      <c r="L286" s="10">
        <f t="shared" si="30"/>
        <v>0.25587976692866748</v>
      </c>
      <c r="M286" s="10">
        <f t="shared" si="34"/>
        <v>0.26777621264504375</v>
      </c>
      <c r="P286" s="8">
        <f t="shared" si="35"/>
        <v>6.9365573427526082</v>
      </c>
    </row>
    <row r="287" spans="1:16" x14ac:dyDescent="0.2">
      <c r="A287" s="8">
        <v>142.5</v>
      </c>
      <c r="B287" s="8">
        <v>285</v>
      </c>
      <c r="D287">
        <v>994.22604588393995</v>
      </c>
      <c r="E287">
        <v>329.03238866396998</v>
      </c>
      <c r="F287">
        <v>137.43606998653999</v>
      </c>
      <c r="G287">
        <v>113.4333781965</v>
      </c>
      <c r="I287" s="9">
        <f t="shared" si="32"/>
        <v>215.59901046746998</v>
      </c>
      <c r="J287" s="9">
        <f t="shared" si="33"/>
        <v>856.78997589739993</v>
      </c>
      <c r="K287" s="9">
        <f t="shared" si="31"/>
        <v>215.59901046746998</v>
      </c>
      <c r="L287" s="10">
        <f t="shared" si="30"/>
        <v>0.25163577601576403</v>
      </c>
      <c r="M287" s="10">
        <f t="shared" si="34"/>
        <v>0.26357411062550784</v>
      </c>
      <c r="P287" s="8">
        <f t="shared" si="35"/>
        <v>5.2584459110704556</v>
      </c>
    </row>
    <row r="288" spans="1:16" x14ac:dyDescent="0.2">
      <c r="A288" s="8">
        <v>143</v>
      </c>
      <c r="B288" s="8">
        <v>286</v>
      </c>
      <c r="D288">
        <v>1024.5492577598</v>
      </c>
      <c r="E288">
        <v>339.44736842104999</v>
      </c>
      <c r="F288">
        <v>137.40780619111999</v>
      </c>
      <c r="G288">
        <v>113.54576043069</v>
      </c>
      <c r="I288" s="9">
        <f t="shared" si="32"/>
        <v>225.90160799035999</v>
      </c>
      <c r="J288" s="9">
        <f t="shared" si="33"/>
        <v>887.14145156867994</v>
      </c>
      <c r="K288" s="9">
        <f t="shared" si="31"/>
        <v>225.90160799035999</v>
      </c>
      <c r="L288" s="10">
        <f t="shared" si="30"/>
        <v>0.25463989715609781</v>
      </c>
      <c r="M288" s="10">
        <f t="shared" si="34"/>
        <v>0.26662012065920909</v>
      </c>
      <c r="P288" s="8">
        <f t="shared" si="35"/>
        <v>6.4748714606664963</v>
      </c>
    </row>
    <row r="289" spans="1:16" x14ac:dyDescent="0.2">
      <c r="A289" s="8">
        <v>143.5</v>
      </c>
      <c r="B289" s="8">
        <v>287</v>
      </c>
      <c r="D289">
        <v>1043.7476383266001</v>
      </c>
      <c r="E289">
        <v>344.19163292847998</v>
      </c>
      <c r="F289">
        <v>137.14401076716001</v>
      </c>
      <c r="G289">
        <v>113.53633916555</v>
      </c>
      <c r="I289" s="9">
        <f t="shared" si="32"/>
        <v>230.65529376292997</v>
      </c>
      <c r="J289" s="9">
        <f t="shared" si="33"/>
        <v>906.60362755944004</v>
      </c>
      <c r="K289" s="9">
        <f t="shared" si="31"/>
        <v>230.65529376292997</v>
      </c>
      <c r="L289" s="10">
        <f t="shared" si="30"/>
        <v>0.2544169102696508</v>
      </c>
      <c r="M289" s="10">
        <f t="shared" si="34"/>
        <v>0.26643902266612962</v>
      </c>
      <c r="P289" s="8">
        <f t="shared" si="35"/>
        <v>6.402549891359401</v>
      </c>
    </row>
    <row r="290" spans="1:16" x14ac:dyDescent="0.2">
      <c r="A290" s="8">
        <v>144</v>
      </c>
      <c r="B290" s="8">
        <v>288</v>
      </c>
      <c r="D290">
        <v>957.73053486798005</v>
      </c>
      <c r="E290">
        <v>322.30873392011</v>
      </c>
      <c r="F290">
        <v>137.31359353970001</v>
      </c>
      <c r="G290">
        <v>113.65006729475</v>
      </c>
      <c r="I290" s="9">
        <f t="shared" si="32"/>
        <v>208.65866662536001</v>
      </c>
      <c r="J290" s="9">
        <f t="shared" si="33"/>
        <v>820.41694132828002</v>
      </c>
      <c r="K290" s="9">
        <f t="shared" si="31"/>
        <v>208.65866662536001</v>
      </c>
      <c r="L290" s="10">
        <f t="shared" si="30"/>
        <v>0.25433246939968751</v>
      </c>
      <c r="M290" s="10">
        <f t="shared" si="34"/>
        <v>0.26639647068953387</v>
      </c>
      <c r="P290" s="8">
        <f t="shared" si="35"/>
        <v>6.3855567393526131</v>
      </c>
    </row>
    <row r="291" spans="1:16" x14ac:dyDescent="0.2">
      <c r="A291" s="8">
        <v>144.5</v>
      </c>
      <c r="B291" s="8">
        <v>289</v>
      </c>
      <c r="D291">
        <v>956.60731211916004</v>
      </c>
      <c r="E291">
        <v>322.55314827352998</v>
      </c>
      <c r="F291">
        <v>137.20928667563999</v>
      </c>
      <c r="G291">
        <v>113.70995962315</v>
      </c>
      <c r="I291" s="9">
        <f t="shared" si="32"/>
        <v>208.84318865038</v>
      </c>
      <c r="J291" s="9">
        <f t="shared" si="33"/>
        <v>819.39802544352005</v>
      </c>
      <c r="K291" s="9">
        <f t="shared" si="31"/>
        <v>208.84318865038</v>
      </c>
      <c r="L291" s="10">
        <f t="shared" si="30"/>
        <v>0.25487392227646422</v>
      </c>
      <c r="M291" s="10">
        <f t="shared" si="34"/>
        <v>0.26697981245967811</v>
      </c>
      <c r="P291" s="8">
        <f t="shared" si="35"/>
        <v>6.6185145515393975</v>
      </c>
    </row>
    <row r="292" spans="1:16" x14ac:dyDescent="0.2">
      <c r="A292" s="8">
        <v>145</v>
      </c>
      <c r="B292" s="8">
        <v>290</v>
      </c>
      <c r="D292">
        <v>965.59174001353995</v>
      </c>
      <c r="E292">
        <v>323.97427217332</v>
      </c>
      <c r="F292">
        <v>137.07873485868001</v>
      </c>
      <c r="G292">
        <v>113.60296096904</v>
      </c>
      <c r="I292" s="9">
        <f>E292-G292</f>
        <v>210.37131120428</v>
      </c>
      <c r="J292" s="9">
        <f>D292-F292</f>
        <v>828.51300515485991</v>
      </c>
      <c r="K292" s="9">
        <f t="shared" si="31"/>
        <v>210.37131120428</v>
      </c>
      <c r="L292" s="10">
        <f t="shared" si="30"/>
        <v>0.25391431383139107</v>
      </c>
      <c r="M292" s="10">
        <f>L292+ABS($N$2)*A292</f>
        <v>0.26606209290797245</v>
      </c>
      <c r="O292" s="11"/>
      <c r="P292" s="8">
        <f>(M292-$O$2)/$O$2*100</f>
        <v>6.2520228139195719</v>
      </c>
    </row>
    <row r="293" spans="1:16" x14ac:dyDescent="0.2">
      <c r="A293" s="8">
        <v>145.5</v>
      </c>
      <c r="B293" s="8">
        <v>291</v>
      </c>
      <c r="D293">
        <v>915.63981042653995</v>
      </c>
      <c r="E293">
        <v>312.01760324983002</v>
      </c>
      <c r="F293">
        <v>137.09421265141</v>
      </c>
      <c r="G293">
        <v>113.57537012113001</v>
      </c>
      <c r="I293" s="9">
        <f t="shared" ref="I293:I301" si="36">E293-G293</f>
        <v>198.44223312870002</v>
      </c>
      <c r="J293" s="9">
        <f t="shared" ref="J293:J301" si="37">D293-F293</f>
        <v>778.54559777512998</v>
      </c>
      <c r="K293" s="9">
        <f t="shared" si="31"/>
        <v>198.44223312870002</v>
      </c>
      <c r="L293" s="10">
        <f t="shared" si="30"/>
        <v>0.25488838893417876</v>
      </c>
      <c r="M293" s="10">
        <f t="shared" ref="M293:M301" si="38">L293+ABS($N$2)*A293</f>
        <v>0.26707805690412767</v>
      </c>
      <c r="P293" s="8">
        <f t="shared" ref="P293:P301" si="39">(M293-$O$2)/$O$2*100</f>
        <v>6.6577485169604174</v>
      </c>
    </row>
    <row r="294" spans="1:16" x14ac:dyDescent="0.2">
      <c r="A294" s="8">
        <v>146</v>
      </c>
      <c r="B294" s="8">
        <v>292</v>
      </c>
      <c r="D294">
        <v>898.93838862559005</v>
      </c>
      <c r="E294">
        <v>306.63236289777001</v>
      </c>
      <c r="F294">
        <v>136.69448183041999</v>
      </c>
      <c r="G294">
        <v>113.66890982503</v>
      </c>
      <c r="I294" s="9">
        <f t="shared" si="36"/>
        <v>192.96345307274001</v>
      </c>
      <c r="J294" s="9">
        <f t="shared" si="37"/>
        <v>762.24390679517001</v>
      </c>
      <c r="K294" s="9">
        <f t="shared" si="31"/>
        <v>192.96345307274001</v>
      </c>
      <c r="L294" s="10">
        <f t="shared" si="30"/>
        <v>0.25315184726638046</v>
      </c>
      <c r="M294" s="10">
        <f t="shared" si="38"/>
        <v>0.26538340412969691</v>
      </c>
      <c r="N294" s="1"/>
      <c r="P294" s="8">
        <f t="shared" si="39"/>
        <v>5.9809881288777369</v>
      </c>
    </row>
    <row r="295" spans="1:16" x14ac:dyDescent="0.2">
      <c r="A295" s="8">
        <v>146.5</v>
      </c>
      <c r="B295" s="8">
        <v>293</v>
      </c>
      <c r="D295">
        <v>905.11983750846002</v>
      </c>
      <c r="E295">
        <v>308.28571428571001</v>
      </c>
      <c r="F295">
        <v>137.48384925976001</v>
      </c>
      <c r="G295">
        <v>113.47846567968</v>
      </c>
      <c r="I295" s="9">
        <f t="shared" si="36"/>
        <v>194.80724860603002</v>
      </c>
      <c r="J295" s="9">
        <f t="shared" si="37"/>
        <v>767.63598824869996</v>
      </c>
      <c r="K295" s="9">
        <f t="shared" si="31"/>
        <v>194.80724860603002</v>
      </c>
      <c r="L295" s="10">
        <f t="shared" si="30"/>
        <v>0.2537755545443709</v>
      </c>
      <c r="M295" s="10">
        <f t="shared" si="38"/>
        <v>0.26604900030105488</v>
      </c>
      <c r="P295" s="8">
        <f t="shared" si="39"/>
        <v>6.2467942751461818</v>
      </c>
    </row>
    <row r="296" spans="1:16" x14ac:dyDescent="0.2">
      <c r="A296" s="8">
        <v>147</v>
      </c>
      <c r="B296" s="8">
        <v>294</v>
      </c>
      <c r="D296">
        <v>876.30331753555004</v>
      </c>
      <c r="E296">
        <v>301.64184157074999</v>
      </c>
      <c r="F296">
        <v>136.98788694481999</v>
      </c>
      <c r="G296">
        <v>113.43606998654001</v>
      </c>
      <c r="I296" s="9">
        <f t="shared" si="36"/>
        <v>188.20577158420997</v>
      </c>
      <c r="J296" s="9">
        <f t="shared" si="37"/>
        <v>739.3154305907301</v>
      </c>
      <c r="K296" s="9">
        <f t="shared" si="31"/>
        <v>188.20577158420997</v>
      </c>
      <c r="L296" s="10">
        <f t="shared" si="30"/>
        <v>0.25456762269093886</v>
      </c>
      <c r="M296" s="10">
        <f t="shared" si="38"/>
        <v>0.26688295734099032</v>
      </c>
      <c r="P296" s="8">
        <f t="shared" si="39"/>
        <v>6.5798354140193469</v>
      </c>
    </row>
    <row r="297" spans="1:16" x14ac:dyDescent="0.2">
      <c r="A297" s="8">
        <v>147.5</v>
      </c>
      <c r="B297" s="8">
        <v>295</v>
      </c>
      <c r="D297">
        <v>883.98578199051997</v>
      </c>
      <c r="E297">
        <v>302.99864590385999</v>
      </c>
      <c r="F297">
        <v>137.53768506057</v>
      </c>
      <c r="G297">
        <v>113.48990578735</v>
      </c>
      <c r="I297" s="9">
        <f t="shared" si="36"/>
        <v>189.50874011651001</v>
      </c>
      <c r="J297" s="9">
        <f t="shared" si="37"/>
        <v>746.44809692995</v>
      </c>
      <c r="K297" s="9">
        <f t="shared" si="31"/>
        <v>189.50874011651001</v>
      </c>
      <c r="L297" s="10">
        <f t="shared" si="30"/>
        <v>0.25388066617884936</v>
      </c>
      <c r="M297" s="10">
        <f t="shared" si="38"/>
        <v>0.26623788972226836</v>
      </c>
      <c r="P297" s="8">
        <f t="shared" si="39"/>
        <v>6.3222273549687351</v>
      </c>
    </row>
    <row r="298" spans="1:16" x14ac:dyDescent="0.2">
      <c r="A298" s="8">
        <v>148</v>
      </c>
      <c r="B298" s="8">
        <v>296</v>
      </c>
      <c r="D298">
        <v>882.59444820581996</v>
      </c>
      <c r="E298">
        <v>302.32295192958998</v>
      </c>
      <c r="F298">
        <v>136.81090174965999</v>
      </c>
      <c r="G298">
        <v>113.32907133243999</v>
      </c>
      <c r="I298" s="9">
        <f t="shared" si="36"/>
        <v>188.99388059715</v>
      </c>
      <c r="J298" s="9">
        <f t="shared" si="37"/>
        <v>745.78354645615991</v>
      </c>
      <c r="K298" s="9">
        <f t="shared" si="31"/>
        <v>188.99388059715</v>
      </c>
      <c r="L298" s="10">
        <f t="shared" si="30"/>
        <v>0.25341653284685306</v>
      </c>
      <c r="M298" s="10">
        <f t="shared" si="38"/>
        <v>0.2658156452836396</v>
      </c>
      <c r="P298" s="8">
        <f t="shared" si="39"/>
        <v>6.1536038384208451</v>
      </c>
    </row>
    <row r="299" spans="1:16" x14ac:dyDescent="0.2">
      <c r="A299" s="8">
        <v>148.5</v>
      </c>
      <c r="B299" s="8">
        <v>297</v>
      </c>
      <c r="D299">
        <v>876.26540284359999</v>
      </c>
      <c r="E299">
        <v>301.22545700745002</v>
      </c>
      <c r="F299">
        <v>137.41251682369</v>
      </c>
      <c r="G299">
        <v>113.44212651413</v>
      </c>
      <c r="I299" s="9">
        <f t="shared" si="36"/>
        <v>187.78333049332002</v>
      </c>
      <c r="J299" s="9">
        <f t="shared" si="37"/>
        <v>738.85288601990999</v>
      </c>
      <c r="K299" s="9">
        <f t="shared" si="31"/>
        <v>187.78333049332002</v>
      </c>
      <c r="L299" s="10">
        <f t="shared" si="30"/>
        <v>0.2541552371878531</v>
      </c>
      <c r="M299" s="10">
        <f t="shared" si="38"/>
        <v>0.26659623851800718</v>
      </c>
      <c r="P299" s="8">
        <f t="shared" si="39"/>
        <v>6.4653341162665603</v>
      </c>
    </row>
    <row r="300" spans="1:16" x14ac:dyDescent="0.2">
      <c r="A300" s="8">
        <v>149</v>
      </c>
      <c r="B300" s="8">
        <v>298</v>
      </c>
      <c r="D300">
        <v>886.42586323628996</v>
      </c>
      <c r="E300">
        <v>304.25321597832999</v>
      </c>
      <c r="F300">
        <v>136.85464333781999</v>
      </c>
      <c r="G300">
        <v>113.75100942127</v>
      </c>
      <c r="I300" s="9">
        <f t="shared" si="36"/>
        <v>190.50220655705999</v>
      </c>
      <c r="J300" s="9">
        <f t="shared" si="37"/>
        <v>749.57121989846996</v>
      </c>
      <c r="K300" s="9">
        <f t="shared" si="31"/>
        <v>190.50220655705999</v>
      </c>
      <c r="L300" s="10">
        <f t="shared" si="30"/>
        <v>0.25414824035381678</v>
      </c>
      <c r="M300" s="10">
        <f t="shared" si="38"/>
        <v>0.26663113057733834</v>
      </c>
      <c r="P300" s="8">
        <f t="shared" si="39"/>
        <v>6.4792682766858789</v>
      </c>
    </row>
    <row r="301" spans="1:16" x14ac:dyDescent="0.2">
      <c r="A301" s="8">
        <v>149.5</v>
      </c>
      <c r="B301" s="8">
        <v>299</v>
      </c>
      <c r="D301">
        <v>880.77183480026997</v>
      </c>
      <c r="E301">
        <v>303.19972918077002</v>
      </c>
      <c r="F301">
        <v>136.95827725436999</v>
      </c>
      <c r="G301">
        <v>113.63257065949</v>
      </c>
      <c r="I301" s="9">
        <f t="shared" si="36"/>
        <v>189.56715852128002</v>
      </c>
      <c r="J301" s="9">
        <f t="shared" si="37"/>
        <v>743.81355754590004</v>
      </c>
      <c r="K301" s="9">
        <f t="shared" si="31"/>
        <v>189.56715852128002</v>
      </c>
      <c r="L301" s="10">
        <f t="shared" si="30"/>
        <v>0.25485843407685133</v>
      </c>
      <c r="M301" s="10">
        <f t="shared" si="38"/>
        <v>0.26738321319374042</v>
      </c>
      <c r="P301" s="8">
        <f t="shared" si="39"/>
        <v>6.7796128257440049</v>
      </c>
    </row>
    <row r="302" spans="1:16" x14ac:dyDescent="0.2">
      <c r="A302" s="8">
        <v>150</v>
      </c>
      <c r="B302" s="8">
        <v>300</v>
      </c>
      <c r="D302">
        <v>861.35003385239997</v>
      </c>
      <c r="E302">
        <v>297.13947190251002</v>
      </c>
      <c r="F302">
        <v>136.67900403768999</v>
      </c>
      <c r="G302">
        <v>113.55450874832</v>
      </c>
      <c r="I302" s="9">
        <f>E302-G302</f>
        <v>183.58496315419001</v>
      </c>
      <c r="J302" s="9">
        <f>D302-F302</f>
        <v>724.67102981470998</v>
      </c>
      <c r="K302" s="9">
        <f t="shared" si="31"/>
        <v>183.58496315419001</v>
      </c>
      <c r="L302" s="10">
        <f t="shared" si="30"/>
        <v>0.25333559035902203</v>
      </c>
      <c r="M302" s="10">
        <f>L302+ABS($N$2)*A302</f>
        <v>0.26590225836927867</v>
      </c>
      <c r="O302" s="11"/>
      <c r="P302" s="8">
        <f>(M302-$O$2)/$O$2*100</f>
        <v>6.1881928151921022</v>
      </c>
    </row>
    <row r="303" spans="1:16" x14ac:dyDescent="0.2">
      <c r="A303" s="8">
        <v>150.5</v>
      </c>
      <c r="B303" s="8">
        <v>301</v>
      </c>
      <c r="D303">
        <v>841.92958700068004</v>
      </c>
      <c r="E303">
        <v>293.09478672986</v>
      </c>
      <c r="F303">
        <v>137.44414535665999</v>
      </c>
      <c r="G303">
        <v>113.45693135934999</v>
      </c>
      <c r="I303" s="9">
        <f t="shared" ref="I303:I309" si="40">E303-G303</f>
        <v>179.63785537051001</v>
      </c>
      <c r="J303" s="9">
        <f t="shared" ref="J303:J309" si="41">D303-F303</f>
        <v>704.48544164402006</v>
      </c>
      <c r="K303" s="9">
        <f t="shared" si="31"/>
        <v>179.63785537051001</v>
      </c>
      <c r="L303" s="10">
        <f t="shared" si="30"/>
        <v>0.25499157931681132</v>
      </c>
      <c r="M303" s="10">
        <f t="shared" ref="M303:M309" si="42">L303+ABS($N$2)*A303</f>
        <v>0.26760013622043549</v>
      </c>
      <c r="P303" s="8">
        <f t="shared" ref="P303:P309" si="43">(M303-$O$2)/$O$2*100</f>
        <v>6.8662411391927813</v>
      </c>
    </row>
    <row r="304" spans="1:16" x14ac:dyDescent="0.2">
      <c r="A304" s="8">
        <v>151</v>
      </c>
      <c r="B304" s="8">
        <v>302</v>
      </c>
      <c r="D304">
        <v>850.06296547055001</v>
      </c>
      <c r="E304">
        <v>294.98036560596</v>
      </c>
      <c r="F304">
        <v>137.23889636608001</v>
      </c>
      <c r="G304">
        <v>113.42193808883</v>
      </c>
      <c r="I304" s="9">
        <f t="shared" si="40"/>
        <v>181.55842751712999</v>
      </c>
      <c r="J304" s="9">
        <f t="shared" si="41"/>
        <v>712.82406910447003</v>
      </c>
      <c r="K304" s="9">
        <f t="shared" si="31"/>
        <v>181.55842751712999</v>
      </c>
      <c r="L304" s="10">
        <f t="shared" si="30"/>
        <v>0.25470299809772717</v>
      </c>
      <c r="M304" s="10">
        <f t="shared" si="42"/>
        <v>0.26735344389471882</v>
      </c>
      <c r="N304" s="1"/>
      <c r="P304" s="8">
        <f t="shared" si="43"/>
        <v>6.7677244420805307</v>
      </c>
    </row>
    <row r="305" spans="1:16" x14ac:dyDescent="0.2">
      <c r="A305" s="8">
        <v>151.5</v>
      </c>
      <c r="B305" s="8">
        <v>303</v>
      </c>
      <c r="D305">
        <v>882.36763710222999</v>
      </c>
      <c r="E305">
        <v>302.80839539607001</v>
      </c>
      <c r="F305">
        <v>137.00336473754999</v>
      </c>
      <c r="G305">
        <v>113.5134589502</v>
      </c>
      <c r="I305" s="9">
        <f t="shared" si="40"/>
        <v>189.29493644587001</v>
      </c>
      <c r="J305" s="9">
        <f t="shared" si="41"/>
        <v>745.36427236468001</v>
      </c>
      <c r="K305" s="9">
        <f t="shared" si="31"/>
        <v>189.29493644587001</v>
      </c>
      <c r="L305" s="10">
        <f t="shared" si="30"/>
        <v>0.25396298623937102</v>
      </c>
      <c r="M305" s="10">
        <f t="shared" si="42"/>
        <v>0.26665532092973021</v>
      </c>
      <c r="P305" s="8">
        <f t="shared" si="43"/>
        <v>6.4889287053704976</v>
      </c>
    </row>
    <row r="306" spans="1:16" x14ac:dyDescent="0.2">
      <c r="A306" s="8">
        <v>152</v>
      </c>
      <c r="B306" s="8">
        <v>304</v>
      </c>
      <c r="D306">
        <v>901.89911983751006</v>
      </c>
      <c r="E306">
        <v>308.85781990521002</v>
      </c>
      <c r="F306">
        <v>137.50538358008001</v>
      </c>
      <c r="G306">
        <v>113.55585464334</v>
      </c>
      <c r="I306" s="9">
        <f t="shared" si="40"/>
        <v>195.30196526187001</v>
      </c>
      <c r="J306" s="9">
        <f t="shared" si="41"/>
        <v>764.39373625743008</v>
      </c>
      <c r="K306" s="9">
        <f t="shared" si="31"/>
        <v>195.30196526187001</v>
      </c>
      <c r="L306" s="10">
        <f t="shared" si="30"/>
        <v>0.25549917012414769</v>
      </c>
      <c r="M306" s="10">
        <f t="shared" si="42"/>
        <v>0.26823339370787441</v>
      </c>
      <c r="P306" s="8">
        <f t="shared" si="43"/>
        <v>7.1191328167220513</v>
      </c>
    </row>
    <row r="307" spans="1:16" x14ac:dyDescent="0.2">
      <c r="A307" s="8">
        <v>152.5</v>
      </c>
      <c r="B307" s="8">
        <v>305</v>
      </c>
      <c r="D307">
        <v>883.81719702098997</v>
      </c>
      <c r="E307">
        <v>302.91469194312998</v>
      </c>
      <c r="F307">
        <v>136.61238223418999</v>
      </c>
      <c r="G307">
        <v>113.36339165545</v>
      </c>
      <c r="I307" s="9">
        <f t="shared" si="40"/>
        <v>189.55130028767996</v>
      </c>
      <c r="J307" s="9">
        <f t="shared" si="41"/>
        <v>747.20481478679994</v>
      </c>
      <c r="K307" s="9">
        <f t="shared" si="31"/>
        <v>189.55130028767996</v>
      </c>
      <c r="L307" s="10">
        <f t="shared" si="30"/>
        <v>0.25368051240644729</v>
      </c>
      <c r="M307" s="10">
        <f t="shared" si="42"/>
        <v>0.26645662488354149</v>
      </c>
      <c r="P307" s="8">
        <f t="shared" si="43"/>
        <v>6.4095793452195142</v>
      </c>
    </row>
    <row r="308" spans="1:16" x14ac:dyDescent="0.2">
      <c r="A308" s="8">
        <v>153</v>
      </c>
      <c r="B308" s="8">
        <v>306</v>
      </c>
      <c r="D308">
        <v>880.87677725118999</v>
      </c>
      <c r="E308">
        <v>304.75152335816</v>
      </c>
      <c r="F308">
        <v>136.99259757739</v>
      </c>
      <c r="G308">
        <v>113.3196500673</v>
      </c>
      <c r="I308" s="9">
        <f t="shared" si="40"/>
        <v>191.43187329085998</v>
      </c>
      <c r="J308" s="9">
        <f t="shared" si="41"/>
        <v>743.88417967379996</v>
      </c>
      <c r="K308" s="9">
        <f t="shared" si="31"/>
        <v>191.43187329085998</v>
      </c>
      <c r="L308" s="10">
        <f t="shared" si="30"/>
        <v>0.2573409658675691</v>
      </c>
      <c r="M308" s="10">
        <f t="shared" si="42"/>
        <v>0.27015896723803084</v>
      </c>
      <c r="P308" s="8">
        <f t="shared" si="43"/>
        <v>7.8881115179714172</v>
      </c>
    </row>
    <row r="309" spans="1:16" x14ac:dyDescent="0.2">
      <c r="A309" s="8">
        <v>153.5</v>
      </c>
      <c r="B309" s="8">
        <v>307</v>
      </c>
      <c r="D309">
        <v>863.14691943128003</v>
      </c>
      <c r="E309">
        <v>299.51184834123001</v>
      </c>
      <c r="F309">
        <v>136.79878869448001</v>
      </c>
      <c r="G309">
        <v>113.45895020188</v>
      </c>
      <c r="I309" s="9">
        <f t="shared" si="40"/>
        <v>186.05289813935002</v>
      </c>
      <c r="J309" s="9">
        <f t="shared" si="41"/>
        <v>726.34813073680004</v>
      </c>
      <c r="K309" s="9">
        <f t="shared" si="31"/>
        <v>186.05289813935002</v>
      </c>
      <c r="L309" s="10">
        <f t="shared" si="30"/>
        <v>0.25614838156273617</v>
      </c>
      <c r="M309" s="10">
        <f t="shared" si="42"/>
        <v>0.26900827182656545</v>
      </c>
      <c r="P309" s="8">
        <f t="shared" si="43"/>
        <v>7.4285807604155734</v>
      </c>
    </row>
    <row r="310" spans="1:16" x14ac:dyDescent="0.2">
      <c r="A310" s="8">
        <v>154</v>
      </c>
      <c r="B310" s="8">
        <v>308</v>
      </c>
      <c r="D310">
        <v>855.28232904536003</v>
      </c>
      <c r="E310">
        <v>297.07515233582001</v>
      </c>
      <c r="F310">
        <v>136.75370121130999</v>
      </c>
      <c r="G310">
        <v>113.40174966353</v>
      </c>
      <c r="I310" s="9">
        <f>E310-G310</f>
        <v>183.67340267229002</v>
      </c>
      <c r="J310" s="9">
        <f>D310-F310</f>
        <v>718.52862783404998</v>
      </c>
      <c r="K310" s="9">
        <f t="shared" si="31"/>
        <v>183.67340267229002</v>
      </c>
      <c r="L310" s="10">
        <f t="shared" si="30"/>
        <v>0.25562433500521692</v>
      </c>
      <c r="M310" s="10">
        <f>L310+ABS($N$2)*A310</f>
        <v>0.26852611416241373</v>
      </c>
      <c r="O310" s="11"/>
      <c r="P310" s="8">
        <f>(M310-$O$2)/$O$2*100</f>
        <v>7.2360308688792614</v>
      </c>
    </row>
    <row r="311" spans="1:16" x14ac:dyDescent="0.2">
      <c r="A311" s="8">
        <v>154.5</v>
      </c>
      <c r="B311" s="8">
        <v>309</v>
      </c>
      <c r="D311">
        <v>846.97020988489999</v>
      </c>
      <c r="E311">
        <v>295.79011509817002</v>
      </c>
      <c r="F311">
        <v>137.15881561238001</v>
      </c>
      <c r="G311">
        <v>113.38963660835</v>
      </c>
      <c r="I311" s="9">
        <f t="shared" ref="I311:I319" si="44">E311-G311</f>
        <v>182.40047848982002</v>
      </c>
      <c r="J311" s="9">
        <f t="shared" ref="J311:J319" si="45">D311-F311</f>
        <v>709.81139427251992</v>
      </c>
      <c r="K311" s="9">
        <f t="shared" si="31"/>
        <v>182.40047848982002</v>
      </c>
      <c r="L311" s="10">
        <f t="shared" si="30"/>
        <v>0.25697034446278622</v>
      </c>
      <c r="M311" s="10">
        <f t="shared" ref="M311:M319" si="46">L311+ABS($N$2)*A311</f>
        <v>0.26991401251335051</v>
      </c>
      <c r="P311" s="8">
        <f t="shared" ref="P311:P319" si="47">(M311-$O$2)/$O$2*100</f>
        <v>7.7902887326559807</v>
      </c>
    </row>
    <row r="312" spans="1:16" x14ac:dyDescent="0.2">
      <c r="A312" s="8">
        <v>155</v>
      </c>
      <c r="B312" s="8">
        <v>310</v>
      </c>
      <c r="D312">
        <v>856.94109681786995</v>
      </c>
      <c r="E312">
        <v>298.64861205146002</v>
      </c>
      <c r="F312">
        <v>136.59152086136999</v>
      </c>
      <c r="G312">
        <v>113.38627187079</v>
      </c>
      <c r="I312" s="9">
        <f t="shared" si="44"/>
        <v>185.26234018067004</v>
      </c>
      <c r="J312" s="9">
        <f t="shared" si="45"/>
        <v>720.34957595649996</v>
      </c>
      <c r="K312" s="9">
        <f t="shared" si="31"/>
        <v>185.26234018067004</v>
      </c>
      <c r="L312" s="10">
        <f t="shared" si="30"/>
        <v>0.25718393730526407</v>
      </c>
      <c r="M312" s="10">
        <f t="shared" si="46"/>
        <v>0.2701694942491959</v>
      </c>
      <c r="N312" s="1"/>
      <c r="P312" s="8">
        <f t="shared" si="47"/>
        <v>7.8923154848659358</v>
      </c>
    </row>
    <row r="313" spans="1:16" x14ac:dyDescent="0.2">
      <c r="A313" s="8">
        <v>155.5</v>
      </c>
      <c r="B313" s="8">
        <v>311</v>
      </c>
      <c r="D313">
        <v>814.46919431280003</v>
      </c>
      <c r="E313">
        <v>287.62356127285</v>
      </c>
      <c r="F313">
        <v>136.47711978466</v>
      </c>
      <c r="G313">
        <v>113.38559892328</v>
      </c>
      <c r="I313" s="9">
        <f t="shared" si="44"/>
        <v>174.23796234957001</v>
      </c>
      <c r="J313" s="9">
        <f t="shared" si="45"/>
        <v>677.99207452814005</v>
      </c>
      <c r="K313" s="9">
        <f t="shared" si="31"/>
        <v>174.23796234957001</v>
      </c>
      <c r="L313" s="10">
        <f t="shared" si="30"/>
        <v>0.25699114915293642</v>
      </c>
      <c r="M313" s="10">
        <f t="shared" si="46"/>
        <v>0.27001859499023578</v>
      </c>
      <c r="P313" s="8">
        <f t="shared" si="47"/>
        <v>7.8320537943319932</v>
      </c>
    </row>
    <row r="314" spans="1:16" x14ac:dyDescent="0.2">
      <c r="A314" s="8">
        <v>156</v>
      </c>
      <c r="B314" s="8">
        <v>312</v>
      </c>
      <c r="D314">
        <v>810.48544346648998</v>
      </c>
      <c r="E314">
        <v>287.17535545023998</v>
      </c>
      <c r="F314">
        <v>137.17900403768999</v>
      </c>
      <c r="G314">
        <v>113.36810228802</v>
      </c>
      <c r="I314" s="9">
        <f t="shared" si="44"/>
        <v>173.80725316221998</v>
      </c>
      <c r="J314" s="9">
        <f t="shared" si="45"/>
        <v>673.30643942879999</v>
      </c>
      <c r="K314" s="9">
        <f t="shared" si="31"/>
        <v>173.80725316221998</v>
      </c>
      <c r="L314" s="10">
        <f t="shared" si="30"/>
        <v>0.25813989438400364</v>
      </c>
      <c r="M314" s="10">
        <f t="shared" si="46"/>
        <v>0.27120922911467055</v>
      </c>
      <c r="P314" s="8">
        <f t="shared" si="47"/>
        <v>8.3075340958277462</v>
      </c>
    </row>
    <row r="315" spans="1:16" x14ac:dyDescent="0.2">
      <c r="A315" s="8">
        <v>156.5</v>
      </c>
      <c r="B315" s="8">
        <v>313</v>
      </c>
      <c r="D315">
        <v>816.5903859174</v>
      </c>
      <c r="E315">
        <v>289.84698713608998</v>
      </c>
      <c r="F315">
        <v>137.39030955586</v>
      </c>
      <c r="G315">
        <v>113.19111709287</v>
      </c>
      <c r="I315" s="9">
        <f t="shared" si="44"/>
        <v>176.65587004321998</v>
      </c>
      <c r="J315" s="9">
        <f t="shared" si="45"/>
        <v>679.20007636154003</v>
      </c>
      <c r="K315" s="9">
        <f t="shared" si="31"/>
        <v>176.65587004321998</v>
      </c>
      <c r="L315" s="10">
        <f t="shared" si="30"/>
        <v>0.2600940079240886</v>
      </c>
      <c r="M315" s="10">
        <f t="shared" si="46"/>
        <v>0.27320523154812298</v>
      </c>
      <c r="P315" s="8">
        <f t="shared" si="47"/>
        <v>9.1046386129645889</v>
      </c>
    </row>
    <row r="316" spans="1:16" x14ac:dyDescent="0.2">
      <c r="A316" s="8">
        <v>157</v>
      </c>
      <c r="B316" s="8">
        <v>314</v>
      </c>
      <c r="D316">
        <v>846.24170616113997</v>
      </c>
      <c r="E316">
        <v>297.85714285713999</v>
      </c>
      <c r="F316">
        <v>136.56123822341999</v>
      </c>
      <c r="G316">
        <v>113.07940780619001</v>
      </c>
      <c r="I316" s="9">
        <f t="shared" si="44"/>
        <v>184.77773505094999</v>
      </c>
      <c r="J316" s="9">
        <f t="shared" si="45"/>
        <v>709.68046793771998</v>
      </c>
      <c r="K316" s="9">
        <f t="shared" si="31"/>
        <v>184.77773505094999</v>
      </c>
      <c r="L316" s="10">
        <f t="shared" si="30"/>
        <v>0.260367508194076</v>
      </c>
      <c r="M316" s="10">
        <f t="shared" si="46"/>
        <v>0.27352062071147792</v>
      </c>
      <c r="P316" s="8">
        <f t="shared" si="47"/>
        <v>9.2305894247235685</v>
      </c>
    </row>
    <row r="317" spans="1:16" x14ac:dyDescent="0.2">
      <c r="A317" s="8">
        <v>157.5</v>
      </c>
      <c r="B317" s="8">
        <v>315</v>
      </c>
      <c r="D317">
        <v>842.32362897765995</v>
      </c>
      <c r="E317">
        <v>296.59444820582002</v>
      </c>
      <c r="F317">
        <v>136.37281292059001</v>
      </c>
      <c r="G317">
        <v>113.21534320323001</v>
      </c>
      <c r="I317" s="9">
        <f t="shared" si="44"/>
        <v>183.37910500258999</v>
      </c>
      <c r="J317" s="9">
        <f t="shared" si="45"/>
        <v>705.95081605706991</v>
      </c>
      <c r="K317" s="9">
        <f t="shared" si="31"/>
        <v>183.37910500258999</v>
      </c>
      <c r="L317" s="10">
        <f t="shared" si="30"/>
        <v>0.25976187126861455</v>
      </c>
      <c r="M317" s="10">
        <f t="shared" si="46"/>
        <v>0.27295687267938401</v>
      </c>
      <c r="P317" s="8">
        <f t="shared" si="47"/>
        <v>9.0054563811070807</v>
      </c>
    </row>
    <row r="318" spans="1:16" x14ac:dyDescent="0.2">
      <c r="A318" s="8">
        <v>158</v>
      </c>
      <c r="B318" s="8">
        <v>316</v>
      </c>
      <c r="D318">
        <v>836.94177386594004</v>
      </c>
      <c r="E318">
        <v>295.25863236290002</v>
      </c>
      <c r="F318">
        <v>136.80148048452</v>
      </c>
      <c r="G318">
        <v>113.36339165545</v>
      </c>
      <c r="I318" s="9">
        <f t="shared" si="44"/>
        <v>181.89524070745</v>
      </c>
      <c r="J318" s="9">
        <f t="shared" si="45"/>
        <v>700.14029338142007</v>
      </c>
      <c r="K318" s="9">
        <f t="shared" si="31"/>
        <v>181.89524070745</v>
      </c>
      <c r="L318" s="10">
        <f t="shared" si="30"/>
        <v>0.25979827532702465</v>
      </c>
      <c r="M318" s="10">
        <f t="shared" si="46"/>
        <v>0.27303516563116165</v>
      </c>
      <c r="P318" s="8">
        <f t="shared" si="47"/>
        <v>9.036722708480232</v>
      </c>
    </row>
    <row r="319" spans="1:16" x14ac:dyDescent="0.2">
      <c r="A319" s="8">
        <v>158.5</v>
      </c>
      <c r="B319" s="8">
        <v>317</v>
      </c>
      <c r="D319">
        <v>822.74610697360004</v>
      </c>
      <c r="E319">
        <v>292.50033852403999</v>
      </c>
      <c r="F319">
        <v>137.11574697174001</v>
      </c>
      <c r="G319">
        <v>113.30619111708999</v>
      </c>
      <c r="I319" s="9">
        <f t="shared" si="44"/>
        <v>179.19414740694998</v>
      </c>
      <c r="J319" s="9">
        <f t="shared" si="45"/>
        <v>685.63036000186003</v>
      </c>
      <c r="K319" s="9">
        <f t="shared" si="31"/>
        <v>179.19414740694998</v>
      </c>
      <c r="L319" s="10">
        <f t="shared" si="30"/>
        <v>0.26135678619375002</v>
      </c>
      <c r="M319" s="10">
        <f t="shared" si="46"/>
        <v>0.2746355653912545</v>
      </c>
      <c r="P319" s="8">
        <f t="shared" si="47"/>
        <v>9.6758431106473815</v>
      </c>
    </row>
    <row r="320" spans="1:16" x14ac:dyDescent="0.2">
      <c r="A320" s="8">
        <v>159</v>
      </c>
      <c r="B320" s="8">
        <v>318</v>
      </c>
      <c r="D320">
        <v>838.46039268788002</v>
      </c>
      <c r="E320">
        <v>296.10561949897999</v>
      </c>
      <c r="F320">
        <v>136.78600269179</v>
      </c>
      <c r="G320">
        <v>113.47779273217</v>
      </c>
      <c r="I320" s="9">
        <f>E320-G320</f>
        <v>182.62782676680999</v>
      </c>
      <c r="J320" s="9">
        <f>D320-F320</f>
        <v>701.67438999608999</v>
      </c>
      <c r="K320" s="9">
        <f t="shared" si="31"/>
        <v>182.62782676680999</v>
      </c>
      <c r="L320" s="10">
        <f t="shared" si="30"/>
        <v>0.26027432292038999</v>
      </c>
      <c r="M320" s="10">
        <f>L320+ABS($N$2)*A320</f>
        <v>0.273594991011262</v>
      </c>
      <c r="O320" s="11"/>
      <c r="P320" s="8">
        <f>(M320-$O$2)/$O$2*100</f>
        <v>9.2602892391652638</v>
      </c>
    </row>
    <row r="321" spans="1:16" x14ac:dyDescent="0.2">
      <c r="A321" s="8">
        <v>159.5</v>
      </c>
      <c r="B321" s="8">
        <v>319</v>
      </c>
      <c r="D321">
        <v>826.37643872715</v>
      </c>
      <c r="E321">
        <v>292.97901150982</v>
      </c>
      <c r="F321">
        <v>136.62247644684001</v>
      </c>
      <c r="G321">
        <v>113.33714670256001</v>
      </c>
      <c r="I321" s="9">
        <f t="shared" ref="I321:I322" si="48">E321-G321</f>
        <v>179.64186480725999</v>
      </c>
      <c r="J321" s="9">
        <f t="shared" ref="J321:J322" si="49">D321-F321</f>
        <v>689.75396228031002</v>
      </c>
      <c r="K321" s="9">
        <f t="shared" si="31"/>
        <v>179.64186480725999</v>
      </c>
      <c r="L321" s="10">
        <f t="shared" si="30"/>
        <v>0.26044339667635735</v>
      </c>
      <c r="M321" s="10">
        <f t="shared" ref="M321:M322" si="50">L321+ABS($N$2)*A321</f>
        <v>0.2738059536605969</v>
      </c>
      <c r="P321" s="8">
        <f t="shared" ref="P321:P322" si="51">(M321-$O$2)/$O$2*100</f>
        <v>9.3445372730923282</v>
      </c>
    </row>
    <row r="322" spans="1:16" x14ac:dyDescent="0.2">
      <c r="A322" s="8">
        <v>160</v>
      </c>
      <c r="B322" s="8">
        <v>320</v>
      </c>
      <c r="D322">
        <v>872.51320243736996</v>
      </c>
      <c r="E322">
        <v>305.95802301962999</v>
      </c>
      <c r="F322">
        <v>136.31965006729999</v>
      </c>
      <c r="G322">
        <v>113.25706594886</v>
      </c>
      <c r="I322" s="9">
        <f t="shared" si="48"/>
        <v>192.70095707076999</v>
      </c>
      <c r="J322" s="9">
        <f t="shared" si="49"/>
        <v>736.19355237006994</v>
      </c>
      <c r="K322" s="9">
        <f t="shared" ref="K322" si="52">I322*1</f>
        <v>192.70095707076999</v>
      </c>
      <c r="L322" s="10">
        <f t="shared" ref="L322" si="53">K322/J322</f>
        <v>0.26175311703070042</v>
      </c>
      <c r="M322" s="10">
        <f t="shared" si="50"/>
        <v>0.27515756290830751</v>
      </c>
      <c r="P322" s="8">
        <f t="shared" si="51"/>
        <v>9.8843030663085951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1E8E-7ABF-AE43-A4D0-EFD1C949A44A}">
  <dimension ref="A1:Y798"/>
  <sheetViews>
    <sheetView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622.17403846154002</v>
      </c>
      <c r="E2">
        <v>369.51249999999999</v>
      </c>
      <c r="F2">
        <v>187.78682170542999</v>
      </c>
      <c r="G2">
        <v>133.11240310078</v>
      </c>
      <c r="H2" s="4"/>
      <c r="I2" s="5">
        <f>E2-G2</f>
        <v>236.40009689921999</v>
      </c>
      <c r="J2" s="5">
        <f>D2-F2</f>
        <v>434.38721675611004</v>
      </c>
      <c r="K2" s="9">
        <f>I2*1</f>
        <v>236.40009689921999</v>
      </c>
      <c r="L2" s="6">
        <f t="shared" ref="L2:L65" si="0">K2/J2</f>
        <v>0.54421513290513934</v>
      </c>
      <c r="M2" s="6">
        <f>L2+ABS($N$2)*A2</f>
        <v>0.54421513290513934</v>
      </c>
      <c r="N2" s="4">
        <f>LINEST(V64:V103,U64:U103)</f>
        <v>-3.4345208248904148E-5</v>
      </c>
      <c r="O2" s="7">
        <f>AVERAGE(M62:M81)</f>
        <v>0.32867438544464728</v>
      </c>
      <c r="P2" s="4">
        <f>(M2-$O$2)/$O$2*100</f>
        <v>65.578808999337639</v>
      </c>
    </row>
    <row r="3" spans="1:16" x14ac:dyDescent="0.2">
      <c r="A3" s="8">
        <v>0.5</v>
      </c>
      <c r="B3" s="8">
        <v>1</v>
      </c>
      <c r="D3">
        <v>618.58942307691996</v>
      </c>
      <c r="E3">
        <v>381.32788461539002</v>
      </c>
      <c r="F3">
        <v>186.77325581394999</v>
      </c>
      <c r="G3">
        <v>133.05620155039</v>
      </c>
      <c r="I3" s="9">
        <f t="shared" ref="I3:I66" si="1">E3-G3</f>
        <v>248.27168306500002</v>
      </c>
      <c r="J3" s="9">
        <f t="shared" ref="J3:J66" si="2">D3-F3</f>
        <v>431.81616726297</v>
      </c>
      <c r="K3" s="9">
        <f t="shared" ref="K3:K66" si="3">I3*1</f>
        <v>248.27168306500002</v>
      </c>
      <c r="L3" s="10">
        <f t="shared" si="0"/>
        <v>0.57494763255078873</v>
      </c>
      <c r="M3" s="10">
        <f t="shared" ref="M3:M66" si="4">L3+ABS($N$2)*A3</f>
        <v>0.57496480515491322</v>
      </c>
      <c r="P3" s="8">
        <f t="shared" ref="P3:P66" si="5">(M3-$O$2)/$O$2*100</f>
        <v>74.934473332040113</v>
      </c>
    </row>
    <row r="4" spans="1:16" ht="16" x14ac:dyDescent="0.2">
      <c r="A4" s="8">
        <v>1</v>
      </c>
      <c r="B4" s="8">
        <v>2</v>
      </c>
      <c r="D4">
        <v>614.11538461538998</v>
      </c>
      <c r="E4">
        <v>404.14807692308</v>
      </c>
      <c r="F4">
        <v>186.38178294574001</v>
      </c>
      <c r="G4">
        <v>133.55813953488001</v>
      </c>
      <c r="I4" s="9">
        <f t="shared" si="1"/>
        <v>270.58993738819998</v>
      </c>
      <c r="J4" s="9">
        <f t="shared" si="2"/>
        <v>427.73360166964994</v>
      </c>
      <c r="K4" s="9">
        <f t="shared" si="3"/>
        <v>270.58993738819998</v>
      </c>
      <c r="L4" s="10">
        <f t="shared" si="0"/>
        <v>0.6326132348077339</v>
      </c>
      <c r="M4" s="10">
        <f t="shared" si="4"/>
        <v>0.63264758001598276</v>
      </c>
      <c r="N4" s="1" t="s">
        <v>7</v>
      </c>
      <c r="P4" s="8">
        <f t="shared" si="5"/>
        <v>92.484601183662434</v>
      </c>
    </row>
    <row r="5" spans="1:16" x14ac:dyDescent="0.2">
      <c r="A5" s="8">
        <v>1.5</v>
      </c>
      <c r="B5" s="8">
        <v>3</v>
      </c>
      <c r="D5">
        <v>618.31442307691998</v>
      </c>
      <c r="E5">
        <v>446.50865384615003</v>
      </c>
      <c r="F5">
        <v>187.19864341085</v>
      </c>
      <c r="G5">
        <v>132.99612403101</v>
      </c>
      <c r="I5" s="9">
        <f t="shared" si="1"/>
        <v>313.51252981514006</v>
      </c>
      <c r="J5" s="9">
        <f t="shared" si="2"/>
        <v>431.11577966607001</v>
      </c>
      <c r="K5" s="9">
        <f t="shared" si="3"/>
        <v>313.51252981514006</v>
      </c>
      <c r="L5" s="10">
        <f t="shared" si="0"/>
        <v>0.72721191058693779</v>
      </c>
      <c r="M5" s="10">
        <f t="shared" si="4"/>
        <v>0.72726342839931113</v>
      </c>
      <c r="N5" s="8">
        <f>RSQ(V64:V83,U64:U83)</f>
        <v>0.78979782488549866</v>
      </c>
      <c r="P5" s="8">
        <f t="shared" si="5"/>
        <v>121.2717085985975</v>
      </c>
    </row>
    <row r="6" spans="1:16" x14ac:dyDescent="0.2">
      <c r="A6" s="8">
        <v>2</v>
      </c>
      <c r="B6" s="8">
        <v>4</v>
      </c>
      <c r="D6">
        <v>611.53846153845996</v>
      </c>
      <c r="E6">
        <v>414.16538461539</v>
      </c>
      <c r="F6">
        <v>187.80910852713001</v>
      </c>
      <c r="G6">
        <v>133.48062015503999</v>
      </c>
      <c r="I6" s="9">
        <f t="shared" si="1"/>
        <v>280.68476446035004</v>
      </c>
      <c r="J6" s="9">
        <f t="shared" si="2"/>
        <v>423.72935301132998</v>
      </c>
      <c r="K6" s="9">
        <f t="shared" si="3"/>
        <v>280.68476446035004</v>
      </c>
      <c r="L6" s="10">
        <f t="shared" si="0"/>
        <v>0.66241520080117011</v>
      </c>
      <c r="M6" s="10">
        <f t="shared" si="4"/>
        <v>0.66248389121766793</v>
      </c>
      <c r="P6" s="8">
        <f t="shared" si="5"/>
        <v>101.56237314368941</v>
      </c>
    </row>
    <row r="7" spans="1:16" x14ac:dyDescent="0.2">
      <c r="A7" s="8">
        <v>2.5</v>
      </c>
      <c r="B7" s="8">
        <v>5</v>
      </c>
      <c r="D7">
        <v>620.05576923077001</v>
      </c>
      <c r="E7">
        <v>388.15576923076998</v>
      </c>
      <c r="F7">
        <v>187.40988372093</v>
      </c>
      <c r="G7">
        <v>133.53391472868</v>
      </c>
      <c r="I7" s="9">
        <f t="shared" si="1"/>
        <v>254.62185450208997</v>
      </c>
      <c r="J7" s="9">
        <f t="shared" si="2"/>
        <v>432.64588550984001</v>
      </c>
      <c r="K7" s="9">
        <f t="shared" si="3"/>
        <v>254.62185450208997</v>
      </c>
      <c r="L7" s="10">
        <f t="shared" si="0"/>
        <v>0.58852253778407626</v>
      </c>
      <c r="M7" s="10">
        <f t="shared" si="4"/>
        <v>0.58860840080469856</v>
      </c>
      <c r="P7" s="8">
        <f t="shared" si="5"/>
        <v>79.085571273952311</v>
      </c>
    </row>
    <row r="8" spans="1:16" x14ac:dyDescent="0.2">
      <c r="A8" s="8">
        <v>3</v>
      </c>
      <c r="B8" s="8">
        <v>6</v>
      </c>
      <c r="D8">
        <v>593.08076923076999</v>
      </c>
      <c r="E8">
        <v>350.39423076922998</v>
      </c>
      <c r="F8">
        <v>187.21802325581001</v>
      </c>
      <c r="G8">
        <v>133.37306201550001</v>
      </c>
      <c r="I8" s="9">
        <f t="shared" si="1"/>
        <v>217.02116875372997</v>
      </c>
      <c r="J8" s="9">
        <f t="shared" si="2"/>
        <v>405.86274597495998</v>
      </c>
      <c r="K8" s="9">
        <f t="shared" si="3"/>
        <v>217.02116875372997</v>
      </c>
      <c r="L8" s="10">
        <f t="shared" si="0"/>
        <v>0.53471566657935943</v>
      </c>
      <c r="M8" s="10">
        <f t="shared" si="4"/>
        <v>0.5348187022041061</v>
      </c>
      <c r="P8" s="8">
        <f t="shared" si="5"/>
        <v>62.719921566317495</v>
      </c>
    </row>
    <row r="9" spans="1:16" x14ac:dyDescent="0.2">
      <c r="A9" s="8">
        <v>3.5</v>
      </c>
      <c r="B9" s="8">
        <v>7</v>
      </c>
      <c r="D9">
        <v>527.52115384615001</v>
      </c>
      <c r="E9">
        <v>301.58557692308</v>
      </c>
      <c r="F9">
        <v>186.90213178294999</v>
      </c>
      <c r="G9">
        <v>133.77131782946</v>
      </c>
      <c r="I9" s="9">
        <f t="shared" si="1"/>
        <v>167.81425909362</v>
      </c>
      <c r="J9" s="9">
        <f t="shared" si="2"/>
        <v>340.61902206320002</v>
      </c>
      <c r="K9" s="9">
        <f t="shared" si="3"/>
        <v>167.81425909362</v>
      </c>
      <c r="L9" s="10">
        <f t="shared" si="0"/>
        <v>0.49267436115908692</v>
      </c>
      <c r="M9" s="10">
        <f t="shared" si="4"/>
        <v>0.49279456938795807</v>
      </c>
      <c r="P9" s="8">
        <f t="shared" si="5"/>
        <v>49.93397453874622</v>
      </c>
    </row>
    <row r="10" spans="1:16" x14ac:dyDescent="0.2">
      <c r="A10" s="8">
        <v>4</v>
      </c>
      <c r="B10" s="8">
        <v>8</v>
      </c>
      <c r="D10">
        <v>528.58501440921998</v>
      </c>
      <c r="E10">
        <v>290.82804995197</v>
      </c>
      <c r="F10">
        <v>186.93507751938</v>
      </c>
      <c r="G10">
        <v>134.32848837208999</v>
      </c>
      <c r="I10" s="9">
        <f t="shared" si="1"/>
        <v>156.49956157988001</v>
      </c>
      <c r="J10" s="9">
        <f t="shared" si="2"/>
        <v>341.64993688983998</v>
      </c>
      <c r="K10" s="9">
        <f t="shared" si="3"/>
        <v>156.49956157988001</v>
      </c>
      <c r="L10" s="10">
        <f t="shared" si="0"/>
        <v>0.45806992679275982</v>
      </c>
      <c r="M10" s="10">
        <f t="shared" si="4"/>
        <v>0.45820730762575546</v>
      </c>
      <c r="P10" s="8">
        <f t="shared" si="5"/>
        <v>39.410714043283143</v>
      </c>
    </row>
    <row r="11" spans="1:16" x14ac:dyDescent="0.2">
      <c r="A11" s="8">
        <v>4.5</v>
      </c>
      <c r="B11" s="8">
        <v>9</v>
      </c>
      <c r="D11">
        <v>413.55907780979999</v>
      </c>
      <c r="E11">
        <v>234.3381364073</v>
      </c>
      <c r="F11">
        <v>187.33720930233</v>
      </c>
      <c r="G11">
        <v>133.5</v>
      </c>
      <c r="I11" s="9">
        <f t="shared" si="1"/>
        <v>100.8381364073</v>
      </c>
      <c r="J11" s="9">
        <f t="shared" si="2"/>
        <v>226.22186850746999</v>
      </c>
      <c r="K11" s="9">
        <f t="shared" si="3"/>
        <v>100.8381364073</v>
      </c>
      <c r="L11" s="10">
        <f t="shared" si="0"/>
        <v>0.4457488441439969</v>
      </c>
      <c r="M11" s="10">
        <f t="shared" si="4"/>
        <v>0.44590339758111697</v>
      </c>
      <c r="P11" s="8">
        <f t="shared" si="5"/>
        <v>35.667218781858026</v>
      </c>
    </row>
    <row r="12" spans="1:16" x14ac:dyDescent="0.2">
      <c r="A12" s="8">
        <v>5</v>
      </c>
      <c r="B12" s="8">
        <v>10</v>
      </c>
      <c r="D12">
        <v>580.55212355211995</v>
      </c>
      <c r="E12">
        <v>288.43436293436002</v>
      </c>
      <c r="F12">
        <v>187.22965116278999</v>
      </c>
      <c r="G12">
        <v>132.87306201550001</v>
      </c>
      <c r="I12" s="9">
        <f t="shared" si="1"/>
        <v>155.56130091886001</v>
      </c>
      <c r="J12" s="9">
        <f t="shared" si="2"/>
        <v>393.32247238932996</v>
      </c>
      <c r="K12" s="9">
        <f t="shared" si="3"/>
        <v>155.56130091886001</v>
      </c>
      <c r="L12" s="10">
        <f t="shared" si="0"/>
        <v>0.39550575377467317</v>
      </c>
      <c r="M12" s="10">
        <f t="shared" si="4"/>
        <v>0.39567747981591772</v>
      </c>
      <c r="P12" s="8">
        <f t="shared" si="5"/>
        <v>20.385858265354411</v>
      </c>
    </row>
    <row r="13" spans="1:16" x14ac:dyDescent="0.2">
      <c r="A13" s="8">
        <v>5.5</v>
      </c>
      <c r="B13" s="8">
        <v>11</v>
      </c>
      <c r="D13">
        <v>597.49227799228004</v>
      </c>
      <c r="E13">
        <v>282.88803088803002</v>
      </c>
      <c r="F13">
        <v>187.87209302325999</v>
      </c>
      <c r="G13">
        <v>133.68701550387999</v>
      </c>
      <c r="I13" s="9">
        <f t="shared" si="1"/>
        <v>149.20101538415003</v>
      </c>
      <c r="J13" s="9">
        <f t="shared" si="2"/>
        <v>409.62018496902004</v>
      </c>
      <c r="K13" s="9">
        <f t="shared" si="3"/>
        <v>149.20101538415003</v>
      </c>
      <c r="L13" s="10">
        <f t="shared" si="0"/>
        <v>0.36424234170841518</v>
      </c>
      <c r="M13" s="10">
        <f t="shared" si="4"/>
        <v>0.36443124035378416</v>
      </c>
      <c r="P13" s="8">
        <f t="shared" si="5"/>
        <v>10.879112122097133</v>
      </c>
    </row>
    <row r="14" spans="1:16" x14ac:dyDescent="0.2">
      <c r="A14" s="8">
        <v>6</v>
      </c>
      <c r="B14" s="8">
        <v>12</v>
      </c>
      <c r="D14">
        <v>577.85231660232</v>
      </c>
      <c r="E14">
        <v>265.82432432432</v>
      </c>
      <c r="F14">
        <v>186.70833333332999</v>
      </c>
      <c r="G14">
        <v>133.49224806202</v>
      </c>
      <c r="I14" s="9">
        <f t="shared" si="1"/>
        <v>132.33207626230001</v>
      </c>
      <c r="J14" s="9">
        <f t="shared" si="2"/>
        <v>391.14398326899004</v>
      </c>
      <c r="K14" s="9">
        <f t="shared" si="3"/>
        <v>132.33207626230001</v>
      </c>
      <c r="L14" s="10">
        <f t="shared" si="0"/>
        <v>0.33832062340914276</v>
      </c>
      <c r="M14" s="10">
        <f t="shared" si="4"/>
        <v>0.33852669465863616</v>
      </c>
      <c r="P14" s="8">
        <f t="shared" si="5"/>
        <v>2.9975896054875664</v>
      </c>
    </row>
    <row r="15" spans="1:16" x14ac:dyDescent="0.2">
      <c r="A15" s="8">
        <v>6.5</v>
      </c>
      <c r="B15" s="8">
        <v>13</v>
      </c>
      <c r="D15">
        <v>562.74324324324004</v>
      </c>
      <c r="E15">
        <v>256.84555984555999</v>
      </c>
      <c r="F15">
        <v>186.69282945736001</v>
      </c>
      <c r="G15">
        <v>133.25968992247999</v>
      </c>
      <c r="I15" s="9">
        <f t="shared" si="1"/>
        <v>123.58586992308</v>
      </c>
      <c r="J15" s="9">
        <f t="shared" si="2"/>
        <v>376.05041378588004</v>
      </c>
      <c r="K15" s="9">
        <f t="shared" si="3"/>
        <v>123.58586992308</v>
      </c>
      <c r="L15" s="10">
        <f t="shared" si="0"/>
        <v>0.32864176023337327</v>
      </c>
      <c r="M15" s="10">
        <f t="shared" si="4"/>
        <v>0.32886500408699115</v>
      </c>
      <c r="P15" s="8">
        <f t="shared" si="5"/>
        <v>5.7996196474513075E-2</v>
      </c>
    </row>
    <row r="16" spans="1:16" x14ac:dyDescent="0.2">
      <c r="A16" s="8">
        <v>7</v>
      </c>
      <c r="B16" s="8">
        <v>14</v>
      </c>
      <c r="D16">
        <v>563.18146718147</v>
      </c>
      <c r="E16">
        <v>249.96332046332</v>
      </c>
      <c r="F16">
        <v>186.69573643410999</v>
      </c>
      <c r="G16">
        <v>133.28488372093</v>
      </c>
      <c r="I16" s="9">
        <f t="shared" si="1"/>
        <v>116.67843674239001</v>
      </c>
      <c r="J16" s="9">
        <f t="shared" si="2"/>
        <v>376.48573074735998</v>
      </c>
      <c r="K16" s="9">
        <f t="shared" si="3"/>
        <v>116.67843674239001</v>
      </c>
      <c r="L16" s="10">
        <f t="shared" si="0"/>
        <v>0.30991463211838655</v>
      </c>
      <c r="M16" s="10">
        <f t="shared" si="4"/>
        <v>0.31015504857612886</v>
      </c>
      <c r="P16" s="8">
        <f t="shared" si="5"/>
        <v>-5.6345543457743226</v>
      </c>
    </row>
    <row r="17" spans="1:16" x14ac:dyDescent="0.2">
      <c r="A17" s="8">
        <v>7.5</v>
      </c>
      <c r="B17" s="8">
        <v>15</v>
      </c>
      <c r="D17">
        <v>564.60810810810995</v>
      </c>
      <c r="E17">
        <v>245.64575289575001</v>
      </c>
      <c r="F17">
        <v>187.24903100775001</v>
      </c>
      <c r="G17">
        <v>133.02422480620001</v>
      </c>
      <c r="I17" s="9">
        <f t="shared" si="1"/>
        <v>112.62152808955</v>
      </c>
      <c r="J17" s="9">
        <f t="shared" si="2"/>
        <v>377.35907710035997</v>
      </c>
      <c r="K17" s="9">
        <f t="shared" si="3"/>
        <v>112.62152808955</v>
      </c>
      <c r="L17" s="10">
        <f t="shared" si="0"/>
        <v>0.2984465855570182</v>
      </c>
      <c r="M17" s="10">
        <f t="shared" si="4"/>
        <v>0.29870417461888499</v>
      </c>
      <c r="P17" s="8">
        <f t="shared" si="5"/>
        <v>-9.1185112539929385</v>
      </c>
    </row>
    <row r="18" spans="1:16" x14ac:dyDescent="0.2">
      <c r="A18" s="8">
        <v>8</v>
      </c>
      <c r="B18" s="8">
        <v>16</v>
      </c>
      <c r="D18">
        <v>586.26447876448003</v>
      </c>
      <c r="E18">
        <v>246.62258687259001</v>
      </c>
      <c r="F18">
        <v>186.58817829457001</v>
      </c>
      <c r="G18">
        <v>133.52810077519001</v>
      </c>
      <c r="I18" s="9">
        <f t="shared" si="1"/>
        <v>113.09448609739999</v>
      </c>
      <c r="J18" s="9">
        <f t="shared" si="2"/>
        <v>399.67630046991002</v>
      </c>
      <c r="K18" s="9">
        <f t="shared" si="3"/>
        <v>113.09448609739999</v>
      </c>
      <c r="L18" s="10">
        <f t="shared" si="0"/>
        <v>0.28296520450282342</v>
      </c>
      <c r="M18" s="10">
        <f t="shared" si="4"/>
        <v>0.28323996616881464</v>
      </c>
      <c r="P18" s="8">
        <f t="shared" si="5"/>
        <v>-13.82353517277188</v>
      </c>
    </row>
    <row r="19" spans="1:16" x14ac:dyDescent="0.2">
      <c r="A19" s="8">
        <v>8.5</v>
      </c>
      <c r="B19" s="8">
        <v>17</v>
      </c>
      <c r="D19">
        <v>599.08139534884003</v>
      </c>
      <c r="E19">
        <v>248.18992248062</v>
      </c>
      <c r="F19">
        <v>187.40310077519001</v>
      </c>
      <c r="G19">
        <v>133.11240310078</v>
      </c>
      <c r="I19" s="9">
        <f t="shared" si="1"/>
        <v>115.07751937984</v>
      </c>
      <c r="J19" s="9">
        <f t="shared" si="2"/>
        <v>411.67829457365002</v>
      </c>
      <c r="K19" s="9">
        <f t="shared" si="3"/>
        <v>115.07751937984</v>
      </c>
      <c r="L19" s="10">
        <f t="shared" si="0"/>
        <v>0.27953263724777799</v>
      </c>
      <c r="M19" s="10">
        <f t="shared" si="4"/>
        <v>0.27982457151789369</v>
      </c>
      <c r="P19" s="8">
        <f t="shared" si="5"/>
        <v>-14.862677497872884</v>
      </c>
    </row>
    <row r="20" spans="1:16" x14ac:dyDescent="0.2">
      <c r="A20" s="8">
        <v>9</v>
      </c>
      <c r="B20" s="8">
        <v>18</v>
      </c>
      <c r="D20">
        <v>573.02228682171005</v>
      </c>
      <c r="E20">
        <v>240.55523255814001</v>
      </c>
      <c r="F20">
        <v>186.65600775194</v>
      </c>
      <c r="G20">
        <v>132.97286821705001</v>
      </c>
      <c r="I20" s="9">
        <f t="shared" si="1"/>
        <v>107.58236434109</v>
      </c>
      <c r="J20" s="9">
        <f t="shared" si="2"/>
        <v>386.36627906977003</v>
      </c>
      <c r="K20" s="9">
        <f t="shared" si="3"/>
        <v>107.58236434109</v>
      </c>
      <c r="L20" s="10">
        <f t="shared" si="0"/>
        <v>0.27844656785294342</v>
      </c>
      <c r="M20" s="10">
        <f t="shared" si="4"/>
        <v>0.27875567472718354</v>
      </c>
      <c r="P20" s="8">
        <f t="shared" si="5"/>
        <v>-15.187892007444139</v>
      </c>
    </row>
    <row r="21" spans="1:16" x14ac:dyDescent="0.2">
      <c r="A21" s="8">
        <v>9.5</v>
      </c>
      <c r="B21" s="8">
        <v>19</v>
      </c>
      <c r="D21">
        <v>582.53980582524002</v>
      </c>
      <c r="E21">
        <v>240.62815533981001</v>
      </c>
      <c r="F21">
        <v>187.65503875969</v>
      </c>
      <c r="G21">
        <v>133.00387596899</v>
      </c>
      <c r="I21" s="9">
        <f t="shared" si="1"/>
        <v>107.62427937082001</v>
      </c>
      <c r="J21" s="9">
        <f t="shared" si="2"/>
        <v>394.88476706555002</v>
      </c>
      <c r="K21" s="9">
        <f t="shared" si="3"/>
        <v>107.62427937082001</v>
      </c>
      <c r="L21" s="10">
        <f t="shared" si="0"/>
        <v>0.27254603962212248</v>
      </c>
      <c r="M21" s="10">
        <f t="shared" si="4"/>
        <v>0.27287231910048709</v>
      </c>
      <c r="P21" s="8">
        <f t="shared" si="5"/>
        <v>-16.977917603365512</v>
      </c>
    </row>
    <row r="22" spans="1:16" x14ac:dyDescent="0.2">
      <c r="A22" s="8">
        <v>10</v>
      </c>
      <c r="B22" s="8">
        <v>20</v>
      </c>
      <c r="D22">
        <v>570.89320388349995</v>
      </c>
      <c r="E22">
        <v>237.95242718447</v>
      </c>
      <c r="F22">
        <v>187.74224806202</v>
      </c>
      <c r="G22">
        <v>133.15891472868</v>
      </c>
      <c r="I22" s="9">
        <f t="shared" si="1"/>
        <v>104.79351245578999</v>
      </c>
      <c r="J22" s="9">
        <f t="shared" si="2"/>
        <v>383.15095582147995</v>
      </c>
      <c r="K22" s="9">
        <f t="shared" si="3"/>
        <v>104.79351245578999</v>
      </c>
      <c r="L22" s="10">
        <f t="shared" si="0"/>
        <v>0.27350450485269318</v>
      </c>
      <c r="M22" s="10">
        <f t="shared" si="4"/>
        <v>0.27384795693518221</v>
      </c>
      <c r="P22" s="8">
        <f t="shared" si="5"/>
        <v>-16.681077363328178</v>
      </c>
    </row>
    <row r="23" spans="1:16" x14ac:dyDescent="0.2">
      <c r="A23" s="8">
        <v>10.5</v>
      </c>
      <c r="B23" s="8">
        <v>21</v>
      </c>
      <c r="D23">
        <v>563.30582524271995</v>
      </c>
      <c r="E23">
        <v>236.10194174757001</v>
      </c>
      <c r="F23">
        <v>186.61434108527001</v>
      </c>
      <c r="G23">
        <v>133.05910852713001</v>
      </c>
      <c r="I23" s="9">
        <f t="shared" si="1"/>
        <v>103.04283322044</v>
      </c>
      <c r="J23" s="9">
        <f t="shared" si="2"/>
        <v>376.69148415744996</v>
      </c>
      <c r="K23" s="9">
        <f t="shared" si="3"/>
        <v>103.04283322044</v>
      </c>
      <c r="L23" s="10">
        <f t="shared" si="0"/>
        <v>0.27354702071621567</v>
      </c>
      <c r="M23" s="10">
        <f t="shared" si="4"/>
        <v>0.27390764540282919</v>
      </c>
      <c r="P23" s="8">
        <f t="shared" si="5"/>
        <v>-16.662916998453312</v>
      </c>
    </row>
    <row r="24" spans="1:16" x14ac:dyDescent="0.2">
      <c r="A24" s="8">
        <v>11</v>
      </c>
      <c r="B24" s="8">
        <v>22</v>
      </c>
      <c r="D24">
        <v>561.51359223300994</v>
      </c>
      <c r="E24">
        <v>235.08252427184999</v>
      </c>
      <c r="F24">
        <v>186.82848837208999</v>
      </c>
      <c r="G24">
        <v>133.56589147286999</v>
      </c>
      <c r="I24" s="9">
        <f t="shared" si="1"/>
        <v>101.51663279898</v>
      </c>
      <c r="J24" s="9">
        <f t="shared" si="2"/>
        <v>374.68510386091998</v>
      </c>
      <c r="K24" s="9">
        <f t="shared" si="3"/>
        <v>101.51663279898</v>
      </c>
      <c r="L24" s="10">
        <f t="shared" si="0"/>
        <v>0.27093853412614488</v>
      </c>
      <c r="M24" s="10">
        <f t="shared" si="4"/>
        <v>0.27131633141688283</v>
      </c>
      <c r="P24" s="8">
        <f t="shared" si="5"/>
        <v>-17.45133072970307</v>
      </c>
    </row>
    <row r="25" spans="1:16" x14ac:dyDescent="0.2">
      <c r="A25" s="8">
        <v>11.5</v>
      </c>
      <c r="B25" s="8">
        <v>23</v>
      </c>
      <c r="D25">
        <v>559.66504854368998</v>
      </c>
      <c r="E25">
        <v>235.11941747572999</v>
      </c>
      <c r="F25">
        <v>187.1773255814</v>
      </c>
      <c r="G25">
        <v>133.01647286822001</v>
      </c>
      <c r="I25" s="9">
        <f t="shared" si="1"/>
        <v>102.10294460750998</v>
      </c>
      <c r="J25" s="9">
        <f t="shared" si="2"/>
        <v>372.48772296228998</v>
      </c>
      <c r="K25" s="9">
        <f t="shared" si="3"/>
        <v>102.10294460750998</v>
      </c>
      <c r="L25" s="10">
        <f t="shared" si="0"/>
        <v>0.27411089899960733</v>
      </c>
      <c r="M25" s="10">
        <f t="shared" si="4"/>
        <v>0.27450586889446971</v>
      </c>
      <c r="P25" s="8">
        <f t="shared" si="5"/>
        <v>-16.480906011855982</v>
      </c>
    </row>
    <row r="26" spans="1:16" x14ac:dyDescent="0.2">
      <c r="A26" s="8">
        <v>12</v>
      </c>
      <c r="B26" s="8">
        <v>24</v>
      </c>
      <c r="D26">
        <v>555.32718446601996</v>
      </c>
      <c r="E26">
        <v>233.96407766990001</v>
      </c>
      <c r="F26">
        <v>186.86046511628001</v>
      </c>
      <c r="G26">
        <v>133.32558139535001</v>
      </c>
      <c r="I26" s="9">
        <f t="shared" si="1"/>
        <v>100.63849627454999</v>
      </c>
      <c r="J26" s="9">
        <f t="shared" si="2"/>
        <v>368.46671934973995</v>
      </c>
      <c r="K26" s="9">
        <f t="shared" si="3"/>
        <v>100.63849627454999</v>
      </c>
      <c r="L26" s="10">
        <f t="shared" si="0"/>
        <v>0.27312777786866094</v>
      </c>
      <c r="M26" s="10">
        <f t="shared" si="4"/>
        <v>0.27353992036764779</v>
      </c>
      <c r="P26" s="8">
        <f t="shared" si="5"/>
        <v>-16.774798255851547</v>
      </c>
    </row>
    <row r="27" spans="1:16" x14ac:dyDescent="0.2">
      <c r="A27" s="8">
        <v>12.5</v>
      </c>
      <c r="B27" s="8">
        <v>25</v>
      </c>
      <c r="D27">
        <v>548.88446601941996</v>
      </c>
      <c r="E27">
        <v>232.15533980583001</v>
      </c>
      <c r="F27">
        <v>187.72577519379999</v>
      </c>
      <c r="G27">
        <v>133.07461240309999</v>
      </c>
      <c r="I27" s="9">
        <f t="shared" si="1"/>
        <v>99.08072740273002</v>
      </c>
      <c r="J27" s="9">
        <f t="shared" si="2"/>
        <v>361.15869082561994</v>
      </c>
      <c r="K27" s="9">
        <f t="shared" si="3"/>
        <v>99.08072740273002</v>
      </c>
      <c r="L27" s="10">
        <f t="shared" si="0"/>
        <v>0.27434125197493769</v>
      </c>
      <c r="M27" s="10">
        <f t="shared" si="4"/>
        <v>0.27477056707804898</v>
      </c>
      <c r="P27" s="8">
        <f t="shared" si="5"/>
        <v>-16.400370930541026</v>
      </c>
    </row>
    <row r="28" spans="1:16" x14ac:dyDescent="0.2">
      <c r="A28" s="8">
        <v>13</v>
      </c>
      <c r="B28" s="8">
        <v>26</v>
      </c>
      <c r="D28">
        <v>535.26777020448003</v>
      </c>
      <c r="E28">
        <v>230.04965920155999</v>
      </c>
      <c r="F28">
        <v>187.06686046511999</v>
      </c>
      <c r="G28">
        <v>133.20348837208999</v>
      </c>
      <c r="I28" s="9">
        <f t="shared" si="1"/>
        <v>96.846170829469997</v>
      </c>
      <c r="J28" s="9">
        <f t="shared" si="2"/>
        <v>348.20090973936004</v>
      </c>
      <c r="K28" s="9">
        <f t="shared" si="3"/>
        <v>96.846170829469997</v>
      </c>
      <c r="L28" s="10">
        <f t="shared" si="0"/>
        <v>0.27813302068039564</v>
      </c>
      <c r="M28" s="10">
        <f t="shared" si="4"/>
        <v>0.2785795083876314</v>
      </c>
      <c r="P28" s="8">
        <f t="shared" si="5"/>
        <v>-15.241491054815542</v>
      </c>
    </row>
    <row r="29" spans="1:16" x14ac:dyDescent="0.2">
      <c r="A29" s="8">
        <v>13.5</v>
      </c>
      <c r="B29" s="8">
        <v>27</v>
      </c>
      <c r="D29">
        <v>535.43330087634001</v>
      </c>
      <c r="E29">
        <v>229.21908471276001</v>
      </c>
      <c r="F29">
        <v>187.56492248062</v>
      </c>
      <c r="G29">
        <v>133.65988372093</v>
      </c>
      <c r="I29" s="9">
        <f t="shared" si="1"/>
        <v>95.559200991830011</v>
      </c>
      <c r="J29" s="9">
        <f t="shared" si="2"/>
        <v>347.86837839572001</v>
      </c>
      <c r="K29" s="9">
        <f t="shared" si="3"/>
        <v>95.559200991830011</v>
      </c>
      <c r="L29" s="10">
        <f t="shared" si="0"/>
        <v>0.27469930274353938</v>
      </c>
      <c r="M29" s="10">
        <f t="shared" si="4"/>
        <v>0.27516296305489957</v>
      </c>
      <c r="P29" s="8">
        <f t="shared" si="5"/>
        <v>-16.28098347772211</v>
      </c>
    </row>
    <row r="30" spans="1:16" x14ac:dyDescent="0.2">
      <c r="A30" s="8">
        <v>14</v>
      </c>
      <c r="B30" s="8">
        <v>28</v>
      </c>
      <c r="D30">
        <v>545.52580331060994</v>
      </c>
      <c r="E30">
        <v>231.89483933788</v>
      </c>
      <c r="F30">
        <v>186.75484496124</v>
      </c>
      <c r="G30">
        <v>132.81201550387999</v>
      </c>
      <c r="I30" s="9">
        <f t="shared" si="1"/>
        <v>99.08282383400001</v>
      </c>
      <c r="J30" s="9">
        <f t="shared" si="2"/>
        <v>358.77095834936995</v>
      </c>
      <c r="K30" s="9">
        <f t="shared" si="3"/>
        <v>99.08282383400001</v>
      </c>
      <c r="L30" s="10">
        <f t="shared" si="0"/>
        <v>0.27617292182694869</v>
      </c>
      <c r="M30" s="10">
        <f t="shared" si="4"/>
        <v>0.27665375474243337</v>
      </c>
      <c r="P30" s="8">
        <f t="shared" si="5"/>
        <v>-15.827406395493149</v>
      </c>
    </row>
    <row r="31" spans="1:16" x14ac:dyDescent="0.2">
      <c r="A31" s="8">
        <v>14.5</v>
      </c>
      <c r="B31" s="8">
        <v>29</v>
      </c>
      <c r="D31">
        <v>555.99805258032995</v>
      </c>
      <c r="E31">
        <v>233.10905550146001</v>
      </c>
      <c r="F31">
        <v>187.03003875969</v>
      </c>
      <c r="G31">
        <v>133.10949612402999</v>
      </c>
      <c r="I31" s="9">
        <f t="shared" si="1"/>
        <v>99.999559377430018</v>
      </c>
      <c r="J31" s="9">
        <f t="shared" si="2"/>
        <v>368.96801382063995</v>
      </c>
      <c r="K31" s="9">
        <f t="shared" si="3"/>
        <v>99.999559377430018</v>
      </c>
      <c r="L31" s="10">
        <f t="shared" si="0"/>
        <v>0.27102500930078205</v>
      </c>
      <c r="M31" s="10">
        <f t="shared" si="4"/>
        <v>0.27152301482039115</v>
      </c>
      <c r="P31" s="8">
        <f t="shared" si="5"/>
        <v>-17.388446789651365</v>
      </c>
    </row>
    <row r="32" spans="1:16" x14ac:dyDescent="0.2">
      <c r="A32" s="8">
        <v>15</v>
      </c>
      <c r="B32" s="8">
        <v>30</v>
      </c>
      <c r="D32">
        <v>567.88964181994004</v>
      </c>
      <c r="E32">
        <v>236.82671829623001</v>
      </c>
      <c r="F32">
        <v>186.56976744185999</v>
      </c>
      <c r="G32">
        <v>133.22093023255999</v>
      </c>
      <c r="I32" s="9">
        <f t="shared" si="1"/>
        <v>103.60578806367002</v>
      </c>
      <c r="J32" s="9">
        <f t="shared" si="2"/>
        <v>381.31987437808004</v>
      </c>
      <c r="K32" s="9">
        <f t="shared" si="3"/>
        <v>103.60578806367002</v>
      </c>
      <c r="L32" s="10">
        <f t="shared" si="0"/>
        <v>0.27170308978163699</v>
      </c>
      <c r="M32" s="10">
        <f t="shared" si="4"/>
        <v>0.27221826790537057</v>
      </c>
      <c r="P32" s="8">
        <f t="shared" si="5"/>
        <v>-17.176914307727394</v>
      </c>
    </row>
    <row r="33" spans="1:16" x14ac:dyDescent="0.2">
      <c r="A33" s="8">
        <v>15.5</v>
      </c>
      <c r="B33" s="8">
        <v>31</v>
      </c>
      <c r="D33">
        <v>566.34462729913002</v>
      </c>
      <c r="E33">
        <v>238.34462729913</v>
      </c>
      <c r="F33">
        <v>187.51841085270999</v>
      </c>
      <c r="G33">
        <v>133.54748062016</v>
      </c>
      <c r="I33" s="9">
        <f t="shared" si="1"/>
        <v>104.79714667896999</v>
      </c>
      <c r="J33" s="9">
        <f t="shared" si="2"/>
        <v>378.82621644642006</v>
      </c>
      <c r="K33" s="9">
        <f t="shared" si="3"/>
        <v>104.79714667896999</v>
      </c>
      <c r="L33" s="10">
        <f t="shared" si="0"/>
        <v>0.27663646846308526</v>
      </c>
      <c r="M33" s="10">
        <f t="shared" si="4"/>
        <v>0.27716881919094327</v>
      </c>
      <c r="P33" s="8">
        <f t="shared" si="5"/>
        <v>-15.670696754791122</v>
      </c>
    </row>
    <row r="34" spans="1:16" x14ac:dyDescent="0.2">
      <c r="A34" s="8">
        <v>16</v>
      </c>
      <c r="B34" s="8">
        <v>32</v>
      </c>
      <c r="D34">
        <v>588.12959381045005</v>
      </c>
      <c r="E34">
        <v>241.80754352030999</v>
      </c>
      <c r="F34">
        <v>186.94670542636001</v>
      </c>
      <c r="G34">
        <v>133.18120155039</v>
      </c>
      <c r="I34" s="9">
        <f t="shared" si="1"/>
        <v>108.62634196991999</v>
      </c>
      <c r="J34" s="9">
        <f t="shared" si="2"/>
        <v>401.18288838409001</v>
      </c>
      <c r="K34" s="9">
        <f t="shared" si="3"/>
        <v>108.62634196991999</v>
      </c>
      <c r="L34" s="10">
        <f t="shared" si="0"/>
        <v>0.27076514256989398</v>
      </c>
      <c r="M34" s="10">
        <f t="shared" si="4"/>
        <v>0.27131466590187647</v>
      </c>
      <c r="P34" s="8">
        <f t="shared" si="5"/>
        <v>-17.451837466790021</v>
      </c>
    </row>
    <row r="35" spans="1:16" x14ac:dyDescent="0.2">
      <c r="A35" s="8">
        <v>16.5</v>
      </c>
      <c r="B35" s="8">
        <v>33</v>
      </c>
      <c r="D35">
        <v>566.31412103746004</v>
      </c>
      <c r="E35">
        <v>238.17483189241</v>
      </c>
      <c r="F35">
        <v>187.61143410853001</v>
      </c>
      <c r="G35">
        <v>132.83236434109</v>
      </c>
      <c r="I35" s="9">
        <f t="shared" si="1"/>
        <v>105.34246755132</v>
      </c>
      <c r="J35" s="9">
        <f t="shared" si="2"/>
        <v>378.70268692893001</v>
      </c>
      <c r="K35" s="9">
        <f t="shared" si="3"/>
        <v>105.34246755132</v>
      </c>
      <c r="L35" s="10">
        <f t="shared" si="0"/>
        <v>0.27816667583108357</v>
      </c>
      <c r="M35" s="10">
        <f t="shared" si="4"/>
        <v>0.27873337176719049</v>
      </c>
      <c r="P35" s="8">
        <f t="shared" si="5"/>
        <v>-15.194677738544812</v>
      </c>
    </row>
    <row r="36" spans="1:16" x14ac:dyDescent="0.2">
      <c r="A36" s="8">
        <v>17</v>
      </c>
      <c r="B36" s="8">
        <v>34</v>
      </c>
      <c r="D36">
        <v>512.07225433526003</v>
      </c>
      <c r="E36">
        <v>228.75818882466001</v>
      </c>
      <c r="F36">
        <v>186.79554263566001</v>
      </c>
      <c r="G36">
        <v>132.97093023255999</v>
      </c>
      <c r="I36" s="9">
        <f t="shared" si="1"/>
        <v>95.787258592100017</v>
      </c>
      <c r="J36" s="9">
        <f t="shared" si="2"/>
        <v>325.27671169960001</v>
      </c>
      <c r="K36" s="9">
        <f t="shared" si="3"/>
        <v>95.787258592100017</v>
      </c>
      <c r="L36" s="10">
        <f t="shared" si="0"/>
        <v>0.29447930069018158</v>
      </c>
      <c r="M36" s="10">
        <f t="shared" si="4"/>
        <v>0.29506316923041292</v>
      </c>
      <c r="P36" s="8">
        <f t="shared" si="5"/>
        <v>-10.226296207647396</v>
      </c>
    </row>
    <row r="37" spans="1:16" x14ac:dyDescent="0.2">
      <c r="A37" s="8">
        <v>17.5</v>
      </c>
      <c r="B37" s="8">
        <v>35</v>
      </c>
      <c r="D37">
        <v>535.95639534884003</v>
      </c>
      <c r="E37">
        <v>233.39147286822001</v>
      </c>
      <c r="F37">
        <v>187.11046511628001</v>
      </c>
      <c r="G37">
        <v>133.29651162791001</v>
      </c>
      <c r="I37" s="9">
        <f t="shared" si="1"/>
        <v>100.09496124031</v>
      </c>
      <c r="J37" s="9">
        <f t="shared" si="2"/>
        <v>348.84593023256002</v>
      </c>
      <c r="K37" s="9">
        <f t="shared" si="3"/>
        <v>100.09496124031</v>
      </c>
      <c r="L37" s="10">
        <f t="shared" si="0"/>
        <v>0.28693171559599723</v>
      </c>
      <c r="M37" s="10">
        <f t="shared" si="4"/>
        <v>0.28753275674035306</v>
      </c>
      <c r="P37" s="8">
        <f t="shared" si="5"/>
        <v>-12.517442954562993</v>
      </c>
    </row>
    <row r="38" spans="1:16" x14ac:dyDescent="0.2">
      <c r="A38" s="8">
        <v>18</v>
      </c>
      <c r="B38" s="8">
        <v>36</v>
      </c>
      <c r="D38">
        <v>530.14437984495999</v>
      </c>
      <c r="E38">
        <v>233.05620155039</v>
      </c>
      <c r="F38">
        <v>187.10852713177999</v>
      </c>
      <c r="G38">
        <v>132.40019379845</v>
      </c>
      <c r="I38" s="9">
        <f t="shared" si="1"/>
        <v>100.65600775194</v>
      </c>
      <c r="J38" s="9">
        <f t="shared" si="2"/>
        <v>343.03585271318002</v>
      </c>
      <c r="K38" s="9">
        <f t="shared" si="3"/>
        <v>100.65600775194</v>
      </c>
      <c r="L38" s="10">
        <f t="shared" si="0"/>
        <v>0.29342707753670499</v>
      </c>
      <c r="M38" s="10">
        <f t="shared" si="4"/>
        <v>0.29404529128518525</v>
      </c>
      <c r="P38" s="8">
        <f t="shared" si="5"/>
        <v>-10.535988106470191</v>
      </c>
    </row>
    <row r="39" spans="1:16" x14ac:dyDescent="0.2">
      <c r="A39" s="8">
        <v>18.5</v>
      </c>
      <c r="B39" s="8">
        <v>37</v>
      </c>
      <c r="D39">
        <v>533.38372093022997</v>
      </c>
      <c r="E39">
        <v>234.93895348837</v>
      </c>
      <c r="F39">
        <v>187.85755813954</v>
      </c>
      <c r="G39">
        <v>133.17151162791001</v>
      </c>
      <c r="I39" s="9">
        <f t="shared" si="1"/>
        <v>101.76744186046</v>
      </c>
      <c r="J39" s="9">
        <f t="shared" si="2"/>
        <v>345.52616279068997</v>
      </c>
      <c r="K39" s="9">
        <f t="shared" si="3"/>
        <v>101.76744186046</v>
      </c>
      <c r="L39" s="10">
        <f t="shared" si="0"/>
        <v>0.29452890350913269</v>
      </c>
      <c r="M39" s="10">
        <f t="shared" si="4"/>
        <v>0.29516428986173743</v>
      </c>
      <c r="P39" s="8">
        <f t="shared" si="5"/>
        <v>-10.195530003829079</v>
      </c>
    </row>
    <row r="40" spans="1:16" x14ac:dyDescent="0.2">
      <c r="A40" s="8">
        <v>19</v>
      </c>
      <c r="B40" s="8">
        <v>38</v>
      </c>
      <c r="D40">
        <v>503.61605415860998</v>
      </c>
      <c r="E40">
        <v>227.29690522243999</v>
      </c>
      <c r="F40">
        <v>186.52034883721001</v>
      </c>
      <c r="G40">
        <v>132.64534883721001</v>
      </c>
      <c r="I40" s="9">
        <f t="shared" si="1"/>
        <v>94.651556385229981</v>
      </c>
      <c r="J40" s="9">
        <f t="shared" si="2"/>
        <v>317.09570532139998</v>
      </c>
      <c r="K40" s="9">
        <f t="shared" si="3"/>
        <v>94.651556385229981</v>
      </c>
      <c r="L40" s="10">
        <f t="shared" si="0"/>
        <v>0.29849523281715096</v>
      </c>
      <c r="M40" s="10">
        <f t="shared" si="4"/>
        <v>0.29914779177388012</v>
      </c>
      <c r="P40" s="8">
        <f t="shared" si="5"/>
        <v>-8.983539630209421</v>
      </c>
    </row>
    <row r="41" spans="1:16" x14ac:dyDescent="0.2">
      <c r="A41" s="8">
        <v>19.5</v>
      </c>
      <c r="B41" s="8">
        <v>39</v>
      </c>
      <c r="D41">
        <v>502.12765957446999</v>
      </c>
      <c r="E41">
        <v>229.36073500967001</v>
      </c>
      <c r="F41">
        <v>186.64437984496001</v>
      </c>
      <c r="G41">
        <v>132.98643410853001</v>
      </c>
      <c r="I41" s="9">
        <f t="shared" si="1"/>
        <v>96.374300901140003</v>
      </c>
      <c r="J41" s="9">
        <f t="shared" si="2"/>
        <v>315.48327972950995</v>
      </c>
      <c r="K41" s="9">
        <f t="shared" si="3"/>
        <v>96.374300901140003</v>
      </c>
      <c r="L41" s="10">
        <f t="shared" si="0"/>
        <v>0.30548148536990521</v>
      </c>
      <c r="M41" s="10">
        <f t="shared" si="4"/>
        <v>0.30615121693075886</v>
      </c>
      <c r="P41" s="8">
        <f t="shared" si="5"/>
        <v>-6.8527300913388602</v>
      </c>
    </row>
    <row r="42" spans="1:16" x14ac:dyDescent="0.2">
      <c r="A42" s="8">
        <v>20</v>
      </c>
      <c r="B42" s="8">
        <v>40</v>
      </c>
      <c r="D42">
        <v>508.88201160542002</v>
      </c>
      <c r="E42">
        <v>232.43326885880001</v>
      </c>
      <c r="F42">
        <v>187.34011627907</v>
      </c>
      <c r="G42">
        <v>132.43701550387999</v>
      </c>
      <c r="I42" s="9">
        <f t="shared" si="1"/>
        <v>99.996253354920015</v>
      </c>
      <c r="J42" s="9">
        <f t="shared" si="2"/>
        <v>321.54189532635002</v>
      </c>
      <c r="K42" s="9">
        <f t="shared" si="3"/>
        <v>99.996253354920015</v>
      </c>
      <c r="L42" s="10">
        <f t="shared" si="0"/>
        <v>0.310989811307259</v>
      </c>
      <c r="M42" s="10">
        <f t="shared" si="4"/>
        <v>0.31167671547223708</v>
      </c>
      <c r="P42" s="8">
        <f t="shared" si="5"/>
        <v>-5.171583404473366</v>
      </c>
    </row>
    <row r="43" spans="1:16" x14ac:dyDescent="0.2">
      <c r="A43" s="8">
        <v>20.5</v>
      </c>
      <c r="B43" s="8">
        <v>41</v>
      </c>
      <c r="D43">
        <v>508.32108317215</v>
      </c>
      <c r="E43">
        <v>232.833655706</v>
      </c>
      <c r="F43">
        <v>187.31007751938</v>
      </c>
      <c r="G43">
        <v>132.58527131783001</v>
      </c>
      <c r="I43" s="9">
        <f t="shared" si="1"/>
        <v>100.24838438817</v>
      </c>
      <c r="J43" s="9">
        <f t="shared" si="2"/>
        <v>321.01100565277</v>
      </c>
      <c r="K43" s="9">
        <f t="shared" si="3"/>
        <v>100.24838438817</v>
      </c>
      <c r="L43" s="10">
        <f t="shared" si="0"/>
        <v>0.31228955588085444</v>
      </c>
      <c r="M43" s="10">
        <f t="shared" si="4"/>
        <v>0.312993632649957</v>
      </c>
      <c r="P43" s="8">
        <f t="shared" si="5"/>
        <v>-4.7709080747124748</v>
      </c>
    </row>
    <row r="44" spans="1:16" x14ac:dyDescent="0.2">
      <c r="A44" s="8">
        <v>21</v>
      </c>
      <c r="B44" s="8">
        <v>42</v>
      </c>
      <c r="D44">
        <v>543.10894941634001</v>
      </c>
      <c r="E44">
        <v>240.03793774319001</v>
      </c>
      <c r="F44">
        <v>186.58042635659001</v>
      </c>
      <c r="G44">
        <v>133.37403100775001</v>
      </c>
      <c r="I44" s="9">
        <f t="shared" si="1"/>
        <v>106.66390673544001</v>
      </c>
      <c r="J44" s="9">
        <f t="shared" si="2"/>
        <v>356.52852305975</v>
      </c>
      <c r="K44" s="9">
        <f t="shared" si="3"/>
        <v>106.66390673544001</v>
      </c>
      <c r="L44" s="10">
        <f t="shared" si="0"/>
        <v>0.29917355789669703</v>
      </c>
      <c r="M44" s="10">
        <f t="shared" si="4"/>
        <v>0.29989480726992401</v>
      </c>
      <c r="P44" s="8">
        <f t="shared" si="5"/>
        <v>-8.7562583058575747</v>
      </c>
    </row>
    <row r="45" spans="1:16" x14ac:dyDescent="0.2">
      <c r="A45" s="8">
        <v>21.5</v>
      </c>
      <c r="B45" s="8">
        <v>43</v>
      </c>
      <c r="D45">
        <v>544.21692607004002</v>
      </c>
      <c r="E45">
        <v>238.74124513619</v>
      </c>
      <c r="F45">
        <v>186.89825581394999</v>
      </c>
      <c r="G45">
        <v>132.73546511628001</v>
      </c>
      <c r="I45" s="9">
        <f t="shared" si="1"/>
        <v>106.00578001990999</v>
      </c>
      <c r="J45" s="9">
        <f t="shared" si="2"/>
        <v>357.31867025609006</v>
      </c>
      <c r="K45" s="9">
        <f t="shared" si="3"/>
        <v>106.00578001990999</v>
      </c>
      <c r="L45" s="10">
        <f t="shared" si="0"/>
        <v>0.29667014025305677</v>
      </c>
      <c r="M45" s="10">
        <f t="shared" si="4"/>
        <v>0.29740856223040824</v>
      </c>
      <c r="P45" s="8">
        <f t="shared" si="5"/>
        <v>-9.5127045485887383</v>
      </c>
    </row>
    <row r="46" spans="1:16" x14ac:dyDescent="0.2">
      <c r="A46" s="8">
        <v>22</v>
      </c>
      <c r="B46" s="8">
        <v>44</v>
      </c>
      <c r="D46">
        <v>550.08389585342002</v>
      </c>
      <c r="E46">
        <v>242.01253616201001</v>
      </c>
      <c r="F46">
        <v>186.61918604651001</v>
      </c>
      <c r="G46">
        <v>133.03294573643001</v>
      </c>
      <c r="I46" s="9">
        <f t="shared" si="1"/>
        <v>108.97959042558</v>
      </c>
      <c r="J46" s="9">
        <f t="shared" si="2"/>
        <v>363.46470980691004</v>
      </c>
      <c r="K46" s="9">
        <f t="shared" si="3"/>
        <v>108.97959042558</v>
      </c>
      <c r="L46" s="10">
        <f t="shared" si="0"/>
        <v>0.29983541038544076</v>
      </c>
      <c r="M46" s="10">
        <f t="shared" si="4"/>
        <v>0.30059100496691665</v>
      </c>
      <c r="P46" s="8">
        <f t="shared" si="5"/>
        <v>-8.5444384233769881</v>
      </c>
    </row>
    <row r="47" spans="1:16" x14ac:dyDescent="0.2">
      <c r="A47" s="8">
        <v>22.5</v>
      </c>
      <c r="B47" s="8">
        <v>45</v>
      </c>
      <c r="D47">
        <v>548.78688524589995</v>
      </c>
      <c r="E47">
        <v>243.01350048216</v>
      </c>
      <c r="F47">
        <v>187.45833333332999</v>
      </c>
      <c r="G47">
        <v>133.10852713177999</v>
      </c>
      <c r="I47" s="9">
        <f t="shared" si="1"/>
        <v>109.90497335038</v>
      </c>
      <c r="J47" s="9">
        <f t="shared" si="2"/>
        <v>361.32855191256999</v>
      </c>
      <c r="K47" s="9">
        <f t="shared" si="3"/>
        <v>109.90497335038</v>
      </c>
      <c r="L47" s="10">
        <f t="shared" si="0"/>
        <v>0.30416908038026708</v>
      </c>
      <c r="M47" s="10">
        <f t="shared" si="4"/>
        <v>0.3049418475658674</v>
      </c>
      <c r="P47" s="8">
        <f t="shared" si="5"/>
        <v>-7.2206837313085126</v>
      </c>
    </row>
    <row r="48" spans="1:16" x14ac:dyDescent="0.2">
      <c r="A48" s="8">
        <v>23</v>
      </c>
      <c r="B48" s="8">
        <v>46</v>
      </c>
      <c r="D48">
        <v>545.78881388621005</v>
      </c>
      <c r="E48">
        <v>242.21215043394</v>
      </c>
      <c r="F48">
        <v>186.46608527132</v>
      </c>
      <c r="G48">
        <v>133.03488372093</v>
      </c>
      <c r="I48" s="9">
        <f t="shared" si="1"/>
        <v>109.17726671301</v>
      </c>
      <c r="J48" s="9">
        <f t="shared" si="2"/>
        <v>359.32272861489002</v>
      </c>
      <c r="K48" s="9">
        <f t="shared" si="3"/>
        <v>109.17726671301</v>
      </c>
      <c r="L48" s="10">
        <f t="shared" si="0"/>
        <v>0.30384180576014302</v>
      </c>
      <c r="M48" s="10">
        <f t="shared" si="4"/>
        <v>0.30463174554986783</v>
      </c>
      <c r="P48" s="8">
        <f t="shared" si="5"/>
        <v>-7.315033041669297</v>
      </c>
    </row>
    <row r="49" spans="1:25" x14ac:dyDescent="0.2">
      <c r="A49" s="8">
        <v>23.5</v>
      </c>
      <c r="B49" s="8">
        <v>47</v>
      </c>
      <c r="D49">
        <v>553.43272023232998</v>
      </c>
      <c r="E49">
        <v>243.64762826718001</v>
      </c>
      <c r="F49">
        <v>187.39437984496001</v>
      </c>
      <c r="G49">
        <v>132.89050387597001</v>
      </c>
      <c r="I49" s="9">
        <f t="shared" si="1"/>
        <v>110.75712439121</v>
      </c>
      <c r="J49" s="9">
        <f t="shared" si="2"/>
        <v>366.03834038737</v>
      </c>
      <c r="K49" s="9">
        <f t="shared" si="3"/>
        <v>110.75712439121</v>
      </c>
      <c r="L49" s="10">
        <f t="shared" si="0"/>
        <v>0.30258339679389396</v>
      </c>
      <c r="M49" s="10">
        <f t="shared" si="4"/>
        <v>0.30339050918774318</v>
      </c>
      <c r="P49" s="8">
        <f t="shared" si="5"/>
        <v>-7.6926822948794102</v>
      </c>
    </row>
    <row r="50" spans="1:25" x14ac:dyDescent="0.2">
      <c r="A50" s="8">
        <v>24</v>
      </c>
      <c r="B50" s="8">
        <v>48</v>
      </c>
      <c r="D50">
        <v>520.03639846742999</v>
      </c>
      <c r="E50">
        <v>235.17337164751001</v>
      </c>
      <c r="F50">
        <v>186.84302325581001</v>
      </c>
      <c r="G50">
        <v>133.11046511628001</v>
      </c>
      <c r="I50" s="9">
        <f t="shared" si="1"/>
        <v>102.06290653123</v>
      </c>
      <c r="J50" s="9">
        <f t="shared" si="2"/>
        <v>333.19337521161998</v>
      </c>
      <c r="K50" s="9">
        <f t="shared" si="3"/>
        <v>102.06290653123</v>
      </c>
      <c r="L50" s="10">
        <f t="shared" si="0"/>
        <v>0.30631733438999842</v>
      </c>
      <c r="M50" s="10">
        <f t="shared" si="4"/>
        <v>0.30714161938797213</v>
      </c>
      <c r="P50" s="8">
        <f t="shared" si="5"/>
        <v>-6.5513976781441414</v>
      </c>
    </row>
    <row r="51" spans="1:25" x14ac:dyDescent="0.2">
      <c r="A51" s="8">
        <v>24.5</v>
      </c>
      <c r="B51" s="8">
        <v>49</v>
      </c>
      <c r="D51">
        <v>512.81644359464997</v>
      </c>
      <c r="E51">
        <v>236.24091778203001</v>
      </c>
      <c r="F51">
        <v>186.18023255814001</v>
      </c>
      <c r="G51">
        <v>132.71608527132</v>
      </c>
      <c r="I51" s="9">
        <f t="shared" si="1"/>
        <v>103.52483251071001</v>
      </c>
      <c r="J51" s="9">
        <f t="shared" si="2"/>
        <v>326.63621103650996</v>
      </c>
      <c r="K51" s="9">
        <f t="shared" si="3"/>
        <v>103.52483251071001</v>
      </c>
      <c r="L51" s="10">
        <f t="shared" si="0"/>
        <v>0.31694230159661774</v>
      </c>
      <c r="M51" s="10">
        <f t="shared" si="4"/>
        <v>0.31778375919871588</v>
      </c>
      <c r="P51" s="8">
        <f t="shared" si="5"/>
        <v>-3.3135001473260575</v>
      </c>
    </row>
    <row r="52" spans="1:25" x14ac:dyDescent="0.2">
      <c r="A52" s="8">
        <v>25</v>
      </c>
      <c r="B52" s="8">
        <v>50</v>
      </c>
      <c r="D52">
        <v>511.17399617591002</v>
      </c>
      <c r="E52">
        <v>237.45124282982999</v>
      </c>
      <c r="F52">
        <v>186.72093023255999</v>
      </c>
      <c r="G52">
        <v>133.21124031008</v>
      </c>
      <c r="I52" s="9">
        <f t="shared" si="1"/>
        <v>104.24000251974999</v>
      </c>
      <c r="J52" s="9">
        <f t="shared" si="2"/>
        <v>324.45306594335</v>
      </c>
      <c r="K52" s="9">
        <f t="shared" si="3"/>
        <v>104.24000251974999</v>
      </c>
      <c r="L52" s="10">
        <f t="shared" si="0"/>
        <v>0.32127914161227394</v>
      </c>
      <c r="M52" s="10">
        <f t="shared" si="4"/>
        <v>0.32213777181849657</v>
      </c>
      <c r="P52" s="8">
        <f t="shared" si="5"/>
        <v>-1.9887809685283662</v>
      </c>
    </row>
    <row r="53" spans="1:25" x14ac:dyDescent="0.2">
      <c r="A53" s="8">
        <v>25.5</v>
      </c>
      <c r="B53" s="8">
        <v>51</v>
      </c>
      <c r="D53">
        <v>515.37954110899</v>
      </c>
      <c r="E53">
        <v>239.39483747610001</v>
      </c>
      <c r="F53">
        <v>186.90600775194</v>
      </c>
      <c r="G53">
        <v>132.75096899224999</v>
      </c>
      <c r="I53" s="9">
        <f t="shared" si="1"/>
        <v>106.64386848385001</v>
      </c>
      <c r="J53" s="9">
        <f t="shared" si="2"/>
        <v>328.47353335704997</v>
      </c>
      <c r="K53" s="9">
        <f t="shared" si="3"/>
        <v>106.64386848385001</v>
      </c>
      <c r="L53" s="10">
        <f t="shared" si="0"/>
        <v>0.32466502671899711</v>
      </c>
      <c r="M53" s="10">
        <f t="shared" si="4"/>
        <v>0.32554082952934416</v>
      </c>
      <c r="P53" s="8">
        <f t="shared" si="5"/>
        <v>-0.95339218815725135</v>
      </c>
      <c r="S53" s="11"/>
      <c r="U53" s="12"/>
    </row>
    <row r="54" spans="1:25" x14ac:dyDescent="0.2">
      <c r="A54" s="8">
        <v>26</v>
      </c>
      <c r="B54" s="8">
        <v>52</v>
      </c>
      <c r="D54">
        <v>519.43690248565997</v>
      </c>
      <c r="E54">
        <v>239.82217973230999</v>
      </c>
      <c r="F54">
        <v>186.66957364340999</v>
      </c>
      <c r="G54">
        <v>132.51453488371999</v>
      </c>
      <c r="I54" s="9">
        <f t="shared" si="1"/>
        <v>107.30764484859</v>
      </c>
      <c r="J54" s="9">
        <f t="shared" si="2"/>
        <v>332.76732884224998</v>
      </c>
      <c r="K54" s="9">
        <f t="shared" si="3"/>
        <v>107.30764484859</v>
      </c>
      <c r="L54" s="10">
        <f t="shared" si="0"/>
        <v>0.32247049378894926</v>
      </c>
      <c r="M54" s="10">
        <f t="shared" si="4"/>
        <v>0.32336346920342079</v>
      </c>
      <c r="P54" s="8">
        <f t="shared" si="5"/>
        <v>-1.6158594878154582</v>
      </c>
      <c r="S54" s="11"/>
    </row>
    <row r="55" spans="1:25" x14ac:dyDescent="0.2">
      <c r="A55" s="8">
        <v>26.5</v>
      </c>
      <c r="B55" s="8">
        <v>53</v>
      </c>
      <c r="D55">
        <v>561.21027592768996</v>
      </c>
      <c r="E55">
        <v>250.28639391056001</v>
      </c>
      <c r="F55">
        <v>186.43895348837</v>
      </c>
      <c r="G55">
        <v>133.42248062016</v>
      </c>
      <c r="I55" s="9">
        <f t="shared" si="1"/>
        <v>116.86391329040001</v>
      </c>
      <c r="J55" s="9">
        <f t="shared" si="2"/>
        <v>374.77132243931999</v>
      </c>
      <c r="K55" s="9">
        <f t="shared" si="3"/>
        <v>116.86391329040001</v>
      </c>
      <c r="L55" s="10">
        <f t="shared" si="0"/>
        <v>0.31182725649805204</v>
      </c>
      <c r="M55" s="10">
        <f t="shared" si="4"/>
        <v>0.312737404516648</v>
      </c>
      <c r="P55" s="8">
        <f t="shared" si="5"/>
        <v>-4.8488661221466733</v>
      </c>
      <c r="S55" s="11"/>
    </row>
    <row r="56" spans="1:25" x14ac:dyDescent="0.2">
      <c r="A56" s="8">
        <v>27</v>
      </c>
      <c r="B56" s="8">
        <v>54</v>
      </c>
      <c r="D56">
        <v>564.18934348239998</v>
      </c>
      <c r="E56">
        <v>252.28734538534999</v>
      </c>
      <c r="F56">
        <v>187.09980620155</v>
      </c>
      <c r="G56">
        <v>132.88372093023</v>
      </c>
      <c r="I56" s="9">
        <f t="shared" si="1"/>
        <v>119.40362445512</v>
      </c>
      <c r="J56" s="9">
        <f t="shared" si="2"/>
        <v>377.08953728084998</v>
      </c>
      <c r="K56" s="9">
        <f t="shared" si="3"/>
        <v>119.40362445512</v>
      </c>
      <c r="L56" s="10">
        <f t="shared" si="0"/>
        <v>0.3166452861994688</v>
      </c>
      <c r="M56" s="10">
        <f t="shared" si="4"/>
        <v>0.31757260682218919</v>
      </c>
      <c r="P56" s="8">
        <f t="shared" si="5"/>
        <v>-3.3777437835440223</v>
      </c>
      <c r="S56" s="11"/>
    </row>
    <row r="57" spans="1:25" x14ac:dyDescent="0.2">
      <c r="A57" s="8">
        <v>27.5</v>
      </c>
      <c r="B57" s="8">
        <v>55</v>
      </c>
      <c r="D57">
        <v>560.92959086584005</v>
      </c>
      <c r="E57">
        <v>251.05613701236999</v>
      </c>
      <c r="F57">
        <v>186.87112403101</v>
      </c>
      <c r="G57">
        <v>133.04263565892001</v>
      </c>
      <c r="I57" s="9">
        <f t="shared" si="1"/>
        <v>118.01350135344998</v>
      </c>
      <c r="J57" s="9">
        <f t="shared" si="2"/>
        <v>374.05846683483003</v>
      </c>
      <c r="K57" s="9">
        <f t="shared" si="3"/>
        <v>118.01350135344998</v>
      </c>
      <c r="L57" s="10">
        <f t="shared" si="0"/>
        <v>0.31549480045738476</v>
      </c>
      <c r="M57" s="10">
        <f t="shared" si="4"/>
        <v>0.31643929368422963</v>
      </c>
      <c r="P57" s="8">
        <f t="shared" si="5"/>
        <v>-3.7225571271291495</v>
      </c>
      <c r="S57" s="11"/>
    </row>
    <row r="58" spans="1:25" x14ac:dyDescent="0.2">
      <c r="A58" s="8">
        <v>28</v>
      </c>
      <c r="B58" s="8">
        <v>56</v>
      </c>
      <c r="D58">
        <v>578.69539666993001</v>
      </c>
      <c r="E58">
        <v>255.36043095004999</v>
      </c>
      <c r="F58">
        <v>186.23740310078</v>
      </c>
      <c r="G58">
        <v>133.20833333332999</v>
      </c>
      <c r="I58" s="9">
        <f t="shared" si="1"/>
        <v>122.15209761672</v>
      </c>
      <c r="J58" s="9">
        <f t="shared" si="2"/>
        <v>392.45799356915001</v>
      </c>
      <c r="K58" s="9">
        <f t="shared" si="3"/>
        <v>122.15209761672</v>
      </c>
      <c r="L58" s="10">
        <f t="shared" si="0"/>
        <v>0.31124884603782987</v>
      </c>
      <c r="M58" s="10">
        <f t="shared" si="4"/>
        <v>0.31221051186879917</v>
      </c>
      <c r="P58" s="8">
        <f t="shared" si="5"/>
        <v>-5.009174521943641</v>
      </c>
      <c r="S58" s="11"/>
    </row>
    <row r="59" spans="1:25" x14ac:dyDescent="0.2">
      <c r="A59" s="8">
        <v>28.5</v>
      </c>
      <c r="B59" s="8">
        <v>57</v>
      </c>
      <c r="D59">
        <v>577.79431929480995</v>
      </c>
      <c r="E59">
        <v>255.15964740451</v>
      </c>
      <c r="F59">
        <v>187.13856589146999</v>
      </c>
      <c r="G59">
        <v>133.67538759690001</v>
      </c>
      <c r="I59" s="9">
        <f t="shared" si="1"/>
        <v>121.48425980760999</v>
      </c>
      <c r="J59" s="9">
        <f t="shared" si="2"/>
        <v>390.65575340333999</v>
      </c>
      <c r="K59" s="9">
        <f t="shared" si="3"/>
        <v>121.48425980760999</v>
      </c>
      <c r="L59" s="10">
        <f t="shared" si="0"/>
        <v>0.31097522242858472</v>
      </c>
      <c r="M59" s="10">
        <f t="shared" si="4"/>
        <v>0.3119540608636785</v>
      </c>
      <c r="P59" s="8">
        <f t="shared" si="5"/>
        <v>-5.0872003786813762</v>
      </c>
      <c r="R59" s="1"/>
      <c r="S59" s="11"/>
    </row>
    <row r="60" spans="1:25" x14ac:dyDescent="0.2">
      <c r="A60" s="8">
        <v>29</v>
      </c>
      <c r="B60" s="8">
        <v>58</v>
      </c>
      <c r="D60">
        <v>582.16748285994004</v>
      </c>
      <c r="E60">
        <v>255.07737512243</v>
      </c>
      <c r="F60">
        <v>186</v>
      </c>
      <c r="G60">
        <v>133.89050387597001</v>
      </c>
      <c r="I60" s="9">
        <f t="shared" si="1"/>
        <v>121.18687124645999</v>
      </c>
      <c r="J60" s="9">
        <f t="shared" si="2"/>
        <v>396.16748285994004</v>
      </c>
      <c r="K60" s="9">
        <f t="shared" si="3"/>
        <v>121.18687124645999</v>
      </c>
      <c r="L60" s="10">
        <f t="shared" si="0"/>
        <v>0.30589807717586975</v>
      </c>
      <c r="M60" s="10">
        <f t="shared" si="4"/>
        <v>0.30689408821508796</v>
      </c>
      <c r="P60" s="8">
        <f t="shared" si="5"/>
        <v>-6.6267096537181729</v>
      </c>
      <c r="S60" s="11"/>
    </row>
    <row r="61" spans="1:25" x14ac:dyDescent="0.2">
      <c r="A61" s="8">
        <v>29.5</v>
      </c>
      <c r="B61" s="8">
        <v>59</v>
      </c>
      <c r="C61" s="2"/>
      <c r="D61">
        <v>570.64544564153005</v>
      </c>
      <c r="E61">
        <v>252.41332027423999</v>
      </c>
      <c r="F61">
        <v>186.46511627907</v>
      </c>
      <c r="G61">
        <v>133.51841085270999</v>
      </c>
      <c r="I61" s="9">
        <f t="shared" si="1"/>
        <v>118.89490942153</v>
      </c>
      <c r="J61" s="9">
        <f t="shared" si="2"/>
        <v>384.18032936246004</v>
      </c>
      <c r="K61" s="9">
        <f t="shared" si="3"/>
        <v>118.89490942153</v>
      </c>
      <c r="L61" s="10">
        <f t="shared" si="0"/>
        <v>0.30947682724629305</v>
      </c>
      <c r="M61" s="10">
        <f t="shared" si="4"/>
        <v>0.31049001088963574</v>
      </c>
      <c r="P61" s="8">
        <f t="shared" si="5"/>
        <v>-5.532641228007714</v>
      </c>
      <c r="S61" s="11"/>
    </row>
    <row r="62" spans="1:25" x14ac:dyDescent="0.2">
      <c r="A62" s="8">
        <v>30</v>
      </c>
      <c r="B62" s="8">
        <v>60</v>
      </c>
      <c r="D62">
        <v>584.42720306513002</v>
      </c>
      <c r="E62">
        <v>257.84578544060997</v>
      </c>
      <c r="F62">
        <v>185.99515503876</v>
      </c>
      <c r="G62">
        <v>132.53488372093</v>
      </c>
      <c r="I62" s="9">
        <f t="shared" si="1"/>
        <v>125.31090171967998</v>
      </c>
      <c r="J62" s="9">
        <f t="shared" si="2"/>
        <v>398.43204802637001</v>
      </c>
      <c r="K62" s="9">
        <f t="shared" si="3"/>
        <v>125.31090171967998</v>
      </c>
      <c r="L62" s="10">
        <f t="shared" si="0"/>
        <v>0.31451009611402125</v>
      </c>
      <c r="M62" s="10">
        <f t="shared" si="4"/>
        <v>0.31554045236148837</v>
      </c>
      <c r="P62" s="8">
        <f t="shared" si="5"/>
        <v>-3.9960318372211043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583.56800766284005</v>
      </c>
      <c r="E63">
        <v>257.06130268199001</v>
      </c>
      <c r="F63">
        <v>186.63565891472999</v>
      </c>
      <c r="G63">
        <v>132.94670542636001</v>
      </c>
      <c r="I63" s="9">
        <f t="shared" si="1"/>
        <v>124.11459725563</v>
      </c>
      <c r="J63" s="9">
        <f t="shared" si="2"/>
        <v>396.93234874811003</v>
      </c>
      <c r="K63" s="9">
        <f t="shared" si="3"/>
        <v>124.11459725563</v>
      </c>
      <c r="L63" s="10">
        <f t="shared" si="0"/>
        <v>0.31268451071593584</v>
      </c>
      <c r="M63" s="10">
        <f t="shared" si="4"/>
        <v>0.31373203956752743</v>
      </c>
      <c r="P63" s="8">
        <f t="shared" si="5"/>
        <v>-4.5462459317920638</v>
      </c>
    </row>
    <row r="64" spans="1:25" x14ac:dyDescent="0.2">
      <c r="A64" s="8">
        <v>31</v>
      </c>
      <c r="B64" s="8">
        <v>62</v>
      </c>
      <c r="D64">
        <v>580.48084291188002</v>
      </c>
      <c r="E64">
        <v>259.05459770114999</v>
      </c>
      <c r="F64">
        <v>186.77422480620001</v>
      </c>
      <c r="G64">
        <v>132.89728682171</v>
      </c>
      <c r="I64" s="9">
        <f t="shared" si="1"/>
        <v>126.15731087943999</v>
      </c>
      <c r="J64" s="9">
        <f t="shared" si="2"/>
        <v>393.70661810568004</v>
      </c>
      <c r="K64" s="9">
        <f t="shared" si="3"/>
        <v>126.15731087943999</v>
      </c>
      <c r="L64" s="10">
        <f t="shared" si="0"/>
        <v>0.32043482399774248</v>
      </c>
      <c r="M64" s="10">
        <f t="shared" si="4"/>
        <v>0.3214995254534585</v>
      </c>
      <c r="P64" s="8">
        <f t="shared" si="5"/>
        <v>-2.1829690139930626</v>
      </c>
      <c r="U64" s="8">
        <v>30.5</v>
      </c>
      <c r="V64" s="10">
        <f>L62</f>
        <v>0.31451009611402125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576.50191570880997</v>
      </c>
      <c r="E65">
        <v>256.11877394636002</v>
      </c>
      <c r="F65">
        <v>185.27422480620001</v>
      </c>
      <c r="G65">
        <v>133.03294573643001</v>
      </c>
      <c r="I65" s="9">
        <f t="shared" si="1"/>
        <v>123.08582820993001</v>
      </c>
      <c r="J65" s="9">
        <f t="shared" si="2"/>
        <v>391.22769090260999</v>
      </c>
      <c r="K65" s="9">
        <f t="shared" si="3"/>
        <v>123.08582820993001</v>
      </c>
      <c r="L65" s="10">
        <f t="shared" si="0"/>
        <v>0.31461430535746587</v>
      </c>
      <c r="M65" s="10">
        <f t="shared" si="4"/>
        <v>0.31569617941730638</v>
      </c>
      <c r="P65" s="8">
        <f t="shared" si="5"/>
        <v>-3.9486514928090086</v>
      </c>
      <c r="U65" s="8">
        <v>31</v>
      </c>
      <c r="V65" s="10">
        <f t="shared" ref="V65:V83" si="6">L63</f>
        <v>0.31268451071593584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577.34961685823998</v>
      </c>
      <c r="E66">
        <v>256.41570881225999</v>
      </c>
      <c r="F66">
        <v>185.90406976744001</v>
      </c>
      <c r="G66">
        <v>132.83430232558001</v>
      </c>
      <c r="I66" s="9">
        <f t="shared" si="1"/>
        <v>123.58140648667998</v>
      </c>
      <c r="J66" s="9">
        <f t="shared" si="2"/>
        <v>391.44554709080001</v>
      </c>
      <c r="K66" s="9">
        <f t="shared" si="3"/>
        <v>123.58140648667998</v>
      </c>
      <c r="L66" s="10">
        <f t="shared" ref="L66:L129" si="7">K66/J66</f>
        <v>0.31570523002529888</v>
      </c>
      <c r="M66" s="10">
        <f t="shared" si="4"/>
        <v>0.31680427668926381</v>
      </c>
      <c r="P66" s="8">
        <f t="shared" si="5"/>
        <v>-3.6115101392294338</v>
      </c>
      <c r="U66" s="8">
        <v>31.5</v>
      </c>
      <c r="V66" s="10">
        <f t="shared" si="6"/>
        <v>0.32043482399774248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579.98563218390996</v>
      </c>
      <c r="E67">
        <v>257.66954022989</v>
      </c>
      <c r="F67">
        <v>186.86918604651001</v>
      </c>
      <c r="G67">
        <v>132.35368217054</v>
      </c>
      <c r="I67" s="9">
        <f t="shared" ref="I67:I130" si="8">E67-G67</f>
        <v>125.31585805935001</v>
      </c>
      <c r="J67" s="9">
        <f t="shared" ref="J67:J130" si="9">D67-F67</f>
        <v>393.11644613739998</v>
      </c>
      <c r="K67" s="9">
        <f t="shared" ref="K67:K130" si="10">I67*1</f>
        <v>125.31585805935001</v>
      </c>
      <c r="L67" s="10">
        <f t="shared" si="7"/>
        <v>0.31877541448762048</v>
      </c>
      <c r="M67" s="10">
        <f t="shared" ref="M67:M130" si="11">L67+ABS($N$2)*A67</f>
        <v>0.31989163375570984</v>
      </c>
      <c r="P67" s="8">
        <f t="shared" ref="P67:P130" si="12">(M67-$O$2)/$O$2*100</f>
        <v>-2.6721740658480857</v>
      </c>
      <c r="U67" s="8">
        <v>32</v>
      </c>
      <c r="V67" s="10">
        <f t="shared" si="6"/>
        <v>0.31461430535746587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581.23467432949997</v>
      </c>
      <c r="E68">
        <v>261.20402298851002</v>
      </c>
      <c r="F68">
        <v>186.51453488371999</v>
      </c>
      <c r="G68">
        <v>132.65988372093</v>
      </c>
      <c r="I68" s="9">
        <f t="shared" si="8"/>
        <v>128.54413926758002</v>
      </c>
      <c r="J68" s="9">
        <f t="shared" si="9"/>
        <v>394.72013944577998</v>
      </c>
      <c r="K68" s="9">
        <f t="shared" si="10"/>
        <v>128.54413926758002</v>
      </c>
      <c r="L68" s="10">
        <f t="shared" si="7"/>
        <v>0.32565893254918971</v>
      </c>
      <c r="M68" s="10">
        <f t="shared" si="11"/>
        <v>0.32679232442140355</v>
      </c>
      <c r="P68" s="8">
        <f t="shared" si="12"/>
        <v>-0.57262175167608009</v>
      </c>
      <c r="U68" s="8">
        <v>32.5</v>
      </c>
      <c r="V68" s="10">
        <f t="shared" si="6"/>
        <v>0.31570523002529888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579.92145593869998</v>
      </c>
      <c r="E69">
        <v>259.6877394636</v>
      </c>
      <c r="F69">
        <v>186.19767441861001</v>
      </c>
      <c r="G69">
        <v>132.38372093023</v>
      </c>
      <c r="I69" s="9">
        <f t="shared" si="8"/>
        <v>127.30401853337</v>
      </c>
      <c r="J69" s="9">
        <f t="shared" si="9"/>
        <v>393.72378152008997</v>
      </c>
      <c r="K69" s="9">
        <f t="shared" si="10"/>
        <v>127.30401853337</v>
      </c>
      <c r="L69" s="10">
        <f t="shared" si="7"/>
        <v>0.32333332277231069</v>
      </c>
      <c r="M69" s="10">
        <f t="shared" si="11"/>
        <v>0.32448388724864896</v>
      </c>
      <c r="P69" s="8">
        <f t="shared" si="12"/>
        <v>-1.274969508295938</v>
      </c>
      <c r="U69" s="8">
        <v>33</v>
      </c>
      <c r="V69" s="10">
        <f t="shared" si="6"/>
        <v>0.31877541448762048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588.86302681992004</v>
      </c>
      <c r="E70">
        <v>263.01819923372</v>
      </c>
      <c r="F70">
        <v>185.96996124031</v>
      </c>
      <c r="G70">
        <v>132.64728682171</v>
      </c>
      <c r="I70" s="9">
        <f t="shared" si="8"/>
        <v>130.37091241201</v>
      </c>
      <c r="J70" s="9">
        <f t="shared" si="9"/>
        <v>402.89306557961004</v>
      </c>
      <c r="K70" s="9">
        <f t="shared" si="10"/>
        <v>130.37091241201</v>
      </c>
      <c r="L70" s="10">
        <f t="shared" si="7"/>
        <v>0.32358688582653017</v>
      </c>
      <c r="M70" s="10">
        <f t="shared" si="11"/>
        <v>0.32475462290699292</v>
      </c>
      <c r="P70" s="8">
        <f t="shared" si="12"/>
        <v>-1.1925975102536532</v>
      </c>
      <c r="U70" s="8">
        <v>33.5</v>
      </c>
      <c r="V70" s="10">
        <f t="shared" si="6"/>
        <v>0.32565893254918971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587.81321839080999</v>
      </c>
      <c r="E71">
        <v>264.30363984674</v>
      </c>
      <c r="F71">
        <v>186.59205426356999</v>
      </c>
      <c r="G71">
        <v>132.78585271317999</v>
      </c>
      <c r="I71" s="9">
        <f t="shared" si="8"/>
        <v>131.51778713356001</v>
      </c>
      <c r="J71" s="9">
        <f t="shared" si="9"/>
        <v>401.22116412724</v>
      </c>
      <c r="K71" s="9">
        <f t="shared" si="10"/>
        <v>131.51778713356001</v>
      </c>
      <c r="L71" s="10">
        <f t="shared" si="7"/>
        <v>0.32779374293388852</v>
      </c>
      <c r="M71" s="10">
        <f t="shared" si="11"/>
        <v>0.3289786526184757</v>
      </c>
      <c r="P71" s="8">
        <f t="shared" si="12"/>
        <v>9.2574045104486274E-2</v>
      </c>
      <c r="U71" s="8">
        <v>34</v>
      </c>
      <c r="V71" s="10">
        <f t="shared" si="6"/>
        <v>0.32333332277231069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578.62931034482995</v>
      </c>
      <c r="E72">
        <v>262.24233716474998</v>
      </c>
      <c r="F72">
        <v>185.72093023255999</v>
      </c>
      <c r="G72">
        <v>132.38856589146999</v>
      </c>
      <c r="I72" s="9">
        <f t="shared" si="8"/>
        <v>129.85377127327999</v>
      </c>
      <c r="J72" s="9">
        <f t="shared" si="9"/>
        <v>392.90838011226992</v>
      </c>
      <c r="K72" s="9">
        <f t="shared" si="10"/>
        <v>129.85377127327999</v>
      </c>
      <c r="L72" s="10">
        <f t="shared" si="7"/>
        <v>0.33049376863933388</v>
      </c>
      <c r="M72" s="10">
        <f t="shared" si="11"/>
        <v>0.33169585092804554</v>
      </c>
      <c r="P72" s="8">
        <f t="shared" si="12"/>
        <v>0.91928839520325745</v>
      </c>
      <c r="U72" s="8">
        <v>34.5</v>
      </c>
      <c r="V72" s="10">
        <f t="shared" si="6"/>
        <v>0.32358688582653017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573.54685990337998</v>
      </c>
      <c r="E73">
        <v>259.50531400966003</v>
      </c>
      <c r="F73">
        <v>186.20639534884</v>
      </c>
      <c r="G73">
        <v>132.62403100775001</v>
      </c>
      <c r="I73" s="9">
        <f t="shared" si="8"/>
        <v>126.88128300191002</v>
      </c>
      <c r="J73" s="9">
        <f t="shared" si="9"/>
        <v>387.34046455453995</v>
      </c>
      <c r="K73" s="9">
        <f t="shared" si="10"/>
        <v>126.88128300191002</v>
      </c>
      <c r="L73" s="10">
        <f t="shared" si="7"/>
        <v>0.32757043121696455</v>
      </c>
      <c r="M73" s="10">
        <f t="shared" si="11"/>
        <v>0.32878968610980064</v>
      </c>
      <c r="P73" s="8">
        <f t="shared" si="12"/>
        <v>3.5080514411665251E-2</v>
      </c>
      <c r="U73" s="8">
        <v>35</v>
      </c>
      <c r="V73" s="10">
        <f t="shared" si="6"/>
        <v>0.32779374293388852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584.84444444444</v>
      </c>
      <c r="E74">
        <v>263.35072463768</v>
      </c>
      <c r="F74">
        <v>186.18023255814001</v>
      </c>
      <c r="G74">
        <v>132.59399224806</v>
      </c>
      <c r="I74" s="9">
        <f t="shared" si="8"/>
        <v>130.75673238962</v>
      </c>
      <c r="J74" s="9">
        <f t="shared" si="9"/>
        <v>398.6642118863</v>
      </c>
      <c r="K74" s="9">
        <f t="shared" si="10"/>
        <v>130.75673238962</v>
      </c>
      <c r="L74" s="10">
        <f t="shared" si="7"/>
        <v>0.32798713426253606</v>
      </c>
      <c r="M74" s="10">
        <f t="shared" si="11"/>
        <v>0.32922356175949663</v>
      </c>
      <c r="P74" s="8">
        <f t="shared" si="12"/>
        <v>0.16708826095663037</v>
      </c>
      <c r="U74" s="8">
        <v>35.5</v>
      </c>
      <c r="V74" s="10">
        <f t="shared" si="6"/>
        <v>0.33049376863933388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581.11304347826001</v>
      </c>
      <c r="E75">
        <v>261.65990338163999</v>
      </c>
      <c r="F75">
        <v>186.33817829457001</v>
      </c>
      <c r="G75">
        <v>132.60852713177999</v>
      </c>
      <c r="I75" s="9">
        <f t="shared" si="8"/>
        <v>129.05137624986</v>
      </c>
      <c r="J75" s="9">
        <f t="shared" si="9"/>
        <v>394.77486518369</v>
      </c>
      <c r="K75" s="9">
        <f t="shared" si="10"/>
        <v>129.05137624986</v>
      </c>
      <c r="L75" s="10">
        <f t="shared" si="7"/>
        <v>0.32689866460928807</v>
      </c>
      <c r="M75" s="10">
        <f t="shared" si="11"/>
        <v>0.32815226471037306</v>
      </c>
      <c r="P75" s="8">
        <f t="shared" si="12"/>
        <v>-0.15885653321230389</v>
      </c>
      <c r="U75" s="8">
        <v>36</v>
      </c>
      <c r="V75" s="10">
        <f t="shared" si="6"/>
        <v>0.32757043121696455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601.04343629343998</v>
      </c>
      <c r="E76">
        <v>266.48359073359001</v>
      </c>
      <c r="F76">
        <v>185.85465116278999</v>
      </c>
      <c r="G76">
        <v>132.73062015503999</v>
      </c>
      <c r="I76" s="9">
        <f t="shared" si="8"/>
        <v>133.75297057855002</v>
      </c>
      <c r="J76" s="9">
        <f t="shared" si="9"/>
        <v>415.18878513064999</v>
      </c>
      <c r="K76" s="9">
        <f t="shared" si="10"/>
        <v>133.75297057855002</v>
      </c>
      <c r="L76" s="10">
        <f t="shared" si="7"/>
        <v>0.32214976745207885</v>
      </c>
      <c r="M76" s="10">
        <f t="shared" si="11"/>
        <v>0.32342054015728833</v>
      </c>
      <c r="P76" s="8">
        <f t="shared" si="12"/>
        <v>-1.5984955080242356</v>
      </c>
      <c r="U76" s="8">
        <v>36.5</v>
      </c>
      <c r="V76" s="10">
        <f t="shared" si="6"/>
        <v>0.32798713426253606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598.51833976833996</v>
      </c>
      <c r="E77">
        <v>268.33687258687002</v>
      </c>
      <c r="F77">
        <v>186.56201550387999</v>
      </c>
      <c r="G77">
        <v>132.73062015503999</v>
      </c>
      <c r="I77" s="9">
        <f t="shared" si="8"/>
        <v>135.60625243183003</v>
      </c>
      <c r="J77" s="9">
        <f t="shared" si="9"/>
        <v>411.95632426445997</v>
      </c>
      <c r="K77" s="9">
        <f t="shared" si="10"/>
        <v>135.60625243183003</v>
      </c>
      <c r="L77" s="10">
        <f t="shared" si="7"/>
        <v>0.3291762850684532</v>
      </c>
      <c r="M77" s="10">
        <f t="shared" si="11"/>
        <v>0.3304642303777871</v>
      </c>
      <c r="P77" s="8">
        <f t="shared" si="12"/>
        <v>0.54456477669181169</v>
      </c>
      <c r="U77" s="8">
        <v>37</v>
      </c>
      <c r="V77" s="10">
        <f t="shared" si="6"/>
        <v>0.32689866460928807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583.6138996139</v>
      </c>
      <c r="E78">
        <v>268.97393822394002</v>
      </c>
      <c r="F78">
        <v>184.58042635659001</v>
      </c>
      <c r="G78">
        <v>132.20348837208999</v>
      </c>
      <c r="I78" s="9">
        <f t="shared" si="8"/>
        <v>136.77044985185003</v>
      </c>
      <c r="J78" s="9">
        <f t="shared" si="9"/>
        <v>399.03347325730999</v>
      </c>
      <c r="K78" s="9">
        <f t="shared" si="10"/>
        <v>136.77044985185003</v>
      </c>
      <c r="L78" s="10">
        <f t="shared" si="7"/>
        <v>0.34275432768933628</v>
      </c>
      <c r="M78" s="10">
        <f t="shared" si="11"/>
        <v>0.34405944560279461</v>
      </c>
      <c r="P78" s="8">
        <f t="shared" si="12"/>
        <v>4.6809428539232378</v>
      </c>
      <c r="U78" s="8">
        <v>37.5</v>
      </c>
      <c r="V78" s="10">
        <f t="shared" si="6"/>
        <v>0.32214976745207885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583.86153846154002</v>
      </c>
      <c r="E79">
        <v>269.38557692308001</v>
      </c>
      <c r="F79">
        <v>186.27519379845</v>
      </c>
      <c r="G79">
        <v>132.04166666667001</v>
      </c>
      <c r="I79" s="9">
        <f t="shared" si="8"/>
        <v>137.34391025641</v>
      </c>
      <c r="J79" s="9">
        <f t="shared" si="9"/>
        <v>397.58634466309002</v>
      </c>
      <c r="K79" s="9">
        <f t="shared" si="10"/>
        <v>137.34391025641</v>
      </c>
      <c r="L79" s="10">
        <f t="shared" si="7"/>
        <v>0.34544423393814899</v>
      </c>
      <c r="M79" s="10">
        <f t="shared" si="11"/>
        <v>0.34676652445573181</v>
      </c>
      <c r="P79" s="8">
        <f t="shared" si="12"/>
        <v>5.5045783341493344</v>
      </c>
      <c r="U79" s="8">
        <v>38</v>
      </c>
      <c r="V79" s="10">
        <f t="shared" si="6"/>
        <v>0.3291762850684532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589.35192307692</v>
      </c>
      <c r="E80">
        <v>274.43846153845999</v>
      </c>
      <c r="F80">
        <v>184.47868217054</v>
      </c>
      <c r="G80">
        <v>132.82267441861001</v>
      </c>
      <c r="I80" s="9">
        <f t="shared" si="8"/>
        <v>141.61578711984998</v>
      </c>
      <c r="J80" s="9">
        <f t="shared" si="9"/>
        <v>404.87324090638003</v>
      </c>
      <c r="K80" s="9">
        <f t="shared" si="10"/>
        <v>141.61578711984998</v>
      </c>
      <c r="L80" s="10">
        <f t="shared" si="7"/>
        <v>0.34977808561222301</v>
      </c>
      <c r="M80" s="10">
        <f t="shared" si="11"/>
        <v>0.35111754873393025</v>
      </c>
      <c r="P80" s="8">
        <f t="shared" si="12"/>
        <v>6.8283883025812102</v>
      </c>
      <c r="U80" s="8">
        <v>38.5</v>
      </c>
      <c r="V80" s="10">
        <f t="shared" si="6"/>
        <v>0.34275432768933628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591.68461538461997</v>
      </c>
      <c r="E81">
        <v>274.94038461538997</v>
      </c>
      <c r="F81">
        <v>186.12984496124</v>
      </c>
      <c r="G81">
        <v>132.88759689923</v>
      </c>
      <c r="I81" s="9">
        <f t="shared" si="8"/>
        <v>142.05278771615997</v>
      </c>
      <c r="J81" s="9">
        <f t="shared" si="9"/>
        <v>405.55477042337998</v>
      </c>
      <c r="K81" s="9">
        <f t="shared" si="10"/>
        <v>142.05278771615997</v>
      </c>
      <c r="L81" s="10">
        <f t="shared" si="7"/>
        <v>0.35026782589158939</v>
      </c>
      <c r="M81" s="10">
        <f t="shared" si="11"/>
        <v>0.35162446161742111</v>
      </c>
      <c r="P81" s="8">
        <f t="shared" si="12"/>
        <v>6.982617809333032</v>
      </c>
      <c r="U81" s="8">
        <v>39</v>
      </c>
      <c r="V81" s="10">
        <f t="shared" si="6"/>
        <v>0.34544423393814899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583.64711538461995</v>
      </c>
      <c r="E82">
        <v>271.60865384614999</v>
      </c>
      <c r="F82">
        <v>185.84399224806</v>
      </c>
      <c r="G82">
        <v>131.95639534884</v>
      </c>
      <c r="H82" s="13"/>
      <c r="I82" s="14">
        <f t="shared" si="8"/>
        <v>139.65225849730999</v>
      </c>
      <c r="J82" s="14">
        <f t="shared" si="9"/>
        <v>397.80312313655998</v>
      </c>
      <c r="K82" s="9">
        <f t="shared" si="10"/>
        <v>139.65225849730999</v>
      </c>
      <c r="L82" s="15">
        <f t="shared" si="7"/>
        <v>0.35105872823771023</v>
      </c>
      <c r="M82" s="15">
        <f t="shared" si="11"/>
        <v>0.35243253656766638</v>
      </c>
      <c r="N82" s="13"/>
      <c r="O82" s="13"/>
      <c r="P82" s="13">
        <f t="shared" si="12"/>
        <v>7.2284766246319672</v>
      </c>
      <c r="U82" s="8">
        <v>39.5</v>
      </c>
      <c r="V82" s="10">
        <f t="shared" si="6"/>
        <v>0.34977808561222301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589.25480769231001</v>
      </c>
      <c r="E83">
        <v>270.10192307692</v>
      </c>
      <c r="F83">
        <v>186.42248062016</v>
      </c>
      <c r="G83">
        <v>133.00193798449999</v>
      </c>
      <c r="I83" s="9">
        <f t="shared" si="8"/>
        <v>137.09998509242001</v>
      </c>
      <c r="J83" s="9">
        <f t="shared" si="9"/>
        <v>402.83232707215001</v>
      </c>
      <c r="K83" s="9">
        <f t="shared" si="10"/>
        <v>137.09998509242001</v>
      </c>
      <c r="L83" s="10">
        <f t="shared" si="7"/>
        <v>0.34034007669862226</v>
      </c>
      <c r="M83" s="10">
        <f t="shared" si="11"/>
        <v>0.34173105763270289</v>
      </c>
      <c r="P83" s="8">
        <f t="shared" si="12"/>
        <v>3.9725250175464368</v>
      </c>
      <c r="U83" s="8">
        <v>40</v>
      </c>
      <c r="V83" s="10">
        <f t="shared" si="6"/>
        <v>0.35026782589158939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587.29326923076997</v>
      </c>
      <c r="E84">
        <v>269.42115384614999</v>
      </c>
      <c r="F84">
        <v>185.48062015503999</v>
      </c>
      <c r="G84">
        <v>132.63372093023</v>
      </c>
      <c r="I84" s="9">
        <f t="shared" si="8"/>
        <v>136.78743291591999</v>
      </c>
      <c r="J84" s="9">
        <f t="shared" si="9"/>
        <v>401.81264907572995</v>
      </c>
      <c r="K84" s="9">
        <f t="shared" si="10"/>
        <v>136.78743291591999</v>
      </c>
      <c r="L84" s="10">
        <f t="shared" si="7"/>
        <v>0.34042590055481192</v>
      </c>
      <c r="M84" s="10">
        <f t="shared" si="11"/>
        <v>0.34183405409301698</v>
      </c>
      <c r="P84" s="8">
        <f t="shared" si="12"/>
        <v>4.0038619470046752</v>
      </c>
      <c r="U84" s="8">
        <v>150.5</v>
      </c>
      <c r="V84" s="10">
        <f>L302</f>
        <v>0.3069356943947939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582.53846153845996</v>
      </c>
      <c r="E85">
        <v>272.95769230769002</v>
      </c>
      <c r="F85">
        <v>184.81395348837</v>
      </c>
      <c r="G85">
        <v>132.64341085270999</v>
      </c>
      <c r="I85" s="9">
        <f t="shared" si="8"/>
        <v>140.31428145498003</v>
      </c>
      <c r="J85" s="9">
        <f t="shared" si="9"/>
        <v>397.72450805008998</v>
      </c>
      <c r="K85" s="9">
        <f t="shared" si="10"/>
        <v>140.31428145498003</v>
      </c>
      <c r="L85" s="10">
        <f t="shared" si="7"/>
        <v>0.35279264570064828</v>
      </c>
      <c r="M85" s="10">
        <f t="shared" si="11"/>
        <v>0.35421797184297782</v>
      </c>
      <c r="P85" s="8">
        <f t="shared" si="12"/>
        <v>7.7716997519517355</v>
      </c>
      <c r="U85" s="8">
        <v>151</v>
      </c>
      <c r="V85" s="10">
        <f t="shared" ref="V85:V103" si="13">L303</f>
        <v>0.31090750571429487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595.97884615384999</v>
      </c>
      <c r="E86">
        <v>279.77019230769002</v>
      </c>
      <c r="F86">
        <v>185.50290697674001</v>
      </c>
      <c r="G86">
        <v>132.63565891472999</v>
      </c>
      <c r="I86" s="9">
        <f t="shared" si="8"/>
        <v>147.13453339296004</v>
      </c>
      <c r="J86" s="9">
        <f t="shared" si="9"/>
        <v>410.47593917710998</v>
      </c>
      <c r="K86" s="9">
        <f t="shared" si="10"/>
        <v>147.13453339296004</v>
      </c>
      <c r="L86" s="10">
        <f t="shared" si="7"/>
        <v>0.35844861866428473</v>
      </c>
      <c r="M86" s="10">
        <f t="shared" si="11"/>
        <v>0.3598911174107387</v>
      </c>
      <c r="P86" s="8">
        <f t="shared" si="12"/>
        <v>9.4977684141281209</v>
      </c>
      <c r="U86" s="8">
        <v>151.5</v>
      </c>
      <c r="V86" s="10">
        <f t="shared" si="13"/>
        <v>0.3099144092293431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586.60673076923001</v>
      </c>
      <c r="E87">
        <v>276.2</v>
      </c>
      <c r="F87">
        <v>184.77713178294999</v>
      </c>
      <c r="G87">
        <v>132.47577519379999</v>
      </c>
      <c r="I87" s="9">
        <f t="shared" si="8"/>
        <v>143.7242248062</v>
      </c>
      <c r="J87" s="9">
        <f t="shared" si="9"/>
        <v>401.82959898628002</v>
      </c>
      <c r="K87" s="9">
        <f t="shared" si="10"/>
        <v>143.7242248062</v>
      </c>
      <c r="L87" s="10">
        <f t="shared" si="7"/>
        <v>0.35767455948686172</v>
      </c>
      <c r="M87" s="10">
        <f t="shared" si="11"/>
        <v>0.35913423083744017</v>
      </c>
      <c r="P87" s="8">
        <f t="shared" si="12"/>
        <v>9.2674837899476969</v>
      </c>
      <c r="U87" s="8">
        <v>152</v>
      </c>
      <c r="V87" s="10">
        <f t="shared" si="13"/>
        <v>0.31230090139527733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583.95288461538996</v>
      </c>
      <c r="E88">
        <v>278.68461538461997</v>
      </c>
      <c r="F88">
        <v>184.91666666667001</v>
      </c>
      <c r="G88">
        <v>132.60562015503999</v>
      </c>
      <c r="I88" s="9">
        <f t="shared" si="8"/>
        <v>146.07899522957999</v>
      </c>
      <c r="J88" s="9">
        <f t="shared" si="9"/>
        <v>399.03621794871992</v>
      </c>
      <c r="K88" s="9">
        <f t="shared" si="10"/>
        <v>146.07899522957999</v>
      </c>
      <c r="L88" s="10">
        <f t="shared" si="7"/>
        <v>0.36607954029965412</v>
      </c>
      <c r="M88" s="10">
        <f t="shared" si="11"/>
        <v>0.36755638425435699</v>
      </c>
      <c r="P88" s="8">
        <f t="shared" si="12"/>
        <v>11.82994493383115</v>
      </c>
      <c r="U88" s="8">
        <v>152.5</v>
      </c>
      <c r="V88" s="10">
        <f t="shared" si="13"/>
        <v>0.31162113584338175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587.25288461539003</v>
      </c>
      <c r="E89">
        <v>292.00192307691998</v>
      </c>
      <c r="F89">
        <v>186.10174418605001</v>
      </c>
      <c r="G89">
        <v>132.48837209301999</v>
      </c>
      <c r="I89" s="9">
        <f t="shared" si="8"/>
        <v>159.51355098389999</v>
      </c>
      <c r="J89" s="9">
        <f t="shared" si="9"/>
        <v>401.15114042933999</v>
      </c>
      <c r="K89" s="9">
        <f t="shared" si="10"/>
        <v>159.51355098389999</v>
      </c>
      <c r="L89" s="10">
        <f t="shared" si="7"/>
        <v>0.39763953011121306</v>
      </c>
      <c r="M89" s="10">
        <f t="shared" si="11"/>
        <v>0.39913354667004036</v>
      </c>
      <c r="P89" s="8">
        <f t="shared" si="12"/>
        <v>21.437375209532188</v>
      </c>
      <c r="U89" s="8">
        <v>153</v>
      </c>
      <c r="V89" s="10">
        <f t="shared" si="13"/>
        <v>0.31677645328040999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616.75673076922999</v>
      </c>
      <c r="E90">
        <v>422.24711538461997</v>
      </c>
      <c r="F90">
        <v>185.74709302325999</v>
      </c>
      <c r="G90">
        <v>132.42151162791001</v>
      </c>
      <c r="I90" s="9">
        <f t="shared" si="8"/>
        <v>289.82560375670994</v>
      </c>
      <c r="J90" s="9">
        <f t="shared" si="9"/>
        <v>431.00963774597</v>
      </c>
      <c r="K90" s="9">
        <f t="shared" si="10"/>
        <v>289.82560375670994</v>
      </c>
      <c r="L90" s="10">
        <f t="shared" si="7"/>
        <v>0.67243416010926504</v>
      </c>
      <c r="M90" s="10">
        <f t="shared" si="11"/>
        <v>0.67394534927221683</v>
      </c>
      <c r="P90" s="8">
        <f t="shared" si="12"/>
        <v>105.04955028986198</v>
      </c>
      <c r="U90" s="8">
        <v>153.5</v>
      </c>
      <c r="V90" s="10">
        <f t="shared" si="13"/>
        <v>0.31915609769137343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652.72500000000002</v>
      </c>
      <c r="E91">
        <v>581.15769230769001</v>
      </c>
      <c r="F91">
        <v>185.01259689923</v>
      </c>
      <c r="G91">
        <v>132.69476744185999</v>
      </c>
      <c r="I91" s="9">
        <f t="shared" si="8"/>
        <v>448.46292486583002</v>
      </c>
      <c r="J91" s="9">
        <f t="shared" si="9"/>
        <v>467.71240310077002</v>
      </c>
      <c r="K91" s="9">
        <f t="shared" si="10"/>
        <v>448.46292486583002</v>
      </c>
      <c r="L91" s="10">
        <f t="shared" si="7"/>
        <v>0.9588433445268445</v>
      </c>
      <c r="M91" s="10">
        <f t="shared" si="11"/>
        <v>0.96037170629392077</v>
      </c>
      <c r="P91" s="8">
        <f t="shared" si="12"/>
        <v>192.19548246653949</v>
      </c>
      <c r="U91" s="8">
        <v>154</v>
      </c>
      <c r="V91" s="10">
        <f t="shared" si="13"/>
        <v>0.31672671644674749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658.85865384614999</v>
      </c>
      <c r="E92">
        <v>624.49038461538998</v>
      </c>
      <c r="F92">
        <v>185.2761627907</v>
      </c>
      <c r="G92">
        <v>132.41957364340999</v>
      </c>
      <c r="I92" s="9">
        <f t="shared" si="8"/>
        <v>492.07081097197999</v>
      </c>
      <c r="J92" s="9">
        <f t="shared" si="9"/>
        <v>473.58249105544996</v>
      </c>
      <c r="K92" s="9">
        <f t="shared" si="10"/>
        <v>492.07081097197999</v>
      </c>
      <c r="L92" s="10">
        <f t="shared" si="7"/>
        <v>1.0390392809398972</v>
      </c>
      <c r="M92" s="10">
        <f t="shared" si="11"/>
        <v>1.0405848153110979</v>
      </c>
      <c r="P92" s="8">
        <f t="shared" si="12"/>
        <v>216.60052057398462</v>
      </c>
      <c r="U92" s="8">
        <v>154.5</v>
      </c>
      <c r="V92" s="10">
        <f t="shared" si="13"/>
        <v>0.32359424669577791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651.26923076923003</v>
      </c>
      <c r="E93">
        <v>609.92403846154002</v>
      </c>
      <c r="F93">
        <v>185.14825581394999</v>
      </c>
      <c r="G93">
        <v>132.01744186047</v>
      </c>
      <c r="I93" s="9">
        <f t="shared" si="8"/>
        <v>477.90659660107002</v>
      </c>
      <c r="J93" s="9">
        <f t="shared" si="9"/>
        <v>466.12097495528008</v>
      </c>
      <c r="K93" s="9">
        <f t="shared" si="10"/>
        <v>477.90659660107002</v>
      </c>
      <c r="L93" s="10">
        <f t="shared" si="7"/>
        <v>1.0252844696527992</v>
      </c>
      <c r="M93" s="10">
        <f t="shared" si="11"/>
        <v>1.0268471766281244</v>
      </c>
      <c r="P93" s="8">
        <f t="shared" si="12"/>
        <v>212.42080980510661</v>
      </c>
      <c r="U93" s="8">
        <v>155</v>
      </c>
      <c r="V93" s="10">
        <f t="shared" si="13"/>
        <v>0.31940854928847079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643.62980769231001</v>
      </c>
      <c r="E94">
        <v>585.26730769231006</v>
      </c>
      <c r="F94">
        <v>185.15988372093</v>
      </c>
      <c r="G94">
        <v>132.57945736433999</v>
      </c>
      <c r="I94" s="9">
        <f t="shared" si="8"/>
        <v>452.68785032797007</v>
      </c>
      <c r="J94" s="9">
        <f t="shared" si="9"/>
        <v>458.46992397138001</v>
      </c>
      <c r="K94" s="9">
        <f t="shared" si="10"/>
        <v>452.68785032797007</v>
      </c>
      <c r="L94" s="10">
        <f t="shared" si="7"/>
        <v>0.98738832507632301</v>
      </c>
      <c r="M94" s="10">
        <f t="shared" si="11"/>
        <v>0.98896820465577262</v>
      </c>
      <c r="P94" s="8">
        <f t="shared" si="12"/>
        <v>200.89603828355735</v>
      </c>
      <c r="U94" s="8">
        <v>155.5</v>
      </c>
      <c r="V94" s="10">
        <f t="shared" si="13"/>
        <v>0.3277488133068549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653.30393096835996</v>
      </c>
      <c r="E95">
        <v>584.89357622243995</v>
      </c>
      <c r="F95">
        <v>185.60852713177999</v>
      </c>
      <c r="G95">
        <v>132.33914728682001</v>
      </c>
      <c r="I95" s="9">
        <f t="shared" si="8"/>
        <v>452.55442893561997</v>
      </c>
      <c r="J95" s="9">
        <f t="shared" si="9"/>
        <v>467.69540383658</v>
      </c>
      <c r="K95" s="9">
        <f t="shared" si="10"/>
        <v>452.55442893561997</v>
      </c>
      <c r="L95" s="10">
        <f t="shared" si="7"/>
        <v>0.96762641929607129</v>
      </c>
      <c r="M95" s="10">
        <f t="shared" si="11"/>
        <v>0.96922347147964538</v>
      </c>
      <c r="P95" s="8">
        <f t="shared" si="12"/>
        <v>194.88865406059281</v>
      </c>
      <c r="U95" s="8">
        <v>156</v>
      </c>
      <c r="V95" s="10">
        <f t="shared" si="13"/>
        <v>0.32496087646258631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659.20421860018996</v>
      </c>
      <c r="E96">
        <v>572.39022051773998</v>
      </c>
      <c r="F96">
        <v>184.32461240309999</v>
      </c>
      <c r="G96">
        <v>132.07073643410999</v>
      </c>
      <c r="I96" s="9">
        <f t="shared" si="8"/>
        <v>440.31948408362996</v>
      </c>
      <c r="J96" s="9">
        <f t="shared" si="9"/>
        <v>474.87960619708997</v>
      </c>
      <c r="K96" s="9">
        <f t="shared" si="10"/>
        <v>440.31948408362996</v>
      </c>
      <c r="L96" s="10">
        <f t="shared" si="7"/>
        <v>0.92722340217929577</v>
      </c>
      <c r="M96" s="10">
        <f t="shared" si="11"/>
        <v>0.92883762696699423</v>
      </c>
      <c r="P96" s="8">
        <f t="shared" si="12"/>
        <v>182.60116032784725</v>
      </c>
      <c r="U96" s="8">
        <v>156.5</v>
      </c>
      <c r="V96" s="10">
        <f t="shared" si="13"/>
        <v>0.33297923765577975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647.94151486097996</v>
      </c>
      <c r="E97">
        <v>537.79002876317998</v>
      </c>
      <c r="F97">
        <v>184.53100775194</v>
      </c>
      <c r="G97">
        <v>132.39341085270999</v>
      </c>
      <c r="I97" s="9">
        <f t="shared" si="8"/>
        <v>405.39661791047001</v>
      </c>
      <c r="J97" s="9">
        <f t="shared" si="9"/>
        <v>463.41050710903994</v>
      </c>
      <c r="K97" s="9">
        <f t="shared" si="10"/>
        <v>405.39661791047001</v>
      </c>
      <c r="L97" s="10">
        <f t="shared" si="7"/>
        <v>0.87481101893764501</v>
      </c>
      <c r="M97" s="10">
        <f t="shared" si="11"/>
        <v>0.87644241632946795</v>
      </c>
      <c r="P97" s="8">
        <f t="shared" si="12"/>
        <v>166.65978705452588</v>
      </c>
      <c r="U97" s="8">
        <v>157</v>
      </c>
      <c r="V97" s="10">
        <f t="shared" si="13"/>
        <v>0.32683603123531935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646.09446564886002</v>
      </c>
      <c r="E98">
        <v>511.80820610686999</v>
      </c>
      <c r="F98">
        <v>184.83333333332999</v>
      </c>
      <c r="G98">
        <v>132.69767441861001</v>
      </c>
      <c r="I98" s="9">
        <f t="shared" si="8"/>
        <v>379.11053168825998</v>
      </c>
      <c r="J98" s="9">
        <f t="shared" si="9"/>
        <v>461.26113231553006</v>
      </c>
      <c r="K98" s="9">
        <f t="shared" si="10"/>
        <v>379.11053168825998</v>
      </c>
      <c r="L98" s="10">
        <f t="shared" si="7"/>
        <v>0.82190001525844114</v>
      </c>
      <c r="M98" s="10">
        <f t="shared" si="11"/>
        <v>0.82354858525438857</v>
      </c>
      <c r="P98" s="8">
        <f t="shared" si="12"/>
        <v>150.56670727177311</v>
      </c>
      <c r="U98" s="8">
        <v>157.5</v>
      </c>
      <c r="V98" s="10">
        <f t="shared" si="13"/>
        <v>0.32717900118620985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644.54484732824005</v>
      </c>
      <c r="E99">
        <v>492.20324427481</v>
      </c>
      <c r="F99">
        <v>185.09205426356999</v>
      </c>
      <c r="G99">
        <v>132.43701550387999</v>
      </c>
      <c r="I99" s="9">
        <f t="shared" si="8"/>
        <v>359.76622877093001</v>
      </c>
      <c r="J99" s="9">
        <f t="shared" si="9"/>
        <v>459.45279306467006</v>
      </c>
      <c r="K99" s="9">
        <f t="shared" si="10"/>
        <v>359.76622877093001</v>
      </c>
      <c r="L99" s="10">
        <f t="shared" si="7"/>
        <v>0.78303197673736047</v>
      </c>
      <c r="M99" s="10">
        <f t="shared" si="11"/>
        <v>0.78469771933743226</v>
      </c>
      <c r="P99" s="8">
        <f t="shared" si="12"/>
        <v>138.74623459806691</v>
      </c>
      <c r="U99" s="8">
        <v>158</v>
      </c>
      <c r="V99" s="10">
        <f t="shared" si="13"/>
        <v>0.33061393061180083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631.79389312977003</v>
      </c>
      <c r="E100">
        <v>471.03721374046</v>
      </c>
      <c r="F100">
        <v>184.50678294574001</v>
      </c>
      <c r="G100">
        <v>132.70833333332999</v>
      </c>
      <c r="I100" s="9">
        <f t="shared" si="8"/>
        <v>338.32888040712999</v>
      </c>
      <c r="J100" s="9">
        <f t="shared" si="9"/>
        <v>447.28711018402998</v>
      </c>
      <c r="K100" s="9">
        <f t="shared" si="10"/>
        <v>338.32888040712999</v>
      </c>
      <c r="L100" s="10">
        <f t="shared" si="7"/>
        <v>0.75640203507749049</v>
      </c>
      <c r="M100" s="10">
        <f t="shared" si="11"/>
        <v>0.75808495028168676</v>
      </c>
      <c r="P100" s="8">
        <f t="shared" si="12"/>
        <v>130.64923336088731</v>
      </c>
      <c r="U100" s="8">
        <v>158.5</v>
      </c>
      <c r="V100" s="10">
        <f t="shared" si="13"/>
        <v>0.33415108262110554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625.87690839694994</v>
      </c>
      <c r="E101">
        <v>451.23664122137001</v>
      </c>
      <c r="F101">
        <v>184.81395348837</v>
      </c>
      <c r="G101">
        <v>132.73934108527001</v>
      </c>
      <c r="I101" s="9">
        <f t="shared" si="8"/>
        <v>318.49730013609997</v>
      </c>
      <c r="J101" s="9">
        <f t="shared" si="9"/>
        <v>441.06295490857997</v>
      </c>
      <c r="K101" s="9">
        <f t="shared" si="10"/>
        <v>318.49730013609997</v>
      </c>
      <c r="L101" s="10">
        <f t="shared" si="7"/>
        <v>0.72211301491442548</v>
      </c>
      <c r="M101" s="10">
        <f t="shared" si="11"/>
        <v>0.72381310272274624</v>
      </c>
      <c r="P101" s="8">
        <f t="shared" si="12"/>
        <v>120.22193842198423</v>
      </c>
      <c r="U101" s="8">
        <v>159</v>
      </c>
      <c r="V101" s="10">
        <f t="shared" si="13"/>
        <v>0.32661449629957545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627.666015625</v>
      </c>
      <c r="E102">
        <v>446.5400390625</v>
      </c>
      <c r="F102">
        <v>184.48740310078</v>
      </c>
      <c r="G102">
        <v>131.90310077519001</v>
      </c>
      <c r="I102" s="9">
        <f t="shared" si="8"/>
        <v>314.63693828730999</v>
      </c>
      <c r="J102" s="9">
        <f t="shared" si="9"/>
        <v>443.17861252422</v>
      </c>
      <c r="K102" s="9">
        <f t="shared" si="10"/>
        <v>314.63693828730999</v>
      </c>
      <c r="L102" s="10">
        <f t="shared" si="7"/>
        <v>0.70995514990045883</v>
      </c>
      <c r="M102" s="10">
        <f t="shared" si="11"/>
        <v>0.71167241031290407</v>
      </c>
      <c r="P102" s="8">
        <f t="shared" si="12"/>
        <v>116.52810253227301</v>
      </c>
      <c r="U102" s="8">
        <v>159.5</v>
      </c>
      <c r="V102" s="10">
        <f t="shared" si="13"/>
        <v>0.32987298203104848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624.6533203125</v>
      </c>
      <c r="E103">
        <v>421.9443359375</v>
      </c>
      <c r="F103">
        <v>183.89922480620001</v>
      </c>
      <c r="G103">
        <v>131.96511627907</v>
      </c>
      <c r="I103" s="9">
        <f t="shared" si="8"/>
        <v>289.97921965843</v>
      </c>
      <c r="J103" s="9">
        <f t="shared" si="9"/>
        <v>440.75409550630002</v>
      </c>
      <c r="K103" s="9">
        <f t="shared" si="10"/>
        <v>289.97921965843</v>
      </c>
      <c r="L103" s="10">
        <f t="shared" si="7"/>
        <v>0.65791610926570532</v>
      </c>
      <c r="M103" s="10">
        <f t="shared" si="11"/>
        <v>0.65965054228227493</v>
      </c>
      <c r="P103" s="8">
        <f t="shared" si="12"/>
        <v>100.70031967652923</v>
      </c>
      <c r="U103" s="8">
        <v>160</v>
      </c>
      <c r="V103" s="10">
        <f t="shared" si="13"/>
        <v>0.34106910945339591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613.474609375</v>
      </c>
      <c r="E104">
        <v>408.7880859375</v>
      </c>
      <c r="F104">
        <v>183.68701550387999</v>
      </c>
      <c r="G104">
        <v>132.50775193798</v>
      </c>
      <c r="I104" s="9">
        <f t="shared" si="8"/>
        <v>276.28033399952</v>
      </c>
      <c r="J104" s="9">
        <f t="shared" si="9"/>
        <v>429.78759387112001</v>
      </c>
      <c r="K104" s="9">
        <f t="shared" si="10"/>
        <v>276.28033399952</v>
      </c>
      <c r="L104" s="10">
        <f t="shared" si="7"/>
        <v>0.64282994190467002</v>
      </c>
      <c r="M104" s="10">
        <f t="shared" si="11"/>
        <v>0.64458154752536412</v>
      </c>
      <c r="P104" s="8">
        <f t="shared" si="12"/>
        <v>96.115540507770845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629.81940441883</v>
      </c>
      <c r="E105">
        <v>399.79634966379001</v>
      </c>
      <c r="F105">
        <v>185.01453488371999</v>
      </c>
      <c r="G105">
        <v>131.80523255814001</v>
      </c>
      <c r="I105" s="9">
        <f t="shared" si="8"/>
        <v>267.99111710565001</v>
      </c>
      <c r="J105" s="9">
        <f t="shared" si="9"/>
        <v>444.80486953511002</v>
      </c>
      <c r="K105" s="9">
        <f t="shared" si="10"/>
        <v>267.99111710565001</v>
      </c>
      <c r="L105" s="10">
        <f t="shared" si="7"/>
        <v>0.6024914191828481</v>
      </c>
      <c r="M105" s="10">
        <f t="shared" si="11"/>
        <v>0.60426019740766668</v>
      </c>
      <c r="P105" s="8">
        <f t="shared" si="12"/>
        <v>83.847669355247447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627.57732949087006</v>
      </c>
      <c r="E106">
        <v>388.36311239192997</v>
      </c>
      <c r="F106">
        <v>183.54844961239999</v>
      </c>
      <c r="G106">
        <v>131.72771317830001</v>
      </c>
      <c r="I106" s="9">
        <f t="shared" si="8"/>
        <v>256.63539921362997</v>
      </c>
      <c r="J106" s="9">
        <f t="shared" si="9"/>
        <v>444.02887987847009</v>
      </c>
      <c r="K106" s="9">
        <f t="shared" si="10"/>
        <v>256.63539921362997</v>
      </c>
      <c r="L106" s="10">
        <f t="shared" si="7"/>
        <v>0.57797006195603906</v>
      </c>
      <c r="M106" s="10">
        <f t="shared" si="11"/>
        <v>0.57975601278498212</v>
      </c>
      <c r="P106" s="8">
        <f t="shared" si="12"/>
        <v>76.392210181106435</v>
      </c>
      <c r="X106" s="8">
        <v>-13</v>
      </c>
    </row>
    <row r="107" spans="1:25" x14ac:dyDescent="0.2">
      <c r="A107" s="8">
        <v>52.5</v>
      </c>
      <c r="B107" s="8">
        <v>105</v>
      </c>
      <c r="D107">
        <v>615.52833813640996</v>
      </c>
      <c r="E107">
        <v>371.81460134486002</v>
      </c>
      <c r="F107">
        <v>183.76162790698001</v>
      </c>
      <c r="G107">
        <v>132.08333333332999</v>
      </c>
      <c r="I107" s="9">
        <f t="shared" si="8"/>
        <v>239.73126801153003</v>
      </c>
      <c r="J107" s="9">
        <f t="shared" si="9"/>
        <v>431.76671022942992</v>
      </c>
      <c r="K107" s="9">
        <f t="shared" si="10"/>
        <v>239.73126801153003</v>
      </c>
      <c r="L107" s="10">
        <f t="shared" si="7"/>
        <v>0.55523332932301084</v>
      </c>
      <c r="M107" s="10">
        <f t="shared" si="11"/>
        <v>0.55703645275607827</v>
      </c>
      <c r="P107" s="8">
        <f t="shared" si="12"/>
        <v>69.479727482411292</v>
      </c>
      <c r="X107" s="8">
        <v>-13</v>
      </c>
    </row>
    <row r="108" spans="1:25" x14ac:dyDescent="0.2">
      <c r="A108" s="8">
        <v>53</v>
      </c>
      <c r="B108" s="8">
        <v>106</v>
      </c>
      <c r="D108">
        <v>609.76753121998001</v>
      </c>
      <c r="E108">
        <v>361.17867435159002</v>
      </c>
      <c r="F108">
        <v>184.28779069767</v>
      </c>
      <c r="G108">
        <v>132.78100775194</v>
      </c>
      <c r="I108" s="9">
        <f t="shared" si="8"/>
        <v>228.39766659965002</v>
      </c>
      <c r="J108" s="9">
        <f t="shared" si="9"/>
        <v>425.47974052231001</v>
      </c>
      <c r="K108" s="9">
        <f t="shared" si="10"/>
        <v>228.39766659965002</v>
      </c>
      <c r="L108" s="10">
        <f t="shared" si="7"/>
        <v>0.53680033347598133</v>
      </c>
      <c r="M108" s="10">
        <f t="shared" si="11"/>
        <v>0.53862062951317324</v>
      </c>
      <c r="P108" s="8">
        <f t="shared" si="12"/>
        <v>63.876667414924995</v>
      </c>
      <c r="X108" s="8">
        <v>-13</v>
      </c>
    </row>
    <row r="109" spans="1:25" x14ac:dyDescent="0.2">
      <c r="A109" s="8">
        <v>53.5</v>
      </c>
      <c r="B109" s="8">
        <v>107</v>
      </c>
      <c r="D109">
        <v>593.16234390010004</v>
      </c>
      <c r="E109">
        <v>346.76945244957</v>
      </c>
      <c r="F109">
        <v>184.43604651163</v>
      </c>
      <c r="G109">
        <v>131.29263565892001</v>
      </c>
      <c r="I109" s="9">
        <f t="shared" si="8"/>
        <v>215.47681679064999</v>
      </c>
      <c r="J109" s="9">
        <f t="shared" si="9"/>
        <v>408.72629738847002</v>
      </c>
      <c r="K109" s="9">
        <f t="shared" si="10"/>
        <v>215.47681679064999</v>
      </c>
      <c r="L109" s="10">
        <f t="shared" si="7"/>
        <v>0.52719097882231958</v>
      </c>
      <c r="M109" s="10">
        <f t="shared" si="11"/>
        <v>0.52902844746363598</v>
      </c>
      <c r="P109" s="8">
        <f t="shared" si="12"/>
        <v>60.958222146803323</v>
      </c>
      <c r="X109" s="8">
        <v>-13</v>
      </c>
    </row>
    <row r="110" spans="1:25" x14ac:dyDescent="0.2">
      <c r="A110" s="8">
        <v>54</v>
      </c>
      <c r="B110" s="8">
        <v>108</v>
      </c>
      <c r="D110">
        <v>597.28530259366005</v>
      </c>
      <c r="E110">
        <v>343.79634966379001</v>
      </c>
      <c r="F110">
        <v>185.07848837208999</v>
      </c>
      <c r="G110">
        <v>131.73255813954</v>
      </c>
      <c r="I110" s="9">
        <f t="shared" si="8"/>
        <v>212.06379152425001</v>
      </c>
      <c r="J110" s="9">
        <f t="shared" si="9"/>
        <v>412.20681422157008</v>
      </c>
      <c r="K110" s="9">
        <f t="shared" si="10"/>
        <v>212.06379152425001</v>
      </c>
      <c r="L110" s="10">
        <f t="shared" si="7"/>
        <v>0.51445969403664715</v>
      </c>
      <c r="M110" s="10">
        <f t="shared" si="11"/>
        <v>0.51631433528208792</v>
      </c>
      <c r="P110" s="8">
        <f t="shared" si="12"/>
        <v>57.089921864033265</v>
      </c>
      <c r="X110" s="8">
        <v>-13</v>
      </c>
    </row>
    <row r="111" spans="1:25" x14ac:dyDescent="0.2">
      <c r="A111" s="8">
        <v>54.5</v>
      </c>
      <c r="B111" s="8">
        <v>109</v>
      </c>
      <c r="D111">
        <v>601.20076849183999</v>
      </c>
      <c r="E111">
        <v>336.54562920269001</v>
      </c>
      <c r="F111">
        <v>184.09980620155</v>
      </c>
      <c r="G111">
        <v>132.17926356589001</v>
      </c>
      <c r="I111" s="9">
        <f t="shared" si="8"/>
        <v>204.3663656368</v>
      </c>
      <c r="J111" s="9">
        <f t="shared" si="9"/>
        <v>417.10096229029</v>
      </c>
      <c r="K111" s="9">
        <f t="shared" si="10"/>
        <v>204.3663656368</v>
      </c>
      <c r="L111" s="10">
        <f t="shared" si="7"/>
        <v>0.48996857862573573</v>
      </c>
      <c r="M111" s="10">
        <f t="shared" si="11"/>
        <v>0.49184039247530098</v>
      </c>
      <c r="P111" s="8">
        <f t="shared" si="12"/>
        <v>49.643663837665507</v>
      </c>
      <c r="X111" s="8">
        <v>-13</v>
      </c>
    </row>
    <row r="112" spans="1:25" x14ac:dyDescent="0.2">
      <c r="A112" s="8">
        <v>55</v>
      </c>
      <c r="B112" s="8">
        <v>110</v>
      </c>
      <c r="D112">
        <v>599.21517771373999</v>
      </c>
      <c r="E112">
        <v>328.95389048991001</v>
      </c>
      <c r="F112">
        <v>183.03100775194</v>
      </c>
      <c r="G112">
        <v>131.81879844961</v>
      </c>
      <c r="I112" s="9">
        <f t="shared" si="8"/>
        <v>197.13509204030001</v>
      </c>
      <c r="J112" s="9">
        <f t="shared" si="9"/>
        <v>416.18416996179997</v>
      </c>
      <c r="K112" s="9">
        <f t="shared" si="10"/>
        <v>197.13509204030001</v>
      </c>
      <c r="L112" s="10">
        <f t="shared" si="7"/>
        <v>0.47367273017230405</v>
      </c>
      <c r="M112" s="10">
        <f t="shared" si="11"/>
        <v>0.47556171662599378</v>
      </c>
      <c r="P112" s="8">
        <f t="shared" si="12"/>
        <v>44.690836185068065</v>
      </c>
      <c r="X112" s="8">
        <v>-13</v>
      </c>
    </row>
    <row r="113" spans="1:24" x14ac:dyDescent="0.2">
      <c r="A113" s="8">
        <v>55.5</v>
      </c>
      <c r="B113" s="8">
        <v>111</v>
      </c>
      <c r="D113">
        <v>597.96541786744001</v>
      </c>
      <c r="E113">
        <v>322.52449567722999</v>
      </c>
      <c r="F113">
        <v>183.33624031008</v>
      </c>
      <c r="G113">
        <v>131.96608527132</v>
      </c>
      <c r="I113" s="9">
        <f t="shared" si="8"/>
        <v>190.55841040591</v>
      </c>
      <c r="J113" s="9">
        <f t="shared" si="9"/>
        <v>414.62917755735998</v>
      </c>
      <c r="K113" s="9">
        <f t="shared" si="10"/>
        <v>190.55841040591</v>
      </c>
      <c r="L113" s="10">
        <f t="shared" si="7"/>
        <v>0.45958755611102181</v>
      </c>
      <c r="M113" s="10">
        <f t="shared" si="11"/>
        <v>0.46149371516883597</v>
      </c>
      <c r="P113" s="8">
        <f t="shared" si="12"/>
        <v>40.410611719712811</v>
      </c>
      <c r="X113" s="8">
        <v>-13</v>
      </c>
    </row>
    <row r="114" spans="1:24" x14ac:dyDescent="0.2">
      <c r="A114" s="8">
        <v>56</v>
      </c>
      <c r="B114" s="8">
        <v>112</v>
      </c>
      <c r="D114">
        <v>591.28818443804005</v>
      </c>
      <c r="E114">
        <v>314.31892411143002</v>
      </c>
      <c r="F114">
        <v>184.28391472868</v>
      </c>
      <c r="G114">
        <v>132.1511627907</v>
      </c>
      <c r="I114" s="9">
        <f t="shared" si="8"/>
        <v>182.16776132073002</v>
      </c>
      <c r="J114" s="9">
        <f t="shared" si="9"/>
        <v>407.00426970936007</v>
      </c>
      <c r="K114" s="9">
        <f t="shared" si="10"/>
        <v>182.16776132073002</v>
      </c>
      <c r="L114" s="10">
        <f t="shared" si="7"/>
        <v>0.44758194170988724</v>
      </c>
      <c r="M114" s="10">
        <f t="shared" si="11"/>
        <v>0.44950527337182589</v>
      </c>
      <c r="P114" s="8">
        <f t="shared" si="12"/>
        <v>36.763098457980682</v>
      </c>
      <c r="X114" s="8">
        <v>-13</v>
      </c>
    </row>
    <row r="115" spans="1:24" x14ac:dyDescent="0.2">
      <c r="A115" s="8">
        <v>56.5</v>
      </c>
      <c r="B115" s="8">
        <v>113</v>
      </c>
      <c r="D115">
        <v>584.45629202689997</v>
      </c>
      <c r="E115">
        <v>311.02017291065999</v>
      </c>
      <c r="F115">
        <v>182.81492248062</v>
      </c>
      <c r="G115">
        <v>131.89631782946</v>
      </c>
      <c r="I115" s="9">
        <f t="shared" si="8"/>
        <v>179.12385508119999</v>
      </c>
      <c r="J115" s="9">
        <f t="shared" si="9"/>
        <v>401.64136954627998</v>
      </c>
      <c r="K115" s="9">
        <f t="shared" si="10"/>
        <v>179.12385508119999</v>
      </c>
      <c r="L115" s="10">
        <f t="shared" si="7"/>
        <v>0.44597959439175766</v>
      </c>
      <c r="M115" s="10">
        <f t="shared" si="11"/>
        <v>0.44792009865782073</v>
      </c>
      <c r="P115" s="8">
        <f t="shared" si="12"/>
        <v>36.280805104983109</v>
      </c>
      <c r="X115" s="8">
        <v>-13</v>
      </c>
    </row>
    <row r="116" spans="1:24" x14ac:dyDescent="0.2">
      <c r="A116" s="8">
        <v>57</v>
      </c>
      <c r="B116" s="8">
        <v>114</v>
      </c>
      <c r="D116">
        <v>586.77521613833005</v>
      </c>
      <c r="E116">
        <v>307.84726224783998</v>
      </c>
      <c r="F116">
        <v>183.58817829457001</v>
      </c>
      <c r="G116">
        <v>132.25290697674001</v>
      </c>
      <c r="I116" s="9">
        <f t="shared" si="8"/>
        <v>175.59435527109997</v>
      </c>
      <c r="J116" s="9">
        <f t="shared" si="9"/>
        <v>403.18703784376004</v>
      </c>
      <c r="K116" s="9">
        <f t="shared" si="10"/>
        <v>175.59435527109997</v>
      </c>
      <c r="L116" s="10">
        <f t="shared" si="7"/>
        <v>0.4355158742458009</v>
      </c>
      <c r="M116" s="10">
        <f t="shared" si="11"/>
        <v>0.43747355111598846</v>
      </c>
      <c r="P116" s="8">
        <f t="shared" si="12"/>
        <v>33.102417008904474</v>
      </c>
      <c r="X116" s="8">
        <v>-13</v>
      </c>
    </row>
    <row r="117" spans="1:24" x14ac:dyDescent="0.2">
      <c r="A117" s="8">
        <v>57.5</v>
      </c>
      <c r="B117" s="8">
        <v>115</v>
      </c>
      <c r="D117">
        <v>589.69932756964999</v>
      </c>
      <c r="E117">
        <v>307.10662824207998</v>
      </c>
      <c r="F117">
        <v>183.95736434109</v>
      </c>
      <c r="G117">
        <v>131.35174418605001</v>
      </c>
      <c r="I117" s="9">
        <f t="shared" si="8"/>
        <v>175.75488405602997</v>
      </c>
      <c r="J117" s="9">
        <f t="shared" si="9"/>
        <v>405.74196322856</v>
      </c>
      <c r="K117" s="9">
        <f t="shared" si="10"/>
        <v>175.75488405602997</v>
      </c>
      <c r="L117" s="10">
        <f t="shared" si="7"/>
        <v>0.43316910742363818</v>
      </c>
      <c r="M117" s="10">
        <f t="shared" si="11"/>
        <v>0.43514395689795016</v>
      </c>
      <c r="P117" s="8">
        <f t="shared" si="12"/>
        <v>32.393632168586997</v>
      </c>
      <c r="X117" s="8">
        <v>-13</v>
      </c>
    </row>
    <row r="118" spans="1:24" x14ac:dyDescent="0.2">
      <c r="A118" s="8">
        <v>58</v>
      </c>
      <c r="B118" s="8">
        <v>116</v>
      </c>
      <c r="D118">
        <v>580.59173871278006</v>
      </c>
      <c r="E118">
        <v>301.08741594621</v>
      </c>
      <c r="F118">
        <v>183.74321705425999</v>
      </c>
      <c r="G118">
        <v>131.87984496124</v>
      </c>
      <c r="I118" s="9">
        <f t="shared" si="8"/>
        <v>169.20757098497</v>
      </c>
      <c r="J118" s="9">
        <f t="shared" si="9"/>
        <v>396.8485216585201</v>
      </c>
      <c r="K118" s="9">
        <f t="shared" si="10"/>
        <v>169.20757098497</v>
      </c>
      <c r="L118" s="10">
        <f t="shared" si="7"/>
        <v>0.42637823186996676</v>
      </c>
      <c r="M118" s="10">
        <f t="shared" si="11"/>
        <v>0.42837025394840322</v>
      </c>
      <c r="P118" s="8">
        <f t="shared" si="12"/>
        <v>30.332716183186086</v>
      </c>
      <c r="X118" s="8">
        <v>-13</v>
      </c>
    </row>
    <row r="119" spans="1:24" x14ac:dyDescent="0.2">
      <c r="A119" s="8">
        <v>58.5</v>
      </c>
      <c r="B119" s="8">
        <v>117</v>
      </c>
      <c r="D119">
        <v>592.44668587896001</v>
      </c>
      <c r="E119">
        <v>301.61479346781999</v>
      </c>
      <c r="F119">
        <v>183.85174418605001</v>
      </c>
      <c r="G119">
        <v>131.49321705425999</v>
      </c>
      <c r="I119" s="9">
        <f t="shared" si="8"/>
        <v>170.12157641356001</v>
      </c>
      <c r="J119" s="9">
        <f t="shared" si="9"/>
        <v>408.59494169290997</v>
      </c>
      <c r="K119" s="9">
        <f t="shared" si="10"/>
        <v>170.12157641356001</v>
      </c>
      <c r="L119" s="10">
        <f t="shared" si="7"/>
        <v>0.41635751952460354</v>
      </c>
      <c r="M119" s="10">
        <f t="shared" si="11"/>
        <v>0.41836671420716443</v>
      </c>
      <c r="P119" s="8">
        <f t="shared" si="12"/>
        <v>27.28911431329729</v>
      </c>
      <c r="X119" s="8">
        <v>-13</v>
      </c>
    </row>
    <row r="120" spans="1:24" x14ac:dyDescent="0.2">
      <c r="A120" s="8">
        <v>59</v>
      </c>
      <c r="B120" s="8">
        <v>118</v>
      </c>
      <c r="D120">
        <v>588.45533141210001</v>
      </c>
      <c r="E120">
        <v>299.84245917387</v>
      </c>
      <c r="F120">
        <v>183.56589147286999</v>
      </c>
      <c r="G120">
        <v>131.77519379845</v>
      </c>
      <c r="I120" s="9">
        <f t="shared" si="8"/>
        <v>168.06726537541999</v>
      </c>
      <c r="J120" s="9">
        <f t="shared" si="9"/>
        <v>404.88943993922999</v>
      </c>
      <c r="K120" s="9">
        <f t="shared" si="10"/>
        <v>168.06726537541999</v>
      </c>
      <c r="L120" s="10">
        <f t="shared" si="7"/>
        <v>0.41509421782066058</v>
      </c>
      <c r="M120" s="10">
        <f t="shared" si="11"/>
        <v>0.41712058510734595</v>
      </c>
      <c r="P120" s="8">
        <f t="shared" si="12"/>
        <v>26.909976432463456</v>
      </c>
      <c r="X120" s="8">
        <v>-13</v>
      </c>
    </row>
    <row r="121" spans="1:24" x14ac:dyDescent="0.2">
      <c r="A121" s="8">
        <v>59.5</v>
      </c>
      <c r="B121" s="8">
        <v>119</v>
      </c>
      <c r="D121">
        <v>569.20172910662995</v>
      </c>
      <c r="E121">
        <v>290.13832853026003</v>
      </c>
      <c r="F121">
        <v>183.80135658915</v>
      </c>
      <c r="G121">
        <v>131.43701550387999</v>
      </c>
      <c r="I121" s="9">
        <f t="shared" si="8"/>
        <v>158.70131302638003</v>
      </c>
      <c r="J121" s="9">
        <f t="shared" si="9"/>
        <v>385.40037251747992</v>
      </c>
      <c r="K121" s="9">
        <f t="shared" si="10"/>
        <v>158.70131302638003</v>
      </c>
      <c r="L121" s="10">
        <f t="shared" si="7"/>
        <v>0.4117829777634221</v>
      </c>
      <c r="M121" s="10">
        <f t="shared" si="11"/>
        <v>0.4138265176542319</v>
      </c>
      <c r="P121" s="8">
        <f t="shared" si="12"/>
        <v>25.907748209336884</v>
      </c>
      <c r="X121" s="8">
        <v>-13</v>
      </c>
    </row>
    <row r="122" spans="1:24" x14ac:dyDescent="0.2">
      <c r="A122" s="8">
        <v>60</v>
      </c>
      <c r="B122" s="8">
        <v>120</v>
      </c>
      <c r="D122">
        <v>596.88782358581</v>
      </c>
      <c r="E122">
        <v>300.38350910833998</v>
      </c>
      <c r="F122">
        <v>183.75678294574001</v>
      </c>
      <c r="G122">
        <v>131.25775193798</v>
      </c>
      <c r="I122" s="9">
        <f t="shared" si="8"/>
        <v>169.12575717035998</v>
      </c>
      <c r="J122" s="9">
        <f t="shared" si="9"/>
        <v>413.13104064006995</v>
      </c>
      <c r="K122" s="9">
        <f t="shared" si="10"/>
        <v>169.12575717035998</v>
      </c>
      <c r="L122" s="10">
        <f t="shared" si="7"/>
        <v>0.40937557465624219</v>
      </c>
      <c r="M122" s="10">
        <f t="shared" si="11"/>
        <v>0.41143628715117642</v>
      </c>
      <c r="P122" s="8">
        <f t="shared" si="12"/>
        <v>25.180514628350082</v>
      </c>
      <c r="X122" s="8">
        <v>-13</v>
      </c>
    </row>
    <row r="123" spans="1:24" x14ac:dyDescent="0.2">
      <c r="A123" s="8">
        <v>60.5</v>
      </c>
      <c r="B123" s="8">
        <v>121</v>
      </c>
      <c r="D123">
        <v>594.10834132311004</v>
      </c>
      <c r="E123">
        <v>297.82742090124998</v>
      </c>
      <c r="F123">
        <v>183.17829457363999</v>
      </c>
      <c r="G123">
        <v>131.53585271317999</v>
      </c>
      <c r="I123" s="9">
        <f t="shared" si="8"/>
        <v>166.29156818806999</v>
      </c>
      <c r="J123" s="9">
        <f t="shared" si="9"/>
        <v>410.93004674947008</v>
      </c>
      <c r="K123" s="9">
        <f t="shared" si="10"/>
        <v>166.29156818806999</v>
      </c>
      <c r="L123" s="10">
        <f t="shared" si="7"/>
        <v>0.40467123176673486</v>
      </c>
      <c r="M123" s="10">
        <f t="shared" si="11"/>
        <v>0.40674911686579357</v>
      </c>
      <c r="P123" s="8">
        <f t="shared" si="12"/>
        <v>23.75443140040343</v>
      </c>
      <c r="X123" s="8">
        <v>-13</v>
      </c>
    </row>
    <row r="124" spans="1:24" x14ac:dyDescent="0.2">
      <c r="A124" s="8">
        <v>61</v>
      </c>
      <c r="B124" s="8">
        <v>122</v>
      </c>
      <c r="D124">
        <v>593.08628954938001</v>
      </c>
      <c r="E124">
        <v>296.81687440077002</v>
      </c>
      <c r="F124">
        <v>183.46220930233</v>
      </c>
      <c r="G124">
        <v>131.79941860464999</v>
      </c>
      <c r="I124" s="9">
        <f t="shared" si="8"/>
        <v>165.01745579612003</v>
      </c>
      <c r="J124" s="9">
        <f t="shared" si="9"/>
        <v>409.62408024705002</v>
      </c>
      <c r="K124" s="9">
        <f t="shared" si="10"/>
        <v>165.01745579612003</v>
      </c>
      <c r="L124" s="10">
        <f t="shared" si="7"/>
        <v>0.40285096446623864</v>
      </c>
      <c r="M124" s="10">
        <f t="shared" si="11"/>
        <v>0.40494602216942177</v>
      </c>
      <c r="P124" s="8">
        <f t="shared" si="12"/>
        <v>23.205835350263264</v>
      </c>
      <c r="X124" s="8">
        <v>-13</v>
      </c>
    </row>
    <row r="125" spans="1:24" x14ac:dyDescent="0.2">
      <c r="A125" s="8">
        <v>61.5</v>
      </c>
      <c r="B125" s="8">
        <v>123</v>
      </c>
      <c r="D125">
        <v>598.39117929050997</v>
      </c>
      <c r="E125">
        <v>297.51677852349002</v>
      </c>
      <c r="F125">
        <v>183.78682170542999</v>
      </c>
      <c r="G125">
        <v>131.90406976744001</v>
      </c>
      <c r="I125" s="9">
        <f t="shared" si="8"/>
        <v>165.61270875605001</v>
      </c>
      <c r="J125" s="9">
        <f t="shared" si="9"/>
        <v>414.60435758507998</v>
      </c>
      <c r="K125" s="9">
        <f t="shared" si="10"/>
        <v>165.61270875605001</v>
      </c>
      <c r="L125" s="10">
        <f t="shared" si="7"/>
        <v>0.39944758352440862</v>
      </c>
      <c r="M125" s="10">
        <f t="shared" si="11"/>
        <v>0.40155981383171624</v>
      </c>
      <c r="P125" s="8">
        <f t="shared" si="12"/>
        <v>22.175573033616804</v>
      </c>
      <c r="X125" s="8">
        <v>-13</v>
      </c>
    </row>
    <row r="126" spans="1:24" x14ac:dyDescent="0.2">
      <c r="A126" s="8">
        <v>62</v>
      </c>
      <c r="B126" s="8">
        <v>124</v>
      </c>
      <c r="D126">
        <v>599.88878235857999</v>
      </c>
      <c r="E126">
        <v>298.87056567593999</v>
      </c>
      <c r="F126">
        <v>183.21608527132</v>
      </c>
      <c r="G126">
        <v>131.79844961239999</v>
      </c>
      <c r="I126" s="9">
        <f t="shared" si="8"/>
        <v>167.07211606353999</v>
      </c>
      <c r="J126" s="9">
        <f t="shared" si="9"/>
        <v>416.67269708725996</v>
      </c>
      <c r="K126" s="9">
        <f t="shared" si="10"/>
        <v>167.07211606353999</v>
      </c>
      <c r="L126" s="10">
        <f t="shared" si="7"/>
        <v>0.40096727534934118</v>
      </c>
      <c r="M126" s="10">
        <f t="shared" si="11"/>
        <v>0.40309667826077322</v>
      </c>
      <c r="P126" s="8">
        <f t="shared" si="12"/>
        <v>22.643167862151387</v>
      </c>
      <c r="X126" s="8">
        <v>-13</v>
      </c>
    </row>
    <row r="127" spans="1:24" x14ac:dyDescent="0.2">
      <c r="A127" s="8">
        <v>62.5</v>
      </c>
      <c r="B127" s="8">
        <v>125</v>
      </c>
      <c r="D127">
        <v>590.61457334611998</v>
      </c>
      <c r="E127">
        <v>300.69798657718002</v>
      </c>
      <c r="F127">
        <v>183.08139534884</v>
      </c>
      <c r="G127">
        <v>131.27810077519001</v>
      </c>
      <c r="I127" s="9">
        <f t="shared" si="8"/>
        <v>169.41988580199001</v>
      </c>
      <c r="J127" s="9">
        <f t="shared" si="9"/>
        <v>407.53317799727995</v>
      </c>
      <c r="K127" s="9">
        <f t="shared" si="10"/>
        <v>169.41988580199001</v>
      </c>
      <c r="L127" s="10">
        <f t="shared" si="7"/>
        <v>0.41572047369139792</v>
      </c>
      <c r="M127" s="10">
        <f t="shared" si="11"/>
        <v>0.41786704920695444</v>
      </c>
      <c r="P127" s="8">
        <f t="shared" si="12"/>
        <v>27.13708999307714</v>
      </c>
      <c r="X127" s="8">
        <v>-13</v>
      </c>
    </row>
    <row r="128" spans="1:24" x14ac:dyDescent="0.2">
      <c r="A128" s="8">
        <v>63</v>
      </c>
      <c r="B128" s="8">
        <v>126</v>
      </c>
      <c r="D128">
        <v>572.90316395013997</v>
      </c>
      <c r="E128">
        <v>290.23873441993999</v>
      </c>
      <c r="F128">
        <v>182.59399224806</v>
      </c>
      <c r="G128">
        <v>131.44186046511999</v>
      </c>
      <c r="I128" s="9">
        <f t="shared" si="8"/>
        <v>158.79687395482</v>
      </c>
      <c r="J128" s="9">
        <f t="shared" si="9"/>
        <v>390.30917170207999</v>
      </c>
      <c r="K128" s="9">
        <f t="shared" si="10"/>
        <v>158.79687395482</v>
      </c>
      <c r="L128" s="10">
        <f t="shared" si="7"/>
        <v>0.4068489430118451</v>
      </c>
      <c r="M128" s="10">
        <f t="shared" si="11"/>
        <v>0.40901269113152605</v>
      </c>
      <c r="P128" s="8">
        <f t="shared" si="12"/>
        <v>24.443129505876481</v>
      </c>
      <c r="X128" s="8">
        <v>-13</v>
      </c>
    </row>
    <row r="129" spans="1:24" x14ac:dyDescent="0.2">
      <c r="A129" s="8">
        <v>63.5</v>
      </c>
      <c r="B129" s="8">
        <v>127</v>
      </c>
      <c r="D129">
        <v>588.94157088122995</v>
      </c>
      <c r="E129">
        <v>294.72988505747003</v>
      </c>
      <c r="F129">
        <v>183.21317829457001</v>
      </c>
      <c r="G129">
        <v>131.50968992247999</v>
      </c>
      <c r="I129" s="9">
        <f t="shared" si="8"/>
        <v>163.22019513499004</v>
      </c>
      <c r="J129" s="9">
        <f t="shared" si="9"/>
        <v>405.72839258665994</v>
      </c>
      <c r="K129" s="9">
        <f t="shared" si="10"/>
        <v>163.22019513499004</v>
      </c>
      <c r="L129" s="10">
        <f t="shared" si="7"/>
        <v>0.40228931008353741</v>
      </c>
      <c r="M129" s="10">
        <f t="shared" si="11"/>
        <v>0.40447023080734285</v>
      </c>
      <c r="P129" s="8">
        <f t="shared" si="12"/>
        <v>23.061074643877443</v>
      </c>
      <c r="X129" s="8">
        <v>-13</v>
      </c>
    </row>
    <row r="130" spans="1:24" x14ac:dyDescent="0.2">
      <c r="A130" s="8">
        <v>64</v>
      </c>
      <c r="B130" s="8">
        <v>128</v>
      </c>
      <c r="D130">
        <v>587.20689655171998</v>
      </c>
      <c r="E130">
        <v>295.93678160920001</v>
      </c>
      <c r="F130">
        <v>181.95058139535001</v>
      </c>
      <c r="G130">
        <v>131.63178294574001</v>
      </c>
      <c r="I130" s="9">
        <f t="shared" si="8"/>
        <v>164.30499866346</v>
      </c>
      <c r="J130" s="9">
        <f t="shared" si="9"/>
        <v>405.25631515636996</v>
      </c>
      <c r="K130" s="9">
        <f t="shared" si="10"/>
        <v>164.30499866346</v>
      </c>
      <c r="L130" s="10">
        <f t="shared" ref="L130:L193" si="14">K130/J130</f>
        <v>0.40543476441585413</v>
      </c>
      <c r="M130" s="10">
        <f t="shared" si="11"/>
        <v>0.40763285774378399</v>
      </c>
      <c r="P130" s="8">
        <f t="shared" si="12"/>
        <v>24.023311762587678</v>
      </c>
      <c r="X130" s="8">
        <v>-13</v>
      </c>
    </row>
    <row r="131" spans="1:24" x14ac:dyDescent="0.2">
      <c r="A131" s="8">
        <v>64.5</v>
      </c>
      <c r="B131" s="8">
        <v>129</v>
      </c>
      <c r="D131">
        <v>578.88314176245001</v>
      </c>
      <c r="E131">
        <v>290.45402298851002</v>
      </c>
      <c r="F131">
        <v>182.15406976744001</v>
      </c>
      <c r="G131">
        <v>131.19476744185999</v>
      </c>
      <c r="I131" s="9">
        <f t="shared" ref="I131:I194" si="15">E131-G131</f>
        <v>159.25925554665002</v>
      </c>
      <c r="J131" s="9">
        <f t="shared" ref="J131:J194" si="16">D131-F131</f>
        <v>396.72907199501003</v>
      </c>
      <c r="K131" s="9">
        <f t="shared" ref="K131:K194" si="17">I131*1</f>
        <v>159.25925554665002</v>
      </c>
      <c r="L131" s="10">
        <f t="shared" si="14"/>
        <v>0.40143076670885652</v>
      </c>
      <c r="M131" s="10">
        <f t="shared" ref="M131:M181" si="18">L131+ABS($N$2)*A131</f>
        <v>0.40364603264091087</v>
      </c>
      <c r="P131" s="8">
        <f t="shared" ref="P131:P194" si="19">(M131-$O$2)/$O$2*100</f>
        <v>22.810310299915272</v>
      </c>
      <c r="X131" s="8">
        <v>-13</v>
      </c>
    </row>
    <row r="132" spans="1:24" x14ac:dyDescent="0.2">
      <c r="A132" s="8">
        <v>65</v>
      </c>
      <c r="B132" s="8">
        <v>130</v>
      </c>
      <c r="D132">
        <v>556.80842911877005</v>
      </c>
      <c r="E132">
        <v>280.06417624520998</v>
      </c>
      <c r="F132">
        <v>182.94767441861001</v>
      </c>
      <c r="G132">
        <v>131.48643410853001</v>
      </c>
      <c r="I132" s="9">
        <f t="shared" si="15"/>
        <v>148.57774213667997</v>
      </c>
      <c r="J132" s="9">
        <f t="shared" si="16"/>
        <v>373.86075470016004</v>
      </c>
      <c r="K132" s="9">
        <f t="shared" si="17"/>
        <v>148.57774213667997</v>
      </c>
      <c r="L132" s="10">
        <f t="shared" si="14"/>
        <v>0.39741465309949625</v>
      </c>
      <c r="M132" s="10">
        <f t="shared" si="18"/>
        <v>0.39964709163567502</v>
      </c>
      <c r="P132" s="8">
        <f t="shared" si="19"/>
        <v>21.593622543786701</v>
      </c>
      <c r="X132" s="8">
        <v>-13</v>
      </c>
    </row>
    <row r="133" spans="1:24" x14ac:dyDescent="0.2">
      <c r="A133" s="8">
        <v>65.5</v>
      </c>
      <c r="B133" s="8">
        <v>131</v>
      </c>
      <c r="D133">
        <v>601.07410972088996</v>
      </c>
      <c r="E133">
        <v>291.23676612127002</v>
      </c>
      <c r="F133">
        <v>183.31298449612001</v>
      </c>
      <c r="G133">
        <v>131.40891472868</v>
      </c>
      <c r="I133" s="9">
        <f t="shared" si="15"/>
        <v>159.82785139259002</v>
      </c>
      <c r="J133" s="9">
        <f t="shared" si="16"/>
        <v>417.76112522476996</v>
      </c>
      <c r="K133" s="9">
        <f t="shared" si="17"/>
        <v>159.82785139259002</v>
      </c>
      <c r="L133" s="10">
        <f t="shared" si="14"/>
        <v>0.38258191521912693</v>
      </c>
      <c r="M133" s="10">
        <f t="shared" si="18"/>
        <v>0.38483152635943013</v>
      </c>
      <c r="P133" s="8">
        <f t="shared" si="19"/>
        <v>17.085949925428672</v>
      </c>
      <c r="X133" s="8">
        <v>-13</v>
      </c>
    </row>
    <row r="134" spans="1:24" x14ac:dyDescent="0.2">
      <c r="A134" s="8">
        <v>66</v>
      </c>
      <c r="B134" s="8">
        <v>132</v>
      </c>
      <c r="D134">
        <v>605.51973051010998</v>
      </c>
      <c r="E134">
        <v>288.59384023099</v>
      </c>
      <c r="F134">
        <v>184.28100775194</v>
      </c>
      <c r="G134">
        <v>131.5523255814</v>
      </c>
      <c r="I134" s="9">
        <f t="shared" si="15"/>
        <v>157.04151464959</v>
      </c>
      <c r="J134" s="9">
        <f t="shared" si="16"/>
        <v>421.23872275816996</v>
      </c>
      <c r="K134" s="9">
        <f t="shared" si="17"/>
        <v>157.04151464959</v>
      </c>
      <c r="L134" s="10">
        <f t="shared" si="14"/>
        <v>0.37280882826089656</v>
      </c>
      <c r="M134" s="10">
        <f t="shared" si="18"/>
        <v>0.37507561200532424</v>
      </c>
      <c r="P134" s="8">
        <f t="shared" si="19"/>
        <v>14.117688696033628</v>
      </c>
      <c r="X134" s="8">
        <v>-13</v>
      </c>
    </row>
    <row r="135" spans="1:24" x14ac:dyDescent="0.2">
      <c r="A135" s="8">
        <v>66.5</v>
      </c>
      <c r="B135" s="8">
        <v>133</v>
      </c>
      <c r="D135">
        <v>621.47577519380002</v>
      </c>
      <c r="E135">
        <v>295.48449612402999</v>
      </c>
      <c r="F135">
        <v>183.01744186047</v>
      </c>
      <c r="G135">
        <v>131.1511627907</v>
      </c>
      <c r="I135" s="9">
        <f t="shared" si="15"/>
        <v>164.33333333332999</v>
      </c>
      <c r="J135" s="9">
        <f t="shared" si="16"/>
        <v>438.45833333333002</v>
      </c>
      <c r="K135" s="9">
        <f t="shared" si="17"/>
        <v>164.33333333332999</v>
      </c>
      <c r="L135" s="10">
        <f t="shared" si="14"/>
        <v>0.37479806138933286</v>
      </c>
      <c r="M135" s="10">
        <f t="shared" si="18"/>
        <v>0.37708201773788497</v>
      </c>
      <c r="P135" s="8">
        <f t="shared" si="19"/>
        <v>14.72814263507313</v>
      </c>
      <c r="X135" s="8">
        <v>-13</v>
      </c>
    </row>
    <row r="136" spans="1:24" x14ac:dyDescent="0.2">
      <c r="A136" s="8">
        <v>67</v>
      </c>
      <c r="B136" s="8">
        <v>134</v>
      </c>
      <c r="D136">
        <v>610.43023255814001</v>
      </c>
      <c r="E136">
        <v>293.28003875969</v>
      </c>
      <c r="F136">
        <v>182.62209302325999</v>
      </c>
      <c r="G136">
        <v>131.40794573643001</v>
      </c>
      <c r="I136" s="9">
        <f t="shared" si="15"/>
        <v>161.87209302325999</v>
      </c>
      <c r="J136" s="9">
        <f t="shared" si="16"/>
        <v>427.80813953488001</v>
      </c>
      <c r="K136" s="9">
        <f t="shared" si="17"/>
        <v>161.87209302325999</v>
      </c>
      <c r="L136" s="10">
        <f t="shared" si="14"/>
        <v>0.37837543997935608</v>
      </c>
      <c r="M136" s="10">
        <f t="shared" si="18"/>
        <v>0.38067656893203267</v>
      </c>
      <c r="P136" s="8">
        <f t="shared" si="19"/>
        <v>15.821793784457592</v>
      </c>
      <c r="X136" s="8">
        <v>-13</v>
      </c>
    </row>
    <row r="137" spans="1:24" x14ac:dyDescent="0.2">
      <c r="A137" s="8">
        <v>67.5</v>
      </c>
      <c r="B137" s="8">
        <v>135</v>
      </c>
      <c r="D137">
        <v>621.81104651163002</v>
      </c>
      <c r="E137">
        <v>297.25193798449999</v>
      </c>
      <c r="F137">
        <v>182.47771317830001</v>
      </c>
      <c r="G137">
        <v>131.76647286822001</v>
      </c>
      <c r="I137" s="9">
        <f t="shared" si="15"/>
        <v>165.48546511627998</v>
      </c>
      <c r="J137" s="9">
        <f t="shared" si="16"/>
        <v>439.33333333333002</v>
      </c>
      <c r="K137" s="9">
        <f t="shared" si="17"/>
        <v>165.48546511627998</v>
      </c>
      <c r="L137" s="10">
        <f t="shared" si="14"/>
        <v>0.37667404806437305</v>
      </c>
      <c r="M137" s="10">
        <f t="shared" si="18"/>
        <v>0.37899234962117406</v>
      </c>
      <c r="P137" s="8">
        <f t="shared" si="19"/>
        <v>15.309365866297767</v>
      </c>
      <c r="X137" s="8">
        <v>-13</v>
      </c>
    </row>
    <row r="138" spans="1:24" x14ac:dyDescent="0.2">
      <c r="A138" s="8">
        <v>68</v>
      </c>
      <c r="B138" s="8">
        <v>136</v>
      </c>
      <c r="D138">
        <v>618.51356589146997</v>
      </c>
      <c r="E138">
        <v>293.03488372093</v>
      </c>
      <c r="F138">
        <v>183.03197674418999</v>
      </c>
      <c r="G138">
        <v>131.62693798449999</v>
      </c>
      <c r="I138" s="9">
        <f t="shared" si="15"/>
        <v>161.40794573643001</v>
      </c>
      <c r="J138" s="9">
        <f t="shared" si="16"/>
        <v>435.48158914727998</v>
      </c>
      <c r="K138" s="9">
        <f t="shared" si="17"/>
        <v>161.40794573643001</v>
      </c>
      <c r="L138" s="10">
        <f t="shared" si="14"/>
        <v>0.37064241005569076</v>
      </c>
      <c r="M138" s="10">
        <f t="shared" si="18"/>
        <v>0.37297788421661626</v>
      </c>
      <c r="P138" s="8">
        <f t="shared" si="19"/>
        <v>13.479449794066847</v>
      </c>
      <c r="X138" s="8">
        <v>-13</v>
      </c>
    </row>
    <row r="139" spans="1:24" x14ac:dyDescent="0.2">
      <c r="A139" s="8">
        <v>68.5</v>
      </c>
      <c r="B139" s="8">
        <v>137</v>
      </c>
      <c r="D139">
        <v>612.27422480619998</v>
      </c>
      <c r="E139">
        <v>289.64728682171</v>
      </c>
      <c r="F139">
        <v>182.69089147286999</v>
      </c>
      <c r="G139">
        <v>131.3488372093</v>
      </c>
      <c r="I139" s="9">
        <f t="shared" si="15"/>
        <v>158.29844961241</v>
      </c>
      <c r="J139" s="9">
        <f t="shared" si="16"/>
        <v>429.58333333332996</v>
      </c>
      <c r="K139" s="9">
        <f t="shared" si="17"/>
        <v>158.29844961241</v>
      </c>
      <c r="L139" s="10">
        <f t="shared" si="14"/>
        <v>0.36849299618796022</v>
      </c>
      <c r="M139" s="10">
        <f t="shared" si="18"/>
        <v>0.37084564295301015</v>
      </c>
      <c r="P139" s="8">
        <f t="shared" si="19"/>
        <v>12.830710081441687</v>
      </c>
      <c r="X139" s="8">
        <v>-13</v>
      </c>
    </row>
    <row r="140" spans="1:24" x14ac:dyDescent="0.2">
      <c r="A140" s="8">
        <v>69</v>
      </c>
      <c r="B140" s="8">
        <v>138</v>
      </c>
      <c r="D140">
        <v>615.11337209301996</v>
      </c>
      <c r="E140">
        <v>288.85174418604998</v>
      </c>
      <c r="F140">
        <v>181.85658914729001</v>
      </c>
      <c r="G140">
        <v>131.50193798449999</v>
      </c>
      <c r="I140" s="9">
        <f t="shared" si="15"/>
        <v>157.34980620155</v>
      </c>
      <c r="J140" s="9">
        <f t="shared" si="16"/>
        <v>433.25678294572992</v>
      </c>
      <c r="K140" s="9">
        <f t="shared" si="17"/>
        <v>157.34980620155</v>
      </c>
      <c r="L140" s="10">
        <f t="shared" si="14"/>
        <v>0.3631790946969658</v>
      </c>
      <c r="M140" s="10">
        <f t="shared" si="18"/>
        <v>0.36554891406614021</v>
      </c>
      <c r="P140" s="8">
        <f t="shared" si="19"/>
        <v>11.21916713150835</v>
      </c>
      <c r="X140" s="8">
        <v>-13</v>
      </c>
    </row>
    <row r="141" spans="1:24" x14ac:dyDescent="0.2">
      <c r="A141" s="8">
        <v>69.5</v>
      </c>
      <c r="B141" s="8">
        <v>139</v>
      </c>
      <c r="D141">
        <v>611.04360465115997</v>
      </c>
      <c r="E141">
        <v>287.68701550387999</v>
      </c>
      <c r="F141">
        <v>183.11627906977</v>
      </c>
      <c r="G141">
        <v>131.18992248062</v>
      </c>
      <c r="I141" s="9">
        <f t="shared" si="15"/>
        <v>156.49709302325999</v>
      </c>
      <c r="J141" s="9">
        <f t="shared" si="16"/>
        <v>427.92732558138994</v>
      </c>
      <c r="K141" s="9">
        <f t="shared" si="17"/>
        <v>156.49709302325999</v>
      </c>
      <c r="L141" s="10">
        <f t="shared" si="14"/>
        <v>0.36570951109663341</v>
      </c>
      <c r="M141" s="10">
        <f t="shared" si="18"/>
        <v>0.36809650306993225</v>
      </c>
      <c r="P141" s="8">
        <f t="shared" si="19"/>
        <v>11.994277428085168</v>
      </c>
      <c r="X141" s="8">
        <v>-13</v>
      </c>
    </row>
    <row r="142" spans="1:24" x14ac:dyDescent="0.2">
      <c r="A142" s="8">
        <v>70</v>
      </c>
      <c r="B142" s="8">
        <v>140</v>
      </c>
      <c r="D142">
        <v>593.04651162791004</v>
      </c>
      <c r="E142">
        <v>282.90019379845</v>
      </c>
      <c r="F142">
        <v>182.56007751938</v>
      </c>
      <c r="G142">
        <v>131.57364341085</v>
      </c>
      <c r="I142" s="9">
        <f t="shared" si="15"/>
        <v>151.32655038760001</v>
      </c>
      <c r="J142" s="9">
        <f t="shared" si="16"/>
        <v>410.48643410853003</v>
      </c>
      <c r="K142" s="9">
        <f t="shared" si="17"/>
        <v>151.32655038760001</v>
      </c>
      <c r="L142" s="10">
        <f t="shared" si="14"/>
        <v>0.36865176973812053</v>
      </c>
      <c r="M142" s="10">
        <f t="shared" si="18"/>
        <v>0.37105593431554384</v>
      </c>
      <c r="P142" s="8">
        <f t="shared" si="19"/>
        <v>12.894691752008807</v>
      </c>
      <c r="X142" s="8">
        <v>-13</v>
      </c>
    </row>
    <row r="143" spans="1:24" x14ac:dyDescent="0.2">
      <c r="A143" s="8">
        <v>70.5</v>
      </c>
      <c r="B143" s="8">
        <v>141</v>
      </c>
      <c r="D143">
        <v>589.03294573642995</v>
      </c>
      <c r="E143">
        <v>282.86240310078</v>
      </c>
      <c r="F143">
        <v>181.91666666667001</v>
      </c>
      <c r="G143">
        <v>130.89922480620001</v>
      </c>
      <c r="I143" s="9">
        <f t="shared" si="15"/>
        <v>151.96317829457999</v>
      </c>
      <c r="J143" s="9">
        <f t="shared" si="16"/>
        <v>407.11627906975991</v>
      </c>
      <c r="K143" s="9">
        <f t="shared" si="17"/>
        <v>151.96317829457999</v>
      </c>
      <c r="L143" s="10">
        <f t="shared" si="14"/>
        <v>0.37326726074871819</v>
      </c>
      <c r="M143" s="10">
        <f t="shared" si="18"/>
        <v>0.37568859793026593</v>
      </c>
      <c r="P143" s="8">
        <f t="shared" si="19"/>
        <v>14.304191189713631</v>
      </c>
      <c r="X143" s="8">
        <v>-13</v>
      </c>
    </row>
    <row r="144" spans="1:24" x14ac:dyDescent="0.2">
      <c r="A144" s="8">
        <v>71</v>
      </c>
      <c r="B144" s="8">
        <v>142</v>
      </c>
      <c r="D144">
        <v>592.06376811593998</v>
      </c>
      <c r="E144">
        <v>283.43768115941998</v>
      </c>
      <c r="F144">
        <v>181.79263565892001</v>
      </c>
      <c r="G144">
        <v>131.0261627907</v>
      </c>
      <c r="I144" s="9">
        <f t="shared" si="15"/>
        <v>152.41151836871998</v>
      </c>
      <c r="J144" s="9">
        <f t="shared" si="16"/>
        <v>410.27113245701997</v>
      </c>
      <c r="K144" s="9">
        <f t="shared" si="17"/>
        <v>152.41151836871998</v>
      </c>
      <c r="L144" s="10">
        <f t="shared" si="14"/>
        <v>0.37148974497903925</v>
      </c>
      <c r="M144" s="10">
        <f t="shared" si="18"/>
        <v>0.37392825476471142</v>
      </c>
      <c r="P144" s="8">
        <f t="shared" si="19"/>
        <v>13.768602399253727</v>
      </c>
    </row>
    <row r="145" spans="1:16" x14ac:dyDescent="0.2">
      <c r="A145" s="8">
        <v>71.5</v>
      </c>
      <c r="B145" s="8">
        <v>143</v>
      </c>
      <c r="D145">
        <v>590.27922705313995</v>
      </c>
      <c r="E145">
        <v>282.97971014492998</v>
      </c>
      <c r="F145">
        <v>182.31976744185999</v>
      </c>
      <c r="G145">
        <v>131.18217054263999</v>
      </c>
      <c r="I145" s="9">
        <f t="shared" si="15"/>
        <v>151.79753960228999</v>
      </c>
      <c r="J145" s="9">
        <f t="shared" si="16"/>
        <v>407.95945961127995</v>
      </c>
      <c r="K145" s="9">
        <f t="shared" si="17"/>
        <v>151.79753960228999</v>
      </c>
      <c r="L145" s="10">
        <f t="shared" si="14"/>
        <v>0.37208976535788318</v>
      </c>
      <c r="M145" s="10">
        <f t="shared" si="18"/>
        <v>0.37454544774767984</v>
      </c>
      <c r="P145" s="8">
        <f t="shared" si="19"/>
        <v>13.95638490081175</v>
      </c>
    </row>
    <row r="146" spans="1:16" x14ac:dyDescent="0.2">
      <c r="A146" s="8">
        <v>72</v>
      </c>
      <c r="B146" s="8">
        <v>144</v>
      </c>
      <c r="D146">
        <v>587.81159420289998</v>
      </c>
      <c r="E146">
        <v>282.36521739130001</v>
      </c>
      <c r="F146">
        <v>182.48352713177999</v>
      </c>
      <c r="G146">
        <v>130.93701550387999</v>
      </c>
      <c r="I146" s="9">
        <f t="shared" si="15"/>
        <v>151.42820188742002</v>
      </c>
      <c r="J146" s="9">
        <f t="shared" si="16"/>
        <v>405.32806707112002</v>
      </c>
      <c r="K146" s="9">
        <f t="shared" si="17"/>
        <v>151.42820188742002</v>
      </c>
      <c r="L146" s="10">
        <f t="shared" si="14"/>
        <v>0.37359416776053161</v>
      </c>
      <c r="M146" s="10">
        <f t="shared" si="18"/>
        <v>0.3760670227544527</v>
      </c>
      <c r="P146" s="8">
        <f t="shared" si="19"/>
        <v>14.419327884553665</v>
      </c>
    </row>
    <row r="147" spans="1:16" x14ac:dyDescent="0.2">
      <c r="A147" s="8">
        <v>72.5</v>
      </c>
      <c r="B147" s="8">
        <v>145</v>
      </c>
      <c r="D147">
        <v>588.22028985506995</v>
      </c>
      <c r="E147">
        <v>280.28405797100999</v>
      </c>
      <c r="F147">
        <v>182.35368217054</v>
      </c>
      <c r="G147">
        <v>131.09011627907</v>
      </c>
      <c r="I147" s="9">
        <f t="shared" si="15"/>
        <v>149.19394169193998</v>
      </c>
      <c r="J147" s="9">
        <f t="shared" si="16"/>
        <v>405.86660768452998</v>
      </c>
      <c r="K147" s="9">
        <f t="shared" si="17"/>
        <v>149.19394169193998</v>
      </c>
      <c r="L147" s="10">
        <f t="shared" si="14"/>
        <v>0.367593536563877</v>
      </c>
      <c r="M147" s="10">
        <f t="shared" si="18"/>
        <v>0.37008356416192256</v>
      </c>
      <c r="P147" s="8">
        <f t="shared" si="19"/>
        <v>12.598845712073018</v>
      </c>
    </row>
    <row r="148" spans="1:16" x14ac:dyDescent="0.2">
      <c r="A148" s="8">
        <v>73</v>
      </c>
      <c r="B148" s="8">
        <v>146</v>
      </c>
      <c r="D148">
        <v>543.62222222221999</v>
      </c>
      <c r="E148">
        <v>266.15942028986001</v>
      </c>
      <c r="F148">
        <v>182.30717054263999</v>
      </c>
      <c r="G148">
        <v>130.41375968992</v>
      </c>
      <c r="I148" s="9">
        <f t="shared" si="15"/>
        <v>135.74566059994001</v>
      </c>
      <c r="J148" s="9">
        <f t="shared" si="16"/>
        <v>361.31505167957999</v>
      </c>
      <c r="K148" s="9">
        <f t="shared" si="17"/>
        <v>135.74566059994001</v>
      </c>
      <c r="L148" s="10">
        <f t="shared" si="14"/>
        <v>0.37569888098744764</v>
      </c>
      <c r="M148" s="10">
        <f t="shared" si="18"/>
        <v>0.37820608118961763</v>
      </c>
      <c r="P148" s="8">
        <f t="shared" si="19"/>
        <v>15.07014173859681</v>
      </c>
    </row>
    <row r="149" spans="1:16" x14ac:dyDescent="0.2">
      <c r="A149" s="8">
        <v>73.5</v>
      </c>
      <c r="B149" s="8">
        <v>147</v>
      </c>
      <c r="D149">
        <v>585.23671497584996</v>
      </c>
      <c r="E149">
        <v>278.85024154589001</v>
      </c>
      <c r="F149">
        <v>181.48062015503999</v>
      </c>
      <c r="G149">
        <v>131.13468992247999</v>
      </c>
      <c r="I149" s="9">
        <f t="shared" si="15"/>
        <v>147.71555162341002</v>
      </c>
      <c r="J149" s="9">
        <f t="shared" si="16"/>
        <v>403.75609482080995</v>
      </c>
      <c r="K149" s="9">
        <f t="shared" si="17"/>
        <v>147.71555162341002</v>
      </c>
      <c r="L149" s="10">
        <f t="shared" si="14"/>
        <v>0.36585342863732451</v>
      </c>
      <c r="M149" s="10">
        <f t="shared" si="18"/>
        <v>0.36837780144361898</v>
      </c>
      <c r="P149" s="8">
        <f t="shared" si="19"/>
        <v>12.079863158566166</v>
      </c>
    </row>
    <row r="150" spans="1:16" x14ac:dyDescent="0.2">
      <c r="A150" s="8">
        <v>74</v>
      </c>
      <c r="B150" s="8">
        <v>148</v>
      </c>
      <c r="D150">
        <v>576.75984630162998</v>
      </c>
      <c r="E150">
        <v>275.53986551393001</v>
      </c>
      <c r="F150">
        <v>182.02034883721001</v>
      </c>
      <c r="G150">
        <v>130.86240310078</v>
      </c>
      <c r="I150" s="9">
        <f t="shared" si="15"/>
        <v>144.67746241315001</v>
      </c>
      <c r="J150" s="9">
        <f t="shared" si="16"/>
        <v>394.73949746441997</v>
      </c>
      <c r="K150" s="9">
        <f t="shared" si="17"/>
        <v>144.67746241315001</v>
      </c>
      <c r="L150" s="10">
        <f t="shared" si="14"/>
        <v>0.36651377260820112</v>
      </c>
      <c r="M150" s="10">
        <f t="shared" si="18"/>
        <v>0.36905531801862002</v>
      </c>
      <c r="P150" s="8">
        <f t="shared" si="19"/>
        <v>12.285999263174517</v>
      </c>
    </row>
    <row r="151" spans="1:16" x14ac:dyDescent="0.2">
      <c r="A151" s="8">
        <v>74.5</v>
      </c>
      <c r="B151" s="8">
        <v>149</v>
      </c>
      <c r="D151">
        <v>568.28626320845001</v>
      </c>
      <c r="E151">
        <v>272.89625360231003</v>
      </c>
      <c r="F151">
        <v>182.07945736433999</v>
      </c>
      <c r="G151">
        <v>131.32848837208999</v>
      </c>
      <c r="I151" s="9">
        <f t="shared" si="15"/>
        <v>141.56776523022003</v>
      </c>
      <c r="J151" s="9">
        <f t="shared" si="16"/>
        <v>386.20680584411002</v>
      </c>
      <c r="K151" s="9">
        <f t="shared" si="17"/>
        <v>141.56776523022003</v>
      </c>
      <c r="L151" s="10">
        <f t="shared" si="14"/>
        <v>0.36655947820702822</v>
      </c>
      <c r="M151" s="10">
        <f t="shared" si="18"/>
        <v>0.3691181962215716</v>
      </c>
      <c r="P151" s="8">
        <f t="shared" si="19"/>
        <v>12.305130112956597</v>
      </c>
    </row>
    <row r="152" spans="1:16" x14ac:dyDescent="0.2">
      <c r="A152" s="8">
        <v>75</v>
      </c>
      <c r="B152" s="8">
        <v>150</v>
      </c>
      <c r="D152">
        <v>578.71113243761999</v>
      </c>
      <c r="E152">
        <v>276.65259117083002</v>
      </c>
      <c r="F152">
        <v>182.56879844961</v>
      </c>
      <c r="G152">
        <v>131.11821705425999</v>
      </c>
      <c r="I152" s="9">
        <f t="shared" si="15"/>
        <v>145.53437411657004</v>
      </c>
      <c r="J152" s="9">
        <f t="shared" si="16"/>
        <v>396.14233398801002</v>
      </c>
      <c r="K152" s="9">
        <f t="shared" si="17"/>
        <v>145.53437411657004</v>
      </c>
      <c r="L152" s="10">
        <f t="shared" si="14"/>
        <v>0.36737899898619497</v>
      </c>
      <c r="M152" s="10">
        <f t="shared" si="18"/>
        <v>0.36995488960486278</v>
      </c>
      <c r="P152" s="8">
        <f t="shared" si="19"/>
        <v>12.559696157754782</v>
      </c>
    </row>
    <row r="153" spans="1:16" x14ac:dyDescent="0.2">
      <c r="A153" s="8">
        <v>75.5</v>
      </c>
      <c r="B153" s="8">
        <v>151</v>
      </c>
      <c r="D153">
        <v>581.23512476008</v>
      </c>
      <c r="E153">
        <v>278.78214971209002</v>
      </c>
      <c r="F153">
        <v>182.02713178294999</v>
      </c>
      <c r="G153">
        <v>131.00387596899</v>
      </c>
      <c r="I153" s="9">
        <f t="shared" si="15"/>
        <v>147.77827374310002</v>
      </c>
      <c r="J153" s="9">
        <f t="shared" si="16"/>
        <v>399.20799297713</v>
      </c>
      <c r="K153" s="9">
        <f t="shared" si="17"/>
        <v>147.77827374310002</v>
      </c>
      <c r="L153" s="10">
        <f t="shared" si="14"/>
        <v>0.37017864457329641</v>
      </c>
      <c r="M153" s="10">
        <f t="shared" si="18"/>
        <v>0.37277170779608865</v>
      </c>
      <c r="P153" s="8">
        <f t="shared" si="19"/>
        <v>13.416720104849148</v>
      </c>
    </row>
    <row r="154" spans="1:16" x14ac:dyDescent="0.2">
      <c r="A154" s="8">
        <v>76</v>
      </c>
      <c r="B154" s="8">
        <v>152</v>
      </c>
      <c r="D154">
        <v>574.84261036468001</v>
      </c>
      <c r="E154">
        <v>274.43857965451002</v>
      </c>
      <c r="F154">
        <v>182.45251937985</v>
      </c>
      <c r="G154">
        <v>130.83333333332999</v>
      </c>
      <c r="I154" s="9">
        <f t="shared" si="15"/>
        <v>143.60524632118003</v>
      </c>
      <c r="J154" s="9">
        <f t="shared" si="16"/>
        <v>392.39009098483001</v>
      </c>
      <c r="K154" s="9">
        <f t="shared" si="17"/>
        <v>143.60524632118003</v>
      </c>
      <c r="L154" s="10">
        <f t="shared" si="14"/>
        <v>0.36597572064257833</v>
      </c>
      <c r="M154" s="10">
        <f t="shared" si="18"/>
        <v>0.36858595646949505</v>
      </c>
      <c r="P154" s="8">
        <f t="shared" si="19"/>
        <v>12.143194843386834</v>
      </c>
    </row>
    <row r="155" spans="1:16" x14ac:dyDescent="0.2">
      <c r="A155" s="8">
        <v>76.5</v>
      </c>
      <c r="B155" s="8">
        <v>153</v>
      </c>
      <c r="D155">
        <v>572.95224450811997</v>
      </c>
      <c r="E155">
        <v>271.94651384909002</v>
      </c>
      <c r="F155">
        <v>181.78682170542999</v>
      </c>
      <c r="G155">
        <v>130.59011627907</v>
      </c>
      <c r="I155" s="9">
        <f t="shared" si="15"/>
        <v>141.35639757002002</v>
      </c>
      <c r="J155" s="9">
        <f t="shared" si="16"/>
        <v>391.16542280268999</v>
      </c>
      <c r="K155" s="9">
        <f t="shared" si="17"/>
        <v>141.35639757002002</v>
      </c>
      <c r="L155" s="10">
        <f t="shared" si="14"/>
        <v>0.36137242539794329</v>
      </c>
      <c r="M155" s="10">
        <f t="shared" si="18"/>
        <v>0.36399983382898443</v>
      </c>
      <c r="P155" s="8">
        <f t="shared" si="19"/>
        <v>10.747855612948696</v>
      </c>
    </row>
    <row r="156" spans="1:16" x14ac:dyDescent="0.2">
      <c r="A156" s="8">
        <v>77</v>
      </c>
      <c r="B156" s="8">
        <v>154</v>
      </c>
      <c r="D156">
        <v>568.93218720153004</v>
      </c>
      <c r="E156">
        <v>268.77650429799002</v>
      </c>
      <c r="F156">
        <v>181.04844961239999</v>
      </c>
      <c r="G156">
        <v>130.8488372093</v>
      </c>
      <c r="I156" s="9">
        <f t="shared" si="15"/>
        <v>137.92766708869001</v>
      </c>
      <c r="J156" s="9">
        <f t="shared" si="16"/>
        <v>387.88373758913008</v>
      </c>
      <c r="K156" s="9">
        <f t="shared" si="17"/>
        <v>137.92766708869001</v>
      </c>
      <c r="L156" s="10">
        <f t="shared" si="14"/>
        <v>0.35559022903608128</v>
      </c>
      <c r="M156" s="10">
        <f t="shared" si="18"/>
        <v>0.35823481007124691</v>
      </c>
      <c r="P156" s="8">
        <f t="shared" si="19"/>
        <v>8.9938327827429578</v>
      </c>
    </row>
    <row r="157" spans="1:16" x14ac:dyDescent="0.2">
      <c r="A157" s="8">
        <v>77.5</v>
      </c>
      <c r="B157" s="8">
        <v>155</v>
      </c>
      <c r="D157">
        <v>563.56351480420005</v>
      </c>
      <c r="E157">
        <v>267.63896848138</v>
      </c>
      <c r="F157">
        <v>181.40891472868</v>
      </c>
      <c r="G157">
        <v>130.39534883721001</v>
      </c>
      <c r="I157" s="9">
        <f t="shared" si="15"/>
        <v>137.24361964417</v>
      </c>
      <c r="J157" s="9">
        <f t="shared" si="16"/>
        <v>382.15460007552008</v>
      </c>
      <c r="K157" s="9">
        <f t="shared" si="17"/>
        <v>137.24361964417</v>
      </c>
      <c r="L157" s="10">
        <f t="shared" si="14"/>
        <v>0.35913114644452371</v>
      </c>
      <c r="M157" s="10">
        <f t="shared" si="18"/>
        <v>0.36179290008381376</v>
      </c>
      <c r="P157" s="8">
        <f t="shared" si="19"/>
        <v>10.076390526862046</v>
      </c>
    </row>
    <row r="158" spans="1:16" x14ac:dyDescent="0.2">
      <c r="A158" s="8">
        <v>78</v>
      </c>
      <c r="B158" s="8">
        <v>156</v>
      </c>
      <c r="D158">
        <v>559.59441233141001</v>
      </c>
      <c r="E158">
        <v>267.48747591521999</v>
      </c>
      <c r="F158">
        <v>181.04651162791001</v>
      </c>
      <c r="G158">
        <v>130.76841085270999</v>
      </c>
      <c r="I158" s="9">
        <f t="shared" si="15"/>
        <v>136.71906506251</v>
      </c>
      <c r="J158" s="9">
        <f t="shared" si="16"/>
        <v>378.54790070349998</v>
      </c>
      <c r="K158" s="9">
        <f t="shared" si="17"/>
        <v>136.71906506251</v>
      </c>
      <c r="L158" s="10">
        <f t="shared" si="14"/>
        <v>0.36116714637283398</v>
      </c>
      <c r="M158" s="10">
        <f t="shared" si="18"/>
        <v>0.36384607261624852</v>
      </c>
      <c r="P158" s="8">
        <f t="shared" si="19"/>
        <v>10.701073381188257</v>
      </c>
    </row>
    <row r="159" spans="1:16" x14ac:dyDescent="0.2">
      <c r="A159" s="8">
        <v>78.5</v>
      </c>
      <c r="B159" s="8">
        <v>157</v>
      </c>
      <c r="D159">
        <v>564.63487475914997</v>
      </c>
      <c r="E159">
        <v>266.40944123314</v>
      </c>
      <c r="F159">
        <v>181.84205426356999</v>
      </c>
      <c r="G159">
        <v>130.81104651163</v>
      </c>
      <c r="I159" s="9">
        <f t="shared" si="15"/>
        <v>135.59839472151</v>
      </c>
      <c r="J159" s="9">
        <f t="shared" si="16"/>
        <v>382.79282049557997</v>
      </c>
      <c r="K159" s="9">
        <f t="shared" si="17"/>
        <v>135.59839472151</v>
      </c>
      <c r="L159" s="10">
        <f t="shared" si="14"/>
        <v>0.35423442515447001</v>
      </c>
      <c r="M159" s="10">
        <f t="shared" si="18"/>
        <v>0.35693052400200898</v>
      </c>
      <c r="P159" s="8">
        <f t="shared" si="19"/>
        <v>8.5970004991826094</v>
      </c>
    </row>
    <row r="160" spans="1:16" x14ac:dyDescent="0.2">
      <c r="A160" s="8">
        <v>79</v>
      </c>
      <c r="B160" s="8">
        <v>158</v>
      </c>
      <c r="D160">
        <v>560.40366088632004</v>
      </c>
      <c r="E160">
        <v>265.37379576107998</v>
      </c>
      <c r="F160">
        <v>181.49612403101</v>
      </c>
      <c r="G160">
        <v>130.41375968992</v>
      </c>
      <c r="I160" s="9">
        <f t="shared" si="15"/>
        <v>134.96003607115998</v>
      </c>
      <c r="J160" s="9">
        <f t="shared" si="16"/>
        <v>378.90753685531001</v>
      </c>
      <c r="K160" s="9">
        <f t="shared" si="17"/>
        <v>134.96003607115998</v>
      </c>
      <c r="L160" s="10">
        <f t="shared" si="14"/>
        <v>0.35618197830331344</v>
      </c>
      <c r="M160" s="10">
        <f t="shared" si="18"/>
        <v>0.35889524975497689</v>
      </c>
      <c r="P160" s="8">
        <f t="shared" si="19"/>
        <v>9.194773200669502</v>
      </c>
    </row>
    <row r="161" spans="1:16" x14ac:dyDescent="0.2">
      <c r="A161" s="8">
        <v>79.5</v>
      </c>
      <c r="B161" s="8">
        <v>159</v>
      </c>
      <c r="D161">
        <v>560.70712909440999</v>
      </c>
      <c r="E161">
        <v>263.45086705201999</v>
      </c>
      <c r="F161">
        <v>181.01259689923</v>
      </c>
      <c r="G161">
        <v>130.75484496124</v>
      </c>
      <c r="I161" s="9">
        <f t="shared" si="15"/>
        <v>132.69602209077999</v>
      </c>
      <c r="J161" s="9">
        <f t="shared" si="16"/>
        <v>379.69453219517999</v>
      </c>
      <c r="K161" s="9">
        <f t="shared" si="17"/>
        <v>132.69602209077999</v>
      </c>
      <c r="L161" s="10">
        <f t="shared" si="14"/>
        <v>0.34948099284866263</v>
      </c>
      <c r="M161" s="10">
        <f t="shared" si="18"/>
        <v>0.3522114369044505</v>
      </c>
      <c r="P161" s="8">
        <f t="shared" si="19"/>
        <v>7.1612065016752418</v>
      </c>
    </row>
    <row r="162" spans="1:16" x14ac:dyDescent="0.2">
      <c r="A162" s="8">
        <v>80</v>
      </c>
      <c r="B162" s="4">
        <v>160</v>
      </c>
      <c r="C162" s="4" t="s">
        <v>6</v>
      </c>
      <c r="D162">
        <v>552.86127167630002</v>
      </c>
      <c r="E162">
        <v>264.5</v>
      </c>
      <c r="F162">
        <v>180.72480620155</v>
      </c>
      <c r="G162">
        <v>130.79069767441999</v>
      </c>
      <c r="H162" s="4"/>
      <c r="I162" s="5">
        <f t="shared" si="15"/>
        <v>133.70930232558001</v>
      </c>
      <c r="J162" s="5">
        <f t="shared" si="16"/>
        <v>372.13646547475003</v>
      </c>
      <c r="K162" s="9">
        <f t="shared" si="17"/>
        <v>133.70930232558001</v>
      </c>
      <c r="L162" s="6">
        <f t="shared" si="14"/>
        <v>0.35930180116856186</v>
      </c>
      <c r="M162" s="6">
        <f t="shared" si="18"/>
        <v>0.36204941782847422</v>
      </c>
      <c r="N162" s="4"/>
      <c r="O162" s="4"/>
      <c r="P162" s="4">
        <f t="shared" si="19"/>
        <v>10.154436689270907</v>
      </c>
    </row>
    <row r="163" spans="1:16" x14ac:dyDescent="0.2">
      <c r="A163" s="8">
        <v>80.5</v>
      </c>
      <c r="B163" s="8">
        <v>161</v>
      </c>
      <c r="D163">
        <v>559.71483622351002</v>
      </c>
      <c r="E163">
        <v>266.26493256262</v>
      </c>
      <c r="F163">
        <v>181.10174418605001</v>
      </c>
      <c r="G163">
        <v>131.23837209301999</v>
      </c>
      <c r="I163" s="9">
        <f t="shared" si="15"/>
        <v>135.02656046960001</v>
      </c>
      <c r="J163" s="9">
        <f t="shared" si="16"/>
        <v>378.61309203745998</v>
      </c>
      <c r="K163" s="9">
        <f t="shared" si="17"/>
        <v>135.02656046960001</v>
      </c>
      <c r="L163" s="10">
        <f t="shared" si="14"/>
        <v>0.35663468408599164</v>
      </c>
      <c r="M163" s="10">
        <f t="shared" si="18"/>
        <v>0.35939947335002842</v>
      </c>
      <c r="P163" s="8">
        <f t="shared" si="19"/>
        <v>9.3481844847187272</v>
      </c>
    </row>
    <row r="164" spans="1:16" x14ac:dyDescent="0.2">
      <c r="A164" s="8">
        <v>81</v>
      </c>
      <c r="B164" s="8">
        <v>162</v>
      </c>
      <c r="D164">
        <v>562.96307094266001</v>
      </c>
      <c r="E164">
        <v>265.82993197279001</v>
      </c>
      <c r="F164">
        <v>181.61821705425999</v>
      </c>
      <c r="G164">
        <v>130.26841085270999</v>
      </c>
      <c r="I164" s="9">
        <f t="shared" si="15"/>
        <v>135.56152112008002</v>
      </c>
      <c r="J164" s="9">
        <f t="shared" si="16"/>
        <v>381.34485388840005</v>
      </c>
      <c r="K164" s="9">
        <f t="shared" si="17"/>
        <v>135.56152112008002</v>
      </c>
      <c r="L164" s="10">
        <f t="shared" si="14"/>
        <v>0.35548275986373185</v>
      </c>
      <c r="M164" s="10">
        <f t="shared" si="18"/>
        <v>0.35826472173189305</v>
      </c>
      <c r="P164" s="8">
        <f t="shared" si="19"/>
        <v>9.0029334799590419</v>
      </c>
    </row>
    <row r="165" spans="1:16" x14ac:dyDescent="0.2">
      <c r="A165" s="8">
        <v>81.5</v>
      </c>
      <c r="B165" s="8">
        <v>163</v>
      </c>
      <c r="D165">
        <v>565.30806608358</v>
      </c>
      <c r="E165">
        <v>259.53449951408999</v>
      </c>
      <c r="F165">
        <v>181.1773255814</v>
      </c>
      <c r="G165">
        <v>130.56686046511999</v>
      </c>
      <c r="I165" s="9">
        <f t="shared" si="15"/>
        <v>128.96763904897</v>
      </c>
      <c r="J165" s="9">
        <f t="shared" si="16"/>
        <v>384.13074050218</v>
      </c>
      <c r="K165" s="9">
        <f t="shared" si="17"/>
        <v>128.96763904897</v>
      </c>
      <c r="L165" s="10">
        <f t="shared" si="14"/>
        <v>0.33573891764134428</v>
      </c>
      <c r="M165" s="10">
        <f t="shared" si="18"/>
        <v>0.33853805211362997</v>
      </c>
      <c r="P165" s="8">
        <f t="shared" si="19"/>
        <v>3.0010451394435957</v>
      </c>
    </row>
    <row r="166" spans="1:16" x14ac:dyDescent="0.2">
      <c r="A166" s="8">
        <v>82</v>
      </c>
      <c r="B166" s="8">
        <v>164</v>
      </c>
      <c r="D166">
        <v>568.15549076774005</v>
      </c>
      <c r="E166">
        <v>253.25947521865999</v>
      </c>
      <c r="F166">
        <v>181.44961240309999</v>
      </c>
      <c r="G166">
        <v>130.91763565892001</v>
      </c>
      <c r="I166" s="9">
        <f t="shared" si="15"/>
        <v>122.34183955973998</v>
      </c>
      <c r="J166" s="9">
        <f t="shared" si="16"/>
        <v>386.70587836464006</v>
      </c>
      <c r="K166" s="9">
        <f t="shared" si="17"/>
        <v>122.34183955973998</v>
      </c>
      <c r="L166" s="10">
        <f t="shared" si="14"/>
        <v>0.31636922634100506</v>
      </c>
      <c r="M166" s="10">
        <f t="shared" si="18"/>
        <v>0.31918553341741518</v>
      </c>
      <c r="P166" s="8">
        <f t="shared" si="19"/>
        <v>-2.8870068515972425</v>
      </c>
    </row>
    <row r="167" spans="1:16" x14ac:dyDescent="0.2">
      <c r="A167" s="8">
        <v>82.5</v>
      </c>
      <c r="B167" s="8">
        <v>165</v>
      </c>
      <c r="D167">
        <v>566.91578947367998</v>
      </c>
      <c r="E167">
        <v>247.55215311005</v>
      </c>
      <c r="F167">
        <v>181.95155038760001</v>
      </c>
      <c r="G167">
        <v>130.92635658915</v>
      </c>
      <c r="I167" s="9">
        <f t="shared" si="15"/>
        <v>116.6257965209</v>
      </c>
      <c r="J167" s="9">
        <f t="shared" si="16"/>
        <v>384.96423908607994</v>
      </c>
      <c r="K167" s="9">
        <f t="shared" si="17"/>
        <v>116.6257965209</v>
      </c>
      <c r="L167" s="10">
        <f t="shared" si="14"/>
        <v>0.30295228667933982</v>
      </c>
      <c r="M167" s="10">
        <f t="shared" si="18"/>
        <v>0.30578576635987442</v>
      </c>
      <c r="P167" s="8">
        <f t="shared" si="19"/>
        <v>-6.9639193373125128</v>
      </c>
    </row>
    <row r="168" spans="1:16" x14ac:dyDescent="0.2">
      <c r="A168" s="8">
        <v>83</v>
      </c>
      <c r="B168" s="8">
        <v>166</v>
      </c>
      <c r="D168">
        <v>564.72057416268001</v>
      </c>
      <c r="E168">
        <v>242.56937799043001</v>
      </c>
      <c r="F168">
        <v>180.99612403101</v>
      </c>
      <c r="G168">
        <v>130.67635658915</v>
      </c>
      <c r="I168" s="9">
        <f t="shared" si="15"/>
        <v>111.89302140128001</v>
      </c>
      <c r="J168" s="9">
        <f t="shared" si="16"/>
        <v>383.72445013166998</v>
      </c>
      <c r="K168" s="9">
        <f t="shared" si="17"/>
        <v>111.89302140128001</v>
      </c>
      <c r="L168" s="10">
        <f t="shared" si="14"/>
        <v>0.29159732032422064</v>
      </c>
      <c r="M168" s="10">
        <f t="shared" si="18"/>
        <v>0.29444797260887967</v>
      </c>
      <c r="P168" s="8">
        <f t="shared" si="19"/>
        <v>-10.413471311268868</v>
      </c>
    </row>
    <row r="169" spans="1:16" x14ac:dyDescent="0.2">
      <c r="A169" s="8">
        <v>83.5</v>
      </c>
      <c r="B169" s="8">
        <v>167</v>
      </c>
      <c r="D169">
        <v>559.20574162678997</v>
      </c>
      <c r="E169">
        <v>237.60382775119999</v>
      </c>
      <c r="F169">
        <v>182.63468992247999</v>
      </c>
      <c r="G169">
        <v>130.53100775194</v>
      </c>
      <c r="I169" s="9">
        <f t="shared" si="15"/>
        <v>107.07281999925999</v>
      </c>
      <c r="J169" s="9">
        <f t="shared" si="16"/>
        <v>376.57105170430998</v>
      </c>
      <c r="K169" s="9">
        <f t="shared" si="17"/>
        <v>107.07281999925999</v>
      </c>
      <c r="L169" s="10">
        <f t="shared" si="14"/>
        <v>0.28433630124955911</v>
      </c>
      <c r="M169" s="10">
        <f t="shared" si="18"/>
        <v>0.28720412613834262</v>
      </c>
      <c r="P169" s="8">
        <f t="shared" si="19"/>
        <v>-12.617429633344138</v>
      </c>
    </row>
    <row r="170" spans="1:16" x14ac:dyDescent="0.2">
      <c r="A170" s="8">
        <v>84</v>
      </c>
      <c r="B170" s="8">
        <v>168</v>
      </c>
      <c r="D170">
        <v>550.87620889748996</v>
      </c>
      <c r="E170">
        <v>232.70116054159001</v>
      </c>
      <c r="F170">
        <v>181.85077519379999</v>
      </c>
      <c r="G170">
        <v>130.76937984496001</v>
      </c>
      <c r="I170" s="9">
        <f t="shared" si="15"/>
        <v>101.93178069663</v>
      </c>
      <c r="J170" s="9">
        <f t="shared" si="16"/>
        <v>369.02543370368994</v>
      </c>
      <c r="K170" s="9">
        <f t="shared" si="17"/>
        <v>101.93178069663</v>
      </c>
      <c r="L170" s="10">
        <f t="shared" si="14"/>
        <v>0.27621884939908076</v>
      </c>
      <c r="M170" s="10">
        <f t="shared" si="18"/>
        <v>0.27910384689198869</v>
      </c>
      <c r="P170" s="8">
        <f t="shared" si="19"/>
        <v>-15.081959759534366</v>
      </c>
    </row>
    <row r="171" spans="1:16" x14ac:dyDescent="0.2">
      <c r="A171" s="8">
        <v>84.5</v>
      </c>
      <c r="B171" s="8">
        <v>169</v>
      </c>
      <c r="D171">
        <v>547.66634429400006</v>
      </c>
      <c r="E171">
        <v>228.41392649903</v>
      </c>
      <c r="F171">
        <v>181.88372093023</v>
      </c>
      <c r="G171">
        <v>130.50775193798</v>
      </c>
      <c r="I171" s="9">
        <f t="shared" si="15"/>
        <v>97.906174561049994</v>
      </c>
      <c r="J171" s="9">
        <f t="shared" si="16"/>
        <v>365.78262336377009</v>
      </c>
      <c r="K171" s="9">
        <f t="shared" si="17"/>
        <v>97.906174561049994</v>
      </c>
      <c r="L171" s="10">
        <f t="shared" si="14"/>
        <v>0.26766218050681567</v>
      </c>
      <c r="M171" s="10">
        <f t="shared" si="18"/>
        <v>0.27056435060384809</v>
      </c>
      <c r="P171" s="8">
        <f t="shared" si="19"/>
        <v>-17.680122764110443</v>
      </c>
    </row>
    <row r="172" spans="1:16" x14ac:dyDescent="0.2">
      <c r="A172" s="8">
        <v>85</v>
      </c>
      <c r="B172" s="8">
        <v>170</v>
      </c>
      <c r="D172">
        <v>545.62282398452999</v>
      </c>
      <c r="E172">
        <v>225.84332688588</v>
      </c>
      <c r="F172">
        <v>181.65019379845</v>
      </c>
      <c r="G172">
        <v>130.96124031008</v>
      </c>
      <c r="I172" s="9">
        <f t="shared" si="15"/>
        <v>94.882086575800002</v>
      </c>
      <c r="J172" s="9">
        <f t="shared" si="16"/>
        <v>363.97263018607998</v>
      </c>
      <c r="K172" s="9">
        <f t="shared" si="17"/>
        <v>94.882086575800002</v>
      </c>
      <c r="L172" s="10">
        <f t="shared" si="14"/>
        <v>0.26068467435942039</v>
      </c>
      <c r="M172" s="10">
        <f t="shared" si="18"/>
        <v>0.26360401706057723</v>
      </c>
      <c r="P172" s="8">
        <f t="shared" si="19"/>
        <v>-19.797821572265075</v>
      </c>
    </row>
    <row r="173" spans="1:16" x14ac:dyDescent="0.2">
      <c r="A173" s="8">
        <v>85.5</v>
      </c>
      <c r="B173" s="8">
        <v>171</v>
      </c>
      <c r="D173">
        <v>548.25048355899003</v>
      </c>
      <c r="E173">
        <v>222.82398452611</v>
      </c>
      <c r="F173">
        <v>181.38759689923</v>
      </c>
      <c r="G173">
        <v>130.99127906977</v>
      </c>
      <c r="I173" s="9">
        <f t="shared" si="15"/>
        <v>91.832705456339994</v>
      </c>
      <c r="J173" s="9">
        <f t="shared" si="16"/>
        <v>366.86288665976002</v>
      </c>
      <c r="K173" s="9">
        <f t="shared" si="17"/>
        <v>91.832705456339994</v>
      </c>
      <c r="L173" s="10">
        <f t="shared" si="14"/>
        <v>0.25031887605875075</v>
      </c>
      <c r="M173" s="10">
        <f t="shared" si="18"/>
        <v>0.25325539136403208</v>
      </c>
      <c r="P173" s="8">
        <f t="shared" si="19"/>
        <v>-22.946416703140581</v>
      </c>
    </row>
    <row r="174" spans="1:16" x14ac:dyDescent="0.2">
      <c r="A174" s="8">
        <v>86</v>
      </c>
      <c r="B174" s="8">
        <v>172</v>
      </c>
      <c r="D174">
        <v>550.83945841392995</v>
      </c>
      <c r="E174">
        <v>222.42746615087</v>
      </c>
      <c r="F174">
        <v>181.84108527132</v>
      </c>
      <c r="G174">
        <v>130.44767441861001</v>
      </c>
      <c r="I174" s="9">
        <f t="shared" si="15"/>
        <v>91.979791732259997</v>
      </c>
      <c r="J174" s="9">
        <f t="shared" si="16"/>
        <v>368.99837314260992</v>
      </c>
      <c r="K174" s="9">
        <f t="shared" si="17"/>
        <v>91.979791732259997</v>
      </c>
      <c r="L174" s="10">
        <f t="shared" si="14"/>
        <v>0.24926882725499658</v>
      </c>
      <c r="M174" s="10">
        <f t="shared" si="18"/>
        <v>0.25222251516440236</v>
      </c>
      <c r="P174" s="8">
        <f t="shared" si="19"/>
        <v>-23.260671858203057</v>
      </c>
    </row>
    <row r="175" spans="1:16" x14ac:dyDescent="0.2">
      <c r="A175" s="8">
        <v>86.5</v>
      </c>
      <c r="B175" s="8">
        <v>173</v>
      </c>
      <c r="D175">
        <v>547.22823984525996</v>
      </c>
      <c r="E175">
        <v>219.08220502901</v>
      </c>
      <c r="F175">
        <v>181.41182170542999</v>
      </c>
      <c r="G175">
        <v>130.58430232558001</v>
      </c>
      <c r="I175" s="9">
        <f t="shared" si="15"/>
        <v>88.497902703429986</v>
      </c>
      <c r="J175" s="9">
        <f t="shared" si="16"/>
        <v>365.81641813982998</v>
      </c>
      <c r="K175" s="9">
        <f t="shared" si="17"/>
        <v>88.497902703429986</v>
      </c>
      <c r="L175" s="10">
        <f t="shared" si="14"/>
        <v>0.24191889241450742</v>
      </c>
      <c r="M175" s="10">
        <f t="shared" si="18"/>
        <v>0.24488975292803764</v>
      </c>
      <c r="P175" s="8">
        <f t="shared" si="19"/>
        <v>-25.491683023385459</v>
      </c>
    </row>
    <row r="176" spans="1:16" x14ac:dyDescent="0.2">
      <c r="A176" s="8">
        <v>87</v>
      </c>
      <c r="B176" s="8">
        <v>174</v>
      </c>
      <c r="D176">
        <v>550.17911877394999</v>
      </c>
      <c r="E176">
        <v>218.38984674330001</v>
      </c>
      <c r="F176">
        <v>181.56298449612001</v>
      </c>
      <c r="G176">
        <v>130.38565891472999</v>
      </c>
      <c r="I176" s="9">
        <f t="shared" si="15"/>
        <v>88.004187828570025</v>
      </c>
      <c r="J176" s="9">
        <f t="shared" si="16"/>
        <v>368.61613427782999</v>
      </c>
      <c r="K176" s="9">
        <f t="shared" si="17"/>
        <v>88.004187828570025</v>
      </c>
      <c r="L176" s="10">
        <f t="shared" si="14"/>
        <v>0.23874209413264671</v>
      </c>
      <c r="M176" s="10">
        <f t="shared" si="18"/>
        <v>0.24173012725030138</v>
      </c>
      <c r="P176" s="8">
        <f t="shared" si="19"/>
        <v>-26.45300700166316</v>
      </c>
    </row>
    <row r="177" spans="1:16" x14ac:dyDescent="0.2">
      <c r="A177" s="8">
        <v>87.5</v>
      </c>
      <c r="B177" s="8">
        <v>175</v>
      </c>
      <c r="D177">
        <v>542.16762452107002</v>
      </c>
      <c r="E177">
        <v>216.14559386972999</v>
      </c>
      <c r="F177">
        <v>182.18701550387999</v>
      </c>
      <c r="G177">
        <v>130.63372093023</v>
      </c>
      <c r="I177" s="9">
        <f t="shared" si="15"/>
        <v>85.511872939499995</v>
      </c>
      <c r="J177" s="9">
        <f t="shared" si="16"/>
        <v>359.98060901719003</v>
      </c>
      <c r="K177" s="9">
        <f t="shared" si="17"/>
        <v>85.511872939499995</v>
      </c>
      <c r="L177" s="10">
        <f t="shared" si="14"/>
        <v>0.23754577551541553</v>
      </c>
      <c r="M177" s="10">
        <f t="shared" si="18"/>
        <v>0.24055098123719465</v>
      </c>
      <c r="P177" s="8">
        <f t="shared" si="19"/>
        <v>-26.811765111611859</v>
      </c>
    </row>
    <row r="178" spans="1:16" x14ac:dyDescent="0.2">
      <c r="A178" s="8">
        <v>88</v>
      </c>
      <c r="B178" s="8">
        <v>176</v>
      </c>
      <c r="D178">
        <v>540.96647509578997</v>
      </c>
      <c r="E178">
        <v>213.95881226053999</v>
      </c>
      <c r="F178">
        <v>182.42441860464999</v>
      </c>
      <c r="G178">
        <v>130.45736434109</v>
      </c>
      <c r="I178" s="9">
        <f t="shared" si="15"/>
        <v>83.501447919449987</v>
      </c>
      <c r="J178" s="9">
        <f t="shared" si="16"/>
        <v>358.54205649113999</v>
      </c>
      <c r="K178" s="9">
        <f t="shared" si="17"/>
        <v>83.501447919449987</v>
      </c>
      <c r="L178" s="10">
        <f t="shared" si="14"/>
        <v>0.23289164104382665</v>
      </c>
      <c r="M178" s="10">
        <f t="shared" si="18"/>
        <v>0.23591401936973022</v>
      </c>
      <c r="P178" s="8">
        <f t="shared" si="19"/>
        <v>-28.222572303413955</v>
      </c>
    </row>
    <row r="179" spans="1:16" x14ac:dyDescent="0.2">
      <c r="A179" s="8">
        <v>88.5</v>
      </c>
      <c r="B179" s="8">
        <v>177</v>
      </c>
      <c r="D179">
        <v>541.26053639846998</v>
      </c>
      <c r="E179">
        <v>213.82758620690001</v>
      </c>
      <c r="F179">
        <v>181.56201550387999</v>
      </c>
      <c r="G179">
        <v>130.68410852713001</v>
      </c>
      <c r="I179" s="9">
        <f t="shared" si="15"/>
        <v>83.143477679770001</v>
      </c>
      <c r="J179" s="9">
        <f t="shared" si="16"/>
        <v>359.69852089458999</v>
      </c>
      <c r="K179" s="9">
        <f t="shared" si="17"/>
        <v>83.143477679770001</v>
      </c>
      <c r="L179" s="10">
        <f t="shared" si="14"/>
        <v>0.23114767742994216</v>
      </c>
      <c r="M179" s="10">
        <f t="shared" si="18"/>
        <v>0.23418722835997019</v>
      </c>
      <c r="P179" s="8">
        <f t="shared" si="19"/>
        <v>-28.747952766945957</v>
      </c>
    </row>
    <row r="180" spans="1:16" x14ac:dyDescent="0.2">
      <c r="A180" s="8">
        <v>89</v>
      </c>
      <c r="B180" s="8">
        <v>178</v>
      </c>
      <c r="D180">
        <v>540.59291187739996</v>
      </c>
      <c r="E180">
        <v>212.81321839080999</v>
      </c>
      <c r="F180">
        <v>182.51647286822001</v>
      </c>
      <c r="G180">
        <v>130.99515503876</v>
      </c>
      <c r="I180" s="9">
        <f t="shared" si="15"/>
        <v>81.81806335204999</v>
      </c>
      <c r="J180" s="9">
        <f t="shared" si="16"/>
        <v>358.07643900917992</v>
      </c>
      <c r="K180" s="9">
        <f t="shared" si="17"/>
        <v>81.81806335204999</v>
      </c>
      <c r="L180" s="10">
        <f t="shared" si="14"/>
        <v>0.22849328924976389</v>
      </c>
      <c r="M180" s="10">
        <f t="shared" si="18"/>
        <v>0.23155001278391635</v>
      </c>
      <c r="P180" s="8">
        <f t="shared" si="19"/>
        <v>-29.550332171257025</v>
      </c>
    </row>
    <row r="181" spans="1:16" x14ac:dyDescent="0.2">
      <c r="A181" s="8">
        <v>89.5</v>
      </c>
      <c r="B181" s="8">
        <v>179</v>
      </c>
      <c r="D181">
        <v>544.67241379309996</v>
      </c>
      <c r="E181">
        <v>214.05076628353001</v>
      </c>
      <c r="F181">
        <v>181.65406976744001</v>
      </c>
      <c r="G181">
        <v>130.77519379845</v>
      </c>
      <c r="I181" s="9">
        <f t="shared" si="15"/>
        <v>83.275572485080005</v>
      </c>
      <c r="J181" s="9">
        <f t="shared" si="16"/>
        <v>363.01834402565999</v>
      </c>
      <c r="K181" s="9">
        <f t="shared" si="17"/>
        <v>83.275572485080005</v>
      </c>
      <c r="L181" s="10">
        <f t="shared" si="14"/>
        <v>0.22939769809316762</v>
      </c>
      <c r="M181" s="10">
        <f t="shared" si="18"/>
        <v>0.23247159423144453</v>
      </c>
      <c r="P181" s="8">
        <f t="shared" si="19"/>
        <v>-29.269938721587557</v>
      </c>
    </row>
    <row r="182" spans="1:16" x14ac:dyDescent="0.2">
      <c r="A182" s="8">
        <v>90</v>
      </c>
      <c r="B182" s="8">
        <v>180</v>
      </c>
      <c r="D182">
        <v>531.52490421456002</v>
      </c>
      <c r="E182">
        <v>211.69157088123001</v>
      </c>
      <c r="F182">
        <v>182.62306201550001</v>
      </c>
      <c r="G182">
        <v>131.08527131783001</v>
      </c>
      <c r="I182" s="9">
        <f t="shared" si="15"/>
        <v>80.6062995634</v>
      </c>
      <c r="J182" s="9">
        <f t="shared" si="16"/>
        <v>348.90184219906001</v>
      </c>
      <c r="K182" s="9">
        <f t="shared" si="17"/>
        <v>80.6062995634</v>
      </c>
      <c r="L182" s="10">
        <f t="shared" si="14"/>
        <v>0.23102858688092409</v>
      </c>
      <c r="M182" s="10">
        <f>L182+ABS($N$2)*A182</f>
        <v>0.23411965562332546</v>
      </c>
      <c r="P182" s="8">
        <f t="shared" si="19"/>
        <v>-28.768511940291123</v>
      </c>
    </row>
    <row r="183" spans="1:16" x14ac:dyDescent="0.2">
      <c r="A183" s="8">
        <v>90.5</v>
      </c>
      <c r="B183" s="8">
        <v>181</v>
      </c>
      <c r="D183">
        <v>539.70593869731999</v>
      </c>
      <c r="E183">
        <v>211.81896551724</v>
      </c>
      <c r="F183">
        <v>182.05038759690001</v>
      </c>
      <c r="G183">
        <v>130.74515503876</v>
      </c>
      <c r="I183" s="9">
        <f t="shared" si="15"/>
        <v>81.073810478479999</v>
      </c>
      <c r="J183" s="9">
        <f t="shared" si="16"/>
        <v>357.65555110041998</v>
      </c>
      <c r="K183" s="9">
        <f t="shared" si="17"/>
        <v>81.073810478479999</v>
      </c>
      <c r="L183" s="10">
        <f t="shared" si="14"/>
        <v>0.22668125862728933</v>
      </c>
      <c r="M183" s="10">
        <f t="shared" ref="M183:M241" si="20">L183+ABS($N$2)*A183</f>
        <v>0.22978949997381515</v>
      </c>
      <c r="P183" s="8">
        <f t="shared" si="19"/>
        <v>-30.085972576492587</v>
      </c>
    </row>
    <row r="184" spans="1:16" x14ac:dyDescent="0.2">
      <c r="A184" s="8">
        <v>91</v>
      </c>
      <c r="B184" s="8">
        <v>182</v>
      </c>
      <c r="D184">
        <v>535.38793103447995</v>
      </c>
      <c r="E184">
        <v>211.02681992337</v>
      </c>
      <c r="F184">
        <v>181.92054263566001</v>
      </c>
      <c r="G184">
        <v>131.07073643410999</v>
      </c>
      <c r="I184" s="9">
        <f t="shared" si="15"/>
        <v>79.95608348926001</v>
      </c>
      <c r="J184" s="9">
        <f t="shared" si="16"/>
        <v>353.46738839881993</v>
      </c>
      <c r="K184" s="9">
        <f t="shared" si="17"/>
        <v>79.95608348926001</v>
      </c>
      <c r="L184" s="10">
        <f t="shared" si="14"/>
        <v>0.22620497990339339</v>
      </c>
      <c r="M184" s="10">
        <f t="shared" si="20"/>
        <v>0.22933039385404366</v>
      </c>
      <c r="P184" s="8">
        <f t="shared" si="19"/>
        <v>-30.225656756368785</v>
      </c>
    </row>
    <row r="185" spans="1:16" x14ac:dyDescent="0.2">
      <c r="A185" s="8">
        <v>91.5</v>
      </c>
      <c r="B185" s="8">
        <v>183</v>
      </c>
      <c r="D185">
        <v>546.69932756964999</v>
      </c>
      <c r="E185">
        <v>213.17195004803</v>
      </c>
      <c r="F185">
        <v>182.00484496124</v>
      </c>
      <c r="G185">
        <v>130.67538759690001</v>
      </c>
      <c r="I185" s="9">
        <f t="shared" si="15"/>
        <v>82.496562451129989</v>
      </c>
      <c r="J185" s="9">
        <f t="shared" si="16"/>
        <v>364.69448260841</v>
      </c>
      <c r="K185" s="9">
        <f t="shared" si="17"/>
        <v>82.496562451129989</v>
      </c>
      <c r="L185" s="10">
        <f t="shared" si="14"/>
        <v>0.22620732252675868</v>
      </c>
      <c r="M185" s="10">
        <f t="shared" si="20"/>
        <v>0.22934990908153341</v>
      </c>
      <c r="P185" s="8">
        <f t="shared" si="19"/>
        <v>-30.219719199822254</v>
      </c>
    </row>
    <row r="186" spans="1:16" x14ac:dyDescent="0.2">
      <c r="A186" s="8">
        <v>92</v>
      </c>
      <c r="B186" s="8">
        <v>184</v>
      </c>
      <c r="D186">
        <v>560.72622478385995</v>
      </c>
      <c r="E186">
        <v>214.98655139288999</v>
      </c>
      <c r="F186">
        <v>182.46608527132</v>
      </c>
      <c r="G186">
        <v>131.57267441861001</v>
      </c>
      <c r="I186" s="9">
        <f t="shared" si="15"/>
        <v>83.413876974279987</v>
      </c>
      <c r="J186" s="9">
        <f t="shared" si="16"/>
        <v>378.26013951253992</v>
      </c>
      <c r="K186" s="9">
        <f t="shared" si="17"/>
        <v>83.413876974279987</v>
      </c>
      <c r="L186" s="10">
        <f t="shared" si="14"/>
        <v>0.22051987048324631</v>
      </c>
      <c r="M186" s="10">
        <f t="shared" si="20"/>
        <v>0.22367962964214549</v>
      </c>
      <c r="P186" s="8">
        <f t="shared" si="19"/>
        <v>-31.944915835305991</v>
      </c>
    </row>
    <row r="187" spans="1:16" x14ac:dyDescent="0.2">
      <c r="A187" s="8">
        <v>92.5</v>
      </c>
      <c r="B187" s="8">
        <v>185</v>
      </c>
      <c r="D187">
        <v>550.82804995197</v>
      </c>
      <c r="E187">
        <v>215.4707012488</v>
      </c>
      <c r="F187">
        <v>181.72868217054</v>
      </c>
      <c r="G187">
        <v>131.32267441861001</v>
      </c>
      <c r="I187" s="9">
        <f t="shared" si="15"/>
        <v>84.148026830189991</v>
      </c>
      <c r="J187" s="9">
        <f t="shared" si="16"/>
        <v>369.09936778143003</v>
      </c>
      <c r="K187" s="9">
        <f t="shared" si="17"/>
        <v>84.148026830189991</v>
      </c>
      <c r="L187" s="10">
        <f t="shared" si="14"/>
        <v>0.22798204000181332</v>
      </c>
      <c r="M187" s="10">
        <f t="shared" si="20"/>
        <v>0.23115897176483696</v>
      </c>
      <c r="P187" s="8">
        <f t="shared" si="19"/>
        <v>-29.669307374800912</v>
      </c>
    </row>
    <row r="188" spans="1:16" x14ac:dyDescent="0.2">
      <c r="A188" s="8">
        <v>93</v>
      </c>
      <c r="B188" s="8">
        <v>186</v>
      </c>
      <c r="D188">
        <v>554.21229586935999</v>
      </c>
      <c r="E188">
        <v>215.43515850143999</v>
      </c>
      <c r="F188">
        <v>181.61627906977</v>
      </c>
      <c r="G188">
        <v>130.88662790698001</v>
      </c>
      <c r="I188" s="9">
        <f t="shared" si="15"/>
        <v>84.548530594459976</v>
      </c>
      <c r="J188" s="9">
        <f t="shared" si="16"/>
        <v>372.59601679958996</v>
      </c>
      <c r="K188" s="9">
        <f t="shared" si="17"/>
        <v>84.548530594459976</v>
      </c>
      <c r="L188" s="10">
        <f t="shared" si="14"/>
        <v>0.22691743009141321</v>
      </c>
      <c r="M188" s="10">
        <f t="shared" si="20"/>
        <v>0.23011153445856131</v>
      </c>
      <c r="P188" s="8">
        <f t="shared" si="19"/>
        <v>-29.987992782810007</v>
      </c>
    </row>
    <row r="189" spans="1:16" x14ac:dyDescent="0.2">
      <c r="A189" s="8">
        <v>93.5</v>
      </c>
      <c r="B189" s="8">
        <v>187</v>
      </c>
      <c r="D189">
        <v>542.02689721421996</v>
      </c>
      <c r="E189">
        <v>213.91258405379</v>
      </c>
      <c r="F189">
        <v>182.4273255814</v>
      </c>
      <c r="G189">
        <v>130.90600775194</v>
      </c>
      <c r="I189" s="9">
        <f t="shared" si="15"/>
        <v>83.006576301850004</v>
      </c>
      <c r="J189" s="9">
        <f t="shared" si="16"/>
        <v>359.59957163281996</v>
      </c>
      <c r="K189" s="9">
        <f t="shared" si="17"/>
        <v>83.006576301850004</v>
      </c>
      <c r="L189" s="10">
        <f t="shared" si="14"/>
        <v>0.23083057614597602</v>
      </c>
      <c r="M189" s="10">
        <f t="shared" si="20"/>
        <v>0.23404185311724857</v>
      </c>
      <c r="P189" s="8">
        <f t="shared" si="19"/>
        <v>-28.792183546452836</v>
      </c>
    </row>
    <row r="190" spans="1:16" x14ac:dyDescent="0.2">
      <c r="A190" s="8">
        <v>94</v>
      </c>
      <c r="B190" s="8">
        <v>188</v>
      </c>
      <c r="D190">
        <v>539.27185398655001</v>
      </c>
      <c r="E190">
        <v>214.51488952930001</v>
      </c>
      <c r="F190">
        <v>181.73255813954</v>
      </c>
      <c r="G190">
        <v>130.78003875969</v>
      </c>
      <c r="I190" s="9">
        <f t="shared" si="15"/>
        <v>83.734850769610006</v>
      </c>
      <c r="J190" s="9">
        <f t="shared" si="16"/>
        <v>357.53929584701001</v>
      </c>
      <c r="K190" s="9">
        <f t="shared" si="17"/>
        <v>83.734850769610006</v>
      </c>
      <c r="L190" s="10">
        <f t="shared" si="14"/>
        <v>0.23419761615640675</v>
      </c>
      <c r="M190" s="10">
        <f t="shared" si="20"/>
        <v>0.23742606573180375</v>
      </c>
      <c r="P190" s="8">
        <f t="shared" si="19"/>
        <v>-27.762528433543189</v>
      </c>
    </row>
    <row r="191" spans="1:16" x14ac:dyDescent="0.2">
      <c r="A191" s="8">
        <v>94.5</v>
      </c>
      <c r="B191" s="8">
        <v>189</v>
      </c>
      <c r="D191">
        <v>543.51681075888996</v>
      </c>
      <c r="E191">
        <v>214.59365994236001</v>
      </c>
      <c r="F191">
        <v>181.98449612402999</v>
      </c>
      <c r="G191">
        <v>130.81782945736001</v>
      </c>
      <c r="I191" s="9">
        <f t="shared" si="15"/>
        <v>83.775830485</v>
      </c>
      <c r="J191" s="9">
        <f t="shared" si="16"/>
        <v>361.53231463485997</v>
      </c>
      <c r="K191" s="9">
        <f t="shared" si="17"/>
        <v>83.775830485</v>
      </c>
      <c r="L191" s="10">
        <f t="shared" si="14"/>
        <v>0.23172432198657492</v>
      </c>
      <c r="M191" s="10">
        <f t="shared" si="20"/>
        <v>0.23496994416609635</v>
      </c>
      <c r="P191" s="8">
        <f t="shared" si="19"/>
        <v>-28.509809534376352</v>
      </c>
    </row>
    <row r="192" spans="1:16" x14ac:dyDescent="0.2">
      <c r="A192" s="8">
        <v>95</v>
      </c>
      <c r="B192" s="8">
        <v>190</v>
      </c>
      <c r="D192">
        <v>543.09414024976002</v>
      </c>
      <c r="E192">
        <v>214.22862632085</v>
      </c>
      <c r="F192">
        <v>181.74806201550001</v>
      </c>
      <c r="G192">
        <v>130.64534883721001</v>
      </c>
      <c r="I192" s="9">
        <f t="shared" si="15"/>
        <v>83.583277483639989</v>
      </c>
      <c r="J192" s="9">
        <f t="shared" si="16"/>
        <v>361.34607823426001</v>
      </c>
      <c r="K192" s="9">
        <f t="shared" si="17"/>
        <v>83.583277483639989</v>
      </c>
      <c r="L192" s="10">
        <f t="shared" si="14"/>
        <v>0.23131087486011984</v>
      </c>
      <c r="M192" s="10">
        <f t="shared" si="20"/>
        <v>0.23457366964376572</v>
      </c>
      <c r="P192" s="8">
        <f t="shared" si="19"/>
        <v>-28.630377044313132</v>
      </c>
    </row>
    <row r="193" spans="1:16" x14ac:dyDescent="0.2">
      <c r="A193" s="8">
        <v>95.5</v>
      </c>
      <c r="B193" s="8">
        <v>191</v>
      </c>
      <c r="D193">
        <v>544.87415946205999</v>
      </c>
      <c r="E193">
        <v>215.28530259365999</v>
      </c>
      <c r="F193">
        <v>182.43701550387999</v>
      </c>
      <c r="G193">
        <v>130.78100775194</v>
      </c>
      <c r="I193" s="9">
        <f t="shared" si="15"/>
        <v>84.504294841719997</v>
      </c>
      <c r="J193" s="9">
        <f t="shared" si="16"/>
        <v>362.43714395818</v>
      </c>
      <c r="K193" s="9">
        <f t="shared" si="17"/>
        <v>84.504294841719997</v>
      </c>
      <c r="L193" s="10">
        <f t="shared" si="14"/>
        <v>0.23315572437981294</v>
      </c>
      <c r="M193" s="10">
        <f t="shared" si="20"/>
        <v>0.23643569176758328</v>
      </c>
      <c r="P193" s="8">
        <f t="shared" si="19"/>
        <v>-28.063852177673915</v>
      </c>
    </row>
    <row r="194" spans="1:16" x14ac:dyDescent="0.2">
      <c r="A194" s="8">
        <v>96</v>
      </c>
      <c r="B194" s="8">
        <v>192</v>
      </c>
      <c r="D194">
        <v>546.99519692602996</v>
      </c>
      <c r="E194">
        <v>215.17195004803</v>
      </c>
      <c r="F194">
        <v>182.40600775194</v>
      </c>
      <c r="G194">
        <v>130.83236434109</v>
      </c>
      <c r="I194" s="9">
        <f t="shared" si="15"/>
        <v>84.339585706939999</v>
      </c>
      <c r="J194" s="9">
        <f t="shared" si="16"/>
        <v>364.58918917408994</v>
      </c>
      <c r="K194" s="9">
        <f t="shared" si="17"/>
        <v>84.339585706939999</v>
      </c>
      <c r="L194" s="10">
        <f t="shared" ref="L194:L257" si="21">K194/J194</f>
        <v>0.23132771955744461</v>
      </c>
      <c r="M194" s="10">
        <f t="shared" si="20"/>
        <v>0.2346248595493394</v>
      </c>
      <c r="P194" s="8">
        <f t="shared" si="19"/>
        <v>-28.614802388106071</v>
      </c>
    </row>
    <row r="195" spans="1:16" x14ac:dyDescent="0.2">
      <c r="A195" s="8">
        <v>96.5</v>
      </c>
      <c r="B195" s="8">
        <v>193</v>
      </c>
      <c r="D195">
        <v>533.06051873198999</v>
      </c>
      <c r="E195">
        <v>215.90393852065</v>
      </c>
      <c r="F195">
        <v>182.56492248062</v>
      </c>
      <c r="G195">
        <v>131.17151162791001</v>
      </c>
      <c r="I195" s="9">
        <f t="shared" ref="I195:I241" si="22">E195-G195</f>
        <v>84.732426892739994</v>
      </c>
      <c r="J195" s="9">
        <f t="shared" ref="J195:J241" si="23">D195-F195</f>
        <v>350.49559625136999</v>
      </c>
      <c r="K195" s="9">
        <f t="shared" ref="K195:K258" si="24">I195*1</f>
        <v>84.732426892739994</v>
      </c>
      <c r="L195" s="10">
        <f t="shared" si="21"/>
        <v>0.24175033238355217</v>
      </c>
      <c r="M195" s="10">
        <f t="shared" si="20"/>
        <v>0.24506464497957142</v>
      </c>
      <c r="P195" s="8">
        <f t="shared" ref="P195:P241" si="25">(M195-$O$2)/$O$2*100</f>
        <v>-25.438471681315956</v>
      </c>
    </row>
    <row r="196" spans="1:16" x14ac:dyDescent="0.2">
      <c r="A196" s="8">
        <v>97</v>
      </c>
      <c r="B196" s="8">
        <v>194</v>
      </c>
      <c r="D196">
        <v>509.59462055716</v>
      </c>
      <c r="E196">
        <v>212.18059558117</v>
      </c>
      <c r="F196">
        <v>181.20348837208999</v>
      </c>
      <c r="G196">
        <v>130.5523255814</v>
      </c>
      <c r="I196" s="9">
        <f t="shared" si="22"/>
        <v>81.628269999769998</v>
      </c>
      <c r="J196" s="9">
        <f t="shared" si="23"/>
        <v>328.39113218506998</v>
      </c>
      <c r="K196" s="9">
        <f t="shared" si="24"/>
        <v>81.628269999769998</v>
      </c>
      <c r="L196" s="10">
        <f t="shared" si="21"/>
        <v>0.24857026271271876</v>
      </c>
      <c r="M196" s="10">
        <f t="shared" si="20"/>
        <v>0.25190174791286246</v>
      </c>
      <c r="P196" s="8">
        <f t="shared" si="25"/>
        <v>-23.358266093027883</v>
      </c>
    </row>
    <row r="197" spans="1:16" x14ac:dyDescent="0.2">
      <c r="A197" s="8">
        <v>97.5</v>
      </c>
      <c r="B197" s="8">
        <v>195</v>
      </c>
      <c r="D197">
        <v>550.30642023346002</v>
      </c>
      <c r="E197">
        <v>216.6780155642</v>
      </c>
      <c r="F197">
        <v>183.15600775194</v>
      </c>
      <c r="G197">
        <v>131.37403100775001</v>
      </c>
      <c r="I197" s="9">
        <f t="shared" si="22"/>
        <v>85.30398455644999</v>
      </c>
      <c r="J197" s="9">
        <f t="shared" si="23"/>
        <v>367.15041248151999</v>
      </c>
      <c r="K197" s="9">
        <f t="shared" si="24"/>
        <v>85.30398455644999</v>
      </c>
      <c r="L197" s="10">
        <f t="shared" si="21"/>
        <v>0.23234070194798881</v>
      </c>
      <c r="M197" s="10">
        <f t="shared" si="20"/>
        <v>0.23568935975225697</v>
      </c>
      <c r="P197" s="8">
        <f t="shared" si="25"/>
        <v>-28.290925551315926</v>
      </c>
    </row>
    <row r="198" spans="1:16" x14ac:dyDescent="0.2">
      <c r="A198" s="8">
        <v>98</v>
      </c>
      <c r="B198" s="8">
        <v>196</v>
      </c>
      <c r="D198">
        <v>535.7140077821</v>
      </c>
      <c r="E198">
        <v>214.72568093384999</v>
      </c>
      <c r="F198">
        <v>182.31395348837</v>
      </c>
      <c r="G198">
        <v>130.70445736433999</v>
      </c>
      <c r="I198" s="9">
        <f t="shared" si="22"/>
        <v>84.021223569509999</v>
      </c>
      <c r="J198" s="9">
        <f t="shared" si="23"/>
        <v>353.40005429373002</v>
      </c>
      <c r="K198" s="9">
        <f t="shared" si="24"/>
        <v>84.021223569509999</v>
      </c>
      <c r="L198" s="10">
        <f t="shared" si="21"/>
        <v>0.23775102054646371</v>
      </c>
      <c r="M198" s="10">
        <f t="shared" si="20"/>
        <v>0.24111685095485633</v>
      </c>
      <c r="P198" s="8">
        <f t="shared" si="25"/>
        <v>-26.639597841291678</v>
      </c>
    </row>
    <row r="199" spans="1:16" x14ac:dyDescent="0.2">
      <c r="A199" s="8">
        <v>98.5</v>
      </c>
      <c r="B199" s="8">
        <v>197</v>
      </c>
      <c r="D199">
        <v>547.47568093384996</v>
      </c>
      <c r="E199">
        <v>215.42509727627001</v>
      </c>
      <c r="F199">
        <v>183.02906976744001</v>
      </c>
      <c r="G199">
        <v>130.96802325581001</v>
      </c>
      <c r="I199" s="9">
        <f t="shared" si="22"/>
        <v>84.457074020459999</v>
      </c>
      <c r="J199" s="9">
        <f t="shared" si="23"/>
        <v>364.44661116640998</v>
      </c>
      <c r="K199" s="9">
        <f t="shared" si="24"/>
        <v>84.457074020459999</v>
      </c>
      <c r="L199" s="10">
        <f t="shared" si="21"/>
        <v>0.23174059363635036</v>
      </c>
      <c r="M199" s="10">
        <f t="shared" si="20"/>
        <v>0.23512359664886742</v>
      </c>
      <c r="P199" s="8">
        <f t="shared" si="25"/>
        <v>-28.463060383978394</v>
      </c>
    </row>
    <row r="200" spans="1:16" x14ac:dyDescent="0.2">
      <c r="A200" s="8">
        <v>99</v>
      </c>
      <c r="B200" s="8">
        <v>198</v>
      </c>
      <c r="D200">
        <v>554.27334630350003</v>
      </c>
      <c r="E200">
        <v>217.15466926069999</v>
      </c>
      <c r="F200">
        <v>181.89534883721001</v>
      </c>
      <c r="G200">
        <v>131.41085271317999</v>
      </c>
      <c r="I200" s="9">
        <f t="shared" si="22"/>
        <v>85.743816547519998</v>
      </c>
      <c r="J200" s="9">
        <f t="shared" si="23"/>
        <v>372.37799746629003</v>
      </c>
      <c r="K200" s="9">
        <f t="shared" si="24"/>
        <v>85.743816547519998</v>
      </c>
      <c r="L200" s="10">
        <f t="shared" si="21"/>
        <v>0.23026015804084146</v>
      </c>
      <c r="M200" s="10">
        <f t="shared" si="20"/>
        <v>0.23366033365748298</v>
      </c>
      <c r="P200" s="8">
        <f t="shared" si="25"/>
        <v>-28.908261791871766</v>
      </c>
    </row>
    <row r="201" spans="1:16" x14ac:dyDescent="0.2">
      <c r="A201" s="8">
        <v>99.5</v>
      </c>
      <c r="B201" s="8">
        <v>199</v>
      </c>
      <c r="D201">
        <v>522.03779069766995</v>
      </c>
      <c r="E201">
        <v>212.22189922480999</v>
      </c>
      <c r="F201">
        <v>183.16472868216999</v>
      </c>
      <c r="G201">
        <v>131.30329457363999</v>
      </c>
      <c r="I201" s="9">
        <f t="shared" si="22"/>
        <v>80.91860465117</v>
      </c>
      <c r="J201" s="9">
        <f t="shared" si="23"/>
        <v>338.87306201549995</v>
      </c>
      <c r="K201" s="9">
        <f t="shared" si="24"/>
        <v>80.91860465117</v>
      </c>
      <c r="L201" s="10">
        <f t="shared" si="21"/>
        <v>0.23878736235301232</v>
      </c>
      <c r="M201" s="10">
        <f t="shared" si="20"/>
        <v>0.24220471057377829</v>
      </c>
      <c r="P201" s="8">
        <f t="shared" si="25"/>
        <v>-26.308613844029388</v>
      </c>
    </row>
    <row r="202" spans="1:16" x14ac:dyDescent="0.2">
      <c r="A202" s="8">
        <v>100</v>
      </c>
      <c r="B202" s="8">
        <v>200</v>
      </c>
      <c r="D202">
        <v>538.18217054264005</v>
      </c>
      <c r="E202">
        <v>215.59011627907</v>
      </c>
      <c r="F202">
        <v>182.92635658915</v>
      </c>
      <c r="G202">
        <v>130.97771317830001</v>
      </c>
      <c r="I202" s="9">
        <f t="shared" si="22"/>
        <v>84.612403100769995</v>
      </c>
      <c r="J202" s="9">
        <f t="shared" si="23"/>
        <v>355.25581395349002</v>
      </c>
      <c r="K202" s="9">
        <f t="shared" si="24"/>
        <v>84.612403100769995</v>
      </c>
      <c r="L202" s="10">
        <f t="shared" si="21"/>
        <v>0.23817316924149601</v>
      </c>
      <c r="M202" s="10">
        <f t="shared" si="20"/>
        <v>0.24160769006638641</v>
      </c>
      <c r="P202" s="8">
        <f t="shared" si="25"/>
        <v>-26.490258819674267</v>
      </c>
    </row>
    <row r="203" spans="1:16" x14ac:dyDescent="0.2">
      <c r="A203" s="8">
        <v>100.5</v>
      </c>
      <c r="B203" s="8">
        <v>201</v>
      </c>
      <c r="D203">
        <v>535.58430232557998</v>
      </c>
      <c r="E203">
        <v>214.94186046511999</v>
      </c>
      <c r="F203">
        <v>182.61337209301999</v>
      </c>
      <c r="G203">
        <v>131.18604651163</v>
      </c>
      <c r="I203" s="9">
        <f t="shared" si="22"/>
        <v>83.755813953489991</v>
      </c>
      <c r="J203" s="9">
        <f t="shared" si="23"/>
        <v>352.97093023256002</v>
      </c>
      <c r="K203" s="9">
        <f t="shared" si="24"/>
        <v>83.755813953489991</v>
      </c>
      <c r="L203" s="10">
        <f t="shared" si="21"/>
        <v>0.23728813559322365</v>
      </c>
      <c r="M203" s="10">
        <f t="shared" si="20"/>
        <v>0.24073982902223851</v>
      </c>
      <c r="P203" s="8">
        <f t="shared" si="25"/>
        <v>-26.754307702879395</v>
      </c>
    </row>
    <row r="204" spans="1:16" x14ac:dyDescent="0.2">
      <c r="A204" s="8">
        <v>101</v>
      </c>
      <c r="B204" s="8">
        <v>202</v>
      </c>
      <c r="D204">
        <v>503.71525096524999</v>
      </c>
      <c r="E204">
        <v>210.18339768339999</v>
      </c>
      <c r="F204">
        <v>182.28003875969</v>
      </c>
      <c r="G204">
        <v>131.36143410853001</v>
      </c>
      <c r="I204" s="9">
        <f t="shared" si="22"/>
        <v>78.821963574869983</v>
      </c>
      <c r="J204" s="9">
        <f t="shared" si="23"/>
        <v>321.43521220555999</v>
      </c>
      <c r="K204" s="9">
        <f t="shared" si="24"/>
        <v>78.821963574869983</v>
      </c>
      <c r="L204" s="10">
        <f t="shared" si="21"/>
        <v>0.24521882040870743</v>
      </c>
      <c r="M204" s="10">
        <f t="shared" si="20"/>
        <v>0.24868768644184674</v>
      </c>
      <c r="P204" s="8">
        <f t="shared" si="25"/>
        <v>-24.3361522969277</v>
      </c>
    </row>
    <row r="205" spans="1:16" x14ac:dyDescent="0.2">
      <c r="A205" s="8">
        <v>101.5</v>
      </c>
      <c r="B205" s="8">
        <v>203</v>
      </c>
      <c r="D205">
        <v>512.88127413126995</v>
      </c>
      <c r="E205">
        <v>212.43243243243001</v>
      </c>
      <c r="F205">
        <v>182.79941860464999</v>
      </c>
      <c r="G205">
        <v>131.33624031008</v>
      </c>
      <c r="I205" s="9">
        <f t="shared" si="22"/>
        <v>81.096192122350004</v>
      </c>
      <c r="J205" s="9">
        <f t="shared" si="23"/>
        <v>330.08185552661996</v>
      </c>
      <c r="K205" s="9">
        <f t="shared" si="24"/>
        <v>81.096192122350004</v>
      </c>
      <c r="L205" s="10">
        <f t="shared" si="21"/>
        <v>0.24568509527119364</v>
      </c>
      <c r="M205" s="10">
        <f t="shared" si="20"/>
        <v>0.24917113390845741</v>
      </c>
      <c r="P205" s="8">
        <f t="shared" si="25"/>
        <v>-24.189062201678375</v>
      </c>
    </row>
    <row r="206" spans="1:16" x14ac:dyDescent="0.2">
      <c r="A206" s="8">
        <v>102</v>
      </c>
      <c r="B206" s="8">
        <v>204</v>
      </c>
      <c r="D206">
        <v>511.34749034749001</v>
      </c>
      <c r="E206">
        <v>211.40540540540999</v>
      </c>
      <c r="F206">
        <v>182.18992248062</v>
      </c>
      <c r="G206">
        <v>131.16279069767</v>
      </c>
      <c r="I206" s="9">
        <f t="shared" si="22"/>
        <v>80.242614707739989</v>
      </c>
      <c r="J206" s="9">
        <f t="shared" si="23"/>
        <v>329.15756786687001</v>
      </c>
      <c r="K206" s="9">
        <f t="shared" si="24"/>
        <v>80.242614707739989</v>
      </c>
      <c r="L206" s="10">
        <f t="shared" si="21"/>
        <v>0.2437817706205517</v>
      </c>
      <c r="M206" s="10">
        <f t="shared" si="20"/>
        <v>0.24728498186193992</v>
      </c>
      <c r="P206" s="8">
        <f t="shared" si="25"/>
        <v>-24.762928657370018</v>
      </c>
    </row>
    <row r="207" spans="1:16" x14ac:dyDescent="0.2">
      <c r="A207" s="8">
        <v>102.5</v>
      </c>
      <c r="B207" s="8">
        <v>205</v>
      </c>
      <c r="D207">
        <v>536.85493230173995</v>
      </c>
      <c r="E207">
        <v>217.69632495164001</v>
      </c>
      <c r="F207">
        <v>182.60174418605001</v>
      </c>
      <c r="G207">
        <v>131.05717054263999</v>
      </c>
      <c r="I207" s="9">
        <f t="shared" si="22"/>
        <v>86.639154409000014</v>
      </c>
      <c r="J207" s="9">
        <f t="shared" si="23"/>
        <v>354.25318811568991</v>
      </c>
      <c r="K207" s="9">
        <f t="shared" si="24"/>
        <v>86.639154409000014</v>
      </c>
      <c r="L207" s="10">
        <f t="shared" si="21"/>
        <v>0.24456845362449048</v>
      </c>
      <c r="M207" s="10">
        <f t="shared" si="20"/>
        <v>0.24808883747000315</v>
      </c>
      <c r="P207" s="8">
        <f t="shared" si="25"/>
        <v>-24.518353587433939</v>
      </c>
    </row>
    <row r="208" spans="1:16" x14ac:dyDescent="0.2">
      <c r="A208" s="8">
        <v>103</v>
      </c>
      <c r="B208" s="8">
        <v>206</v>
      </c>
      <c r="D208">
        <v>534.94390715666998</v>
      </c>
      <c r="E208">
        <v>218.05222437136999</v>
      </c>
      <c r="F208">
        <v>182.50581395348999</v>
      </c>
      <c r="G208">
        <v>130.31976744185999</v>
      </c>
      <c r="I208" s="9">
        <f t="shared" si="22"/>
        <v>87.732456929509993</v>
      </c>
      <c r="J208" s="9">
        <f t="shared" si="23"/>
        <v>352.43809320317996</v>
      </c>
      <c r="K208" s="9">
        <f t="shared" si="24"/>
        <v>87.732456929509993</v>
      </c>
      <c r="L208" s="10">
        <f t="shared" si="21"/>
        <v>0.24893012027202288</v>
      </c>
      <c r="M208" s="10">
        <f t="shared" si="20"/>
        <v>0.25246767672165998</v>
      </c>
      <c r="P208" s="8">
        <f t="shared" si="25"/>
        <v>-23.186080844082515</v>
      </c>
    </row>
    <row r="209" spans="1:16" x14ac:dyDescent="0.2">
      <c r="A209" s="8">
        <v>103.5</v>
      </c>
      <c r="B209" s="8">
        <v>207</v>
      </c>
      <c r="D209">
        <v>531.26112185686998</v>
      </c>
      <c r="E209">
        <v>220.17698259188001</v>
      </c>
      <c r="F209">
        <v>183.32170542636001</v>
      </c>
      <c r="G209">
        <v>131.31298449612001</v>
      </c>
      <c r="I209" s="9">
        <f t="shared" si="22"/>
        <v>88.863998095759996</v>
      </c>
      <c r="J209" s="9">
        <f t="shared" si="23"/>
        <v>347.93941643050994</v>
      </c>
      <c r="K209" s="9">
        <f t="shared" si="24"/>
        <v>88.863998095759996</v>
      </c>
      <c r="L209" s="10">
        <f t="shared" si="21"/>
        <v>0.2554007792718932</v>
      </c>
      <c r="M209" s="10">
        <f t="shared" si="20"/>
        <v>0.25895550832565478</v>
      </c>
      <c r="P209" s="8">
        <f t="shared" si="25"/>
        <v>-21.212141927236978</v>
      </c>
    </row>
    <row r="210" spans="1:16" x14ac:dyDescent="0.2">
      <c r="A210" s="8">
        <v>104</v>
      </c>
      <c r="B210" s="8">
        <v>208</v>
      </c>
      <c r="D210">
        <v>533.09496124031</v>
      </c>
      <c r="E210">
        <v>217.97189922480999</v>
      </c>
      <c r="F210">
        <v>182.33624031008</v>
      </c>
      <c r="G210">
        <v>130.86531007752001</v>
      </c>
      <c r="I210" s="9">
        <f t="shared" si="22"/>
        <v>87.106589147289981</v>
      </c>
      <c r="J210" s="9">
        <f t="shared" si="23"/>
        <v>350.75872093022997</v>
      </c>
      <c r="K210" s="9">
        <f t="shared" si="24"/>
        <v>87.106589147289981</v>
      </c>
      <c r="L210" s="10">
        <f t="shared" si="21"/>
        <v>0.24833762911519028</v>
      </c>
      <c r="M210" s="10">
        <f t="shared" si="20"/>
        <v>0.25190953077307632</v>
      </c>
      <c r="P210" s="8">
        <f t="shared" si="25"/>
        <v>-23.355898138432536</v>
      </c>
    </row>
    <row r="211" spans="1:16" x14ac:dyDescent="0.2">
      <c r="A211" s="8">
        <v>104.5</v>
      </c>
      <c r="B211" s="8">
        <v>209</v>
      </c>
      <c r="D211">
        <v>539.32170542636004</v>
      </c>
      <c r="E211">
        <v>218.74127906977</v>
      </c>
      <c r="F211">
        <v>183.81686046511999</v>
      </c>
      <c r="G211">
        <v>130.90213178294999</v>
      </c>
      <c r="I211" s="9">
        <f t="shared" si="22"/>
        <v>87.839147286820008</v>
      </c>
      <c r="J211" s="9">
        <f t="shared" si="23"/>
        <v>355.50484496124005</v>
      </c>
      <c r="K211" s="9">
        <f t="shared" si="24"/>
        <v>87.839147286820008</v>
      </c>
      <c r="L211" s="10">
        <f t="shared" si="21"/>
        <v>0.24708284157532909</v>
      </c>
      <c r="M211" s="10">
        <f t="shared" si="20"/>
        <v>0.25067191583733955</v>
      </c>
      <c r="P211" s="8">
        <f t="shared" si="25"/>
        <v>-23.732445563648671</v>
      </c>
    </row>
    <row r="212" spans="1:16" x14ac:dyDescent="0.2">
      <c r="A212" s="8">
        <v>105</v>
      </c>
      <c r="B212" s="8">
        <v>210</v>
      </c>
      <c r="D212">
        <v>524.56782945735995</v>
      </c>
      <c r="E212">
        <v>217.79263565892001</v>
      </c>
      <c r="F212">
        <v>182.32655038760001</v>
      </c>
      <c r="G212">
        <v>130.68604651163</v>
      </c>
      <c r="I212" s="9">
        <f t="shared" si="22"/>
        <v>87.106589147290009</v>
      </c>
      <c r="J212" s="9">
        <f t="shared" si="23"/>
        <v>342.24127906975991</v>
      </c>
      <c r="K212" s="9">
        <f t="shared" si="24"/>
        <v>87.106589147290009</v>
      </c>
      <c r="L212" s="10">
        <f t="shared" si="21"/>
        <v>0.25451806802514565</v>
      </c>
      <c r="M212" s="10">
        <f t="shared" si="20"/>
        <v>0.25812431489128057</v>
      </c>
      <c r="P212" s="8">
        <f t="shared" si="25"/>
        <v>-21.465034598885161</v>
      </c>
    </row>
    <row r="213" spans="1:16" x14ac:dyDescent="0.2">
      <c r="A213" s="8">
        <v>105.5</v>
      </c>
      <c r="B213" s="8">
        <v>211</v>
      </c>
      <c r="D213">
        <v>540.39825581394996</v>
      </c>
      <c r="E213">
        <v>220.17635658915</v>
      </c>
      <c r="F213">
        <v>182.83430232558001</v>
      </c>
      <c r="G213">
        <v>130.99031007752001</v>
      </c>
      <c r="I213" s="9">
        <f t="shared" si="22"/>
        <v>89.186046511629996</v>
      </c>
      <c r="J213" s="9">
        <f t="shared" si="23"/>
        <v>357.56395348836998</v>
      </c>
      <c r="K213" s="9">
        <f t="shared" si="24"/>
        <v>89.186046511629996</v>
      </c>
      <c r="L213" s="10">
        <f t="shared" si="21"/>
        <v>0.24942683858799777</v>
      </c>
      <c r="M213" s="10">
        <f t="shared" si="20"/>
        <v>0.25305025805825715</v>
      </c>
      <c r="P213" s="8">
        <f t="shared" si="25"/>
        <v>-23.008829022097963</v>
      </c>
    </row>
    <row r="214" spans="1:16" x14ac:dyDescent="0.2">
      <c r="A214" s="8">
        <v>106</v>
      </c>
      <c r="B214" s="8">
        <v>212</v>
      </c>
      <c r="D214">
        <v>526.02906976743998</v>
      </c>
      <c r="E214">
        <v>217.55426356589001</v>
      </c>
      <c r="F214">
        <v>182.75968992247999</v>
      </c>
      <c r="G214">
        <v>130.80135658915</v>
      </c>
      <c r="I214" s="9">
        <f t="shared" si="22"/>
        <v>86.752906976740007</v>
      </c>
      <c r="J214" s="9">
        <f t="shared" si="23"/>
        <v>343.26937984495999</v>
      </c>
      <c r="K214" s="9">
        <f t="shared" si="24"/>
        <v>86.752906976740007</v>
      </c>
      <c r="L214" s="10">
        <f t="shared" si="21"/>
        <v>0.25272544558423055</v>
      </c>
      <c r="M214" s="10">
        <f t="shared" si="20"/>
        <v>0.25636603765861438</v>
      </c>
      <c r="P214" s="8">
        <f t="shared" si="25"/>
        <v>-21.999994824120694</v>
      </c>
    </row>
    <row r="215" spans="1:16" x14ac:dyDescent="0.2">
      <c r="A215" s="8">
        <v>106.5</v>
      </c>
      <c r="B215" s="8">
        <v>213</v>
      </c>
      <c r="D215">
        <v>551.64</v>
      </c>
      <c r="E215">
        <v>224.60975609755999</v>
      </c>
      <c r="F215">
        <v>183.03682170542999</v>
      </c>
      <c r="G215">
        <v>131.13662790698001</v>
      </c>
      <c r="I215" s="9">
        <f t="shared" si="22"/>
        <v>93.473128190579985</v>
      </c>
      <c r="J215" s="9">
        <f t="shared" si="23"/>
        <v>368.60317829457</v>
      </c>
      <c r="K215" s="9">
        <f t="shared" si="24"/>
        <v>93.473128190579985</v>
      </c>
      <c r="L215" s="10">
        <f t="shared" si="21"/>
        <v>0.25358741783794586</v>
      </c>
      <c r="M215" s="10">
        <f t="shared" si="20"/>
        <v>0.25724518251645417</v>
      </c>
      <c r="P215" s="8">
        <f t="shared" si="25"/>
        <v>-21.732512812508975</v>
      </c>
    </row>
    <row r="216" spans="1:16" x14ac:dyDescent="0.2">
      <c r="A216" s="8">
        <v>107</v>
      </c>
      <c r="B216" s="8">
        <v>214</v>
      </c>
      <c r="D216">
        <v>560.41951219511998</v>
      </c>
      <c r="E216">
        <v>227.29073170731999</v>
      </c>
      <c r="F216">
        <v>182.90794573643001</v>
      </c>
      <c r="G216">
        <v>131.32751937985</v>
      </c>
      <c r="I216" s="9">
        <f t="shared" si="22"/>
        <v>95.963212327469989</v>
      </c>
      <c r="J216" s="9">
        <f t="shared" si="23"/>
        <v>377.51156645868997</v>
      </c>
      <c r="K216" s="9">
        <f t="shared" si="24"/>
        <v>95.963212327469989</v>
      </c>
      <c r="L216" s="10">
        <f t="shared" si="21"/>
        <v>0.25419939639907951</v>
      </c>
      <c r="M216" s="10">
        <f t="shared" si="20"/>
        <v>0.25787433368171225</v>
      </c>
      <c r="P216" s="8">
        <f t="shared" si="25"/>
        <v>-21.54109200421966</v>
      </c>
    </row>
    <row r="217" spans="1:16" x14ac:dyDescent="0.2">
      <c r="A217" s="8">
        <v>107.5</v>
      </c>
      <c r="B217" s="8">
        <v>215</v>
      </c>
      <c r="D217">
        <v>570.23512195121998</v>
      </c>
      <c r="E217">
        <v>228.37073170732</v>
      </c>
      <c r="F217">
        <v>182.41957364340999</v>
      </c>
      <c r="G217">
        <v>131.16860465116</v>
      </c>
      <c r="I217" s="9">
        <f t="shared" si="22"/>
        <v>97.202127056160009</v>
      </c>
      <c r="J217" s="9">
        <f t="shared" si="23"/>
        <v>387.81554830780999</v>
      </c>
      <c r="K217" s="9">
        <f t="shared" si="24"/>
        <v>97.202127056160009</v>
      </c>
      <c r="L217" s="10">
        <f t="shared" si="21"/>
        <v>0.25064009805767373</v>
      </c>
      <c r="M217" s="10">
        <f t="shared" si="20"/>
        <v>0.25433220794443095</v>
      </c>
      <c r="P217" s="8">
        <f t="shared" si="25"/>
        <v>-22.61879257784037</v>
      </c>
    </row>
    <row r="218" spans="1:16" x14ac:dyDescent="0.2">
      <c r="A218" s="8">
        <v>108</v>
      </c>
      <c r="B218" s="8">
        <v>216</v>
      </c>
      <c r="D218">
        <v>588.10658914729004</v>
      </c>
      <c r="E218">
        <v>233.46027131783001</v>
      </c>
      <c r="F218">
        <v>182.58333333332999</v>
      </c>
      <c r="G218">
        <v>130.25484496124</v>
      </c>
      <c r="I218" s="9">
        <f t="shared" si="22"/>
        <v>103.20542635659001</v>
      </c>
      <c r="J218" s="9">
        <f t="shared" si="23"/>
        <v>405.52325581396008</v>
      </c>
      <c r="K218" s="9">
        <f t="shared" si="24"/>
        <v>103.20542635659001</v>
      </c>
      <c r="L218" s="10">
        <f t="shared" si="21"/>
        <v>0.2544994026284329</v>
      </c>
      <c r="M218" s="10">
        <f t="shared" si="20"/>
        <v>0.25820868511931455</v>
      </c>
      <c r="P218" s="8">
        <f t="shared" si="25"/>
        <v>-21.439364746967783</v>
      </c>
    </row>
    <row r="219" spans="1:16" x14ac:dyDescent="0.2">
      <c r="A219" s="8">
        <v>108.5</v>
      </c>
      <c r="B219" s="8">
        <v>217</v>
      </c>
      <c r="D219">
        <v>580.21899224805998</v>
      </c>
      <c r="E219">
        <v>233.00387596899</v>
      </c>
      <c r="F219">
        <v>182.69186046511999</v>
      </c>
      <c r="G219">
        <v>131.21220930233</v>
      </c>
      <c r="I219" s="9">
        <f t="shared" si="22"/>
        <v>101.79166666666001</v>
      </c>
      <c r="J219" s="9">
        <f t="shared" si="23"/>
        <v>397.52713178293999</v>
      </c>
      <c r="K219" s="9">
        <f t="shared" si="24"/>
        <v>101.79166666666001</v>
      </c>
      <c r="L219" s="10">
        <f t="shared" si="21"/>
        <v>0.25606218677481585</v>
      </c>
      <c r="M219" s="10">
        <f t="shared" si="20"/>
        <v>0.25978864186982192</v>
      </c>
      <c r="P219" s="8">
        <f t="shared" si="25"/>
        <v>-20.958658972354431</v>
      </c>
    </row>
    <row r="220" spans="1:16" x14ac:dyDescent="0.2">
      <c r="A220" s="8">
        <v>109</v>
      </c>
      <c r="B220" s="8">
        <v>218</v>
      </c>
      <c r="D220">
        <v>593.58076923076999</v>
      </c>
      <c r="E220">
        <v>234.20769230769</v>
      </c>
      <c r="F220">
        <v>182.32364341085</v>
      </c>
      <c r="G220">
        <v>131.73643410853001</v>
      </c>
      <c r="I220" s="9">
        <f t="shared" si="22"/>
        <v>102.47125819915999</v>
      </c>
      <c r="J220" s="9">
        <f t="shared" si="23"/>
        <v>411.25712581992002</v>
      </c>
      <c r="K220" s="9">
        <f t="shared" si="24"/>
        <v>102.47125819915999</v>
      </c>
      <c r="L220" s="10">
        <f t="shared" si="21"/>
        <v>0.24916591535007174</v>
      </c>
      <c r="M220" s="10">
        <f t="shared" si="20"/>
        <v>0.25290954304920227</v>
      </c>
      <c r="P220" s="8">
        <f t="shared" si="25"/>
        <v>-23.051641913910178</v>
      </c>
    </row>
    <row r="221" spans="1:16" x14ac:dyDescent="0.2">
      <c r="A221" s="8">
        <v>109.5</v>
      </c>
      <c r="B221" s="8">
        <v>219</v>
      </c>
      <c r="D221">
        <v>588.20288461538996</v>
      </c>
      <c r="E221">
        <v>233.97692307692</v>
      </c>
      <c r="F221">
        <v>182.05329457363999</v>
      </c>
      <c r="G221">
        <v>130.58333333332999</v>
      </c>
      <c r="I221" s="9">
        <f t="shared" si="22"/>
        <v>103.39358974359001</v>
      </c>
      <c r="J221" s="9">
        <f t="shared" si="23"/>
        <v>406.14959004175</v>
      </c>
      <c r="K221" s="9">
        <f t="shared" si="24"/>
        <v>103.39358974359001</v>
      </c>
      <c r="L221" s="10">
        <f t="shared" si="21"/>
        <v>0.25457021816262748</v>
      </c>
      <c r="M221" s="10">
        <f t="shared" si="20"/>
        <v>0.25833101846588247</v>
      </c>
      <c r="P221" s="8">
        <f t="shared" si="25"/>
        <v>-21.402144521728019</v>
      </c>
    </row>
    <row r="222" spans="1:16" x14ac:dyDescent="0.2">
      <c r="A222" s="8">
        <v>110</v>
      </c>
      <c r="B222" s="8">
        <v>220</v>
      </c>
      <c r="D222">
        <v>564.49423076922994</v>
      </c>
      <c r="E222">
        <v>230.80288461539001</v>
      </c>
      <c r="F222">
        <v>182.25</v>
      </c>
      <c r="G222">
        <v>131.2238372093</v>
      </c>
      <c r="I222" s="9">
        <f t="shared" si="22"/>
        <v>99.579047406090012</v>
      </c>
      <c r="J222" s="9">
        <f t="shared" si="23"/>
        <v>382.24423076922994</v>
      </c>
      <c r="K222" s="9">
        <f t="shared" si="24"/>
        <v>99.579047406090012</v>
      </c>
      <c r="L222" s="10">
        <f t="shared" si="21"/>
        <v>0.26051157712883383</v>
      </c>
      <c r="M222" s="10">
        <f t="shared" si="20"/>
        <v>0.26428955003621329</v>
      </c>
      <c r="P222" s="8">
        <f t="shared" si="25"/>
        <v>-19.589246457806844</v>
      </c>
    </row>
    <row r="223" spans="1:16" x14ac:dyDescent="0.2">
      <c r="A223" s="8">
        <v>110.5</v>
      </c>
      <c r="B223" s="8">
        <v>221</v>
      </c>
      <c r="D223">
        <v>574.79479768785995</v>
      </c>
      <c r="E223">
        <v>234.29094412331</v>
      </c>
      <c r="F223">
        <v>181.77810077519001</v>
      </c>
      <c r="G223">
        <v>131.1511627907</v>
      </c>
      <c r="I223" s="9">
        <f t="shared" si="22"/>
        <v>103.13978133261</v>
      </c>
      <c r="J223" s="9">
        <f t="shared" si="23"/>
        <v>393.01669691266994</v>
      </c>
      <c r="K223" s="9">
        <f t="shared" si="24"/>
        <v>103.13978133261</v>
      </c>
      <c r="L223" s="10">
        <f t="shared" si="21"/>
        <v>0.26243104209775625</v>
      </c>
      <c r="M223" s="10">
        <f t="shared" si="20"/>
        <v>0.26622618760926015</v>
      </c>
      <c r="P223" s="8">
        <f t="shared" si="25"/>
        <v>-19.000019654985913</v>
      </c>
    </row>
    <row r="224" spans="1:16" x14ac:dyDescent="0.2">
      <c r="A224" s="8">
        <v>111</v>
      </c>
      <c r="B224" s="8">
        <v>222</v>
      </c>
      <c r="D224">
        <v>575.89210019268</v>
      </c>
      <c r="E224">
        <v>234.0289017341</v>
      </c>
      <c r="F224">
        <v>183.11821705425999</v>
      </c>
      <c r="G224">
        <v>130.85465116278999</v>
      </c>
      <c r="I224" s="9">
        <f t="shared" si="22"/>
        <v>103.17425057131001</v>
      </c>
      <c r="J224" s="9">
        <f t="shared" si="23"/>
        <v>392.77388313842005</v>
      </c>
      <c r="K224" s="9">
        <f t="shared" si="24"/>
        <v>103.17425057131001</v>
      </c>
      <c r="L224" s="10">
        <f t="shared" si="21"/>
        <v>0.26268103608851634</v>
      </c>
      <c r="M224" s="10">
        <f t="shared" si="20"/>
        <v>0.26649335420414472</v>
      </c>
      <c r="P224" s="8">
        <f t="shared" si="25"/>
        <v>-18.918733553386257</v>
      </c>
    </row>
    <row r="225" spans="1:16" x14ac:dyDescent="0.2">
      <c r="A225" s="8">
        <v>111.5</v>
      </c>
      <c r="B225" s="8">
        <v>223</v>
      </c>
      <c r="D225">
        <v>595.95777351248</v>
      </c>
      <c r="E225">
        <v>238.1669865643</v>
      </c>
      <c r="F225">
        <v>182.61240310078</v>
      </c>
      <c r="G225">
        <v>131.39728682171</v>
      </c>
      <c r="I225" s="9">
        <f t="shared" si="22"/>
        <v>106.76969974259001</v>
      </c>
      <c r="J225" s="9">
        <f t="shared" si="23"/>
        <v>413.3453704117</v>
      </c>
      <c r="K225" s="9">
        <f t="shared" si="24"/>
        <v>106.76969974259001</v>
      </c>
      <c r="L225" s="10">
        <f t="shared" si="21"/>
        <v>0.25830626731405099</v>
      </c>
      <c r="M225" s="10">
        <f t="shared" si="20"/>
        <v>0.26213575803380379</v>
      </c>
      <c r="P225" s="8">
        <f t="shared" si="25"/>
        <v>-20.24454303636308</v>
      </c>
    </row>
    <row r="226" spans="1:16" x14ac:dyDescent="0.2">
      <c r="A226" s="8">
        <v>112</v>
      </c>
      <c r="B226" s="8">
        <v>224</v>
      </c>
      <c r="D226">
        <v>588.34644913627994</v>
      </c>
      <c r="E226">
        <v>237.96641074856001</v>
      </c>
      <c r="F226">
        <v>181.72480620155</v>
      </c>
      <c r="G226">
        <v>130.63565891472999</v>
      </c>
      <c r="I226" s="9">
        <f t="shared" si="22"/>
        <v>107.33075183383002</v>
      </c>
      <c r="J226" s="9">
        <f t="shared" si="23"/>
        <v>406.62164293472995</v>
      </c>
      <c r="K226" s="9">
        <f t="shared" si="24"/>
        <v>107.33075183383002</v>
      </c>
      <c r="L226" s="10">
        <f t="shared" si="21"/>
        <v>0.26395730207370816</v>
      </c>
      <c r="M226" s="10">
        <f t="shared" si="20"/>
        <v>0.26780396539758544</v>
      </c>
      <c r="P226" s="8">
        <f t="shared" si="25"/>
        <v>-18.519976835040936</v>
      </c>
    </row>
    <row r="227" spans="1:16" x14ac:dyDescent="0.2">
      <c r="A227" s="8">
        <v>112.5</v>
      </c>
      <c r="B227" s="8">
        <v>225</v>
      </c>
      <c r="D227">
        <v>578.57569913211</v>
      </c>
      <c r="E227">
        <v>236.87367405979001</v>
      </c>
      <c r="F227">
        <v>181.76065891472999</v>
      </c>
      <c r="G227">
        <v>131.22771317830001</v>
      </c>
      <c r="I227" s="9">
        <f t="shared" si="22"/>
        <v>105.64596088149</v>
      </c>
      <c r="J227" s="9">
        <f t="shared" si="23"/>
        <v>396.81504021737999</v>
      </c>
      <c r="K227" s="9">
        <f t="shared" si="24"/>
        <v>105.64596088149</v>
      </c>
      <c r="L227" s="10">
        <f t="shared" si="21"/>
        <v>0.26623476979001576</v>
      </c>
      <c r="M227" s="10">
        <f t="shared" si="20"/>
        <v>0.27009860571801747</v>
      </c>
      <c r="P227" s="8">
        <f t="shared" si="25"/>
        <v>-17.821826805087209</v>
      </c>
    </row>
    <row r="228" spans="1:16" x14ac:dyDescent="0.2">
      <c r="A228" s="8">
        <v>113</v>
      </c>
      <c r="B228" s="8">
        <v>226</v>
      </c>
      <c r="D228">
        <v>562.48216007714996</v>
      </c>
      <c r="E228">
        <v>231.71070395371001</v>
      </c>
      <c r="F228">
        <v>182.13178294574001</v>
      </c>
      <c r="G228">
        <v>131.25968992247999</v>
      </c>
      <c r="I228" s="9">
        <f t="shared" si="22"/>
        <v>100.45101403123002</v>
      </c>
      <c r="J228" s="9">
        <f t="shared" si="23"/>
        <v>380.35037713140991</v>
      </c>
      <c r="K228" s="9">
        <f t="shared" si="24"/>
        <v>100.45101403123002</v>
      </c>
      <c r="L228" s="10">
        <f t="shared" si="21"/>
        <v>0.26410126049782906</v>
      </c>
      <c r="M228" s="10">
        <f t="shared" si="20"/>
        <v>0.26798226902995526</v>
      </c>
      <c r="P228" s="8">
        <f t="shared" si="25"/>
        <v>-18.465727511009007</v>
      </c>
    </row>
    <row r="229" spans="1:16" x14ac:dyDescent="0.2">
      <c r="A229" s="8">
        <v>113.5</v>
      </c>
      <c r="B229" s="8">
        <v>227</v>
      </c>
      <c r="D229">
        <v>571.02135922330001</v>
      </c>
      <c r="E229">
        <v>234.09223300970999</v>
      </c>
      <c r="F229">
        <v>182.24031007752001</v>
      </c>
      <c r="G229">
        <v>130.80426356589001</v>
      </c>
      <c r="I229" s="9">
        <f t="shared" si="22"/>
        <v>103.28796944381997</v>
      </c>
      <c r="J229" s="9">
        <f t="shared" si="23"/>
        <v>388.78104914578</v>
      </c>
      <c r="K229" s="9">
        <f t="shared" si="24"/>
        <v>103.28796944381997</v>
      </c>
      <c r="L229" s="10">
        <f t="shared" si="21"/>
        <v>0.26567130694966157</v>
      </c>
      <c r="M229" s="10">
        <f t="shared" si="20"/>
        <v>0.26956948808591219</v>
      </c>
      <c r="P229" s="8">
        <f t="shared" si="25"/>
        <v>-17.982812161883256</v>
      </c>
    </row>
    <row r="230" spans="1:16" x14ac:dyDescent="0.2">
      <c r="A230" s="8">
        <v>114</v>
      </c>
      <c r="B230" s="8">
        <v>228</v>
      </c>
      <c r="D230">
        <v>562.06019417476</v>
      </c>
      <c r="E230">
        <v>232.7213592233</v>
      </c>
      <c r="F230">
        <v>180.67054263566001</v>
      </c>
      <c r="G230">
        <v>130.74806201550001</v>
      </c>
      <c r="I230" s="9">
        <f t="shared" si="22"/>
        <v>101.97329720779999</v>
      </c>
      <c r="J230" s="9">
        <f t="shared" si="23"/>
        <v>381.38965153909999</v>
      </c>
      <c r="K230" s="9">
        <f t="shared" si="24"/>
        <v>101.97329720779999</v>
      </c>
      <c r="L230" s="10">
        <f t="shared" si="21"/>
        <v>0.26737300499970618</v>
      </c>
      <c r="M230" s="10">
        <f t="shared" si="20"/>
        <v>0.27128835874008123</v>
      </c>
      <c r="P230" s="8">
        <f t="shared" si="25"/>
        <v>-17.459841486257393</v>
      </c>
    </row>
    <row r="231" spans="1:16" x14ac:dyDescent="0.2">
      <c r="A231" s="8">
        <v>114.5</v>
      </c>
      <c r="B231" s="8">
        <v>229</v>
      </c>
      <c r="D231">
        <v>578.21941747572998</v>
      </c>
      <c r="E231">
        <v>239.25922330097001</v>
      </c>
      <c r="F231">
        <v>182.79069767441999</v>
      </c>
      <c r="G231">
        <v>131.09496124031</v>
      </c>
      <c r="I231" s="9">
        <f t="shared" si="22"/>
        <v>108.16426206066001</v>
      </c>
      <c r="J231" s="9">
        <f t="shared" si="23"/>
        <v>395.42871980130997</v>
      </c>
      <c r="K231" s="9">
        <f t="shared" si="24"/>
        <v>108.16426206066001</v>
      </c>
      <c r="L231" s="10">
        <f t="shared" si="21"/>
        <v>0.27353668725683106</v>
      </c>
      <c r="M231" s="10">
        <f t="shared" si="20"/>
        <v>0.27746921360133059</v>
      </c>
      <c r="P231" s="8">
        <f t="shared" si="25"/>
        <v>-15.579301007604759</v>
      </c>
    </row>
    <row r="232" spans="1:16" x14ac:dyDescent="0.2">
      <c r="A232" s="8">
        <v>115</v>
      </c>
      <c r="B232" s="8">
        <v>230</v>
      </c>
      <c r="D232">
        <v>574.20776699029</v>
      </c>
      <c r="E232">
        <v>237.59805825243001</v>
      </c>
      <c r="F232">
        <v>181.94186046511999</v>
      </c>
      <c r="G232">
        <v>131.11046511628001</v>
      </c>
      <c r="I232" s="9">
        <f t="shared" si="22"/>
        <v>106.48759313615</v>
      </c>
      <c r="J232" s="9">
        <f t="shared" si="23"/>
        <v>392.26590652517001</v>
      </c>
      <c r="K232" s="9">
        <f t="shared" si="24"/>
        <v>106.48759313615</v>
      </c>
      <c r="L232" s="10">
        <f t="shared" si="21"/>
        <v>0.27146787769412517</v>
      </c>
      <c r="M232" s="10">
        <f t="shared" si="20"/>
        <v>0.27541757664274913</v>
      </c>
      <c r="P232" s="8">
        <f t="shared" si="25"/>
        <v>-16.203516659763327</v>
      </c>
    </row>
    <row r="233" spans="1:16" x14ac:dyDescent="0.2">
      <c r="A233" s="8">
        <v>115.5</v>
      </c>
      <c r="B233" s="8">
        <v>231</v>
      </c>
      <c r="D233">
        <v>571.37281553397997</v>
      </c>
      <c r="E233">
        <v>236.94660194175</v>
      </c>
      <c r="F233">
        <v>182.1773255814</v>
      </c>
      <c r="G233">
        <v>131.52131782946</v>
      </c>
      <c r="I233" s="9">
        <f t="shared" si="22"/>
        <v>105.42528411229</v>
      </c>
      <c r="J233" s="9">
        <f t="shared" si="23"/>
        <v>389.19548995257998</v>
      </c>
      <c r="K233" s="9">
        <f t="shared" si="24"/>
        <v>105.42528411229</v>
      </c>
      <c r="L233" s="10">
        <f t="shared" si="21"/>
        <v>0.27088002516456483</v>
      </c>
      <c r="M233" s="10">
        <f t="shared" si="20"/>
        <v>0.27484689671731327</v>
      </c>
      <c r="P233" s="8">
        <f t="shared" si="25"/>
        <v>-16.377147447773719</v>
      </c>
    </row>
    <row r="234" spans="1:16" x14ac:dyDescent="0.2">
      <c r="A234" s="8">
        <v>116</v>
      </c>
      <c r="B234" s="8">
        <v>232</v>
      </c>
      <c r="D234">
        <v>569.29999999999995</v>
      </c>
      <c r="E234">
        <v>238.03009708738</v>
      </c>
      <c r="F234">
        <v>183.08042635659001</v>
      </c>
      <c r="G234">
        <v>130.7238372093</v>
      </c>
      <c r="I234" s="9">
        <f t="shared" si="22"/>
        <v>107.30625987808</v>
      </c>
      <c r="J234" s="9">
        <f t="shared" si="23"/>
        <v>386.21957364340994</v>
      </c>
      <c r="K234" s="9">
        <f t="shared" si="24"/>
        <v>107.30625987808</v>
      </c>
      <c r="L234" s="10">
        <f t="shared" si="21"/>
        <v>0.27783744584927245</v>
      </c>
      <c r="M234" s="10">
        <f t="shared" si="20"/>
        <v>0.28182149000614531</v>
      </c>
      <c r="P234" s="8">
        <f t="shared" si="25"/>
        <v>-14.255110076532738</v>
      </c>
    </row>
    <row r="235" spans="1:16" x14ac:dyDescent="0.2">
      <c r="A235" s="8">
        <v>116.5</v>
      </c>
      <c r="B235" s="8">
        <v>233</v>
      </c>
      <c r="D235">
        <v>576.02330097086997</v>
      </c>
      <c r="E235">
        <v>240.17961165048999</v>
      </c>
      <c r="F235">
        <v>182.75775193798</v>
      </c>
      <c r="G235">
        <v>130.85658914729001</v>
      </c>
      <c r="I235" s="9">
        <f t="shared" si="22"/>
        <v>109.32302250319998</v>
      </c>
      <c r="J235" s="9">
        <f t="shared" si="23"/>
        <v>393.26554903288996</v>
      </c>
      <c r="K235" s="9">
        <f t="shared" si="24"/>
        <v>109.32302250319998</v>
      </c>
      <c r="L235" s="10">
        <f t="shared" si="21"/>
        <v>0.27798779418142466</v>
      </c>
      <c r="M235" s="10">
        <f t="shared" si="20"/>
        <v>0.28198901094242201</v>
      </c>
      <c r="P235" s="8">
        <f t="shared" si="25"/>
        <v>-14.204141414630451</v>
      </c>
    </row>
    <row r="236" spans="1:16" x14ac:dyDescent="0.2">
      <c r="A236" s="8">
        <v>117</v>
      </c>
      <c r="B236" s="8">
        <v>234</v>
      </c>
      <c r="D236">
        <v>593.80694980695</v>
      </c>
      <c r="E236">
        <v>242.21621621622</v>
      </c>
      <c r="F236">
        <v>183.10271317830001</v>
      </c>
      <c r="G236">
        <v>131.22480620155</v>
      </c>
      <c r="I236" s="9">
        <f t="shared" si="22"/>
        <v>110.99141001467001</v>
      </c>
      <c r="J236" s="9">
        <f t="shared" si="23"/>
        <v>410.70423662864999</v>
      </c>
      <c r="K236" s="9">
        <f t="shared" si="24"/>
        <v>110.99141001467001</v>
      </c>
      <c r="L236" s="10">
        <f t="shared" si="21"/>
        <v>0.27024656703267969</v>
      </c>
      <c r="M236" s="10">
        <f t="shared" si="20"/>
        <v>0.27426495639780146</v>
      </c>
      <c r="P236" s="8">
        <f t="shared" si="25"/>
        <v>-16.554204238714252</v>
      </c>
    </row>
    <row r="237" spans="1:16" x14ac:dyDescent="0.2">
      <c r="A237" s="8">
        <v>117.5</v>
      </c>
      <c r="B237" s="8">
        <v>235</v>
      </c>
      <c r="D237">
        <v>592.43629343629004</v>
      </c>
      <c r="E237">
        <v>244.28571428570999</v>
      </c>
      <c r="F237">
        <v>182.5</v>
      </c>
      <c r="G237">
        <v>131.07751937985</v>
      </c>
      <c r="I237" s="9">
        <f t="shared" si="22"/>
        <v>113.20819490585998</v>
      </c>
      <c r="J237" s="9">
        <f t="shared" si="23"/>
        <v>409.93629343629004</v>
      </c>
      <c r="K237" s="9">
        <f t="shared" si="24"/>
        <v>113.20819490585998</v>
      </c>
      <c r="L237" s="10">
        <f t="shared" si="21"/>
        <v>0.27616045887738444</v>
      </c>
      <c r="M237" s="10">
        <f t="shared" si="20"/>
        <v>0.2801960208466307</v>
      </c>
      <c r="P237" s="8">
        <f t="shared" si="25"/>
        <v>-14.749663114888797</v>
      </c>
    </row>
    <row r="238" spans="1:16" x14ac:dyDescent="0.2">
      <c r="A238" s="8">
        <v>118</v>
      </c>
      <c r="B238" s="8">
        <v>236</v>
      </c>
      <c r="D238">
        <v>585.00579150578994</v>
      </c>
      <c r="E238">
        <v>242.34845559845999</v>
      </c>
      <c r="F238">
        <v>182.83817829457001</v>
      </c>
      <c r="G238">
        <v>130.83914728682001</v>
      </c>
      <c r="I238" s="9">
        <f t="shared" si="22"/>
        <v>111.50930831163998</v>
      </c>
      <c r="J238" s="9">
        <f t="shared" si="23"/>
        <v>402.16761321121993</v>
      </c>
      <c r="K238" s="9">
        <f t="shared" si="24"/>
        <v>111.50930831163998</v>
      </c>
      <c r="L238" s="10">
        <f t="shared" si="21"/>
        <v>0.2772707315272423</v>
      </c>
      <c r="M238" s="10">
        <f t="shared" si="20"/>
        <v>0.28132346610061298</v>
      </c>
      <c r="P238" s="8">
        <f t="shared" si="25"/>
        <v>-14.406635089611738</v>
      </c>
    </row>
    <row r="239" spans="1:16" x14ac:dyDescent="0.2">
      <c r="A239" s="8">
        <v>118.5</v>
      </c>
      <c r="B239" s="8">
        <v>237</v>
      </c>
      <c r="D239">
        <v>558.16166505323997</v>
      </c>
      <c r="E239">
        <v>237.66892545983001</v>
      </c>
      <c r="F239">
        <v>181.99515503876</v>
      </c>
      <c r="G239">
        <v>130.92248062016</v>
      </c>
      <c r="I239" s="9">
        <f t="shared" si="22"/>
        <v>106.74644483967</v>
      </c>
      <c r="J239" s="9">
        <f t="shared" si="23"/>
        <v>376.16651001447997</v>
      </c>
      <c r="K239" s="9">
        <f t="shared" si="24"/>
        <v>106.74644483967</v>
      </c>
      <c r="L239" s="10">
        <f t="shared" si="21"/>
        <v>0.28377445093546727</v>
      </c>
      <c r="M239" s="10">
        <f t="shared" si="20"/>
        <v>0.28784435811296238</v>
      </c>
      <c r="P239" s="8">
        <f t="shared" si="25"/>
        <v>-12.422637461221072</v>
      </c>
    </row>
    <row r="240" spans="1:16" x14ac:dyDescent="0.2">
      <c r="A240" s="8">
        <v>119</v>
      </c>
      <c r="B240" s="8">
        <v>238</v>
      </c>
      <c r="D240">
        <v>564.52274927396002</v>
      </c>
      <c r="E240">
        <v>239.32236205228</v>
      </c>
      <c r="F240">
        <v>182.54844961239999</v>
      </c>
      <c r="G240">
        <v>130.87984496124</v>
      </c>
      <c r="I240" s="9">
        <f t="shared" si="22"/>
        <v>108.44251709104</v>
      </c>
      <c r="J240" s="9">
        <f t="shared" si="23"/>
        <v>381.97429966156005</v>
      </c>
      <c r="K240" s="9">
        <f t="shared" si="24"/>
        <v>108.44251709104</v>
      </c>
      <c r="L240" s="10">
        <f t="shared" si="21"/>
        <v>0.28390003512572209</v>
      </c>
      <c r="M240" s="10">
        <f t="shared" si="20"/>
        <v>0.28798711490734169</v>
      </c>
      <c r="P240" s="8">
        <f t="shared" si="25"/>
        <v>-12.379203351140916</v>
      </c>
    </row>
    <row r="241" spans="1:16" x14ac:dyDescent="0.2">
      <c r="A241" s="8">
        <v>119.5</v>
      </c>
      <c r="B241" s="8">
        <v>239</v>
      </c>
      <c r="D241">
        <v>567.69699903194999</v>
      </c>
      <c r="E241">
        <v>240.14811229429</v>
      </c>
      <c r="F241">
        <v>182.08914728682001</v>
      </c>
      <c r="G241">
        <v>131.05329457363999</v>
      </c>
      <c r="I241" s="9">
        <f t="shared" si="22"/>
        <v>109.09481772065001</v>
      </c>
      <c r="J241" s="9">
        <f t="shared" si="23"/>
        <v>385.60785174513001</v>
      </c>
      <c r="K241" s="9">
        <f t="shared" si="24"/>
        <v>109.09481772065001</v>
      </c>
      <c r="L241" s="10">
        <f t="shared" si="21"/>
        <v>0.28291648426484045</v>
      </c>
      <c r="M241" s="10">
        <f t="shared" si="20"/>
        <v>0.28702073665058447</v>
      </c>
      <c r="P241" s="8">
        <f t="shared" si="25"/>
        <v>-12.673226341539104</v>
      </c>
    </row>
    <row r="242" spans="1:16" x14ac:dyDescent="0.2">
      <c r="A242" s="8">
        <v>120</v>
      </c>
      <c r="B242" s="8">
        <v>240</v>
      </c>
      <c r="D242">
        <v>561.69990319457997</v>
      </c>
      <c r="E242">
        <v>240.21587608906</v>
      </c>
      <c r="F242">
        <v>181.61046511628001</v>
      </c>
      <c r="G242">
        <v>131.43120155039</v>
      </c>
      <c r="I242" s="9">
        <f>E242-G242</f>
        <v>108.78467453867</v>
      </c>
      <c r="J242" s="9">
        <f>D242-F242</f>
        <v>380.08943807829996</v>
      </c>
      <c r="K242" s="9">
        <f t="shared" si="24"/>
        <v>108.78467453867</v>
      </c>
      <c r="L242" s="10">
        <f t="shared" si="21"/>
        <v>0.28620809641192901</v>
      </c>
      <c r="M242" s="10">
        <f>L242+ABS($N$2)*A242</f>
        <v>0.29032952140179752</v>
      </c>
      <c r="O242" s="11"/>
      <c r="P242" s="8">
        <f>(M242-$O$2)/$O$2*100</f>
        <v>-11.666520343827491</v>
      </c>
    </row>
    <row r="243" spans="1:16" x14ac:dyDescent="0.2">
      <c r="A243" s="8">
        <v>120.5</v>
      </c>
      <c r="B243" s="8">
        <v>241</v>
      </c>
      <c r="D243">
        <v>559.64762826718004</v>
      </c>
      <c r="E243">
        <v>239.91190706680001</v>
      </c>
      <c r="F243">
        <v>181.57364341085</v>
      </c>
      <c r="G243">
        <v>130.97286821705001</v>
      </c>
      <c r="I243" s="9">
        <f t="shared" ref="I243:I274" si="26">E243-G243</f>
        <v>108.93903884975001</v>
      </c>
      <c r="J243" s="9">
        <f t="shared" ref="J243:J274" si="27">D243-F243</f>
        <v>378.07398485633007</v>
      </c>
      <c r="K243" s="9">
        <f t="shared" si="24"/>
        <v>108.93903884975001</v>
      </c>
      <c r="L243" s="10">
        <f t="shared" si="21"/>
        <v>0.28814211824478575</v>
      </c>
      <c r="M243" s="10">
        <f t="shared" ref="M243:M274" si="28">L243+ABS($N$2)*A243</f>
        <v>0.29228071583877868</v>
      </c>
      <c r="P243" s="8">
        <f t="shared" ref="P243:P274" si="29">(M243-$O$2)/$O$2*100</f>
        <v>-11.072864578915514</v>
      </c>
    </row>
    <row r="244" spans="1:16" x14ac:dyDescent="0.2">
      <c r="A244" s="8">
        <v>121</v>
      </c>
      <c r="B244" s="8">
        <v>242</v>
      </c>
      <c r="D244">
        <v>576.43659244918001</v>
      </c>
      <c r="E244">
        <v>243.85382381413001</v>
      </c>
      <c r="F244">
        <v>182.11337209301999</v>
      </c>
      <c r="G244">
        <v>130.40213178294999</v>
      </c>
      <c r="I244" s="9">
        <f t="shared" si="26"/>
        <v>113.45169203118002</v>
      </c>
      <c r="J244" s="9">
        <f t="shared" si="27"/>
        <v>394.32322035616005</v>
      </c>
      <c r="K244" s="9">
        <f t="shared" si="24"/>
        <v>113.45169203118002</v>
      </c>
      <c r="L244" s="10">
        <f t="shared" si="21"/>
        <v>0.28771243024620347</v>
      </c>
      <c r="M244" s="10">
        <f t="shared" si="28"/>
        <v>0.29186820044432088</v>
      </c>
      <c r="N244" s="1"/>
      <c r="P244" s="8">
        <f t="shared" si="29"/>
        <v>-11.198373414628321</v>
      </c>
    </row>
    <row r="245" spans="1:16" x14ac:dyDescent="0.2">
      <c r="A245" s="8">
        <v>121.5</v>
      </c>
      <c r="B245" s="8">
        <v>243</v>
      </c>
      <c r="D245">
        <v>561.40755082285</v>
      </c>
      <c r="E245">
        <v>242.79574056147001</v>
      </c>
      <c r="F245">
        <v>182.59011627907</v>
      </c>
      <c r="G245">
        <v>130.63565891472999</v>
      </c>
      <c r="I245" s="9">
        <f t="shared" si="26"/>
        <v>112.16008164674003</v>
      </c>
      <c r="J245" s="9">
        <f t="shared" si="27"/>
        <v>378.81743454378</v>
      </c>
      <c r="K245" s="9">
        <f t="shared" si="24"/>
        <v>112.16008164674003</v>
      </c>
      <c r="L245" s="10">
        <f t="shared" si="21"/>
        <v>0.29607951329330295</v>
      </c>
      <c r="M245" s="10">
        <f t="shared" si="28"/>
        <v>0.3002524560955448</v>
      </c>
      <c r="P245" s="8">
        <f t="shared" si="29"/>
        <v>-8.6474427603026811</v>
      </c>
    </row>
    <row r="246" spans="1:16" x14ac:dyDescent="0.2">
      <c r="A246" s="8">
        <v>122</v>
      </c>
      <c r="B246" s="8">
        <v>244</v>
      </c>
      <c r="D246">
        <v>569.60982658959995</v>
      </c>
      <c r="E246">
        <v>244.09344894027001</v>
      </c>
      <c r="F246">
        <v>182.3023255814</v>
      </c>
      <c r="G246">
        <v>131.14728682171</v>
      </c>
      <c r="I246" s="9">
        <f t="shared" si="26"/>
        <v>112.94616211856001</v>
      </c>
      <c r="J246" s="9">
        <f t="shared" si="27"/>
        <v>387.30750100819995</v>
      </c>
      <c r="K246" s="9">
        <f t="shared" si="24"/>
        <v>112.94616211856001</v>
      </c>
      <c r="L246" s="10">
        <f t="shared" si="21"/>
        <v>0.29161883471027522</v>
      </c>
      <c r="M246" s="10">
        <f t="shared" si="28"/>
        <v>0.29580895011664154</v>
      </c>
      <c r="P246" s="8">
        <f t="shared" si="29"/>
        <v>-9.9993905164053825</v>
      </c>
    </row>
    <row r="247" spans="1:16" x14ac:dyDescent="0.2">
      <c r="A247" s="8">
        <v>122.5</v>
      </c>
      <c r="B247" s="8">
        <v>245</v>
      </c>
      <c r="D247">
        <v>569.63294797688002</v>
      </c>
      <c r="E247">
        <v>245.46628131021001</v>
      </c>
      <c r="F247">
        <v>182.78391472868</v>
      </c>
      <c r="G247">
        <v>130.57170542636001</v>
      </c>
      <c r="I247" s="9">
        <f t="shared" si="26"/>
        <v>114.89457588385</v>
      </c>
      <c r="J247" s="9">
        <f t="shared" si="27"/>
        <v>386.84903324820004</v>
      </c>
      <c r="K247" s="9">
        <f t="shared" si="24"/>
        <v>114.89457588385</v>
      </c>
      <c r="L247" s="10">
        <f t="shared" si="21"/>
        <v>0.29700106762354067</v>
      </c>
      <c r="M247" s="10">
        <f t="shared" si="28"/>
        <v>0.30120835563403142</v>
      </c>
      <c r="P247" s="8">
        <f t="shared" si="29"/>
        <v>-8.3566079460248854</v>
      </c>
    </row>
    <row r="248" spans="1:16" x14ac:dyDescent="0.2">
      <c r="A248" s="8">
        <v>123</v>
      </c>
      <c r="B248" s="8">
        <v>246</v>
      </c>
      <c r="D248">
        <v>552.91136801540995</v>
      </c>
      <c r="E248">
        <v>241.81984585742001</v>
      </c>
      <c r="F248">
        <v>181.93895348837</v>
      </c>
      <c r="G248">
        <v>130.74031007752001</v>
      </c>
      <c r="I248" s="9">
        <f t="shared" si="26"/>
        <v>111.0795357799</v>
      </c>
      <c r="J248" s="9">
        <f t="shared" si="27"/>
        <v>370.97241452703997</v>
      </c>
      <c r="K248" s="9">
        <f t="shared" si="24"/>
        <v>111.0795357799</v>
      </c>
      <c r="L248" s="10">
        <f t="shared" si="21"/>
        <v>0.2994280206023337</v>
      </c>
      <c r="M248" s="10">
        <f t="shared" si="28"/>
        <v>0.30365248121694893</v>
      </c>
      <c r="P248" s="8">
        <f t="shared" si="29"/>
        <v>-7.6129766528193086</v>
      </c>
    </row>
    <row r="249" spans="1:16" x14ac:dyDescent="0.2">
      <c r="A249" s="8">
        <v>123.5</v>
      </c>
      <c r="B249" s="8">
        <v>247</v>
      </c>
      <c r="D249">
        <v>563.49132947977</v>
      </c>
      <c r="E249">
        <v>243.71098265896001</v>
      </c>
      <c r="F249">
        <v>182.73062015503999</v>
      </c>
      <c r="G249">
        <v>131.03391472868</v>
      </c>
      <c r="I249" s="9">
        <f t="shared" si="26"/>
        <v>112.67706793028</v>
      </c>
      <c r="J249" s="9">
        <f t="shared" si="27"/>
        <v>380.76070932472999</v>
      </c>
      <c r="K249" s="9">
        <f t="shared" si="24"/>
        <v>112.67706793028</v>
      </c>
      <c r="L249" s="10">
        <f t="shared" si="21"/>
        <v>0.29592619503758694</v>
      </c>
      <c r="M249" s="10">
        <f t="shared" si="28"/>
        <v>0.3001678282563266</v>
      </c>
      <c r="P249" s="8">
        <f t="shared" si="29"/>
        <v>-8.6731909910641729</v>
      </c>
    </row>
    <row r="250" spans="1:16" x14ac:dyDescent="0.2">
      <c r="A250" s="8">
        <v>124</v>
      </c>
      <c r="B250" s="8">
        <v>248</v>
      </c>
      <c r="D250">
        <v>563.44894026974998</v>
      </c>
      <c r="E250">
        <v>246.73988439306001</v>
      </c>
      <c r="F250">
        <v>181.14825581394999</v>
      </c>
      <c r="G250">
        <v>131.34786821705001</v>
      </c>
      <c r="I250" s="9">
        <f t="shared" si="26"/>
        <v>115.39201617601</v>
      </c>
      <c r="J250" s="9">
        <f t="shared" si="27"/>
        <v>382.30068445580002</v>
      </c>
      <c r="K250" s="9">
        <f t="shared" si="24"/>
        <v>115.39201617601</v>
      </c>
      <c r="L250" s="10">
        <f t="shared" si="21"/>
        <v>0.30183575616734515</v>
      </c>
      <c r="M250" s="10">
        <f t="shared" si="28"/>
        <v>0.30609456199020924</v>
      </c>
      <c r="P250" s="8">
        <f t="shared" si="29"/>
        <v>-6.8699674980424525</v>
      </c>
    </row>
    <row r="251" spans="1:16" x14ac:dyDescent="0.2">
      <c r="A251" s="8">
        <v>124.5</v>
      </c>
      <c r="B251" s="8">
        <v>249</v>
      </c>
      <c r="D251">
        <v>576.35249042145995</v>
      </c>
      <c r="E251">
        <v>248.42432950192</v>
      </c>
      <c r="F251">
        <v>181.29166666667001</v>
      </c>
      <c r="G251">
        <v>130.52422480620001</v>
      </c>
      <c r="I251" s="9">
        <f t="shared" si="26"/>
        <v>117.90010469571999</v>
      </c>
      <c r="J251" s="9">
        <f t="shared" si="27"/>
        <v>395.06082375478991</v>
      </c>
      <c r="K251" s="9">
        <f t="shared" si="24"/>
        <v>117.90010469571999</v>
      </c>
      <c r="L251" s="10">
        <f t="shared" si="21"/>
        <v>0.29843532338934053</v>
      </c>
      <c r="M251" s="10">
        <f t="shared" si="28"/>
        <v>0.3027113018163291</v>
      </c>
      <c r="P251" s="8">
        <f t="shared" si="29"/>
        <v>-7.8993328285056368</v>
      </c>
    </row>
    <row r="252" spans="1:16" x14ac:dyDescent="0.2">
      <c r="A252" s="8">
        <v>125</v>
      </c>
      <c r="B252" s="8">
        <v>250</v>
      </c>
      <c r="D252">
        <v>579.64367816091999</v>
      </c>
      <c r="E252">
        <v>247.56704980843</v>
      </c>
      <c r="F252">
        <v>182.03779069767</v>
      </c>
      <c r="G252">
        <v>130.60755813954</v>
      </c>
      <c r="I252" s="9">
        <f t="shared" si="26"/>
        <v>116.95949166889</v>
      </c>
      <c r="J252" s="9">
        <f t="shared" si="27"/>
        <v>397.60588746324999</v>
      </c>
      <c r="K252" s="9">
        <f t="shared" si="24"/>
        <v>116.95949166889</v>
      </c>
      <c r="L252" s="10">
        <f t="shared" si="21"/>
        <v>0.29415935567528628</v>
      </c>
      <c r="M252" s="10">
        <f t="shared" si="28"/>
        <v>0.29845250670639928</v>
      </c>
      <c r="P252" s="8">
        <f t="shared" si="29"/>
        <v>-9.1950818428890706</v>
      </c>
    </row>
    <row r="253" spans="1:16" x14ac:dyDescent="0.2">
      <c r="A253" s="8">
        <v>125.5</v>
      </c>
      <c r="B253" s="8">
        <v>251</v>
      </c>
      <c r="D253">
        <v>583.84386973180005</v>
      </c>
      <c r="E253">
        <v>250.87260536399</v>
      </c>
      <c r="F253">
        <v>181.72674418605001</v>
      </c>
      <c r="G253">
        <v>130.78003875969</v>
      </c>
      <c r="I253" s="9">
        <f t="shared" si="26"/>
        <v>120.0925666043</v>
      </c>
      <c r="J253" s="9">
        <f t="shared" si="27"/>
        <v>402.11712554575001</v>
      </c>
      <c r="K253" s="9">
        <f t="shared" si="24"/>
        <v>120.0925666043</v>
      </c>
      <c r="L253" s="10">
        <f t="shared" si="21"/>
        <v>0.29865071387176406</v>
      </c>
      <c r="M253" s="10">
        <f t="shared" si="28"/>
        <v>0.30296103750700154</v>
      </c>
      <c r="P253" s="8">
        <f t="shared" si="29"/>
        <v>-7.8233501229064206</v>
      </c>
    </row>
    <row r="254" spans="1:16" x14ac:dyDescent="0.2">
      <c r="A254" s="8">
        <v>126</v>
      </c>
      <c r="B254" s="8">
        <v>252</v>
      </c>
      <c r="D254">
        <v>575.18869731800999</v>
      </c>
      <c r="E254">
        <v>247.4377394636</v>
      </c>
      <c r="F254">
        <v>181.29263565892001</v>
      </c>
      <c r="G254">
        <v>130.95639534884</v>
      </c>
      <c r="I254" s="9">
        <f t="shared" si="26"/>
        <v>116.48134411475999</v>
      </c>
      <c r="J254" s="9">
        <f t="shared" si="27"/>
        <v>393.89606165908998</v>
      </c>
      <c r="K254" s="9">
        <f t="shared" si="24"/>
        <v>116.48134411475999</v>
      </c>
      <c r="L254" s="10">
        <f t="shared" si="21"/>
        <v>0.29571593994654488</v>
      </c>
      <c r="M254" s="10">
        <f t="shared" si="28"/>
        <v>0.30004343618590679</v>
      </c>
      <c r="P254" s="8">
        <f t="shared" si="29"/>
        <v>-8.7110375881610302</v>
      </c>
    </row>
    <row r="255" spans="1:16" x14ac:dyDescent="0.2">
      <c r="A255" s="8">
        <v>126.5</v>
      </c>
      <c r="B255" s="8">
        <v>253</v>
      </c>
      <c r="D255">
        <v>560.63269230769004</v>
      </c>
      <c r="E255">
        <v>245.11923076923</v>
      </c>
      <c r="F255">
        <v>182.17538759690001</v>
      </c>
      <c r="G255">
        <v>130.94767441861001</v>
      </c>
      <c r="I255" s="9">
        <f t="shared" si="26"/>
        <v>114.17155635061999</v>
      </c>
      <c r="J255" s="9">
        <f t="shared" si="27"/>
        <v>378.45730471079003</v>
      </c>
      <c r="K255" s="9">
        <f t="shared" si="24"/>
        <v>114.17155635061999</v>
      </c>
      <c r="L255" s="10">
        <f t="shared" si="21"/>
        <v>0.30167618626853498</v>
      </c>
      <c r="M255" s="10">
        <f t="shared" si="28"/>
        <v>0.30602085511202137</v>
      </c>
      <c r="P255" s="8">
        <f t="shared" si="29"/>
        <v>-6.8923929992229445</v>
      </c>
    </row>
    <row r="256" spans="1:16" x14ac:dyDescent="0.2">
      <c r="A256" s="8">
        <v>127</v>
      </c>
      <c r="B256" s="8">
        <v>254</v>
      </c>
      <c r="D256">
        <v>543.08846153846002</v>
      </c>
      <c r="E256">
        <v>240.61346153846</v>
      </c>
      <c r="F256">
        <v>182.86821705425999</v>
      </c>
      <c r="G256">
        <v>130.65213178294999</v>
      </c>
      <c r="I256" s="9">
        <f t="shared" si="26"/>
        <v>109.96132975551001</v>
      </c>
      <c r="J256" s="9">
        <f t="shared" si="27"/>
        <v>360.22024448420007</v>
      </c>
      <c r="K256" s="9">
        <f t="shared" si="24"/>
        <v>109.96132975551001</v>
      </c>
      <c r="L256" s="10">
        <f t="shared" si="21"/>
        <v>0.30526138227728927</v>
      </c>
      <c r="M256" s="10">
        <f t="shared" si="28"/>
        <v>0.30962322372490009</v>
      </c>
      <c r="P256" s="8">
        <f t="shared" si="29"/>
        <v>-5.79636338072826</v>
      </c>
    </row>
    <row r="257" spans="1:16" x14ac:dyDescent="0.2">
      <c r="A257" s="8">
        <v>127.5</v>
      </c>
      <c r="B257" s="8">
        <v>255</v>
      </c>
      <c r="D257">
        <v>559.49087415945996</v>
      </c>
      <c r="E257">
        <v>245.88280499519999</v>
      </c>
      <c r="F257">
        <v>180.81782945736001</v>
      </c>
      <c r="G257">
        <v>130.40988372093</v>
      </c>
      <c r="I257" s="9">
        <f t="shared" si="26"/>
        <v>115.47292127426999</v>
      </c>
      <c r="J257" s="9">
        <f t="shared" si="27"/>
        <v>378.67304470209996</v>
      </c>
      <c r="K257" s="9">
        <f t="shared" si="24"/>
        <v>115.47292127426999</v>
      </c>
      <c r="L257" s="10">
        <f t="shared" si="21"/>
        <v>0.30494095867085524</v>
      </c>
      <c r="M257" s="10">
        <f t="shared" si="28"/>
        <v>0.30931997272259054</v>
      </c>
      <c r="P257" s="8">
        <f t="shared" si="29"/>
        <v>-5.8886282531183891</v>
      </c>
    </row>
    <row r="258" spans="1:16" x14ac:dyDescent="0.2">
      <c r="A258" s="8">
        <v>128</v>
      </c>
      <c r="B258" s="8">
        <v>256</v>
      </c>
      <c r="D258">
        <v>563.85975024014999</v>
      </c>
      <c r="E258">
        <v>246.68203650336</v>
      </c>
      <c r="F258">
        <v>181.23158914729001</v>
      </c>
      <c r="G258">
        <v>130.56395348837</v>
      </c>
      <c r="I258" s="9">
        <f t="shared" si="26"/>
        <v>116.11808301498999</v>
      </c>
      <c r="J258" s="9">
        <f t="shared" si="27"/>
        <v>382.62816109285995</v>
      </c>
      <c r="K258" s="9">
        <f t="shared" si="24"/>
        <v>116.11808301498999</v>
      </c>
      <c r="L258" s="10">
        <f t="shared" ref="L258:L321" si="30">K258/J258</f>
        <v>0.30347500477574446</v>
      </c>
      <c r="M258" s="10">
        <f t="shared" si="28"/>
        <v>0.30787119143160419</v>
      </c>
      <c r="P258" s="8">
        <f t="shared" si="29"/>
        <v>-6.3294235676137287</v>
      </c>
    </row>
    <row r="259" spans="1:16" x14ac:dyDescent="0.2">
      <c r="A259" s="8">
        <v>128.5</v>
      </c>
      <c r="B259" s="8">
        <v>257</v>
      </c>
      <c r="D259">
        <v>561.97886647454004</v>
      </c>
      <c r="E259">
        <v>246.71950048030999</v>
      </c>
      <c r="F259">
        <v>181.72674418605001</v>
      </c>
      <c r="G259">
        <v>130.28875968992</v>
      </c>
      <c r="I259" s="9">
        <f t="shared" si="26"/>
        <v>116.43074079038999</v>
      </c>
      <c r="J259" s="9">
        <f t="shared" si="27"/>
        <v>380.25212228849</v>
      </c>
      <c r="K259" s="9">
        <f t="shared" ref="K259:K322" si="31">I259*1</f>
        <v>116.43074079038999</v>
      </c>
      <c r="L259" s="10">
        <f t="shared" si="30"/>
        <v>0.30619353309501379</v>
      </c>
      <c r="M259" s="10">
        <f t="shared" si="28"/>
        <v>0.310606892354998</v>
      </c>
      <c r="P259" s="8">
        <f t="shared" si="29"/>
        <v>-5.4970797511971199</v>
      </c>
    </row>
    <row r="260" spans="1:16" x14ac:dyDescent="0.2">
      <c r="A260" s="8">
        <v>129</v>
      </c>
      <c r="B260" s="8">
        <v>258</v>
      </c>
      <c r="D260">
        <v>568.34582132565004</v>
      </c>
      <c r="E260">
        <v>248.23054755043</v>
      </c>
      <c r="F260">
        <v>181.45542635659001</v>
      </c>
      <c r="G260">
        <v>130.43895348837</v>
      </c>
      <c r="I260" s="9">
        <f t="shared" si="26"/>
        <v>117.79159406206</v>
      </c>
      <c r="J260" s="9">
        <f t="shared" si="27"/>
        <v>386.89039496906003</v>
      </c>
      <c r="K260" s="9">
        <f t="shared" si="31"/>
        <v>117.79159406206</v>
      </c>
      <c r="L260" s="10">
        <f t="shared" si="30"/>
        <v>0.30445727160396396</v>
      </c>
      <c r="M260" s="10">
        <f t="shared" si="28"/>
        <v>0.3088878034680726</v>
      </c>
      <c r="P260" s="8">
        <f t="shared" si="29"/>
        <v>-6.020116824682396</v>
      </c>
    </row>
    <row r="261" spans="1:16" x14ac:dyDescent="0.2">
      <c r="A261" s="8">
        <v>129.5</v>
      </c>
      <c r="B261" s="8">
        <v>259</v>
      </c>
      <c r="D261">
        <v>597.08746355685003</v>
      </c>
      <c r="E261">
        <v>256.47035957240001</v>
      </c>
      <c r="F261">
        <v>181.55426356589001</v>
      </c>
      <c r="G261">
        <v>130.95348837208999</v>
      </c>
      <c r="I261" s="9">
        <f t="shared" si="26"/>
        <v>125.51687120031002</v>
      </c>
      <c r="J261" s="9">
        <f t="shared" si="27"/>
        <v>415.53319999096004</v>
      </c>
      <c r="K261" s="9">
        <f t="shared" si="31"/>
        <v>125.51687120031002</v>
      </c>
      <c r="L261" s="10">
        <f t="shared" si="30"/>
        <v>0.30206219672228513</v>
      </c>
      <c r="M261" s="10">
        <f t="shared" si="28"/>
        <v>0.30650990119051819</v>
      </c>
      <c r="P261" s="8">
        <f t="shared" si="29"/>
        <v>-6.7435995123696229</v>
      </c>
    </row>
    <row r="262" spans="1:16" x14ac:dyDescent="0.2">
      <c r="A262" s="8">
        <v>130</v>
      </c>
      <c r="B262" s="8">
        <v>260</v>
      </c>
      <c r="D262">
        <v>608.95714285713996</v>
      </c>
      <c r="E262">
        <v>258.57714285714002</v>
      </c>
      <c r="F262">
        <v>181.73837209301999</v>
      </c>
      <c r="G262">
        <v>131.21802325581001</v>
      </c>
      <c r="I262" s="9">
        <f t="shared" si="26"/>
        <v>127.35911960133001</v>
      </c>
      <c r="J262" s="9">
        <f t="shared" si="27"/>
        <v>427.21877076411999</v>
      </c>
      <c r="K262" s="9">
        <f t="shared" si="31"/>
        <v>127.35911960133001</v>
      </c>
      <c r="L262" s="10">
        <f t="shared" si="30"/>
        <v>0.29811218119825711</v>
      </c>
      <c r="M262" s="10">
        <f t="shared" si="28"/>
        <v>0.30257705827061465</v>
      </c>
      <c r="P262" s="8">
        <f t="shared" si="29"/>
        <v>-7.9401767614859455</v>
      </c>
    </row>
    <row r="263" spans="1:16" x14ac:dyDescent="0.2">
      <c r="A263" s="8">
        <v>130.5</v>
      </c>
      <c r="B263" s="8">
        <v>261</v>
      </c>
      <c r="D263">
        <v>589.51428571429005</v>
      </c>
      <c r="E263">
        <v>254.10952380952</v>
      </c>
      <c r="F263">
        <v>182.08430232558001</v>
      </c>
      <c r="G263">
        <v>130.67054263566001</v>
      </c>
      <c r="I263" s="9">
        <f t="shared" si="26"/>
        <v>123.43898117385999</v>
      </c>
      <c r="J263" s="9">
        <f t="shared" si="27"/>
        <v>407.42998338871007</v>
      </c>
      <c r="K263" s="9">
        <f t="shared" si="31"/>
        <v>123.43898117385999</v>
      </c>
      <c r="L263" s="10">
        <f t="shared" si="30"/>
        <v>0.30296980145443192</v>
      </c>
      <c r="M263" s="10">
        <f t="shared" si="28"/>
        <v>0.30745185113091389</v>
      </c>
      <c r="P263" s="8">
        <f t="shared" si="29"/>
        <v>-6.4570088980382438</v>
      </c>
    </row>
    <row r="264" spans="1:16" x14ac:dyDescent="0.2">
      <c r="A264" s="8">
        <v>131</v>
      </c>
      <c r="B264" s="8">
        <v>262</v>
      </c>
      <c r="D264">
        <v>574.50865384614997</v>
      </c>
      <c r="E264">
        <v>250.71923076922999</v>
      </c>
      <c r="F264">
        <v>180.78779069767</v>
      </c>
      <c r="G264">
        <v>130.65988372093</v>
      </c>
      <c r="I264" s="9">
        <f t="shared" si="26"/>
        <v>120.0593470483</v>
      </c>
      <c r="J264" s="9">
        <f t="shared" si="27"/>
        <v>393.72086314847996</v>
      </c>
      <c r="K264" s="9">
        <f t="shared" si="31"/>
        <v>120.0593470483</v>
      </c>
      <c r="L264" s="10">
        <f t="shared" si="30"/>
        <v>0.30493519212626341</v>
      </c>
      <c r="M264" s="10">
        <f t="shared" si="28"/>
        <v>0.30943441440686986</v>
      </c>
      <c r="P264" s="8">
        <f t="shared" si="29"/>
        <v>-5.8538090857760672</v>
      </c>
    </row>
    <row r="265" spans="1:16" x14ac:dyDescent="0.2">
      <c r="A265" s="8">
        <v>131.5</v>
      </c>
      <c r="B265" s="8">
        <v>263</v>
      </c>
      <c r="D265">
        <v>569.81057692308002</v>
      </c>
      <c r="E265">
        <v>247.94903846154</v>
      </c>
      <c r="F265">
        <v>181.98255813954</v>
      </c>
      <c r="G265">
        <v>130.44670542636001</v>
      </c>
      <c r="I265" s="9">
        <f t="shared" si="26"/>
        <v>117.50233303517999</v>
      </c>
      <c r="J265" s="9">
        <f t="shared" si="27"/>
        <v>387.82801878354002</v>
      </c>
      <c r="K265" s="9">
        <f t="shared" si="31"/>
        <v>117.50233303517999</v>
      </c>
      <c r="L265" s="10">
        <f t="shared" si="30"/>
        <v>0.30297535852034979</v>
      </c>
      <c r="M265" s="10">
        <f t="shared" si="28"/>
        <v>0.30749175340508067</v>
      </c>
      <c r="P265" s="8">
        <f t="shared" si="29"/>
        <v>-6.4448685317870682</v>
      </c>
    </row>
    <row r="266" spans="1:16" x14ac:dyDescent="0.2">
      <c r="A266" s="8">
        <v>132</v>
      </c>
      <c r="B266" s="8">
        <v>264</v>
      </c>
      <c r="D266">
        <v>567.11538461538998</v>
      </c>
      <c r="E266">
        <v>248.08269230769</v>
      </c>
      <c r="F266">
        <v>181.32073643410999</v>
      </c>
      <c r="G266">
        <v>130.42248062016</v>
      </c>
      <c r="I266" s="9">
        <f t="shared" si="26"/>
        <v>117.66021168752999</v>
      </c>
      <c r="J266" s="9">
        <f t="shared" si="27"/>
        <v>385.79464818127997</v>
      </c>
      <c r="K266" s="9">
        <f t="shared" si="31"/>
        <v>117.66021168752999</v>
      </c>
      <c r="L266" s="10">
        <f t="shared" si="30"/>
        <v>0.30498145125186643</v>
      </c>
      <c r="M266" s="10">
        <f t="shared" si="28"/>
        <v>0.30951501874072179</v>
      </c>
      <c r="P266" s="8">
        <f t="shared" si="29"/>
        <v>-5.8292850165387025</v>
      </c>
    </row>
    <row r="267" spans="1:16" x14ac:dyDescent="0.2">
      <c r="A267" s="8">
        <v>132.5</v>
      </c>
      <c r="B267" s="8">
        <v>265</v>
      </c>
      <c r="D267">
        <v>583.67018216683005</v>
      </c>
      <c r="E267">
        <v>252.85810162991001</v>
      </c>
      <c r="F267">
        <v>181.57073643410999</v>
      </c>
      <c r="G267">
        <v>130.47189922480999</v>
      </c>
      <c r="I267" s="9">
        <f t="shared" si="26"/>
        <v>122.38620240510002</v>
      </c>
      <c r="J267" s="9">
        <f t="shared" si="27"/>
        <v>402.09944573272003</v>
      </c>
      <c r="K267" s="9">
        <f t="shared" si="31"/>
        <v>122.38620240510002</v>
      </c>
      <c r="L267" s="10">
        <f t="shared" si="30"/>
        <v>0.30436799578791635</v>
      </c>
      <c r="M267" s="10">
        <f t="shared" si="28"/>
        <v>0.30891873588089613</v>
      </c>
      <c r="P267" s="8">
        <f t="shared" si="29"/>
        <v>-6.0107055610751976</v>
      </c>
    </row>
    <row r="268" spans="1:16" x14ac:dyDescent="0.2">
      <c r="A268" s="8">
        <v>133</v>
      </c>
      <c r="B268" s="8">
        <v>266</v>
      </c>
      <c r="D268">
        <v>582.14477468840005</v>
      </c>
      <c r="E268">
        <v>252.60594439118</v>
      </c>
      <c r="F268">
        <v>182.34496124031</v>
      </c>
      <c r="G268">
        <v>130.55523255814001</v>
      </c>
      <c r="I268" s="9">
        <f t="shared" si="26"/>
        <v>122.05071183304</v>
      </c>
      <c r="J268" s="9">
        <f t="shared" si="27"/>
        <v>399.79981344809005</v>
      </c>
      <c r="K268" s="9">
        <f t="shared" si="31"/>
        <v>122.05071183304</v>
      </c>
      <c r="L268" s="10">
        <f t="shared" si="30"/>
        <v>0.30527956173968313</v>
      </c>
      <c r="M268" s="10">
        <f t="shared" si="28"/>
        <v>0.3098474744367874</v>
      </c>
      <c r="P268" s="8">
        <f t="shared" si="29"/>
        <v>-5.7281345433687774</v>
      </c>
    </row>
    <row r="269" spans="1:16" x14ac:dyDescent="0.2">
      <c r="A269" s="8">
        <v>133.5</v>
      </c>
      <c r="B269" s="8">
        <v>267</v>
      </c>
      <c r="D269">
        <v>583.72483221477</v>
      </c>
      <c r="E269">
        <v>252.06807286673001</v>
      </c>
      <c r="F269">
        <v>182.20058139535001</v>
      </c>
      <c r="G269">
        <v>130.91957364340999</v>
      </c>
      <c r="I269" s="9">
        <f t="shared" si="26"/>
        <v>121.14849922332002</v>
      </c>
      <c r="J269" s="9">
        <f t="shared" si="27"/>
        <v>401.52425081941999</v>
      </c>
      <c r="K269" s="9">
        <f t="shared" si="31"/>
        <v>121.14849922332002</v>
      </c>
      <c r="L269" s="10">
        <f t="shared" si="30"/>
        <v>0.30172149994946357</v>
      </c>
      <c r="M269" s="10">
        <f t="shared" si="28"/>
        <v>0.30630658525069226</v>
      </c>
      <c r="P269" s="8">
        <f t="shared" si="29"/>
        <v>-6.8054588932127231</v>
      </c>
    </row>
    <row r="270" spans="1:16" x14ac:dyDescent="0.2">
      <c r="A270" s="8">
        <v>134</v>
      </c>
      <c r="B270" s="8">
        <v>268</v>
      </c>
      <c r="D270">
        <v>559.67604267700995</v>
      </c>
      <c r="E270">
        <v>246.62366634335999</v>
      </c>
      <c r="F270">
        <v>180.98449612402999</v>
      </c>
      <c r="G270">
        <v>130.58527131783001</v>
      </c>
      <c r="I270" s="9">
        <f t="shared" si="26"/>
        <v>116.03839502552998</v>
      </c>
      <c r="J270" s="9">
        <f t="shared" si="27"/>
        <v>378.69154655297996</v>
      </c>
      <c r="K270" s="9">
        <f t="shared" si="31"/>
        <v>116.03839502552998</v>
      </c>
      <c r="L270" s="10">
        <f t="shared" si="30"/>
        <v>0.30641929053279221</v>
      </c>
      <c r="M270" s="10">
        <f t="shared" si="28"/>
        <v>0.31102154843814539</v>
      </c>
      <c r="P270" s="8">
        <f t="shared" si="29"/>
        <v>-5.3709196056213022</v>
      </c>
    </row>
    <row r="271" spans="1:16" x14ac:dyDescent="0.2">
      <c r="A271" s="8">
        <v>134.5</v>
      </c>
      <c r="B271" s="8">
        <v>269</v>
      </c>
      <c r="D271">
        <v>547.45990338163995</v>
      </c>
      <c r="E271">
        <v>243.73816425121001</v>
      </c>
      <c r="F271">
        <v>181.01647286822001</v>
      </c>
      <c r="G271">
        <v>130.35271317830001</v>
      </c>
      <c r="I271" s="9">
        <f t="shared" si="26"/>
        <v>113.38545107291</v>
      </c>
      <c r="J271" s="9">
        <f t="shared" si="27"/>
        <v>366.44343051341991</v>
      </c>
      <c r="K271" s="9">
        <f t="shared" si="31"/>
        <v>113.38545107291</v>
      </c>
      <c r="L271" s="10">
        <f t="shared" si="30"/>
        <v>0.30942143215406231</v>
      </c>
      <c r="M271" s="10">
        <f t="shared" si="28"/>
        <v>0.31404086266353992</v>
      </c>
      <c r="P271" s="8">
        <f t="shared" si="29"/>
        <v>-4.4522857360211958</v>
      </c>
    </row>
    <row r="272" spans="1:16" x14ac:dyDescent="0.2">
      <c r="A272" s="8">
        <v>135</v>
      </c>
      <c r="B272" s="8">
        <v>270</v>
      </c>
      <c r="D272">
        <v>540.68985507245998</v>
      </c>
      <c r="E272">
        <v>243.26956521739001</v>
      </c>
      <c r="F272">
        <v>180.88178294574001</v>
      </c>
      <c r="G272">
        <v>129.98934108527001</v>
      </c>
      <c r="I272" s="9">
        <f t="shared" si="26"/>
        <v>113.28022413212</v>
      </c>
      <c r="J272" s="9">
        <f t="shared" si="27"/>
        <v>359.80807212671994</v>
      </c>
      <c r="K272" s="9">
        <f t="shared" si="31"/>
        <v>113.28022413212</v>
      </c>
      <c r="L272" s="10">
        <f t="shared" si="30"/>
        <v>0.31483513825177362</v>
      </c>
      <c r="M272" s="10">
        <f t="shared" si="28"/>
        <v>0.31947174136537565</v>
      </c>
      <c r="P272" s="8">
        <f t="shared" si="29"/>
        <v>-2.7999273709211705</v>
      </c>
    </row>
    <row r="273" spans="1:16" x14ac:dyDescent="0.2">
      <c r="A273" s="8">
        <v>135.5</v>
      </c>
      <c r="B273" s="8">
        <v>271</v>
      </c>
      <c r="D273">
        <v>533.22222222222001</v>
      </c>
      <c r="E273">
        <v>241.67053140096999</v>
      </c>
      <c r="F273">
        <v>181.17926356589001</v>
      </c>
      <c r="G273">
        <v>130.52228682171</v>
      </c>
      <c r="I273" s="9">
        <f t="shared" si="26"/>
        <v>111.14824457925999</v>
      </c>
      <c r="J273" s="9">
        <f t="shared" si="27"/>
        <v>352.04295865633003</v>
      </c>
      <c r="K273" s="9">
        <f t="shared" si="31"/>
        <v>111.14824457925999</v>
      </c>
      <c r="L273" s="10">
        <f t="shared" si="30"/>
        <v>0.3157235270476314</v>
      </c>
      <c r="M273" s="10">
        <f t="shared" si="28"/>
        <v>0.32037730276535792</v>
      </c>
      <c r="P273" s="8">
        <f t="shared" si="29"/>
        <v>-2.5244080605991388</v>
      </c>
    </row>
    <row r="274" spans="1:16" x14ac:dyDescent="0.2">
      <c r="A274" s="8">
        <v>136</v>
      </c>
      <c r="B274" s="8">
        <v>272</v>
      </c>
      <c r="D274">
        <v>539.69653179191005</v>
      </c>
      <c r="E274">
        <v>242.85163776492999</v>
      </c>
      <c r="F274">
        <v>180.93410852713001</v>
      </c>
      <c r="G274">
        <v>130.65891472868</v>
      </c>
      <c r="I274" s="9">
        <f t="shared" si="26"/>
        <v>112.19272303624999</v>
      </c>
      <c r="J274" s="9">
        <f t="shared" si="27"/>
        <v>358.76242326478007</v>
      </c>
      <c r="K274" s="9">
        <f t="shared" si="31"/>
        <v>112.19272303624999</v>
      </c>
      <c r="L274" s="10">
        <f t="shared" si="30"/>
        <v>0.31272149969130841</v>
      </c>
      <c r="M274" s="10">
        <f t="shared" si="28"/>
        <v>0.31739244801315936</v>
      </c>
      <c r="P274" s="8">
        <f t="shared" si="29"/>
        <v>-3.4325575496931853</v>
      </c>
    </row>
    <row r="275" spans="1:16" x14ac:dyDescent="0.2">
      <c r="A275" s="8">
        <v>136.5</v>
      </c>
      <c r="B275" s="8">
        <v>273</v>
      </c>
      <c r="D275">
        <v>527.46744412050998</v>
      </c>
      <c r="E275">
        <v>240.14577259475001</v>
      </c>
      <c r="F275">
        <v>181.37693798449999</v>
      </c>
      <c r="G275">
        <v>130.45736434109</v>
      </c>
      <c r="I275" s="9">
        <f>E275-G275</f>
        <v>109.68840825366001</v>
      </c>
      <c r="J275" s="9">
        <f>D275-F275</f>
        <v>346.09050613600999</v>
      </c>
      <c r="K275" s="9">
        <f t="shared" si="31"/>
        <v>109.68840825366001</v>
      </c>
      <c r="L275" s="10">
        <f t="shared" si="30"/>
        <v>0.3169356174438186</v>
      </c>
      <c r="M275" s="10">
        <f>L275+ABS($N$2)*A275</f>
        <v>0.32162373836979402</v>
      </c>
      <c r="O275" s="11"/>
      <c r="P275" s="8">
        <f>(M275-$O$2)/$O$2*100</f>
        <v>-2.1451769249723509</v>
      </c>
    </row>
    <row r="276" spans="1:16" x14ac:dyDescent="0.2">
      <c r="A276" s="8">
        <v>137</v>
      </c>
      <c r="B276" s="8">
        <v>274</v>
      </c>
      <c r="D276">
        <v>549.97667638483995</v>
      </c>
      <c r="E276">
        <v>244.83187560739</v>
      </c>
      <c r="F276">
        <v>180.82364341085</v>
      </c>
      <c r="G276">
        <v>130.125</v>
      </c>
      <c r="I276" s="9">
        <f t="shared" ref="I276:I291" si="32">E276-G276</f>
        <v>114.70687560739</v>
      </c>
      <c r="J276" s="9">
        <f t="shared" ref="J276:J291" si="33">D276-F276</f>
        <v>369.15303297398998</v>
      </c>
      <c r="K276" s="9">
        <f t="shared" si="31"/>
        <v>114.70687560739</v>
      </c>
      <c r="L276" s="10">
        <f t="shared" si="30"/>
        <v>0.31072987450023765</v>
      </c>
      <c r="M276" s="10">
        <f t="shared" ref="M276:M291" si="34">L276+ABS($N$2)*A276</f>
        <v>0.3154351680303375</v>
      </c>
      <c r="P276" s="8">
        <f t="shared" ref="P276:P291" si="35">(M276-$O$2)/$O$2*100</f>
        <v>-4.0280648570770428</v>
      </c>
    </row>
    <row r="277" spans="1:16" x14ac:dyDescent="0.2">
      <c r="A277" s="8">
        <v>137.5</v>
      </c>
      <c r="B277" s="8">
        <v>275</v>
      </c>
      <c r="D277">
        <v>547.66149369543996</v>
      </c>
      <c r="E277">
        <v>245.36857419981001</v>
      </c>
      <c r="F277">
        <v>181.19476744185999</v>
      </c>
      <c r="G277">
        <v>130.35658914729001</v>
      </c>
      <c r="I277" s="9">
        <f t="shared" si="32"/>
        <v>115.01198505252</v>
      </c>
      <c r="J277" s="9">
        <f t="shared" si="33"/>
        <v>366.46672625357996</v>
      </c>
      <c r="K277" s="9">
        <f t="shared" si="31"/>
        <v>115.01198505252</v>
      </c>
      <c r="L277" s="10">
        <f t="shared" si="30"/>
        <v>0.31384018469643116</v>
      </c>
      <c r="M277" s="10">
        <f t="shared" si="34"/>
        <v>0.31856265083065549</v>
      </c>
      <c r="N277" s="1"/>
      <c r="P277" s="8">
        <f t="shared" si="35"/>
        <v>-3.0765204292729171</v>
      </c>
    </row>
    <row r="278" spans="1:16" x14ac:dyDescent="0.2">
      <c r="A278" s="8">
        <v>138</v>
      </c>
      <c r="B278" s="8">
        <v>276</v>
      </c>
      <c r="D278">
        <v>554.38894277401005</v>
      </c>
      <c r="E278">
        <v>246.48302618816999</v>
      </c>
      <c r="F278">
        <v>180.62015503876</v>
      </c>
      <c r="G278">
        <v>130.02810077519001</v>
      </c>
      <c r="I278" s="9">
        <f t="shared" si="32"/>
        <v>116.45492541297997</v>
      </c>
      <c r="J278" s="9">
        <f t="shared" si="33"/>
        <v>373.76878773525004</v>
      </c>
      <c r="K278" s="9">
        <f t="shared" si="31"/>
        <v>116.45492541297997</v>
      </c>
      <c r="L278" s="10">
        <f t="shared" si="30"/>
        <v>0.31156942268670107</v>
      </c>
      <c r="M278" s="10">
        <f t="shared" si="34"/>
        <v>0.31630906142504983</v>
      </c>
      <c r="P278" s="8">
        <f t="shared" si="35"/>
        <v>-3.7621806161952693</v>
      </c>
    </row>
    <row r="279" spans="1:16" x14ac:dyDescent="0.2">
      <c r="A279" s="8">
        <v>138.5</v>
      </c>
      <c r="B279" s="8">
        <v>277</v>
      </c>
      <c r="D279">
        <v>553.15809893308005</v>
      </c>
      <c r="E279">
        <v>245.72259941804001</v>
      </c>
      <c r="F279">
        <v>179.90891472868</v>
      </c>
      <c r="G279">
        <v>130.42441860464999</v>
      </c>
      <c r="I279" s="9">
        <f t="shared" si="32"/>
        <v>115.29818081339002</v>
      </c>
      <c r="J279" s="9">
        <f t="shared" si="33"/>
        <v>373.24918420440008</v>
      </c>
      <c r="K279" s="9">
        <f t="shared" si="31"/>
        <v>115.29818081339002</v>
      </c>
      <c r="L279" s="10">
        <f t="shared" si="30"/>
        <v>0.30890403969443109</v>
      </c>
      <c r="M279" s="10">
        <f t="shared" si="34"/>
        <v>0.31366085103690433</v>
      </c>
      <c r="P279" s="8">
        <f t="shared" si="35"/>
        <v>-4.5679052194566001</v>
      </c>
    </row>
    <row r="280" spans="1:16" x14ac:dyDescent="0.2">
      <c r="A280" s="8">
        <v>139</v>
      </c>
      <c r="B280" s="8">
        <v>278</v>
      </c>
      <c r="D280">
        <v>568.06086956521995</v>
      </c>
      <c r="E280">
        <v>250.65507246377001</v>
      </c>
      <c r="F280">
        <v>180.95930232558001</v>
      </c>
      <c r="G280">
        <v>129.96124031008</v>
      </c>
      <c r="I280" s="9">
        <f t="shared" si="32"/>
        <v>120.69383215369001</v>
      </c>
      <c r="J280" s="9">
        <f t="shared" si="33"/>
        <v>387.10156723963996</v>
      </c>
      <c r="K280" s="9">
        <f t="shared" si="31"/>
        <v>120.69383215369001</v>
      </c>
      <c r="L280" s="10">
        <f t="shared" si="30"/>
        <v>0.31178853915353183</v>
      </c>
      <c r="M280" s="10">
        <f t="shared" si="34"/>
        <v>0.3165625231001295</v>
      </c>
      <c r="P280" s="8">
        <f t="shared" si="35"/>
        <v>-3.6850642705643879</v>
      </c>
    </row>
    <row r="281" spans="1:16" x14ac:dyDescent="0.2">
      <c r="A281" s="8">
        <v>139.5</v>
      </c>
      <c r="B281" s="8">
        <v>279</v>
      </c>
      <c r="D281">
        <v>576.03567984570998</v>
      </c>
      <c r="E281">
        <v>252.56702025071999</v>
      </c>
      <c r="F281">
        <v>180.48934108527001</v>
      </c>
      <c r="G281">
        <v>129.84593023255999</v>
      </c>
      <c r="I281" s="9">
        <f t="shared" si="32"/>
        <v>122.72109001816</v>
      </c>
      <c r="J281" s="9">
        <f t="shared" si="33"/>
        <v>395.54633876043999</v>
      </c>
      <c r="K281" s="9">
        <f t="shared" si="31"/>
        <v>122.72109001816</v>
      </c>
      <c r="L281" s="10">
        <f t="shared" si="30"/>
        <v>0.31025717594237473</v>
      </c>
      <c r="M281" s="10">
        <f t="shared" si="34"/>
        <v>0.31504833249309688</v>
      </c>
      <c r="P281" s="8">
        <f t="shared" si="35"/>
        <v>-4.1457605323020177</v>
      </c>
    </row>
    <row r="282" spans="1:16" x14ac:dyDescent="0.2">
      <c r="A282" s="8">
        <v>140</v>
      </c>
      <c r="B282" s="8">
        <v>280</v>
      </c>
      <c r="D282">
        <v>579.34329797493001</v>
      </c>
      <c r="E282">
        <v>251.90935390550001</v>
      </c>
      <c r="F282">
        <v>180.13565891472999</v>
      </c>
      <c r="G282">
        <v>129.82558139535001</v>
      </c>
      <c r="I282" s="9">
        <f t="shared" si="32"/>
        <v>122.08377251015</v>
      </c>
      <c r="J282" s="9">
        <f t="shared" si="33"/>
        <v>399.20763906019999</v>
      </c>
      <c r="K282" s="9">
        <f t="shared" si="31"/>
        <v>122.08377251015</v>
      </c>
      <c r="L282" s="10">
        <f t="shared" si="30"/>
        <v>0.30581522136589157</v>
      </c>
      <c r="M282" s="10">
        <f t="shared" si="34"/>
        <v>0.31062355052073815</v>
      </c>
      <c r="P282" s="8">
        <f t="shared" si="35"/>
        <v>-5.4920114628005017</v>
      </c>
    </row>
    <row r="283" spans="1:16" x14ac:dyDescent="0.2">
      <c r="A283" s="8">
        <v>140.5</v>
      </c>
      <c r="B283" s="8">
        <v>281</v>
      </c>
      <c r="D283">
        <v>576.60173577627995</v>
      </c>
      <c r="E283">
        <v>251.17068466731001</v>
      </c>
      <c r="F283">
        <v>181.12209302325999</v>
      </c>
      <c r="G283">
        <v>130.40600775194</v>
      </c>
      <c r="I283" s="9">
        <f t="shared" si="32"/>
        <v>120.76467691537002</v>
      </c>
      <c r="J283" s="9">
        <f t="shared" si="33"/>
        <v>395.47964275301996</v>
      </c>
      <c r="K283" s="9">
        <f t="shared" si="31"/>
        <v>120.76467691537002</v>
      </c>
      <c r="L283" s="10">
        <f t="shared" si="30"/>
        <v>0.30536256196324241</v>
      </c>
      <c r="M283" s="10">
        <f t="shared" si="34"/>
        <v>0.31018806372221341</v>
      </c>
      <c r="P283" s="8">
        <f t="shared" si="35"/>
        <v>-5.6245094053875349</v>
      </c>
    </row>
    <row r="284" spans="1:16" x14ac:dyDescent="0.2">
      <c r="A284" s="8">
        <v>141</v>
      </c>
      <c r="B284" s="8">
        <v>282</v>
      </c>
      <c r="D284">
        <v>572.87656702025004</v>
      </c>
      <c r="E284">
        <v>249.99035679846</v>
      </c>
      <c r="F284">
        <v>180.38081395348999</v>
      </c>
      <c r="G284">
        <v>129.83236434109</v>
      </c>
      <c r="I284" s="9">
        <f t="shared" si="32"/>
        <v>120.15799245737</v>
      </c>
      <c r="J284" s="9">
        <f t="shared" si="33"/>
        <v>392.49575306676002</v>
      </c>
      <c r="K284" s="9">
        <f t="shared" si="31"/>
        <v>120.15799245737</v>
      </c>
      <c r="L284" s="10">
        <f t="shared" si="30"/>
        <v>0.30613832511184447</v>
      </c>
      <c r="M284" s="10">
        <f t="shared" si="34"/>
        <v>0.31098099947493996</v>
      </c>
      <c r="P284" s="8">
        <f t="shared" si="35"/>
        <v>-5.3832567286224071</v>
      </c>
    </row>
    <row r="285" spans="1:16" x14ac:dyDescent="0.2">
      <c r="A285" s="8">
        <v>141.5</v>
      </c>
      <c r="B285" s="8">
        <v>283</v>
      </c>
      <c r="D285">
        <v>570.95949855352001</v>
      </c>
      <c r="E285">
        <v>250.54869816779001</v>
      </c>
      <c r="F285">
        <v>180.52228682171</v>
      </c>
      <c r="G285">
        <v>130.29457364340999</v>
      </c>
      <c r="I285" s="9">
        <f t="shared" si="32"/>
        <v>120.25412452438002</v>
      </c>
      <c r="J285" s="9">
        <f t="shared" si="33"/>
        <v>390.43721173181001</v>
      </c>
      <c r="K285" s="9">
        <f t="shared" si="31"/>
        <v>120.25412452438002</v>
      </c>
      <c r="L285" s="10">
        <f t="shared" si="30"/>
        <v>0.30799862541530021</v>
      </c>
      <c r="M285" s="10">
        <f t="shared" si="34"/>
        <v>0.31285847238252013</v>
      </c>
      <c r="P285" s="8">
        <f t="shared" si="35"/>
        <v>-4.8120309225589901</v>
      </c>
    </row>
    <row r="286" spans="1:16" x14ac:dyDescent="0.2">
      <c r="A286" s="8">
        <v>142</v>
      </c>
      <c r="B286" s="8">
        <v>284</v>
      </c>
      <c r="D286">
        <v>569.52941176470995</v>
      </c>
      <c r="E286">
        <v>251.09643201543</v>
      </c>
      <c r="F286">
        <v>180.0523255814</v>
      </c>
      <c r="G286">
        <v>130.29069767441999</v>
      </c>
      <c r="I286" s="9">
        <f t="shared" si="32"/>
        <v>120.80573434101001</v>
      </c>
      <c r="J286" s="9">
        <f t="shared" si="33"/>
        <v>389.47708618330995</v>
      </c>
      <c r="K286" s="9">
        <f t="shared" si="31"/>
        <v>120.80573434101001</v>
      </c>
      <c r="L286" s="10">
        <f t="shared" si="30"/>
        <v>0.3101741761623224</v>
      </c>
      <c r="M286" s="10">
        <f t="shared" si="34"/>
        <v>0.3150511957336668</v>
      </c>
      <c r="P286" s="8">
        <f t="shared" si="35"/>
        <v>-4.1448893842306385</v>
      </c>
    </row>
    <row r="287" spans="1:16" x14ac:dyDescent="0.2">
      <c r="A287" s="8">
        <v>142.5</v>
      </c>
      <c r="B287" s="8">
        <v>285</v>
      </c>
      <c r="D287">
        <v>570.03278688524995</v>
      </c>
      <c r="E287">
        <v>251.84281581485001</v>
      </c>
      <c r="F287">
        <v>180.73837209301999</v>
      </c>
      <c r="G287">
        <v>130.42635658915</v>
      </c>
      <c r="I287" s="9">
        <f t="shared" si="32"/>
        <v>121.41645922570001</v>
      </c>
      <c r="J287" s="9">
        <f t="shared" si="33"/>
        <v>389.29441479222999</v>
      </c>
      <c r="K287" s="9">
        <f t="shared" si="31"/>
        <v>121.41645922570001</v>
      </c>
      <c r="L287" s="10">
        <f t="shared" si="30"/>
        <v>0.31188852090390534</v>
      </c>
      <c r="M287" s="10">
        <f t="shared" si="34"/>
        <v>0.31678271307937417</v>
      </c>
      <c r="P287" s="8">
        <f t="shared" si="35"/>
        <v>-3.6180709212205433</v>
      </c>
    </row>
    <row r="288" spans="1:16" x14ac:dyDescent="0.2">
      <c r="A288" s="8">
        <v>143</v>
      </c>
      <c r="B288" s="8">
        <v>286</v>
      </c>
      <c r="D288">
        <v>574.17357762776999</v>
      </c>
      <c r="E288">
        <v>252.42719382835</v>
      </c>
      <c r="F288">
        <v>180.23837209301999</v>
      </c>
      <c r="G288">
        <v>129.85852713177999</v>
      </c>
      <c r="I288" s="9">
        <f t="shared" si="32"/>
        <v>122.56866669657001</v>
      </c>
      <c r="J288" s="9">
        <f t="shared" si="33"/>
        <v>393.93520553475003</v>
      </c>
      <c r="K288" s="9">
        <f t="shared" si="31"/>
        <v>122.56866669657001</v>
      </c>
      <c r="L288" s="10">
        <f t="shared" si="30"/>
        <v>0.31113915429363143</v>
      </c>
      <c r="M288" s="10">
        <f t="shared" si="34"/>
        <v>0.31605051907322473</v>
      </c>
      <c r="P288" s="8">
        <f t="shared" si="35"/>
        <v>-3.8408427703741927</v>
      </c>
    </row>
    <row r="289" spans="1:16" x14ac:dyDescent="0.2">
      <c r="A289" s="8">
        <v>143.5</v>
      </c>
      <c r="B289" s="8">
        <v>287</v>
      </c>
      <c r="D289">
        <v>567.97396335583005</v>
      </c>
      <c r="E289">
        <v>250.60559305690001</v>
      </c>
      <c r="F289">
        <v>179.78682170542999</v>
      </c>
      <c r="G289">
        <v>129.50872093023</v>
      </c>
      <c r="I289" s="9">
        <f t="shared" si="32"/>
        <v>121.09687212667001</v>
      </c>
      <c r="J289" s="9">
        <f t="shared" si="33"/>
        <v>388.18714165040006</v>
      </c>
      <c r="K289" s="9">
        <f t="shared" si="31"/>
        <v>121.09687212667001</v>
      </c>
      <c r="L289" s="10">
        <f t="shared" si="30"/>
        <v>0.31195487725796289</v>
      </c>
      <c r="M289" s="10">
        <f t="shared" si="34"/>
        <v>0.31688341464168063</v>
      </c>
      <c r="P289" s="8">
        <f t="shared" si="35"/>
        <v>-3.5874322201942297</v>
      </c>
    </row>
    <row r="290" spans="1:16" x14ac:dyDescent="0.2">
      <c r="A290" s="8">
        <v>144</v>
      </c>
      <c r="B290" s="8">
        <v>288</v>
      </c>
      <c r="D290">
        <v>570.63259402122003</v>
      </c>
      <c r="E290">
        <v>251.07714561233999</v>
      </c>
      <c r="F290">
        <v>179.91472868216999</v>
      </c>
      <c r="G290">
        <v>129.94476744185999</v>
      </c>
      <c r="I290" s="9">
        <f t="shared" si="32"/>
        <v>121.13237817048</v>
      </c>
      <c r="J290" s="9">
        <f t="shared" si="33"/>
        <v>390.71786533905004</v>
      </c>
      <c r="K290" s="9">
        <f t="shared" si="31"/>
        <v>121.13237817048</v>
      </c>
      <c r="L290" s="10">
        <f t="shared" si="30"/>
        <v>0.31002518419618708</v>
      </c>
      <c r="M290" s="10">
        <f t="shared" si="34"/>
        <v>0.31497089418402929</v>
      </c>
      <c r="P290" s="8">
        <f t="shared" si="35"/>
        <v>-4.1693213306169898</v>
      </c>
    </row>
    <row r="291" spans="1:16" x14ac:dyDescent="0.2">
      <c r="A291" s="8">
        <v>144.5</v>
      </c>
      <c r="B291" s="8">
        <v>289</v>
      </c>
      <c r="D291">
        <v>569.60655737704997</v>
      </c>
      <c r="E291">
        <v>250.48119575698999</v>
      </c>
      <c r="F291">
        <v>179.84980620155</v>
      </c>
      <c r="G291">
        <v>129.55038759690001</v>
      </c>
      <c r="I291" s="9">
        <f t="shared" si="32"/>
        <v>120.93080816008998</v>
      </c>
      <c r="J291" s="9">
        <f t="shared" si="33"/>
        <v>389.75675117549997</v>
      </c>
      <c r="K291" s="9">
        <f t="shared" si="31"/>
        <v>120.93080816008998</v>
      </c>
      <c r="L291" s="10">
        <f t="shared" si="30"/>
        <v>0.31027251688486379</v>
      </c>
      <c r="M291" s="10">
        <f t="shared" si="34"/>
        <v>0.31523539947683044</v>
      </c>
      <c r="P291" s="8">
        <f t="shared" si="35"/>
        <v>-4.0888449368014799</v>
      </c>
    </row>
    <row r="292" spans="1:16" x14ac:dyDescent="0.2">
      <c r="A292" s="8">
        <v>145</v>
      </c>
      <c r="B292" s="8">
        <v>290</v>
      </c>
      <c r="D292">
        <v>565.16297010608002</v>
      </c>
      <c r="E292">
        <v>248.87463837994</v>
      </c>
      <c r="F292">
        <v>179.19767441861001</v>
      </c>
      <c r="G292">
        <v>129.69961240309999</v>
      </c>
      <c r="I292" s="9">
        <f>E292-G292</f>
        <v>119.17502597684</v>
      </c>
      <c r="J292" s="9">
        <f>D292-F292</f>
        <v>385.96529568747002</v>
      </c>
      <c r="K292" s="9">
        <f t="shared" si="31"/>
        <v>119.17502597684</v>
      </c>
      <c r="L292" s="10">
        <f t="shared" si="30"/>
        <v>0.30877135148788171</v>
      </c>
      <c r="M292" s="10">
        <f>L292+ABS($N$2)*A292</f>
        <v>0.31375140668397283</v>
      </c>
      <c r="O292" s="11"/>
      <c r="P292" s="8">
        <f>(M292-$O$2)/$O$2*100</f>
        <v>-4.5403534383994923</v>
      </c>
    </row>
    <row r="293" spans="1:16" x14ac:dyDescent="0.2">
      <c r="A293" s="8">
        <v>145.5</v>
      </c>
      <c r="B293" s="8">
        <v>291</v>
      </c>
      <c r="D293">
        <v>573.16150870406</v>
      </c>
      <c r="E293">
        <v>251.80367504835999</v>
      </c>
      <c r="F293">
        <v>179.96027131783001</v>
      </c>
      <c r="G293">
        <v>130.37403100775001</v>
      </c>
      <c r="I293" s="9">
        <f t="shared" ref="I293:I301" si="36">E293-G293</f>
        <v>121.42964404060999</v>
      </c>
      <c r="J293" s="9">
        <f t="shared" ref="J293:J301" si="37">D293-F293</f>
        <v>393.20123738622999</v>
      </c>
      <c r="K293" s="9">
        <f t="shared" si="31"/>
        <v>121.42964404060999</v>
      </c>
      <c r="L293" s="10">
        <f t="shared" si="30"/>
        <v>0.30882314828865409</v>
      </c>
      <c r="M293" s="10">
        <f t="shared" ref="M293:M301" si="38">L293+ABS($N$2)*A293</f>
        <v>0.31382037608886965</v>
      </c>
      <c r="P293" s="8">
        <f t="shared" ref="P293:P301" si="39">(M293-$O$2)/$O$2*100</f>
        <v>-4.5193693252616507</v>
      </c>
    </row>
    <row r="294" spans="1:16" x14ac:dyDescent="0.2">
      <c r="A294" s="8">
        <v>146</v>
      </c>
      <c r="B294" s="8">
        <v>292</v>
      </c>
      <c r="D294">
        <v>575.80464216634005</v>
      </c>
      <c r="E294">
        <v>253.27949709865001</v>
      </c>
      <c r="F294">
        <v>178.64922480620001</v>
      </c>
      <c r="G294">
        <v>129.64728682171</v>
      </c>
      <c r="I294" s="9">
        <f t="shared" si="36"/>
        <v>123.63221027694001</v>
      </c>
      <c r="J294" s="9">
        <f t="shared" si="37"/>
        <v>397.15541736014006</v>
      </c>
      <c r="K294" s="9">
        <f t="shared" si="31"/>
        <v>123.63221027694001</v>
      </c>
      <c r="L294" s="10">
        <f t="shared" si="30"/>
        <v>0.31129428146470545</v>
      </c>
      <c r="M294" s="10">
        <f t="shared" si="38"/>
        <v>0.31630868186904543</v>
      </c>
      <c r="N294" s="1"/>
      <c r="P294" s="8">
        <f t="shared" si="39"/>
        <v>-3.7622960970545063</v>
      </c>
    </row>
    <row r="295" spans="1:16" x14ac:dyDescent="0.2">
      <c r="A295" s="8">
        <v>146.5</v>
      </c>
      <c r="B295" s="8">
        <v>293</v>
      </c>
      <c r="D295">
        <v>579.87427466150996</v>
      </c>
      <c r="E295">
        <v>253.29206963249999</v>
      </c>
      <c r="F295">
        <v>179.49031007752001</v>
      </c>
      <c r="G295">
        <v>130.09593023255999</v>
      </c>
      <c r="I295" s="9">
        <f t="shared" si="36"/>
        <v>123.19613939993999</v>
      </c>
      <c r="J295" s="9">
        <f t="shared" si="37"/>
        <v>400.38396458398995</v>
      </c>
      <c r="K295" s="9">
        <f t="shared" si="31"/>
        <v>123.19613939993999</v>
      </c>
      <c r="L295" s="10">
        <f t="shared" si="30"/>
        <v>0.30769498855416</v>
      </c>
      <c r="M295" s="10">
        <f t="shared" si="38"/>
        <v>0.31272656156262446</v>
      </c>
      <c r="P295" s="8">
        <f t="shared" si="39"/>
        <v>-4.8521651179016567</v>
      </c>
    </row>
    <row r="296" spans="1:16" x14ac:dyDescent="0.2">
      <c r="A296" s="8">
        <v>147</v>
      </c>
      <c r="B296" s="8">
        <v>294</v>
      </c>
      <c r="D296">
        <v>581.10058027079003</v>
      </c>
      <c r="E296">
        <v>253.96518375241999</v>
      </c>
      <c r="F296">
        <v>179.26065891472999</v>
      </c>
      <c r="G296">
        <v>129.71220930233</v>
      </c>
      <c r="I296" s="9">
        <f t="shared" si="36"/>
        <v>124.25297445008999</v>
      </c>
      <c r="J296" s="9">
        <f t="shared" si="37"/>
        <v>401.83992135606002</v>
      </c>
      <c r="K296" s="9">
        <f t="shared" si="31"/>
        <v>124.25297445008999</v>
      </c>
      <c r="L296" s="10">
        <f t="shared" si="30"/>
        <v>0.30921013031951256</v>
      </c>
      <c r="M296" s="10">
        <f t="shared" si="38"/>
        <v>0.31425887593210144</v>
      </c>
      <c r="P296" s="8">
        <f t="shared" si="39"/>
        <v>-4.3859546563215766</v>
      </c>
    </row>
    <row r="297" spans="1:16" x14ac:dyDescent="0.2">
      <c r="A297" s="8">
        <v>147.5</v>
      </c>
      <c r="B297" s="8">
        <v>295</v>
      </c>
      <c r="D297">
        <v>584.44970986459998</v>
      </c>
      <c r="E297">
        <v>255.20502901354001</v>
      </c>
      <c r="F297">
        <v>179.82848837208999</v>
      </c>
      <c r="G297">
        <v>129.38953488371999</v>
      </c>
      <c r="I297" s="9">
        <f t="shared" si="36"/>
        <v>125.81549412982002</v>
      </c>
      <c r="J297" s="9">
        <f t="shared" si="37"/>
        <v>404.62122149251002</v>
      </c>
      <c r="K297" s="9">
        <f t="shared" si="31"/>
        <v>125.81549412982002</v>
      </c>
      <c r="L297" s="10">
        <f t="shared" si="30"/>
        <v>0.31094635537337728</v>
      </c>
      <c r="M297" s="10">
        <f t="shared" si="38"/>
        <v>0.31601227359009065</v>
      </c>
      <c r="P297" s="8">
        <f t="shared" si="39"/>
        <v>-3.8524790538291205</v>
      </c>
    </row>
    <row r="298" spans="1:16" x14ac:dyDescent="0.2">
      <c r="A298" s="8">
        <v>148</v>
      </c>
      <c r="B298" s="8">
        <v>296</v>
      </c>
      <c r="D298">
        <v>586.07253384912997</v>
      </c>
      <c r="E298">
        <v>254.50096711799</v>
      </c>
      <c r="F298">
        <v>179.66375968992</v>
      </c>
      <c r="G298">
        <v>129.53875968992</v>
      </c>
      <c r="I298" s="9">
        <f t="shared" si="36"/>
        <v>124.96220742807</v>
      </c>
      <c r="J298" s="9">
        <f t="shared" si="37"/>
        <v>406.40877415921</v>
      </c>
      <c r="K298" s="9">
        <f t="shared" si="31"/>
        <v>124.96220742807</v>
      </c>
      <c r="L298" s="10">
        <f t="shared" si="30"/>
        <v>0.30747910816294594</v>
      </c>
      <c r="M298" s="10">
        <f t="shared" si="38"/>
        <v>0.31256219898378373</v>
      </c>
      <c r="P298" s="8">
        <f t="shared" si="39"/>
        <v>-4.9021728416913799</v>
      </c>
    </row>
    <row r="299" spans="1:16" x14ac:dyDescent="0.2">
      <c r="A299" s="8">
        <v>148.5</v>
      </c>
      <c r="B299" s="8">
        <v>297</v>
      </c>
      <c r="D299">
        <v>587.54061895551001</v>
      </c>
      <c r="E299">
        <v>255.17311411992</v>
      </c>
      <c r="F299">
        <v>180.56976744185999</v>
      </c>
      <c r="G299">
        <v>130.01647286822001</v>
      </c>
      <c r="I299" s="9">
        <f t="shared" si="36"/>
        <v>125.15664125169999</v>
      </c>
      <c r="J299" s="9">
        <f t="shared" si="37"/>
        <v>406.97085151365002</v>
      </c>
      <c r="K299" s="9">
        <f t="shared" si="31"/>
        <v>125.15664125169999</v>
      </c>
      <c r="L299" s="10">
        <f t="shared" si="30"/>
        <v>0.30753219987673286</v>
      </c>
      <c r="M299" s="10">
        <f t="shared" si="38"/>
        <v>0.31263246330169514</v>
      </c>
      <c r="P299" s="8">
        <f t="shared" si="39"/>
        <v>-4.8807947480451865</v>
      </c>
    </row>
    <row r="300" spans="1:16" x14ac:dyDescent="0.2">
      <c r="A300" s="8">
        <v>149</v>
      </c>
      <c r="B300" s="8">
        <v>298</v>
      </c>
      <c r="D300">
        <v>590.03384912958995</v>
      </c>
      <c r="E300">
        <v>256.10154738877998</v>
      </c>
      <c r="F300">
        <v>180.04263565892001</v>
      </c>
      <c r="G300">
        <v>129.64437984496001</v>
      </c>
      <c r="I300" s="9">
        <f t="shared" si="36"/>
        <v>126.45716754381996</v>
      </c>
      <c r="J300" s="9">
        <f t="shared" si="37"/>
        <v>409.99121347066995</v>
      </c>
      <c r="K300" s="9">
        <f t="shared" si="31"/>
        <v>126.45716754381996</v>
      </c>
      <c r="L300" s="10">
        <f t="shared" si="30"/>
        <v>0.30843872597495675</v>
      </c>
      <c r="M300" s="10">
        <f t="shared" si="38"/>
        <v>0.31355616200404346</v>
      </c>
      <c r="P300" s="8">
        <f t="shared" si="39"/>
        <v>-4.5997571183258232</v>
      </c>
    </row>
    <row r="301" spans="1:16" x14ac:dyDescent="0.2">
      <c r="A301" s="8">
        <v>149.5</v>
      </c>
      <c r="B301" s="8">
        <v>299</v>
      </c>
      <c r="D301">
        <v>593.49516441006006</v>
      </c>
      <c r="E301">
        <v>257.47678916827999</v>
      </c>
      <c r="F301">
        <v>179.41860465116</v>
      </c>
      <c r="G301">
        <v>130.32751937985</v>
      </c>
      <c r="I301" s="9">
        <f t="shared" si="36"/>
        <v>127.14926978842999</v>
      </c>
      <c r="J301" s="9">
        <f t="shared" si="37"/>
        <v>414.07655975890009</v>
      </c>
      <c r="K301" s="9">
        <f t="shared" si="31"/>
        <v>127.14926978842999</v>
      </c>
      <c r="L301" s="10">
        <f t="shared" si="30"/>
        <v>0.30706705509354076</v>
      </c>
      <c r="M301" s="10">
        <f t="shared" si="38"/>
        <v>0.31220166372675195</v>
      </c>
      <c r="P301" s="8">
        <f t="shared" si="39"/>
        <v>-5.0118665911887819</v>
      </c>
    </row>
    <row r="302" spans="1:16" x14ac:dyDescent="0.2">
      <c r="A302" s="8">
        <v>150</v>
      </c>
      <c r="B302" s="8">
        <v>300</v>
      </c>
      <c r="D302">
        <v>597.88932038835003</v>
      </c>
      <c r="E302">
        <v>258.18446601941997</v>
      </c>
      <c r="F302">
        <v>179.46414728682001</v>
      </c>
      <c r="G302">
        <v>129.75484496124</v>
      </c>
      <c r="I302" s="9">
        <f>E302-G302</f>
        <v>128.42962105817998</v>
      </c>
      <c r="J302" s="9">
        <f>D302-F302</f>
        <v>418.42517310153005</v>
      </c>
      <c r="K302" s="9">
        <f t="shared" si="31"/>
        <v>128.42962105817998</v>
      </c>
      <c r="L302" s="10">
        <f t="shared" si="30"/>
        <v>0.3069356943947939</v>
      </c>
      <c r="M302" s="10">
        <f>L302+ABS($N$2)*A302</f>
        <v>0.31208747563212952</v>
      </c>
      <c r="O302" s="11"/>
      <c r="P302" s="8">
        <f>(M302-$O$2)/$O$2*100</f>
        <v>-5.0466086032466908</v>
      </c>
    </row>
    <row r="303" spans="1:16" x14ac:dyDescent="0.2">
      <c r="A303" s="8">
        <v>150.5</v>
      </c>
      <c r="B303" s="8">
        <v>301</v>
      </c>
      <c r="D303">
        <v>595.19320388350002</v>
      </c>
      <c r="E303">
        <v>258.96310679611997</v>
      </c>
      <c r="F303">
        <v>179.90503875969</v>
      </c>
      <c r="G303">
        <v>129.84689922480999</v>
      </c>
      <c r="I303" s="9">
        <f t="shared" ref="I303:I309" si="40">E303-G303</f>
        <v>129.11620757130999</v>
      </c>
      <c r="J303" s="9">
        <f t="shared" ref="J303:J309" si="41">D303-F303</f>
        <v>415.28816512381002</v>
      </c>
      <c r="K303" s="9">
        <f t="shared" si="31"/>
        <v>129.11620757130999</v>
      </c>
      <c r="L303" s="10">
        <f t="shared" si="30"/>
        <v>0.31090750571429487</v>
      </c>
      <c r="M303" s="10">
        <f t="shared" ref="M303:M309" si="42">L303+ABS($N$2)*A303</f>
        <v>0.31607645955575497</v>
      </c>
      <c r="P303" s="8">
        <f t="shared" ref="P303:P309" si="43">(M303-$O$2)/$O$2*100</f>
        <v>-3.8329503139860424</v>
      </c>
    </row>
    <row r="304" spans="1:16" x14ac:dyDescent="0.2">
      <c r="A304" s="8">
        <v>151</v>
      </c>
      <c r="B304" s="8">
        <v>302</v>
      </c>
      <c r="D304">
        <v>595.79029126214004</v>
      </c>
      <c r="E304">
        <v>259.10485436892998</v>
      </c>
      <c r="F304">
        <v>178.82655038760001</v>
      </c>
      <c r="G304">
        <v>129.88178294574001</v>
      </c>
      <c r="I304" s="9">
        <f t="shared" si="40"/>
        <v>129.22307142318996</v>
      </c>
      <c r="J304" s="9">
        <f t="shared" si="41"/>
        <v>416.96374087454001</v>
      </c>
      <c r="K304" s="9">
        <f t="shared" si="31"/>
        <v>129.22307142318996</v>
      </c>
      <c r="L304" s="10">
        <f t="shared" si="30"/>
        <v>0.3099144092293431</v>
      </c>
      <c r="M304" s="10">
        <f t="shared" si="42"/>
        <v>0.31510053567492763</v>
      </c>
      <c r="N304" s="1"/>
      <c r="P304" s="8">
        <f t="shared" si="43"/>
        <v>-4.1298775842712114</v>
      </c>
    </row>
    <row r="305" spans="1:16" x14ac:dyDescent="0.2">
      <c r="A305" s="8">
        <v>151.5</v>
      </c>
      <c r="B305" s="8">
        <v>303</v>
      </c>
      <c r="D305">
        <v>601.71262135921995</v>
      </c>
      <c r="E305">
        <v>261.42135922329999</v>
      </c>
      <c r="F305">
        <v>179.00968992247999</v>
      </c>
      <c r="G305">
        <v>129.41085271317999</v>
      </c>
      <c r="I305" s="9">
        <f t="shared" si="40"/>
        <v>132.01050651012</v>
      </c>
      <c r="J305" s="9">
        <f t="shared" si="41"/>
        <v>422.70293143673996</v>
      </c>
      <c r="K305" s="9">
        <f t="shared" si="31"/>
        <v>132.01050651012</v>
      </c>
      <c r="L305" s="10">
        <f t="shared" si="30"/>
        <v>0.31230090139527733</v>
      </c>
      <c r="M305" s="10">
        <f t="shared" si="42"/>
        <v>0.31750420044498628</v>
      </c>
      <c r="P305" s="8">
        <f t="shared" si="43"/>
        <v>-3.3985565941043454</v>
      </c>
    </row>
    <row r="306" spans="1:16" x14ac:dyDescent="0.2">
      <c r="A306" s="8">
        <v>152</v>
      </c>
      <c r="B306" s="8">
        <v>304</v>
      </c>
      <c r="D306">
        <v>602.31739961759001</v>
      </c>
      <c r="E306">
        <v>261.35277246653999</v>
      </c>
      <c r="F306">
        <v>179.57170542636001</v>
      </c>
      <c r="G306">
        <v>129.61627906977</v>
      </c>
      <c r="I306" s="9">
        <f t="shared" si="40"/>
        <v>131.73649339676999</v>
      </c>
      <c r="J306" s="9">
        <f t="shared" si="41"/>
        <v>422.74569419122997</v>
      </c>
      <c r="K306" s="9">
        <f t="shared" si="31"/>
        <v>131.73649339676999</v>
      </c>
      <c r="L306" s="10">
        <f t="shared" si="30"/>
        <v>0.31162113584338175</v>
      </c>
      <c r="M306" s="10">
        <f t="shared" si="42"/>
        <v>0.31684160749721518</v>
      </c>
      <c r="P306" s="8">
        <f t="shared" si="43"/>
        <v>-3.6001521479759111</v>
      </c>
    </row>
    <row r="307" spans="1:16" x14ac:dyDescent="0.2">
      <c r="A307" s="8">
        <v>152.5</v>
      </c>
      <c r="B307" s="8">
        <v>305</v>
      </c>
      <c r="D307">
        <v>601.03537284895003</v>
      </c>
      <c r="E307">
        <v>262.78776290630998</v>
      </c>
      <c r="F307">
        <v>179.78003875969</v>
      </c>
      <c r="G307">
        <v>129.34399224806</v>
      </c>
      <c r="I307" s="9">
        <f t="shared" si="40"/>
        <v>133.44377065824997</v>
      </c>
      <c r="J307" s="9">
        <f t="shared" si="41"/>
        <v>421.25533408926003</v>
      </c>
      <c r="K307" s="9">
        <f t="shared" si="31"/>
        <v>133.44377065824997</v>
      </c>
      <c r="L307" s="10">
        <f t="shared" si="30"/>
        <v>0.31677645328040999</v>
      </c>
      <c r="M307" s="10">
        <f t="shared" si="42"/>
        <v>0.32201409753836785</v>
      </c>
      <c r="P307" s="8">
        <f t="shared" si="43"/>
        <v>-2.0264091761422338</v>
      </c>
    </row>
    <row r="308" spans="1:16" x14ac:dyDescent="0.2">
      <c r="A308" s="8">
        <v>153</v>
      </c>
      <c r="B308" s="8">
        <v>306</v>
      </c>
      <c r="D308">
        <v>591.69885277246999</v>
      </c>
      <c r="E308">
        <v>261.29732313576</v>
      </c>
      <c r="F308">
        <v>179.67829457363999</v>
      </c>
      <c r="G308">
        <v>129.79844961239999</v>
      </c>
      <c r="I308" s="9">
        <f t="shared" si="40"/>
        <v>131.49887352336</v>
      </c>
      <c r="J308" s="9">
        <f t="shared" si="41"/>
        <v>412.02055819883003</v>
      </c>
      <c r="K308" s="9">
        <f t="shared" si="31"/>
        <v>131.49887352336</v>
      </c>
      <c r="L308" s="10">
        <f t="shared" si="30"/>
        <v>0.31915609769137343</v>
      </c>
      <c r="M308" s="10">
        <f t="shared" si="42"/>
        <v>0.32441091455345578</v>
      </c>
      <c r="P308" s="8">
        <f t="shared" si="43"/>
        <v>-1.2971716324725648</v>
      </c>
    </row>
    <row r="309" spans="1:16" x14ac:dyDescent="0.2">
      <c r="A309" s="8">
        <v>153.5</v>
      </c>
      <c r="B309" s="8">
        <v>307</v>
      </c>
      <c r="D309">
        <v>590.23900573614003</v>
      </c>
      <c r="E309">
        <v>260.25239005736</v>
      </c>
      <c r="F309">
        <v>179.41279069767</v>
      </c>
      <c r="G309">
        <v>130.13275193798</v>
      </c>
      <c r="I309" s="9">
        <f t="shared" si="40"/>
        <v>130.11963811938</v>
      </c>
      <c r="J309" s="9">
        <f t="shared" si="41"/>
        <v>410.82621503847002</v>
      </c>
      <c r="K309" s="9">
        <f t="shared" si="31"/>
        <v>130.11963811938</v>
      </c>
      <c r="L309" s="10">
        <f t="shared" si="30"/>
        <v>0.31672671644674749</v>
      </c>
      <c r="M309" s="10">
        <f t="shared" si="42"/>
        <v>0.32199870591295426</v>
      </c>
      <c r="P309" s="8">
        <f t="shared" si="43"/>
        <v>-2.0310921164914681</v>
      </c>
    </row>
    <row r="310" spans="1:16" x14ac:dyDescent="0.2">
      <c r="A310" s="8">
        <v>154</v>
      </c>
      <c r="B310" s="8">
        <v>308</v>
      </c>
      <c r="D310">
        <v>587.66252390057002</v>
      </c>
      <c r="E310">
        <v>261.93499043976999</v>
      </c>
      <c r="F310">
        <v>178.87015503876</v>
      </c>
      <c r="G310">
        <v>129.65213178294999</v>
      </c>
      <c r="I310" s="9">
        <f>E310-G310</f>
        <v>132.28285865682</v>
      </c>
      <c r="J310" s="9">
        <f>D310-F310</f>
        <v>408.79236886181002</v>
      </c>
      <c r="K310" s="9">
        <f t="shared" si="31"/>
        <v>132.28285865682</v>
      </c>
      <c r="L310" s="10">
        <f t="shared" si="30"/>
        <v>0.32359424669577791</v>
      </c>
      <c r="M310" s="10">
        <f>L310+ABS($N$2)*A310</f>
        <v>0.32888340876610916</v>
      </c>
      <c r="O310" s="11"/>
      <c r="P310" s="8">
        <f>(M310-$O$2)/$O$2*100</f>
        <v>6.3595865914257421E-2</v>
      </c>
    </row>
    <row r="311" spans="1:16" x14ac:dyDescent="0.2">
      <c r="A311" s="8">
        <v>154.5</v>
      </c>
      <c r="B311" s="8">
        <v>309</v>
      </c>
      <c r="D311">
        <v>584.27533460802999</v>
      </c>
      <c r="E311">
        <v>258.77533460802999</v>
      </c>
      <c r="F311">
        <v>179.76937984496001</v>
      </c>
      <c r="G311">
        <v>129.57267441861001</v>
      </c>
      <c r="I311" s="9">
        <f t="shared" ref="I311:I319" si="44">E311-G311</f>
        <v>129.20266018941999</v>
      </c>
      <c r="J311" s="9">
        <f t="shared" ref="J311:J319" si="45">D311-F311</f>
        <v>404.50595476307001</v>
      </c>
      <c r="K311" s="9">
        <f t="shared" si="31"/>
        <v>129.20266018941999</v>
      </c>
      <c r="L311" s="10">
        <f t="shared" si="30"/>
        <v>0.31940854928847079</v>
      </c>
      <c r="M311" s="10">
        <f t="shared" ref="M311:M319" si="46">L311+ABS($N$2)*A311</f>
        <v>0.32471488396292647</v>
      </c>
      <c r="P311" s="8">
        <f t="shared" ref="P311:P319" si="47">(M311-$O$2)/$O$2*100</f>
        <v>-1.2046881829151952</v>
      </c>
    </row>
    <row r="312" spans="1:16" x14ac:dyDescent="0.2">
      <c r="A312" s="8">
        <v>155</v>
      </c>
      <c r="B312" s="8">
        <v>310</v>
      </c>
      <c r="D312">
        <v>579.88145315487998</v>
      </c>
      <c r="E312">
        <v>260.93785850860002</v>
      </c>
      <c r="F312">
        <v>178.36724806202</v>
      </c>
      <c r="G312">
        <v>129.34205426356999</v>
      </c>
      <c r="I312" s="9">
        <f t="shared" si="44"/>
        <v>131.59580424503002</v>
      </c>
      <c r="J312" s="9">
        <f t="shared" si="45"/>
        <v>401.51420509285998</v>
      </c>
      <c r="K312" s="9">
        <f t="shared" si="31"/>
        <v>131.59580424503002</v>
      </c>
      <c r="L312" s="10">
        <f t="shared" si="30"/>
        <v>0.3277488133068549</v>
      </c>
      <c r="M312" s="10">
        <f t="shared" si="46"/>
        <v>0.33307232058543507</v>
      </c>
      <c r="N312" s="1"/>
      <c r="P312" s="8">
        <f t="shared" si="47"/>
        <v>1.3380827151583599</v>
      </c>
    </row>
    <row r="313" spans="1:16" x14ac:dyDescent="0.2">
      <c r="A313" s="8">
        <v>155.5</v>
      </c>
      <c r="B313" s="8">
        <v>311</v>
      </c>
      <c r="D313">
        <v>575.87858508603995</v>
      </c>
      <c r="E313">
        <v>258.50382409178002</v>
      </c>
      <c r="F313">
        <v>179.45058139535001</v>
      </c>
      <c r="G313">
        <v>129.68023255814001</v>
      </c>
      <c r="I313" s="9">
        <f t="shared" si="44"/>
        <v>128.82359153364001</v>
      </c>
      <c r="J313" s="9">
        <f t="shared" si="45"/>
        <v>396.42800369068993</v>
      </c>
      <c r="K313" s="9">
        <f t="shared" si="31"/>
        <v>128.82359153364001</v>
      </c>
      <c r="L313" s="10">
        <f t="shared" si="30"/>
        <v>0.32496087646258631</v>
      </c>
      <c r="M313" s="10">
        <f t="shared" si="46"/>
        <v>0.3303015563452909</v>
      </c>
      <c r="P313" s="8">
        <f t="shared" si="47"/>
        <v>0.49507079733101428</v>
      </c>
    </row>
    <row r="314" spans="1:16" x14ac:dyDescent="0.2">
      <c r="A314" s="8">
        <v>156</v>
      </c>
      <c r="B314" s="8">
        <v>312</v>
      </c>
      <c r="D314">
        <v>581.84416826003996</v>
      </c>
      <c r="E314">
        <v>263.60325047801001</v>
      </c>
      <c r="F314">
        <v>178.18992248062</v>
      </c>
      <c r="G314">
        <v>129.19476744185999</v>
      </c>
      <c r="I314" s="9">
        <f t="shared" si="44"/>
        <v>134.40848303615002</v>
      </c>
      <c r="J314" s="9">
        <f t="shared" si="45"/>
        <v>403.65424577941997</v>
      </c>
      <c r="K314" s="9">
        <f t="shared" si="31"/>
        <v>134.40848303615002</v>
      </c>
      <c r="L314" s="10">
        <f t="shared" si="30"/>
        <v>0.33297923765577975</v>
      </c>
      <c r="M314" s="10">
        <f t="shared" si="46"/>
        <v>0.33833709014260882</v>
      </c>
      <c r="P314" s="8">
        <f t="shared" si="47"/>
        <v>2.9399019594695064</v>
      </c>
    </row>
    <row r="315" spans="1:16" x14ac:dyDescent="0.2">
      <c r="A315" s="8">
        <v>156.5</v>
      </c>
      <c r="B315" s="8">
        <v>313</v>
      </c>
      <c r="D315">
        <v>585.87858508603995</v>
      </c>
      <c r="E315">
        <v>262.71606118546998</v>
      </c>
      <c r="F315">
        <v>179.09205426356999</v>
      </c>
      <c r="G315">
        <v>129.76356589146999</v>
      </c>
      <c r="I315" s="9">
        <f t="shared" si="44"/>
        <v>132.95249529399999</v>
      </c>
      <c r="J315" s="9">
        <f t="shared" si="45"/>
        <v>406.78653082246996</v>
      </c>
      <c r="K315" s="9">
        <f t="shared" si="31"/>
        <v>132.95249529399999</v>
      </c>
      <c r="L315" s="10">
        <f t="shared" si="30"/>
        <v>0.32683603123531935</v>
      </c>
      <c r="M315" s="10">
        <f t="shared" si="46"/>
        <v>0.33221105632627285</v>
      </c>
      <c r="P315" s="8">
        <f t="shared" si="47"/>
        <v>1.0760409202076953</v>
      </c>
    </row>
    <row r="316" spans="1:16" x14ac:dyDescent="0.2">
      <c r="A316" s="8">
        <v>157</v>
      </c>
      <c r="B316" s="8">
        <v>314</v>
      </c>
      <c r="D316">
        <v>584.44455066922001</v>
      </c>
      <c r="E316">
        <v>262.56596558317</v>
      </c>
      <c r="F316">
        <v>179.40503875969</v>
      </c>
      <c r="G316">
        <v>130.04554263566001</v>
      </c>
      <c r="I316" s="9">
        <f t="shared" si="44"/>
        <v>132.52042294750999</v>
      </c>
      <c r="J316" s="9">
        <f t="shared" si="45"/>
        <v>405.03951190953001</v>
      </c>
      <c r="K316" s="9">
        <f t="shared" si="31"/>
        <v>132.52042294750999</v>
      </c>
      <c r="L316" s="10">
        <f t="shared" si="30"/>
        <v>0.32717900118620985</v>
      </c>
      <c r="M316" s="10">
        <f t="shared" si="46"/>
        <v>0.33257119888128778</v>
      </c>
      <c r="P316" s="8">
        <f t="shared" si="47"/>
        <v>1.1856151891388478</v>
      </c>
    </row>
    <row r="317" spans="1:16" x14ac:dyDescent="0.2">
      <c r="A317" s="8">
        <v>157.5</v>
      </c>
      <c r="B317" s="8">
        <v>315</v>
      </c>
      <c r="D317">
        <v>583.11376673040002</v>
      </c>
      <c r="E317">
        <v>263.03441682599998</v>
      </c>
      <c r="F317">
        <v>179.65213178294999</v>
      </c>
      <c r="G317">
        <v>129.64437984496001</v>
      </c>
      <c r="I317" s="9">
        <f t="shared" si="44"/>
        <v>133.39003698103997</v>
      </c>
      <c r="J317" s="9">
        <f t="shared" si="45"/>
        <v>403.46163494745002</v>
      </c>
      <c r="K317" s="9">
        <f t="shared" si="31"/>
        <v>133.39003698103997</v>
      </c>
      <c r="L317" s="10">
        <f t="shared" si="30"/>
        <v>0.33061393061180083</v>
      </c>
      <c r="M317" s="10">
        <f t="shared" si="46"/>
        <v>0.33602330091100324</v>
      </c>
      <c r="P317" s="8">
        <f t="shared" si="47"/>
        <v>2.2359258256203876</v>
      </c>
    </row>
    <row r="318" spans="1:16" x14ac:dyDescent="0.2">
      <c r="A318" s="8">
        <v>158</v>
      </c>
      <c r="B318" s="8">
        <v>316</v>
      </c>
      <c r="D318">
        <v>585.99617590822004</v>
      </c>
      <c r="E318">
        <v>265.86520076481997</v>
      </c>
      <c r="F318">
        <v>178.52810077519001</v>
      </c>
      <c r="G318">
        <v>129.70930232558001</v>
      </c>
      <c r="I318" s="9">
        <f t="shared" si="44"/>
        <v>136.15589843923996</v>
      </c>
      <c r="J318" s="9">
        <f t="shared" si="45"/>
        <v>407.46807513303003</v>
      </c>
      <c r="K318" s="9">
        <f t="shared" si="31"/>
        <v>136.15589843923996</v>
      </c>
      <c r="L318" s="10">
        <f t="shared" si="30"/>
        <v>0.33415108262110554</v>
      </c>
      <c r="M318" s="10">
        <f t="shared" si="46"/>
        <v>0.33957762552443238</v>
      </c>
      <c r="P318" s="8">
        <f t="shared" si="47"/>
        <v>3.3173379376779395</v>
      </c>
    </row>
    <row r="319" spans="1:16" x14ac:dyDescent="0.2">
      <c r="A319" s="8">
        <v>158.5</v>
      </c>
      <c r="B319" s="8">
        <v>317</v>
      </c>
      <c r="D319">
        <v>594.25812619502994</v>
      </c>
      <c r="E319">
        <v>265.24474187381003</v>
      </c>
      <c r="F319">
        <v>179.83333333332999</v>
      </c>
      <c r="G319">
        <v>129.88759689923</v>
      </c>
      <c r="I319" s="9">
        <f t="shared" si="44"/>
        <v>135.35714497458002</v>
      </c>
      <c r="J319" s="9">
        <f t="shared" si="45"/>
        <v>414.42479286169998</v>
      </c>
      <c r="K319" s="9">
        <f t="shared" si="31"/>
        <v>135.35714497458002</v>
      </c>
      <c r="L319" s="10">
        <f t="shared" si="30"/>
        <v>0.32661449629957545</v>
      </c>
      <c r="M319" s="10">
        <f t="shared" si="46"/>
        <v>0.33205821180702677</v>
      </c>
      <c r="P319" s="8">
        <f t="shared" si="47"/>
        <v>1.0295375947236298</v>
      </c>
    </row>
    <row r="320" spans="1:16" x14ac:dyDescent="0.2">
      <c r="A320" s="8">
        <v>159</v>
      </c>
      <c r="B320" s="8">
        <v>318</v>
      </c>
      <c r="D320">
        <v>585.22179732313998</v>
      </c>
      <c r="E320">
        <v>263.46558317400002</v>
      </c>
      <c r="F320">
        <v>179.42054263566001</v>
      </c>
      <c r="G320">
        <v>129.60271317830001</v>
      </c>
      <c r="I320" s="9">
        <f>E320-G320</f>
        <v>133.86286999570001</v>
      </c>
      <c r="J320" s="9">
        <f>D320-F320</f>
        <v>405.80125468747997</v>
      </c>
      <c r="K320" s="9">
        <f t="shared" si="31"/>
        <v>133.86286999570001</v>
      </c>
      <c r="L320" s="10">
        <f t="shared" si="30"/>
        <v>0.32987298203104848</v>
      </c>
      <c r="M320" s="10">
        <f>L320+ABS($N$2)*A320</f>
        <v>0.33533387014262422</v>
      </c>
      <c r="O320" s="11"/>
      <c r="P320" s="8">
        <f>(M320-$O$2)/$O$2*100</f>
        <v>2.0261647980166329</v>
      </c>
    </row>
    <row r="321" spans="1:16" x14ac:dyDescent="0.2">
      <c r="A321" s="8">
        <v>159.5</v>
      </c>
      <c r="B321" s="8">
        <v>319</v>
      </c>
      <c r="D321">
        <v>579.63671128107001</v>
      </c>
      <c r="E321">
        <v>266.26768642447001</v>
      </c>
      <c r="F321">
        <v>178.89825581394999</v>
      </c>
      <c r="G321">
        <v>129.58817829457001</v>
      </c>
      <c r="I321" s="9">
        <f t="shared" ref="I321:I322" si="48">E321-G321</f>
        <v>136.6795081299</v>
      </c>
      <c r="J321" s="9">
        <f t="shared" ref="J321:J322" si="49">D321-F321</f>
        <v>400.73845546712005</v>
      </c>
      <c r="K321" s="9">
        <f t="shared" si="31"/>
        <v>136.6795081299</v>
      </c>
      <c r="L321" s="10">
        <f t="shared" si="30"/>
        <v>0.34106910945339591</v>
      </c>
      <c r="M321" s="10">
        <f t="shared" ref="M321:M322" si="50">L321+ABS($N$2)*A321</f>
        <v>0.34654717016909614</v>
      </c>
      <c r="P321" s="8">
        <f t="shared" ref="P321:P322" si="51">(M321-$O$2)/$O$2*100</f>
        <v>5.4378392463622198</v>
      </c>
    </row>
    <row r="322" spans="1:16" x14ac:dyDescent="0.2">
      <c r="A322" s="8">
        <v>160</v>
      </c>
      <c r="B322" s="8">
        <v>320</v>
      </c>
      <c r="D322">
        <v>591.52103250478001</v>
      </c>
      <c r="E322">
        <v>271.46940726576997</v>
      </c>
      <c r="F322">
        <v>178.79069767441999</v>
      </c>
      <c r="G322">
        <v>129.06686046511999</v>
      </c>
      <c r="I322" s="9">
        <f t="shared" si="48"/>
        <v>142.40254680064999</v>
      </c>
      <c r="J322" s="9">
        <f t="shared" si="49"/>
        <v>412.73033483035999</v>
      </c>
      <c r="K322" s="9">
        <f t="shared" si="31"/>
        <v>142.40254680064999</v>
      </c>
      <c r="L322" s="10">
        <f t="shared" ref="L322" si="52">K322/J322</f>
        <v>0.34502563728246466</v>
      </c>
      <c r="M322" s="10">
        <f t="shared" si="50"/>
        <v>0.35052087060228931</v>
      </c>
      <c r="P322" s="8">
        <f t="shared" si="51"/>
        <v>6.6468474956108956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149B-C215-C44D-BFE1-5A04C3A2EEC8}">
  <dimension ref="A1:Y798"/>
  <sheetViews>
    <sheetView tabSelected="1" zoomScale="44" zoomScaleNormal="70" workbookViewId="0">
      <selection activeCell="G72" sqref="G7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1988.4631828979</v>
      </c>
      <c r="E2">
        <v>669.08218527316001</v>
      </c>
      <c r="F2">
        <v>147.91306413301999</v>
      </c>
      <c r="G2">
        <v>119.1377672209</v>
      </c>
      <c r="H2" s="4"/>
      <c r="I2" s="5">
        <f>E2-G2</f>
        <v>549.94441805226006</v>
      </c>
      <c r="J2" s="5">
        <f>D2-F2</f>
        <v>1840.5501187648799</v>
      </c>
      <c r="K2" s="9">
        <f>I2*1</f>
        <v>549.94441805226006</v>
      </c>
      <c r="L2" s="6">
        <f t="shared" ref="L2:L65" si="0">K2/J2</f>
        <v>0.29879350333654914</v>
      </c>
      <c r="M2" s="6">
        <f>L2+ABS($N$2)*A2</f>
        <v>0.29879350333654914</v>
      </c>
      <c r="N2" s="4">
        <f>LINEST(V64:V103,U64:U103)</f>
        <v>-5.0995494032206639E-5</v>
      </c>
      <c r="O2" s="7">
        <f>AVERAGE(M62:M81)</f>
        <v>0.21275006815858172</v>
      </c>
      <c r="P2" s="4">
        <f>(M2-$O$2)/$O$2*100</f>
        <v>40.443434835391699</v>
      </c>
    </row>
    <row r="3" spans="1:16" x14ac:dyDescent="0.2">
      <c r="A3" s="8">
        <v>0.5</v>
      </c>
      <c r="B3" s="8">
        <v>1</v>
      </c>
      <c r="D3">
        <v>1972.2983372921999</v>
      </c>
      <c r="E3">
        <v>686.74821852731998</v>
      </c>
      <c r="F3">
        <v>148.36437054632</v>
      </c>
      <c r="G3">
        <v>118.76959619953</v>
      </c>
      <c r="I3" s="9">
        <f t="shared" ref="I3:I66" si="1">E3-G3</f>
        <v>567.97862232778994</v>
      </c>
      <c r="J3" s="9">
        <f t="shared" ref="J3:J66" si="2">D3-F3</f>
        <v>1823.9339667458798</v>
      </c>
      <c r="K3" s="9">
        <f t="shared" ref="K3:K66" si="3">I3*1</f>
        <v>567.97862232778994</v>
      </c>
      <c r="L3" s="10">
        <f t="shared" si="0"/>
        <v>0.31140306210818197</v>
      </c>
      <c r="M3" s="10">
        <f t="shared" ref="M3:M66" si="4">L3+ABS($N$2)*A3</f>
        <v>0.31142855985519807</v>
      </c>
      <c r="P3" s="8">
        <f t="shared" ref="P3:P66" si="5">(M3-$O$2)/$O$2*100</f>
        <v>46.38235491565738</v>
      </c>
    </row>
    <row r="4" spans="1:16" ht="16" x14ac:dyDescent="0.2">
      <c r="A4" s="8">
        <v>1</v>
      </c>
      <c r="B4" s="8">
        <v>2</v>
      </c>
      <c r="D4">
        <v>1844.1363420427999</v>
      </c>
      <c r="E4">
        <v>677.10641330166004</v>
      </c>
      <c r="F4">
        <v>148.25748218526999</v>
      </c>
      <c r="G4">
        <v>118.71258907363</v>
      </c>
      <c r="I4" s="9">
        <f t="shared" si="1"/>
        <v>558.3938242280301</v>
      </c>
      <c r="J4" s="9">
        <f t="shared" si="2"/>
        <v>1695.87885985753</v>
      </c>
      <c r="K4" s="9">
        <f t="shared" si="3"/>
        <v>558.3938242280301</v>
      </c>
      <c r="L4" s="10">
        <f t="shared" si="0"/>
        <v>0.32926516005685719</v>
      </c>
      <c r="M4" s="10">
        <f t="shared" si="4"/>
        <v>0.32931615555088939</v>
      </c>
      <c r="N4" s="1" t="s">
        <v>7</v>
      </c>
      <c r="P4" s="8">
        <f t="shared" si="5"/>
        <v>54.790152784073612</v>
      </c>
    </row>
    <row r="5" spans="1:16" x14ac:dyDescent="0.2">
      <c r="A5" s="8">
        <v>1.5</v>
      </c>
      <c r="B5" s="8">
        <v>3</v>
      </c>
      <c r="D5">
        <v>1371.6912114014001</v>
      </c>
      <c r="E5">
        <v>591.68978622327995</v>
      </c>
      <c r="F5">
        <v>148.45225653207001</v>
      </c>
      <c r="G5">
        <v>118.84655581948</v>
      </c>
      <c r="I5" s="9">
        <f t="shared" si="1"/>
        <v>472.84323040379996</v>
      </c>
      <c r="J5" s="9">
        <f t="shared" si="2"/>
        <v>1223.23895486933</v>
      </c>
      <c r="K5" s="9">
        <f t="shared" si="3"/>
        <v>472.84323040379996</v>
      </c>
      <c r="L5" s="10">
        <f t="shared" si="0"/>
        <v>0.38655017363660599</v>
      </c>
      <c r="M5" s="10">
        <f t="shared" si="4"/>
        <v>0.38662666687765429</v>
      </c>
      <c r="N5" s="8">
        <f>RSQ(V64:V83,U64:U83)</f>
        <v>0.12086975710656701</v>
      </c>
      <c r="P5" s="8">
        <f t="shared" si="5"/>
        <v>81.72810482460892</v>
      </c>
    </row>
    <row r="6" spans="1:16" x14ac:dyDescent="0.2">
      <c r="A6" s="8">
        <v>2</v>
      </c>
      <c r="B6" s="8">
        <v>4</v>
      </c>
      <c r="D6">
        <v>1423.1863442389999</v>
      </c>
      <c r="E6">
        <v>575.00711237553003</v>
      </c>
      <c r="F6">
        <v>148.99904988124001</v>
      </c>
      <c r="G6">
        <v>119.15534441805001</v>
      </c>
      <c r="I6" s="9">
        <f t="shared" si="1"/>
        <v>455.85176795748004</v>
      </c>
      <c r="J6" s="9">
        <f t="shared" si="2"/>
        <v>1274.18729435776</v>
      </c>
      <c r="K6" s="9">
        <f t="shared" si="3"/>
        <v>455.85176795748004</v>
      </c>
      <c r="L6" s="10">
        <f t="shared" si="0"/>
        <v>0.35775883967454492</v>
      </c>
      <c r="M6" s="10">
        <f t="shared" si="4"/>
        <v>0.35786083066260932</v>
      </c>
      <c r="P6" s="8">
        <f t="shared" si="5"/>
        <v>68.207152063454828</v>
      </c>
    </row>
    <row r="7" spans="1:16" x14ac:dyDescent="0.2">
      <c r="A7" s="8">
        <v>2.5</v>
      </c>
      <c r="B7" s="8">
        <v>5</v>
      </c>
      <c r="D7">
        <v>1359.7017543859999</v>
      </c>
      <c r="E7">
        <v>536.16927453769995</v>
      </c>
      <c r="F7">
        <v>148.93349168646</v>
      </c>
      <c r="G7">
        <v>119.3809976247</v>
      </c>
      <c r="I7" s="9">
        <f t="shared" si="1"/>
        <v>416.78827691299995</v>
      </c>
      <c r="J7" s="9">
        <f t="shared" si="2"/>
        <v>1210.7682626995399</v>
      </c>
      <c r="K7" s="9">
        <f t="shared" si="3"/>
        <v>416.78827691299995</v>
      </c>
      <c r="L7" s="10">
        <f t="shared" si="0"/>
        <v>0.34423455730803926</v>
      </c>
      <c r="M7" s="10">
        <f t="shared" si="4"/>
        <v>0.34436204604311976</v>
      </c>
      <c r="P7" s="8">
        <f t="shared" si="5"/>
        <v>61.862249457159201</v>
      </c>
    </row>
    <row r="8" spans="1:16" x14ac:dyDescent="0.2">
      <c r="A8" s="8">
        <v>3</v>
      </c>
      <c r="B8" s="8">
        <v>6</v>
      </c>
      <c r="D8">
        <v>1160.6984352774</v>
      </c>
      <c r="E8">
        <v>461.94736842104999</v>
      </c>
      <c r="F8">
        <v>149.00522565321</v>
      </c>
      <c r="G8">
        <v>119.18764845606</v>
      </c>
      <c r="I8" s="9">
        <f t="shared" si="1"/>
        <v>342.75971996498998</v>
      </c>
      <c r="J8" s="9">
        <f t="shared" si="2"/>
        <v>1011.69320962419</v>
      </c>
      <c r="K8" s="9">
        <f t="shared" si="3"/>
        <v>342.75971996498998</v>
      </c>
      <c r="L8" s="10">
        <f t="shared" si="0"/>
        <v>0.33879808296065733</v>
      </c>
      <c r="M8" s="10">
        <f t="shared" si="4"/>
        <v>0.33895106944275394</v>
      </c>
      <c r="P8" s="8">
        <f t="shared" si="5"/>
        <v>59.318900518566828</v>
      </c>
    </row>
    <row r="9" spans="1:16" x14ac:dyDescent="0.2">
      <c r="A9" s="8">
        <v>3.5</v>
      </c>
      <c r="B9" s="8">
        <v>7</v>
      </c>
      <c r="D9">
        <v>858.15836889520995</v>
      </c>
      <c r="E9">
        <v>349.38406827880999</v>
      </c>
      <c r="F9">
        <v>149.40807600950001</v>
      </c>
      <c r="G9">
        <v>119.2028503563</v>
      </c>
      <c r="I9" s="9">
        <f t="shared" si="1"/>
        <v>230.18121792250997</v>
      </c>
      <c r="J9" s="9">
        <f t="shared" si="2"/>
        <v>708.75029288571</v>
      </c>
      <c r="K9" s="9">
        <f t="shared" si="3"/>
        <v>230.18121792250997</v>
      </c>
      <c r="L9" s="10">
        <f t="shared" si="0"/>
        <v>0.32477054363577951</v>
      </c>
      <c r="M9" s="10">
        <f t="shared" si="4"/>
        <v>0.32494902786489221</v>
      </c>
      <c r="P9" s="8">
        <f t="shared" si="5"/>
        <v>52.737449476480805</v>
      </c>
    </row>
    <row r="10" spans="1:16" x14ac:dyDescent="0.2">
      <c r="A10" s="8">
        <v>4</v>
      </c>
      <c r="B10" s="8">
        <v>8</v>
      </c>
      <c r="D10">
        <v>789.38691322902002</v>
      </c>
      <c r="E10">
        <v>327.23091512564997</v>
      </c>
      <c r="F10">
        <v>148.97529691211</v>
      </c>
      <c r="G10">
        <v>118.95296912114</v>
      </c>
      <c r="I10" s="9">
        <f t="shared" si="1"/>
        <v>208.27794600450997</v>
      </c>
      <c r="J10" s="9">
        <f t="shared" si="2"/>
        <v>640.41161631691</v>
      </c>
      <c r="K10" s="9">
        <f t="shared" si="3"/>
        <v>208.27794600450997</v>
      </c>
      <c r="L10" s="10">
        <f t="shared" si="0"/>
        <v>0.32522512193383274</v>
      </c>
      <c r="M10" s="10">
        <f t="shared" si="4"/>
        <v>0.32542910390996155</v>
      </c>
      <c r="P10" s="8">
        <f t="shared" si="5"/>
        <v>52.963102069321089</v>
      </c>
    </row>
    <row r="11" spans="1:16" x14ac:dyDescent="0.2">
      <c r="A11" s="8">
        <v>4.5</v>
      </c>
      <c r="B11" s="8">
        <v>9</v>
      </c>
      <c r="D11">
        <v>1816.8501182033001</v>
      </c>
      <c r="E11">
        <v>631.04964539007005</v>
      </c>
      <c r="F11">
        <v>148.94774346793</v>
      </c>
      <c r="G11">
        <v>119.18812351544</v>
      </c>
      <c r="I11" s="9">
        <f t="shared" si="1"/>
        <v>511.86152187463006</v>
      </c>
      <c r="J11" s="9">
        <f t="shared" si="2"/>
        <v>1667.9023747353701</v>
      </c>
      <c r="K11" s="9">
        <f t="shared" si="3"/>
        <v>511.86152187463006</v>
      </c>
      <c r="L11" s="10">
        <f t="shared" si="0"/>
        <v>0.30688937771663172</v>
      </c>
      <c r="M11" s="10">
        <f t="shared" si="4"/>
        <v>0.30711885743977663</v>
      </c>
      <c r="P11" s="8">
        <f t="shared" si="5"/>
        <v>44.356643500980404</v>
      </c>
    </row>
    <row r="12" spans="1:16" x14ac:dyDescent="0.2">
      <c r="A12" s="8">
        <v>5</v>
      </c>
      <c r="B12" s="8">
        <v>10</v>
      </c>
      <c r="D12">
        <v>1766.5531914894</v>
      </c>
      <c r="E12">
        <v>608.84160756501001</v>
      </c>
      <c r="F12">
        <v>149.34251781473</v>
      </c>
      <c r="G12">
        <v>119.20095011877</v>
      </c>
      <c r="I12" s="9">
        <f t="shared" si="1"/>
        <v>489.64065744624003</v>
      </c>
      <c r="J12" s="9">
        <f t="shared" si="2"/>
        <v>1617.21067367467</v>
      </c>
      <c r="K12" s="9">
        <f t="shared" si="3"/>
        <v>489.64065744624003</v>
      </c>
      <c r="L12" s="10">
        <f t="shared" si="0"/>
        <v>0.30276862836532314</v>
      </c>
      <c r="M12" s="10">
        <f t="shared" si="4"/>
        <v>0.30302360583548416</v>
      </c>
      <c r="P12" s="8">
        <f t="shared" si="5"/>
        <v>42.431731495199081</v>
      </c>
    </row>
    <row r="13" spans="1:16" x14ac:dyDescent="0.2">
      <c r="A13" s="8">
        <v>5.5</v>
      </c>
      <c r="B13" s="8">
        <v>11</v>
      </c>
      <c r="D13">
        <v>1987.9044917258</v>
      </c>
      <c r="E13">
        <v>649.87470449172997</v>
      </c>
      <c r="F13">
        <v>149.69168646080999</v>
      </c>
      <c r="G13">
        <v>119.54536817102</v>
      </c>
      <c r="I13" s="9">
        <f t="shared" si="1"/>
        <v>530.32933632071001</v>
      </c>
      <c r="J13" s="9">
        <f t="shared" si="2"/>
        <v>1838.21280526499</v>
      </c>
      <c r="K13" s="9">
        <f t="shared" si="3"/>
        <v>530.32933632071001</v>
      </c>
      <c r="L13" s="10">
        <f t="shared" si="0"/>
        <v>0.28850268848184835</v>
      </c>
      <c r="M13" s="10">
        <f t="shared" si="4"/>
        <v>0.28878316369902546</v>
      </c>
      <c r="P13" s="8">
        <f t="shared" si="5"/>
        <v>35.738223822221975</v>
      </c>
    </row>
    <row r="14" spans="1:16" x14ac:dyDescent="0.2">
      <c r="A14" s="8">
        <v>6</v>
      </c>
      <c r="B14" s="8">
        <v>12</v>
      </c>
      <c r="D14">
        <v>2019.5238770686001</v>
      </c>
      <c r="E14">
        <v>650.62411347518002</v>
      </c>
      <c r="F14">
        <v>149.52779097387</v>
      </c>
      <c r="G14">
        <v>119.42945368171</v>
      </c>
      <c r="I14" s="9">
        <f t="shared" si="1"/>
        <v>531.19465979347001</v>
      </c>
      <c r="J14" s="9">
        <f t="shared" si="2"/>
        <v>1869.9960860947301</v>
      </c>
      <c r="K14" s="9">
        <f t="shared" si="3"/>
        <v>531.19465979347001</v>
      </c>
      <c r="L14" s="10">
        <f t="shared" si="0"/>
        <v>0.2840619099384365</v>
      </c>
      <c r="M14" s="10">
        <f t="shared" si="4"/>
        <v>0.28436788290262971</v>
      </c>
      <c r="P14" s="8">
        <f t="shared" si="5"/>
        <v>33.662886862468504</v>
      </c>
    </row>
    <row r="15" spans="1:16" x14ac:dyDescent="0.2">
      <c r="A15" s="8">
        <v>6.5</v>
      </c>
      <c r="B15" s="8">
        <v>13</v>
      </c>
      <c r="D15">
        <v>2258.1319148936</v>
      </c>
      <c r="E15">
        <v>686.08888888888998</v>
      </c>
      <c r="F15">
        <v>150.23847980997999</v>
      </c>
      <c r="G15">
        <v>119.76627078385</v>
      </c>
      <c r="I15" s="9">
        <f t="shared" si="1"/>
        <v>566.32261810503996</v>
      </c>
      <c r="J15" s="9">
        <f t="shared" si="2"/>
        <v>2107.8934350836198</v>
      </c>
      <c r="K15" s="9">
        <f t="shared" si="3"/>
        <v>566.32261810503996</v>
      </c>
      <c r="L15" s="10">
        <f t="shared" si="0"/>
        <v>0.26866757525746271</v>
      </c>
      <c r="M15" s="10">
        <f t="shared" si="4"/>
        <v>0.26899904596867208</v>
      </c>
      <c r="P15" s="8">
        <f t="shared" si="5"/>
        <v>26.438994025686025</v>
      </c>
    </row>
    <row r="16" spans="1:16" x14ac:dyDescent="0.2">
      <c r="A16" s="8">
        <v>7</v>
      </c>
      <c r="B16" s="8">
        <v>14</v>
      </c>
      <c r="D16">
        <v>2169.0907801418002</v>
      </c>
      <c r="E16">
        <v>655.32529550826996</v>
      </c>
      <c r="F16">
        <v>149.81140142518001</v>
      </c>
      <c r="G16">
        <v>119.75249406176</v>
      </c>
      <c r="I16" s="9">
        <f t="shared" si="1"/>
        <v>535.57280144650997</v>
      </c>
      <c r="J16" s="9">
        <f t="shared" si="2"/>
        <v>2019.2793787166202</v>
      </c>
      <c r="K16" s="9">
        <f t="shared" si="3"/>
        <v>535.57280144650997</v>
      </c>
      <c r="L16" s="10">
        <f t="shared" si="0"/>
        <v>0.26522966910448043</v>
      </c>
      <c r="M16" s="10">
        <f t="shared" si="4"/>
        <v>0.2655866375627059</v>
      </c>
      <c r="P16" s="8">
        <f t="shared" si="5"/>
        <v>24.835042292320367</v>
      </c>
    </row>
    <row r="17" spans="1:16" x14ac:dyDescent="0.2">
      <c r="A17" s="8">
        <v>7.5</v>
      </c>
      <c r="B17" s="8">
        <v>15</v>
      </c>
      <c r="D17">
        <v>1446.8586288416</v>
      </c>
      <c r="E17">
        <v>463.56028368794</v>
      </c>
      <c r="F17">
        <v>149.76104513064001</v>
      </c>
      <c r="G17">
        <v>119.40902612827</v>
      </c>
      <c r="I17" s="9">
        <f t="shared" si="1"/>
        <v>344.15125755967</v>
      </c>
      <c r="J17" s="9">
        <f t="shared" si="2"/>
        <v>1297.09758371096</v>
      </c>
      <c r="K17" s="9">
        <f t="shared" si="3"/>
        <v>344.15125755967</v>
      </c>
      <c r="L17" s="10">
        <f t="shared" si="0"/>
        <v>0.26532410659116551</v>
      </c>
      <c r="M17" s="10">
        <f t="shared" si="4"/>
        <v>0.26570657279640708</v>
      </c>
      <c r="P17" s="8">
        <f t="shared" si="5"/>
        <v>24.891416062133587</v>
      </c>
    </row>
    <row r="18" spans="1:16" x14ac:dyDescent="0.2">
      <c r="A18" s="8">
        <v>8</v>
      </c>
      <c r="B18" s="8">
        <v>16</v>
      </c>
      <c r="D18">
        <v>1799.747513027</v>
      </c>
      <c r="E18">
        <v>531.37280909521996</v>
      </c>
      <c r="F18">
        <v>149.89026128265999</v>
      </c>
      <c r="G18">
        <v>119.54204275534001</v>
      </c>
      <c r="I18" s="9">
        <f t="shared" si="1"/>
        <v>411.83076633987997</v>
      </c>
      <c r="J18" s="9">
        <f t="shared" si="2"/>
        <v>1649.8572517443399</v>
      </c>
      <c r="K18" s="9">
        <f t="shared" si="3"/>
        <v>411.83076633987997</v>
      </c>
      <c r="L18" s="10">
        <f t="shared" si="0"/>
        <v>0.24961599914445012</v>
      </c>
      <c r="M18" s="10">
        <f t="shared" si="4"/>
        <v>0.25002396309670777</v>
      </c>
      <c r="P18" s="8">
        <f t="shared" si="5"/>
        <v>17.520039011382345</v>
      </c>
    </row>
    <row r="19" spans="1:16" x14ac:dyDescent="0.2">
      <c r="A19" s="8">
        <v>8.5</v>
      </c>
      <c r="B19" s="8">
        <v>17</v>
      </c>
      <c r="D19">
        <v>1420.5343439128001</v>
      </c>
      <c r="E19">
        <v>459.56229275225002</v>
      </c>
      <c r="F19">
        <v>150.04608076010001</v>
      </c>
      <c r="G19">
        <v>119.54251781473</v>
      </c>
      <c r="I19" s="9">
        <f t="shared" si="1"/>
        <v>340.01977493752003</v>
      </c>
      <c r="J19" s="9">
        <f t="shared" si="2"/>
        <v>1270.4882631527</v>
      </c>
      <c r="K19" s="9">
        <f t="shared" si="3"/>
        <v>340.01977493752003</v>
      </c>
      <c r="L19" s="10">
        <f t="shared" si="0"/>
        <v>0.26762921374319931</v>
      </c>
      <c r="M19" s="10">
        <f t="shared" si="4"/>
        <v>0.26806267544247309</v>
      </c>
      <c r="P19" s="8">
        <f t="shared" si="5"/>
        <v>25.998867009838943</v>
      </c>
    </row>
    <row r="20" spans="1:16" x14ac:dyDescent="0.2">
      <c r="A20" s="8">
        <v>9</v>
      </c>
      <c r="B20" s="8">
        <v>18</v>
      </c>
      <c r="D20">
        <v>1463.3709142586999</v>
      </c>
      <c r="E20">
        <v>467.36001894837</v>
      </c>
      <c r="F20">
        <v>149.65368171021001</v>
      </c>
      <c r="G20">
        <v>119.65653206651</v>
      </c>
      <c r="I20" s="9">
        <f t="shared" si="1"/>
        <v>347.70348688185999</v>
      </c>
      <c r="J20" s="9">
        <f t="shared" si="2"/>
        <v>1313.7172325484898</v>
      </c>
      <c r="K20" s="9">
        <f t="shared" si="3"/>
        <v>347.70348688185999</v>
      </c>
      <c r="L20" s="10">
        <f t="shared" si="0"/>
        <v>0.26467148201089469</v>
      </c>
      <c r="M20" s="10">
        <f t="shared" si="4"/>
        <v>0.26513044145718456</v>
      </c>
      <c r="P20" s="8">
        <f t="shared" si="5"/>
        <v>24.620614109302682</v>
      </c>
    </row>
    <row r="21" spans="1:16" x14ac:dyDescent="0.2">
      <c r="A21" s="8">
        <v>9.5</v>
      </c>
      <c r="B21" s="8">
        <v>19</v>
      </c>
      <c r="D21">
        <v>1743.4351939451001</v>
      </c>
      <c r="E21">
        <v>512.31031220435</v>
      </c>
      <c r="F21">
        <v>149.94394299287001</v>
      </c>
      <c r="G21">
        <v>119.83372921615</v>
      </c>
      <c r="I21" s="9">
        <f t="shared" si="1"/>
        <v>392.47658298819999</v>
      </c>
      <c r="J21" s="9">
        <f t="shared" si="2"/>
        <v>1593.4912509522301</v>
      </c>
      <c r="K21" s="9">
        <f t="shared" si="3"/>
        <v>392.47658298819999</v>
      </c>
      <c r="L21" s="10">
        <f t="shared" si="0"/>
        <v>0.24629980412736244</v>
      </c>
      <c r="M21" s="10">
        <f t="shared" si="4"/>
        <v>0.24678426132066841</v>
      </c>
      <c r="P21" s="8">
        <f t="shared" si="5"/>
        <v>15.997265456440632</v>
      </c>
    </row>
    <row r="22" spans="1:16" x14ac:dyDescent="0.2">
      <c r="A22" s="8">
        <v>10</v>
      </c>
      <c r="B22" s="8">
        <v>20</v>
      </c>
      <c r="D22">
        <v>1675.3330179754</v>
      </c>
      <c r="E22">
        <v>483.96357615893999</v>
      </c>
      <c r="F22">
        <v>150.34726840855001</v>
      </c>
      <c r="G22">
        <v>119.37909738717001</v>
      </c>
      <c r="I22" s="9">
        <f t="shared" si="1"/>
        <v>364.58447877176997</v>
      </c>
      <c r="J22" s="9">
        <f t="shared" si="2"/>
        <v>1524.98574956685</v>
      </c>
      <c r="K22" s="9">
        <f t="shared" si="3"/>
        <v>364.58447877176997</v>
      </c>
      <c r="L22" s="10">
        <f t="shared" si="0"/>
        <v>0.2390740233968251</v>
      </c>
      <c r="M22" s="10">
        <f t="shared" si="4"/>
        <v>0.23958397833714717</v>
      </c>
      <c r="P22" s="8">
        <f t="shared" si="5"/>
        <v>12.612879709426808</v>
      </c>
    </row>
    <row r="23" spans="1:16" x14ac:dyDescent="0.2">
      <c r="A23" s="8">
        <v>10.5</v>
      </c>
      <c r="B23" s="8">
        <v>21</v>
      </c>
      <c r="D23">
        <v>1557.4290444655001</v>
      </c>
      <c r="E23">
        <v>450.87559129611998</v>
      </c>
      <c r="F23">
        <v>150.51116389549</v>
      </c>
      <c r="G23">
        <v>119.45653206650999</v>
      </c>
      <c r="I23" s="9">
        <f t="shared" si="1"/>
        <v>331.41905922960996</v>
      </c>
      <c r="J23" s="9">
        <f t="shared" si="2"/>
        <v>1406.9178805700101</v>
      </c>
      <c r="K23" s="9">
        <f t="shared" si="3"/>
        <v>331.41905922960996</v>
      </c>
      <c r="L23" s="10">
        <f t="shared" si="0"/>
        <v>0.23556389737213104</v>
      </c>
      <c r="M23" s="10">
        <f t="shared" si="4"/>
        <v>0.23609935005946922</v>
      </c>
      <c r="P23" s="8">
        <f t="shared" si="5"/>
        <v>10.974982101290417</v>
      </c>
    </row>
    <row r="24" spans="1:16" x14ac:dyDescent="0.2">
      <c r="A24" s="8">
        <v>11</v>
      </c>
      <c r="B24" s="8">
        <v>22</v>
      </c>
      <c r="D24">
        <v>1707.4058656575</v>
      </c>
      <c r="E24">
        <v>478.40397350992998</v>
      </c>
      <c r="F24">
        <v>150.68171021378001</v>
      </c>
      <c r="G24">
        <v>119.65700712589</v>
      </c>
      <c r="I24" s="9">
        <f t="shared" si="1"/>
        <v>358.74696638403998</v>
      </c>
      <c r="J24" s="9">
        <f t="shared" si="2"/>
        <v>1556.7241554437201</v>
      </c>
      <c r="K24" s="9">
        <f t="shared" si="3"/>
        <v>358.74696638403998</v>
      </c>
      <c r="L24" s="10">
        <f t="shared" si="0"/>
        <v>0.23044992597406233</v>
      </c>
      <c r="M24" s="10">
        <f t="shared" si="4"/>
        <v>0.23101087640841661</v>
      </c>
      <c r="P24" s="8">
        <f t="shared" si="5"/>
        <v>8.5832208693928465</v>
      </c>
    </row>
    <row r="25" spans="1:16" x14ac:dyDescent="0.2">
      <c r="A25" s="8">
        <v>11.5</v>
      </c>
      <c r="B25" s="8">
        <v>23</v>
      </c>
      <c r="D25">
        <v>1204.2563859981001</v>
      </c>
      <c r="E25">
        <v>383.04068117313</v>
      </c>
      <c r="F25">
        <v>150.53491686461001</v>
      </c>
      <c r="G25">
        <v>119.60332541568</v>
      </c>
      <c r="I25" s="9">
        <f t="shared" si="1"/>
        <v>263.43735575745001</v>
      </c>
      <c r="J25" s="9">
        <f t="shared" si="2"/>
        <v>1053.72146913349</v>
      </c>
      <c r="K25" s="9">
        <f t="shared" si="3"/>
        <v>263.43735575745001</v>
      </c>
      <c r="L25" s="10">
        <f t="shared" si="0"/>
        <v>0.25000663218343955</v>
      </c>
      <c r="M25" s="10">
        <f t="shared" si="4"/>
        <v>0.25059308036480993</v>
      </c>
      <c r="P25" s="8">
        <f t="shared" si="5"/>
        <v>17.787544104578341</v>
      </c>
    </row>
    <row r="26" spans="1:16" x14ac:dyDescent="0.2">
      <c r="A26" s="8">
        <v>12</v>
      </c>
      <c r="B26" s="8">
        <v>24</v>
      </c>
      <c r="D26">
        <v>1276.7535477767001</v>
      </c>
      <c r="E26">
        <v>389.94985808893</v>
      </c>
      <c r="F26">
        <v>150.34251781473</v>
      </c>
      <c r="G26">
        <v>120.11638954868999</v>
      </c>
      <c r="I26" s="9">
        <f t="shared" si="1"/>
        <v>269.83346854024001</v>
      </c>
      <c r="J26" s="9">
        <f t="shared" si="2"/>
        <v>1126.4110299619701</v>
      </c>
      <c r="K26" s="9">
        <f t="shared" si="3"/>
        <v>269.83346854024001</v>
      </c>
      <c r="L26" s="10">
        <f t="shared" si="0"/>
        <v>0.23955151482256892</v>
      </c>
      <c r="M26" s="10">
        <f t="shared" si="4"/>
        <v>0.2401634607509554</v>
      </c>
      <c r="P26" s="8">
        <f t="shared" si="5"/>
        <v>12.885256784942614</v>
      </c>
    </row>
    <row r="27" spans="1:16" x14ac:dyDescent="0.2">
      <c r="A27" s="8">
        <v>12.5</v>
      </c>
      <c r="B27" s="8">
        <v>25</v>
      </c>
      <c r="D27">
        <v>1401.4</v>
      </c>
      <c r="E27">
        <v>399.48085106383002</v>
      </c>
      <c r="F27">
        <v>150.38289786223001</v>
      </c>
      <c r="G27">
        <v>119.80522565321</v>
      </c>
      <c r="I27" s="9">
        <f t="shared" si="1"/>
        <v>279.67562541062</v>
      </c>
      <c r="J27" s="9">
        <f t="shared" si="2"/>
        <v>1251.0171021377701</v>
      </c>
      <c r="K27" s="9">
        <f t="shared" si="3"/>
        <v>279.67562541062</v>
      </c>
      <c r="L27" s="10">
        <f t="shared" si="0"/>
        <v>0.22355859478875478</v>
      </c>
      <c r="M27" s="10">
        <f t="shared" si="4"/>
        <v>0.22419603846415737</v>
      </c>
      <c r="P27" s="8">
        <f t="shared" si="5"/>
        <v>5.3800078207467079</v>
      </c>
    </row>
    <row r="28" spans="1:16" x14ac:dyDescent="0.2">
      <c r="A28" s="8">
        <v>13</v>
      </c>
      <c r="B28" s="8">
        <v>26</v>
      </c>
      <c r="D28">
        <v>1269.524822695</v>
      </c>
      <c r="E28">
        <v>371.11205673759002</v>
      </c>
      <c r="F28">
        <v>150.84560570071</v>
      </c>
      <c r="G28">
        <v>119.93159144893001</v>
      </c>
      <c r="I28" s="9">
        <f t="shared" si="1"/>
        <v>251.18046528866</v>
      </c>
      <c r="J28" s="9">
        <f t="shared" si="2"/>
        <v>1118.6792169942901</v>
      </c>
      <c r="K28" s="9">
        <f t="shared" si="3"/>
        <v>251.18046528866</v>
      </c>
      <c r="L28" s="10">
        <f t="shared" si="0"/>
        <v>0.2245330577996624</v>
      </c>
      <c r="M28" s="10">
        <f t="shared" si="4"/>
        <v>0.22519599922208108</v>
      </c>
      <c r="P28" s="8">
        <f t="shared" si="5"/>
        <v>5.8500244776524806</v>
      </c>
    </row>
    <row r="29" spans="1:16" x14ac:dyDescent="0.2">
      <c r="A29" s="8">
        <v>13.5</v>
      </c>
      <c r="B29" s="8">
        <v>27</v>
      </c>
      <c r="D29">
        <v>1305.8803782506</v>
      </c>
      <c r="E29">
        <v>379.19621749408998</v>
      </c>
      <c r="F29">
        <v>150.52256532067</v>
      </c>
      <c r="G29">
        <v>119.79619952493999</v>
      </c>
      <c r="I29" s="9">
        <f t="shared" si="1"/>
        <v>259.40001796914999</v>
      </c>
      <c r="J29" s="9">
        <f t="shared" si="2"/>
        <v>1155.3578129299299</v>
      </c>
      <c r="K29" s="9">
        <f t="shared" si="3"/>
        <v>259.40001796914999</v>
      </c>
      <c r="L29" s="10">
        <f t="shared" si="0"/>
        <v>0.2245192052766099</v>
      </c>
      <c r="M29" s="10">
        <f t="shared" si="4"/>
        <v>0.22520764444604469</v>
      </c>
      <c r="P29" s="8">
        <f t="shared" si="5"/>
        <v>5.8554981416867129</v>
      </c>
    </row>
    <row r="30" spans="1:16" x14ac:dyDescent="0.2">
      <c r="A30" s="8">
        <v>14</v>
      </c>
      <c r="B30" s="8">
        <v>28</v>
      </c>
      <c r="D30">
        <v>1548.0551068883999</v>
      </c>
      <c r="E30">
        <v>429.36247030879002</v>
      </c>
      <c r="F30">
        <v>150.75201900238</v>
      </c>
      <c r="G30">
        <v>120.32921615202</v>
      </c>
      <c r="I30" s="9">
        <f t="shared" si="1"/>
        <v>309.03325415677</v>
      </c>
      <c r="J30" s="9">
        <f t="shared" si="2"/>
        <v>1397.30308788602</v>
      </c>
      <c r="K30" s="9">
        <f t="shared" si="3"/>
        <v>309.03325415677</v>
      </c>
      <c r="L30" s="10">
        <f t="shared" si="0"/>
        <v>0.22116408160544929</v>
      </c>
      <c r="M30" s="10">
        <f t="shared" si="4"/>
        <v>0.22187801852190017</v>
      </c>
      <c r="P30" s="8">
        <f t="shared" si="5"/>
        <v>4.2904570806128124</v>
      </c>
    </row>
    <row r="31" spans="1:16" x14ac:dyDescent="0.2">
      <c r="A31" s="8">
        <v>14.5</v>
      </c>
      <c r="B31" s="8">
        <v>29</v>
      </c>
      <c r="D31">
        <v>1539.3130641329999</v>
      </c>
      <c r="E31">
        <v>418.49311163895999</v>
      </c>
      <c r="F31">
        <v>151.23657957245001</v>
      </c>
      <c r="G31">
        <v>120.06175771972001</v>
      </c>
      <c r="I31" s="9">
        <f t="shared" si="1"/>
        <v>298.43135391924</v>
      </c>
      <c r="J31" s="9">
        <f t="shared" si="2"/>
        <v>1388.0764845605499</v>
      </c>
      <c r="K31" s="9">
        <f t="shared" si="3"/>
        <v>298.43135391924</v>
      </c>
      <c r="L31" s="10">
        <f t="shared" si="0"/>
        <v>0.21499633286685937</v>
      </c>
      <c r="M31" s="10">
        <f t="shared" si="4"/>
        <v>0.21573576753032636</v>
      </c>
      <c r="P31" s="8">
        <f t="shared" si="5"/>
        <v>1.403383508915792</v>
      </c>
    </row>
    <row r="32" spans="1:16" x14ac:dyDescent="0.2">
      <c r="A32" s="8">
        <v>15</v>
      </c>
      <c r="B32" s="8">
        <v>30</v>
      </c>
      <c r="D32">
        <v>1520.7301662708001</v>
      </c>
      <c r="E32">
        <v>412.34299287411</v>
      </c>
      <c r="F32">
        <v>150.82992874108999</v>
      </c>
      <c r="G32">
        <v>119.86603325416</v>
      </c>
      <c r="I32" s="9">
        <f t="shared" si="1"/>
        <v>292.47695961994998</v>
      </c>
      <c r="J32" s="9">
        <f t="shared" si="2"/>
        <v>1369.90023752971</v>
      </c>
      <c r="K32" s="9">
        <f t="shared" si="3"/>
        <v>292.47695961994998</v>
      </c>
      <c r="L32" s="10">
        <f t="shared" si="0"/>
        <v>0.21350237893772672</v>
      </c>
      <c r="M32" s="10">
        <f t="shared" si="4"/>
        <v>0.21426731134820981</v>
      </c>
      <c r="P32" s="8">
        <f t="shared" si="5"/>
        <v>0.71315755748531884</v>
      </c>
    </row>
    <row r="33" spans="1:16" x14ac:dyDescent="0.2">
      <c r="A33" s="8">
        <v>15.5</v>
      </c>
      <c r="B33" s="8">
        <v>31</v>
      </c>
      <c r="D33">
        <v>1570.8748221906001</v>
      </c>
      <c r="E33">
        <v>421.90042674252999</v>
      </c>
      <c r="F33">
        <v>151.25035629454001</v>
      </c>
      <c r="G33">
        <v>120.31306413302001</v>
      </c>
      <c r="I33" s="9">
        <f t="shared" si="1"/>
        <v>301.58736260950997</v>
      </c>
      <c r="J33" s="9">
        <f t="shared" si="2"/>
        <v>1419.62446589606</v>
      </c>
      <c r="K33" s="9">
        <f t="shared" si="3"/>
        <v>301.58736260950997</v>
      </c>
      <c r="L33" s="10">
        <f t="shared" si="0"/>
        <v>0.21244164908016677</v>
      </c>
      <c r="M33" s="10">
        <f t="shared" si="4"/>
        <v>0.21323207923766596</v>
      </c>
      <c r="P33" s="8">
        <f t="shared" si="5"/>
        <v>0.22656212675098061</v>
      </c>
    </row>
    <row r="34" spans="1:16" x14ac:dyDescent="0.2">
      <c r="A34" s="8">
        <v>16</v>
      </c>
      <c r="B34" s="8">
        <v>32</v>
      </c>
      <c r="D34">
        <v>1535.6097676623999</v>
      </c>
      <c r="E34">
        <v>412.38454243717001</v>
      </c>
      <c r="F34">
        <v>151.41520190023999</v>
      </c>
      <c r="G34">
        <v>120.22897862233</v>
      </c>
      <c r="I34" s="9">
        <f t="shared" si="1"/>
        <v>292.15556381483998</v>
      </c>
      <c r="J34" s="9">
        <f t="shared" si="2"/>
        <v>1384.19456576216</v>
      </c>
      <c r="K34" s="9">
        <f t="shared" si="3"/>
        <v>292.15556381483998</v>
      </c>
      <c r="L34" s="10">
        <f t="shared" si="0"/>
        <v>0.21106538852359558</v>
      </c>
      <c r="M34" s="10">
        <f t="shared" si="4"/>
        <v>0.21188131642811089</v>
      </c>
      <c r="P34" s="8">
        <f t="shared" si="5"/>
        <v>-0.40834380829587563</v>
      </c>
    </row>
    <row r="35" spans="1:16" x14ac:dyDescent="0.2">
      <c r="A35" s="8">
        <v>16.5</v>
      </c>
      <c r="B35" s="8">
        <v>33</v>
      </c>
      <c r="D35">
        <v>1511.1398767188</v>
      </c>
      <c r="E35">
        <v>406.92223802749999</v>
      </c>
      <c r="F35">
        <v>151.52066508313999</v>
      </c>
      <c r="G35">
        <v>120.33539192399</v>
      </c>
      <c r="I35" s="9">
        <f t="shared" si="1"/>
        <v>286.58684610350997</v>
      </c>
      <c r="J35" s="9">
        <f t="shared" si="2"/>
        <v>1359.6192116356601</v>
      </c>
      <c r="K35" s="9">
        <f t="shared" si="3"/>
        <v>286.58684610350997</v>
      </c>
      <c r="L35" s="10">
        <f t="shared" si="0"/>
        <v>0.21078464003074651</v>
      </c>
      <c r="M35" s="10">
        <f t="shared" si="4"/>
        <v>0.21162606568227793</v>
      </c>
      <c r="P35" s="8">
        <f t="shared" si="5"/>
        <v>-0.5283206186641346</v>
      </c>
    </row>
    <row r="36" spans="1:16" x14ac:dyDescent="0.2">
      <c r="A36" s="8">
        <v>17</v>
      </c>
      <c r="B36" s="8">
        <v>34</v>
      </c>
      <c r="D36">
        <v>1584.4215267899999</v>
      </c>
      <c r="E36">
        <v>422.93646277856999</v>
      </c>
      <c r="F36">
        <v>151.80237529690999</v>
      </c>
      <c r="G36">
        <v>120.13539192399</v>
      </c>
      <c r="I36" s="9">
        <f t="shared" si="1"/>
        <v>302.80107085457996</v>
      </c>
      <c r="J36" s="9">
        <f t="shared" si="2"/>
        <v>1432.6191514930899</v>
      </c>
      <c r="K36" s="9">
        <f t="shared" si="3"/>
        <v>302.80107085457996</v>
      </c>
      <c r="L36" s="10">
        <f t="shared" si="0"/>
        <v>0.21136187558221434</v>
      </c>
      <c r="M36" s="10">
        <f t="shared" si="4"/>
        <v>0.21222879898076186</v>
      </c>
      <c r="P36" s="8">
        <f t="shared" si="5"/>
        <v>-0.24501481119682281</v>
      </c>
    </row>
    <row r="37" spans="1:16" x14ac:dyDescent="0.2">
      <c r="A37" s="8">
        <v>17.5</v>
      </c>
      <c r="B37" s="8">
        <v>35</v>
      </c>
      <c r="D37">
        <v>1604.7788825758</v>
      </c>
      <c r="E37">
        <v>430.19034090909003</v>
      </c>
      <c r="F37">
        <v>151.49548693586999</v>
      </c>
      <c r="G37">
        <v>120.48313539192</v>
      </c>
      <c r="I37" s="9">
        <f t="shared" si="1"/>
        <v>309.70720551717</v>
      </c>
      <c r="J37" s="9">
        <f t="shared" si="2"/>
        <v>1453.2833956399299</v>
      </c>
      <c r="K37" s="9">
        <f t="shared" si="3"/>
        <v>309.70720551717</v>
      </c>
      <c r="L37" s="10">
        <f t="shared" si="0"/>
        <v>0.21310861078186022</v>
      </c>
      <c r="M37" s="10">
        <f t="shared" si="4"/>
        <v>0.21400103192742384</v>
      </c>
      <c r="P37" s="8">
        <f t="shared" si="5"/>
        <v>0.58799688275994688</v>
      </c>
    </row>
    <row r="38" spans="1:16" x14ac:dyDescent="0.2">
      <c r="A38" s="8">
        <v>18</v>
      </c>
      <c r="B38" s="8">
        <v>36</v>
      </c>
      <c r="D38">
        <v>1583.6486742423999</v>
      </c>
      <c r="E38">
        <v>425.12594696970001</v>
      </c>
      <c r="F38">
        <v>151.81615201899999</v>
      </c>
      <c r="G38">
        <v>120.41092636579999</v>
      </c>
      <c r="I38" s="9">
        <f t="shared" si="1"/>
        <v>304.71502060390003</v>
      </c>
      <c r="J38" s="9">
        <f t="shared" si="2"/>
        <v>1431.8325222234</v>
      </c>
      <c r="K38" s="9">
        <f t="shared" si="3"/>
        <v>304.71502060390003</v>
      </c>
      <c r="L38" s="10">
        <f t="shared" si="0"/>
        <v>0.21281470833664806</v>
      </c>
      <c r="M38" s="10">
        <f t="shared" si="4"/>
        <v>0.21373262722922778</v>
      </c>
      <c r="P38" s="8">
        <f t="shared" si="5"/>
        <v>0.46183725305022083</v>
      </c>
    </row>
    <row r="39" spans="1:16" x14ac:dyDescent="0.2">
      <c r="A39" s="8">
        <v>18.5</v>
      </c>
      <c r="B39" s="8">
        <v>37</v>
      </c>
      <c r="D39">
        <v>1651.3006628788</v>
      </c>
      <c r="E39">
        <v>432.95170454546002</v>
      </c>
      <c r="F39">
        <v>152.19334916865</v>
      </c>
      <c r="G39">
        <v>120.30783847981</v>
      </c>
      <c r="I39" s="9">
        <f t="shared" si="1"/>
        <v>312.64386606565</v>
      </c>
      <c r="J39" s="9">
        <f t="shared" si="2"/>
        <v>1499.10731371015</v>
      </c>
      <c r="K39" s="9">
        <f t="shared" si="3"/>
        <v>312.64386606565</v>
      </c>
      <c r="L39" s="10">
        <f t="shared" si="0"/>
        <v>0.20855335919340273</v>
      </c>
      <c r="M39" s="10">
        <f t="shared" si="4"/>
        <v>0.20949677583299856</v>
      </c>
      <c r="P39" s="8">
        <f t="shared" si="5"/>
        <v>-1.5291615902835771</v>
      </c>
    </row>
    <row r="40" spans="1:16" x14ac:dyDescent="0.2">
      <c r="A40" s="8">
        <v>19</v>
      </c>
      <c r="B40" s="8">
        <v>38</v>
      </c>
      <c r="D40">
        <v>1614.2254995242999</v>
      </c>
      <c r="E40">
        <v>425.73263558515998</v>
      </c>
      <c r="F40">
        <v>152.27268408551001</v>
      </c>
      <c r="G40">
        <v>120.37957244656</v>
      </c>
      <c r="I40" s="9">
        <f t="shared" si="1"/>
        <v>305.35306313859996</v>
      </c>
      <c r="J40" s="9">
        <f t="shared" si="2"/>
        <v>1461.9528154387899</v>
      </c>
      <c r="K40" s="9">
        <f t="shared" si="3"/>
        <v>305.35306313859996</v>
      </c>
      <c r="L40" s="10">
        <f t="shared" si="0"/>
        <v>0.20886656526390793</v>
      </c>
      <c r="M40" s="10">
        <f t="shared" si="4"/>
        <v>0.20983547965051985</v>
      </c>
      <c r="P40" s="8">
        <f t="shared" si="5"/>
        <v>-1.3699589068471469</v>
      </c>
    </row>
    <row r="41" spans="1:16" x14ac:dyDescent="0.2">
      <c r="A41" s="8">
        <v>19.5</v>
      </c>
      <c r="B41" s="8">
        <v>39</v>
      </c>
      <c r="D41">
        <v>1594.6184586109</v>
      </c>
      <c r="E41">
        <v>422.98430066602998</v>
      </c>
      <c r="F41">
        <v>152.60380047506001</v>
      </c>
      <c r="G41">
        <v>120.78954869359001</v>
      </c>
      <c r="I41" s="9">
        <f t="shared" si="1"/>
        <v>302.19475197243997</v>
      </c>
      <c r="J41" s="9">
        <f t="shared" si="2"/>
        <v>1442.0146581358399</v>
      </c>
      <c r="K41" s="9">
        <f t="shared" si="3"/>
        <v>302.19475197243997</v>
      </c>
      <c r="L41" s="10">
        <f t="shared" si="0"/>
        <v>0.20956427194928887</v>
      </c>
      <c r="M41" s="10">
        <f t="shared" si="4"/>
        <v>0.21055868408291689</v>
      </c>
      <c r="P41" s="8">
        <f t="shared" si="5"/>
        <v>-1.030027437655809</v>
      </c>
    </row>
    <row r="42" spans="1:16" x14ac:dyDescent="0.2">
      <c r="A42" s="8">
        <v>20</v>
      </c>
      <c r="B42" s="8">
        <v>40</v>
      </c>
      <c r="D42">
        <v>1450.2978116080001</v>
      </c>
      <c r="E42">
        <v>408.37250237869</v>
      </c>
      <c r="F42">
        <v>152.22232779097001</v>
      </c>
      <c r="G42">
        <v>120.15154394299</v>
      </c>
      <c r="I42" s="9">
        <f t="shared" si="1"/>
        <v>288.22095843570003</v>
      </c>
      <c r="J42" s="9">
        <f t="shared" si="2"/>
        <v>1298.0754838170301</v>
      </c>
      <c r="K42" s="9">
        <f t="shared" si="3"/>
        <v>288.22095843570003</v>
      </c>
      <c r="L42" s="10">
        <f t="shared" si="0"/>
        <v>0.22203713268520997</v>
      </c>
      <c r="M42" s="10">
        <f t="shared" si="4"/>
        <v>0.2230570425658541</v>
      </c>
      <c r="P42" s="8">
        <f t="shared" si="5"/>
        <v>4.844639767442831</v>
      </c>
    </row>
    <row r="43" spans="1:16" x14ac:dyDescent="0.2">
      <c r="A43" s="8">
        <v>20.5</v>
      </c>
      <c r="B43" s="8">
        <v>41</v>
      </c>
      <c r="D43">
        <v>1615.9753554501999</v>
      </c>
      <c r="E43">
        <v>424.99620853081001</v>
      </c>
      <c r="F43">
        <v>152.39002375297</v>
      </c>
      <c r="G43">
        <v>120.60665083135</v>
      </c>
      <c r="I43" s="9">
        <f t="shared" si="1"/>
        <v>304.38955769946</v>
      </c>
      <c r="J43" s="9">
        <f t="shared" si="2"/>
        <v>1463.58533169723</v>
      </c>
      <c r="K43" s="9">
        <f t="shared" si="3"/>
        <v>304.38955769946</v>
      </c>
      <c r="L43" s="10">
        <f t="shared" si="0"/>
        <v>0.20797527216706807</v>
      </c>
      <c r="M43" s="10">
        <f t="shared" si="4"/>
        <v>0.2090206797947283</v>
      </c>
      <c r="P43" s="8">
        <f t="shared" si="5"/>
        <v>-1.752943440221872</v>
      </c>
    </row>
    <row r="44" spans="1:16" x14ac:dyDescent="0.2">
      <c r="A44" s="8">
        <v>21</v>
      </c>
      <c r="B44" s="8">
        <v>42</v>
      </c>
      <c r="D44">
        <v>1553.1930740037999</v>
      </c>
      <c r="E44">
        <v>416.58918406072002</v>
      </c>
      <c r="F44">
        <v>152.21995249406001</v>
      </c>
      <c r="G44">
        <v>120.58764845605999</v>
      </c>
      <c r="I44" s="9">
        <f t="shared" si="1"/>
        <v>296.00153560466003</v>
      </c>
      <c r="J44" s="9">
        <f t="shared" si="2"/>
        <v>1400.9731215097399</v>
      </c>
      <c r="K44" s="9">
        <f t="shared" si="3"/>
        <v>296.00153560466003</v>
      </c>
      <c r="L44" s="10">
        <f t="shared" si="0"/>
        <v>0.21128280839940594</v>
      </c>
      <c r="M44" s="10">
        <f t="shared" si="4"/>
        <v>0.21235371377408227</v>
      </c>
      <c r="P44" s="8">
        <f t="shared" si="5"/>
        <v>-0.1863004735697707</v>
      </c>
    </row>
    <row r="45" spans="1:16" x14ac:dyDescent="0.2">
      <c r="A45" s="8">
        <v>21.5</v>
      </c>
      <c r="B45" s="8">
        <v>43</v>
      </c>
      <c r="D45">
        <v>1551.7080188678999</v>
      </c>
      <c r="E45">
        <v>427.40518867924999</v>
      </c>
      <c r="F45">
        <v>152.72921615202</v>
      </c>
      <c r="G45">
        <v>120.84228028504</v>
      </c>
      <c r="I45" s="9">
        <f t="shared" si="1"/>
        <v>306.56290839421001</v>
      </c>
      <c r="J45" s="9">
        <f t="shared" si="2"/>
        <v>1398.97880271588</v>
      </c>
      <c r="K45" s="9">
        <f t="shared" si="3"/>
        <v>306.56290839421001</v>
      </c>
      <c r="L45" s="10">
        <f t="shared" si="0"/>
        <v>0.21913334769552631</v>
      </c>
      <c r="M45" s="10">
        <f t="shared" si="4"/>
        <v>0.22022975081721874</v>
      </c>
      <c r="P45" s="8">
        <f t="shared" si="5"/>
        <v>3.5157134018221528</v>
      </c>
    </row>
    <row r="46" spans="1:16" x14ac:dyDescent="0.2">
      <c r="A46" s="8">
        <v>22</v>
      </c>
      <c r="B46" s="8">
        <v>44</v>
      </c>
      <c r="D46">
        <v>1571.2413955681</v>
      </c>
      <c r="E46">
        <v>428.63413484206001</v>
      </c>
      <c r="F46">
        <v>152.71686460807999</v>
      </c>
      <c r="G46">
        <v>121.06793349169</v>
      </c>
      <c r="I46" s="9">
        <f t="shared" si="1"/>
        <v>307.56620135037002</v>
      </c>
      <c r="J46" s="9">
        <f t="shared" si="2"/>
        <v>1418.52453096002</v>
      </c>
      <c r="K46" s="9">
        <f t="shared" si="3"/>
        <v>307.56620135037002</v>
      </c>
      <c r="L46" s="10">
        <f t="shared" si="0"/>
        <v>0.2168212072738829</v>
      </c>
      <c r="M46" s="10">
        <f t="shared" si="4"/>
        <v>0.21794310814259146</v>
      </c>
      <c r="P46" s="8">
        <f t="shared" si="5"/>
        <v>2.4409110788810211</v>
      </c>
    </row>
    <row r="47" spans="1:16" x14ac:dyDescent="0.2">
      <c r="A47" s="8">
        <v>22.5</v>
      </c>
      <c r="B47" s="8">
        <v>45</v>
      </c>
      <c r="D47">
        <v>1492.6557610242</v>
      </c>
      <c r="E47">
        <v>418.89189189189</v>
      </c>
      <c r="F47">
        <v>152.83040380048001</v>
      </c>
      <c r="G47">
        <v>120.9244655582</v>
      </c>
      <c r="I47" s="9">
        <f t="shared" si="1"/>
        <v>297.96742633369001</v>
      </c>
      <c r="J47" s="9">
        <f t="shared" si="2"/>
        <v>1339.8253572237199</v>
      </c>
      <c r="K47" s="9">
        <f t="shared" si="3"/>
        <v>297.96742633369001</v>
      </c>
      <c r="L47" s="10">
        <f t="shared" si="0"/>
        <v>0.22239273553615566</v>
      </c>
      <c r="M47" s="10">
        <f t="shared" si="4"/>
        <v>0.22354013415188032</v>
      </c>
      <c r="P47" s="8">
        <f t="shared" si="5"/>
        <v>5.0717097703845591</v>
      </c>
    </row>
    <row r="48" spans="1:16" x14ac:dyDescent="0.2">
      <c r="A48" s="8">
        <v>23</v>
      </c>
      <c r="B48" s="8">
        <v>46</v>
      </c>
      <c r="D48">
        <v>1559.4153627312</v>
      </c>
      <c r="E48">
        <v>425.97392128971001</v>
      </c>
      <c r="F48">
        <v>152.93159144892999</v>
      </c>
      <c r="G48">
        <v>121.04370546318</v>
      </c>
      <c r="I48" s="9">
        <f t="shared" si="1"/>
        <v>304.93021582653</v>
      </c>
      <c r="J48" s="9">
        <f t="shared" si="2"/>
        <v>1406.48377128227</v>
      </c>
      <c r="K48" s="9">
        <f t="shared" si="3"/>
        <v>304.93021582653</v>
      </c>
      <c r="L48" s="10">
        <f t="shared" si="0"/>
        <v>0.21680322379299813</v>
      </c>
      <c r="M48" s="10">
        <f t="shared" si="4"/>
        <v>0.21797612015573889</v>
      </c>
      <c r="P48" s="8">
        <f t="shared" si="5"/>
        <v>2.4564278838499485</v>
      </c>
    </row>
    <row r="49" spans="1:25" x14ac:dyDescent="0.2">
      <c r="A49" s="8">
        <v>23.5</v>
      </c>
      <c r="B49" s="8">
        <v>47</v>
      </c>
      <c r="D49">
        <v>1537.2906590801001</v>
      </c>
      <c r="E49">
        <v>420.13655761024</v>
      </c>
      <c r="F49">
        <v>153.45795724466001</v>
      </c>
      <c r="G49">
        <v>121.07600950119</v>
      </c>
      <c r="I49" s="9">
        <f t="shared" si="1"/>
        <v>299.06054810904999</v>
      </c>
      <c r="J49" s="9">
        <f t="shared" si="2"/>
        <v>1383.83270183544</v>
      </c>
      <c r="K49" s="9">
        <f t="shared" si="3"/>
        <v>299.06054810904999</v>
      </c>
      <c r="L49" s="10">
        <f t="shared" si="0"/>
        <v>0.21611033451687653</v>
      </c>
      <c r="M49" s="10">
        <f t="shared" si="4"/>
        <v>0.21730872862663339</v>
      </c>
      <c r="P49" s="8">
        <f t="shared" si="5"/>
        <v>2.1427304383534644</v>
      </c>
    </row>
    <row r="50" spans="1:25" x14ac:dyDescent="0.2">
      <c r="A50" s="8">
        <v>24</v>
      </c>
      <c r="B50" s="8">
        <v>48</v>
      </c>
      <c r="D50">
        <v>1513.1697486961</v>
      </c>
      <c r="E50">
        <v>408.97202465624002</v>
      </c>
      <c r="F50">
        <v>153.35249406176001</v>
      </c>
      <c r="G50">
        <v>120.94774346793</v>
      </c>
      <c r="I50" s="9">
        <f t="shared" si="1"/>
        <v>288.02428118831006</v>
      </c>
      <c r="J50" s="9">
        <f t="shared" si="2"/>
        <v>1359.8172546343399</v>
      </c>
      <c r="K50" s="9">
        <f t="shared" si="3"/>
        <v>288.02428118831006</v>
      </c>
      <c r="L50" s="10">
        <f t="shared" si="0"/>
        <v>0.21181102108147679</v>
      </c>
      <c r="M50" s="10">
        <f t="shared" si="4"/>
        <v>0.21303491293824975</v>
      </c>
      <c r="P50" s="8">
        <f t="shared" si="5"/>
        <v>0.13388704508226551</v>
      </c>
    </row>
    <row r="51" spans="1:25" x14ac:dyDescent="0.2">
      <c r="A51" s="8">
        <v>24.5</v>
      </c>
      <c r="B51" s="8">
        <v>49</v>
      </c>
      <c r="D51">
        <v>1478.2811016144001</v>
      </c>
      <c r="E51">
        <v>413.94112060779003</v>
      </c>
      <c r="F51">
        <v>153.23182897862</v>
      </c>
      <c r="G51">
        <v>121.08123515439</v>
      </c>
      <c r="I51" s="9">
        <f t="shared" si="1"/>
        <v>292.85988545340001</v>
      </c>
      <c r="J51" s="9">
        <f t="shared" si="2"/>
        <v>1325.0492726357802</v>
      </c>
      <c r="K51" s="9">
        <f t="shared" si="3"/>
        <v>292.85988545340001</v>
      </c>
      <c r="L51" s="10">
        <f t="shared" si="0"/>
        <v>0.22101810966685401</v>
      </c>
      <c r="M51" s="10">
        <f t="shared" si="4"/>
        <v>0.22226749927064307</v>
      </c>
      <c r="P51" s="8">
        <f t="shared" si="5"/>
        <v>4.4735267040982363</v>
      </c>
    </row>
    <row r="52" spans="1:25" x14ac:dyDescent="0.2">
      <c r="A52" s="8">
        <v>25</v>
      </c>
      <c r="B52" s="8">
        <v>50</v>
      </c>
      <c r="D52">
        <v>1532.2820512820999</v>
      </c>
      <c r="E52">
        <v>416.03038936372002</v>
      </c>
      <c r="F52">
        <v>153.56342042755</v>
      </c>
      <c r="G52">
        <v>120.91448931116</v>
      </c>
      <c r="I52" s="9">
        <f t="shared" si="1"/>
        <v>295.11590005256005</v>
      </c>
      <c r="J52" s="9">
        <f t="shared" si="2"/>
        <v>1378.7186308545499</v>
      </c>
      <c r="K52" s="9">
        <f t="shared" si="3"/>
        <v>295.11590005256005</v>
      </c>
      <c r="L52" s="10">
        <f t="shared" si="0"/>
        <v>0.21405085377691815</v>
      </c>
      <c r="M52" s="10">
        <f t="shared" si="4"/>
        <v>0.21532574112772332</v>
      </c>
      <c r="P52" s="8">
        <f t="shared" si="5"/>
        <v>1.2106567069213445</v>
      </c>
    </row>
    <row r="53" spans="1:25" x14ac:dyDescent="0.2">
      <c r="A53" s="8">
        <v>25.5</v>
      </c>
      <c r="B53" s="8">
        <v>51</v>
      </c>
      <c r="D53">
        <v>1578.8456790124001</v>
      </c>
      <c r="E53">
        <v>423.11538461538998</v>
      </c>
      <c r="F53">
        <v>153.64085510689</v>
      </c>
      <c r="G53">
        <v>121.41425178147</v>
      </c>
      <c r="I53" s="9">
        <f t="shared" si="1"/>
        <v>301.70113283391998</v>
      </c>
      <c r="J53" s="9">
        <f t="shared" si="2"/>
        <v>1425.20482390551</v>
      </c>
      <c r="K53" s="9">
        <f t="shared" si="3"/>
        <v>301.70113283391998</v>
      </c>
      <c r="L53" s="10">
        <f t="shared" si="0"/>
        <v>0.21168966577531212</v>
      </c>
      <c r="M53" s="10">
        <f t="shared" si="4"/>
        <v>0.21299005087313339</v>
      </c>
      <c r="P53" s="8">
        <f t="shared" si="5"/>
        <v>0.11280029972671356</v>
      </c>
      <c r="S53" s="11"/>
      <c r="U53" s="12"/>
    </row>
    <row r="54" spans="1:25" x14ac:dyDescent="0.2">
      <c r="A54" s="8">
        <v>26</v>
      </c>
      <c r="B54" s="8">
        <v>52</v>
      </c>
      <c r="D54">
        <v>1564.5935422601999</v>
      </c>
      <c r="E54">
        <v>421.47958214624998</v>
      </c>
      <c r="F54">
        <v>153.38859857482001</v>
      </c>
      <c r="G54">
        <v>120.87790973872001</v>
      </c>
      <c r="I54" s="9">
        <f t="shared" si="1"/>
        <v>300.60167240752997</v>
      </c>
      <c r="J54" s="9">
        <f t="shared" si="2"/>
        <v>1411.2049436853799</v>
      </c>
      <c r="K54" s="9">
        <f t="shared" si="3"/>
        <v>300.60167240752997</v>
      </c>
      <c r="L54" s="10">
        <f t="shared" si="0"/>
        <v>0.21301064296338476</v>
      </c>
      <c r="M54" s="10">
        <f t="shared" si="4"/>
        <v>0.21433652580822213</v>
      </c>
      <c r="P54" s="8">
        <f t="shared" si="5"/>
        <v>0.74569078326117444</v>
      </c>
      <c r="S54" s="11"/>
    </row>
    <row r="55" spans="1:25" x14ac:dyDescent="0.2">
      <c r="A55" s="8">
        <v>26.5</v>
      </c>
      <c r="B55" s="8">
        <v>53</v>
      </c>
      <c r="D55">
        <v>1616.0550807218001</v>
      </c>
      <c r="E55">
        <v>430.90028490028999</v>
      </c>
      <c r="F55">
        <v>153.54346793349001</v>
      </c>
      <c r="G55">
        <v>120.94156769596</v>
      </c>
      <c r="I55" s="9">
        <f t="shared" si="1"/>
        <v>309.95871720433001</v>
      </c>
      <c r="J55" s="9">
        <f t="shared" si="2"/>
        <v>1462.51161278831</v>
      </c>
      <c r="K55" s="9">
        <f t="shared" si="3"/>
        <v>309.95871720433001</v>
      </c>
      <c r="L55" s="10">
        <f t="shared" si="0"/>
        <v>0.21193590156415032</v>
      </c>
      <c r="M55" s="10">
        <f t="shared" si="4"/>
        <v>0.21328728215600379</v>
      </c>
      <c r="P55" s="8">
        <f t="shared" si="5"/>
        <v>0.25250943610586124</v>
      </c>
      <c r="S55" s="11"/>
    </row>
    <row r="56" spans="1:25" x14ac:dyDescent="0.2">
      <c r="A56" s="8">
        <v>27</v>
      </c>
      <c r="B56" s="8">
        <v>54</v>
      </c>
      <c r="D56">
        <v>1593.2706552707</v>
      </c>
      <c r="E56">
        <v>421.25783475783999</v>
      </c>
      <c r="F56">
        <v>154.06983372921999</v>
      </c>
      <c r="G56">
        <v>121.36864608076</v>
      </c>
      <c r="I56" s="9">
        <f t="shared" si="1"/>
        <v>299.88918867707997</v>
      </c>
      <c r="J56" s="9">
        <f t="shared" si="2"/>
        <v>1439.2008215414801</v>
      </c>
      <c r="K56" s="9">
        <f t="shared" si="3"/>
        <v>299.88918867707997</v>
      </c>
      <c r="L56" s="10">
        <f t="shared" si="0"/>
        <v>0.2083720243821697</v>
      </c>
      <c r="M56" s="10">
        <f t="shared" si="4"/>
        <v>0.20974890272103927</v>
      </c>
      <c r="P56" s="8">
        <f t="shared" si="5"/>
        <v>-1.4106531027315155</v>
      </c>
      <c r="S56" s="11"/>
    </row>
    <row r="57" spans="1:25" x14ac:dyDescent="0.2">
      <c r="A57" s="8">
        <v>27.5</v>
      </c>
      <c r="B57" s="8">
        <v>55</v>
      </c>
      <c r="D57">
        <v>1631.7583095916</v>
      </c>
      <c r="E57">
        <v>425.24691358025001</v>
      </c>
      <c r="F57">
        <v>153.81947743468001</v>
      </c>
      <c r="G57">
        <v>121.38717339668</v>
      </c>
      <c r="I57" s="9">
        <f t="shared" si="1"/>
        <v>303.85974018357001</v>
      </c>
      <c r="J57" s="9">
        <f t="shared" si="2"/>
        <v>1477.9388321569199</v>
      </c>
      <c r="K57" s="9">
        <f t="shared" si="3"/>
        <v>303.85974018357001</v>
      </c>
      <c r="L57" s="10">
        <f t="shared" si="0"/>
        <v>0.20559696624258381</v>
      </c>
      <c r="M57" s="10">
        <f t="shared" si="4"/>
        <v>0.20699934232846948</v>
      </c>
      <c r="P57" s="8">
        <f t="shared" si="5"/>
        <v>-2.7030430024707246</v>
      </c>
      <c r="S57" s="11"/>
    </row>
    <row r="58" spans="1:25" x14ac:dyDescent="0.2">
      <c r="A58" s="8">
        <v>28</v>
      </c>
      <c r="B58" s="8">
        <v>56</v>
      </c>
      <c r="D58">
        <v>1593.8266856600001</v>
      </c>
      <c r="E58">
        <v>420.57122507123</v>
      </c>
      <c r="F58">
        <v>154.05795724466</v>
      </c>
      <c r="G58">
        <v>121.19287410926</v>
      </c>
      <c r="I58" s="9">
        <f t="shared" si="1"/>
        <v>299.37835096197</v>
      </c>
      <c r="J58" s="9">
        <f t="shared" si="2"/>
        <v>1439.7687284153401</v>
      </c>
      <c r="K58" s="9">
        <f t="shared" si="3"/>
        <v>299.37835096197</v>
      </c>
      <c r="L58" s="10">
        <f t="shared" si="0"/>
        <v>0.20793502807320749</v>
      </c>
      <c r="M58" s="10">
        <f t="shared" si="4"/>
        <v>0.20936290190610929</v>
      </c>
      <c r="P58" s="8">
        <f t="shared" si="5"/>
        <v>-1.5920870351720264</v>
      </c>
      <c r="S58" s="11"/>
    </row>
    <row r="59" spans="1:25" x14ac:dyDescent="0.2">
      <c r="A59" s="8">
        <v>28.5</v>
      </c>
      <c r="B59" s="8">
        <v>57</v>
      </c>
      <c r="D59">
        <v>1567.2492877493</v>
      </c>
      <c r="E59">
        <v>413.56077872744999</v>
      </c>
      <c r="F59">
        <v>153.62517814726999</v>
      </c>
      <c r="G59">
        <v>121.17862232778999</v>
      </c>
      <c r="I59" s="9">
        <f t="shared" si="1"/>
        <v>292.38215639966</v>
      </c>
      <c r="J59" s="9">
        <f t="shared" si="2"/>
        <v>1413.6241096020301</v>
      </c>
      <c r="K59" s="9">
        <f t="shared" si="3"/>
        <v>292.38215639966</v>
      </c>
      <c r="L59" s="10">
        <f t="shared" si="0"/>
        <v>0.20683161415658988</v>
      </c>
      <c r="M59" s="10">
        <f t="shared" si="4"/>
        <v>0.20828498573650778</v>
      </c>
      <c r="P59" s="8">
        <f t="shared" si="5"/>
        <v>-2.0987454719618297</v>
      </c>
      <c r="R59" s="1"/>
      <c r="S59" s="11"/>
    </row>
    <row r="60" spans="1:25" x14ac:dyDescent="0.2">
      <c r="A60" s="8">
        <v>29</v>
      </c>
      <c r="B60" s="8">
        <v>58</v>
      </c>
      <c r="D60">
        <v>1640.3157644824</v>
      </c>
      <c r="E60">
        <v>424.01804368470999</v>
      </c>
      <c r="F60">
        <v>154.09881235154</v>
      </c>
      <c r="G60">
        <v>121.49216152019</v>
      </c>
      <c r="I60" s="9">
        <f t="shared" si="1"/>
        <v>302.52588216452</v>
      </c>
      <c r="J60" s="9">
        <f t="shared" si="2"/>
        <v>1486.2169521308601</v>
      </c>
      <c r="K60" s="9">
        <f t="shared" si="3"/>
        <v>302.52588216452</v>
      </c>
      <c r="L60" s="10">
        <f t="shared" si="0"/>
        <v>0.20355432074084084</v>
      </c>
      <c r="M60" s="10">
        <f t="shared" si="4"/>
        <v>0.20503319006777485</v>
      </c>
      <c r="P60" s="8">
        <f t="shared" si="5"/>
        <v>-3.6272035809900611</v>
      </c>
      <c r="S60" s="11"/>
    </row>
    <row r="61" spans="1:25" x14ac:dyDescent="0.2">
      <c r="A61" s="8">
        <v>29.5</v>
      </c>
      <c r="B61" s="8">
        <v>59</v>
      </c>
      <c r="C61" s="2"/>
      <c r="D61">
        <v>1654.522317189</v>
      </c>
      <c r="E61">
        <v>424.85802469136001</v>
      </c>
      <c r="F61">
        <v>154.43705463182999</v>
      </c>
      <c r="G61">
        <v>121.33966745843</v>
      </c>
      <c r="I61" s="9">
        <f t="shared" si="1"/>
        <v>303.51835723293004</v>
      </c>
      <c r="J61" s="9">
        <f t="shared" si="2"/>
        <v>1500.0852625571699</v>
      </c>
      <c r="K61" s="9">
        <f t="shared" si="3"/>
        <v>303.51835723293004</v>
      </c>
      <c r="L61" s="10">
        <f t="shared" si="0"/>
        <v>0.20233407047511914</v>
      </c>
      <c r="M61" s="10">
        <f t="shared" si="4"/>
        <v>0.20383843754906925</v>
      </c>
      <c r="P61" s="8">
        <f t="shared" si="5"/>
        <v>-4.1887792030552182</v>
      </c>
      <c r="S61" s="11"/>
    </row>
    <row r="62" spans="1:25" x14ac:dyDescent="0.2">
      <c r="A62" s="8">
        <v>30</v>
      </c>
      <c r="B62" s="8">
        <v>60</v>
      </c>
      <c r="D62">
        <v>1545.1571699905001</v>
      </c>
      <c r="E62">
        <v>412.39126305793002</v>
      </c>
      <c r="F62">
        <v>154.12209026127999</v>
      </c>
      <c r="G62">
        <v>121.10308788599001</v>
      </c>
      <c r="I62" s="9">
        <f t="shared" si="1"/>
        <v>291.28817517194</v>
      </c>
      <c r="J62" s="9">
        <f t="shared" si="2"/>
        <v>1391.0350797292201</v>
      </c>
      <c r="K62" s="9">
        <f t="shared" si="3"/>
        <v>291.28817517194</v>
      </c>
      <c r="L62" s="10">
        <f t="shared" si="0"/>
        <v>0.20940390319174579</v>
      </c>
      <c r="M62" s="10">
        <f t="shared" si="4"/>
        <v>0.21093376801271199</v>
      </c>
      <c r="P62" s="8">
        <f t="shared" si="5"/>
        <v>-0.85372482443383957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1570.4510921178</v>
      </c>
      <c r="E63">
        <v>420.64102564103001</v>
      </c>
      <c r="F63">
        <v>154.39667458432001</v>
      </c>
      <c r="G63">
        <v>121.48266033253999</v>
      </c>
      <c r="I63" s="9">
        <f t="shared" si="1"/>
        <v>299.15836530849003</v>
      </c>
      <c r="J63" s="9">
        <f t="shared" si="2"/>
        <v>1416.0544175334801</v>
      </c>
      <c r="K63" s="9">
        <f t="shared" si="3"/>
        <v>299.15836530849003</v>
      </c>
      <c r="L63" s="10">
        <f t="shared" si="0"/>
        <v>0.2112619131047038</v>
      </c>
      <c r="M63" s="10">
        <f t="shared" si="4"/>
        <v>0.2128172756726861</v>
      </c>
      <c r="P63" s="8">
        <f t="shared" si="5"/>
        <v>3.1589890751192597E-2</v>
      </c>
    </row>
    <row r="64" spans="1:25" x14ac:dyDescent="0.2">
      <c r="A64" s="8">
        <v>31</v>
      </c>
      <c r="B64" s="8">
        <v>62</v>
      </c>
      <c r="D64">
        <v>1596.5194681861001</v>
      </c>
      <c r="E64">
        <v>423.59401709401999</v>
      </c>
      <c r="F64">
        <v>154.34774346793</v>
      </c>
      <c r="G64">
        <v>121.64845605700999</v>
      </c>
      <c r="I64" s="9">
        <f t="shared" si="1"/>
        <v>301.94556103701001</v>
      </c>
      <c r="J64" s="9">
        <f t="shared" si="2"/>
        <v>1442.17172471817</v>
      </c>
      <c r="K64" s="9">
        <f t="shared" si="3"/>
        <v>301.94556103701001</v>
      </c>
      <c r="L64" s="10">
        <f t="shared" si="0"/>
        <v>0.20936865968303212</v>
      </c>
      <c r="M64" s="10">
        <f t="shared" si="4"/>
        <v>0.21094951999803052</v>
      </c>
      <c r="P64" s="8">
        <f t="shared" si="5"/>
        <v>-0.84632083840701111</v>
      </c>
      <c r="U64" s="8">
        <v>30.5</v>
      </c>
      <c r="V64" s="10">
        <f>L62</f>
        <v>0.20940390319174579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1523.0574548908</v>
      </c>
      <c r="E65">
        <v>407.16334283000998</v>
      </c>
      <c r="F65">
        <v>154.20332541568001</v>
      </c>
      <c r="G65">
        <v>121.62280285036</v>
      </c>
      <c r="I65" s="9">
        <f t="shared" si="1"/>
        <v>285.54053997964996</v>
      </c>
      <c r="J65" s="9">
        <f t="shared" si="2"/>
        <v>1368.8541294751201</v>
      </c>
      <c r="K65" s="9">
        <f t="shared" si="3"/>
        <v>285.54053997964996</v>
      </c>
      <c r="L65" s="10">
        <f t="shared" si="0"/>
        <v>0.20859822374874887</v>
      </c>
      <c r="M65" s="10">
        <f t="shared" si="4"/>
        <v>0.21020458181076337</v>
      </c>
      <c r="P65" s="8">
        <f t="shared" si="5"/>
        <v>-1.1964679352868473</v>
      </c>
      <c r="U65" s="8">
        <v>31</v>
      </c>
      <c r="V65" s="10">
        <f t="shared" ref="V65:V83" si="6">L63</f>
        <v>0.2112619131047038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1562.7535612536001</v>
      </c>
      <c r="E66">
        <v>411.67806267805997</v>
      </c>
      <c r="F66">
        <v>154.34679334917001</v>
      </c>
      <c r="G66">
        <v>121.67885985748001</v>
      </c>
      <c r="I66" s="9">
        <f t="shared" si="1"/>
        <v>289.99920282057997</v>
      </c>
      <c r="J66" s="9">
        <f t="shared" si="2"/>
        <v>1408.4067679044301</v>
      </c>
      <c r="K66" s="9">
        <f t="shared" si="3"/>
        <v>289.99920282057997</v>
      </c>
      <c r="L66" s="10">
        <f t="shared" ref="L66:L129" si="7">K66/J66</f>
        <v>0.20590585719214491</v>
      </c>
      <c r="M66" s="10">
        <f t="shared" si="4"/>
        <v>0.20753771300117552</v>
      </c>
      <c r="P66" s="8">
        <f t="shared" si="5"/>
        <v>-2.4499898883797133</v>
      </c>
      <c r="U66" s="8">
        <v>31.5</v>
      </c>
      <c r="V66" s="10">
        <f t="shared" si="6"/>
        <v>0.20936865968303212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1545.626305793</v>
      </c>
      <c r="E67">
        <v>408.18091168091001</v>
      </c>
      <c r="F67">
        <v>154.80902612827001</v>
      </c>
      <c r="G67">
        <v>121.83420427553</v>
      </c>
      <c r="I67" s="9">
        <f t="shared" ref="I67:I130" si="8">E67-G67</f>
        <v>286.34670740538002</v>
      </c>
      <c r="J67" s="9">
        <f t="shared" ref="J67:J130" si="9">D67-F67</f>
        <v>1390.81727966473</v>
      </c>
      <c r="K67" s="9">
        <f t="shared" ref="K67:K130" si="10">I67*1</f>
        <v>286.34670740538002</v>
      </c>
      <c r="L67" s="10">
        <f t="shared" si="7"/>
        <v>0.20588377178805736</v>
      </c>
      <c r="M67" s="10">
        <f t="shared" ref="M67:M130" si="11">L67+ABS($N$2)*A67</f>
        <v>0.20754112534410407</v>
      </c>
      <c r="P67" s="8">
        <f t="shared" ref="P67:P130" si="12">(M67-$O$2)/$O$2*100</f>
        <v>-2.4483859674230297</v>
      </c>
      <c r="U67" s="8">
        <v>32</v>
      </c>
      <c r="V67" s="10">
        <f t="shared" si="6"/>
        <v>0.20859822374874887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1479.8190883191</v>
      </c>
      <c r="E68">
        <v>391.98480531813999</v>
      </c>
      <c r="F68">
        <v>155.03705463182999</v>
      </c>
      <c r="G68">
        <v>121.93539192399</v>
      </c>
      <c r="I68" s="9">
        <f t="shared" si="8"/>
        <v>270.04941339415001</v>
      </c>
      <c r="J68" s="9">
        <f t="shared" si="9"/>
        <v>1324.7820336872701</v>
      </c>
      <c r="K68" s="9">
        <f t="shared" si="10"/>
        <v>270.04941339415001</v>
      </c>
      <c r="L68" s="10">
        <f t="shared" si="7"/>
        <v>0.20384441102550327</v>
      </c>
      <c r="M68" s="10">
        <f t="shared" si="11"/>
        <v>0.20552726232856608</v>
      </c>
      <c r="P68" s="8">
        <f t="shared" si="12"/>
        <v>-3.394972275464482</v>
      </c>
      <c r="U68" s="8">
        <v>32.5</v>
      </c>
      <c r="V68" s="10">
        <f t="shared" si="6"/>
        <v>0.20590585719214491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1501.8456790124001</v>
      </c>
      <c r="E69">
        <v>407.63247863248</v>
      </c>
      <c r="F69">
        <v>155.39429928741001</v>
      </c>
      <c r="G69">
        <v>121.98432304038</v>
      </c>
      <c r="I69" s="9">
        <f t="shared" si="8"/>
        <v>285.64815559210001</v>
      </c>
      <c r="J69" s="9">
        <f t="shared" si="9"/>
        <v>1346.4513797249901</v>
      </c>
      <c r="K69" s="9">
        <f t="shared" si="10"/>
        <v>285.64815559210001</v>
      </c>
      <c r="L69" s="10">
        <f t="shared" si="7"/>
        <v>0.21214888253183198</v>
      </c>
      <c r="M69" s="10">
        <f t="shared" si="11"/>
        <v>0.21385723158191089</v>
      </c>
      <c r="P69" s="8">
        <f t="shared" si="12"/>
        <v>0.52040567268063265</v>
      </c>
      <c r="U69" s="8">
        <v>33</v>
      </c>
      <c r="V69" s="10">
        <f t="shared" si="6"/>
        <v>0.20588377178805736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1512.5047483380999</v>
      </c>
      <c r="E70">
        <v>405.09734093066999</v>
      </c>
      <c r="F70">
        <v>154.87648456056999</v>
      </c>
      <c r="G70">
        <v>121.66270783848</v>
      </c>
      <c r="I70" s="9">
        <f t="shared" si="8"/>
        <v>283.43463309218998</v>
      </c>
      <c r="J70" s="9">
        <f t="shared" si="9"/>
        <v>1357.62826377753</v>
      </c>
      <c r="K70" s="9">
        <f t="shared" si="10"/>
        <v>283.43463309218998</v>
      </c>
      <c r="L70" s="10">
        <f t="shared" si="7"/>
        <v>0.20877190071422633</v>
      </c>
      <c r="M70" s="10">
        <f t="shared" si="11"/>
        <v>0.21050574751132134</v>
      </c>
      <c r="P70" s="8">
        <f t="shared" si="12"/>
        <v>-1.0549094844883831</v>
      </c>
      <c r="U70" s="8">
        <v>33.5</v>
      </c>
      <c r="V70" s="10">
        <f t="shared" si="6"/>
        <v>0.20384441102550327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1545.6471984805</v>
      </c>
      <c r="E71">
        <v>408.54843304843001</v>
      </c>
      <c r="F71">
        <v>155.34299287411</v>
      </c>
      <c r="G71">
        <v>121.75629453681999</v>
      </c>
      <c r="I71" s="9">
        <f t="shared" si="8"/>
        <v>286.79213851161001</v>
      </c>
      <c r="J71" s="9">
        <f t="shared" si="9"/>
        <v>1390.30420560639</v>
      </c>
      <c r="K71" s="9">
        <f t="shared" si="10"/>
        <v>286.79213851161001</v>
      </c>
      <c r="L71" s="10">
        <f t="shared" si="7"/>
        <v>0.20628013448792223</v>
      </c>
      <c r="M71" s="10">
        <f t="shared" si="11"/>
        <v>0.20803947903203338</v>
      </c>
      <c r="P71" s="8">
        <f t="shared" si="12"/>
        <v>-2.214142240855649</v>
      </c>
      <c r="U71" s="8">
        <v>34</v>
      </c>
      <c r="V71" s="10">
        <f t="shared" si="6"/>
        <v>0.21214888253183198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1522.7663817663999</v>
      </c>
      <c r="E72">
        <v>402.41642924975997</v>
      </c>
      <c r="F72">
        <v>155.21282660333</v>
      </c>
      <c r="G72">
        <v>121.72161520189999</v>
      </c>
      <c r="I72" s="9">
        <f t="shared" si="8"/>
        <v>280.69481404785995</v>
      </c>
      <c r="J72" s="9">
        <f t="shared" si="9"/>
        <v>1367.5535551630699</v>
      </c>
      <c r="K72" s="9">
        <f t="shared" si="10"/>
        <v>280.69481404785995</v>
      </c>
      <c r="L72" s="10">
        <f t="shared" si="7"/>
        <v>0.20525325168299485</v>
      </c>
      <c r="M72" s="10">
        <f t="shared" si="11"/>
        <v>0.20703809397412209</v>
      </c>
      <c r="P72" s="8">
        <f t="shared" si="12"/>
        <v>-2.6848283687514383</v>
      </c>
      <c r="U72" s="8">
        <v>34.5</v>
      </c>
      <c r="V72" s="10">
        <f t="shared" si="6"/>
        <v>0.20877190071422633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1438.1415004748001</v>
      </c>
      <c r="E73">
        <v>394.40598290598001</v>
      </c>
      <c r="F73">
        <v>155.17197149643999</v>
      </c>
      <c r="G73">
        <v>122.02090261283</v>
      </c>
      <c r="I73" s="9">
        <f t="shared" si="8"/>
        <v>272.38508029315</v>
      </c>
      <c r="J73" s="9">
        <f t="shared" si="9"/>
        <v>1282.9695289783601</v>
      </c>
      <c r="K73" s="9">
        <f t="shared" si="10"/>
        <v>272.38508029315</v>
      </c>
      <c r="L73" s="10">
        <f t="shared" si="7"/>
        <v>0.21230830050192434</v>
      </c>
      <c r="M73" s="10">
        <f t="shared" si="11"/>
        <v>0.21411864054006768</v>
      </c>
      <c r="P73" s="8">
        <f t="shared" si="12"/>
        <v>0.64327705900702525</v>
      </c>
      <c r="U73" s="8">
        <v>35</v>
      </c>
      <c r="V73" s="10">
        <f t="shared" si="6"/>
        <v>0.20628013448792223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1481.1752136752</v>
      </c>
      <c r="E74">
        <v>420.63200379866998</v>
      </c>
      <c r="F74">
        <v>154.95534441805</v>
      </c>
      <c r="G74">
        <v>121.83515439430001</v>
      </c>
      <c r="I74" s="9">
        <f t="shared" si="8"/>
        <v>298.79684940436999</v>
      </c>
      <c r="J74" s="9">
        <f t="shared" si="9"/>
        <v>1326.2198692571501</v>
      </c>
      <c r="K74" s="9">
        <f t="shared" si="10"/>
        <v>298.79684940436999</v>
      </c>
      <c r="L74" s="10">
        <f t="shared" si="7"/>
        <v>0.22529963268589379</v>
      </c>
      <c r="M74" s="10">
        <f t="shared" si="11"/>
        <v>0.22713547047105323</v>
      </c>
      <c r="P74" s="8">
        <f t="shared" si="12"/>
        <v>6.7616440441037984</v>
      </c>
      <c r="U74" s="8">
        <v>35.5</v>
      </c>
      <c r="V74" s="10">
        <f t="shared" si="6"/>
        <v>0.20525325168299485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1560.2982873454</v>
      </c>
      <c r="E75">
        <v>436.24500475737</v>
      </c>
      <c r="F75">
        <v>155.28551068883999</v>
      </c>
      <c r="G75">
        <v>122.13871733966999</v>
      </c>
      <c r="I75" s="9">
        <f t="shared" si="8"/>
        <v>314.1062874177</v>
      </c>
      <c r="J75" s="9">
        <f t="shared" si="9"/>
        <v>1405.0127766565599</v>
      </c>
      <c r="K75" s="9">
        <f t="shared" si="10"/>
        <v>314.1062874177</v>
      </c>
      <c r="L75" s="10">
        <f t="shared" si="7"/>
        <v>0.22356116089219014</v>
      </c>
      <c r="M75" s="10">
        <f t="shared" si="11"/>
        <v>0.22542249642436568</v>
      </c>
      <c r="P75" s="8">
        <f t="shared" si="12"/>
        <v>5.9564861132444227</v>
      </c>
      <c r="U75" s="8">
        <v>36</v>
      </c>
      <c r="V75" s="10">
        <f t="shared" si="6"/>
        <v>0.21230830050192434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1522.1385199240999</v>
      </c>
      <c r="E76">
        <v>416.41461100569001</v>
      </c>
      <c r="F76">
        <v>155.15439429929</v>
      </c>
      <c r="G76">
        <v>121.8703087886</v>
      </c>
      <c r="I76" s="9">
        <f t="shared" si="8"/>
        <v>294.54430221709003</v>
      </c>
      <c r="J76" s="9">
        <f t="shared" si="9"/>
        <v>1366.9841256248098</v>
      </c>
      <c r="K76" s="9">
        <f t="shared" si="10"/>
        <v>294.54430221709003</v>
      </c>
      <c r="L76" s="10">
        <f t="shared" si="7"/>
        <v>0.21547017020586259</v>
      </c>
      <c r="M76" s="10">
        <f t="shared" si="11"/>
        <v>0.21735700348505424</v>
      </c>
      <c r="P76" s="8">
        <f t="shared" si="12"/>
        <v>2.1654213163581972</v>
      </c>
      <c r="U76" s="8">
        <v>36.5</v>
      </c>
      <c r="V76" s="10">
        <f t="shared" si="6"/>
        <v>0.22529963268589379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1497.0787476281</v>
      </c>
      <c r="E77">
        <v>410.11954459203002</v>
      </c>
      <c r="F77">
        <v>155.21140142517999</v>
      </c>
      <c r="G77">
        <v>122.29311163896</v>
      </c>
      <c r="I77" s="9">
        <f t="shared" si="8"/>
        <v>287.82643295307003</v>
      </c>
      <c r="J77" s="9">
        <f t="shared" si="9"/>
        <v>1341.8673462029201</v>
      </c>
      <c r="K77" s="9">
        <f t="shared" si="10"/>
        <v>287.82643295307003</v>
      </c>
      <c r="L77" s="10">
        <f t="shared" si="7"/>
        <v>0.21449693501189371</v>
      </c>
      <c r="M77" s="10">
        <f t="shared" si="11"/>
        <v>0.21640926603810146</v>
      </c>
      <c r="P77" s="8">
        <f t="shared" si="12"/>
        <v>1.7199514487545118</v>
      </c>
      <c r="U77" s="8">
        <v>37</v>
      </c>
      <c r="V77" s="10">
        <f t="shared" si="6"/>
        <v>0.22356116089219014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1552.3296912113999</v>
      </c>
      <c r="E78">
        <v>417.90973871734002</v>
      </c>
      <c r="F78">
        <v>155.54774346792999</v>
      </c>
      <c r="G78">
        <v>122.15391923991</v>
      </c>
      <c r="I78" s="9">
        <f t="shared" si="8"/>
        <v>295.75581947743001</v>
      </c>
      <c r="J78" s="9">
        <f t="shared" si="9"/>
        <v>1396.78194774347</v>
      </c>
      <c r="K78" s="9">
        <f t="shared" si="10"/>
        <v>295.75581947743001</v>
      </c>
      <c r="L78" s="10">
        <f t="shared" si="7"/>
        <v>0.21174086617831053</v>
      </c>
      <c r="M78" s="10">
        <f t="shared" si="11"/>
        <v>0.21367869495153438</v>
      </c>
      <c r="P78" s="8">
        <f t="shared" si="12"/>
        <v>0.4364871894003225</v>
      </c>
      <c r="U78" s="8">
        <v>37.5</v>
      </c>
      <c r="V78" s="10">
        <f t="shared" si="6"/>
        <v>0.21547017020586259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1558.296912114</v>
      </c>
      <c r="E79">
        <v>417.42565320665</v>
      </c>
      <c r="F79">
        <v>155.71448931116001</v>
      </c>
      <c r="G79">
        <v>122.28218527316</v>
      </c>
      <c r="I79" s="9">
        <f t="shared" si="8"/>
        <v>295.14346793349</v>
      </c>
      <c r="J79" s="9">
        <f t="shared" si="9"/>
        <v>1402.58242280284</v>
      </c>
      <c r="K79" s="9">
        <f t="shared" si="10"/>
        <v>295.14346793349</v>
      </c>
      <c r="L79" s="10">
        <f t="shared" si="7"/>
        <v>0.21042860878271402</v>
      </c>
      <c r="M79" s="10">
        <f t="shared" si="11"/>
        <v>0.21239193530295397</v>
      </c>
      <c r="P79" s="8">
        <f t="shared" si="12"/>
        <v>-0.16833501334570561</v>
      </c>
      <c r="U79" s="8">
        <v>38</v>
      </c>
      <c r="V79" s="10">
        <f t="shared" si="6"/>
        <v>0.21449693501189371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1537.3596199525</v>
      </c>
      <c r="E80">
        <v>413.15344418052001</v>
      </c>
      <c r="F80">
        <v>155.62280285035999</v>
      </c>
      <c r="G80">
        <v>122.2432304038</v>
      </c>
      <c r="I80" s="9">
        <f t="shared" si="8"/>
        <v>290.91021377672001</v>
      </c>
      <c r="J80" s="9">
        <f t="shared" si="9"/>
        <v>1381.7368171021401</v>
      </c>
      <c r="K80" s="9">
        <f t="shared" si="10"/>
        <v>290.91021377672001</v>
      </c>
      <c r="L80" s="10">
        <f t="shared" si="7"/>
        <v>0.21053952545524124</v>
      </c>
      <c r="M80" s="10">
        <f t="shared" si="11"/>
        <v>0.21252834972249729</v>
      </c>
      <c r="P80" s="8">
        <f t="shared" si="12"/>
        <v>-0.10421544773332883</v>
      </c>
      <c r="U80" s="8">
        <v>38.5</v>
      </c>
      <c r="V80" s="10">
        <f t="shared" si="6"/>
        <v>0.21174086617831053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1572.8992874108999</v>
      </c>
      <c r="E81">
        <v>418.54869358669998</v>
      </c>
      <c r="F81">
        <v>155.63182897862001</v>
      </c>
      <c r="G81">
        <v>122.34916864608</v>
      </c>
      <c r="I81" s="9">
        <f t="shared" si="8"/>
        <v>296.19952494061999</v>
      </c>
      <c r="J81" s="9">
        <f t="shared" si="9"/>
        <v>1417.2674584322799</v>
      </c>
      <c r="K81" s="9">
        <f t="shared" si="10"/>
        <v>296.19952494061999</v>
      </c>
      <c r="L81" s="10">
        <f t="shared" si="7"/>
        <v>0.20899338595430894</v>
      </c>
      <c r="M81" s="10">
        <f t="shared" si="11"/>
        <v>0.21100770796858109</v>
      </c>
      <c r="P81" s="8">
        <f t="shared" si="12"/>
        <v>-0.81897044973066113</v>
      </c>
      <c r="U81" s="8">
        <v>39</v>
      </c>
      <c r="V81" s="10">
        <f t="shared" si="6"/>
        <v>0.21042860878271402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1499.1729216152</v>
      </c>
      <c r="E82">
        <v>402.94869358670002</v>
      </c>
      <c r="F82">
        <v>155.92114014251999</v>
      </c>
      <c r="G82">
        <v>122.11258907363001</v>
      </c>
      <c r="H82" s="13"/>
      <c r="I82" s="14">
        <f t="shared" si="8"/>
        <v>280.83610451307004</v>
      </c>
      <c r="J82" s="14">
        <f t="shared" si="9"/>
        <v>1343.25178147268</v>
      </c>
      <c r="K82" s="9">
        <f t="shared" si="10"/>
        <v>280.83610451307004</v>
      </c>
      <c r="L82" s="15">
        <f t="shared" si="7"/>
        <v>0.20907182732724475</v>
      </c>
      <c r="M82" s="15">
        <f t="shared" si="11"/>
        <v>0.211111647088533</v>
      </c>
      <c r="N82" s="13"/>
      <c r="O82" s="13"/>
      <c r="P82" s="13">
        <f t="shared" si="12"/>
        <v>-0.77011541487613322</v>
      </c>
      <c r="U82" s="8">
        <v>39.5</v>
      </c>
      <c r="V82" s="10">
        <f t="shared" si="6"/>
        <v>0.21053952545524124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1450.5225653207001</v>
      </c>
      <c r="E83">
        <v>398.48456057007002</v>
      </c>
      <c r="F83">
        <v>155.80380047506</v>
      </c>
      <c r="G83">
        <v>122.06888361045</v>
      </c>
      <c r="I83" s="9">
        <f t="shared" si="8"/>
        <v>276.41567695961999</v>
      </c>
      <c r="J83" s="9">
        <f t="shared" si="9"/>
        <v>1294.7187648456402</v>
      </c>
      <c r="K83" s="9">
        <f t="shared" si="10"/>
        <v>276.41567695961999</v>
      </c>
      <c r="L83" s="10">
        <f t="shared" si="7"/>
        <v>0.21349476385520294</v>
      </c>
      <c r="M83" s="10">
        <f t="shared" si="11"/>
        <v>0.21556008136350732</v>
      </c>
      <c r="P83" s="8">
        <f t="shared" si="12"/>
        <v>1.3208048435646325</v>
      </c>
      <c r="U83" s="8">
        <v>40</v>
      </c>
      <c r="V83" s="10">
        <f t="shared" si="6"/>
        <v>0.20899338595430894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1513.9045130641</v>
      </c>
      <c r="E84">
        <v>408.51211401425002</v>
      </c>
      <c r="F84">
        <v>155.84513064133</v>
      </c>
      <c r="G84">
        <v>122.41472684086</v>
      </c>
      <c r="I84" s="9">
        <f t="shared" si="8"/>
        <v>286.09738717339002</v>
      </c>
      <c r="J84" s="9">
        <f t="shared" si="9"/>
        <v>1358.0593824227699</v>
      </c>
      <c r="K84" s="9">
        <f t="shared" si="10"/>
        <v>286.09738717339002</v>
      </c>
      <c r="L84" s="10">
        <f t="shared" si="7"/>
        <v>0.2106663308514492</v>
      </c>
      <c r="M84" s="10">
        <f t="shared" si="11"/>
        <v>0.21275714610676968</v>
      </c>
      <c r="P84" s="8">
        <f t="shared" si="12"/>
        <v>3.3268840989000201E-3</v>
      </c>
      <c r="U84" s="8">
        <v>150.5</v>
      </c>
      <c r="V84" s="10">
        <f>L302</f>
        <v>0.20095750258191217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1571.8840855107001</v>
      </c>
      <c r="E85">
        <v>415.83752969121002</v>
      </c>
      <c r="F85">
        <v>155.90498812352001</v>
      </c>
      <c r="G85">
        <v>122.28503562944999</v>
      </c>
      <c r="I85" s="9">
        <f t="shared" si="8"/>
        <v>293.55249406176006</v>
      </c>
      <c r="J85" s="9">
        <f t="shared" si="9"/>
        <v>1415.97909738718</v>
      </c>
      <c r="K85" s="9">
        <f t="shared" si="10"/>
        <v>293.55249406176006</v>
      </c>
      <c r="L85" s="10">
        <f t="shared" si="7"/>
        <v>0.20731414369282331</v>
      </c>
      <c r="M85" s="10">
        <f t="shared" si="11"/>
        <v>0.20943045669515989</v>
      </c>
      <c r="P85" s="8">
        <f t="shared" si="12"/>
        <v>-1.5603339130060463</v>
      </c>
      <c r="U85" s="8">
        <v>151</v>
      </c>
      <c r="V85" s="10">
        <f t="shared" ref="V85:V103" si="13">L303</f>
        <v>0.20189140488288099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1606.1225653207</v>
      </c>
      <c r="E86">
        <v>552.75866983372998</v>
      </c>
      <c r="F86">
        <v>156.38859857482001</v>
      </c>
      <c r="G86">
        <v>122.4242280285</v>
      </c>
      <c r="I86" s="9">
        <f t="shared" si="8"/>
        <v>430.33444180522997</v>
      </c>
      <c r="J86" s="9">
        <f t="shared" si="9"/>
        <v>1449.73396674588</v>
      </c>
      <c r="K86" s="9">
        <f t="shared" si="10"/>
        <v>430.33444180522997</v>
      </c>
      <c r="L86" s="10">
        <f t="shared" si="7"/>
        <v>0.29683683467193134</v>
      </c>
      <c r="M86" s="10">
        <f t="shared" si="11"/>
        <v>0.298978645421284</v>
      </c>
      <c r="P86" s="8">
        <f t="shared" si="12"/>
        <v>40.530458114085484</v>
      </c>
      <c r="U86" s="8">
        <v>151.5</v>
      </c>
      <c r="V86" s="10">
        <f t="shared" si="13"/>
        <v>0.20244141923193734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1647.0817102138001</v>
      </c>
      <c r="E87">
        <v>627.03040380048003</v>
      </c>
      <c r="F87">
        <v>156.55534441805</v>
      </c>
      <c r="G87">
        <v>122.39904988124</v>
      </c>
      <c r="I87" s="9">
        <f t="shared" si="8"/>
        <v>504.63135391924004</v>
      </c>
      <c r="J87" s="9">
        <f t="shared" si="9"/>
        <v>1490.5263657957501</v>
      </c>
      <c r="K87" s="9">
        <f t="shared" si="10"/>
        <v>504.63135391924004</v>
      </c>
      <c r="L87" s="10">
        <f t="shared" si="7"/>
        <v>0.33855915970317746</v>
      </c>
      <c r="M87" s="10">
        <f t="shared" si="11"/>
        <v>0.34072646819954622</v>
      </c>
      <c r="P87" s="8">
        <f t="shared" si="12"/>
        <v>60.153400254411295</v>
      </c>
      <c r="U87" s="8">
        <v>152</v>
      </c>
      <c r="V87" s="10">
        <f t="shared" si="13"/>
        <v>0.20072284631999024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1664.2764845606</v>
      </c>
      <c r="E88">
        <v>682.10688836104998</v>
      </c>
      <c r="F88">
        <v>156.73919239905001</v>
      </c>
      <c r="G88">
        <v>122.65558194774</v>
      </c>
      <c r="I88" s="9">
        <f t="shared" si="8"/>
        <v>559.45130641331002</v>
      </c>
      <c r="J88" s="9">
        <f t="shared" si="9"/>
        <v>1507.5372921615499</v>
      </c>
      <c r="K88" s="9">
        <f t="shared" si="10"/>
        <v>559.45130641331002</v>
      </c>
      <c r="L88" s="10">
        <f t="shared" si="7"/>
        <v>0.37110279747120073</v>
      </c>
      <c r="M88" s="10">
        <f t="shared" si="11"/>
        <v>0.37329560371458559</v>
      </c>
      <c r="P88" s="8">
        <f t="shared" si="12"/>
        <v>75.462037190199567</v>
      </c>
      <c r="U88" s="8">
        <v>152.5</v>
      </c>
      <c r="V88" s="10">
        <f t="shared" si="13"/>
        <v>0.2016995245563756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1677.3800475058999</v>
      </c>
      <c r="E89">
        <v>719.61520190023998</v>
      </c>
      <c r="F89">
        <v>156.82327790974</v>
      </c>
      <c r="G89">
        <v>122.77482185273</v>
      </c>
      <c r="I89" s="9">
        <f t="shared" si="8"/>
        <v>596.84038004750994</v>
      </c>
      <c r="J89" s="9">
        <f t="shared" si="9"/>
        <v>1520.5567695961599</v>
      </c>
      <c r="K89" s="9">
        <f t="shared" si="10"/>
        <v>596.84038004750994</v>
      </c>
      <c r="L89" s="10">
        <f t="shared" si="7"/>
        <v>0.3925143684086343</v>
      </c>
      <c r="M89" s="10">
        <f t="shared" si="11"/>
        <v>0.39473267239903531</v>
      </c>
      <c r="P89" s="8">
        <f t="shared" si="12"/>
        <v>85.538211957142892</v>
      </c>
      <c r="U89" s="8">
        <v>153</v>
      </c>
      <c r="V89" s="10">
        <f t="shared" si="13"/>
        <v>0.20304391030015412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1670.3458432304001</v>
      </c>
      <c r="E90">
        <v>740.98384798100005</v>
      </c>
      <c r="F90">
        <v>156.29881235153999</v>
      </c>
      <c r="G90">
        <v>122.77102137767</v>
      </c>
      <c r="I90" s="9">
        <f t="shared" si="8"/>
        <v>618.21282660333009</v>
      </c>
      <c r="J90" s="9">
        <f t="shared" si="9"/>
        <v>1514.0470308788601</v>
      </c>
      <c r="K90" s="9">
        <f t="shared" si="10"/>
        <v>618.21282660333009</v>
      </c>
      <c r="L90" s="10">
        <f t="shared" si="7"/>
        <v>0.40831811297465148</v>
      </c>
      <c r="M90" s="10">
        <f t="shared" si="11"/>
        <v>0.4105619147120686</v>
      </c>
      <c r="P90" s="8">
        <f t="shared" si="12"/>
        <v>92.978511483267752</v>
      </c>
      <c r="U90" s="8">
        <v>153.5</v>
      </c>
      <c r="V90" s="10">
        <f t="shared" si="13"/>
        <v>0.20520334945136862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1681.7716049383</v>
      </c>
      <c r="E91">
        <v>754.73409306742997</v>
      </c>
      <c r="F91">
        <v>156.80617577197</v>
      </c>
      <c r="G91">
        <v>122.57814726841001</v>
      </c>
      <c r="I91" s="9">
        <f t="shared" si="8"/>
        <v>632.15594579901995</v>
      </c>
      <c r="J91" s="9">
        <f t="shared" si="9"/>
        <v>1524.9654291663301</v>
      </c>
      <c r="K91" s="9">
        <f t="shared" si="10"/>
        <v>632.15594579901995</v>
      </c>
      <c r="L91" s="10">
        <f t="shared" si="7"/>
        <v>0.41453788637333749</v>
      </c>
      <c r="M91" s="10">
        <f t="shared" si="11"/>
        <v>0.41680718585777071</v>
      </c>
      <c r="P91" s="8">
        <f t="shared" si="12"/>
        <v>95.914008143624613</v>
      </c>
      <c r="U91" s="8">
        <v>154</v>
      </c>
      <c r="V91" s="10">
        <f t="shared" si="13"/>
        <v>0.20448040688737476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1696.3034188034001</v>
      </c>
      <c r="E92">
        <v>759.87654320987997</v>
      </c>
      <c r="F92">
        <v>156.49121140143001</v>
      </c>
      <c r="G92">
        <v>122.92589073633999</v>
      </c>
      <c r="I92" s="9">
        <f t="shared" si="8"/>
        <v>636.95065247354</v>
      </c>
      <c r="J92" s="9">
        <f t="shared" si="9"/>
        <v>1539.81220740197</v>
      </c>
      <c r="K92" s="9">
        <f t="shared" si="10"/>
        <v>636.95065247354</v>
      </c>
      <c r="L92" s="10">
        <f t="shared" si="7"/>
        <v>0.41365476219222047</v>
      </c>
      <c r="M92" s="10">
        <f t="shared" si="11"/>
        <v>0.41594955942366979</v>
      </c>
      <c r="P92" s="8">
        <f t="shared" si="12"/>
        <v>95.510893615143416</v>
      </c>
      <c r="U92" s="8">
        <v>154.5</v>
      </c>
      <c r="V92" s="10">
        <f t="shared" si="13"/>
        <v>0.20380386981144843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1690.2820512820999</v>
      </c>
      <c r="E93">
        <v>748.44966761632998</v>
      </c>
      <c r="F93">
        <v>156.78764845606</v>
      </c>
      <c r="G93">
        <v>122.87743467934</v>
      </c>
      <c r="I93" s="9">
        <f t="shared" si="8"/>
        <v>625.57223293698996</v>
      </c>
      <c r="J93" s="9">
        <f t="shared" si="9"/>
        <v>1533.49440282604</v>
      </c>
      <c r="K93" s="9">
        <f t="shared" si="10"/>
        <v>625.57223293698996</v>
      </c>
      <c r="L93" s="10">
        <f t="shared" si="7"/>
        <v>0.40793903895843242</v>
      </c>
      <c r="M93" s="10">
        <f t="shared" si="11"/>
        <v>0.41025933393689784</v>
      </c>
      <c r="P93" s="8">
        <f t="shared" si="12"/>
        <v>92.836287897729235</v>
      </c>
      <c r="U93" s="8">
        <v>155</v>
      </c>
      <c r="V93" s="10">
        <f t="shared" si="13"/>
        <v>0.20525537446699332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1660.8589743590001</v>
      </c>
      <c r="E94">
        <v>727.45821462488004</v>
      </c>
      <c r="F94">
        <v>156.72351543943</v>
      </c>
      <c r="G94">
        <v>123.00570071259</v>
      </c>
      <c r="I94" s="9">
        <f t="shared" si="8"/>
        <v>604.45251391228999</v>
      </c>
      <c r="J94" s="9">
        <f t="shared" si="9"/>
        <v>1504.1354589195701</v>
      </c>
      <c r="K94" s="9">
        <f t="shared" si="10"/>
        <v>604.45251391228999</v>
      </c>
      <c r="L94" s="10">
        <f t="shared" si="7"/>
        <v>0.40186042442378961</v>
      </c>
      <c r="M94" s="10">
        <f t="shared" si="11"/>
        <v>0.40420621714927113</v>
      </c>
      <c r="P94" s="8">
        <f t="shared" si="12"/>
        <v>89.991110530681468</v>
      </c>
      <c r="U94" s="8">
        <v>155.5</v>
      </c>
      <c r="V94" s="10">
        <f t="shared" si="13"/>
        <v>0.20464864284738077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1763.8723908918</v>
      </c>
      <c r="E95">
        <v>749.89563567361995</v>
      </c>
      <c r="F95">
        <v>157.09738717339999</v>
      </c>
      <c r="G95">
        <v>123.24418052257001</v>
      </c>
      <c r="I95" s="9">
        <f t="shared" si="8"/>
        <v>626.65145515104996</v>
      </c>
      <c r="J95" s="9">
        <f t="shared" si="9"/>
        <v>1606.7750037184001</v>
      </c>
      <c r="K95" s="9">
        <f t="shared" si="10"/>
        <v>626.65145515104996</v>
      </c>
      <c r="L95" s="10">
        <f t="shared" si="7"/>
        <v>0.39000572805828609</v>
      </c>
      <c r="M95" s="10">
        <f t="shared" si="11"/>
        <v>0.39237701853078372</v>
      </c>
      <c r="P95" s="8">
        <f t="shared" si="12"/>
        <v>84.430971950763336</v>
      </c>
      <c r="U95" s="8">
        <v>156</v>
      </c>
      <c r="V95" s="10">
        <f t="shared" si="13"/>
        <v>0.20457537570749226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1731.3989563567</v>
      </c>
      <c r="E96">
        <v>727.75189753321001</v>
      </c>
      <c r="F96">
        <v>156.92494061758001</v>
      </c>
      <c r="G96">
        <v>122.98432304038</v>
      </c>
      <c r="I96" s="9">
        <f t="shared" si="8"/>
        <v>604.76757449283002</v>
      </c>
      <c r="J96" s="9">
        <f t="shared" si="9"/>
        <v>1574.47401573912</v>
      </c>
      <c r="K96" s="9">
        <f t="shared" si="10"/>
        <v>604.76757449283002</v>
      </c>
      <c r="L96" s="10">
        <f t="shared" si="7"/>
        <v>0.38410768831197784</v>
      </c>
      <c r="M96" s="10">
        <f t="shared" si="11"/>
        <v>0.38650447653149156</v>
      </c>
      <c r="P96" s="8">
        <f t="shared" si="12"/>
        <v>81.670671072779683</v>
      </c>
      <c r="U96" s="8">
        <v>156.5</v>
      </c>
      <c r="V96" s="10">
        <f t="shared" si="13"/>
        <v>0.20603596576319003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1728.6442125236999</v>
      </c>
      <c r="E97">
        <v>712.77371916509003</v>
      </c>
      <c r="F97">
        <v>157.25225653206999</v>
      </c>
      <c r="G97">
        <v>122.76057007126001</v>
      </c>
      <c r="I97" s="9">
        <f t="shared" si="8"/>
        <v>590.01314909383007</v>
      </c>
      <c r="J97" s="9">
        <f t="shared" si="9"/>
        <v>1571.3919559916299</v>
      </c>
      <c r="K97" s="9">
        <f t="shared" si="10"/>
        <v>590.01314909383007</v>
      </c>
      <c r="L97" s="10">
        <f t="shared" si="7"/>
        <v>0.37547166182450076</v>
      </c>
      <c r="M97" s="10">
        <f t="shared" si="11"/>
        <v>0.37789394779103058</v>
      </c>
      <c r="P97" s="8">
        <f t="shared" si="12"/>
        <v>77.62342031747427</v>
      </c>
      <c r="U97" s="8">
        <v>157</v>
      </c>
      <c r="V97" s="10">
        <f t="shared" si="13"/>
        <v>0.20616484279709174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1700.4501897533</v>
      </c>
      <c r="E98">
        <v>689.40607210626001</v>
      </c>
      <c r="F98">
        <v>157.26175771972001</v>
      </c>
      <c r="G98">
        <v>122.8674584323</v>
      </c>
      <c r="I98" s="9">
        <f t="shared" si="8"/>
        <v>566.53861367396007</v>
      </c>
      <c r="J98" s="9">
        <f t="shared" si="9"/>
        <v>1543.1884320335801</v>
      </c>
      <c r="K98" s="9">
        <f t="shared" si="10"/>
        <v>566.53861367396007</v>
      </c>
      <c r="L98" s="10">
        <f t="shared" si="7"/>
        <v>0.36712212320525744</v>
      </c>
      <c r="M98" s="10">
        <f t="shared" si="11"/>
        <v>0.36956990691880337</v>
      </c>
      <c r="P98" s="8">
        <f t="shared" si="12"/>
        <v>73.710828916552799</v>
      </c>
      <c r="U98" s="8">
        <v>157.5</v>
      </c>
      <c r="V98" s="10">
        <f t="shared" si="13"/>
        <v>0.20616477621055121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1706.3187855788001</v>
      </c>
      <c r="E99">
        <v>683.84108159392997</v>
      </c>
      <c r="F99">
        <v>157.67553444180999</v>
      </c>
      <c r="G99">
        <v>122.78764845606</v>
      </c>
      <c r="I99" s="9">
        <f t="shared" si="8"/>
        <v>561.05343313787</v>
      </c>
      <c r="J99" s="9">
        <f t="shared" si="9"/>
        <v>1548.6432511369901</v>
      </c>
      <c r="K99" s="9">
        <f t="shared" si="10"/>
        <v>561.05343313787</v>
      </c>
      <c r="L99" s="10">
        <f t="shared" si="7"/>
        <v>0.3622870746545101</v>
      </c>
      <c r="M99" s="10">
        <f t="shared" si="11"/>
        <v>0.36476035611507213</v>
      </c>
      <c r="P99" s="8">
        <f t="shared" si="12"/>
        <v>71.450171213662543</v>
      </c>
      <c r="U99" s="8">
        <v>158</v>
      </c>
      <c r="V99" s="10">
        <f t="shared" si="13"/>
        <v>0.20699076474614686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1692.2144212523999</v>
      </c>
      <c r="E100">
        <v>667.89705882352996</v>
      </c>
      <c r="F100">
        <v>157.30926365796</v>
      </c>
      <c r="G100">
        <v>122.98242280285</v>
      </c>
      <c r="I100" s="9">
        <f t="shared" si="8"/>
        <v>544.91463602067995</v>
      </c>
      <c r="J100" s="9">
        <f t="shared" si="9"/>
        <v>1534.90515759444</v>
      </c>
      <c r="K100" s="9">
        <f t="shared" si="10"/>
        <v>544.91463602067995</v>
      </c>
      <c r="L100" s="10">
        <f t="shared" si="7"/>
        <v>0.35501518339718807</v>
      </c>
      <c r="M100" s="10">
        <f t="shared" si="11"/>
        <v>0.3575139626047662</v>
      </c>
      <c r="P100" s="8">
        <f t="shared" si="12"/>
        <v>68.044111900485476</v>
      </c>
      <c r="U100" s="8">
        <v>158.5</v>
      </c>
      <c r="V100" s="10">
        <f t="shared" si="13"/>
        <v>0.20650455135934473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1703.7988614801</v>
      </c>
      <c r="E101">
        <v>661.71584440228003</v>
      </c>
      <c r="F101">
        <v>157.29501187649001</v>
      </c>
      <c r="G101">
        <v>123.02137767220999</v>
      </c>
      <c r="I101" s="9">
        <f t="shared" si="8"/>
        <v>538.69446673007008</v>
      </c>
      <c r="J101" s="9">
        <f t="shared" si="9"/>
        <v>1546.50384960361</v>
      </c>
      <c r="K101" s="9">
        <f t="shared" si="10"/>
        <v>538.69446673007008</v>
      </c>
      <c r="L101" s="10">
        <f t="shared" si="7"/>
        <v>0.3483305048792118</v>
      </c>
      <c r="M101" s="10">
        <f t="shared" si="11"/>
        <v>0.35085478183380603</v>
      </c>
      <c r="P101" s="8">
        <f t="shared" si="12"/>
        <v>64.914063187177206</v>
      </c>
      <c r="U101" s="8">
        <v>159</v>
      </c>
      <c r="V101" s="10">
        <f t="shared" si="13"/>
        <v>0.2075088091404528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1665.2329222011001</v>
      </c>
      <c r="E102">
        <v>644.12571157494995</v>
      </c>
      <c r="F102">
        <v>156.87363420427999</v>
      </c>
      <c r="G102">
        <v>123.04133016627</v>
      </c>
      <c r="I102" s="9">
        <f t="shared" si="8"/>
        <v>521.08438140867997</v>
      </c>
      <c r="J102" s="9">
        <f t="shared" si="9"/>
        <v>1508.3592879968201</v>
      </c>
      <c r="K102" s="9">
        <f t="shared" si="10"/>
        <v>521.08438140867997</v>
      </c>
      <c r="L102" s="10">
        <f t="shared" si="7"/>
        <v>0.34546436353417315</v>
      </c>
      <c r="M102" s="10">
        <f t="shared" si="11"/>
        <v>0.34801413823578348</v>
      </c>
      <c r="P102" s="8">
        <f t="shared" si="12"/>
        <v>63.578860983667141</v>
      </c>
      <c r="U102" s="8">
        <v>159.5</v>
      </c>
      <c r="V102" s="10">
        <f t="shared" si="13"/>
        <v>0.20727968113462453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1677.4947817837001</v>
      </c>
      <c r="E103">
        <v>648.76850094877</v>
      </c>
      <c r="F103">
        <v>157.15106888361001</v>
      </c>
      <c r="G103">
        <v>123.15819477434999</v>
      </c>
      <c r="I103" s="9">
        <f t="shared" si="8"/>
        <v>525.61030617441997</v>
      </c>
      <c r="J103" s="9">
        <f t="shared" si="9"/>
        <v>1520.3437129000902</v>
      </c>
      <c r="K103" s="9">
        <f t="shared" si="10"/>
        <v>525.61030617441997</v>
      </c>
      <c r="L103" s="10">
        <f t="shared" si="7"/>
        <v>0.3457180779021386</v>
      </c>
      <c r="M103" s="10">
        <f t="shared" si="11"/>
        <v>0.34829335035076503</v>
      </c>
      <c r="P103" s="8">
        <f t="shared" si="12"/>
        <v>63.710100478628625</v>
      </c>
      <c r="U103" s="8">
        <v>160</v>
      </c>
      <c r="V103" s="10">
        <f t="shared" si="13"/>
        <v>0.20774375004086601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1675.2229601518</v>
      </c>
      <c r="E104">
        <v>640.50806451613005</v>
      </c>
      <c r="F104">
        <v>157.09691211401</v>
      </c>
      <c r="G104">
        <v>123.27173396675001</v>
      </c>
      <c r="I104" s="9">
        <f t="shared" si="8"/>
        <v>517.23633054938</v>
      </c>
      <c r="J104" s="9">
        <f t="shared" si="9"/>
        <v>1518.12604803779</v>
      </c>
      <c r="K104" s="9">
        <f t="shared" si="10"/>
        <v>517.23633054938</v>
      </c>
      <c r="L104" s="10">
        <f t="shared" si="7"/>
        <v>0.3407071048006316</v>
      </c>
      <c r="M104" s="10">
        <f t="shared" si="11"/>
        <v>0.34330787499627413</v>
      </c>
      <c r="P104" s="8">
        <f t="shared" si="12"/>
        <v>61.366752061567368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1678.6238140418</v>
      </c>
      <c r="E105">
        <v>639.88614800759001</v>
      </c>
      <c r="F105">
        <v>157.23372921615001</v>
      </c>
      <c r="G105">
        <v>123.01140142518</v>
      </c>
      <c r="I105" s="9">
        <f t="shared" si="8"/>
        <v>516.87474658241001</v>
      </c>
      <c r="J105" s="9">
        <f t="shared" si="9"/>
        <v>1521.3900848256499</v>
      </c>
      <c r="K105" s="9">
        <f t="shared" si="10"/>
        <v>516.87474658241001</v>
      </c>
      <c r="L105" s="10">
        <f t="shared" si="7"/>
        <v>0.33973847452913003</v>
      </c>
      <c r="M105" s="10">
        <f t="shared" si="11"/>
        <v>0.34236474247178866</v>
      </c>
      <c r="P105" s="8">
        <f t="shared" si="12"/>
        <v>60.923446669165571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1669.5450664136999</v>
      </c>
      <c r="E106">
        <v>628.24288425046996</v>
      </c>
      <c r="F106">
        <v>157.11021377672</v>
      </c>
      <c r="G106">
        <v>123.10118764846</v>
      </c>
      <c r="I106" s="9">
        <f t="shared" si="8"/>
        <v>505.14169660200997</v>
      </c>
      <c r="J106" s="9">
        <f t="shared" si="9"/>
        <v>1512.4348526369799</v>
      </c>
      <c r="K106" s="9">
        <f t="shared" si="10"/>
        <v>505.14169660200997</v>
      </c>
      <c r="L106" s="10">
        <f t="shared" si="7"/>
        <v>0.33399236715636299</v>
      </c>
      <c r="M106" s="10">
        <f t="shared" si="11"/>
        <v>0.33664413284603772</v>
      </c>
      <c r="P106" s="8">
        <f t="shared" si="12"/>
        <v>58.23455933988545</v>
      </c>
      <c r="X106" s="8">
        <v>-13</v>
      </c>
    </row>
    <row r="107" spans="1:25" x14ac:dyDescent="0.2">
      <c r="A107" s="8">
        <v>52.5</v>
      </c>
      <c r="B107" s="8">
        <v>105</v>
      </c>
      <c r="D107">
        <v>1626.4259962049</v>
      </c>
      <c r="E107">
        <v>608.63804554080002</v>
      </c>
      <c r="F107">
        <v>157.16247030879001</v>
      </c>
      <c r="G107">
        <v>123.21852731590999</v>
      </c>
      <c r="I107" s="9">
        <f t="shared" si="8"/>
        <v>485.41951822489</v>
      </c>
      <c r="J107" s="9">
        <f t="shared" si="9"/>
        <v>1469.26352589611</v>
      </c>
      <c r="K107" s="9">
        <f t="shared" si="10"/>
        <v>485.41951822489</v>
      </c>
      <c r="L107" s="10">
        <f t="shared" si="7"/>
        <v>0.33038288208293376</v>
      </c>
      <c r="M107" s="10">
        <f t="shared" si="11"/>
        <v>0.3330601455196246</v>
      </c>
      <c r="P107" s="8">
        <f t="shared" si="12"/>
        <v>56.549959491136327</v>
      </c>
      <c r="X107" s="8">
        <v>-13</v>
      </c>
    </row>
    <row r="108" spans="1:25" x14ac:dyDescent="0.2">
      <c r="A108" s="8">
        <v>53</v>
      </c>
      <c r="B108" s="8">
        <v>106</v>
      </c>
      <c r="D108">
        <v>1665.9663187855999</v>
      </c>
      <c r="E108">
        <v>616.87713472485996</v>
      </c>
      <c r="F108">
        <v>157.2541567696</v>
      </c>
      <c r="G108">
        <v>123.31923990499</v>
      </c>
      <c r="I108" s="9">
        <f t="shared" si="8"/>
        <v>493.55789481986994</v>
      </c>
      <c r="J108" s="9">
        <f t="shared" si="9"/>
        <v>1508.7121620159999</v>
      </c>
      <c r="K108" s="9">
        <f t="shared" si="10"/>
        <v>493.55789481986994</v>
      </c>
      <c r="L108" s="10">
        <f t="shared" si="7"/>
        <v>0.32713854056850628</v>
      </c>
      <c r="M108" s="10">
        <f t="shared" si="11"/>
        <v>0.32984130175221321</v>
      </c>
      <c r="P108" s="8">
        <f t="shared" si="12"/>
        <v>55.036989932408808</v>
      </c>
      <c r="X108" s="8">
        <v>-13</v>
      </c>
    </row>
    <row r="109" spans="1:25" x14ac:dyDescent="0.2">
      <c r="A109" s="8">
        <v>53.5</v>
      </c>
      <c r="B109" s="8">
        <v>107</v>
      </c>
      <c r="D109">
        <v>1673.2457305503001</v>
      </c>
      <c r="E109">
        <v>614.08965844401996</v>
      </c>
      <c r="F109">
        <v>157.02185273159</v>
      </c>
      <c r="G109">
        <v>122.88123515439</v>
      </c>
      <c r="I109" s="9">
        <f t="shared" si="8"/>
        <v>491.20842328962999</v>
      </c>
      <c r="J109" s="9">
        <f t="shared" si="9"/>
        <v>1516.2238778187102</v>
      </c>
      <c r="K109" s="9">
        <f t="shared" si="10"/>
        <v>491.20842328962999</v>
      </c>
      <c r="L109" s="10">
        <f t="shared" si="7"/>
        <v>0.32396826779716636</v>
      </c>
      <c r="M109" s="10">
        <f t="shared" si="11"/>
        <v>0.3266965267278894</v>
      </c>
      <c r="P109" s="8">
        <f t="shared" si="12"/>
        <v>53.558835282897846</v>
      </c>
      <c r="X109" s="8">
        <v>-13</v>
      </c>
    </row>
    <row r="110" spans="1:25" x14ac:dyDescent="0.2">
      <c r="A110" s="8">
        <v>54</v>
      </c>
      <c r="B110" s="8">
        <v>108</v>
      </c>
      <c r="D110">
        <v>1651.6916508539</v>
      </c>
      <c r="E110">
        <v>602.71157495256</v>
      </c>
      <c r="F110">
        <v>157.56532066508001</v>
      </c>
      <c r="G110">
        <v>123.11876484561</v>
      </c>
      <c r="I110" s="9">
        <f t="shared" si="8"/>
        <v>479.59281010694997</v>
      </c>
      <c r="J110" s="9">
        <f t="shared" si="9"/>
        <v>1494.12633018882</v>
      </c>
      <c r="K110" s="9">
        <f t="shared" si="10"/>
        <v>479.59281010694997</v>
      </c>
      <c r="L110" s="10">
        <f t="shared" si="7"/>
        <v>0.32098544843014815</v>
      </c>
      <c r="M110" s="10">
        <f t="shared" si="11"/>
        <v>0.32373920510788728</v>
      </c>
      <c r="P110" s="8">
        <f t="shared" si="12"/>
        <v>52.168790313418569</v>
      </c>
      <c r="X110" s="8">
        <v>-13</v>
      </c>
    </row>
    <row r="111" spans="1:25" x14ac:dyDescent="0.2">
      <c r="A111" s="8">
        <v>54.5</v>
      </c>
      <c r="B111" s="8">
        <v>109</v>
      </c>
      <c r="D111">
        <v>1651.9625237191999</v>
      </c>
      <c r="E111">
        <v>597.15986717268004</v>
      </c>
      <c r="F111">
        <v>157.40142517814999</v>
      </c>
      <c r="G111">
        <v>123.08171021378</v>
      </c>
      <c r="I111" s="9">
        <f t="shared" si="8"/>
        <v>474.07815695890002</v>
      </c>
      <c r="J111" s="9">
        <f t="shared" si="9"/>
        <v>1494.5610985410499</v>
      </c>
      <c r="K111" s="9">
        <f t="shared" si="10"/>
        <v>474.07815695890002</v>
      </c>
      <c r="L111" s="10">
        <f t="shared" si="7"/>
        <v>0.31720225919280404</v>
      </c>
      <c r="M111" s="10">
        <f t="shared" si="11"/>
        <v>0.31998151361755928</v>
      </c>
      <c r="P111" s="8">
        <f t="shared" si="12"/>
        <v>50.402543410255618</v>
      </c>
      <c r="X111" s="8">
        <v>-13</v>
      </c>
    </row>
    <row r="112" spans="1:25" x14ac:dyDescent="0.2">
      <c r="A112" s="8">
        <v>55</v>
      </c>
      <c r="B112" s="8">
        <v>110</v>
      </c>
      <c r="D112">
        <v>1637.0815939279</v>
      </c>
      <c r="E112">
        <v>582.88045540796998</v>
      </c>
      <c r="F112">
        <v>157.71211401425001</v>
      </c>
      <c r="G112">
        <v>122.96247030879</v>
      </c>
      <c r="I112" s="9">
        <f t="shared" si="8"/>
        <v>459.91798509917999</v>
      </c>
      <c r="J112" s="9">
        <f t="shared" si="9"/>
        <v>1479.3694799136501</v>
      </c>
      <c r="K112" s="9">
        <f t="shared" si="10"/>
        <v>459.91798509917999</v>
      </c>
      <c r="L112" s="10">
        <f t="shared" si="7"/>
        <v>0.3108878419784793</v>
      </c>
      <c r="M112" s="10">
        <f t="shared" si="11"/>
        <v>0.31369259415025064</v>
      </c>
      <c r="P112" s="8">
        <f t="shared" si="12"/>
        <v>47.446530506597725</v>
      </c>
      <c r="X112" s="8">
        <v>-13</v>
      </c>
    </row>
    <row r="113" spans="1:24" x14ac:dyDescent="0.2">
      <c r="A113" s="8">
        <v>55.5</v>
      </c>
      <c r="B113" s="8">
        <v>111</v>
      </c>
      <c r="D113">
        <v>1628.021256495</v>
      </c>
      <c r="E113">
        <v>578.94237128011002</v>
      </c>
      <c r="F113">
        <v>157.48741092636999</v>
      </c>
      <c r="G113">
        <v>123.11306413302</v>
      </c>
      <c r="I113" s="9">
        <f t="shared" si="8"/>
        <v>455.82930714709005</v>
      </c>
      <c r="J113" s="9">
        <f t="shared" si="9"/>
        <v>1470.5338455686301</v>
      </c>
      <c r="K113" s="9">
        <f t="shared" si="10"/>
        <v>455.82930714709005</v>
      </c>
      <c r="L113" s="10">
        <f t="shared" si="7"/>
        <v>0.30997539330407503</v>
      </c>
      <c r="M113" s="10">
        <f t="shared" si="11"/>
        <v>0.31280564322286247</v>
      </c>
      <c r="P113" s="8">
        <f t="shared" si="12"/>
        <v>47.02963243692141</v>
      </c>
      <c r="X113" s="8">
        <v>-13</v>
      </c>
    </row>
    <row r="114" spans="1:24" x14ac:dyDescent="0.2">
      <c r="A114" s="8">
        <v>56</v>
      </c>
      <c r="B114" s="8">
        <v>112</v>
      </c>
      <c r="D114">
        <v>1630.2631081719001</v>
      </c>
      <c r="E114">
        <v>574.49834671705003</v>
      </c>
      <c r="F114">
        <v>157.22327790974001</v>
      </c>
      <c r="G114">
        <v>122.97482185273</v>
      </c>
      <c r="I114" s="9">
        <f t="shared" si="8"/>
        <v>451.52352486432005</v>
      </c>
      <c r="J114" s="9">
        <f t="shared" si="9"/>
        <v>1473.03983026216</v>
      </c>
      <c r="K114" s="9">
        <f t="shared" si="10"/>
        <v>451.52352486432005</v>
      </c>
      <c r="L114" s="10">
        <f t="shared" si="7"/>
        <v>0.30652499381769022</v>
      </c>
      <c r="M114" s="10">
        <f t="shared" si="11"/>
        <v>0.30938074148349382</v>
      </c>
      <c r="P114" s="8">
        <f t="shared" si="12"/>
        <v>45.419808398314863</v>
      </c>
      <c r="X114" s="8">
        <v>-13</v>
      </c>
    </row>
    <row r="115" spans="1:24" x14ac:dyDescent="0.2">
      <c r="A115" s="8">
        <v>56.5</v>
      </c>
      <c r="B115" s="8">
        <v>113</v>
      </c>
      <c r="D115">
        <v>1601.9111950874001</v>
      </c>
      <c r="E115">
        <v>563.31554085971004</v>
      </c>
      <c r="F115">
        <v>157.55914489310999</v>
      </c>
      <c r="G115">
        <v>123.36104513063999</v>
      </c>
      <c r="I115" s="9">
        <f t="shared" si="8"/>
        <v>439.95449572907006</v>
      </c>
      <c r="J115" s="9">
        <f t="shared" si="9"/>
        <v>1444.3520501942901</v>
      </c>
      <c r="K115" s="9">
        <f t="shared" si="10"/>
        <v>439.95449572907006</v>
      </c>
      <c r="L115" s="10">
        <f t="shared" si="7"/>
        <v>0.30460336568905666</v>
      </c>
      <c r="M115" s="10">
        <f t="shared" si="11"/>
        <v>0.30748461110187636</v>
      </c>
      <c r="P115" s="8">
        <f t="shared" si="12"/>
        <v>44.528560560873935</v>
      </c>
      <c r="X115" s="8">
        <v>-13</v>
      </c>
    </row>
    <row r="116" spans="1:24" x14ac:dyDescent="0.2">
      <c r="A116" s="8">
        <v>57</v>
      </c>
      <c r="B116" s="8">
        <v>114</v>
      </c>
      <c r="D116">
        <v>1615.012753897</v>
      </c>
      <c r="E116">
        <v>561.91025035428004</v>
      </c>
      <c r="F116">
        <v>157.40285035630001</v>
      </c>
      <c r="G116">
        <v>122.95106888361001</v>
      </c>
      <c r="I116" s="9">
        <f t="shared" si="8"/>
        <v>438.95918147067005</v>
      </c>
      <c r="J116" s="9">
        <f t="shared" si="9"/>
        <v>1457.6099035407001</v>
      </c>
      <c r="K116" s="9">
        <f t="shared" si="10"/>
        <v>438.95918147067005</v>
      </c>
      <c r="L116" s="10">
        <f t="shared" si="7"/>
        <v>0.30114997188506221</v>
      </c>
      <c r="M116" s="10">
        <f t="shared" si="11"/>
        <v>0.30405671504489801</v>
      </c>
      <c r="P116" s="8">
        <f t="shared" si="12"/>
        <v>42.91732908788412</v>
      </c>
      <c r="X116" s="8">
        <v>-13</v>
      </c>
    </row>
    <row r="117" spans="1:24" x14ac:dyDescent="0.2">
      <c r="A117" s="8">
        <v>57.5</v>
      </c>
      <c r="B117" s="8">
        <v>115</v>
      </c>
      <c r="D117">
        <v>1629.3358526216</v>
      </c>
      <c r="E117">
        <v>559.84459140292995</v>
      </c>
      <c r="F117">
        <v>157.75914489311</v>
      </c>
      <c r="G117">
        <v>123.02897862233</v>
      </c>
      <c r="I117" s="9">
        <f t="shared" si="8"/>
        <v>436.81561278059996</v>
      </c>
      <c r="J117" s="9">
        <f t="shared" si="9"/>
        <v>1471.57670772849</v>
      </c>
      <c r="K117" s="9">
        <f t="shared" si="10"/>
        <v>436.81561278059996</v>
      </c>
      <c r="L117" s="10">
        <f t="shared" si="7"/>
        <v>0.2968350956402836</v>
      </c>
      <c r="M117" s="10">
        <f t="shared" si="11"/>
        <v>0.2997673365471355</v>
      </c>
      <c r="P117" s="8">
        <f t="shared" si="12"/>
        <v>40.901170627918205</v>
      </c>
      <c r="X117" s="8">
        <v>-13</v>
      </c>
    </row>
    <row r="118" spans="1:24" x14ac:dyDescent="0.2">
      <c r="A118" s="8">
        <v>58</v>
      </c>
      <c r="B118" s="8">
        <v>116</v>
      </c>
      <c r="D118">
        <v>1614.885199241</v>
      </c>
      <c r="E118">
        <v>553.30218216318997</v>
      </c>
      <c r="F118">
        <v>157.48551068884001</v>
      </c>
      <c r="G118">
        <v>123.27790973872</v>
      </c>
      <c r="I118" s="9">
        <f t="shared" si="8"/>
        <v>430.02427242446998</v>
      </c>
      <c r="J118" s="9">
        <f t="shared" si="9"/>
        <v>1457.3996885521601</v>
      </c>
      <c r="K118" s="9">
        <f t="shared" si="10"/>
        <v>430.02427242446998</v>
      </c>
      <c r="L118" s="10">
        <f t="shared" si="7"/>
        <v>0.29506268994175067</v>
      </c>
      <c r="M118" s="10">
        <f t="shared" si="11"/>
        <v>0.29802042859561867</v>
      </c>
      <c r="P118" s="8">
        <f t="shared" si="12"/>
        <v>40.080062570639129</v>
      </c>
      <c r="X118" s="8">
        <v>-13</v>
      </c>
    </row>
    <row r="119" spans="1:24" x14ac:dyDescent="0.2">
      <c r="A119" s="8">
        <v>58.5</v>
      </c>
      <c r="B119" s="8">
        <v>117</v>
      </c>
      <c r="D119">
        <v>1610.6019924099</v>
      </c>
      <c r="E119">
        <v>549.17741935484003</v>
      </c>
      <c r="F119">
        <v>157.54489311163999</v>
      </c>
      <c r="G119">
        <v>122.94299287411</v>
      </c>
      <c r="I119" s="9">
        <f t="shared" si="8"/>
        <v>426.23442648073001</v>
      </c>
      <c r="J119" s="9">
        <f t="shared" si="9"/>
        <v>1453.05709929826</v>
      </c>
      <c r="K119" s="9">
        <f t="shared" si="10"/>
        <v>426.23442648073001</v>
      </c>
      <c r="L119" s="10">
        <f t="shared" si="7"/>
        <v>0.29333632290608253</v>
      </c>
      <c r="M119" s="10">
        <f t="shared" si="11"/>
        <v>0.29631955930696663</v>
      </c>
      <c r="P119" s="8">
        <f t="shared" si="12"/>
        <v>39.280594300958377</v>
      </c>
      <c r="X119" s="8">
        <v>-13</v>
      </c>
    </row>
    <row r="120" spans="1:24" x14ac:dyDescent="0.2">
      <c r="A120" s="8">
        <v>59</v>
      </c>
      <c r="B120" s="8">
        <v>118</v>
      </c>
      <c r="D120">
        <v>1570.5858633775999</v>
      </c>
      <c r="E120">
        <v>536.52609108159004</v>
      </c>
      <c r="F120">
        <v>157.84893111638999</v>
      </c>
      <c r="G120">
        <v>122.84798099763</v>
      </c>
      <c r="I120" s="9">
        <f t="shared" si="8"/>
        <v>413.67811008396006</v>
      </c>
      <c r="J120" s="9">
        <f t="shared" si="9"/>
        <v>1412.7369322612099</v>
      </c>
      <c r="K120" s="9">
        <f t="shared" si="10"/>
        <v>413.67811008396006</v>
      </c>
      <c r="L120" s="10">
        <f t="shared" si="7"/>
        <v>0.29282034088386988</v>
      </c>
      <c r="M120" s="10">
        <f t="shared" si="11"/>
        <v>0.29582907503177008</v>
      </c>
      <c r="P120" s="8">
        <f t="shared" si="12"/>
        <v>39.050049474607981</v>
      </c>
      <c r="X120" s="8">
        <v>-13</v>
      </c>
    </row>
    <row r="121" spans="1:24" x14ac:dyDescent="0.2">
      <c r="A121" s="8">
        <v>59.5</v>
      </c>
      <c r="B121" s="8">
        <v>119</v>
      </c>
      <c r="D121">
        <v>1476.885199241</v>
      </c>
      <c r="E121">
        <v>507.04838709677</v>
      </c>
      <c r="F121">
        <v>157.43515439430001</v>
      </c>
      <c r="G121">
        <v>123.10783847981</v>
      </c>
      <c r="I121" s="9">
        <f t="shared" si="8"/>
        <v>383.94054861695997</v>
      </c>
      <c r="J121" s="9">
        <f t="shared" si="9"/>
        <v>1319.4500448466999</v>
      </c>
      <c r="K121" s="9">
        <f t="shared" si="10"/>
        <v>383.94054861695997</v>
      </c>
      <c r="L121" s="10">
        <f t="shared" si="7"/>
        <v>0.2909852859655388</v>
      </c>
      <c r="M121" s="10">
        <f t="shared" si="11"/>
        <v>0.2940195178604551</v>
      </c>
      <c r="P121" s="8">
        <f t="shared" si="12"/>
        <v>38.199494084907165</v>
      </c>
      <c r="X121" s="8">
        <v>-13</v>
      </c>
    </row>
    <row r="122" spans="1:24" x14ac:dyDescent="0.2">
      <c r="A122" s="8">
        <v>60</v>
      </c>
      <c r="B122" s="8">
        <v>120</v>
      </c>
      <c r="D122">
        <v>1472.2504743832999</v>
      </c>
      <c r="E122">
        <v>501.60721062619001</v>
      </c>
      <c r="F122">
        <v>157.22755344417999</v>
      </c>
      <c r="G122">
        <v>123.05700712589</v>
      </c>
      <c r="I122" s="9">
        <f t="shared" si="8"/>
        <v>378.55020350030003</v>
      </c>
      <c r="J122" s="9">
        <f t="shared" si="9"/>
        <v>1315.02292093912</v>
      </c>
      <c r="K122" s="9">
        <f t="shared" si="10"/>
        <v>378.55020350030003</v>
      </c>
      <c r="L122" s="10">
        <f t="shared" si="7"/>
        <v>0.28786585957753452</v>
      </c>
      <c r="M122" s="10">
        <f t="shared" si="11"/>
        <v>0.29092558921946693</v>
      </c>
      <c r="P122" s="8">
        <f t="shared" si="12"/>
        <v>36.745239020376708</v>
      </c>
      <c r="X122" s="8">
        <v>-13</v>
      </c>
    </row>
    <row r="123" spans="1:24" x14ac:dyDescent="0.2">
      <c r="A123" s="8">
        <v>60.5</v>
      </c>
      <c r="B123" s="8">
        <v>121</v>
      </c>
      <c r="D123">
        <v>1469.6176470588</v>
      </c>
      <c r="E123">
        <v>498.28889943074</v>
      </c>
      <c r="F123">
        <v>157.33301662708001</v>
      </c>
      <c r="G123">
        <v>122.83467933492</v>
      </c>
      <c r="I123" s="9">
        <f t="shared" si="8"/>
        <v>375.45422009582001</v>
      </c>
      <c r="J123" s="9">
        <f t="shared" si="9"/>
        <v>1312.28463043172</v>
      </c>
      <c r="K123" s="9">
        <f t="shared" si="10"/>
        <v>375.45422009582001</v>
      </c>
      <c r="L123" s="10">
        <f t="shared" si="7"/>
        <v>0.28610730583067318</v>
      </c>
      <c r="M123" s="10">
        <f t="shared" si="11"/>
        <v>0.28919253321962168</v>
      </c>
      <c r="P123" s="8">
        <f t="shared" si="12"/>
        <v>35.930641866615311</v>
      </c>
      <c r="X123" s="8">
        <v>-13</v>
      </c>
    </row>
    <row r="124" spans="1:24" x14ac:dyDescent="0.2">
      <c r="A124" s="8">
        <v>61</v>
      </c>
      <c r="B124" s="8">
        <v>122</v>
      </c>
      <c r="D124">
        <v>1479.2993358634001</v>
      </c>
      <c r="E124">
        <v>496.62855787476002</v>
      </c>
      <c r="F124">
        <v>157.71638954868999</v>
      </c>
      <c r="G124">
        <v>122.65795724466</v>
      </c>
      <c r="I124" s="9">
        <f t="shared" si="8"/>
        <v>373.97060063010002</v>
      </c>
      <c r="J124" s="9">
        <f t="shared" si="9"/>
        <v>1321.5829463147102</v>
      </c>
      <c r="K124" s="9">
        <f t="shared" si="10"/>
        <v>373.97060063010002</v>
      </c>
      <c r="L124" s="10">
        <f t="shared" si="7"/>
        <v>0.28297172089949618</v>
      </c>
      <c r="M124" s="10">
        <f t="shared" si="11"/>
        <v>0.28608244603546079</v>
      </c>
      <c r="P124" s="8">
        <f t="shared" si="12"/>
        <v>34.468791719595536</v>
      </c>
      <c r="X124" s="8">
        <v>-13</v>
      </c>
    </row>
    <row r="125" spans="1:24" x14ac:dyDescent="0.2">
      <c r="A125" s="8">
        <v>61.5</v>
      </c>
      <c r="B125" s="8">
        <v>123</v>
      </c>
      <c r="D125">
        <v>1472.8315939279</v>
      </c>
      <c r="E125">
        <v>493.06404174572998</v>
      </c>
      <c r="F125">
        <v>157.40617577197</v>
      </c>
      <c r="G125">
        <v>122.65843230404001</v>
      </c>
      <c r="I125" s="9">
        <f t="shared" si="8"/>
        <v>370.40560944168999</v>
      </c>
      <c r="J125" s="9">
        <f t="shared" si="9"/>
        <v>1315.4254181559299</v>
      </c>
      <c r="K125" s="9">
        <f t="shared" si="10"/>
        <v>370.40560944168999</v>
      </c>
      <c r="L125" s="10">
        <f t="shared" si="7"/>
        <v>0.28158617305795614</v>
      </c>
      <c r="M125" s="10">
        <f t="shared" si="11"/>
        <v>0.28472239594093685</v>
      </c>
      <c r="P125" s="8">
        <f t="shared" si="12"/>
        <v>33.82952043461048</v>
      </c>
      <c r="X125" s="8">
        <v>-13</v>
      </c>
    </row>
    <row r="126" spans="1:24" x14ac:dyDescent="0.2">
      <c r="A126" s="8">
        <v>62</v>
      </c>
      <c r="B126" s="8">
        <v>124</v>
      </c>
      <c r="D126">
        <v>1468.0730550285</v>
      </c>
      <c r="E126">
        <v>487.52703984819999</v>
      </c>
      <c r="F126">
        <v>157.30261282660001</v>
      </c>
      <c r="G126">
        <v>122.77672209025999</v>
      </c>
      <c r="I126" s="9">
        <f t="shared" si="8"/>
        <v>364.75031775794002</v>
      </c>
      <c r="J126" s="9">
        <f t="shared" si="9"/>
        <v>1310.7704422019001</v>
      </c>
      <c r="K126" s="9">
        <f t="shared" si="10"/>
        <v>364.75031775794002</v>
      </c>
      <c r="L126" s="10">
        <f t="shared" si="7"/>
        <v>0.27827169885309094</v>
      </c>
      <c r="M126" s="10">
        <f t="shared" si="11"/>
        <v>0.28143341948308775</v>
      </c>
      <c r="P126" s="8">
        <f t="shared" si="12"/>
        <v>32.283586049575398</v>
      </c>
      <c r="X126" s="8">
        <v>-13</v>
      </c>
    </row>
    <row r="127" spans="1:24" x14ac:dyDescent="0.2">
      <c r="A127" s="8">
        <v>62.5</v>
      </c>
      <c r="B127" s="8">
        <v>125</v>
      </c>
      <c r="D127">
        <v>1464.8586337761001</v>
      </c>
      <c r="E127">
        <v>484.65844402277003</v>
      </c>
      <c r="F127">
        <v>157.55011876485</v>
      </c>
      <c r="G127">
        <v>122.99762470309</v>
      </c>
      <c r="I127" s="9">
        <f t="shared" si="8"/>
        <v>361.66081931968006</v>
      </c>
      <c r="J127" s="9">
        <f t="shared" si="9"/>
        <v>1307.3085150112502</v>
      </c>
      <c r="K127" s="9">
        <f t="shared" si="10"/>
        <v>361.66081931968006</v>
      </c>
      <c r="L127" s="10">
        <f t="shared" si="7"/>
        <v>0.27664534818437081</v>
      </c>
      <c r="M127" s="10">
        <f t="shared" si="11"/>
        <v>0.27983256656138372</v>
      </c>
      <c r="P127" s="8">
        <f t="shared" si="12"/>
        <v>31.531128983140626</v>
      </c>
      <c r="X127" s="8">
        <v>-13</v>
      </c>
    </row>
    <row r="128" spans="1:24" x14ac:dyDescent="0.2">
      <c r="A128" s="8">
        <v>63</v>
      </c>
      <c r="B128" s="8">
        <v>126</v>
      </c>
      <c r="D128">
        <v>1463.344402277</v>
      </c>
      <c r="E128">
        <v>477.84962049336002</v>
      </c>
      <c r="F128">
        <v>157.11686460807999</v>
      </c>
      <c r="G128">
        <v>122.59572446556</v>
      </c>
      <c r="I128" s="9">
        <f t="shared" si="8"/>
        <v>355.25389602780001</v>
      </c>
      <c r="J128" s="9">
        <f t="shared" si="9"/>
        <v>1306.2275376689199</v>
      </c>
      <c r="K128" s="9">
        <f t="shared" si="10"/>
        <v>355.25389602780001</v>
      </c>
      <c r="L128" s="10">
        <f t="shared" si="7"/>
        <v>0.27196938189021985</v>
      </c>
      <c r="M128" s="10">
        <f t="shared" si="11"/>
        <v>0.27518209801424887</v>
      </c>
      <c r="P128" s="8">
        <f t="shared" si="12"/>
        <v>29.345245524965453</v>
      </c>
      <c r="X128" s="8">
        <v>-13</v>
      </c>
    </row>
    <row r="129" spans="1:24" x14ac:dyDescent="0.2">
      <c r="A129" s="8">
        <v>63.5</v>
      </c>
      <c r="B129" s="8">
        <v>127</v>
      </c>
      <c r="D129">
        <v>1494.1703036053</v>
      </c>
      <c r="E129">
        <v>477.67077798861999</v>
      </c>
      <c r="F129">
        <v>157.24560570071</v>
      </c>
      <c r="G129">
        <v>122.82375296911999</v>
      </c>
      <c r="I129" s="9">
        <f t="shared" si="8"/>
        <v>354.84702501949999</v>
      </c>
      <c r="J129" s="9">
        <f t="shared" si="9"/>
        <v>1336.9246979045899</v>
      </c>
      <c r="K129" s="9">
        <f t="shared" si="10"/>
        <v>354.84702501949999</v>
      </c>
      <c r="L129" s="10">
        <f t="shared" si="7"/>
        <v>0.26542035282590298</v>
      </c>
      <c r="M129" s="10">
        <f t="shared" si="11"/>
        <v>0.2686585666969481</v>
      </c>
      <c r="P129" s="8">
        <f t="shared" si="12"/>
        <v>26.278956816452233</v>
      </c>
      <c r="X129" s="8">
        <v>-13</v>
      </c>
    </row>
    <row r="130" spans="1:24" x14ac:dyDescent="0.2">
      <c r="A130" s="8">
        <v>64</v>
      </c>
      <c r="B130" s="8">
        <v>128</v>
      </c>
      <c r="D130">
        <v>1459.8230550285</v>
      </c>
      <c r="E130">
        <v>471.79032258065001</v>
      </c>
      <c r="F130">
        <v>156.98194774346999</v>
      </c>
      <c r="G130">
        <v>123</v>
      </c>
      <c r="I130" s="9">
        <f t="shared" si="8"/>
        <v>348.79032258065001</v>
      </c>
      <c r="J130" s="9">
        <f t="shared" si="9"/>
        <v>1302.8411072850299</v>
      </c>
      <c r="K130" s="9">
        <f t="shared" si="10"/>
        <v>348.79032258065001</v>
      </c>
      <c r="L130" s="10">
        <f t="shared" ref="L130:L193" si="14">K130/J130</f>
        <v>0.26771516544138579</v>
      </c>
      <c r="M130" s="10">
        <f t="shared" si="11"/>
        <v>0.27097887705944701</v>
      </c>
      <c r="P130" s="8">
        <f t="shared" si="12"/>
        <v>27.369584134498204</v>
      </c>
      <c r="X130" s="8">
        <v>-13</v>
      </c>
    </row>
    <row r="131" spans="1:24" x14ac:dyDescent="0.2">
      <c r="A131" s="8">
        <v>64.5</v>
      </c>
      <c r="B131" s="8">
        <v>129</v>
      </c>
      <c r="D131">
        <v>1450.9563567362</v>
      </c>
      <c r="E131">
        <v>469.39516129032</v>
      </c>
      <c r="F131">
        <v>157.27315914489</v>
      </c>
      <c r="G131">
        <v>122.79239904988</v>
      </c>
      <c r="I131" s="9">
        <f t="shared" ref="I131:I194" si="15">E131-G131</f>
        <v>346.60276224044003</v>
      </c>
      <c r="J131" s="9">
        <f t="shared" ref="J131:J194" si="16">D131-F131</f>
        <v>1293.6831975913099</v>
      </c>
      <c r="K131" s="9">
        <f t="shared" ref="K131:K194" si="17">I131*1</f>
        <v>346.60276224044003</v>
      </c>
      <c r="L131" s="10">
        <f t="shared" si="14"/>
        <v>0.26791935064610467</v>
      </c>
      <c r="M131" s="10">
        <f t="shared" ref="M131:M181" si="18">L131+ABS($N$2)*A131</f>
        <v>0.27120856001118199</v>
      </c>
      <c r="P131" s="8">
        <f t="shared" ref="P131:P194" si="19">(M131-$O$2)/$O$2*100</f>
        <v>27.477543184158186</v>
      </c>
      <c r="X131" s="8">
        <v>-13</v>
      </c>
    </row>
    <row r="132" spans="1:24" x14ac:dyDescent="0.2">
      <c r="A132" s="8">
        <v>65</v>
      </c>
      <c r="B132" s="8">
        <v>130</v>
      </c>
      <c r="D132">
        <v>1451.8605313093001</v>
      </c>
      <c r="E132">
        <v>466.35294117646998</v>
      </c>
      <c r="F132">
        <v>156.73919239905001</v>
      </c>
      <c r="G132">
        <v>122.81710213776999</v>
      </c>
      <c r="I132" s="9">
        <f t="shared" si="15"/>
        <v>343.53583903869998</v>
      </c>
      <c r="J132" s="9">
        <f t="shared" si="16"/>
        <v>1295.12133891025</v>
      </c>
      <c r="K132" s="9">
        <f t="shared" si="17"/>
        <v>343.53583903869998</v>
      </c>
      <c r="L132" s="10">
        <f t="shared" si="14"/>
        <v>0.2652537864349917</v>
      </c>
      <c r="M132" s="10">
        <f t="shared" si="18"/>
        <v>0.26856849354708512</v>
      </c>
      <c r="P132" s="8">
        <f t="shared" si="19"/>
        <v>26.2366192742636</v>
      </c>
      <c r="X132" s="8">
        <v>-13</v>
      </c>
    </row>
    <row r="133" spans="1:24" x14ac:dyDescent="0.2">
      <c r="A133" s="8">
        <v>65.5</v>
      </c>
      <c r="B133" s="8">
        <v>131</v>
      </c>
      <c r="D133">
        <v>1501.1883301708001</v>
      </c>
      <c r="E133">
        <v>466.46062618596</v>
      </c>
      <c r="F133">
        <v>157.50783847981</v>
      </c>
      <c r="G133">
        <v>122.96057007125999</v>
      </c>
      <c r="I133" s="9">
        <f t="shared" si="15"/>
        <v>343.50005611469999</v>
      </c>
      <c r="J133" s="9">
        <f t="shared" si="16"/>
        <v>1343.68049169099</v>
      </c>
      <c r="K133" s="9">
        <f t="shared" si="17"/>
        <v>343.50005611469999</v>
      </c>
      <c r="L133" s="10">
        <f t="shared" si="14"/>
        <v>0.25564117231650307</v>
      </c>
      <c r="M133" s="10">
        <f t="shared" si="18"/>
        <v>0.25898137717561259</v>
      </c>
      <c r="P133" s="8">
        <f t="shared" si="19"/>
        <v>21.730338052146021</v>
      </c>
      <c r="X133" s="8">
        <v>-13</v>
      </c>
    </row>
    <row r="134" spans="1:24" x14ac:dyDescent="0.2">
      <c r="A134" s="8">
        <v>66</v>
      </c>
      <c r="B134" s="8">
        <v>132</v>
      </c>
      <c r="D134">
        <v>1487.4829222011001</v>
      </c>
      <c r="E134">
        <v>458.29459203035998</v>
      </c>
      <c r="F134">
        <v>157.05748218527</v>
      </c>
      <c r="G134">
        <v>122.73444180523001</v>
      </c>
      <c r="I134" s="9">
        <f t="shared" si="15"/>
        <v>335.56015022512997</v>
      </c>
      <c r="J134" s="9">
        <f t="shared" si="16"/>
        <v>1330.4254400158302</v>
      </c>
      <c r="K134" s="9">
        <f t="shared" si="17"/>
        <v>335.56015022512997</v>
      </c>
      <c r="L134" s="10">
        <f t="shared" si="14"/>
        <v>0.25222018471109309</v>
      </c>
      <c r="M134" s="10">
        <f t="shared" si="18"/>
        <v>0.25558588731721871</v>
      </c>
      <c r="P134" s="8">
        <f t="shared" si="19"/>
        <v>20.134338630015204</v>
      </c>
      <c r="X134" s="8">
        <v>-13</v>
      </c>
    </row>
    <row r="135" spans="1:24" x14ac:dyDescent="0.2">
      <c r="A135" s="8">
        <v>66.5</v>
      </c>
      <c r="B135" s="8">
        <v>133</v>
      </c>
      <c r="D135">
        <v>1468.7267552182</v>
      </c>
      <c r="E135">
        <v>450.59582542695</v>
      </c>
      <c r="F135">
        <v>157.57862232778999</v>
      </c>
      <c r="G135">
        <v>122.76579572447</v>
      </c>
      <c r="I135" s="9">
        <f t="shared" si="15"/>
        <v>327.83002970248003</v>
      </c>
      <c r="J135" s="9">
        <f t="shared" si="16"/>
        <v>1311.1481328904099</v>
      </c>
      <c r="K135" s="9">
        <f t="shared" si="17"/>
        <v>327.83002970248003</v>
      </c>
      <c r="L135" s="10">
        <f t="shared" si="14"/>
        <v>0.25003279299935605</v>
      </c>
      <c r="M135" s="10">
        <f t="shared" si="18"/>
        <v>0.25342399335249777</v>
      </c>
      <c r="P135" s="8">
        <f t="shared" si="19"/>
        <v>19.118172579666638</v>
      </c>
      <c r="X135" s="8">
        <v>-13</v>
      </c>
    </row>
    <row r="136" spans="1:24" x14ac:dyDescent="0.2">
      <c r="A136" s="8">
        <v>67</v>
      </c>
      <c r="B136" s="8">
        <v>134</v>
      </c>
      <c r="D136">
        <v>1460.8747628084</v>
      </c>
      <c r="E136">
        <v>445.60721062619001</v>
      </c>
      <c r="F136">
        <v>157.28978622328</v>
      </c>
      <c r="G136">
        <v>122.84845605701</v>
      </c>
      <c r="I136" s="9">
        <f t="shared" si="15"/>
        <v>322.75875456918004</v>
      </c>
      <c r="J136" s="9">
        <f t="shared" si="16"/>
        <v>1303.5849765851199</v>
      </c>
      <c r="K136" s="9">
        <f t="shared" si="17"/>
        <v>322.75875456918004</v>
      </c>
      <c r="L136" s="10">
        <f t="shared" si="14"/>
        <v>0.24759318369461505</v>
      </c>
      <c r="M136" s="10">
        <f t="shared" si="18"/>
        <v>0.2510098817947729</v>
      </c>
      <c r="P136" s="8">
        <f t="shared" si="19"/>
        <v>17.983455407249373</v>
      </c>
      <c r="X136" s="8">
        <v>-13</v>
      </c>
    </row>
    <row r="137" spans="1:24" x14ac:dyDescent="0.2">
      <c r="A137" s="8">
        <v>67.5</v>
      </c>
      <c r="B137" s="8">
        <v>135</v>
      </c>
      <c r="D137">
        <v>1373.8889943074</v>
      </c>
      <c r="E137">
        <v>422.48908918405999</v>
      </c>
      <c r="F137">
        <v>157.4973871734</v>
      </c>
      <c r="G137">
        <v>123.04988123515</v>
      </c>
      <c r="I137" s="9">
        <f t="shared" si="15"/>
        <v>299.43920794891</v>
      </c>
      <c r="J137" s="9">
        <f t="shared" si="16"/>
        <v>1216.391607134</v>
      </c>
      <c r="K137" s="9">
        <f t="shared" si="17"/>
        <v>299.43920794891</v>
      </c>
      <c r="L137" s="10">
        <f t="shared" si="14"/>
        <v>0.24617007071796018</v>
      </c>
      <c r="M137" s="10">
        <f t="shared" si="18"/>
        <v>0.24961226656513413</v>
      </c>
      <c r="P137" s="8">
        <f t="shared" si="19"/>
        <v>17.326527190146756</v>
      </c>
      <c r="X137" s="8">
        <v>-13</v>
      </c>
    </row>
    <row r="138" spans="1:24" x14ac:dyDescent="0.2">
      <c r="A138" s="8">
        <v>68</v>
      </c>
      <c r="B138" s="8">
        <v>136</v>
      </c>
      <c r="D138">
        <v>1401.2988179669001</v>
      </c>
      <c r="E138">
        <v>432.99338061466</v>
      </c>
      <c r="F138">
        <v>157.61852731591</v>
      </c>
      <c r="G138">
        <v>122.98859857482</v>
      </c>
      <c r="I138" s="9">
        <f t="shared" si="15"/>
        <v>310.00478203983999</v>
      </c>
      <c r="J138" s="9">
        <f t="shared" si="16"/>
        <v>1243.6802906509902</v>
      </c>
      <c r="K138" s="9">
        <f t="shared" si="17"/>
        <v>310.00478203983999</v>
      </c>
      <c r="L138" s="10">
        <f t="shared" si="14"/>
        <v>0.24926404669287761</v>
      </c>
      <c r="M138" s="10">
        <f t="shared" si="18"/>
        <v>0.25273174028706763</v>
      </c>
      <c r="P138" s="8">
        <f t="shared" si="19"/>
        <v>18.792789339406454</v>
      </c>
      <c r="X138" s="8">
        <v>-13</v>
      </c>
    </row>
    <row r="139" spans="1:24" x14ac:dyDescent="0.2">
      <c r="A139" s="8">
        <v>68.5</v>
      </c>
      <c r="B139" s="8">
        <v>137</v>
      </c>
      <c r="D139">
        <v>1469.6212765957</v>
      </c>
      <c r="E139">
        <v>446.94042553192003</v>
      </c>
      <c r="F139">
        <v>157.56342042755</v>
      </c>
      <c r="G139">
        <v>123.19667458431999</v>
      </c>
      <c r="I139" s="9">
        <f t="shared" si="15"/>
        <v>323.74375094760001</v>
      </c>
      <c r="J139" s="9">
        <f t="shared" si="16"/>
        <v>1312.05785616815</v>
      </c>
      <c r="K139" s="9">
        <f t="shared" si="17"/>
        <v>323.74375094760001</v>
      </c>
      <c r="L139" s="10">
        <f t="shared" si="14"/>
        <v>0.24674502684896071</v>
      </c>
      <c r="M139" s="10">
        <f t="shared" si="18"/>
        <v>0.25023821819016689</v>
      </c>
      <c r="P139" s="8">
        <f t="shared" si="19"/>
        <v>17.620746426103089</v>
      </c>
      <c r="X139" s="8">
        <v>-13</v>
      </c>
    </row>
    <row r="140" spans="1:24" x14ac:dyDescent="0.2">
      <c r="A140" s="8">
        <v>69</v>
      </c>
      <c r="B140" s="8">
        <v>138</v>
      </c>
      <c r="D140">
        <v>1459.5408983452</v>
      </c>
      <c r="E140">
        <v>441.79574468085002</v>
      </c>
      <c r="F140">
        <v>156.99619952494001</v>
      </c>
      <c r="G140">
        <v>122.84323040380001</v>
      </c>
      <c r="I140" s="9">
        <f t="shared" si="15"/>
        <v>318.95251427705</v>
      </c>
      <c r="J140" s="9">
        <f t="shared" si="16"/>
        <v>1302.54469882026</v>
      </c>
      <c r="K140" s="9">
        <f t="shared" si="17"/>
        <v>318.95251427705</v>
      </c>
      <c r="L140" s="10">
        <f t="shared" si="14"/>
        <v>0.24486876693439502</v>
      </c>
      <c r="M140" s="10">
        <f t="shared" si="18"/>
        <v>0.24838745602261728</v>
      </c>
      <c r="P140" s="8">
        <f t="shared" si="19"/>
        <v>16.750823241791778</v>
      </c>
      <c r="X140" s="8">
        <v>-13</v>
      </c>
    </row>
    <row r="141" spans="1:24" x14ac:dyDescent="0.2">
      <c r="A141" s="8">
        <v>69.5</v>
      </c>
      <c r="B141" s="8">
        <v>139</v>
      </c>
      <c r="D141">
        <v>1520.0605200946</v>
      </c>
      <c r="E141">
        <v>453.95650118203002</v>
      </c>
      <c r="F141">
        <v>157.42042755343999</v>
      </c>
      <c r="G141">
        <v>123.23420427553</v>
      </c>
      <c r="I141" s="9">
        <f t="shared" si="15"/>
        <v>330.72229690649999</v>
      </c>
      <c r="J141" s="9">
        <f t="shared" si="16"/>
        <v>1362.6400925411599</v>
      </c>
      <c r="K141" s="9">
        <f t="shared" si="17"/>
        <v>330.72229690649999</v>
      </c>
      <c r="L141" s="10">
        <f t="shared" si="14"/>
        <v>0.24270700584608712</v>
      </c>
      <c r="M141" s="10">
        <f t="shared" si="18"/>
        <v>0.24625119268132548</v>
      </c>
      <c r="P141" s="8">
        <f t="shared" si="19"/>
        <v>15.746704484142567</v>
      </c>
      <c r="X141" s="8">
        <v>-13</v>
      </c>
    </row>
    <row r="142" spans="1:24" x14ac:dyDescent="0.2">
      <c r="A142" s="8">
        <v>70</v>
      </c>
      <c r="B142" s="8">
        <v>140</v>
      </c>
      <c r="D142">
        <v>1525.7806146572</v>
      </c>
      <c r="E142">
        <v>453.43026004728</v>
      </c>
      <c r="F142">
        <v>157.35819477435001</v>
      </c>
      <c r="G142">
        <v>122.88171021378</v>
      </c>
      <c r="I142" s="9">
        <f t="shared" si="15"/>
        <v>330.54854983350003</v>
      </c>
      <c r="J142" s="9">
        <f t="shared" si="16"/>
        <v>1368.4224198828499</v>
      </c>
      <c r="K142" s="9">
        <f t="shared" si="17"/>
        <v>330.54854983350003</v>
      </c>
      <c r="L142" s="10">
        <f t="shared" si="14"/>
        <v>0.24155446814573395</v>
      </c>
      <c r="M142" s="10">
        <f t="shared" si="18"/>
        <v>0.2451241527279884</v>
      </c>
      <c r="P142" s="8">
        <f t="shared" si="19"/>
        <v>15.216956144651093</v>
      </c>
      <c r="X142" s="8">
        <v>-13</v>
      </c>
    </row>
    <row r="143" spans="1:24" x14ac:dyDescent="0.2">
      <c r="A143" s="8">
        <v>70.5</v>
      </c>
      <c r="B143" s="8">
        <v>141</v>
      </c>
      <c r="D143">
        <v>1507.8217494089999</v>
      </c>
      <c r="E143">
        <v>448.78676122931</v>
      </c>
      <c r="F143">
        <v>157.13634204275999</v>
      </c>
      <c r="G143">
        <v>122.96722090260999</v>
      </c>
      <c r="I143" s="9">
        <f t="shared" si="15"/>
        <v>325.81954032670001</v>
      </c>
      <c r="J143" s="9">
        <f t="shared" si="16"/>
        <v>1350.68540736624</v>
      </c>
      <c r="K143" s="9">
        <f t="shared" si="17"/>
        <v>325.81954032670001</v>
      </c>
      <c r="L143" s="10">
        <f t="shared" si="14"/>
        <v>0.24122533533698987</v>
      </c>
      <c r="M143" s="10">
        <f t="shared" si="18"/>
        <v>0.24482051766626042</v>
      </c>
      <c r="P143" s="8">
        <f t="shared" si="19"/>
        <v>15.074237007423058</v>
      </c>
      <c r="X143" s="8">
        <v>-13</v>
      </c>
    </row>
    <row r="144" spans="1:24" x14ac:dyDescent="0.2">
      <c r="A144" s="8">
        <v>71</v>
      </c>
      <c r="B144" s="8">
        <v>142</v>
      </c>
      <c r="D144">
        <v>1482.8113475176999</v>
      </c>
      <c r="E144">
        <v>433.96973995271998</v>
      </c>
      <c r="F144">
        <v>156.95961995248999</v>
      </c>
      <c r="G144">
        <v>122.97482185273</v>
      </c>
      <c r="I144" s="9">
        <f t="shared" si="15"/>
        <v>310.99491809998995</v>
      </c>
      <c r="J144" s="9">
        <f t="shared" si="16"/>
        <v>1325.85172756521</v>
      </c>
      <c r="K144" s="9">
        <f t="shared" si="17"/>
        <v>310.99491809998995</v>
      </c>
      <c r="L144" s="10">
        <f t="shared" si="14"/>
        <v>0.23456236593747934</v>
      </c>
      <c r="M144" s="10">
        <f t="shared" si="18"/>
        <v>0.238183046013766</v>
      </c>
      <c r="P144" s="8">
        <f t="shared" si="19"/>
        <v>11.95439234182844</v>
      </c>
    </row>
    <row r="145" spans="1:16" x14ac:dyDescent="0.2">
      <c r="A145" s="8">
        <v>71.5</v>
      </c>
      <c r="B145" s="8">
        <v>143</v>
      </c>
      <c r="D145">
        <v>1531.6850356294999</v>
      </c>
      <c r="E145">
        <v>454.66888361045</v>
      </c>
      <c r="F145">
        <v>157.1054631829</v>
      </c>
      <c r="G145">
        <v>122.84608076009999</v>
      </c>
      <c r="I145" s="9">
        <f t="shared" si="15"/>
        <v>331.82280285035</v>
      </c>
      <c r="J145" s="9">
        <f t="shared" si="16"/>
        <v>1374.5795724466</v>
      </c>
      <c r="K145" s="9">
        <f t="shared" si="17"/>
        <v>331.82280285035</v>
      </c>
      <c r="L145" s="10">
        <f t="shared" si="14"/>
        <v>0.24139948643332595</v>
      </c>
      <c r="M145" s="10">
        <f t="shared" si="18"/>
        <v>0.24504566425662874</v>
      </c>
      <c r="P145" s="8">
        <f t="shared" si="19"/>
        <v>15.180063808005089</v>
      </c>
    </row>
    <row r="146" spans="1:16" x14ac:dyDescent="0.2">
      <c r="A146" s="8">
        <v>72</v>
      </c>
      <c r="B146" s="8">
        <v>144</v>
      </c>
      <c r="D146">
        <v>1525.790023753</v>
      </c>
      <c r="E146">
        <v>452.15249406176002</v>
      </c>
      <c r="F146">
        <v>156.89358669833999</v>
      </c>
      <c r="G146">
        <v>122.64940617577</v>
      </c>
      <c r="I146" s="9">
        <f t="shared" si="15"/>
        <v>329.50308788599</v>
      </c>
      <c r="J146" s="9">
        <f t="shared" si="16"/>
        <v>1368.8964370546601</v>
      </c>
      <c r="K146" s="9">
        <f t="shared" si="17"/>
        <v>329.50308788599</v>
      </c>
      <c r="L146" s="10">
        <f t="shared" si="14"/>
        <v>0.24070709731333237</v>
      </c>
      <c r="M146" s="10">
        <f t="shared" si="18"/>
        <v>0.24437877288365126</v>
      </c>
      <c r="P146" s="8">
        <f t="shared" si="19"/>
        <v>14.866601453445282</v>
      </c>
    </row>
    <row r="147" spans="1:16" x14ac:dyDescent="0.2">
      <c r="A147" s="8">
        <v>72.5</v>
      </c>
      <c r="B147" s="8">
        <v>145</v>
      </c>
      <c r="D147">
        <v>1521.3486935866999</v>
      </c>
      <c r="E147">
        <v>448.15011876484999</v>
      </c>
      <c r="F147">
        <v>156.87933491686999</v>
      </c>
      <c r="G147">
        <v>122.94204275534</v>
      </c>
      <c r="I147" s="9">
        <f t="shared" si="15"/>
        <v>325.20807600951002</v>
      </c>
      <c r="J147" s="9">
        <f t="shared" si="16"/>
        <v>1364.4693586698299</v>
      </c>
      <c r="K147" s="9">
        <f t="shared" si="17"/>
        <v>325.20807600951002</v>
      </c>
      <c r="L147" s="10">
        <f t="shared" si="14"/>
        <v>0.23834032911266193</v>
      </c>
      <c r="M147" s="10">
        <f t="shared" si="18"/>
        <v>0.24203750242999691</v>
      </c>
      <c r="P147" s="8">
        <f t="shared" si="19"/>
        <v>13.766122156813903</v>
      </c>
    </row>
    <row r="148" spans="1:16" x14ac:dyDescent="0.2">
      <c r="A148" s="8">
        <v>73</v>
      </c>
      <c r="B148" s="8">
        <v>146</v>
      </c>
      <c r="D148">
        <v>1563.1550827423</v>
      </c>
      <c r="E148">
        <v>446.70212765957001</v>
      </c>
      <c r="F148">
        <v>156.76722090261001</v>
      </c>
      <c r="G148">
        <v>122.93539192399</v>
      </c>
      <c r="I148" s="9">
        <f t="shared" si="15"/>
        <v>323.76673573558003</v>
      </c>
      <c r="J148" s="9">
        <f t="shared" si="16"/>
        <v>1406.38786183969</v>
      </c>
      <c r="K148" s="9">
        <f t="shared" si="17"/>
        <v>323.76673573558003</v>
      </c>
      <c r="L148" s="10">
        <f t="shared" si="14"/>
        <v>0.23021155438021354</v>
      </c>
      <c r="M148" s="10">
        <f t="shared" si="18"/>
        <v>0.23393422544456463</v>
      </c>
      <c r="P148" s="8">
        <f t="shared" si="19"/>
        <v>9.9572975319530617</v>
      </c>
    </row>
    <row r="149" spans="1:16" x14ac:dyDescent="0.2">
      <c r="A149" s="8">
        <v>73.5</v>
      </c>
      <c r="B149" s="8">
        <v>147</v>
      </c>
      <c r="D149">
        <v>1569.7371158392</v>
      </c>
      <c r="E149">
        <v>446.76595744680998</v>
      </c>
      <c r="F149">
        <v>157.02612826603001</v>
      </c>
      <c r="G149">
        <v>122.67553444181</v>
      </c>
      <c r="I149" s="9">
        <f t="shared" si="15"/>
        <v>324.09042300499999</v>
      </c>
      <c r="J149" s="9">
        <f t="shared" si="16"/>
        <v>1412.7109875731699</v>
      </c>
      <c r="K149" s="9">
        <f t="shared" si="17"/>
        <v>324.09042300499999</v>
      </c>
      <c r="L149" s="10">
        <f t="shared" si="14"/>
        <v>0.22941027984905799</v>
      </c>
      <c r="M149" s="10">
        <f t="shared" si="18"/>
        <v>0.23315844866042518</v>
      </c>
      <c r="P149" s="8">
        <f t="shared" si="19"/>
        <v>9.5926552120449919</v>
      </c>
    </row>
    <row r="150" spans="1:16" x14ac:dyDescent="0.2">
      <c r="A150" s="8">
        <v>74</v>
      </c>
      <c r="B150" s="8">
        <v>148</v>
      </c>
      <c r="D150">
        <v>1548.0643026005</v>
      </c>
      <c r="E150">
        <v>440.46193853428002</v>
      </c>
      <c r="F150">
        <v>157.88978622328</v>
      </c>
      <c r="G150">
        <v>122.77767220903</v>
      </c>
      <c r="I150" s="9">
        <f t="shared" si="15"/>
        <v>317.68426632525001</v>
      </c>
      <c r="J150" s="9">
        <f t="shared" si="16"/>
        <v>1390.17451637722</v>
      </c>
      <c r="K150" s="9">
        <f t="shared" si="17"/>
        <v>317.68426632525001</v>
      </c>
      <c r="L150" s="10">
        <f t="shared" si="14"/>
        <v>0.22852114075082589</v>
      </c>
      <c r="M150" s="10">
        <f t="shared" si="18"/>
        <v>0.23229480730920918</v>
      </c>
      <c r="P150" s="8">
        <f t="shared" si="19"/>
        <v>9.186713461383718</v>
      </c>
    </row>
    <row r="151" spans="1:16" x14ac:dyDescent="0.2">
      <c r="A151" s="8">
        <v>74.5</v>
      </c>
      <c r="B151" s="8">
        <v>149</v>
      </c>
      <c r="D151">
        <v>1686.0619678334999</v>
      </c>
      <c r="E151">
        <v>463.12913907285002</v>
      </c>
      <c r="F151">
        <v>157.04275534441999</v>
      </c>
      <c r="G151">
        <v>122.81472684086</v>
      </c>
      <c r="I151" s="9">
        <f t="shared" si="15"/>
        <v>340.31441223198999</v>
      </c>
      <c r="J151" s="9">
        <f t="shared" si="16"/>
        <v>1529.01921248908</v>
      </c>
      <c r="K151" s="9">
        <f t="shared" si="17"/>
        <v>340.31441223198999</v>
      </c>
      <c r="L151" s="10">
        <f t="shared" si="14"/>
        <v>0.22257039640332213</v>
      </c>
      <c r="M151" s="10">
        <f t="shared" si="18"/>
        <v>0.22636956070872152</v>
      </c>
      <c r="P151" s="8">
        <f t="shared" si="19"/>
        <v>6.4016395707981513</v>
      </c>
    </row>
    <row r="152" spans="1:16" x14ac:dyDescent="0.2">
      <c r="A152" s="8">
        <v>75</v>
      </c>
      <c r="B152" s="8">
        <v>150</v>
      </c>
      <c r="D152">
        <v>1684.7365184483999</v>
      </c>
      <c r="E152">
        <v>458.16130558184</v>
      </c>
      <c r="F152">
        <v>157.03990498812001</v>
      </c>
      <c r="G152">
        <v>123.02470308789</v>
      </c>
      <c r="I152" s="9">
        <f t="shared" si="15"/>
        <v>335.13660249395002</v>
      </c>
      <c r="J152" s="9">
        <f t="shared" si="16"/>
        <v>1527.6966134602799</v>
      </c>
      <c r="K152" s="9">
        <f t="shared" si="17"/>
        <v>335.13660249395002</v>
      </c>
      <c r="L152" s="10">
        <f t="shared" si="14"/>
        <v>0.21937379420829853</v>
      </c>
      <c r="M152" s="10">
        <f t="shared" si="18"/>
        <v>0.22319845626071402</v>
      </c>
      <c r="P152" s="8">
        <f t="shared" si="19"/>
        <v>4.9111091679388723</v>
      </c>
    </row>
    <row r="153" spans="1:16" x14ac:dyDescent="0.2">
      <c r="A153" s="8">
        <v>75.5</v>
      </c>
      <c r="B153" s="8">
        <v>151</v>
      </c>
      <c r="D153">
        <v>1720.5664931377</v>
      </c>
      <c r="E153">
        <v>462.28206341693999</v>
      </c>
      <c r="F153">
        <v>157.25320665083001</v>
      </c>
      <c r="G153">
        <v>122.40190023753</v>
      </c>
      <c r="I153" s="9">
        <f t="shared" si="15"/>
        <v>339.88016317940998</v>
      </c>
      <c r="J153" s="9">
        <f t="shared" si="16"/>
        <v>1563.3132864868701</v>
      </c>
      <c r="K153" s="9">
        <f t="shared" si="17"/>
        <v>339.88016317940998</v>
      </c>
      <c r="L153" s="10">
        <f t="shared" si="14"/>
        <v>0.21741014172738213</v>
      </c>
      <c r="M153" s="10">
        <f t="shared" si="18"/>
        <v>0.22126030152681372</v>
      </c>
      <c r="P153" s="8">
        <f t="shared" si="19"/>
        <v>4.0001084097837118</v>
      </c>
    </row>
    <row r="154" spans="1:16" x14ac:dyDescent="0.2">
      <c r="A154" s="8">
        <v>76</v>
      </c>
      <c r="B154" s="8">
        <v>152</v>
      </c>
      <c r="D154">
        <v>1662.008045433</v>
      </c>
      <c r="E154">
        <v>449.91575958353002</v>
      </c>
      <c r="F154">
        <v>156.64655581948</v>
      </c>
      <c r="G154">
        <v>122.38479809976</v>
      </c>
      <c r="I154" s="9">
        <f t="shared" si="15"/>
        <v>327.53096148377</v>
      </c>
      <c r="J154" s="9">
        <f t="shared" si="16"/>
        <v>1505.36148961352</v>
      </c>
      <c r="K154" s="9">
        <f t="shared" si="17"/>
        <v>327.53096148377</v>
      </c>
      <c r="L154" s="10">
        <f t="shared" si="14"/>
        <v>0.21757628565870837</v>
      </c>
      <c r="M154" s="10">
        <f t="shared" si="18"/>
        <v>0.22145194320515607</v>
      </c>
      <c r="P154" s="8">
        <f t="shared" si="19"/>
        <v>4.090186725622134</v>
      </c>
    </row>
    <row r="155" spans="1:16" x14ac:dyDescent="0.2">
      <c r="A155" s="8">
        <v>76.5</v>
      </c>
      <c r="B155" s="8">
        <v>153</v>
      </c>
      <c r="D155">
        <v>1638.2224325602999</v>
      </c>
      <c r="E155">
        <v>444.35115948888</v>
      </c>
      <c r="F155">
        <v>156.65130641330001</v>
      </c>
      <c r="G155">
        <v>122.85748218527</v>
      </c>
      <c r="I155" s="9">
        <f t="shared" si="15"/>
        <v>321.49367730361001</v>
      </c>
      <c r="J155" s="9">
        <f t="shared" si="16"/>
        <v>1481.5711261469999</v>
      </c>
      <c r="K155" s="9">
        <f t="shared" si="17"/>
        <v>321.49367730361001</v>
      </c>
      <c r="L155" s="10">
        <f t="shared" si="14"/>
        <v>0.21699510177394735</v>
      </c>
      <c r="M155" s="10">
        <f t="shared" si="18"/>
        <v>0.22089625706741114</v>
      </c>
      <c r="P155" s="8">
        <f t="shared" si="19"/>
        <v>3.8289947351543696</v>
      </c>
    </row>
    <row r="156" spans="1:16" x14ac:dyDescent="0.2">
      <c r="A156" s="8">
        <v>77</v>
      </c>
      <c r="B156" s="8">
        <v>154</v>
      </c>
      <c r="D156">
        <v>1538.7749408984</v>
      </c>
      <c r="E156">
        <v>424.47423167849001</v>
      </c>
      <c r="F156">
        <v>157.07410926366001</v>
      </c>
      <c r="G156">
        <v>122.81472684086</v>
      </c>
      <c r="I156" s="9">
        <f t="shared" si="15"/>
        <v>301.65950483763004</v>
      </c>
      <c r="J156" s="9">
        <f t="shared" si="16"/>
        <v>1381.7008316347401</v>
      </c>
      <c r="K156" s="9">
        <f t="shared" si="17"/>
        <v>301.65950483763004</v>
      </c>
      <c r="L156" s="10">
        <f t="shared" si="14"/>
        <v>0.21832476172191762</v>
      </c>
      <c r="M156" s="10">
        <f t="shared" si="18"/>
        <v>0.22225141476239751</v>
      </c>
      <c r="P156" s="8">
        <f t="shared" si="19"/>
        <v>4.4659664206234666</v>
      </c>
    </row>
    <row r="157" spans="1:16" x14ac:dyDescent="0.2">
      <c r="A157" s="8">
        <v>77.5</v>
      </c>
      <c r="B157" s="8">
        <v>155</v>
      </c>
      <c r="D157">
        <v>1548.1976359338</v>
      </c>
      <c r="E157">
        <v>424.89834515365999</v>
      </c>
      <c r="F157">
        <v>156.90641330166</v>
      </c>
      <c r="G157">
        <v>122.87600950119</v>
      </c>
      <c r="I157" s="9">
        <f t="shared" si="15"/>
        <v>302.02233565247002</v>
      </c>
      <c r="J157" s="9">
        <f t="shared" si="16"/>
        <v>1391.29122263214</v>
      </c>
      <c r="K157" s="9">
        <f t="shared" si="17"/>
        <v>302.02233565247002</v>
      </c>
      <c r="L157" s="10">
        <f t="shared" si="14"/>
        <v>0.21708060163068052</v>
      </c>
      <c r="M157" s="10">
        <f t="shared" si="18"/>
        <v>0.22103275241817655</v>
      </c>
      <c r="P157" s="8">
        <f t="shared" si="19"/>
        <v>3.8931523412819788</v>
      </c>
    </row>
    <row r="158" spans="1:16" x14ac:dyDescent="0.2">
      <c r="A158" s="8">
        <v>78</v>
      </c>
      <c r="B158" s="8">
        <v>156</v>
      </c>
      <c r="D158">
        <v>1551.6387706856001</v>
      </c>
      <c r="E158">
        <v>425.00378250591001</v>
      </c>
      <c r="F158">
        <v>157.32541567696001</v>
      </c>
      <c r="G158">
        <v>122.89263657957</v>
      </c>
      <c r="I158" s="9">
        <f t="shared" si="15"/>
        <v>302.11114592633999</v>
      </c>
      <c r="J158" s="9">
        <f t="shared" si="16"/>
        <v>1394.31335500864</v>
      </c>
      <c r="K158" s="9">
        <f t="shared" si="17"/>
        <v>302.11114592633999</v>
      </c>
      <c r="L158" s="10">
        <f t="shared" si="14"/>
        <v>0.21667378056811909</v>
      </c>
      <c r="M158" s="10">
        <f t="shared" si="18"/>
        <v>0.22065142910263122</v>
      </c>
      <c r="P158" s="8">
        <f t="shared" si="19"/>
        <v>3.7139169977421149</v>
      </c>
    </row>
    <row r="159" spans="1:16" x14ac:dyDescent="0.2">
      <c r="A159" s="8">
        <v>78.5</v>
      </c>
      <c r="B159" s="8">
        <v>157</v>
      </c>
      <c r="D159">
        <v>1551.5621749408999</v>
      </c>
      <c r="E159">
        <v>420.69787234043002</v>
      </c>
      <c r="F159">
        <v>157.03420427552999</v>
      </c>
      <c r="G159">
        <v>122.75961995249</v>
      </c>
      <c r="I159" s="9">
        <f t="shared" si="15"/>
        <v>297.93825238794</v>
      </c>
      <c r="J159" s="9">
        <f t="shared" si="16"/>
        <v>1394.52797066537</v>
      </c>
      <c r="K159" s="9">
        <f t="shared" si="17"/>
        <v>297.93825238794</v>
      </c>
      <c r="L159" s="10">
        <f t="shared" si="14"/>
        <v>0.21364810075898652</v>
      </c>
      <c r="M159" s="10">
        <f t="shared" si="18"/>
        <v>0.21765124704051475</v>
      </c>
      <c r="P159" s="8">
        <f t="shared" si="19"/>
        <v>2.3037261159793117</v>
      </c>
    </row>
    <row r="160" spans="1:16" x14ac:dyDescent="0.2">
      <c r="A160" s="8">
        <v>79</v>
      </c>
      <c r="B160" s="8">
        <v>158</v>
      </c>
      <c r="D160">
        <v>1555.5711583924001</v>
      </c>
      <c r="E160">
        <v>418.22789598109</v>
      </c>
      <c r="F160">
        <v>156.78289786222999</v>
      </c>
      <c r="G160">
        <v>122.80380047506</v>
      </c>
      <c r="I160" s="9">
        <f t="shared" si="15"/>
        <v>295.42409550602997</v>
      </c>
      <c r="J160" s="9">
        <f t="shared" si="16"/>
        <v>1398.7882605301702</v>
      </c>
      <c r="K160" s="9">
        <f t="shared" si="17"/>
        <v>295.42409550602997</v>
      </c>
      <c r="L160" s="10">
        <f t="shared" si="14"/>
        <v>0.21120001063925001</v>
      </c>
      <c r="M160" s="10">
        <f t="shared" si="18"/>
        <v>0.21522865466779434</v>
      </c>
      <c r="P160" s="8">
        <f t="shared" si="19"/>
        <v>1.1650226628200695</v>
      </c>
    </row>
    <row r="161" spans="1:16" x14ac:dyDescent="0.2">
      <c r="A161" s="8">
        <v>79.5</v>
      </c>
      <c r="B161" s="8">
        <v>159</v>
      </c>
      <c r="D161">
        <v>1523.3612293143999</v>
      </c>
      <c r="E161">
        <v>410.90070921986</v>
      </c>
      <c r="F161">
        <v>156.86080760095001</v>
      </c>
      <c r="G161">
        <v>122.66460807601</v>
      </c>
      <c r="I161" s="9">
        <f t="shared" si="15"/>
        <v>288.23610114385002</v>
      </c>
      <c r="J161" s="9">
        <f t="shared" si="16"/>
        <v>1366.5004217134499</v>
      </c>
      <c r="K161" s="9">
        <f t="shared" si="17"/>
        <v>288.23610114385002</v>
      </c>
      <c r="L161" s="10">
        <f t="shared" si="14"/>
        <v>0.21093012235036987</v>
      </c>
      <c r="M161" s="10">
        <f t="shared" si="18"/>
        <v>0.2149842641259303</v>
      </c>
      <c r="P161" s="8">
        <f t="shared" si="19"/>
        <v>1.0501505295327274</v>
      </c>
    </row>
    <row r="162" spans="1:16" x14ac:dyDescent="0.2">
      <c r="A162" s="8">
        <v>80</v>
      </c>
      <c r="B162" s="4">
        <v>160</v>
      </c>
      <c r="C162" s="4" t="s">
        <v>6</v>
      </c>
      <c r="D162">
        <v>1571.8170212765999</v>
      </c>
      <c r="E162">
        <v>418.95460992907999</v>
      </c>
      <c r="F162">
        <v>156.60522565321</v>
      </c>
      <c r="G162">
        <v>122.61282660333001</v>
      </c>
      <c r="H162" s="4"/>
      <c r="I162" s="5">
        <f t="shared" si="15"/>
        <v>296.34178332574999</v>
      </c>
      <c r="J162" s="5">
        <f t="shared" si="16"/>
        <v>1415.2117956233899</v>
      </c>
      <c r="K162" s="9">
        <f t="shared" si="17"/>
        <v>296.34178332574999</v>
      </c>
      <c r="L162" s="6">
        <f t="shared" si="14"/>
        <v>0.20939747975688242</v>
      </c>
      <c r="M162" s="6">
        <f t="shared" si="18"/>
        <v>0.21347711927945895</v>
      </c>
      <c r="N162" s="4"/>
      <c r="O162" s="4"/>
      <c r="P162" s="4">
        <f t="shared" si="19"/>
        <v>0.34173954780371435</v>
      </c>
    </row>
    <row r="163" spans="1:16" x14ac:dyDescent="0.2">
      <c r="A163" s="8">
        <v>80.5</v>
      </c>
      <c r="B163" s="8">
        <v>161</v>
      </c>
      <c r="D163">
        <v>1553.1692671395001</v>
      </c>
      <c r="E163">
        <v>413.10212765956999</v>
      </c>
      <c r="F163">
        <v>157.19572446556001</v>
      </c>
      <c r="G163">
        <v>122.76437054632</v>
      </c>
      <c r="I163" s="9">
        <f t="shared" si="15"/>
        <v>290.33775711325001</v>
      </c>
      <c r="J163" s="9">
        <f t="shared" si="16"/>
        <v>1395.9735426739401</v>
      </c>
      <c r="K163" s="9">
        <f t="shared" si="17"/>
        <v>290.33775711325001</v>
      </c>
      <c r="L163" s="10">
        <f t="shared" si="14"/>
        <v>0.20798227777090808</v>
      </c>
      <c r="M163" s="10">
        <f t="shared" si="18"/>
        <v>0.21208741504050072</v>
      </c>
      <c r="P163" s="8">
        <f t="shared" si="19"/>
        <v>-0.31147022598698659</v>
      </c>
    </row>
    <row r="164" spans="1:16" x14ac:dyDescent="0.2">
      <c r="A164" s="8">
        <v>81</v>
      </c>
      <c r="B164" s="8">
        <v>162</v>
      </c>
      <c r="D164">
        <v>1544.5163120566999</v>
      </c>
      <c r="E164">
        <v>409.01749408984</v>
      </c>
      <c r="F164">
        <v>156.54109263658</v>
      </c>
      <c r="G164">
        <v>122.40665083135001</v>
      </c>
      <c r="I164" s="9">
        <f t="shared" si="15"/>
        <v>286.61084325848998</v>
      </c>
      <c r="J164" s="9">
        <f t="shared" si="16"/>
        <v>1387.9752194201199</v>
      </c>
      <c r="K164" s="9">
        <f t="shared" si="17"/>
        <v>286.61084325848998</v>
      </c>
      <c r="L164" s="10">
        <f t="shared" si="14"/>
        <v>0.20649564866023523</v>
      </c>
      <c r="M164" s="10">
        <f t="shared" si="18"/>
        <v>0.21062628367684397</v>
      </c>
      <c r="P164" s="8">
        <f t="shared" si="19"/>
        <v>-0.99825325562514189</v>
      </c>
    </row>
    <row r="165" spans="1:16" x14ac:dyDescent="0.2">
      <c r="A165" s="8">
        <v>81.5</v>
      </c>
      <c r="B165" s="8">
        <v>163</v>
      </c>
      <c r="D165">
        <v>1552.1517730497001</v>
      </c>
      <c r="E165">
        <v>407.69172576832</v>
      </c>
      <c r="F165">
        <v>156.86698337292</v>
      </c>
      <c r="G165">
        <v>122.48693586698001</v>
      </c>
      <c r="I165" s="9">
        <f t="shared" si="15"/>
        <v>285.20478990134001</v>
      </c>
      <c r="J165" s="9">
        <f t="shared" si="16"/>
        <v>1395.2847896767801</v>
      </c>
      <c r="K165" s="9">
        <f t="shared" si="17"/>
        <v>285.20478990134001</v>
      </c>
      <c r="L165" s="10">
        <f t="shared" si="14"/>
        <v>0.20440614848772784</v>
      </c>
      <c r="M165" s="10">
        <f t="shared" si="18"/>
        <v>0.20856228125135268</v>
      </c>
      <c r="P165" s="8">
        <f t="shared" si="19"/>
        <v>-1.9684068463411759</v>
      </c>
    </row>
    <row r="166" spans="1:16" x14ac:dyDescent="0.2">
      <c r="A166" s="8">
        <v>82</v>
      </c>
      <c r="B166" s="8">
        <v>164</v>
      </c>
      <c r="D166">
        <v>1562.3981087469999</v>
      </c>
      <c r="E166">
        <v>409.35366430260001</v>
      </c>
      <c r="F166">
        <v>156.96484560569999</v>
      </c>
      <c r="G166">
        <v>122.58432304038</v>
      </c>
      <c r="I166" s="9">
        <f t="shared" si="15"/>
        <v>286.76934126222</v>
      </c>
      <c r="J166" s="9">
        <f t="shared" si="16"/>
        <v>1405.4332631412999</v>
      </c>
      <c r="K166" s="9">
        <f t="shared" si="17"/>
        <v>286.76934126222</v>
      </c>
      <c r="L166" s="10">
        <f t="shared" si="14"/>
        <v>0.20404337138090681</v>
      </c>
      <c r="M166" s="10">
        <f t="shared" si="18"/>
        <v>0.20822500189154775</v>
      </c>
      <c r="P166" s="8">
        <f t="shared" si="19"/>
        <v>-2.1269399846495158</v>
      </c>
    </row>
    <row r="167" spans="1:16" x14ac:dyDescent="0.2">
      <c r="A167" s="8">
        <v>82.5</v>
      </c>
      <c r="B167" s="8">
        <v>165</v>
      </c>
      <c r="D167">
        <v>1566.9626477541001</v>
      </c>
      <c r="E167">
        <v>414.59007092198999</v>
      </c>
      <c r="F167">
        <v>156.90166270783999</v>
      </c>
      <c r="G167">
        <v>122.54489311163999</v>
      </c>
      <c r="I167" s="9">
        <f t="shared" si="15"/>
        <v>292.04517781034997</v>
      </c>
      <c r="J167" s="9">
        <f t="shared" si="16"/>
        <v>1410.0609850462602</v>
      </c>
      <c r="K167" s="9">
        <f t="shared" si="17"/>
        <v>292.04517781034997</v>
      </c>
      <c r="L167" s="10">
        <f t="shared" si="14"/>
        <v>0.20711528147186398</v>
      </c>
      <c r="M167" s="10">
        <f t="shared" si="18"/>
        <v>0.21132240972952102</v>
      </c>
      <c r="P167" s="8">
        <f t="shared" si="19"/>
        <v>-0.67104957540908516</v>
      </c>
    </row>
    <row r="168" spans="1:16" x14ac:dyDescent="0.2">
      <c r="A168" s="8">
        <v>83</v>
      </c>
      <c r="B168" s="8">
        <v>166</v>
      </c>
      <c r="D168">
        <v>1566.3721040189</v>
      </c>
      <c r="E168">
        <v>414.56973995272</v>
      </c>
      <c r="F168">
        <v>156.70878859858001</v>
      </c>
      <c r="G168">
        <v>122.66128266033</v>
      </c>
      <c r="I168" s="9">
        <f t="shared" si="15"/>
        <v>291.90845729238998</v>
      </c>
      <c r="J168" s="9">
        <f t="shared" si="16"/>
        <v>1409.66331542032</v>
      </c>
      <c r="K168" s="9">
        <f t="shared" si="17"/>
        <v>291.90845729238998</v>
      </c>
      <c r="L168" s="10">
        <f t="shared" si="14"/>
        <v>0.20707672115688949</v>
      </c>
      <c r="M168" s="10">
        <f t="shared" si="18"/>
        <v>0.21130934716156263</v>
      </c>
      <c r="P168" s="8">
        <f t="shared" si="19"/>
        <v>-0.67718944087255761</v>
      </c>
    </row>
    <row r="169" spans="1:16" x14ac:dyDescent="0.2">
      <c r="A169" s="8">
        <v>83.5</v>
      </c>
      <c r="B169" s="8">
        <v>167</v>
      </c>
      <c r="D169">
        <v>1566.0945626478001</v>
      </c>
      <c r="E169">
        <v>411.40047281324001</v>
      </c>
      <c r="F169">
        <v>156.43515439430001</v>
      </c>
      <c r="G169">
        <v>123.03230403801</v>
      </c>
      <c r="I169" s="9">
        <f t="shared" si="15"/>
        <v>288.36816877523</v>
      </c>
      <c r="J169" s="9">
        <f t="shared" si="16"/>
        <v>1409.6594082535</v>
      </c>
      <c r="K169" s="9">
        <f t="shared" si="17"/>
        <v>288.36816877523</v>
      </c>
      <c r="L169" s="10">
        <f t="shared" si="14"/>
        <v>0.20456584554172857</v>
      </c>
      <c r="M169" s="10">
        <f t="shared" si="18"/>
        <v>0.20882396929341782</v>
      </c>
      <c r="P169" s="8">
        <f t="shared" si="19"/>
        <v>-1.8454042807814417</v>
      </c>
    </row>
    <row r="170" spans="1:16" x14ac:dyDescent="0.2">
      <c r="A170" s="8">
        <v>84</v>
      </c>
      <c r="B170" s="8">
        <v>168</v>
      </c>
      <c r="D170">
        <v>1525.9626477541001</v>
      </c>
      <c r="E170">
        <v>398.46713947990997</v>
      </c>
      <c r="F170">
        <v>156.74204275534001</v>
      </c>
      <c r="G170">
        <v>122.73681710213999</v>
      </c>
      <c r="I170" s="9">
        <f t="shared" si="15"/>
        <v>275.73032237776999</v>
      </c>
      <c r="J170" s="9">
        <f t="shared" si="16"/>
        <v>1369.2206049987601</v>
      </c>
      <c r="K170" s="9">
        <f t="shared" si="17"/>
        <v>275.73032237776999</v>
      </c>
      <c r="L170" s="10">
        <f t="shared" si="14"/>
        <v>0.20137757303032969</v>
      </c>
      <c r="M170" s="10">
        <f t="shared" si="18"/>
        <v>0.20566119452903506</v>
      </c>
      <c r="P170" s="8">
        <f t="shared" si="19"/>
        <v>-3.3320194399480458</v>
      </c>
    </row>
    <row r="171" spans="1:16" x14ac:dyDescent="0.2">
      <c r="A171" s="8">
        <v>84.5</v>
      </c>
      <c r="B171" s="8">
        <v>169</v>
      </c>
      <c r="D171">
        <v>1584.0321513002</v>
      </c>
      <c r="E171">
        <v>414.58534278960002</v>
      </c>
      <c r="F171">
        <v>156.34299287411</v>
      </c>
      <c r="G171">
        <v>122.85035629454001</v>
      </c>
      <c r="I171" s="9">
        <f t="shared" si="15"/>
        <v>291.73498649506001</v>
      </c>
      <c r="J171" s="9">
        <f t="shared" si="16"/>
        <v>1427.68915842609</v>
      </c>
      <c r="K171" s="9">
        <f t="shared" si="17"/>
        <v>291.73498649506001</v>
      </c>
      <c r="L171" s="10">
        <f t="shared" si="14"/>
        <v>0.20434068912918962</v>
      </c>
      <c r="M171" s="10">
        <f t="shared" si="18"/>
        <v>0.20864980837491109</v>
      </c>
      <c r="P171" s="8">
        <f t="shared" si="19"/>
        <v>-1.9272660258864556</v>
      </c>
    </row>
    <row r="172" spans="1:16" x14ac:dyDescent="0.2">
      <c r="A172" s="8">
        <v>85</v>
      </c>
      <c r="B172" s="8">
        <v>170</v>
      </c>
      <c r="D172">
        <v>1566.0430260047001</v>
      </c>
      <c r="E172">
        <v>415.60756501181999</v>
      </c>
      <c r="F172">
        <v>157.04465558195</v>
      </c>
      <c r="G172">
        <v>122.92399049881</v>
      </c>
      <c r="I172" s="9">
        <f t="shared" si="15"/>
        <v>292.68357451301</v>
      </c>
      <c r="J172" s="9">
        <f t="shared" si="16"/>
        <v>1408.9983704227502</v>
      </c>
      <c r="K172" s="9">
        <f t="shared" si="17"/>
        <v>292.68357451301</v>
      </c>
      <c r="L172" s="10">
        <f t="shared" si="14"/>
        <v>0.2077245656609201</v>
      </c>
      <c r="M172" s="10">
        <f t="shared" si="18"/>
        <v>0.21205918265365767</v>
      </c>
      <c r="P172" s="8">
        <f t="shared" si="19"/>
        <v>-0.32474043881813008</v>
      </c>
    </row>
    <row r="173" spans="1:16" x14ac:dyDescent="0.2">
      <c r="A173" s="8">
        <v>85.5</v>
      </c>
      <c r="B173" s="8">
        <v>171</v>
      </c>
      <c r="D173">
        <v>1562.1541371158</v>
      </c>
      <c r="E173">
        <v>413.50070921986003</v>
      </c>
      <c r="F173">
        <v>157.09073634204</v>
      </c>
      <c r="G173">
        <v>122.58052256532</v>
      </c>
      <c r="I173" s="9">
        <f t="shared" si="15"/>
        <v>290.92018665454003</v>
      </c>
      <c r="J173" s="9">
        <f t="shared" si="16"/>
        <v>1405.0634007737601</v>
      </c>
      <c r="K173" s="9">
        <f t="shared" si="17"/>
        <v>290.92018665454003</v>
      </c>
      <c r="L173" s="10">
        <f t="shared" si="14"/>
        <v>0.20705128785955992</v>
      </c>
      <c r="M173" s="10">
        <f t="shared" si="18"/>
        <v>0.2114114025993136</v>
      </c>
      <c r="P173" s="8">
        <f t="shared" si="19"/>
        <v>-0.6292198027735969</v>
      </c>
    </row>
    <row r="174" spans="1:16" x14ac:dyDescent="0.2">
      <c r="A174" s="8">
        <v>86</v>
      </c>
      <c r="B174" s="8">
        <v>172</v>
      </c>
      <c r="D174">
        <v>1547.2843646670001</v>
      </c>
      <c r="E174">
        <v>412.21209258384999</v>
      </c>
      <c r="F174">
        <v>156.62802850355999</v>
      </c>
      <c r="G174">
        <v>122.72826603324999</v>
      </c>
      <c r="I174" s="9">
        <f t="shared" si="15"/>
        <v>289.48382655059999</v>
      </c>
      <c r="J174" s="9">
        <f t="shared" si="16"/>
        <v>1390.6563361634401</v>
      </c>
      <c r="K174" s="9">
        <f t="shared" si="17"/>
        <v>289.48382655059999</v>
      </c>
      <c r="L174" s="10">
        <f t="shared" si="14"/>
        <v>0.20816345420697652</v>
      </c>
      <c r="M174" s="10">
        <f t="shared" si="18"/>
        <v>0.21254906669374629</v>
      </c>
      <c r="P174" s="8">
        <f t="shared" si="19"/>
        <v>-9.4477744037948758E-2</v>
      </c>
    </row>
    <row r="175" spans="1:16" x14ac:dyDescent="0.2">
      <c r="A175" s="8">
        <v>86.5</v>
      </c>
      <c r="B175" s="8">
        <v>173</v>
      </c>
      <c r="D175">
        <v>1569.9896079358</v>
      </c>
      <c r="E175">
        <v>414.06235238545003</v>
      </c>
      <c r="F175">
        <v>157.40142517814999</v>
      </c>
      <c r="G175">
        <v>122.75486935867001</v>
      </c>
      <c r="I175" s="9">
        <f t="shared" si="15"/>
        <v>291.30748302678001</v>
      </c>
      <c r="J175" s="9">
        <f t="shared" si="16"/>
        <v>1412.58818275765</v>
      </c>
      <c r="K175" s="9">
        <f t="shared" si="17"/>
        <v>291.30748302678001</v>
      </c>
      <c r="L175" s="10">
        <f t="shared" si="14"/>
        <v>0.20622251168637876</v>
      </c>
      <c r="M175" s="10">
        <f t="shared" si="18"/>
        <v>0.21063362192016463</v>
      </c>
      <c r="P175" s="8">
        <f t="shared" si="19"/>
        <v>-0.99480402367697873</v>
      </c>
    </row>
    <row r="176" spans="1:16" x14ac:dyDescent="0.2">
      <c r="A176" s="8">
        <v>87</v>
      </c>
      <c r="B176" s="8">
        <v>174</v>
      </c>
      <c r="D176">
        <v>1559.6905999055</v>
      </c>
      <c r="E176">
        <v>405.88379782711002</v>
      </c>
      <c r="F176">
        <v>156.57292161519999</v>
      </c>
      <c r="G176">
        <v>122.80617577197</v>
      </c>
      <c r="I176" s="9">
        <f t="shared" si="15"/>
        <v>283.07762205514001</v>
      </c>
      <c r="J176" s="9">
        <f t="shared" si="16"/>
        <v>1403.1176782903001</v>
      </c>
      <c r="K176" s="9">
        <f t="shared" si="17"/>
        <v>283.07762205514001</v>
      </c>
      <c r="L176" s="10">
        <f t="shared" si="14"/>
        <v>0.20174902393081548</v>
      </c>
      <c r="M176" s="10">
        <f t="shared" si="18"/>
        <v>0.20618563191161746</v>
      </c>
      <c r="P176" s="8">
        <f t="shared" si="19"/>
        <v>-3.0855154613023195</v>
      </c>
    </row>
    <row r="177" spans="1:16" x14ac:dyDescent="0.2">
      <c r="A177" s="8">
        <v>87.5</v>
      </c>
      <c r="B177" s="8">
        <v>175</v>
      </c>
      <c r="D177">
        <v>1492.7482286254001</v>
      </c>
      <c r="E177">
        <v>394.16769012754003</v>
      </c>
      <c r="F177">
        <v>157.11971496436999</v>
      </c>
      <c r="G177">
        <v>123.05558194774</v>
      </c>
      <c r="I177" s="9">
        <f t="shared" si="15"/>
        <v>271.11210817980003</v>
      </c>
      <c r="J177" s="9">
        <f t="shared" si="16"/>
        <v>1335.6285136610302</v>
      </c>
      <c r="K177" s="9">
        <f t="shared" si="17"/>
        <v>271.11210817980003</v>
      </c>
      <c r="L177" s="10">
        <f t="shared" si="14"/>
        <v>0.20298466632511988</v>
      </c>
      <c r="M177" s="10">
        <f t="shared" si="18"/>
        <v>0.20744677205293796</v>
      </c>
      <c r="P177" s="8">
        <f t="shared" si="19"/>
        <v>-2.4927353262659047</v>
      </c>
    </row>
    <row r="178" spans="1:16" x14ac:dyDescent="0.2">
      <c r="A178" s="8">
        <v>88</v>
      </c>
      <c r="B178" s="8">
        <v>176</v>
      </c>
      <c r="D178">
        <v>1597.6790299572001</v>
      </c>
      <c r="E178">
        <v>411.87161198287998</v>
      </c>
      <c r="F178">
        <v>157.31306413301999</v>
      </c>
      <c r="G178">
        <v>122.6351543943</v>
      </c>
      <c r="I178" s="9">
        <f t="shared" si="15"/>
        <v>289.23645758857998</v>
      </c>
      <c r="J178" s="9">
        <f t="shared" si="16"/>
        <v>1440.3659658241802</v>
      </c>
      <c r="K178" s="9">
        <f t="shared" si="17"/>
        <v>289.23645758857998</v>
      </c>
      <c r="L178" s="10">
        <f t="shared" si="14"/>
        <v>0.2008076172662677</v>
      </c>
      <c r="M178" s="10">
        <f t="shared" si="18"/>
        <v>0.20529522074110187</v>
      </c>
      <c r="P178" s="8">
        <f t="shared" si="19"/>
        <v>-3.5040399667101756</v>
      </c>
    </row>
    <row r="179" spans="1:16" x14ac:dyDescent="0.2">
      <c r="A179" s="8">
        <v>88.5</v>
      </c>
      <c r="B179" s="8">
        <v>177</v>
      </c>
      <c r="D179">
        <v>1588.5592011412</v>
      </c>
      <c r="E179">
        <v>410.48407037564999</v>
      </c>
      <c r="F179">
        <v>157.32114014251999</v>
      </c>
      <c r="G179">
        <v>122.8270783848</v>
      </c>
      <c r="I179" s="9">
        <f t="shared" si="15"/>
        <v>287.65699199084997</v>
      </c>
      <c r="J179" s="9">
        <f t="shared" si="16"/>
        <v>1431.2380609986799</v>
      </c>
      <c r="K179" s="9">
        <f t="shared" si="17"/>
        <v>287.65699199084997</v>
      </c>
      <c r="L179" s="10">
        <f t="shared" si="14"/>
        <v>0.20098472771897261</v>
      </c>
      <c r="M179" s="10">
        <f t="shared" si="18"/>
        <v>0.20549782894082289</v>
      </c>
      <c r="P179" s="8">
        <f t="shared" si="19"/>
        <v>-3.4088070008762994</v>
      </c>
    </row>
    <row r="180" spans="1:16" x14ac:dyDescent="0.2">
      <c r="A180" s="8">
        <v>89</v>
      </c>
      <c r="B180" s="8">
        <v>178</v>
      </c>
      <c r="D180">
        <v>1549.6432279377</v>
      </c>
      <c r="E180">
        <v>408.47616800378</v>
      </c>
      <c r="F180">
        <v>156.99904988124001</v>
      </c>
      <c r="G180">
        <v>122.91258907363</v>
      </c>
      <c r="I180" s="9">
        <f t="shared" si="15"/>
        <v>285.56357893015002</v>
      </c>
      <c r="J180" s="9">
        <f t="shared" si="16"/>
        <v>1392.6441780564601</v>
      </c>
      <c r="K180" s="9">
        <f t="shared" si="17"/>
        <v>285.56357893015002</v>
      </c>
      <c r="L180" s="10">
        <f t="shared" si="14"/>
        <v>0.20505135728831719</v>
      </c>
      <c r="M180" s="10">
        <f t="shared" si="18"/>
        <v>0.20958995625718357</v>
      </c>
      <c r="P180" s="8">
        <f t="shared" si="19"/>
        <v>-1.4853635200918613</v>
      </c>
    </row>
    <row r="181" spans="1:16" x14ac:dyDescent="0.2">
      <c r="A181" s="8">
        <v>89.5</v>
      </c>
      <c r="B181" s="8">
        <v>179</v>
      </c>
      <c r="D181">
        <v>1545</v>
      </c>
      <c r="E181">
        <v>406.64322793770998</v>
      </c>
      <c r="F181">
        <v>157.00380047505999</v>
      </c>
      <c r="G181">
        <v>122.59809976247</v>
      </c>
      <c r="I181" s="9">
        <f t="shared" si="15"/>
        <v>284.04512817524</v>
      </c>
      <c r="J181" s="9">
        <f t="shared" si="16"/>
        <v>1387.99619952494</v>
      </c>
      <c r="K181" s="9">
        <f t="shared" si="17"/>
        <v>284.04512817524</v>
      </c>
      <c r="L181" s="10">
        <f t="shared" si="14"/>
        <v>0.20464402443786098</v>
      </c>
      <c r="M181" s="10">
        <f t="shared" si="18"/>
        <v>0.20920812115374346</v>
      </c>
      <c r="P181" s="8">
        <f t="shared" si="19"/>
        <v>-1.6648394219070839</v>
      </c>
    </row>
    <row r="182" spans="1:16" x14ac:dyDescent="0.2">
      <c r="A182" s="8">
        <v>90</v>
      </c>
      <c r="B182" s="8">
        <v>180</v>
      </c>
      <c r="D182">
        <v>1565.9358669834</v>
      </c>
      <c r="E182">
        <v>408.25748218527002</v>
      </c>
      <c r="F182">
        <v>157.65985748219001</v>
      </c>
      <c r="G182">
        <v>122.77862232779</v>
      </c>
      <c r="I182" s="9">
        <f t="shared" si="15"/>
        <v>285.47885985748002</v>
      </c>
      <c r="J182" s="9">
        <f t="shared" si="16"/>
        <v>1408.27600950121</v>
      </c>
      <c r="K182" s="9">
        <f t="shared" si="17"/>
        <v>285.47885985748002</v>
      </c>
      <c r="L182" s="10">
        <f t="shared" si="14"/>
        <v>0.20271513391653409</v>
      </c>
      <c r="M182" s="10">
        <f>L182+ABS($N$2)*A182</f>
        <v>0.2073047283794327</v>
      </c>
      <c r="P182" s="8">
        <f t="shared" si="19"/>
        <v>-2.5595008388387996</v>
      </c>
    </row>
    <row r="183" spans="1:16" x14ac:dyDescent="0.2">
      <c r="A183" s="8">
        <v>90.5</v>
      </c>
      <c r="B183" s="8">
        <v>181</v>
      </c>
      <c r="D183">
        <v>1612.244655582</v>
      </c>
      <c r="E183">
        <v>413.32874109263997</v>
      </c>
      <c r="F183">
        <v>157.07315914489001</v>
      </c>
      <c r="G183">
        <v>122.66555819477</v>
      </c>
      <c r="I183" s="9">
        <f t="shared" si="15"/>
        <v>290.66318289787</v>
      </c>
      <c r="J183" s="9">
        <f t="shared" si="16"/>
        <v>1455.1714964371099</v>
      </c>
      <c r="K183" s="9">
        <f t="shared" si="17"/>
        <v>290.66318289787</v>
      </c>
      <c r="L183" s="10">
        <f t="shared" si="14"/>
        <v>0.1997449672492482</v>
      </c>
      <c r="M183" s="10">
        <f t="shared" ref="M183:M241" si="20">L183+ABS($N$2)*A183</f>
        <v>0.20436005945916291</v>
      </c>
      <c r="P183" s="8">
        <f t="shared" si="19"/>
        <v>-3.9435985953080768</v>
      </c>
    </row>
    <row r="184" spans="1:16" x14ac:dyDescent="0.2">
      <c r="A184" s="8">
        <v>91</v>
      </c>
      <c r="B184" s="8">
        <v>182</v>
      </c>
      <c r="D184">
        <v>1624.860807601</v>
      </c>
      <c r="E184">
        <v>411.42850356295003</v>
      </c>
      <c r="F184">
        <v>157.46555819477001</v>
      </c>
      <c r="G184">
        <v>123.00332541568</v>
      </c>
      <c r="I184" s="9">
        <f t="shared" si="15"/>
        <v>288.42517814727</v>
      </c>
      <c r="J184" s="9">
        <f t="shared" si="16"/>
        <v>1467.3952494062301</v>
      </c>
      <c r="K184" s="9">
        <f t="shared" si="17"/>
        <v>288.42517814727</v>
      </c>
      <c r="L184" s="10">
        <f t="shared" si="14"/>
        <v>0.19655588926295012</v>
      </c>
      <c r="M184" s="10">
        <f t="shared" si="20"/>
        <v>0.20119647921988093</v>
      </c>
      <c r="P184" s="8">
        <f t="shared" si="19"/>
        <v>-5.430592355951144</v>
      </c>
    </row>
    <row r="185" spans="1:16" x14ac:dyDescent="0.2">
      <c r="A185" s="8">
        <v>91.5</v>
      </c>
      <c r="B185" s="8">
        <v>183</v>
      </c>
      <c r="D185">
        <v>1488.4168640455</v>
      </c>
      <c r="E185">
        <v>384.6518237802</v>
      </c>
      <c r="F185">
        <v>157.4973871734</v>
      </c>
      <c r="G185">
        <v>122.72494061758</v>
      </c>
      <c r="I185" s="9">
        <f t="shared" si="15"/>
        <v>261.92688316262002</v>
      </c>
      <c r="J185" s="9">
        <f t="shared" si="16"/>
        <v>1330.9194768720999</v>
      </c>
      <c r="K185" s="9">
        <f t="shared" si="17"/>
        <v>261.92688316262002</v>
      </c>
      <c r="L185" s="10">
        <f t="shared" si="14"/>
        <v>0.19680145021109413</v>
      </c>
      <c r="M185" s="10">
        <f t="shared" si="20"/>
        <v>0.20146753791504105</v>
      </c>
      <c r="P185" s="8">
        <f t="shared" si="19"/>
        <v>-5.303185254507552</v>
      </c>
    </row>
    <row r="186" spans="1:16" x14ac:dyDescent="0.2">
      <c r="A186" s="8">
        <v>92</v>
      </c>
      <c r="B186" s="8">
        <v>184</v>
      </c>
      <c r="D186">
        <v>1432.4002842254999</v>
      </c>
      <c r="E186">
        <v>373.50544765514002</v>
      </c>
      <c r="F186">
        <v>157.58432304038001</v>
      </c>
      <c r="G186">
        <v>122.63040380048</v>
      </c>
      <c r="I186" s="9">
        <f t="shared" si="15"/>
        <v>250.87504385466002</v>
      </c>
      <c r="J186" s="9">
        <f t="shared" si="16"/>
        <v>1274.8159611851199</v>
      </c>
      <c r="K186" s="9">
        <f t="shared" si="17"/>
        <v>250.87504385466002</v>
      </c>
      <c r="L186" s="10">
        <f t="shared" si="14"/>
        <v>0.19679314622122909</v>
      </c>
      <c r="M186" s="10">
        <f t="shared" si="20"/>
        <v>0.20148473167219211</v>
      </c>
      <c r="P186" s="8">
        <f t="shared" si="19"/>
        <v>-5.2951035851102732</v>
      </c>
    </row>
    <row r="187" spans="1:16" x14ac:dyDescent="0.2">
      <c r="A187" s="8">
        <v>92.5</v>
      </c>
      <c r="B187" s="8">
        <v>185</v>
      </c>
      <c r="D187">
        <v>1375.0241477273</v>
      </c>
      <c r="E187">
        <v>364.70596590909003</v>
      </c>
      <c r="F187">
        <v>157.22517814726999</v>
      </c>
      <c r="G187">
        <v>122.55581947744</v>
      </c>
      <c r="I187" s="9">
        <f t="shared" si="15"/>
        <v>242.15014643165003</v>
      </c>
      <c r="J187" s="9">
        <f t="shared" si="16"/>
        <v>1217.79896958003</v>
      </c>
      <c r="K187" s="9">
        <f t="shared" si="17"/>
        <v>242.15014643165003</v>
      </c>
      <c r="L187" s="10">
        <f t="shared" si="14"/>
        <v>0.19884246290268903</v>
      </c>
      <c r="M187" s="10">
        <f t="shared" si="20"/>
        <v>0.20355954610066815</v>
      </c>
      <c r="P187" s="8">
        <f t="shared" si="19"/>
        <v>-4.3198679734678382</v>
      </c>
    </row>
    <row r="188" spans="1:16" x14ac:dyDescent="0.2">
      <c r="A188" s="8">
        <v>93</v>
      </c>
      <c r="B188" s="8">
        <v>186</v>
      </c>
      <c r="D188">
        <v>1308.5467489320999</v>
      </c>
      <c r="E188">
        <v>349.34456573326997</v>
      </c>
      <c r="F188">
        <v>157.50451306413001</v>
      </c>
      <c r="G188">
        <v>122.76389548694</v>
      </c>
      <c r="I188" s="9">
        <f t="shared" si="15"/>
        <v>226.58067024632999</v>
      </c>
      <c r="J188" s="9">
        <f t="shared" si="16"/>
        <v>1151.04223586797</v>
      </c>
      <c r="K188" s="9">
        <f t="shared" si="17"/>
        <v>226.58067024632999</v>
      </c>
      <c r="L188" s="10">
        <f t="shared" si="14"/>
        <v>0.19684826775750031</v>
      </c>
      <c r="M188" s="10">
        <f t="shared" si="20"/>
        <v>0.20159084870249552</v>
      </c>
      <c r="P188" s="8">
        <f t="shared" si="19"/>
        <v>-5.2452248559413981</v>
      </c>
    </row>
    <row r="189" spans="1:16" x14ac:dyDescent="0.2">
      <c r="A189" s="8">
        <v>93.5</v>
      </c>
      <c r="B189" s="8">
        <v>187</v>
      </c>
      <c r="D189">
        <v>1280.9311817749999</v>
      </c>
      <c r="E189">
        <v>342.02800189842998</v>
      </c>
      <c r="F189">
        <v>157.74964370545999</v>
      </c>
      <c r="G189">
        <v>122.87078384797999</v>
      </c>
      <c r="I189" s="9">
        <f t="shared" si="15"/>
        <v>219.15721805044998</v>
      </c>
      <c r="J189" s="9">
        <f t="shared" si="16"/>
        <v>1123.18153806954</v>
      </c>
      <c r="K189" s="9">
        <f t="shared" si="17"/>
        <v>219.15721805044998</v>
      </c>
      <c r="L189" s="10">
        <f t="shared" si="14"/>
        <v>0.19512181301263626</v>
      </c>
      <c r="M189" s="10">
        <f t="shared" si="20"/>
        <v>0.19988989170464758</v>
      </c>
      <c r="P189" s="8">
        <f t="shared" si="19"/>
        <v>-6.0447343520230028</v>
      </c>
    </row>
    <row r="190" spans="1:16" x14ac:dyDescent="0.2">
      <c r="A190" s="8">
        <v>94</v>
      </c>
      <c r="B190" s="8">
        <v>188</v>
      </c>
      <c r="D190">
        <v>1272.0602752729001</v>
      </c>
      <c r="E190">
        <v>341.26720455624002</v>
      </c>
      <c r="F190">
        <v>157.04988123515</v>
      </c>
      <c r="G190">
        <v>122.85225653207</v>
      </c>
      <c r="I190" s="9">
        <f t="shared" si="15"/>
        <v>218.41494802417003</v>
      </c>
      <c r="J190" s="9">
        <f t="shared" si="16"/>
        <v>1115.0103940377501</v>
      </c>
      <c r="K190" s="9">
        <f t="shared" si="17"/>
        <v>218.41494802417003</v>
      </c>
      <c r="L190" s="10">
        <f t="shared" si="14"/>
        <v>0.19588601971075018</v>
      </c>
      <c r="M190" s="10">
        <f t="shared" si="20"/>
        <v>0.20067959614977759</v>
      </c>
      <c r="P190" s="8">
        <f t="shared" si="19"/>
        <v>-5.6735455425597872</v>
      </c>
    </row>
    <row r="191" spans="1:16" x14ac:dyDescent="0.2">
      <c r="A191" s="8">
        <v>94.5</v>
      </c>
      <c r="B191" s="8">
        <v>189</v>
      </c>
      <c r="D191">
        <v>1473.7726843099999</v>
      </c>
      <c r="E191">
        <v>375.03544423441002</v>
      </c>
      <c r="F191">
        <v>157.43942992874</v>
      </c>
      <c r="G191">
        <v>122.84893111639001</v>
      </c>
      <c r="I191" s="9">
        <f t="shared" si="15"/>
        <v>252.18651311802</v>
      </c>
      <c r="J191" s="9">
        <f t="shared" si="16"/>
        <v>1316.3332543812598</v>
      </c>
      <c r="K191" s="9">
        <f t="shared" si="17"/>
        <v>252.18651311802</v>
      </c>
      <c r="L191" s="10">
        <f t="shared" si="14"/>
        <v>0.19158257400141412</v>
      </c>
      <c r="M191" s="10">
        <f t="shared" si="20"/>
        <v>0.19640164818745764</v>
      </c>
      <c r="P191" s="8">
        <f t="shared" si="19"/>
        <v>-7.6843312496323755</v>
      </c>
    </row>
    <row r="192" spans="1:16" x14ac:dyDescent="0.2">
      <c r="A192" s="8">
        <v>95</v>
      </c>
      <c r="B192" s="8">
        <v>190</v>
      </c>
      <c r="D192">
        <v>1508.6167296786</v>
      </c>
      <c r="E192">
        <v>376.28449905482</v>
      </c>
      <c r="F192">
        <v>157.26508313539</v>
      </c>
      <c r="G192">
        <v>122.90498812352</v>
      </c>
      <c r="I192" s="9">
        <f t="shared" si="15"/>
        <v>253.37951093129999</v>
      </c>
      <c r="J192" s="9">
        <f t="shared" si="16"/>
        <v>1351.3516465432099</v>
      </c>
      <c r="K192" s="9">
        <f t="shared" si="17"/>
        <v>253.37951093129999</v>
      </c>
      <c r="L192" s="10">
        <f t="shared" si="14"/>
        <v>0.1875007971311175</v>
      </c>
      <c r="M192" s="10">
        <f t="shared" si="20"/>
        <v>0.19234536906417712</v>
      </c>
      <c r="P192" s="8">
        <f t="shared" si="19"/>
        <v>-9.5909248213237408</v>
      </c>
    </row>
    <row r="193" spans="1:16" x14ac:dyDescent="0.2">
      <c r="A193" s="8">
        <v>95.5</v>
      </c>
      <c r="B193" s="8">
        <v>191</v>
      </c>
      <c r="D193">
        <v>1546.5170132324999</v>
      </c>
      <c r="E193">
        <v>378.96644612476001</v>
      </c>
      <c r="F193">
        <v>157.48788598575001</v>
      </c>
      <c r="G193">
        <v>122.53824228029001</v>
      </c>
      <c r="I193" s="9">
        <f t="shared" si="15"/>
        <v>256.42820384446998</v>
      </c>
      <c r="J193" s="9">
        <f t="shared" si="16"/>
        <v>1389.02912724675</v>
      </c>
      <c r="K193" s="9">
        <f t="shared" si="17"/>
        <v>256.42820384446998</v>
      </c>
      <c r="L193" s="10">
        <f t="shared" si="14"/>
        <v>0.18460966643136315</v>
      </c>
      <c r="M193" s="10">
        <f t="shared" si="20"/>
        <v>0.18947973611143887</v>
      </c>
      <c r="P193" s="8">
        <f t="shared" si="19"/>
        <v>-10.937872898727996</v>
      </c>
    </row>
    <row r="194" spans="1:16" x14ac:dyDescent="0.2">
      <c r="A194" s="8">
        <v>96</v>
      </c>
      <c r="B194" s="8">
        <v>192</v>
      </c>
      <c r="D194">
        <v>1586.4021790621</v>
      </c>
      <c r="E194">
        <v>384.37707247750001</v>
      </c>
      <c r="F194">
        <v>156.8783847981</v>
      </c>
      <c r="G194">
        <v>122.75629453681999</v>
      </c>
      <c r="I194" s="9">
        <f t="shared" si="15"/>
        <v>261.62077794068</v>
      </c>
      <c r="J194" s="9">
        <f t="shared" si="16"/>
        <v>1429.5237942640001</v>
      </c>
      <c r="K194" s="9">
        <f t="shared" si="17"/>
        <v>261.62077794068</v>
      </c>
      <c r="L194" s="10">
        <f t="shared" ref="L194:L257" si="21">K194/J194</f>
        <v>0.18301253815462176</v>
      </c>
      <c r="M194" s="10">
        <f t="shared" si="20"/>
        <v>0.18790810558171361</v>
      </c>
      <c r="P194" s="8">
        <f t="shared" si="19"/>
        <v>-11.676594415166608</v>
      </c>
    </row>
    <row r="195" spans="1:16" x14ac:dyDescent="0.2">
      <c r="A195" s="8">
        <v>96.5</v>
      </c>
      <c r="B195" s="8">
        <v>193</v>
      </c>
      <c r="D195">
        <v>1570.0339782916999</v>
      </c>
      <c r="E195">
        <v>384.79141104295002</v>
      </c>
      <c r="F195">
        <v>157.26080760094999</v>
      </c>
      <c r="G195">
        <v>122.6190023753</v>
      </c>
      <c r="I195" s="9">
        <f t="shared" ref="I195:I241" si="22">E195-G195</f>
        <v>262.17240866765002</v>
      </c>
      <c r="J195" s="9">
        <f t="shared" ref="J195:J241" si="23">D195-F195</f>
        <v>1412.7731706907498</v>
      </c>
      <c r="K195" s="9">
        <f t="shared" ref="K195:K258" si="24">I195*1</f>
        <v>262.17240866765002</v>
      </c>
      <c r="L195" s="10">
        <f t="shared" si="21"/>
        <v>0.18557289599395888</v>
      </c>
      <c r="M195" s="10">
        <f t="shared" si="20"/>
        <v>0.19049396116806683</v>
      </c>
      <c r="P195" s="8">
        <f t="shared" ref="P195:P241" si="25">(M195-$O$2)/$O$2*100</f>
        <v>-10.461151520724973</v>
      </c>
    </row>
    <row r="196" spans="1:16" x14ac:dyDescent="0.2">
      <c r="A196" s="8">
        <v>97</v>
      </c>
      <c r="B196" s="8">
        <v>194</v>
      </c>
      <c r="D196">
        <v>1585.4869729986001</v>
      </c>
      <c r="E196">
        <v>377.85978209378999</v>
      </c>
      <c r="F196">
        <v>156.89263657957</v>
      </c>
      <c r="G196">
        <v>122.58954869359</v>
      </c>
      <c r="I196" s="9">
        <f t="shared" si="22"/>
        <v>255.27023340019997</v>
      </c>
      <c r="J196" s="9">
        <f t="shared" si="23"/>
        <v>1428.59433641903</v>
      </c>
      <c r="K196" s="9">
        <f t="shared" si="24"/>
        <v>255.27023340019997</v>
      </c>
      <c r="L196" s="10">
        <f t="shared" si="21"/>
        <v>0.17868629805720093</v>
      </c>
      <c r="M196" s="10">
        <f t="shared" si="20"/>
        <v>0.18363286097832499</v>
      </c>
      <c r="P196" s="8">
        <f t="shared" si="25"/>
        <v>-13.686109448648009</v>
      </c>
    </row>
    <row r="197" spans="1:16" x14ac:dyDescent="0.2">
      <c r="A197" s="8">
        <v>97.5</v>
      </c>
      <c r="B197" s="8">
        <v>195</v>
      </c>
      <c r="D197">
        <v>1495.3154902890001</v>
      </c>
      <c r="E197">
        <v>363.25959261013998</v>
      </c>
      <c r="F197">
        <v>157.69691211400999</v>
      </c>
      <c r="G197">
        <v>122.61235154393999</v>
      </c>
      <c r="I197" s="9">
        <f t="shared" si="22"/>
        <v>240.64724106619997</v>
      </c>
      <c r="J197" s="9">
        <f t="shared" si="23"/>
        <v>1337.61857817499</v>
      </c>
      <c r="K197" s="9">
        <f t="shared" si="24"/>
        <v>240.64724106619997</v>
      </c>
      <c r="L197" s="10">
        <f t="shared" si="21"/>
        <v>0.1799072209317939</v>
      </c>
      <c r="M197" s="10">
        <f t="shared" si="20"/>
        <v>0.18487928159993405</v>
      </c>
      <c r="P197" s="8">
        <f t="shared" si="25"/>
        <v>-13.100248004561422</v>
      </c>
    </row>
    <row r="198" spans="1:16" x14ac:dyDescent="0.2">
      <c r="A198" s="8">
        <v>98</v>
      </c>
      <c r="B198" s="8">
        <v>196</v>
      </c>
      <c r="D198">
        <v>1430.5018957346001</v>
      </c>
      <c r="E198">
        <v>356.31042654027999</v>
      </c>
      <c r="F198">
        <v>156.99857482185001</v>
      </c>
      <c r="G198">
        <v>122.75581947744</v>
      </c>
      <c r="I198" s="9">
        <f t="shared" si="22"/>
        <v>233.55460706283998</v>
      </c>
      <c r="J198" s="9">
        <f t="shared" si="23"/>
        <v>1273.50332091275</v>
      </c>
      <c r="K198" s="9">
        <f t="shared" si="24"/>
        <v>233.55460706283998</v>
      </c>
      <c r="L198" s="10">
        <f t="shared" si="21"/>
        <v>0.18339536554600097</v>
      </c>
      <c r="M198" s="10">
        <f t="shared" si="20"/>
        <v>0.18839292396115723</v>
      </c>
      <c r="P198" s="8">
        <f t="shared" si="25"/>
        <v>-11.4487127587047</v>
      </c>
    </row>
    <row r="199" spans="1:16" x14ac:dyDescent="0.2">
      <c r="A199" s="8">
        <v>98.5</v>
      </c>
      <c r="B199" s="8">
        <v>197</v>
      </c>
      <c r="D199">
        <v>1443.8725118483001</v>
      </c>
      <c r="E199">
        <v>357.27725118482999</v>
      </c>
      <c r="F199">
        <v>157.00142517814999</v>
      </c>
      <c r="G199">
        <v>122.71353919240001</v>
      </c>
      <c r="I199" s="9">
        <f t="shared" si="22"/>
        <v>234.56371199243</v>
      </c>
      <c r="J199" s="9">
        <f t="shared" si="23"/>
        <v>1286.8710866701501</v>
      </c>
      <c r="K199" s="9">
        <f t="shared" si="24"/>
        <v>234.56371199243</v>
      </c>
      <c r="L199" s="10">
        <f t="shared" si="21"/>
        <v>0.1822744441320665</v>
      </c>
      <c r="M199" s="10">
        <f t="shared" si="20"/>
        <v>0.18729750029423886</v>
      </c>
      <c r="P199" s="8">
        <f t="shared" si="25"/>
        <v>-11.963600333782631</v>
      </c>
    </row>
    <row r="200" spans="1:16" x14ac:dyDescent="0.2">
      <c r="A200" s="8">
        <v>99</v>
      </c>
      <c r="B200" s="8">
        <v>198</v>
      </c>
      <c r="D200">
        <v>1507.069635244</v>
      </c>
      <c r="E200">
        <v>363.37801989578003</v>
      </c>
      <c r="F200">
        <v>156.94061757719999</v>
      </c>
      <c r="G200">
        <v>122.49406175772</v>
      </c>
      <c r="I200" s="9">
        <f t="shared" si="22"/>
        <v>240.88395813806002</v>
      </c>
      <c r="J200" s="9">
        <f t="shared" si="23"/>
        <v>1350.1290176667999</v>
      </c>
      <c r="K200" s="9">
        <f t="shared" si="24"/>
        <v>240.88395813806002</v>
      </c>
      <c r="L200" s="10">
        <f t="shared" si="21"/>
        <v>0.17841551065566988</v>
      </c>
      <c r="M200" s="10">
        <f t="shared" si="20"/>
        <v>0.18346406456485834</v>
      </c>
      <c r="P200" s="8">
        <f t="shared" si="25"/>
        <v>-13.765449688079014</v>
      </c>
    </row>
    <row r="201" spans="1:16" x14ac:dyDescent="0.2">
      <c r="A201" s="8">
        <v>99.5</v>
      </c>
      <c r="B201" s="8">
        <v>199</v>
      </c>
      <c r="D201">
        <v>1513.1037423022001</v>
      </c>
      <c r="E201">
        <v>361.64756039792002</v>
      </c>
      <c r="F201">
        <v>157.48456057006999</v>
      </c>
      <c r="G201">
        <v>122.83135391924</v>
      </c>
      <c r="I201" s="9">
        <f t="shared" si="22"/>
        <v>238.81620647868002</v>
      </c>
      <c r="J201" s="9">
        <f t="shared" si="23"/>
        <v>1355.6191817321301</v>
      </c>
      <c r="K201" s="9">
        <f t="shared" si="24"/>
        <v>238.81620647868002</v>
      </c>
      <c r="L201" s="10">
        <f t="shared" si="21"/>
        <v>0.17616762118512869</v>
      </c>
      <c r="M201" s="10">
        <f t="shared" si="20"/>
        <v>0.18124167284133325</v>
      </c>
      <c r="P201" s="8">
        <f t="shared" si="25"/>
        <v>-14.810051808661436</v>
      </c>
    </row>
    <row r="202" spans="1:16" x14ac:dyDescent="0.2">
      <c r="A202" s="8">
        <v>100</v>
      </c>
      <c r="B202" s="8">
        <v>200</v>
      </c>
      <c r="D202">
        <v>1573.1417099669</v>
      </c>
      <c r="E202">
        <v>369.16107699575002</v>
      </c>
      <c r="F202">
        <v>157.21187648456001</v>
      </c>
      <c r="G202">
        <v>122.75914489311</v>
      </c>
      <c r="I202" s="9">
        <f t="shared" si="22"/>
        <v>246.40193210264002</v>
      </c>
      <c r="J202" s="9">
        <f t="shared" si="23"/>
        <v>1415.92983348234</v>
      </c>
      <c r="K202" s="9">
        <f t="shared" si="24"/>
        <v>246.40193210264002</v>
      </c>
      <c r="L202" s="10">
        <f t="shared" si="21"/>
        <v>0.17402128712595788</v>
      </c>
      <c r="M202" s="10">
        <f t="shared" si="20"/>
        <v>0.17912083652917854</v>
      </c>
      <c r="P202" s="8">
        <f t="shared" si="25"/>
        <v>-15.806919321095725</v>
      </c>
    </row>
    <row r="203" spans="1:16" x14ac:dyDescent="0.2">
      <c r="A203" s="8">
        <v>100.5</v>
      </c>
      <c r="B203" s="8">
        <v>201</v>
      </c>
      <c r="D203">
        <v>1502.5621162022001</v>
      </c>
      <c r="E203">
        <v>360.6887104393</v>
      </c>
      <c r="F203">
        <v>157.56817102138001</v>
      </c>
      <c r="G203">
        <v>122.79572446556</v>
      </c>
      <c r="I203" s="9">
        <f t="shared" si="22"/>
        <v>237.89298597374</v>
      </c>
      <c r="J203" s="9">
        <f t="shared" si="23"/>
        <v>1344.99394518082</v>
      </c>
      <c r="K203" s="9">
        <f t="shared" si="24"/>
        <v>237.89298597374</v>
      </c>
      <c r="L203" s="10">
        <f t="shared" si="21"/>
        <v>0.17687290476371464</v>
      </c>
      <c r="M203" s="10">
        <f t="shared" si="20"/>
        <v>0.18199795191395141</v>
      </c>
      <c r="P203" s="8">
        <f t="shared" si="25"/>
        <v>-14.454574097578195</v>
      </c>
    </row>
    <row r="204" spans="1:16" x14ac:dyDescent="0.2">
      <c r="A204" s="8">
        <v>101</v>
      </c>
      <c r="B204" s="8">
        <v>202</v>
      </c>
      <c r="D204">
        <v>1553.9952919021</v>
      </c>
      <c r="E204">
        <v>361.07062146893003</v>
      </c>
      <c r="F204">
        <v>156.78907363420001</v>
      </c>
      <c r="G204">
        <v>122.62897862233</v>
      </c>
      <c r="I204" s="9">
        <f t="shared" si="22"/>
        <v>238.44164284660002</v>
      </c>
      <c r="J204" s="9">
        <f t="shared" si="23"/>
        <v>1397.2062182679001</v>
      </c>
      <c r="K204" s="9">
        <f t="shared" si="24"/>
        <v>238.44164284660002</v>
      </c>
      <c r="L204" s="10">
        <f t="shared" si="21"/>
        <v>0.17065601321342047</v>
      </c>
      <c r="M204" s="10">
        <f t="shared" si="20"/>
        <v>0.17580655811067333</v>
      </c>
      <c r="P204" s="8">
        <f t="shared" si="25"/>
        <v>-17.364746515790099</v>
      </c>
    </row>
    <row r="205" spans="1:16" x14ac:dyDescent="0.2">
      <c r="A205" s="8">
        <v>101.5</v>
      </c>
      <c r="B205" s="8">
        <v>203</v>
      </c>
      <c r="D205">
        <v>1560.6770244821</v>
      </c>
      <c r="E205">
        <v>364.72269303202</v>
      </c>
      <c r="F205">
        <v>157.24845605701</v>
      </c>
      <c r="G205">
        <v>122.86603325416</v>
      </c>
      <c r="I205" s="9">
        <f t="shared" si="22"/>
        <v>241.85665977785999</v>
      </c>
      <c r="J205" s="9">
        <f t="shared" si="23"/>
        <v>1403.4285684250899</v>
      </c>
      <c r="K205" s="9">
        <f t="shared" si="24"/>
        <v>241.85665977785999</v>
      </c>
      <c r="L205" s="10">
        <f t="shared" si="21"/>
        <v>0.17233271804440217</v>
      </c>
      <c r="M205" s="10">
        <f t="shared" si="20"/>
        <v>0.17750876068867114</v>
      </c>
      <c r="P205" s="8">
        <f t="shared" si="25"/>
        <v>-16.564651553315638</v>
      </c>
    </row>
    <row r="206" spans="1:16" x14ac:dyDescent="0.2">
      <c r="A206" s="8">
        <v>102</v>
      </c>
      <c r="B206" s="8">
        <v>204</v>
      </c>
      <c r="D206">
        <v>1563.8204642349999</v>
      </c>
      <c r="E206">
        <v>360.58171482709997</v>
      </c>
      <c r="F206">
        <v>156.81615201899999</v>
      </c>
      <c r="G206">
        <v>122.5216152019</v>
      </c>
      <c r="I206" s="9">
        <f t="shared" si="22"/>
        <v>238.06009962519997</v>
      </c>
      <c r="J206" s="9">
        <f t="shared" si="23"/>
        <v>1407.004312216</v>
      </c>
      <c r="K206" s="9">
        <f t="shared" si="24"/>
        <v>238.06009962519997</v>
      </c>
      <c r="L206" s="10">
        <f t="shared" si="21"/>
        <v>0.16919642502748317</v>
      </c>
      <c r="M206" s="10">
        <f t="shared" si="20"/>
        <v>0.17439796541876823</v>
      </c>
      <c r="P206" s="8">
        <f t="shared" si="25"/>
        <v>-18.02683452548942</v>
      </c>
    </row>
    <row r="207" spans="1:16" x14ac:dyDescent="0.2">
      <c r="A207" s="8">
        <v>102.5</v>
      </c>
      <c r="B207" s="8">
        <v>205</v>
      </c>
      <c r="D207">
        <v>1530.043416706</v>
      </c>
      <c r="E207">
        <v>359.43747050496</v>
      </c>
      <c r="F207">
        <v>157.14014251782001</v>
      </c>
      <c r="G207">
        <v>122.94156769596</v>
      </c>
      <c r="I207" s="9">
        <f t="shared" si="22"/>
        <v>236.495902809</v>
      </c>
      <c r="J207" s="9">
        <f t="shared" si="23"/>
        <v>1372.9032741881799</v>
      </c>
      <c r="K207" s="9">
        <f t="shared" si="24"/>
        <v>236.495902809</v>
      </c>
      <c r="L207" s="10">
        <f t="shared" si="21"/>
        <v>0.17225969757326412</v>
      </c>
      <c r="M207" s="10">
        <f t="shared" si="20"/>
        <v>0.17748673571156531</v>
      </c>
      <c r="P207" s="8">
        <f t="shared" si="25"/>
        <v>-16.575004065677419</v>
      </c>
    </row>
    <row r="208" spans="1:16" x14ac:dyDescent="0.2">
      <c r="A208" s="8">
        <v>103</v>
      </c>
      <c r="B208" s="8">
        <v>206</v>
      </c>
      <c r="D208">
        <v>1514.8442661633001</v>
      </c>
      <c r="E208">
        <v>352.80604058518003</v>
      </c>
      <c r="F208">
        <v>156.94821852731999</v>
      </c>
      <c r="G208">
        <v>122.58859857482</v>
      </c>
      <c r="I208" s="9">
        <f t="shared" si="22"/>
        <v>230.21744201036003</v>
      </c>
      <c r="J208" s="9">
        <f t="shared" si="23"/>
        <v>1357.89604763598</v>
      </c>
      <c r="K208" s="9">
        <f t="shared" si="24"/>
        <v>230.21744201036003</v>
      </c>
      <c r="L208" s="10">
        <f t="shared" si="21"/>
        <v>0.16953981301525661</v>
      </c>
      <c r="M208" s="10">
        <f t="shared" si="20"/>
        <v>0.17479234890057391</v>
      </c>
      <c r="P208" s="8">
        <f t="shared" si="25"/>
        <v>-17.841460445368469</v>
      </c>
    </row>
    <row r="209" spans="1:16" x14ac:dyDescent="0.2">
      <c r="A209" s="8">
        <v>103.5</v>
      </c>
      <c r="B209" s="8">
        <v>207</v>
      </c>
      <c r="D209">
        <v>1528.235182551</v>
      </c>
      <c r="E209">
        <v>355.19440493125001</v>
      </c>
      <c r="F209">
        <v>157.15344418052001</v>
      </c>
      <c r="G209">
        <v>122.87885985747999</v>
      </c>
      <c r="I209" s="9">
        <f t="shared" si="22"/>
        <v>232.31554507377001</v>
      </c>
      <c r="J209" s="9">
        <f t="shared" si="23"/>
        <v>1371.08173837048</v>
      </c>
      <c r="K209" s="9">
        <f t="shared" si="24"/>
        <v>232.31554507377001</v>
      </c>
      <c r="L209" s="10">
        <f t="shared" si="21"/>
        <v>0.16943960274015116</v>
      </c>
      <c r="M209" s="10">
        <f t="shared" si="20"/>
        <v>0.17471763637248455</v>
      </c>
      <c r="P209" s="8">
        <f t="shared" si="25"/>
        <v>-17.876577956134039</v>
      </c>
    </row>
    <row r="210" spans="1:16" x14ac:dyDescent="0.2">
      <c r="A210" s="8">
        <v>104</v>
      </c>
      <c r="B210" s="8">
        <v>208</v>
      </c>
      <c r="D210">
        <v>1523.6699857752999</v>
      </c>
      <c r="E210">
        <v>354.65955429113001</v>
      </c>
      <c r="F210">
        <v>156.98812351544001</v>
      </c>
      <c r="G210">
        <v>122.57862232779</v>
      </c>
      <c r="I210" s="9">
        <f t="shared" si="22"/>
        <v>232.08093196333999</v>
      </c>
      <c r="J210" s="9">
        <f t="shared" si="23"/>
        <v>1366.6818622598598</v>
      </c>
      <c r="K210" s="9">
        <f t="shared" si="24"/>
        <v>232.08093196333999</v>
      </c>
      <c r="L210" s="10">
        <f t="shared" si="21"/>
        <v>0.16981342796163654</v>
      </c>
      <c r="M210" s="10">
        <f t="shared" si="20"/>
        <v>0.17511695934098603</v>
      </c>
      <c r="P210" s="8">
        <f t="shared" si="25"/>
        <v>-17.688882143879901</v>
      </c>
    </row>
    <row r="211" spans="1:16" x14ac:dyDescent="0.2">
      <c r="A211" s="8">
        <v>104.5</v>
      </c>
      <c r="B211" s="8">
        <v>209</v>
      </c>
      <c r="D211">
        <v>1552.5391180654001</v>
      </c>
      <c r="E211">
        <v>357.33665244192002</v>
      </c>
      <c r="F211">
        <v>157.21947743467999</v>
      </c>
      <c r="G211">
        <v>122.74821852732001</v>
      </c>
      <c r="I211" s="9">
        <f t="shared" si="22"/>
        <v>234.58843391460002</v>
      </c>
      <c r="J211" s="9">
        <f t="shared" si="23"/>
        <v>1395.3196406307202</v>
      </c>
      <c r="K211" s="9">
        <f t="shared" si="24"/>
        <v>234.58843391460002</v>
      </c>
      <c r="L211" s="10">
        <f t="shared" si="21"/>
        <v>0.16812522886050685</v>
      </c>
      <c r="M211" s="10">
        <f t="shared" si="20"/>
        <v>0.17345425798687245</v>
      </c>
      <c r="P211" s="8">
        <f t="shared" si="25"/>
        <v>-18.470410144554492</v>
      </c>
    </row>
    <row r="212" spans="1:16" x14ac:dyDescent="0.2">
      <c r="A212" s="8">
        <v>105</v>
      </c>
      <c r="B212" s="8">
        <v>210</v>
      </c>
      <c r="D212">
        <v>1565.4272166904</v>
      </c>
      <c r="E212">
        <v>357.70554765292002</v>
      </c>
      <c r="F212">
        <v>156.79239904988</v>
      </c>
      <c r="G212">
        <v>122.63135391924</v>
      </c>
      <c r="I212" s="9">
        <f t="shared" si="22"/>
        <v>235.07419373368003</v>
      </c>
      <c r="J212" s="9">
        <f t="shared" si="23"/>
        <v>1408.6348176405199</v>
      </c>
      <c r="K212" s="9">
        <f t="shared" si="24"/>
        <v>235.07419373368003</v>
      </c>
      <c r="L212" s="10">
        <f t="shared" si="21"/>
        <v>0.16688086279695408</v>
      </c>
      <c r="M212" s="10">
        <f t="shared" si="20"/>
        <v>0.17223538967033578</v>
      </c>
      <c r="P212" s="8">
        <f t="shared" si="25"/>
        <v>-19.04332103811441</v>
      </c>
    </row>
    <row r="213" spans="1:16" x14ac:dyDescent="0.2">
      <c r="A213" s="8">
        <v>105.5</v>
      </c>
      <c r="B213" s="8">
        <v>211</v>
      </c>
      <c r="D213">
        <v>1556.9696538644</v>
      </c>
      <c r="E213">
        <v>356.33854907539001</v>
      </c>
      <c r="F213">
        <v>157.27363420428</v>
      </c>
      <c r="G213">
        <v>122.74631828979</v>
      </c>
      <c r="I213" s="9">
        <f t="shared" si="22"/>
        <v>233.59223078560001</v>
      </c>
      <c r="J213" s="9">
        <f t="shared" si="23"/>
        <v>1399.6960196601201</v>
      </c>
      <c r="K213" s="9">
        <f t="shared" si="24"/>
        <v>233.59223078560001</v>
      </c>
      <c r="L213" s="10">
        <f t="shared" si="21"/>
        <v>0.1668878295748257</v>
      </c>
      <c r="M213" s="10">
        <f t="shared" si="20"/>
        <v>0.1722678541952235</v>
      </c>
      <c r="P213" s="8">
        <f t="shared" si="25"/>
        <v>-19.028061571845509</v>
      </c>
    </row>
    <row r="214" spans="1:16" x14ac:dyDescent="0.2">
      <c r="A214" s="8">
        <v>106</v>
      </c>
      <c r="B214" s="8">
        <v>212</v>
      </c>
      <c r="D214">
        <v>1451.9682765151999</v>
      </c>
      <c r="E214">
        <v>340.79829545454999</v>
      </c>
      <c r="F214">
        <v>156.46555819477001</v>
      </c>
      <c r="G214">
        <v>122.58194774347</v>
      </c>
      <c r="I214" s="9">
        <f t="shared" si="22"/>
        <v>218.21634771108</v>
      </c>
      <c r="J214" s="9">
        <f t="shared" si="23"/>
        <v>1295.5027183204299</v>
      </c>
      <c r="K214" s="9">
        <f t="shared" si="24"/>
        <v>218.21634771108</v>
      </c>
      <c r="L214" s="10">
        <f t="shared" si="21"/>
        <v>0.16844144332941979</v>
      </c>
      <c r="M214" s="10">
        <f t="shared" si="20"/>
        <v>0.17384696569683369</v>
      </c>
      <c r="P214" s="8">
        <f t="shared" si="25"/>
        <v>-18.28582373602346</v>
      </c>
    </row>
    <row r="215" spans="1:16" x14ac:dyDescent="0.2">
      <c r="A215" s="8">
        <v>106.5</v>
      </c>
      <c r="B215" s="8">
        <v>213</v>
      </c>
      <c r="D215">
        <v>1571.3162878788</v>
      </c>
      <c r="E215">
        <v>359.55539772727002</v>
      </c>
      <c r="F215">
        <v>157.31211401425</v>
      </c>
      <c r="G215">
        <v>122.52446555820001</v>
      </c>
      <c r="I215" s="9">
        <f t="shared" si="22"/>
        <v>237.03093216907001</v>
      </c>
      <c r="J215" s="9">
        <f t="shared" si="23"/>
        <v>1414.00417386455</v>
      </c>
      <c r="K215" s="9">
        <f t="shared" si="24"/>
        <v>237.03093216907001</v>
      </c>
      <c r="L215" s="10">
        <f t="shared" si="21"/>
        <v>0.16763099893916977</v>
      </c>
      <c r="M215" s="10">
        <f t="shared" si="20"/>
        <v>0.17306201905359977</v>
      </c>
      <c r="P215" s="8">
        <f t="shared" si="25"/>
        <v>-18.654776211586864</v>
      </c>
    </row>
    <row r="216" spans="1:16" x14ac:dyDescent="0.2">
      <c r="A216" s="8">
        <v>107</v>
      </c>
      <c r="B216" s="8">
        <v>214</v>
      </c>
      <c r="D216">
        <v>1551.3679735475</v>
      </c>
      <c r="E216">
        <v>356.13226263580998</v>
      </c>
      <c r="F216">
        <v>157.37149643705999</v>
      </c>
      <c r="G216">
        <v>122.39809976247</v>
      </c>
      <c r="I216" s="9">
        <f t="shared" si="22"/>
        <v>233.73416287333998</v>
      </c>
      <c r="J216" s="9">
        <f t="shared" si="23"/>
        <v>1393.9964771104401</v>
      </c>
      <c r="K216" s="9">
        <f t="shared" si="24"/>
        <v>233.73416287333998</v>
      </c>
      <c r="L216" s="10">
        <f t="shared" si="21"/>
        <v>0.16767198964364546</v>
      </c>
      <c r="M216" s="10">
        <f t="shared" si="20"/>
        <v>0.17312850750509157</v>
      </c>
      <c r="P216" s="8">
        <f t="shared" si="25"/>
        <v>-18.623524305504169</v>
      </c>
    </row>
    <row r="217" spans="1:16" x14ac:dyDescent="0.2">
      <c r="A217" s="8">
        <v>107.5</v>
      </c>
      <c r="B217" s="8">
        <v>215</v>
      </c>
      <c r="D217">
        <v>1569.2899239543999</v>
      </c>
      <c r="E217">
        <v>357.51520912548</v>
      </c>
      <c r="F217">
        <v>157.29406175771999</v>
      </c>
      <c r="G217">
        <v>122.84085510689</v>
      </c>
      <c r="I217" s="9">
        <f t="shared" si="22"/>
        <v>234.67435401859001</v>
      </c>
      <c r="J217" s="9">
        <f t="shared" si="23"/>
        <v>1411.9958621966798</v>
      </c>
      <c r="K217" s="9">
        <f t="shared" si="24"/>
        <v>234.67435401859001</v>
      </c>
      <c r="L217" s="10">
        <f t="shared" si="21"/>
        <v>0.16620045447831613</v>
      </c>
      <c r="M217" s="10">
        <f t="shared" si="20"/>
        <v>0.17168247008677834</v>
      </c>
      <c r="P217" s="8">
        <f t="shared" si="25"/>
        <v>-19.303212651002308</v>
      </c>
    </row>
    <row r="218" spans="1:16" x14ac:dyDescent="0.2">
      <c r="A218" s="8">
        <v>108</v>
      </c>
      <c r="B218" s="8">
        <v>216</v>
      </c>
      <c r="D218">
        <v>1649.2894486692001</v>
      </c>
      <c r="E218">
        <v>364.57224334601</v>
      </c>
      <c r="F218">
        <v>157.35581947744001</v>
      </c>
      <c r="G218">
        <v>122.58527315915001</v>
      </c>
      <c r="I218" s="9">
        <f t="shared" si="22"/>
        <v>241.98697018685999</v>
      </c>
      <c r="J218" s="9">
        <f t="shared" si="23"/>
        <v>1491.93362919176</v>
      </c>
      <c r="K218" s="9">
        <f t="shared" si="24"/>
        <v>241.98697018685999</v>
      </c>
      <c r="L218" s="10">
        <f t="shared" si="21"/>
        <v>0.16219687354185722</v>
      </c>
      <c r="M218" s="10">
        <f t="shared" si="20"/>
        <v>0.16770438689733552</v>
      </c>
      <c r="P218" s="8">
        <f t="shared" si="25"/>
        <v>-21.173051388951663</v>
      </c>
    </row>
    <row r="219" spans="1:16" x14ac:dyDescent="0.2">
      <c r="A219" s="8">
        <v>108.5</v>
      </c>
      <c r="B219" s="8">
        <v>217</v>
      </c>
      <c r="D219">
        <v>1626.4017134697999</v>
      </c>
      <c r="E219">
        <v>364.92574964302997</v>
      </c>
      <c r="F219">
        <v>156.94489311164</v>
      </c>
      <c r="G219">
        <v>123.05273159145</v>
      </c>
      <c r="I219" s="9">
        <f t="shared" si="22"/>
        <v>241.87301805157998</v>
      </c>
      <c r="J219" s="9">
        <f t="shared" si="23"/>
        <v>1469.4568203581598</v>
      </c>
      <c r="K219" s="9">
        <f t="shared" si="24"/>
        <v>241.87301805157998</v>
      </c>
      <c r="L219" s="10">
        <f t="shared" si="21"/>
        <v>0.16460028950876335</v>
      </c>
      <c r="M219" s="10">
        <f t="shared" si="20"/>
        <v>0.17013330061125775</v>
      </c>
      <c r="P219" s="8">
        <f t="shared" si="25"/>
        <v>-20.031376683535473</v>
      </c>
    </row>
    <row r="220" spans="1:16" x14ac:dyDescent="0.2">
      <c r="A220" s="8">
        <v>109</v>
      </c>
      <c r="B220" s="8">
        <v>218</v>
      </c>
      <c r="D220">
        <v>1507.2494050452001</v>
      </c>
      <c r="E220">
        <v>348.28415040457003</v>
      </c>
      <c r="F220">
        <v>156.82422802849999</v>
      </c>
      <c r="G220">
        <v>122.52114014252</v>
      </c>
      <c r="I220" s="9">
        <f t="shared" si="22"/>
        <v>225.76301026205005</v>
      </c>
      <c r="J220" s="9">
        <f t="shared" si="23"/>
        <v>1350.4251770167002</v>
      </c>
      <c r="K220" s="9">
        <f t="shared" si="24"/>
        <v>225.76301026205005</v>
      </c>
      <c r="L220" s="10">
        <f t="shared" si="21"/>
        <v>0.16717920704114517</v>
      </c>
      <c r="M220" s="10">
        <f t="shared" si="20"/>
        <v>0.1727377158906557</v>
      </c>
      <c r="P220" s="8">
        <f t="shared" si="25"/>
        <v>-18.807210081879372</v>
      </c>
    </row>
    <row r="221" spans="1:16" x14ac:dyDescent="0.2">
      <c r="A221" s="8">
        <v>109.5</v>
      </c>
      <c r="B221" s="8">
        <v>219</v>
      </c>
      <c r="D221">
        <v>1537.9739212897</v>
      </c>
      <c r="E221">
        <v>347.17164532954001</v>
      </c>
      <c r="F221">
        <v>157.23087885986001</v>
      </c>
      <c r="G221">
        <v>122.64370546318</v>
      </c>
      <c r="I221" s="9">
        <f t="shared" si="22"/>
        <v>224.52793986636001</v>
      </c>
      <c r="J221" s="9">
        <f t="shared" si="23"/>
        <v>1380.74304242984</v>
      </c>
      <c r="K221" s="9">
        <f t="shared" si="24"/>
        <v>224.52793986636001</v>
      </c>
      <c r="L221" s="10">
        <f t="shared" si="21"/>
        <v>0.16261384846179228</v>
      </c>
      <c r="M221" s="10">
        <f t="shared" si="20"/>
        <v>0.16819785505831891</v>
      </c>
      <c r="P221" s="8">
        <f t="shared" si="25"/>
        <v>-20.941104031540917</v>
      </c>
    </row>
    <row r="222" spans="1:16" x14ac:dyDescent="0.2">
      <c r="A222" s="8">
        <v>110</v>
      </c>
      <c r="B222" s="8">
        <v>220</v>
      </c>
      <c r="D222">
        <v>1544.1341868183999</v>
      </c>
      <c r="E222">
        <v>347.79800853485</v>
      </c>
      <c r="F222">
        <v>156.64893111639</v>
      </c>
      <c r="G222">
        <v>122.68408551069</v>
      </c>
      <c r="I222" s="9">
        <f t="shared" si="22"/>
        <v>225.11392302415999</v>
      </c>
      <c r="J222" s="9">
        <f t="shared" si="23"/>
        <v>1387.4852557020099</v>
      </c>
      <c r="K222" s="9">
        <f t="shared" si="24"/>
        <v>225.11392302415999</v>
      </c>
      <c r="L222" s="10">
        <f t="shared" si="21"/>
        <v>0.16224599295670475</v>
      </c>
      <c r="M222" s="10">
        <f t="shared" si="20"/>
        <v>0.16785549730024749</v>
      </c>
      <c r="P222" s="8">
        <f t="shared" si="25"/>
        <v>-21.102024195296746</v>
      </c>
    </row>
    <row r="223" spans="1:16" x14ac:dyDescent="0.2">
      <c r="A223" s="8">
        <v>110.5</v>
      </c>
      <c r="B223" s="8">
        <v>221</v>
      </c>
      <c r="D223">
        <v>1492.1019348749001</v>
      </c>
      <c r="E223">
        <v>343.85842378479998</v>
      </c>
      <c r="F223">
        <v>157.23420427553</v>
      </c>
      <c r="G223">
        <v>122.65368171020999</v>
      </c>
      <c r="I223" s="9">
        <f t="shared" si="22"/>
        <v>221.20474207459</v>
      </c>
      <c r="J223" s="9">
        <f t="shared" si="23"/>
        <v>1334.8677305993701</v>
      </c>
      <c r="K223" s="9">
        <f t="shared" si="24"/>
        <v>221.20474207459</v>
      </c>
      <c r="L223" s="10">
        <f t="shared" si="21"/>
        <v>0.16571285454272436</v>
      </c>
      <c r="M223" s="10">
        <f t="shared" si="20"/>
        <v>0.1713478566332832</v>
      </c>
      <c r="P223" s="8">
        <f t="shared" si="25"/>
        <v>-19.460492719766247</v>
      </c>
    </row>
    <row r="224" spans="1:16" x14ac:dyDescent="0.2">
      <c r="A224" s="8">
        <v>111</v>
      </c>
      <c r="B224" s="8">
        <v>222</v>
      </c>
      <c r="D224">
        <v>1469.4570886675999</v>
      </c>
      <c r="E224">
        <v>342.07539118065</v>
      </c>
      <c r="F224">
        <v>156.93064133017</v>
      </c>
      <c r="G224">
        <v>122.82327790974</v>
      </c>
      <c r="I224" s="9">
        <f t="shared" si="22"/>
        <v>219.25211327091</v>
      </c>
      <c r="J224" s="9">
        <f t="shared" si="23"/>
        <v>1312.52644733743</v>
      </c>
      <c r="K224" s="9">
        <f t="shared" si="24"/>
        <v>219.25211327091</v>
      </c>
      <c r="L224" s="10">
        <f t="shared" si="21"/>
        <v>0.16704586312579173</v>
      </c>
      <c r="M224" s="10">
        <f t="shared" si="20"/>
        <v>0.17270636296336667</v>
      </c>
      <c r="P224" s="8">
        <f t="shared" si="25"/>
        <v>-18.821947058257525</v>
      </c>
    </row>
    <row r="225" spans="1:16" x14ac:dyDescent="0.2">
      <c r="A225" s="8">
        <v>111.5</v>
      </c>
      <c r="B225" s="8">
        <v>223</v>
      </c>
      <c r="D225">
        <v>1501.4874348031999</v>
      </c>
      <c r="E225">
        <v>345.84020862967998</v>
      </c>
      <c r="F225">
        <v>157.26983372922001</v>
      </c>
      <c r="G225">
        <v>122.32921615202</v>
      </c>
      <c r="I225" s="9">
        <f t="shared" si="22"/>
        <v>223.51099247765998</v>
      </c>
      <c r="J225" s="9">
        <f t="shared" si="23"/>
        <v>1344.2176010739799</v>
      </c>
      <c r="K225" s="9">
        <f t="shared" si="24"/>
        <v>223.51099247765998</v>
      </c>
      <c r="L225" s="10">
        <f t="shared" si="21"/>
        <v>0.16627590079097537</v>
      </c>
      <c r="M225" s="10">
        <f t="shared" si="20"/>
        <v>0.17196189837556641</v>
      </c>
      <c r="P225" s="8">
        <f t="shared" si="25"/>
        <v>-19.171871546763604</v>
      </c>
    </row>
    <row r="226" spans="1:16" x14ac:dyDescent="0.2">
      <c r="A226" s="8">
        <v>112</v>
      </c>
      <c r="B226" s="8">
        <v>224</v>
      </c>
      <c r="D226">
        <v>1529.7003319109001</v>
      </c>
      <c r="E226">
        <v>348.48079658606002</v>
      </c>
      <c r="F226">
        <v>157.09453681709999</v>
      </c>
      <c r="G226">
        <v>122.53301662708</v>
      </c>
      <c r="I226" s="9">
        <f t="shared" si="22"/>
        <v>225.94777995898002</v>
      </c>
      <c r="J226" s="9">
        <f t="shared" si="23"/>
        <v>1372.6057950938002</v>
      </c>
      <c r="K226" s="9">
        <f t="shared" si="24"/>
        <v>225.94777995898002</v>
      </c>
      <c r="L226" s="10">
        <f t="shared" si="21"/>
        <v>0.16461228764048702</v>
      </c>
      <c r="M226" s="10">
        <f t="shared" si="20"/>
        <v>0.17032378297209416</v>
      </c>
      <c r="P226" s="8">
        <f t="shared" si="25"/>
        <v>-19.941843287619275</v>
      </c>
    </row>
    <row r="227" spans="1:16" x14ac:dyDescent="0.2">
      <c r="A227" s="8">
        <v>112.5</v>
      </c>
      <c r="B227" s="8">
        <v>225</v>
      </c>
      <c r="D227">
        <v>1489.667297681</v>
      </c>
      <c r="E227">
        <v>340.46663511595</v>
      </c>
      <c r="F227">
        <v>157.35059382423</v>
      </c>
      <c r="G227">
        <v>122.54726840855</v>
      </c>
      <c r="I227" s="9">
        <f t="shared" si="22"/>
        <v>217.9193667074</v>
      </c>
      <c r="J227" s="9">
        <f t="shared" si="23"/>
        <v>1332.3167038567701</v>
      </c>
      <c r="K227" s="9">
        <f t="shared" si="24"/>
        <v>217.9193667074</v>
      </c>
      <c r="L227" s="10">
        <f t="shared" si="21"/>
        <v>0.16356423819994925</v>
      </c>
      <c r="M227" s="10">
        <f t="shared" si="20"/>
        <v>0.16930123127857249</v>
      </c>
      <c r="P227" s="8">
        <f t="shared" si="25"/>
        <v>-20.422478477244439</v>
      </c>
    </row>
    <row r="228" spans="1:16" x14ac:dyDescent="0.2">
      <c r="A228" s="8">
        <v>113</v>
      </c>
      <c r="B228" s="8">
        <v>226</v>
      </c>
      <c r="D228">
        <v>1496.170373876</v>
      </c>
      <c r="E228">
        <v>341.07666824419999</v>
      </c>
      <c r="F228">
        <v>156.56722090260999</v>
      </c>
      <c r="G228">
        <v>122.54964370546</v>
      </c>
      <c r="I228" s="9">
        <f t="shared" si="22"/>
        <v>218.52702453873999</v>
      </c>
      <c r="J228" s="9">
        <f t="shared" si="23"/>
        <v>1339.60315297339</v>
      </c>
      <c r="K228" s="9">
        <f t="shared" si="24"/>
        <v>218.52702453873999</v>
      </c>
      <c r="L228" s="10">
        <f t="shared" si="21"/>
        <v>0.16312818020299241</v>
      </c>
      <c r="M228" s="10">
        <f t="shared" si="20"/>
        <v>0.16889067102863176</v>
      </c>
      <c r="P228" s="8">
        <f t="shared" si="25"/>
        <v>-20.615456206226742</v>
      </c>
    </row>
    <row r="229" spans="1:16" x14ac:dyDescent="0.2">
      <c r="A229" s="8">
        <v>113.5</v>
      </c>
      <c r="B229" s="8">
        <v>227</v>
      </c>
      <c r="D229">
        <v>1425.0705158542</v>
      </c>
      <c r="E229">
        <v>337.63795551349</v>
      </c>
      <c r="F229">
        <v>156.66983372921999</v>
      </c>
      <c r="G229">
        <v>122.59477434679</v>
      </c>
      <c r="I229" s="9">
        <f t="shared" si="22"/>
        <v>215.04318116669998</v>
      </c>
      <c r="J229" s="9">
        <f t="shared" si="23"/>
        <v>1268.40068212498</v>
      </c>
      <c r="K229" s="9">
        <f t="shared" si="24"/>
        <v>215.04318116669998</v>
      </c>
      <c r="L229" s="10">
        <f t="shared" si="21"/>
        <v>0.16953884068119021</v>
      </c>
      <c r="M229" s="10">
        <f t="shared" si="20"/>
        <v>0.17532682925384566</v>
      </c>
      <c r="P229" s="8">
        <f t="shared" si="25"/>
        <v>-17.590235917969796</v>
      </c>
    </row>
    <row r="230" spans="1:16" x14ac:dyDescent="0.2">
      <c r="A230" s="8">
        <v>114</v>
      </c>
      <c r="B230" s="8">
        <v>228</v>
      </c>
      <c r="D230">
        <v>1463.9178537512</v>
      </c>
      <c r="E230">
        <v>340.79487179487001</v>
      </c>
      <c r="F230">
        <v>156.60380047506001</v>
      </c>
      <c r="G230">
        <v>122.67933491687</v>
      </c>
      <c r="I230" s="9">
        <f t="shared" si="22"/>
        <v>218.115536878</v>
      </c>
      <c r="J230" s="9">
        <f t="shared" si="23"/>
        <v>1307.3140532761399</v>
      </c>
      <c r="K230" s="9">
        <f t="shared" si="24"/>
        <v>218.115536878</v>
      </c>
      <c r="L230" s="10">
        <f t="shared" si="21"/>
        <v>0.16684249383795779</v>
      </c>
      <c r="M230" s="10">
        <f t="shared" si="20"/>
        <v>0.17265598015762934</v>
      </c>
      <c r="P230" s="8">
        <f t="shared" si="25"/>
        <v>-18.845628745494292</v>
      </c>
    </row>
    <row r="231" spans="1:16" x14ac:dyDescent="0.2">
      <c r="A231" s="8">
        <v>114.5</v>
      </c>
      <c r="B231" s="8">
        <v>229</v>
      </c>
      <c r="D231">
        <v>1527.8614657210001</v>
      </c>
      <c r="E231">
        <v>349.85721040188997</v>
      </c>
      <c r="F231">
        <v>156.86698337292</v>
      </c>
      <c r="G231">
        <v>122.76057007126001</v>
      </c>
      <c r="I231" s="9">
        <f t="shared" si="22"/>
        <v>227.09664033062995</v>
      </c>
      <c r="J231" s="9">
        <f t="shared" si="23"/>
        <v>1370.9944823480801</v>
      </c>
      <c r="K231" s="9">
        <f t="shared" si="24"/>
        <v>227.09664033062995</v>
      </c>
      <c r="L231" s="10">
        <f t="shared" si="21"/>
        <v>0.16564373033922442</v>
      </c>
      <c r="M231" s="10">
        <f t="shared" si="20"/>
        <v>0.17148271440591206</v>
      </c>
      <c r="P231" s="8">
        <f t="shared" si="25"/>
        <v>-19.397104832845173</v>
      </c>
    </row>
    <row r="232" spans="1:16" x14ac:dyDescent="0.2">
      <c r="A232" s="8">
        <v>115</v>
      </c>
      <c r="B232" s="8">
        <v>230</v>
      </c>
      <c r="D232">
        <v>1498.0327635327999</v>
      </c>
      <c r="E232">
        <v>351.80246913579998</v>
      </c>
      <c r="F232">
        <v>156.60475059382</v>
      </c>
      <c r="G232">
        <v>122.23752969121</v>
      </c>
      <c r="I232" s="9">
        <f t="shared" si="22"/>
        <v>229.56493944458998</v>
      </c>
      <c r="J232" s="9">
        <f t="shared" si="23"/>
        <v>1341.4280129389799</v>
      </c>
      <c r="K232" s="9">
        <f t="shared" si="24"/>
        <v>229.56493944458998</v>
      </c>
      <c r="L232" s="10">
        <f t="shared" si="21"/>
        <v>0.17113474389253913</v>
      </c>
      <c r="M232" s="10">
        <f t="shared" si="20"/>
        <v>0.17699922570624291</v>
      </c>
      <c r="P232" s="8">
        <f t="shared" si="25"/>
        <v>-16.804150880783972</v>
      </c>
    </row>
    <row r="233" spans="1:16" x14ac:dyDescent="0.2">
      <c r="A233" s="8">
        <v>115.5</v>
      </c>
      <c r="B233" s="8">
        <v>231</v>
      </c>
      <c r="D233">
        <v>1457.7754036086999</v>
      </c>
      <c r="E233">
        <v>347.81101614434999</v>
      </c>
      <c r="F233">
        <v>156.83182897862</v>
      </c>
      <c r="G233">
        <v>122.52731591449</v>
      </c>
      <c r="I233" s="9">
        <f t="shared" si="22"/>
        <v>225.28370022985999</v>
      </c>
      <c r="J233" s="9">
        <f t="shared" si="23"/>
        <v>1300.9435746300799</v>
      </c>
      <c r="K233" s="9">
        <f t="shared" si="24"/>
        <v>225.28370022985999</v>
      </c>
      <c r="L233" s="10">
        <f t="shared" si="21"/>
        <v>0.17316946301373515</v>
      </c>
      <c r="M233" s="10">
        <f t="shared" si="20"/>
        <v>0.17905944257445502</v>
      </c>
      <c r="P233" s="8">
        <f t="shared" si="25"/>
        <v>-15.835776634870005</v>
      </c>
    </row>
    <row r="234" spans="1:16" x14ac:dyDescent="0.2">
      <c r="A234" s="8">
        <v>116</v>
      </c>
      <c r="B234" s="8">
        <v>232</v>
      </c>
      <c r="D234">
        <v>1392.6771130105001</v>
      </c>
      <c r="E234">
        <v>336.70845204179</v>
      </c>
      <c r="F234">
        <v>156.39477434679</v>
      </c>
      <c r="G234">
        <v>122.30356294537</v>
      </c>
      <c r="I234" s="9">
        <f t="shared" si="22"/>
        <v>214.40488909641999</v>
      </c>
      <c r="J234" s="9">
        <f t="shared" si="23"/>
        <v>1236.2823386637101</v>
      </c>
      <c r="K234" s="9">
        <f t="shared" si="24"/>
        <v>214.40488909641999</v>
      </c>
      <c r="L234" s="10">
        <f t="shared" si="21"/>
        <v>0.17342712290799925</v>
      </c>
      <c r="M234" s="10">
        <f t="shared" si="20"/>
        <v>0.17934260021573523</v>
      </c>
      <c r="P234" s="8">
        <f t="shared" si="25"/>
        <v>-15.70268260405205</v>
      </c>
    </row>
    <row r="235" spans="1:16" x14ac:dyDescent="0.2">
      <c r="A235" s="8">
        <v>116.5</v>
      </c>
      <c r="B235" s="8">
        <v>233</v>
      </c>
      <c r="D235">
        <v>1424.4325735991999</v>
      </c>
      <c r="E235">
        <v>341.93447293447002</v>
      </c>
      <c r="F235">
        <v>157.07030878859999</v>
      </c>
      <c r="G235">
        <v>122.48218527316</v>
      </c>
      <c r="I235" s="9">
        <f t="shared" si="22"/>
        <v>219.45228766131004</v>
      </c>
      <c r="J235" s="9">
        <f t="shared" si="23"/>
        <v>1267.3622648106</v>
      </c>
      <c r="K235" s="9">
        <f t="shared" si="24"/>
        <v>219.45228766131004</v>
      </c>
      <c r="L235" s="10">
        <f t="shared" si="21"/>
        <v>0.17315671592455525</v>
      </c>
      <c r="M235" s="10">
        <f t="shared" si="20"/>
        <v>0.17909769097930733</v>
      </c>
      <c r="P235" s="8">
        <f t="shared" si="25"/>
        <v>-15.817798541991651</v>
      </c>
    </row>
    <row r="236" spans="1:16" x14ac:dyDescent="0.2">
      <c r="A236" s="8">
        <v>117</v>
      </c>
      <c r="B236" s="8">
        <v>234</v>
      </c>
      <c r="D236">
        <v>1449.2724692526001</v>
      </c>
      <c r="E236">
        <v>346.57568590350002</v>
      </c>
      <c r="F236">
        <v>157.22470308788999</v>
      </c>
      <c r="G236">
        <v>122.36247030878999</v>
      </c>
      <c r="I236" s="9">
        <f t="shared" si="22"/>
        <v>224.21321559471002</v>
      </c>
      <c r="J236" s="9">
        <f t="shared" si="23"/>
        <v>1292.0477661647101</v>
      </c>
      <c r="K236" s="9">
        <f t="shared" si="24"/>
        <v>224.21321559471002</v>
      </c>
      <c r="L236" s="10">
        <f t="shared" si="21"/>
        <v>0.1735332249056552</v>
      </c>
      <c r="M236" s="10">
        <f t="shared" si="20"/>
        <v>0.17949969770742338</v>
      </c>
      <c r="P236" s="8">
        <f t="shared" si="25"/>
        <v>-15.628841268513177</v>
      </c>
    </row>
    <row r="237" spans="1:16" x14ac:dyDescent="0.2">
      <c r="A237" s="8">
        <v>117.5</v>
      </c>
      <c r="B237" s="8">
        <v>235</v>
      </c>
      <c r="D237">
        <v>1493.8703878903</v>
      </c>
      <c r="E237">
        <v>353.91721854305001</v>
      </c>
      <c r="F237">
        <v>156.67363420428001</v>
      </c>
      <c r="G237">
        <v>122.61187648456</v>
      </c>
      <c r="I237" s="9">
        <f t="shared" si="22"/>
        <v>231.30534205849</v>
      </c>
      <c r="J237" s="9">
        <f t="shared" si="23"/>
        <v>1337.19675368602</v>
      </c>
      <c r="K237" s="9">
        <f t="shared" si="24"/>
        <v>231.30534205849</v>
      </c>
      <c r="L237" s="10">
        <f t="shared" si="21"/>
        <v>0.17297779210194042</v>
      </c>
      <c r="M237" s="10">
        <f t="shared" si="20"/>
        <v>0.1789697626507247</v>
      </c>
      <c r="P237" s="8">
        <f t="shared" si="25"/>
        <v>-15.877929346973241</v>
      </c>
    </row>
    <row r="238" spans="1:16" x14ac:dyDescent="0.2">
      <c r="A238" s="8">
        <v>118</v>
      </c>
      <c r="B238" s="8">
        <v>236</v>
      </c>
      <c r="D238">
        <v>1508.0520340587</v>
      </c>
      <c r="E238">
        <v>351.80227057710999</v>
      </c>
      <c r="F238">
        <v>156.45083135391999</v>
      </c>
      <c r="G238">
        <v>122.69691211401</v>
      </c>
      <c r="I238" s="9">
        <f t="shared" si="22"/>
        <v>229.1053584631</v>
      </c>
      <c r="J238" s="9">
        <f t="shared" si="23"/>
        <v>1351.60120270478</v>
      </c>
      <c r="K238" s="9">
        <f t="shared" si="24"/>
        <v>229.1053584631</v>
      </c>
      <c r="L238" s="10">
        <f t="shared" si="21"/>
        <v>0.16950662518250345</v>
      </c>
      <c r="M238" s="10">
        <f t="shared" si="20"/>
        <v>0.17552409347830383</v>
      </c>
      <c r="P238" s="8">
        <f t="shared" si="25"/>
        <v>-17.497514808093985</v>
      </c>
    </row>
    <row r="239" spans="1:16" x14ac:dyDescent="0.2">
      <c r="A239" s="8">
        <v>118.5</v>
      </c>
      <c r="B239" s="8">
        <v>237</v>
      </c>
      <c r="D239">
        <v>1486.0439093483999</v>
      </c>
      <c r="E239">
        <v>353.90793201132999</v>
      </c>
      <c r="F239">
        <v>157.07030878859999</v>
      </c>
      <c r="G239">
        <v>122.28456057007</v>
      </c>
      <c r="I239" s="9">
        <f t="shared" si="22"/>
        <v>231.62337144125999</v>
      </c>
      <c r="J239" s="9">
        <f t="shared" si="23"/>
        <v>1328.9736005597999</v>
      </c>
      <c r="K239" s="9">
        <f t="shared" si="24"/>
        <v>231.62337144125999</v>
      </c>
      <c r="L239" s="10">
        <f t="shared" si="21"/>
        <v>0.17428741349240789</v>
      </c>
      <c r="M239" s="10">
        <f t="shared" si="20"/>
        <v>0.18033037953522438</v>
      </c>
      <c r="P239" s="8">
        <f t="shared" si="25"/>
        <v>-15.238391650804095</v>
      </c>
    </row>
    <row r="240" spans="1:16" x14ac:dyDescent="0.2">
      <c r="A240" s="8">
        <v>119</v>
      </c>
      <c r="B240" s="8">
        <v>238</v>
      </c>
      <c r="D240">
        <v>1504.9466477809001</v>
      </c>
      <c r="E240">
        <v>356.08309726157</v>
      </c>
      <c r="F240">
        <v>156.48456057006999</v>
      </c>
      <c r="G240">
        <v>122.38289786223</v>
      </c>
      <c r="I240" s="9">
        <f t="shared" si="22"/>
        <v>233.70019939934002</v>
      </c>
      <c r="J240" s="9">
        <f t="shared" si="23"/>
        <v>1348.4620872108301</v>
      </c>
      <c r="K240" s="9">
        <f t="shared" si="24"/>
        <v>233.70019939934002</v>
      </c>
      <c r="L240" s="10">
        <f t="shared" si="21"/>
        <v>0.1733086911495802</v>
      </c>
      <c r="M240" s="10">
        <f t="shared" si="20"/>
        <v>0.17937715493941278</v>
      </c>
      <c r="P240" s="8">
        <f t="shared" si="25"/>
        <v>-15.686440670981646</v>
      </c>
    </row>
    <row r="241" spans="1:16" x14ac:dyDescent="0.2">
      <c r="A241" s="8">
        <v>119.5</v>
      </c>
      <c r="B241" s="8">
        <v>239</v>
      </c>
      <c r="D241">
        <v>1534.7345007099</v>
      </c>
      <c r="E241">
        <v>358.9829626124</v>
      </c>
      <c r="F241">
        <v>156.48883610451</v>
      </c>
      <c r="G241">
        <v>122.74109263658001</v>
      </c>
      <c r="I241" s="9">
        <f t="shared" si="22"/>
        <v>236.24186997582001</v>
      </c>
      <c r="J241" s="9">
        <f t="shared" si="23"/>
        <v>1378.2456646053899</v>
      </c>
      <c r="K241" s="9">
        <f t="shared" si="24"/>
        <v>236.24186997582001</v>
      </c>
      <c r="L241" s="10">
        <f t="shared" si="21"/>
        <v>0.17140766413617503</v>
      </c>
      <c r="M241" s="10">
        <f t="shared" si="20"/>
        <v>0.17750162567302372</v>
      </c>
      <c r="P241" s="8">
        <f t="shared" si="25"/>
        <v>-16.568005261123663</v>
      </c>
    </row>
    <row r="242" spans="1:16" x14ac:dyDescent="0.2">
      <c r="A242" s="8">
        <v>120</v>
      </c>
      <c r="B242" s="8">
        <v>240</v>
      </c>
      <c r="D242">
        <v>1530.5418835779001</v>
      </c>
      <c r="E242">
        <v>357.83625177472999</v>
      </c>
      <c r="F242">
        <v>156.6432304038</v>
      </c>
      <c r="G242">
        <v>122.31068883611</v>
      </c>
      <c r="I242" s="9">
        <f>E242-G242</f>
        <v>235.52556293862</v>
      </c>
      <c r="J242" s="9">
        <f>D242-F242</f>
        <v>1373.8986531741</v>
      </c>
      <c r="K242" s="9">
        <f t="shared" si="24"/>
        <v>235.52556293862</v>
      </c>
      <c r="L242" s="10">
        <f t="shared" si="21"/>
        <v>0.17142862932028385</v>
      </c>
      <c r="M242" s="10">
        <f>L242+ABS($N$2)*A242</f>
        <v>0.17754808860414864</v>
      </c>
      <c r="O242" s="11"/>
      <c r="P242" s="8">
        <f>(M242-$O$2)/$O$2*100</f>
        <v>-16.546166052550397</v>
      </c>
    </row>
    <row r="243" spans="1:16" x14ac:dyDescent="0.2">
      <c r="A243" s="8">
        <v>120.5</v>
      </c>
      <c r="B243" s="8">
        <v>241</v>
      </c>
      <c r="D243">
        <v>1469.3620444865001</v>
      </c>
      <c r="E243">
        <v>357.64363464269002</v>
      </c>
      <c r="F243">
        <v>157.25178147267999</v>
      </c>
      <c r="G243">
        <v>122.53349168646</v>
      </c>
      <c r="I243" s="9">
        <f t="shared" ref="I243:I274" si="26">E243-G243</f>
        <v>235.11014295623002</v>
      </c>
      <c r="J243" s="9">
        <f t="shared" ref="J243:J274" si="27">D243-F243</f>
        <v>1312.11026301382</v>
      </c>
      <c r="K243" s="9">
        <f t="shared" si="24"/>
        <v>235.11014295623002</v>
      </c>
      <c r="L243" s="10">
        <f t="shared" si="21"/>
        <v>0.17918474505046508</v>
      </c>
      <c r="M243" s="10">
        <f t="shared" ref="M243:M274" si="28">L243+ABS($N$2)*A243</f>
        <v>0.18532970208134597</v>
      </c>
      <c r="P243" s="8">
        <f t="shared" ref="P243:P274" si="29">(M243-$O$2)/$O$2*100</f>
        <v>-12.88853456761146</v>
      </c>
    </row>
    <row r="244" spans="1:16" x14ac:dyDescent="0.2">
      <c r="A244" s="8">
        <v>121</v>
      </c>
      <c r="B244" s="8">
        <v>242</v>
      </c>
      <c r="D244">
        <v>1483.3155408596999</v>
      </c>
      <c r="E244">
        <v>359.46575342466002</v>
      </c>
      <c r="F244">
        <v>156.76389548693999</v>
      </c>
      <c r="G244">
        <v>122.76912114014</v>
      </c>
      <c r="I244" s="9">
        <f t="shared" si="26"/>
        <v>236.69663228452004</v>
      </c>
      <c r="J244" s="9">
        <f t="shared" si="27"/>
        <v>1326.55164537276</v>
      </c>
      <c r="K244" s="9">
        <f t="shared" si="24"/>
        <v>236.69663228452004</v>
      </c>
      <c r="L244" s="10">
        <f t="shared" si="21"/>
        <v>0.17843001673561565</v>
      </c>
      <c r="M244" s="10">
        <f t="shared" si="28"/>
        <v>0.18460047151351267</v>
      </c>
      <c r="N244" s="1"/>
      <c r="P244" s="8">
        <f t="shared" si="29"/>
        <v>-13.231298531987607</v>
      </c>
    </row>
    <row r="245" spans="1:16" x14ac:dyDescent="0.2">
      <c r="A245" s="8">
        <v>121.5</v>
      </c>
      <c r="B245" s="8">
        <v>243</v>
      </c>
      <c r="D245">
        <v>1450.9395370807999</v>
      </c>
      <c r="E245">
        <v>353.66414737836999</v>
      </c>
      <c r="F245">
        <v>156.45938242279999</v>
      </c>
      <c r="G245">
        <v>122.38194774346999</v>
      </c>
      <c r="I245" s="9">
        <f t="shared" si="26"/>
        <v>231.2821996349</v>
      </c>
      <c r="J245" s="9">
        <f t="shared" si="27"/>
        <v>1294.4801546579999</v>
      </c>
      <c r="K245" s="9">
        <f t="shared" si="24"/>
        <v>231.2821996349</v>
      </c>
      <c r="L245" s="10">
        <f t="shared" si="21"/>
        <v>0.17866801495771442</v>
      </c>
      <c r="M245" s="10">
        <f t="shared" si="28"/>
        <v>0.18486396748262754</v>
      </c>
      <c r="P245" s="8">
        <f t="shared" si="29"/>
        <v>-13.107446177252532</v>
      </c>
    </row>
    <row r="246" spans="1:16" x14ac:dyDescent="0.2">
      <c r="A246" s="8">
        <v>122</v>
      </c>
      <c r="B246" s="8">
        <v>244</v>
      </c>
      <c r="D246">
        <v>1470.4284364667001</v>
      </c>
      <c r="E246">
        <v>359.44733112896</v>
      </c>
      <c r="F246">
        <v>156.15819477434999</v>
      </c>
      <c r="G246">
        <v>122.41852731591</v>
      </c>
      <c r="I246" s="9">
        <f t="shared" si="26"/>
        <v>237.02880381304999</v>
      </c>
      <c r="J246" s="9">
        <f t="shared" si="27"/>
        <v>1314.2702416923501</v>
      </c>
      <c r="K246" s="9">
        <f t="shared" si="24"/>
        <v>237.02880381304999</v>
      </c>
      <c r="L246" s="10">
        <f t="shared" si="21"/>
        <v>0.1803501260957065</v>
      </c>
      <c r="M246" s="10">
        <f t="shared" si="28"/>
        <v>0.18657157636763572</v>
      </c>
      <c r="P246" s="8">
        <f t="shared" si="29"/>
        <v>-12.304810060710684</v>
      </c>
    </row>
    <row r="247" spans="1:16" x14ac:dyDescent="0.2">
      <c r="A247" s="8">
        <v>122.5</v>
      </c>
      <c r="B247" s="8">
        <v>245</v>
      </c>
      <c r="D247">
        <v>1484.0779097387001</v>
      </c>
      <c r="E247">
        <v>360.88503562944999</v>
      </c>
      <c r="F247">
        <v>156.87458432304001</v>
      </c>
      <c r="G247">
        <v>122.48408551068999</v>
      </c>
      <c r="I247" s="9">
        <f t="shared" si="26"/>
        <v>238.40095011875999</v>
      </c>
      <c r="J247" s="9">
        <f t="shared" si="27"/>
        <v>1327.2033254156602</v>
      </c>
      <c r="K247" s="9">
        <f t="shared" si="24"/>
        <v>238.40095011875999</v>
      </c>
      <c r="L247" s="10">
        <f t="shared" si="21"/>
        <v>0.17962654670421083</v>
      </c>
      <c r="M247" s="10">
        <f t="shared" si="28"/>
        <v>0.18587349472315615</v>
      </c>
      <c r="P247" s="8">
        <f t="shared" si="29"/>
        <v>-12.632932937719223</v>
      </c>
    </row>
    <row r="248" spans="1:16" x14ac:dyDescent="0.2">
      <c r="A248" s="8">
        <v>123</v>
      </c>
      <c r="B248" s="8">
        <v>246</v>
      </c>
      <c r="D248">
        <v>1480.6409890632001</v>
      </c>
      <c r="E248">
        <v>360.68473609130001</v>
      </c>
      <c r="F248">
        <v>156.48693586697999</v>
      </c>
      <c r="G248">
        <v>122.24370546318001</v>
      </c>
      <c r="I248" s="9">
        <f t="shared" si="26"/>
        <v>238.44103062812002</v>
      </c>
      <c r="J248" s="9">
        <f t="shared" si="27"/>
        <v>1324.15405319622</v>
      </c>
      <c r="K248" s="9">
        <f t="shared" si="24"/>
        <v>238.44103062812002</v>
      </c>
      <c r="L248" s="10">
        <f t="shared" si="21"/>
        <v>0.18007046087468087</v>
      </c>
      <c r="M248" s="10">
        <f t="shared" si="28"/>
        <v>0.18634290664064229</v>
      </c>
      <c r="P248" s="8">
        <f t="shared" si="29"/>
        <v>-12.412292859175867</v>
      </c>
    </row>
    <row r="249" spans="1:16" x14ac:dyDescent="0.2">
      <c r="A249" s="8">
        <v>123.5</v>
      </c>
      <c r="B249" s="8">
        <v>247</v>
      </c>
      <c r="D249">
        <v>1479.6828340466</v>
      </c>
      <c r="E249">
        <v>361.55777460770003</v>
      </c>
      <c r="F249">
        <v>156.7729216152</v>
      </c>
      <c r="G249">
        <v>122.55296912113999</v>
      </c>
      <c r="I249" s="9">
        <f t="shared" si="26"/>
        <v>239.00480548656003</v>
      </c>
      <c r="J249" s="9">
        <f t="shared" si="27"/>
        <v>1322.9099124314</v>
      </c>
      <c r="K249" s="9">
        <f t="shared" si="24"/>
        <v>239.00480548656003</v>
      </c>
      <c r="L249" s="10">
        <f t="shared" si="21"/>
        <v>0.18066597221823577</v>
      </c>
      <c r="M249" s="10">
        <f t="shared" si="28"/>
        <v>0.18696391573121329</v>
      </c>
      <c r="P249" s="8">
        <f t="shared" si="29"/>
        <v>-12.120396787909694</v>
      </c>
    </row>
    <row r="250" spans="1:16" x14ac:dyDescent="0.2">
      <c r="A250" s="8">
        <v>124</v>
      </c>
      <c r="B250" s="8">
        <v>248</v>
      </c>
      <c r="D250">
        <v>1478.2900618164999</v>
      </c>
      <c r="E250">
        <v>363.76224441274002</v>
      </c>
      <c r="F250">
        <v>156.68076009500999</v>
      </c>
      <c r="G250">
        <v>122.44560570071</v>
      </c>
      <c r="I250" s="9">
        <f t="shared" si="26"/>
        <v>241.31663871203</v>
      </c>
      <c r="J250" s="9">
        <f t="shared" si="27"/>
        <v>1321.6093017214898</v>
      </c>
      <c r="K250" s="9">
        <f t="shared" si="24"/>
        <v>241.31663871203</v>
      </c>
      <c r="L250" s="10">
        <f t="shared" si="21"/>
        <v>0.18259302382156206</v>
      </c>
      <c r="M250" s="10">
        <f t="shared" si="28"/>
        <v>0.18891646508155568</v>
      </c>
      <c r="P250" s="8">
        <f t="shared" si="29"/>
        <v>-11.202630054746074</v>
      </c>
    </row>
    <row r="251" spans="1:16" x14ac:dyDescent="0.2">
      <c r="A251" s="8">
        <v>124.5</v>
      </c>
      <c r="B251" s="8">
        <v>249</v>
      </c>
      <c r="D251">
        <v>1517.3516587678</v>
      </c>
      <c r="E251">
        <v>367.84454976302999</v>
      </c>
      <c r="F251">
        <v>156.65273159144999</v>
      </c>
      <c r="G251">
        <v>122.01472684086001</v>
      </c>
      <c r="I251" s="9">
        <f t="shared" si="26"/>
        <v>245.82982292216997</v>
      </c>
      <c r="J251" s="9">
        <f t="shared" si="27"/>
        <v>1360.69892717635</v>
      </c>
      <c r="K251" s="9">
        <f t="shared" si="24"/>
        <v>245.82982292216997</v>
      </c>
      <c r="L251" s="10">
        <f t="shared" si="21"/>
        <v>0.1806643762351624</v>
      </c>
      <c r="M251" s="10">
        <f t="shared" si="28"/>
        <v>0.18701331524217213</v>
      </c>
      <c r="P251" s="8">
        <f t="shared" si="29"/>
        <v>-12.097177283734489</v>
      </c>
    </row>
    <row r="252" spans="1:16" x14ac:dyDescent="0.2">
      <c r="A252" s="8">
        <v>125</v>
      </c>
      <c r="B252" s="8">
        <v>250</v>
      </c>
      <c r="D252">
        <v>1513.0928909953</v>
      </c>
      <c r="E252">
        <v>369.75829383886003</v>
      </c>
      <c r="F252">
        <v>155.92256532067</v>
      </c>
      <c r="G252">
        <v>122.6351543943</v>
      </c>
      <c r="I252" s="9">
        <f t="shared" si="26"/>
        <v>247.12313944456002</v>
      </c>
      <c r="J252" s="9">
        <f t="shared" si="27"/>
        <v>1357.17032567463</v>
      </c>
      <c r="K252" s="9">
        <f t="shared" si="24"/>
        <v>247.12313944456002</v>
      </c>
      <c r="L252" s="10">
        <f t="shared" si="21"/>
        <v>0.18208704889102156</v>
      </c>
      <c r="M252" s="10">
        <f t="shared" si="28"/>
        <v>0.18846148564504739</v>
      </c>
      <c r="P252" s="8">
        <f t="shared" si="29"/>
        <v>-11.416486360620045</v>
      </c>
    </row>
    <row r="253" spans="1:16" x14ac:dyDescent="0.2">
      <c r="A253" s="8">
        <v>125.5</v>
      </c>
      <c r="B253" s="8">
        <v>251</v>
      </c>
      <c r="D253">
        <v>1535.2056872037999</v>
      </c>
      <c r="E253">
        <v>371.23222748814999</v>
      </c>
      <c r="F253">
        <v>156.59382422803</v>
      </c>
      <c r="G253">
        <v>122.34536817102</v>
      </c>
      <c r="I253" s="9">
        <f t="shared" si="26"/>
        <v>248.88685931712999</v>
      </c>
      <c r="J253" s="9">
        <f t="shared" si="27"/>
        <v>1378.61186297577</v>
      </c>
      <c r="K253" s="9">
        <f t="shared" si="24"/>
        <v>248.88685931712999</v>
      </c>
      <c r="L253" s="10">
        <f t="shared" si="21"/>
        <v>0.18053439550411321</v>
      </c>
      <c r="M253" s="10">
        <f t="shared" si="28"/>
        <v>0.18693433000515514</v>
      </c>
      <c r="P253" s="8">
        <f t="shared" si="29"/>
        <v>-12.134303117676932</v>
      </c>
    </row>
    <row r="254" spans="1:16" x14ac:dyDescent="0.2">
      <c r="A254" s="8">
        <v>126</v>
      </c>
      <c r="B254" s="8">
        <v>252</v>
      </c>
      <c r="D254">
        <v>1535.3758293839001</v>
      </c>
      <c r="E254">
        <v>370.90426540284</v>
      </c>
      <c r="F254">
        <v>156.65985748219001</v>
      </c>
      <c r="G254">
        <v>122.09121140143</v>
      </c>
      <c r="I254" s="9">
        <f t="shared" si="26"/>
        <v>248.81305400140999</v>
      </c>
      <c r="J254" s="9">
        <f t="shared" si="27"/>
        <v>1378.71597190171</v>
      </c>
      <c r="K254" s="9">
        <f t="shared" si="24"/>
        <v>248.81305400140999</v>
      </c>
      <c r="L254" s="10">
        <f t="shared" si="21"/>
        <v>0.18046723115727284</v>
      </c>
      <c r="M254" s="10">
        <f t="shared" si="28"/>
        <v>0.18689266340533087</v>
      </c>
      <c r="P254" s="8">
        <f t="shared" si="29"/>
        <v>-12.15388788217779</v>
      </c>
    </row>
    <row r="255" spans="1:16" x14ac:dyDescent="0.2">
      <c r="A255" s="8">
        <v>126.5</v>
      </c>
      <c r="B255" s="8">
        <v>253</v>
      </c>
      <c r="D255">
        <v>1524.8751779782001</v>
      </c>
      <c r="E255">
        <v>370.59278595158997</v>
      </c>
      <c r="F255">
        <v>156.62327790974001</v>
      </c>
      <c r="G255">
        <v>122.43895486936</v>
      </c>
      <c r="I255" s="9">
        <f t="shared" si="26"/>
        <v>248.15383108222997</v>
      </c>
      <c r="J255" s="9">
        <f t="shared" si="27"/>
        <v>1368.2519000684601</v>
      </c>
      <c r="K255" s="9">
        <f t="shared" si="24"/>
        <v>248.15383108222997</v>
      </c>
      <c r="L255" s="10">
        <f t="shared" si="21"/>
        <v>0.18136560312455161</v>
      </c>
      <c r="M255" s="10">
        <f t="shared" si="28"/>
        <v>0.18781653311962573</v>
      </c>
      <c r="P255" s="8">
        <f t="shared" si="29"/>
        <v>-11.719636686729888</v>
      </c>
    </row>
    <row r="256" spans="1:16" x14ac:dyDescent="0.2">
      <c r="A256" s="8">
        <v>127</v>
      </c>
      <c r="B256" s="8">
        <v>254</v>
      </c>
      <c r="D256">
        <v>1499.4175771972</v>
      </c>
      <c r="E256">
        <v>372.38004750594001</v>
      </c>
      <c r="F256">
        <v>155.92399049881001</v>
      </c>
      <c r="G256">
        <v>122.32494061758</v>
      </c>
      <c r="I256" s="9">
        <f t="shared" si="26"/>
        <v>250.05510688836</v>
      </c>
      <c r="J256" s="9">
        <f t="shared" si="27"/>
        <v>1343.4935866983899</v>
      </c>
      <c r="K256" s="9">
        <f t="shared" si="24"/>
        <v>250.05510688836</v>
      </c>
      <c r="L256" s="10">
        <f t="shared" si="21"/>
        <v>0.18612303725458468</v>
      </c>
      <c r="M256" s="10">
        <f t="shared" si="28"/>
        <v>0.19259946499667491</v>
      </c>
      <c r="P256" s="8">
        <f t="shared" si="29"/>
        <v>-9.4714908137593437</v>
      </c>
    </row>
    <row r="257" spans="1:16" x14ac:dyDescent="0.2">
      <c r="A257" s="8">
        <v>127.5</v>
      </c>
      <c r="B257" s="8">
        <v>255</v>
      </c>
      <c r="D257">
        <v>1492.4921615201999</v>
      </c>
      <c r="E257">
        <v>373.55439429928998</v>
      </c>
      <c r="F257">
        <v>156.77387173397</v>
      </c>
      <c r="G257">
        <v>122.11828978622</v>
      </c>
      <c r="I257" s="9">
        <f t="shared" si="26"/>
        <v>251.43610451306998</v>
      </c>
      <c r="J257" s="9">
        <f t="shared" si="27"/>
        <v>1335.7182897862299</v>
      </c>
      <c r="K257" s="9">
        <f t="shared" si="24"/>
        <v>251.43610451306998</v>
      </c>
      <c r="L257" s="10">
        <f t="shared" si="21"/>
        <v>0.18824036957172319</v>
      </c>
      <c r="M257" s="10">
        <f t="shared" si="28"/>
        <v>0.19474229506082955</v>
      </c>
      <c r="P257" s="8">
        <f t="shared" si="29"/>
        <v>-8.4642854658591045</v>
      </c>
    </row>
    <row r="258" spans="1:16" x14ac:dyDescent="0.2">
      <c r="A258" s="8">
        <v>128</v>
      </c>
      <c r="B258" s="8">
        <v>256</v>
      </c>
      <c r="D258">
        <v>1459.8660332541999</v>
      </c>
      <c r="E258">
        <v>370.41567695961999</v>
      </c>
      <c r="F258">
        <v>156.38052256532001</v>
      </c>
      <c r="G258">
        <v>122.15961995249</v>
      </c>
      <c r="I258" s="9">
        <f t="shared" si="26"/>
        <v>248.25605700712998</v>
      </c>
      <c r="J258" s="9">
        <f t="shared" si="27"/>
        <v>1303.4855106888799</v>
      </c>
      <c r="K258" s="9">
        <f t="shared" si="24"/>
        <v>248.25605700712998</v>
      </c>
      <c r="L258" s="10">
        <f t="shared" ref="L258:L321" si="30">K258/J258</f>
        <v>0.19045555548671114</v>
      </c>
      <c r="M258" s="10">
        <f t="shared" si="28"/>
        <v>0.1969829787228336</v>
      </c>
      <c r="P258" s="8">
        <f t="shared" si="29"/>
        <v>-7.4110854921068645</v>
      </c>
    </row>
    <row r="259" spans="1:16" x14ac:dyDescent="0.2">
      <c r="A259" s="8">
        <v>128.5</v>
      </c>
      <c r="B259" s="8">
        <v>257</v>
      </c>
      <c r="D259">
        <v>1503.6413301662999</v>
      </c>
      <c r="E259">
        <v>376.20712589073997</v>
      </c>
      <c r="F259">
        <v>156.58432304038001</v>
      </c>
      <c r="G259">
        <v>122.51733966746001</v>
      </c>
      <c r="I259" s="9">
        <f t="shared" si="26"/>
        <v>253.68978622327995</v>
      </c>
      <c r="J259" s="9">
        <f t="shared" si="27"/>
        <v>1347.0570071259199</v>
      </c>
      <c r="K259" s="9">
        <f t="shared" ref="K259:K322" si="31">I259*1</f>
        <v>253.68978622327995</v>
      </c>
      <c r="L259" s="10">
        <f t="shared" si="30"/>
        <v>0.1883289162086409</v>
      </c>
      <c r="M259" s="10">
        <f t="shared" si="28"/>
        <v>0.19488183719177946</v>
      </c>
      <c r="P259" s="8">
        <f t="shared" si="29"/>
        <v>-8.3986957660965196</v>
      </c>
    </row>
    <row r="260" spans="1:16" x14ac:dyDescent="0.2">
      <c r="A260" s="8">
        <v>129</v>
      </c>
      <c r="B260" s="8">
        <v>258</v>
      </c>
      <c r="D260">
        <v>1466.1296912114001</v>
      </c>
      <c r="E260">
        <v>370.41852731592002</v>
      </c>
      <c r="F260">
        <v>156.2674584323</v>
      </c>
      <c r="G260">
        <v>122.34346793349</v>
      </c>
      <c r="I260" s="9">
        <f t="shared" si="26"/>
        <v>248.07505938243003</v>
      </c>
      <c r="J260" s="9">
        <f t="shared" si="27"/>
        <v>1309.8622327791002</v>
      </c>
      <c r="K260" s="9">
        <f t="shared" si="31"/>
        <v>248.07505938243003</v>
      </c>
      <c r="L260" s="10">
        <f t="shared" si="30"/>
        <v>0.18939019171206709</v>
      </c>
      <c r="M260" s="10">
        <f t="shared" si="28"/>
        <v>0.19596861044222175</v>
      </c>
      <c r="P260" s="8">
        <f t="shared" si="29"/>
        <v>-7.8878741904097742</v>
      </c>
    </row>
    <row r="261" spans="1:16" x14ac:dyDescent="0.2">
      <c r="A261" s="8">
        <v>129.5</v>
      </c>
      <c r="B261" s="8">
        <v>259</v>
      </c>
      <c r="D261">
        <v>1540.9890736341999</v>
      </c>
      <c r="E261">
        <v>381.12066508314001</v>
      </c>
      <c r="F261">
        <v>156.58194774347001</v>
      </c>
      <c r="G261">
        <v>122.28693586698</v>
      </c>
      <c r="I261" s="9">
        <f t="shared" si="26"/>
        <v>258.83372921616001</v>
      </c>
      <c r="J261" s="9">
        <f t="shared" si="27"/>
        <v>1384.40712589073</v>
      </c>
      <c r="K261" s="9">
        <f t="shared" si="31"/>
        <v>258.83372921616001</v>
      </c>
      <c r="L261" s="10">
        <f t="shared" si="30"/>
        <v>0.18696359212224217</v>
      </c>
      <c r="M261" s="10">
        <f t="shared" si="28"/>
        <v>0.19356750859941294</v>
      </c>
      <c r="P261" s="8">
        <f t="shared" si="29"/>
        <v>-9.0164763401487136</v>
      </c>
    </row>
    <row r="262" spans="1:16" x14ac:dyDescent="0.2">
      <c r="A262" s="8">
        <v>130</v>
      </c>
      <c r="B262" s="8">
        <v>260</v>
      </c>
      <c r="D262">
        <v>1550.0742316784999</v>
      </c>
      <c r="E262">
        <v>385.25342789598</v>
      </c>
      <c r="F262">
        <v>156.31686460808001</v>
      </c>
      <c r="G262">
        <v>122.5757719715</v>
      </c>
      <c r="I262" s="9">
        <f t="shared" si="26"/>
        <v>262.67765592448001</v>
      </c>
      <c r="J262" s="9">
        <f t="shared" si="27"/>
        <v>1393.7573670704198</v>
      </c>
      <c r="K262" s="9">
        <f t="shared" si="31"/>
        <v>262.67765592448001</v>
      </c>
      <c r="L262" s="10">
        <f t="shared" si="30"/>
        <v>0.18846727711051314</v>
      </c>
      <c r="M262" s="10">
        <f t="shared" si="28"/>
        <v>0.19509669133470001</v>
      </c>
      <c r="P262" s="8">
        <f t="shared" si="29"/>
        <v>-8.2977067771010375</v>
      </c>
    </row>
    <row r="263" spans="1:16" x14ac:dyDescent="0.2">
      <c r="A263" s="8">
        <v>130.5</v>
      </c>
      <c r="B263" s="8">
        <v>261</v>
      </c>
      <c r="D263">
        <v>1546.3943262411001</v>
      </c>
      <c r="E263">
        <v>383.34373522458998</v>
      </c>
      <c r="F263">
        <v>156.21472684086001</v>
      </c>
      <c r="G263">
        <v>122.32494061758</v>
      </c>
      <c r="I263" s="9">
        <f t="shared" si="26"/>
        <v>261.01879460700997</v>
      </c>
      <c r="J263" s="9">
        <f t="shared" si="27"/>
        <v>1390.17959940024</v>
      </c>
      <c r="K263" s="9">
        <f t="shared" si="31"/>
        <v>261.01879460700997</v>
      </c>
      <c r="L263" s="10">
        <f t="shared" si="30"/>
        <v>0.18775904546406832</v>
      </c>
      <c r="M263" s="10">
        <f t="shared" si="28"/>
        <v>0.19441395743527129</v>
      </c>
      <c r="P263" s="8">
        <f t="shared" si="29"/>
        <v>-8.6186156751982246</v>
      </c>
    </row>
    <row r="264" spans="1:16" x14ac:dyDescent="0.2">
      <c r="A264" s="8">
        <v>131</v>
      </c>
      <c r="B264" s="8">
        <v>262</v>
      </c>
      <c r="D264">
        <v>1558.2744075829</v>
      </c>
      <c r="E264">
        <v>385.82559241706002</v>
      </c>
      <c r="F264">
        <v>156.77054631829</v>
      </c>
      <c r="G264">
        <v>122.39952494062</v>
      </c>
      <c r="I264" s="9">
        <f t="shared" si="26"/>
        <v>263.42606747644004</v>
      </c>
      <c r="J264" s="9">
        <f t="shared" si="27"/>
        <v>1401.5038612646101</v>
      </c>
      <c r="K264" s="9">
        <f t="shared" si="31"/>
        <v>263.42606747644004</v>
      </c>
      <c r="L264" s="10">
        <f t="shared" si="30"/>
        <v>0.18795957311080433</v>
      </c>
      <c r="M264" s="10">
        <f t="shared" si="28"/>
        <v>0.19463998282902339</v>
      </c>
      <c r="P264" s="8">
        <f t="shared" si="29"/>
        <v>-8.512375806178003</v>
      </c>
    </row>
    <row r="265" spans="1:16" x14ac:dyDescent="0.2">
      <c r="A265" s="8">
        <v>131.5</v>
      </c>
      <c r="B265" s="8">
        <v>263</v>
      </c>
      <c r="D265">
        <v>1535.7251184833999</v>
      </c>
      <c r="E265">
        <v>384.12890995261</v>
      </c>
      <c r="F265">
        <v>156.13301662708</v>
      </c>
      <c r="G265">
        <v>122.52494061758</v>
      </c>
      <c r="I265" s="9">
        <f t="shared" si="26"/>
        <v>261.60396933503</v>
      </c>
      <c r="J265" s="9">
        <f t="shared" si="27"/>
        <v>1379.5921018563199</v>
      </c>
      <c r="K265" s="9">
        <f t="shared" si="31"/>
        <v>261.60396933503</v>
      </c>
      <c r="L265" s="10">
        <f t="shared" si="30"/>
        <v>0.18962414251504262</v>
      </c>
      <c r="M265" s="10">
        <f t="shared" si="28"/>
        <v>0.19633004998027778</v>
      </c>
      <c r="P265" s="8">
        <f t="shared" si="29"/>
        <v>-7.7179849202514115</v>
      </c>
    </row>
    <row r="266" spans="1:16" x14ac:dyDescent="0.2">
      <c r="A266" s="8">
        <v>132</v>
      </c>
      <c r="B266" s="8">
        <v>264</v>
      </c>
      <c r="D266">
        <v>1462.9056872038</v>
      </c>
      <c r="E266">
        <v>377.37819905213001</v>
      </c>
      <c r="F266">
        <v>156.07790973872</v>
      </c>
      <c r="G266">
        <v>122.08931116390001</v>
      </c>
      <c r="I266" s="9">
        <f t="shared" si="26"/>
        <v>255.28888788823002</v>
      </c>
      <c r="J266" s="9">
        <f t="shared" si="27"/>
        <v>1306.8277774650801</v>
      </c>
      <c r="K266" s="9">
        <f t="shared" si="31"/>
        <v>255.28888788823002</v>
      </c>
      <c r="L266" s="10">
        <f t="shared" si="30"/>
        <v>0.19535006241099862</v>
      </c>
      <c r="M266" s="10">
        <f t="shared" si="28"/>
        <v>0.20208146762324988</v>
      </c>
      <c r="P266" s="8">
        <f t="shared" si="29"/>
        <v>-5.014616741452496</v>
      </c>
    </row>
    <row r="267" spans="1:16" x14ac:dyDescent="0.2">
      <c r="A267" s="8">
        <v>132.5</v>
      </c>
      <c r="B267" s="8">
        <v>265</v>
      </c>
      <c r="D267">
        <v>1421.0406619385001</v>
      </c>
      <c r="E267">
        <v>369.10827423168001</v>
      </c>
      <c r="F267">
        <v>156.43562945368001</v>
      </c>
      <c r="G267">
        <v>122.40855106888</v>
      </c>
      <c r="I267" s="9">
        <f t="shared" si="26"/>
        <v>246.69972316280001</v>
      </c>
      <c r="J267" s="9">
        <f t="shared" si="27"/>
        <v>1264.6050324848202</v>
      </c>
      <c r="K267" s="9">
        <f t="shared" si="31"/>
        <v>246.69972316280001</v>
      </c>
      <c r="L267" s="10">
        <f t="shared" si="30"/>
        <v>0.19508045344249514</v>
      </c>
      <c r="M267" s="10">
        <f t="shared" si="28"/>
        <v>0.20183735640176251</v>
      </c>
      <c r="P267" s="8">
        <f t="shared" si="29"/>
        <v>-5.129357584358087</v>
      </c>
    </row>
    <row r="268" spans="1:16" x14ac:dyDescent="0.2">
      <c r="A268" s="8">
        <v>133</v>
      </c>
      <c r="B268" s="8">
        <v>266</v>
      </c>
      <c r="D268">
        <v>1445.9659574468001</v>
      </c>
      <c r="E268">
        <v>374.52860520094998</v>
      </c>
      <c r="F268">
        <v>156.25795724465999</v>
      </c>
      <c r="G268">
        <v>122.16342042754999</v>
      </c>
      <c r="I268" s="9">
        <f t="shared" si="26"/>
        <v>252.36518477339999</v>
      </c>
      <c r="J268" s="9">
        <f t="shared" si="27"/>
        <v>1289.7080002021401</v>
      </c>
      <c r="K268" s="9">
        <f t="shared" si="31"/>
        <v>252.36518477339999</v>
      </c>
      <c r="L268" s="10">
        <f t="shared" si="30"/>
        <v>0.19567621875172209</v>
      </c>
      <c r="M268" s="10">
        <f t="shared" si="28"/>
        <v>0.20245861945800556</v>
      </c>
      <c r="P268" s="8">
        <f t="shared" si="29"/>
        <v>-4.8373421403113355</v>
      </c>
    </row>
    <row r="269" spans="1:16" x14ac:dyDescent="0.2">
      <c r="A269" s="8">
        <v>133.5</v>
      </c>
      <c r="B269" s="8">
        <v>267</v>
      </c>
      <c r="D269">
        <v>1427.2728132387999</v>
      </c>
      <c r="E269">
        <v>372.28510638298002</v>
      </c>
      <c r="F269">
        <v>156.21757719715001</v>
      </c>
      <c r="G269">
        <v>122.40332541568</v>
      </c>
      <c r="I269" s="9">
        <f t="shared" si="26"/>
        <v>249.88178096730002</v>
      </c>
      <c r="J269" s="9">
        <f t="shared" si="27"/>
        <v>1271.05523604165</v>
      </c>
      <c r="K269" s="9">
        <f t="shared" si="31"/>
        <v>249.88178096730002</v>
      </c>
      <c r="L269" s="10">
        <f t="shared" si="30"/>
        <v>0.19659395900487198</v>
      </c>
      <c r="M269" s="10">
        <f t="shared" si="28"/>
        <v>0.20340185745817158</v>
      </c>
      <c r="P269" s="8">
        <f t="shared" si="29"/>
        <v>-4.3939871706372768</v>
      </c>
    </row>
    <row r="270" spans="1:16" x14ac:dyDescent="0.2">
      <c r="A270" s="8">
        <v>134</v>
      </c>
      <c r="B270" s="8">
        <v>268</v>
      </c>
      <c r="D270">
        <v>1568.5295508274</v>
      </c>
      <c r="E270">
        <v>393.66477541371</v>
      </c>
      <c r="F270">
        <v>156.1054631829</v>
      </c>
      <c r="G270">
        <v>122.03752969121</v>
      </c>
      <c r="I270" s="9">
        <f t="shared" si="26"/>
        <v>271.62724572249999</v>
      </c>
      <c r="J270" s="9">
        <f t="shared" si="27"/>
        <v>1412.4240876445001</v>
      </c>
      <c r="K270" s="9">
        <f t="shared" si="31"/>
        <v>271.62724572249999</v>
      </c>
      <c r="L270" s="10">
        <f t="shared" si="30"/>
        <v>0.19231281036525849</v>
      </c>
      <c r="M270" s="10">
        <f t="shared" si="28"/>
        <v>0.19914620656557419</v>
      </c>
      <c r="P270" s="8">
        <f t="shared" si="29"/>
        <v>-6.3942924722671988</v>
      </c>
    </row>
    <row r="271" spans="1:16" x14ac:dyDescent="0.2">
      <c r="A271" s="8">
        <v>134.5</v>
      </c>
      <c r="B271" s="8">
        <v>269</v>
      </c>
      <c r="D271">
        <v>1576.4160756501001</v>
      </c>
      <c r="E271">
        <v>400.66666666666998</v>
      </c>
      <c r="F271">
        <v>155.89168646081001</v>
      </c>
      <c r="G271">
        <v>122.16627078385</v>
      </c>
      <c r="I271" s="9">
        <f t="shared" si="26"/>
        <v>278.50039588281999</v>
      </c>
      <c r="J271" s="9">
        <f t="shared" si="27"/>
        <v>1420.5243891892901</v>
      </c>
      <c r="K271" s="9">
        <f t="shared" si="31"/>
        <v>278.50039588281999</v>
      </c>
      <c r="L271" s="10">
        <f t="shared" si="30"/>
        <v>0.19605463869702611</v>
      </c>
      <c r="M271" s="10">
        <f t="shared" si="28"/>
        <v>0.20291353264435791</v>
      </c>
      <c r="P271" s="8">
        <f t="shared" si="29"/>
        <v>-4.6235169743361757</v>
      </c>
    </row>
    <row r="272" spans="1:16" x14ac:dyDescent="0.2">
      <c r="A272" s="8">
        <v>135</v>
      </c>
      <c r="B272" s="8">
        <v>270</v>
      </c>
      <c r="D272">
        <v>1550.2401891253</v>
      </c>
      <c r="E272">
        <v>401.12009456265002</v>
      </c>
      <c r="F272">
        <v>156.03420427552999</v>
      </c>
      <c r="G272">
        <v>121.76247030879</v>
      </c>
      <c r="I272" s="9">
        <f t="shared" si="26"/>
        <v>279.35762425386002</v>
      </c>
      <c r="J272" s="9">
        <f t="shared" si="27"/>
        <v>1394.2059848497702</v>
      </c>
      <c r="K272" s="9">
        <f t="shared" si="31"/>
        <v>279.35762425386002</v>
      </c>
      <c r="L272" s="10">
        <f t="shared" si="30"/>
        <v>0.20037040960196539</v>
      </c>
      <c r="M272" s="10">
        <f t="shared" si="28"/>
        <v>0.2072548012963133</v>
      </c>
      <c r="P272" s="8">
        <f t="shared" si="29"/>
        <v>-2.5829683204483427</v>
      </c>
    </row>
    <row r="273" spans="1:16" x14ac:dyDescent="0.2">
      <c r="A273" s="8">
        <v>135.5</v>
      </c>
      <c r="B273" s="8">
        <v>271</v>
      </c>
      <c r="D273">
        <v>1504.6364066194001</v>
      </c>
      <c r="E273">
        <v>390.98865248227003</v>
      </c>
      <c r="F273">
        <v>156.83467933492</v>
      </c>
      <c r="G273">
        <v>121.79049881234999</v>
      </c>
      <c r="I273" s="9">
        <f t="shared" si="26"/>
        <v>269.19815366992003</v>
      </c>
      <c r="J273" s="9">
        <f t="shared" si="27"/>
        <v>1347.80172728448</v>
      </c>
      <c r="K273" s="9">
        <f t="shared" si="31"/>
        <v>269.19815366992003</v>
      </c>
      <c r="L273" s="10">
        <f t="shared" si="30"/>
        <v>0.19973127220447648</v>
      </c>
      <c r="M273" s="10">
        <f t="shared" si="28"/>
        <v>0.20664116164584048</v>
      </c>
      <c r="P273" s="8">
        <f t="shared" si="29"/>
        <v>-2.8714004961858435</v>
      </c>
    </row>
    <row r="274" spans="1:16" x14ac:dyDescent="0.2">
      <c r="A274" s="8">
        <v>136</v>
      </c>
      <c r="B274" s="8">
        <v>272</v>
      </c>
      <c r="D274">
        <v>1486.6865248227</v>
      </c>
      <c r="E274">
        <v>389.77399527186998</v>
      </c>
      <c r="F274">
        <v>156.06983372921999</v>
      </c>
      <c r="G274">
        <v>122.25035629454</v>
      </c>
      <c r="I274" s="9">
        <f t="shared" si="26"/>
        <v>267.52363897732999</v>
      </c>
      <c r="J274" s="9">
        <f t="shared" si="27"/>
        <v>1330.6166910934801</v>
      </c>
      <c r="K274" s="9">
        <f t="shared" si="31"/>
        <v>267.52363897732999</v>
      </c>
      <c r="L274" s="10">
        <f t="shared" si="30"/>
        <v>0.20105236975306784</v>
      </c>
      <c r="M274" s="10">
        <f t="shared" si="28"/>
        <v>0.20798775694144794</v>
      </c>
      <c r="P274" s="8">
        <f t="shared" si="29"/>
        <v>-2.2384534389826829</v>
      </c>
    </row>
    <row r="275" spans="1:16" x14ac:dyDescent="0.2">
      <c r="A275" s="8">
        <v>136.5</v>
      </c>
      <c r="B275" s="8">
        <v>273</v>
      </c>
      <c r="D275">
        <v>1394.8042553191999</v>
      </c>
      <c r="E275">
        <v>383.16501182032999</v>
      </c>
      <c r="F275">
        <v>156.26413301663001</v>
      </c>
      <c r="G275">
        <v>122.20332541568</v>
      </c>
      <c r="I275" s="9">
        <f>E275-G275</f>
        <v>260.96168640464998</v>
      </c>
      <c r="J275" s="9">
        <f>D275-F275</f>
        <v>1238.5401223025699</v>
      </c>
      <c r="K275" s="9">
        <f t="shared" si="31"/>
        <v>260.96168640464998</v>
      </c>
      <c r="L275" s="10">
        <f t="shared" si="30"/>
        <v>0.21070103560270306</v>
      </c>
      <c r="M275" s="10">
        <f>L275+ABS($N$2)*A275</f>
        <v>0.21766192053809927</v>
      </c>
      <c r="O275" s="11"/>
      <c r="P275" s="8">
        <f>(M275-$O$2)/$O$2*100</f>
        <v>2.308743034505778</v>
      </c>
    </row>
    <row r="276" spans="1:16" x14ac:dyDescent="0.2">
      <c r="A276" s="8">
        <v>137</v>
      </c>
      <c r="B276" s="8">
        <v>274</v>
      </c>
      <c r="D276">
        <v>1505.0582662244999</v>
      </c>
      <c r="E276">
        <v>396.35243960207998</v>
      </c>
      <c r="F276">
        <v>156.10213776722</v>
      </c>
      <c r="G276">
        <v>122.02327790974</v>
      </c>
      <c r="I276" s="9">
        <f t="shared" ref="I276:I291" si="32">E276-G276</f>
        <v>274.32916169233999</v>
      </c>
      <c r="J276" s="9">
        <f t="shared" ref="J276:J291" si="33">D276-F276</f>
        <v>1348.9561284572799</v>
      </c>
      <c r="K276" s="9">
        <f t="shared" si="31"/>
        <v>274.32916169233999</v>
      </c>
      <c r="L276" s="10">
        <f t="shared" si="30"/>
        <v>0.20336403527524188</v>
      </c>
      <c r="M276" s="10">
        <f t="shared" ref="M276:M291" si="34">L276+ABS($N$2)*A276</f>
        <v>0.21035041795765419</v>
      </c>
      <c r="P276" s="8">
        <f t="shared" ref="P276:P291" si="35">(M276-$O$2)/$O$2*100</f>
        <v>-1.1279198270991166</v>
      </c>
    </row>
    <row r="277" spans="1:16" x14ac:dyDescent="0.2">
      <c r="A277" s="8">
        <v>137.5</v>
      </c>
      <c r="B277" s="8">
        <v>275</v>
      </c>
      <c r="D277">
        <v>1509.5144481289001</v>
      </c>
      <c r="E277">
        <v>397.31643770724997</v>
      </c>
      <c r="F277">
        <v>156.10736342043</v>
      </c>
      <c r="G277">
        <v>121.91781472684001</v>
      </c>
      <c r="I277" s="9">
        <f t="shared" si="32"/>
        <v>275.39862298040998</v>
      </c>
      <c r="J277" s="9">
        <f t="shared" si="33"/>
        <v>1353.4070847084702</v>
      </c>
      <c r="K277" s="9">
        <f t="shared" si="31"/>
        <v>275.39862298040998</v>
      </c>
      <c r="L277" s="10">
        <f t="shared" si="30"/>
        <v>0.20348543028332977</v>
      </c>
      <c r="M277" s="10">
        <f t="shared" si="34"/>
        <v>0.21049731071275818</v>
      </c>
      <c r="N277" s="1"/>
      <c r="P277" s="8">
        <f t="shared" si="35"/>
        <v>-1.0588750759620704</v>
      </c>
    </row>
    <row r="278" spans="1:16" x14ac:dyDescent="0.2">
      <c r="A278" s="8">
        <v>138</v>
      </c>
      <c r="B278" s="8">
        <v>276</v>
      </c>
      <c r="D278">
        <v>1524.7162482235999</v>
      </c>
      <c r="E278">
        <v>398.9810516343</v>
      </c>
      <c r="F278">
        <v>156.03610451306</v>
      </c>
      <c r="G278">
        <v>122.12256532067001</v>
      </c>
      <c r="I278" s="9">
        <f t="shared" si="32"/>
        <v>276.85848631363001</v>
      </c>
      <c r="J278" s="9">
        <f t="shared" si="33"/>
        <v>1368.6801437105398</v>
      </c>
      <c r="K278" s="9">
        <f t="shared" si="31"/>
        <v>276.85848631363001</v>
      </c>
      <c r="L278" s="10">
        <f t="shared" si="30"/>
        <v>0.20228136397380395</v>
      </c>
      <c r="M278" s="10">
        <f t="shared" si="34"/>
        <v>0.20931874215024845</v>
      </c>
      <c r="P278" s="8">
        <f t="shared" si="35"/>
        <v>-1.6128436705249785</v>
      </c>
    </row>
    <row r="279" spans="1:16" x14ac:dyDescent="0.2">
      <c r="A279" s="8">
        <v>138.5</v>
      </c>
      <c r="B279" s="8">
        <v>277</v>
      </c>
      <c r="D279">
        <v>1617.5649504015</v>
      </c>
      <c r="E279">
        <v>414.78885214926999</v>
      </c>
      <c r="F279">
        <v>156.32684085510999</v>
      </c>
      <c r="G279">
        <v>122.52684085511</v>
      </c>
      <c r="I279" s="9">
        <f t="shared" si="32"/>
        <v>292.26201129416</v>
      </c>
      <c r="J279" s="9">
        <f t="shared" si="33"/>
        <v>1461.23810954639</v>
      </c>
      <c r="K279" s="9">
        <f t="shared" si="31"/>
        <v>292.26201129416</v>
      </c>
      <c r="L279" s="10">
        <f t="shared" si="30"/>
        <v>0.20000984739228192</v>
      </c>
      <c r="M279" s="10">
        <f t="shared" si="34"/>
        <v>0.20707272331574253</v>
      </c>
      <c r="P279" s="8">
        <f t="shared" si="35"/>
        <v>-2.6685513626286377</v>
      </c>
    </row>
    <row r="280" spans="1:16" x14ac:dyDescent="0.2">
      <c r="A280" s="8">
        <v>139</v>
      </c>
      <c r="B280" s="8">
        <v>278</v>
      </c>
      <c r="D280">
        <v>1598.6046291923001</v>
      </c>
      <c r="E280">
        <v>414.21445441663002</v>
      </c>
      <c r="F280">
        <v>155.80427553443999</v>
      </c>
      <c r="G280">
        <v>122.16437054632</v>
      </c>
      <c r="I280" s="9">
        <f t="shared" si="32"/>
        <v>292.05008387031</v>
      </c>
      <c r="J280" s="9">
        <f t="shared" si="33"/>
        <v>1442.8003536578601</v>
      </c>
      <c r="K280" s="9">
        <f t="shared" si="31"/>
        <v>292.05008387031</v>
      </c>
      <c r="L280" s="10">
        <f t="shared" si="30"/>
        <v>0.20241891619300614</v>
      </c>
      <c r="M280" s="10">
        <f t="shared" si="34"/>
        <v>0.20950728986348285</v>
      </c>
      <c r="P280" s="8">
        <f t="shared" si="35"/>
        <v>-1.5242196268918373</v>
      </c>
    </row>
    <row r="281" spans="1:16" x14ac:dyDescent="0.2">
      <c r="A281" s="8">
        <v>139.5</v>
      </c>
      <c r="B281" s="8">
        <v>279</v>
      </c>
      <c r="D281">
        <v>1588.9071969697</v>
      </c>
      <c r="E281">
        <v>413.05539772727002</v>
      </c>
      <c r="F281">
        <v>156.47505938242</v>
      </c>
      <c r="G281">
        <v>122.07553444181001</v>
      </c>
      <c r="I281" s="9">
        <f t="shared" si="32"/>
        <v>290.97986328546</v>
      </c>
      <c r="J281" s="9">
        <f t="shared" si="33"/>
        <v>1432.4321375872801</v>
      </c>
      <c r="K281" s="9">
        <f t="shared" si="31"/>
        <v>290.97986328546</v>
      </c>
      <c r="L281" s="10">
        <f t="shared" si="30"/>
        <v>0.20313692750259885</v>
      </c>
      <c r="M281" s="10">
        <f t="shared" si="34"/>
        <v>0.21025079892009169</v>
      </c>
      <c r="P281" s="8">
        <f t="shared" si="35"/>
        <v>-1.1747442715868377</v>
      </c>
    </row>
    <row r="282" spans="1:16" x14ac:dyDescent="0.2">
      <c r="A282" s="8">
        <v>140</v>
      </c>
      <c r="B282" s="8">
        <v>280</v>
      </c>
      <c r="D282">
        <v>1529.233317558</v>
      </c>
      <c r="E282">
        <v>405.14813061997</v>
      </c>
      <c r="F282">
        <v>156.00902612826999</v>
      </c>
      <c r="G282">
        <v>122.15439429929</v>
      </c>
      <c r="I282" s="9">
        <f t="shared" si="32"/>
        <v>282.99373632068</v>
      </c>
      <c r="J282" s="9">
        <f t="shared" si="33"/>
        <v>1373.2242914297299</v>
      </c>
      <c r="K282" s="9">
        <f t="shared" si="31"/>
        <v>282.99373632068</v>
      </c>
      <c r="L282" s="10">
        <f t="shared" si="30"/>
        <v>0.20607976285217153</v>
      </c>
      <c r="M282" s="10">
        <f t="shared" si="34"/>
        <v>0.21321913201668047</v>
      </c>
      <c r="P282" s="8">
        <f t="shared" si="35"/>
        <v>0.22047647841368262</v>
      </c>
    </row>
    <row r="283" spans="1:16" x14ac:dyDescent="0.2">
      <c r="A283" s="8">
        <v>140.5</v>
      </c>
      <c r="B283" s="8">
        <v>281</v>
      </c>
      <c r="D283">
        <v>1518.8873639374999</v>
      </c>
      <c r="E283">
        <v>402.24183625178</v>
      </c>
      <c r="F283">
        <v>155.93301662708001</v>
      </c>
      <c r="G283">
        <v>122.24988123515</v>
      </c>
      <c r="I283" s="9">
        <f t="shared" si="32"/>
        <v>279.99195501663002</v>
      </c>
      <c r="J283" s="9">
        <f t="shared" si="33"/>
        <v>1362.95434731042</v>
      </c>
      <c r="K283" s="9">
        <f t="shared" si="31"/>
        <v>279.99195501663002</v>
      </c>
      <c r="L283" s="10">
        <f t="shared" si="30"/>
        <v>0.20543017861834545</v>
      </c>
      <c r="M283" s="10">
        <f t="shared" si="34"/>
        <v>0.21259504552987049</v>
      </c>
      <c r="P283" s="8">
        <f t="shared" si="35"/>
        <v>-7.2866077107751781E-2</v>
      </c>
    </row>
    <row r="284" spans="1:16" x14ac:dyDescent="0.2">
      <c r="A284" s="8">
        <v>141</v>
      </c>
      <c r="B284" s="8">
        <v>282</v>
      </c>
      <c r="D284">
        <v>1426.8594415523</v>
      </c>
      <c r="E284">
        <v>397.56933270232003</v>
      </c>
      <c r="F284">
        <v>155.69596199525</v>
      </c>
      <c r="G284">
        <v>122.08218527315999</v>
      </c>
      <c r="I284" s="9">
        <f t="shared" si="32"/>
        <v>275.48714742916002</v>
      </c>
      <c r="J284" s="9">
        <f t="shared" si="33"/>
        <v>1271.1634795570501</v>
      </c>
      <c r="K284" s="9">
        <f t="shared" si="31"/>
        <v>275.48714742916002</v>
      </c>
      <c r="L284" s="10">
        <f t="shared" si="30"/>
        <v>0.21672047054495014</v>
      </c>
      <c r="M284" s="10">
        <f t="shared" si="34"/>
        <v>0.22391083520349128</v>
      </c>
      <c r="P284" s="8">
        <f t="shared" si="35"/>
        <v>5.2459522770119369</v>
      </c>
    </row>
    <row r="285" spans="1:16" x14ac:dyDescent="0.2">
      <c r="A285" s="8">
        <v>141.5</v>
      </c>
      <c r="B285" s="8">
        <v>283</v>
      </c>
      <c r="D285">
        <v>1515.390521327</v>
      </c>
      <c r="E285">
        <v>407.62180094786999</v>
      </c>
      <c r="F285">
        <v>156.01330166271001</v>
      </c>
      <c r="G285">
        <v>122.37102137767</v>
      </c>
      <c r="I285" s="9">
        <f t="shared" si="32"/>
        <v>285.2507795702</v>
      </c>
      <c r="J285" s="9">
        <f t="shared" si="33"/>
        <v>1359.3772196642899</v>
      </c>
      <c r="K285" s="9">
        <f t="shared" si="31"/>
        <v>285.2507795702</v>
      </c>
      <c r="L285" s="10">
        <f t="shared" si="30"/>
        <v>0.20983931129921771</v>
      </c>
      <c r="M285" s="10">
        <f t="shared" si="34"/>
        <v>0.21705517370477495</v>
      </c>
      <c r="P285" s="8">
        <f t="shared" si="35"/>
        <v>2.023550724780145</v>
      </c>
    </row>
    <row r="286" spans="1:16" x14ac:dyDescent="0.2">
      <c r="A286" s="8">
        <v>142</v>
      </c>
      <c r="B286" s="8">
        <v>284</v>
      </c>
      <c r="D286">
        <v>1485.5121140143001</v>
      </c>
      <c r="E286">
        <v>395.29121140143002</v>
      </c>
      <c r="F286">
        <v>155.65605700712999</v>
      </c>
      <c r="G286">
        <v>121.91448931116</v>
      </c>
      <c r="I286" s="9">
        <f t="shared" si="32"/>
        <v>273.37672209027005</v>
      </c>
      <c r="J286" s="9">
        <f t="shared" si="33"/>
        <v>1329.8560570071702</v>
      </c>
      <c r="K286" s="9">
        <f t="shared" si="31"/>
        <v>273.37672209027005</v>
      </c>
      <c r="L286" s="10">
        <f t="shared" si="30"/>
        <v>0.20556865583294937</v>
      </c>
      <c r="M286" s="10">
        <f t="shared" si="34"/>
        <v>0.21281001598552271</v>
      </c>
      <c r="P286" s="8">
        <f t="shared" si="35"/>
        <v>2.8177582954430853E-2</v>
      </c>
    </row>
    <row r="287" spans="1:16" x14ac:dyDescent="0.2">
      <c r="A287" s="8">
        <v>142.5</v>
      </c>
      <c r="B287" s="8">
        <v>285</v>
      </c>
      <c r="D287">
        <v>1466.7092636580001</v>
      </c>
      <c r="E287">
        <v>394.23087885986001</v>
      </c>
      <c r="F287">
        <v>156.13016627077999</v>
      </c>
      <c r="G287">
        <v>122.25463182898</v>
      </c>
      <c r="I287" s="9">
        <f t="shared" si="32"/>
        <v>271.97624703088002</v>
      </c>
      <c r="J287" s="9">
        <f t="shared" si="33"/>
        <v>1310.5790973872201</v>
      </c>
      <c r="K287" s="9">
        <f t="shared" si="31"/>
        <v>271.97624703088002</v>
      </c>
      <c r="L287" s="10">
        <f t="shared" si="30"/>
        <v>0.20752371800610417</v>
      </c>
      <c r="M287" s="10">
        <f t="shared" si="34"/>
        <v>0.21479057590569361</v>
      </c>
      <c r="P287" s="8">
        <f t="shared" si="35"/>
        <v>0.95911026716613024</v>
      </c>
    </row>
    <row r="288" spans="1:16" x14ac:dyDescent="0.2">
      <c r="A288" s="8">
        <v>143</v>
      </c>
      <c r="B288" s="8">
        <v>286</v>
      </c>
      <c r="D288">
        <v>1536.1698113207999</v>
      </c>
      <c r="E288">
        <v>401.02594339622999</v>
      </c>
      <c r="F288">
        <v>155.97339667457999</v>
      </c>
      <c r="G288">
        <v>122.22755344418</v>
      </c>
      <c r="I288" s="9">
        <f t="shared" si="32"/>
        <v>278.79838995205</v>
      </c>
      <c r="J288" s="9">
        <f t="shared" si="33"/>
        <v>1380.1964146462199</v>
      </c>
      <c r="K288" s="9">
        <f t="shared" si="31"/>
        <v>278.79838995205</v>
      </c>
      <c r="L288" s="10">
        <f t="shared" si="30"/>
        <v>0.201999068388765</v>
      </c>
      <c r="M288" s="10">
        <f t="shared" si="34"/>
        <v>0.20929142403537054</v>
      </c>
      <c r="P288" s="8">
        <f t="shared" si="35"/>
        <v>-1.6256841434396798</v>
      </c>
    </row>
    <row r="289" spans="1:16" x14ac:dyDescent="0.2">
      <c r="A289" s="8">
        <v>143.5</v>
      </c>
      <c r="B289" s="8">
        <v>287</v>
      </c>
      <c r="D289">
        <v>1605.4005708848999</v>
      </c>
      <c r="E289">
        <v>413.78544243578</v>
      </c>
      <c r="F289">
        <v>156.19667458431999</v>
      </c>
      <c r="G289">
        <v>121.96532066508</v>
      </c>
      <c r="I289" s="9">
        <f t="shared" si="32"/>
        <v>291.82012177069998</v>
      </c>
      <c r="J289" s="9">
        <f t="shared" si="33"/>
        <v>1449.20389630058</v>
      </c>
      <c r="K289" s="9">
        <f t="shared" si="31"/>
        <v>291.82012177069998</v>
      </c>
      <c r="L289" s="10">
        <f t="shared" si="30"/>
        <v>0.20136581368269621</v>
      </c>
      <c r="M289" s="10">
        <f t="shared" si="34"/>
        <v>0.20868366707631786</v>
      </c>
      <c r="P289" s="8">
        <f t="shared" si="35"/>
        <v>-1.9113512477151386</v>
      </c>
    </row>
    <row r="290" spans="1:16" x14ac:dyDescent="0.2">
      <c r="A290" s="8">
        <v>144</v>
      </c>
      <c r="B290" s="8">
        <v>288</v>
      </c>
      <c r="D290">
        <v>1638.3728652750999</v>
      </c>
      <c r="E290">
        <v>419.91508538899001</v>
      </c>
      <c r="F290">
        <v>155.87790973872001</v>
      </c>
      <c r="G290">
        <v>122.12921615202001</v>
      </c>
      <c r="I290" s="9">
        <f t="shared" si="32"/>
        <v>297.78586923697003</v>
      </c>
      <c r="J290" s="9">
        <f t="shared" si="33"/>
        <v>1482.4949555363798</v>
      </c>
      <c r="K290" s="9">
        <f t="shared" si="31"/>
        <v>297.78586923697003</v>
      </c>
      <c r="L290" s="10">
        <f t="shared" si="30"/>
        <v>0.20086804890963589</v>
      </c>
      <c r="M290" s="10">
        <f t="shared" si="34"/>
        <v>0.20821140005027364</v>
      </c>
      <c r="P290" s="8">
        <f t="shared" si="35"/>
        <v>-2.1333333275009831</v>
      </c>
    </row>
    <row r="291" spans="1:16" x14ac:dyDescent="0.2">
      <c r="A291" s="8">
        <v>144.5</v>
      </c>
      <c r="B291" s="8">
        <v>289</v>
      </c>
      <c r="D291">
        <v>1582.6854838710001</v>
      </c>
      <c r="E291">
        <v>410.74383301708002</v>
      </c>
      <c r="F291">
        <v>155.66983372921999</v>
      </c>
      <c r="G291">
        <v>122.03752969121</v>
      </c>
      <c r="I291" s="9">
        <f t="shared" si="32"/>
        <v>288.70630332587001</v>
      </c>
      <c r="J291" s="9">
        <f t="shared" si="33"/>
        <v>1427.01565014178</v>
      </c>
      <c r="K291" s="9">
        <f t="shared" si="31"/>
        <v>288.70630332587001</v>
      </c>
      <c r="L291" s="10">
        <f t="shared" si="30"/>
        <v>0.20231474216641268</v>
      </c>
      <c r="M291" s="10">
        <f t="shared" si="34"/>
        <v>0.20968359105406653</v>
      </c>
      <c r="P291" s="8">
        <f t="shared" si="35"/>
        <v>-1.4413518787826971</v>
      </c>
    </row>
    <row r="292" spans="1:16" x14ac:dyDescent="0.2">
      <c r="A292" s="8">
        <v>145</v>
      </c>
      <c r="B292" s="8">
        <v>290</v>
      </c>
      <c r="D292">
        <v>1577.5687855788001</v>
      </c>
      <c r="E292">
        <v>410.67694497154002</v>
      </c>
      <c r="F292">
        <v>155.09216152018999</v>
      </c>
      <c r="G292">
        <v>121.98432304038</v>
      </c>
      <c r="I292" s="9">
        <f>E292-G292</f>
        <v>288.69262193116003</v>
      </c>
      <c r="J292" s="9">
        <f>D292-F292</f>
        <v>1422.47662405861</v>
      </c>
      <c r="K292" s="9">
        <f t="shared" si="31"/>
        <v>288.69262193116003</v>
      </c>
      <c r="L292" s="10">
        <f t="shared" si="30"/>
        <v>0.20295069672741778</v>
      </c>
      <c r="M292" s="10">
        <f>L292+ABS($N$2)*A292</f>
        <v>0.21034504336208773</v>
      </c>
      <c r="O292" s="11"/>
      <c r="P292" s="8">
        <f>(M292-$O$2)/$O$2*100</f>
        <v>-1.1304460756747241</v>
      </c>
    </row>
    <row r="293" spans="1:16" x14ac:dyDescent="0.2">
      <c r="A293" s="8">
        <v>145.5</v>
      </c>
      <c r="B293" s="8">
        <v>291</v>
      </c>
      <c r="D293">
        <v>1599.7879506641</v>
      </c>
      <c r="E293">
        <v>413.69307400380001</v>
      </c>
      <c r="F293">
        <v>156.01805225653001</v>
      </c>
      <c r="G293">
        <v>122.11401425178001</v>
      </c>
      <c r="I293" s="9">
        <f t="shared" ref="I293:I301" si="36">E293-G293</f>
        <v>291.57905975201999</v>
      </c>
      <c r="J293" s="9">
        <f t="shared" ref="J293:J301" si="37">D293-F293</f>
        <v>1443.7698984075701</v>
      </c>
      <c r="K293" s="9">
        <f t="shared" si="31"/>
        <v>291.57905975201999</v>
      </c>
      <c r="L293" s="10">
        <f t="shared" si="30"/>
        <v>0.20195673844815712</v>
      </c>
      <c r="M293" s="10">
        <f t="shared" ref="M293:M301" si="38">L293+ABS($N$2)*A293</f>
        <v>0.20937658282984317</v>
      </c>
      <c r="P293" s="8">
        <f t="shared" ref="P293:P301" si="39">(M293-$O$2)/$O$2*100</f>
        <v>-1.5856565207885076</v>
      </c>
    </row>
    <row r="294" spans="1:16" x14ac:dyDescent="0.2">
      <c r="A294" s="8">
        <v>146</v>
      </c>
      <c r="B294" s="8">
        <v>292</v>
      </c>
      <c r="D294">
        <v>1605.7741935484</v>
      </c>
      <c r="E294">
        <v>415.01802656547</v>
      </c>
      <c r="F294">
        <v>156.05748218527</v>
      </c>
      <c r="G294">
        <v>121.81852731591</v>
      </c>
      <c r="I294" s="9">
        <f t="shared" si="36"/>
        <v>293.19949924956001</v>
      </c>
      <c r="J294" s="9">
        <f t="shared" si="37"/>
        <v>1449.7167113631301</v>
      </c>
      <c r="K294" s="9">
        <f t="shared" si="31"/>
        <v>293.19949924956001</v>
      </c>
      <c r="L294" s="10">
        <f t="shared" si="30"/>
        <v>0.20224606431822967</v>
      </c>
      <c r="M294" s="10">
        <f t="shared" si="38"/>
        <v>0.20969140644693185</v>
      </c>
      <c r="N294" s="1"/>
      <c r="P294" s="8">
        <f t="shared" si="39"/>
        <v>-1.4376783697996154</v>
      </c>
    </row>
    <row r="295" spans="1:16" x14ac:dyDescent="0.2">
      <c r="A295" s="8">
        <v>146.5</v>
      </c>
      <c r="B295" s="8">
        <v>293</v>
      </c>
      <c r="D295">
        <v>1591.3083491461</v>
      </c>
      <c r="E295">
        <v>411.81546489563999</v>
      </c>
      <c r="F295">
        <v>155.67505938241999</v>
      </c>
      <c r="G295">
        <v>121.86555819477</v>
      </c>
      <c r="I295" s="9">
        <f t="shared" si="36"/>
        <v>289.94990670086997</v>
      </c>
      <c r="J295" s="9">
        <f t="shared" si="37"/>
        <v>1435.6332897636801</v>
      </c>
      <c r="K295" s="9">
        <f t="shared" si="31"/>
        <v>289.94990670086997</v>
      </c>
      <c r="L295" s="10">
        <f t="shared" si="30"/>
        <v>0.20196655285737955</v>
      </c>
      <c r="M295" s="10">
        <f t="shared" si="38"/>
        <v>0.20943739273309783</v>
      </c>
      <c r="P295" s="8">
        <f t="shared" si="39"/>
        <v>-1.5570737317059993</v>
      </c>
    </row>
    <row r="296" spans="1:16" x14ac:dyDescent="0.2">
      <c r="A296" s="8">
        <v>147</v>
      </c>
      <c r="B296" s="8">
        <v>294</v>
      </c>
      <c r="D296">
        <v>1557.1318785579001</v>
      </c>
      <c r="E296">
        <v>406.03795066414</v>
      </c>
      <c r="F296">
        <v>155.84655581947999</v>
      </c>
      <c r="G296">
        <v>121.78527315914999</v>
      </c>
      <c r="I296" s="9">
        <f t="shared" si="36"/>
        <v>284.25267750499</v>
      </c>
      <c r="J296" s="9">
        <f t="shared" si="37"/>
        <v>1401.2853227384201</v>
      </c>
      <c r="K296" s="9">
        <f t="shared" si="31"/>
        <v>284.25267750499</v>
      </c>
      <c r="L296" s="10">
        <f t="shared" si="30"/>
        <v>0.2028513914279054</v>
      </c>
      <c r="M296" s="10">
        <f t="shared" si="38"/>
        <v>0.21034772905063978</v>
      </c>
      <c r="P296" s="8">
        <f t="shared" si="39"/>
        <v>-1.1291837077820617</v>
      </c>
    </row>
    <row r="297" spans="1:16" x14ac:dyDescent="0.2">
      <c r="A297" s="8">
        <v>147.5</v>
      </c>
      <c r="B297" s="8">
        <v>295</v>
      </c>
      <c r="D297">
        <v>1634.6279508970999</v>
      </c>
      <c r="E297">
        <v>419.30547686496999</v>
      </c>
      <c r="F297">
        <v>155.61757719715001</v>
      </c>
      <c r="G297">
        <v>121.58954869359</v>
      </c>
      <c r="I297" s="9">
        <f t="shared" si="36"/>
        <v>297.71592817137997</v>
      </c>
      <c r="J297" s="9">
        <f t="shared" si="37"/>
        <v>1479.0103736999499</v>
      </c>
      <c r="K297" s="9">
        <f t="shared" si="31"/>
        <v>297.71592817137997</v>
      </c>
      <c r="L297" s="10">
        <f t="shared" si="30"/>
        <v>0.20129400947107776</v>
      </c>
      <c r="M297" s="10">
        <f t="shared" si="38"/>
        <v>0.20881584484082824</v>
      </c>
      <c r="P297" s="8">
        <f t="shared" si="39"/>
        <v>-1.8492230586835567</v>
      </c>
    </row>
    <row r="298" spans="1:16" x14ac:dyDescent="0.2">
      <c r="A298" s="8">
        <v>148</v>
      </c>
      <c r="B298" s="8">
        <v>296</v>
      </c>
      <c r="D298">
        <v>1612.1373937676999</v>
      </c>
      <c r="E298">
        <v>415.55476864967</v>
      </c>
      <c r="F298">
        <v>155.65035629453999</v>
      </c>
      <c r="G298">
        <v>122.22327790974001</v>
      </c>
      <c r="I298" s="9">
        <f t="shared" si="36"/>
        <v>293.33149073993002</v>
      </c>
      <c r="J298" s="9">
        <f t="shared" si="37"/>
        <v>1456.4870374731599</v>
      </c>
      <c r="K298" s="9">
        <f t="shared" si="31"/>
        <v>293.33149073993002</v>
      </c>
      <c r="L298" s="10">
        <f t="shared" si="30"/>
        <v>0.20139656803868775</v>
      </c>
      <c r="M298" s="10">
        <f t="shared" si="38"/>
        <v>0.20894390115545433</v>
      </c>
      <c r="P298" s="8">
        <f t="shared" si="39"/>
        <v>-1.78903209576897</v>
      </c>
    </row>
    <row r="299" spans="1:16" x14ac:dyDescent="0.2">
      <c r="A299" s="8">
        <v>148.5</v>
      </c>
      <c r="B299" s="8">
        <v>297</v>
      </c>
      <c r="D299">
        <v>1598.9013220019001</v>
      </c>
      <c r="E299">
        <v>413.76251180358997</v>
      </c>
      <c r="F299">
        <v>155.50308788599</v>
      </c>
      <c r="G299">
        <v>121.73064133017</v>
      </c>
      <c r="I299" s="9">
        <f t="shared" si="36"/>
        <v>292.03187047341999</v>
      </c>
      <c r="J299" s="9">
        <f t="shared" si="37"/>
        <v>1443.3982341159101</v>
      </c>
      <c r="K299" s="9">
        <f t="shared" si="31"/>
        <v>292.03187047341999</v>
      </c>
      <c r="L299" s="10">
        <f t="shared" si="30"/>
        <v>0.20232245237038912</v>
      </c>
      <c r="M299" s="10">
        <f t="shared" si="38"/>
        <v>0.20989528323417181</v>
      </c>
      <c r="P299" s="8">
        <f t="shared" si="39"/>
        <v>-1.3418491233017991</v>
      </c>
    </row>
    <row r="300" spans="1:16" x14ac:dyDescent="0.2">
      <c r="A300" s="8">
        <v>149</v>
      </c>
      <c r="B300" s="8">
        <v>298</v>
      </c>
      <c r="D300">
        <v>1615.5153809748999</v>
      </c>
      <c r="E300">
        <v>415.11405584477001</v>
      </c>
      <c r="F300">
        <v>155.70736342043</v>
      </c>
      <c r="G300">
        <v>121.6242280285</v>
      </c>
      <c r="I300" s="9">
        <f t="shared" si="36"/>
        <v>293.48982781627001</v>
      </c>
      <c r="J300" s="9">
        <f t="shared" si="37"/>
        <v>1459.8080175544699</v>
      </c>
      <c r="K300" s="9">
        <f t="shared" si="31"/>
        <v>293.48982781627001</v>
      </c>
      <c r="L300" s="10">
        <f t="shared" si="30"/>
        <v>0.20104686663383051</v>
      </c>
      <c r="M300" s="10">
        <f t="shared" si="38"/>
        <v>0.20864519524462929</v>
      </c>
      <c r="P300" s="8">
        <f t="shared" si="39"/>
        <v>-1.9294343590492733</v>
      </c>
    </row>
    <row r="301" spans="1:16" x14ac:dyDescent="0.2">
      <c r="A301" s="8">
        <v>149.5</v>
      </c>
      <c r="B301" s="8">
        <v>299</v>
      </c>
      <c r="D301">
        <v>1639.0899195457</v>
      </c>
      <c r="E301">
        <v>419.31424514908002</v>
      </c>
      <c r="F301">
        <v>155.8783847981</v>
      </c>
      <c r="G301">
        <v>121.97767220903</v>
      </c>
      <c r="I301" s="9">
        <f t="shared" si="36"/>
        <v>297.33657294005002</v>
      </c>
      <c r="J301" s="9">
        <f t="shared" si="37"/>
        <v>1483.2115347476001</v>
      </c>
      <c r="K301" s="9">
        <f t="shared" si="31"/>
        <v>297.33657294005002</v>
      </c>
      <c r="L301" s="10">
        <f t="shared" si="30"/>
        <v>0.20046808292294474</v>
      </c>
      <c r="M301" s="10">
        <f t="shared" si="38"/>
        <v>0.20809190928075963</v>
      </c>
      <c r="P301" s="8">
        <f t="shared" si="39"/>
        <v>-2.1894981835446203</v>
      </c>
    </row>
    <row r="302" spans="1:16" x14ac:dyDescent="0.2">
      <c r="A302" s="8">
        <v>150</v>
      </c>
      <c r="B302" s="8">
        <v>300</v>
      </c>
      <c r="D302">
        <v>1627.1855182204999</v>
      </c>
      <c r="E302">
        <v>417.77425461428999</v>
      </c>
      <c r="F302">
        <v>155.07458432304</v>
      </c>
      <c r="G302">
        <v>121.94251781473</v>
      </c>
      <c r="I302" s="9">
        <f>E302-G302</f>
        <v>295.83173679955996</v>
      </c>
      <c r="J302" s="9">
        <f>D302-F302</f>
        <v>1472.11093389746</v>
      </c>
      <c r="K302" s="9">
        <f t="shared" si="31"/>
        <v>295.83173679955996</v>
      </c>
      <c r="L302" s="10">
        <f t="shared" si="30"/>
        <v>0.20095750258191217</v>
      </c>
      <c r="M302" s="10">
        <f>L302+ABS($N$2)*A302</f>
        <v>0.20860682668674316</v>
      </c>
      <c r="O302" s="11"/>
      <c r="P302" s="8">
        <f>(M302-$O$2)/$O$2*100</f>
        <v>-1.9474689280711444</v>
      </c>
    </row>
    <row r="303" spans="1:16" x14ac:dyDescent="0.2">
      <c r="A303" s="8">
        <v>150.5</v>
      </c>
      <c r="B303" s="8">
        <v>301</v>
      </c>
      <c r="D303">
        <v>1632.1519167061001</v>
      </c>
      <c r="E303">
        <v>420.06814955039999</v>
      </c>
      <c r="F303">
        <v>155.41330166271001</v>
      </c>
      <c r="G303">
        <v>121.92731591448999</v>
      </c>
      <c r="I303" s="9">
        <f t="shared" ref="I303:I309" si="40">E303-G303</f>
        <v>298.14083363590998</v>
      </c>
      <c r="J303" s="9">
        <f t="shared" ref="J303:J309" si="41">D303-F303</f>
        <v>1476.7386150433902</v>
      </c>
      <c r="K303" s="9">
        <f t="shared" si="31"/>
        <v>298.14083363590998</v>
      </c>
      <c r="L303" s="10">
        <f t="shared" si="30"/>
        <v>0.20189140488288099</v>
      </c>
      <c r="M303" s="10">
        <f t="shared" ref="M303:M309" si="42">L303+ABS($N$2)*A303</f>
        <v>0.20956622673472808</v>
      </c>
      <c r="P303" s="8">
        <f t="shared" ref="P303:P309" si="43">(M303-$O$2)/$O$2*100</f>
        <v>-1.4965172286010442</v>
      </c>
    </row>
    <row r="304" spans="1:16" x14ac:dyDescent="0.2">
      <c r="A304" s="8">
        <v>151</v>
      </c>
      <c r="B304" s="8">
        <v>302</v>
      </c>
      <c r="D304">
        <v>1616.4434453383999</v>
      </c>
      <c r="E304">
        <v>417.60530052058999</v>
      </c>
      <c r="F304">
        <v>155.26555819476999</v>
      </c>
      <c r="G304">
        <v>121.80237529691</v>
      </c>
      <c r="I304" s="9">
        <f t="shared" si="40"/>
        <v>295.80292522368001</v>
      </c>
      <c r="J304" s="9">
        <f t="shared" si="41"/>
        <v>1461.17788714363</v>
      </c>
      <c r="K304" s="9">
        <f t="shared" si="31"/>
        <v>295.80292522368001</v>
      </c>
      <c r="L304" s="10">
        <f t="shared" si="30"/>
        <v>0.20244141923193734</v>
      </c>
      <c r="M304" s="10">
        <f t="shared" si="42"/>
        <v>0.21014173883080053</v>
      </c>
      <c r="N304" s="1"/>
      <c r="P304" s="8">
        <f t="shared" si="43"/>
        <v>-1.2260063417873792</v>
      </c>
    </row>
    <row r="305" spans="1:16" x14ac:dyDescent="0.2">
      <c r="A305" s="8">
        <v>151.5</v>
      </c>
      <c r="B305" s="8">
        <v>303</v>
      </c>
      <c r="D305">
        <v>1603.9053478466999</v>
      </c>
      <c r="E305">
        <v>413.07098911499997</v>
      </c>
      <c r="F305">
        <v>155.23752969121</v>
      </c>
      <c r="G305">
        <v>122.29026128266</v>
      </c>
      <c r="I305" s="9">
        <f t="shared" si="40"/>
        <v>290.78072783233995</v>
      </c>
      <c r="J305" s="9">
        <f t="shared" si="41"/>
        <v>1448.6678181554898</v>
      </c>
      <c r="K305" s="9">
        <f t="shared" si="31"/>
        <v>290.78072783233995</v>
      </c>
      <c r="L305" s="10">
        <f t="shared" si="30"/>
        <v>0.20072284631999024</v>
      </c>
      <c r="M305" s="10">
        <f t="shared" si="42"/>
        <v>0.20844866366586953</v>
      </c>
      <c r="P305" s="8">
        <f t="shared" si="43"/>
        <v>-2.0218110997294545</v>
      </c>
    </row>
    <row r="306" spans="1:16" x14ac:dyDescent="0.2">
      <c r="A306" s="8">
        <v>152</v>
      </c>
      <c r="B306" s="8">
        <v>304</v>
      </c>
      <c r="D306">
        <v>1584.9302656547</v>
      </c>
      <c r="E306">
        <v>410.09013282732002</v>
      </c>
      <c r="F306">
        <v>155.19192399049999</v>
      </c>
      <c r="G306">
        <v>121.71258907363</v>
      </c>
      <c r="I306" s="9">
        <f t="shared" si="40"/>
        <v>288.37754375369002</v>
      </c>
      <c r="J306" s="9">
        <f t="shared" si="41"/>
        <v>1429.7383416641999</v>
      </c>
      <c r="K306" s="9">
        <f t="shared" si="31"/>
        <v>288.37754375369002</v>
      </c>
      <c r="L306" s="10">
        <f t="shared" si="30"/>
        <v>0.2016995245563756</v>
      </c>
      <c r="M306" s="10">
        <f t="shared" si="42"/>
        <v>0.20945083964927103</v>
      </c>
      <c r="P306" s="8">
        <f t="shared" si="43"/>
        <v>-1.5507532090901521</v>
      </c>
    </row>
    <row r="307" spans="1:16" x14ac:dyDescent="0.2">
      <c r="A307" s="8">
        <v>152.5</v>
      </c>
      <c r="B307" s="8">
        <v>305</v>
      </c>
      <c r="D307">
        <v>1644.5063890204001</v>
      </c>
      <c r="E307">
        <v>424.47468054898002</v>
      </c>
      <c r="F307">
        <v>155.42090261282999</v>
      </c>
      <c r="G307">
        <v>122.12494061757999</v>
      </c>
      <c r="I307" s="9">
        <f t="shared" si="40"/>
        <v>302.34973993139999</v>
      </c>
      <c r="J307" s="9">
        <f t="shared" si="41"/>
        <v>1489.08548640757</v>
      </c>
      <c r="K307" s="9">
        <f t="shared" si="31"/>
        <v>302.34973993139999</v>
      </c>
      <c r="L307" s="10">
        <f t="shared" si="30"/>
        <v>0.20304391030015412</v>
      </c>
      <c r="M307" s="10">
        <f t="shared" si="42"/>
        <v>0.21082072314006564</v>
      </c>
      <c r="P307" s="8">
        <f t="shared" si="43"/>
        <v>-0.90685988268542528</v>
      </c>
    </row>
    <row r="308" spans="1:16" x14ac:dyDescent="0.2">
      <c r="A308" s="8">
        <v>153</v>
      </c>
      <c r="B308" s="8">
        <v>306</v>
      </c>
      <c r="D308">
        <v>1626.0577378134999</v>
      </c>
      <c r="E308">
        <v>423.39943208708002</v>
      </c>
      <c r="F308">
        <v>155.29881235153999</v>
      </c>
      <c r="G308">
        <v>121.59477434679</v>
      </c>
      <c r="I308" s="9">
        <f t="shared" si="40"/>
        <v>301.80465774029</v>
      </c>
      <c r="J308" s="9">
        <f t="shared" si="41"/>
        <v>1470.75892546196</v>
      </c>
      <c r="K308" s="9">
        <f t="shared" si="31"/>
        <v>301.80465774029</v>
      </c>
      <c r="L308" s="10">
        <f t="shared" si="30"/>
        <v>0.20520334945136862</v>
      </c>
      <c r="M308" s="10">
        <f t="shared" si="42"/>
        <v>0.21300566003829624</v>
      </c>
      <c r="P308" s="8">
        <f t="shared" si="43"/>
        <v>0.12013715526709368</v>
      </c>
    </row>
    <row r="309" spans="1:16" x14ac:dyDescent="0.2">
      <c r="A309" s="8">
        <v>153.5</v>
      </c>
      <c r="B309" s="8">
        <v>307</v>
      </c>
      <c r="D309">
        <v>1637.4803596782001</v>
      </c>
      <c r="E309">
        <v>424.66351159489</v>
      </c>
      <c r="F309">
        <v>155.42327790973999</v>
      </c>
      <c r="G309">
        <v>121.61187648456</v>
      </c>
      <c r="I309" s="9">
        <f t="shared" si="40"/>
        <v>303.05163511032998</v>
      </c>
      <c r="J309" s="9">
        <f t="shared" si="41"/>
        <v>1482.0570817684602</v>
      </c>
      <c r="K309" s="9">
        <f t="shared" si="31"/>
        <v>303.05163511032998</v>
      </c>
      <c r="L309" s="10">
        <f t="shared" si="30"/>
        <v>0.20448040688737476</v>
      </c>
      <c r="M309" s="10">
        <f t="shared" si="42"/>
        <v>0.21230821522131849</v>
      </c>
      <c r="P309" s="8">
        <f t="shared" si="43"/>
        <v>-0.20768639046163745</v>
      </c>
    </row>
    <row r="310" spans="1:16" x14ac:dyDescent="0.2">
      <c r="A310" s="8">
        <v>154</v>
      </c>
      <c r="B310" s="8">
        <v>308</v>
      </c>
      <c r="D310">
        <v>1616.1434679335</v>
      </c>
      <c r="E310">
        <v>419.44275534441999</v>
      </c>
      <c r="F310">
        <v>155.12351543943001</v>
      </c>
      <c r="G310">
        <v>121.68123515439</v>
      </c>
      <c r="I310" s="9">
        <f>E310-G310</f>
        <v>297.76152019003001</v>
      </c>
      <c r="J310" s="9">
        <f>D310-F310</f>
        <v>1461.0199524940699</v>
      </c>
      <c r="K310" s="9">
        <f t="shared" si="31"/>
        <v>297.76152019003001</v>
      </c>
      <c r="L310" s="10">
        <f t="shared" si="30"/>
        <v>0.20380386981144843</v>
      </c>
      <c r="M310" s="10">
        <f>L310+ABS($N$2)*A310</f>
        <v>0.21165717589240826</v>
      </c>
      <c r="O310" s="11"/>
      <c r="P310" s="8">
        <f>(M310-$O$2)/$O$2*100</f>
        <v>-0.51369772787044454</v>
      </c>
    </row>
    <row r="311" spans="1:16" x14ac:dyDescent="0.2">
      <c r="A311" s="8">
        <v>154.5</v>
      </c>
      <c r="B311" s="8">
        <v>309</v>
      </c>
      <c r="D311">
        <v>1648.610217597</v>
      </c>
      <c r="E311">
        <v>428.29801324503001</v>
      </c>
      <c r="F311">
        <v>155.37434679335001</v>
      </c>
      <c r="G311">
        <v>121.80332541568001</v>
      </c>
      <c r="I311" s="9">
        <f t="shared" ref="I311:I319" si="44">E311-G311</f>
        <v>306.49468782935003</v>
      </c>
      <c r="J311" s="9">
        <f t="shared" ref="J311:J319" si="45">D311-F311</f>
        <v>1493.23587080365</v>
      </c>
      <c r="K311" s="9">
        <f t="shared" si="31"/>
        <v>306.49468782935003</v>
      </c>
      <c r="L311" s="10">
        <f t="shared" si="30"/>
        <v>0.20525537446699332</v>
      </c>
      <c r="M311" s="10">
        <f t="shared" ref="M311:M319" si="46">L311+ABS($N$2)*A311</f>
        <v>0.21313417829496925</v>
      </c>
      <c r="P311" s="8">
        <f t="shared" ref="P311:P319" si="47">(M311-$O$2)/$O$2*100</f>
        <v>0.18054524715885001</v>
      </c>
    </row>
    <row r="312" spans="1:16" x14ac:dyDescent="0.2">
      <c r="A312" s="8">
        <v>155</v>
      </c>
      <c r="B312" s="8">
        <v>310</v>
      </c>
      <c r="D312">
        <v>1659.5501419110999</v>
      </c>
      <c r="E312">
        <v>429.89262062440997</v>
      </c>
      <c r="F312">
        <v>155.45558194774</v>
      </c>
      <c r="G312">
        <v>122.08171021378</v>
      </c>
      <c r="I312" s="9">
        <f t="shared" si="44"/>
        <v>307.81091041062996</v>
      </c>
      <c r="J312" s="9">
        <f t="shared" si="45"/>
        <v>1504.0945599633599</v>
      </c>
      <c r="K312" s="9">
        <f t="shared" si="31"/>
        <v>307.81091041062996</v>
      </c>
      <c r="L312" s="10">
        <f t="shared" si="30"/>
        <v>0.20464864284738077</v>
      </c>
      <c r="M312" s="10">
        <f t="shared" si="46"/>
        <v>0.2125529444223728</v>
      </c>
      <c r="N312" s="1"/>
      <c r="P312" s="8">
        <f t="shared" si="47"/>
        <v>-9.2655075467231646E-2</v>
      </c>
    </row>
    <row r="313" spans="1:16" x14ac:dyDescent="0.2">
      <c r="A313" s="8">
        <v>155.5</v>
      </c>
      <c r="B313" s="8">
        <v>311</v>
      </c>
      <c r="D313">
        <v>1664.6731315043</v>
      </c>
      <c r="E313">
        <v>430.55723746451997</v>
      </c>
      <c r="F313">
        <v>155.32351543943</v>
      </c>
      <c r="G313">
        <v>121.78147268409001</v>
      </c>
      <c r="I313" s="9">
        <f t="shared" si="44"/>
        <v>308.77576478042999</v>
      </c>
      <c r="J313" s="9">
        <f t="shared" si="45"/>
        <v>1509.3496160648701</v>
      </c>
      <c r="K313" s="9">
        <f t="shared" si="31"/>
        <v>308.77576478042999</v>
      </c>
      <c r="L313" s="10">
        <f t="shared" si="30"/>
        <v>0.20457537570749226</v>
      </c>
      <c r="M313" s="10">
        <f t="shared" si="46"/>
        <v>0.21250517502950039</v>
      </c>
      <c r="P313" s="8">
        <f t="shared" si="47"/>
        <v>-0.11510836692131358</v>
      </c>
    </row>
    <row r="314" spans="1:16" x14ac:dyDescent="0.2">
      <c r="A314" s="8">
        <v>156</v>
      </c>
      <c r="B314" s="8">
        <v>312</v>
      </c>
      <c r="D314">
        <v>1636.3353831598999</v>
      </c>
      <c r="E314">
        <v>426.80842005675999</v>
      </c>
      <c r="F314">
        <v>155.19572446556001</v>
      </c>
      <c r="G314">
        <v>121.64038004751001</v>
      </c>
      <c r="I314" s="9">
        <f t="shared" si="44"/>
        <v>305.16804000924998</v>
      </c>
      <c r="J314" s="9">
        <f t="shared" si="45"/>
        <v>1481.1396586943399</v>
      </c>
      <c r="K314" s="9">
        <f t="shared" si="31"/>
        <v>305.16804000924998</v>
      </c>
      <c r="L314" s="10">
        <f t="shared" si="30"/>
        <v>0.20603596576319003</v>
      </c>
      <c r="M314" s="10">
        <f t="shared" si="46"/>
        <v>0.21399126283221426</v>
      </c>
      <c r="P314" s="8">
        <f t="shared" si="47"/>
        <v>0.58340506509608536</v>
      </c>
    </row>
    <row r="315" spans="1:16" x14ac:dyDescent="0.2">
      <c r="A315" s="8">
        <v>156.5</v>
      </c>
      <c r="B315" s="8">
        <v>313</v>
      </c>
      <c r="D315">
        <v>1679.1130558184</v>
      </c>
      <c r="E315">
        <v>435.97871333964002</v>
      </c>
      <c r="F315">
        <v>155.07790973872</v>
      </c>
      <c r="G315">
        <v>121.77624703088</v>
      </c>
      <c r="I315" s="9">
        <f t="shared" si="44"/>
        <v>314.20246630875999</v>
      </c>
      <c r="J315" s="9">
        <f t="shared" si="45"/>
        <v>1524.0351460796801</v>
      </c>
      <c r="K315" s="9">
        <f t="shared" si="31"/>
        <v>314.20246630875999</v>
      </c>
      <c r="L315" s="10">
        <f t="shared" si="30"/>
        <v>0.20616484279709174</v>
      </c>
      <c r="M315" s="10">
        <f t="shared" si="46"/>
        <v>0.21414563761313207</v>
      </c>
      <c r="P315" s="8">
        <f t="shared" si="47"/>
        <v>0.6559666310001423</v>
      </c>
    </row>
    <row r="316" spans="1:16" x14ac:dyDescent="0.2">
      <c r="A316" s="8">
        <v>157</v>
      </c>
      <c r="B316" s="8">
        <v>314</v>
      </c>
      <c r="D316">
        <v>1678.0047303690001</v>
      </c>
      <c r="E316">
        <v>435.11021759697002</v>
      </c>
      <c r="F316">
        <v>155.2460807601</v>
      </c>
      <c r="G316">
        <v>121.17102137767</v>
      </c>
      <c r="I316" s="9">
        <f t="shared" si="44"/>
        <v>313.93919621930002</v>
      </c>
      <c r="J316" s="9">
        <f t="shared" si="45"/>
        <v>1522.7586496089</v>
      </c>
      <c r="K316" s="9">
        <f t="shared" si="31"/>
        <v>313.93919621930002</v>
      </c>
      <c r="L316" s="10">
        <f t="shared" si="30"/>
        <v>0.20616477621055121</v>
      </c>
      <c r="M316" s="10">
        <f t="shared" si="46"/>
        <v>0.21417106877360764</v>
      </c>
      <c r="P316" s="8">
        <f t="shared" si="47"/>
        <v>0.66792016910975816</v>
      </c>
    </row>
    <row r="317" spans="1:16" x14ac:dyDescent="0.2">
      <c r="A317" s="8">
        <v>157.5</v>
      </c>
      <c r="B317" s="8">
        <v>315</v>
      </c>
      <c r="D317">
        <v>1690.43140965</v>
      </c>
      <c r="E317">
        <v>439.71854304636003</v>
      </c>
      <c r="F317">
        <v>155.15106888361001</v>
      </c>
      <c r="G317">
        <v>121.9296912114</v>
      </c>
      <c r="I317" s="9">
        <f t="shared" si="44"/>
        <v>317.78885183496004</v>
      </c>
      <c r="J317" s="9">
        <f t="shared" si="45"/>
        <v>1535.2803407663901</v>
      </c>
      <c r="K317" s="9">
        <f t="shared" si="31"/>
        <v>317.78885183496004</v>
      </c>
      <c r="L317" s="10">
        <f t="shared" si="30"/>
        <v>0.20699076474614686</v>
      </c>
      <c r="M317" s="10">
        <f t="shared" si="46"/>
        <v>0.21502255505621939</v>
      </c>
      <c r="P317" s="8">
        <f t="shared" si="47"/>
        <v>1.068148610859099</v>
      </c>
    </row>
    <row r="318" spans="1:16" x14ac:dyDescent="0.2">
      <c r="A318" s="8">
        <v>158</v>
      </c>
      <c r="B318" s="8">
        <v>316</v>
      </c>
      <c r="D318">
        <v>1672.5889309366</v>
      </c>
      <c r="E318">
        <v>434.85761589404001</v>
      </c>
      <c r="F318">
        <v>155.30736342042999</v>
      </c>
      <c r="G318">
        <v>121.53206650831</v>
      </c>
      <c r="I318" s="9">
        <f t="shared" si="44"/>
        <v>313.32554938573003</v>
      </c>
      <c r="J318" s="9">
        <f t="shared" si="45"/>
        <v>1517.2815675161701</v>
      </c>
      <c r="K318" s="9">
        <f t="shared" si="31"/>
        <v>313.32554938573003</v>
      </c>
      <c r="L318" s="10">
        <f t="shared" si="30"/>
        <v>0.20650455135934473</v>
      </c>
      <c r="M318" s="10">
        <f t="shared" si="46"/>
        <v>0.21456183941643336</v>
      </c>
      <c r="P318" s="8">
        <f t="shared" si="47"/>
        <v>0.85159608809204745</v>
      </c>
    </row>
    <row r="319" spans="1:16" x14ac:dyDescent="0.2">
      <c r="A319" s="8">
        <v>158.5</v>
      </c>
      <c r="B319" s="8">
        <v>317</v>
      </c>
      <c r="D319">
        <v>1661.4337748344001</v>
      </c>
      <c r="E319">
        <v>434.33585619678001</v>
      </c>
      <c r="F319">
        <v>154.96199524940999</v>
      </c>
      <c r="G319">
        <v>121.7296912114</v>
      </c>
      <c r="I319" s="9">
        <f t="shared" si="44"/>
        <v>312.60616498538002</v>
      </c>
      <c r="J319" s="9">
        <f t="shared" si="45"/>
        <v>1506.4717795849901</v>
      </c>
      <c r="K319" s="9">
        <f t="shared" si="31"/>
        <v>312.60616498538002</v>
      </c>
      <c r="L319" s="10">
        <f t="shared" si="30"/>
        <v>0.2075088091404528</v>
      </c>
      <c r="M319" s="10">
        <f t="shared" si="46"/>
        <v>0.21559159494455757</v>
      </c>
      <c r="P319" s="8">
        <f t="shared" si="47"/>
        <v>1.3356173328498331</v>
      </c>
    </row>
    <row r="320" spans="1:16" x14ac:dyDescent="0.2">
      <c r="A320" s="8">
        <v>159</v>
      </c>
      <c r="B320" s="8">
        <v>318</v>
      </c>
      <c r="D320">
        <v>1686.3240302744</v>
      </c>
      <c r="E320">
        <v>438.85430463576</v>
      </c>
      <c r="F320">
        <v>155.09786223277999</v>
      </c>
      <c r="G320">
        <v>121.46223277910001</v>
      </c>
      <c r="I320" s="9">
        <f>E320-G320</f>
        <v>317.39207185665998</v>
      </c>
      <c r="J320" s="9">
        <f>D320-F320</f>
        <v>1531.22616804162</v>
      </c>
      <c r="K320" s="9">
        <f t="shared" si="31"/>
        <v>317.39207185665998</v>
      </c>
      <c r="L320" s="10">
        <f t="shared" si="30"/>
        <v>0.20727968113462453</v>
      </c>
      <c r="M320" s="10">
        <f>L320+ABS($N$2)*A320</f>
        <v>0.21538796468574539</v>
      </c>
      <c r="O320" s="11"/>
      <c r="P320" s="8">
        <f>(M320-$O$2)/$O$2*100</f>
        <v>1.2399039633667301</v>
      </c>
    </row>
    <row r="321" spans="1:16" x14ac:dyDescent="0.2">
      <c r="A321" s="8">
        <v>159.5</v>
      </c>
      <c r="B321" s="8">
        <v>319</v>
      </c>
      <c r="D321">
        <v>1678.3916745506001</v>
      </c>
      <c r="E321">
        <v>438.05156102175999</v>
      </c>
      <c r="F321">
        <v>155.22992874108999</v>
      </c>
      <c r="G321">
        <v>121.6242280285</v>
      </c>
      <c r="I321" s="9">
        <f t="shared" ref="I321:I322" si="48">E321-G321</f>
        <v>316.42733299325999</v>
      </c>
      <c r="J321" s="9">
        <f t="shared" ref="J321:J322" si="49">D321-F321</f>
        <v>1523.1617458095102</v>
      </c>
      <c r="K321" s="9">
        <f t="shared" si="31"/>
        <v>316.42733299325999</v>
      </c>
      <c r="L321" s="10">
        <f t="shared" si="30"/>
        <v>0.20774375004086601</v>
      </c>
      <c r="M321" s="10">
        <f t="shared" ref="M321:M322" si="50">L321+ABS($N$2)*A321</f>
        <v>0.21587753133900298</v>
      </c>
      <c r="P321" s="8">
        <f t="shared" ref="P321:P322" si="51">(M321-$O$2)/$O$2*100</f>
        <v>1.4700174751953918</v>
      </c>
    </row>
    <row r="322" spans="1:16" x14ac:dyDescent="0.2">
      <c r="A322" s="8">
        <v>160</v>
      </c>
      <c r="B322" s="8">
        <v>320</v>
      </c>
      <c r="D322">
        <v>1770.8235572374999</v>
      </c>
      <c r="E322">
        <v>455.89829706717001</v>
      </c>
      <c r="F322">
        <v>155.19619952494</v>
      </c>
      <c r="G322">
        <v>121.54156769596</v>
      </c>
      <c r="I322" s="9">
        <f t="shared" si="48"/>
        <v>334.35672937121001</v>
      </c>
      <c r="J322" s="9">
        <f t="shared" si="49"/>
        <v>1615.6273577125598</v>
      </c>
      <c r="K322" s="9">
        <f t="shared" si="31"/>
        <v>334.35672937121001</v>
      </c>
      <c r="L322" s="10">
        <f t="shared" ref="L322" si="52">K322/J322</f>
        <v>0.20695163880153619</v>
      </c>
      <c r="M322" s="10">
        <f t="shared" si="50"/>
        <v>0.21511091784668926</v>
      </c>
      <c r="P322" s="8">
        <f t="shared" si="51"/>
        <v>1.1096822240958288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240823E017</vt:lpstr>
      <vt:lpstr>240823E018</vt:lpstr>
      <vt:lpstr>240823E019</vt:lpstr>
      <vt:lpstr>240823E020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2024-08-24T17:18:00Z</dcterms:modified>
</cp:coreProperties>
</file>