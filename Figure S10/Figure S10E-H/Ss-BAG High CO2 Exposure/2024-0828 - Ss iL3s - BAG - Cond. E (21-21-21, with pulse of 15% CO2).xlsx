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annawalsh/Documents/UCLA :: 2019-2027/Hallem Lab/Data/Calcium Imaging Data/Ss iL3s - BAG/2024-0828/"/>
    </mc:Choice>
  </mc:AlternateContent>
  <xr:revisionPtr revIDLastSave="0" documentId="13_ncr:1_{E6B5E6B2-3646-4B47-B63C-10C8ECFE598E}" xr6:coauthVersionLast="47" xr6:coauthVersionMax="47" xr10:uidLastSave="{00000000-0000-0000-0000-000000000000}"/>
  <bookViews>
    <workbookView xWindow="740" yWindow="500" windowWidth="28060" windowHeight="15620" activeTab="4" xr2:uid="{703F31A7-3FB6-4B05-8EA8-379C6E25ED1D}"/>
  </bookViews>
  <sheets>
    <sheet name="240828E015" sheetId="17" r:id="rId1"/>
    <sheet name="240828E016" sheetId="18" r:id="rId2"/>
    <sheet name="240828E017" sheetId="1" r:id="rId3"/>
    <sheet name="240828E020" sheetId="16" r:id="rId4"/>
    <sheet name="240828E021" sheetId="19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2" i="19" l="1"/>
  <c r="I322" i="19"/>
  <c r="K322" i="19" s="1"/>
  <c r="L322" i="19" s="1"/>
  <c r="J321" i="19"/>
  <c r="I321" i="19"/>
  <c r="K321" i="19" s="1"/>
  <c r="L321" i="19" s="1"/>
  <c r="V103" i="19" s="1"/>
  <c r="J320" i="19"/>
  <c r="I320" i="19"/>
  <c r="K320" i="19" s="1"/>
  <c r="L320" i="19" s="1"/>
  <c r="V102" i="19" s="1"/>
  <c r="J319" i="19"/>
  <c r="I319" i="19"/>
  <c r="K319" i="19" s="1"/>
  <c r="J318" i="19"/>
  <c r="I318" i="19"/>
  <c r="K318" i="19" s="1"/>
  <c r="J317" i="19"/>
  <c r="I317" i="19"/>
  <c r="K317" i="19" s="1"/>
  <c r="L317" i="19" s="1"/>
  <c r="J316" i="19"/>
  <c r="I316" i="19"/>
  <c r="K316" i="19" s="1"/>
  <c r="L316" i="19" s="1"/>
  <c r="V98" i="19" s="1"/>
  <c r="J315" i="19"/>
  <c r="I315" i="19"/>
  <c r="K315" i="19" s="1"/>
  <c r="L315" i="19" s="1"/>
  <c r="V97" i="19" s="1"/>
  <c r="J314" i="19"/>
  <c r="I314" i="19"/>
  <c r="K314" i="19" s="1"/>
  <c r="L314" i="19" s="1"/>
  <c r="J313" i="19"/>
  <c r="I313" i="19"/>
  <c r="K313" i="19" s="1"/>
  <c r="L313" i="19" s="1"/>
  <c r="V95" i="19" s="1"/>
  <c r="J312" i="19"/>
  <c r="I312" i="19"/>
  <c r="K312" i="19" s="1"/>
  <c r="J311" i="19"/>
  <c r="I311" i="19"/>
  <c r="K311" i="19" s="1"/>
  <c r="J310" i="19"/>
  <c r="I310" i="19"/>
  <c r="K310" i="19" s="1"/>
  <c r="J309" i="19"/>
  <c r="I309" i="19"/>
  <c r="K309" i="19" s="1"/>
  <c r="J308" i="19"/>
  <c r="I308" i="19"/>
  <c r="K308" i="19" s="1"/>
  <c r="L308" i="19" s="1"/>
  <c r="V90" i="19" s="1"/>
  <c r="J307" i="19"/>
  <c r="I307" i="19"/>
  <c r="K307" i="19" s="1"/>
  <c r="L307" i="19" s="1"/>
  <c r="J306" i="19"/>
  <c r="I306" i="19"/>
  <c r="K306" i="19" s="1"/>
  <c r="L306" i="19" s="1"/>
  <c r="V88" i="19" s="1"/>
  <c r="J305" i="19"/>
  <c r="I305" i="19"/>
  <c r="K305" i="19" s="1"/>
  <c r="L305" i="19" s="1"/>
  <c r="V87" i="19" s="1"/>
  <c r="J304" i="19"/>
  <c r="I304" i="19"/>
  <c r="K304" i="19" s="1"/>
  <c r="L304" i="19" s="1"/>
  <c r="V86" i="19" s="1"/>
  <c r="J303" i="19"/>
  <c r="I303" i="19"/>
  <c r="K303" i="19" s="1"/>
  <c r="L303" i="19" s="1"/>
  <c r="J302" i="19"/>
  <c r="I302" i="19"/>
  <c r="K302" i="19" s="1"/>
  <c r="L302" i="19" s="1"/>
  <c r="V84" i="19" s="1"/>
  <c r="J301" i="19"/>
  <c r="I301" i="19"/>
  <c r="K301" i="19" s="1"/>
  <c r="J300" i="19"/>
  <c r="I300" i="19"/>
  <c r="K300" i="19" s="1"/>
  <c r="L300" i="19" s="1"/>
  <c r="J299" i="19"/>
  <c r="I299" i="19"/>
  <c r="K299" i="19" s="1"/>
  <c r="L299" i="19" s="1"/>
  <c r="J298" i="19"/>
  <c r="I298" i="19"/>
  <c r="K298" i="19" s="1"/>
  <c r="L298" i="19" s="1"/>
  <c r="J297" i="19"/>
  <c r="I297" i="19"/>
  <c r="K297" i="19" s="1"/>
  <c r="J296" i="19"/>
  <c r="I296" i="19"/>
  <c r="K296" i="19" s="1"/>
  <c r="L296" i="19" s="1"/>
  <c r="J295" i="19"/>
  <c r="I295" i="19"/>
  <c r="K295" i="19" s="1"/>
  <c r="L295" i="19" s="1"/>
  <c r="J294" i="19"/>
  <c r="I294" i="19"/>
  <c r="K294" i="19" s="1"/>
  <c r="J293" i="19"/>
  <c r="I293" i="19"/>
  <c r="K293" i="19" s="1"/>
  <c r="L293" i="19" s="1"/>
  <c r="J292" i="19"/>
  <c r="I292" i="19"/>
  <c r="K292" i="19" s="1"/>
  <c r="L292" i="19" s="1"/>
  <c r="J291" i="19"/>
  <c r="I291" i="19"/>
  <c r="K291" i="19" s="1"/>
  <c r="L291" i="19" s="1"/>
  <c r="J290" i="19"/>
  <c r="I290" i="19"/>
  <c r="K290" i="19" s="1"/>
  <c r="L290" i="19" s="1"/>
  <c r="J289" i="19"/>
  <c r="I289" i="19"/>
  <c r="K289" i="19" s="1"/>
  <c r="L289" i="19" s="1"/>
  <c r="J288" i="19"/>
  <c r="I288" i="19"/>
  <c r="K288" i="19" s="1"/>
  <c r="L288" i="19" s="1"/>
  <c r="J287" i="19"/>
  <c r="I287" i="19"/>
  <c r="K287" i="19" s="1"/>
  <c r="J286" i="19"/>
  <c r="I286" i="19"/>
  <c r="K286" i="19" s="1"/>
  <c r="L286" i="19" s="1"/>
  <c r="J285" i="19"/>
  <c r="I285" i="19"/>
  <c r="K285" i="19" s="1"/>
  <c r="L285" i="19" s="1"/>
  <c r="J284" i="19"/>
  <c r="I284" i="19"/>
  <c r="K284" i="19" s="1"/>
  <c r="L284" i="19" s="1"/>
  <c r="J283" i="19"/>
  <c r="I283" i="19"/>
  <c r="K283" i="19" s="1"/>
  <c r="L283" i="19" s="1"/>
  <c r="J282" i="19"/>
  <c r="I282" i="19"/>
  <c r="K282" i="19" s="1"/>
  <c r="J281" i="19"/>
  <c r="I281" i="19"/>
  <c r="K281" i="19" s="1"/>
  <c r="L281" i="19" s="1"/>
  <c r="K280" i="19"/>
  <c r="J280" i="19"/>
  <c r="I280" i="19"/>
  <c r="J279" i="19"/>
  <c r="I279" i="19"/>
  <c r="K279" i="19" s="1"/>
  <c r="J278" i="19"/>
  <c r="I278" i="19"/>
  <c r="K278" i="19" s="1"/>
  <c r="J277" i="19"/>
  <c r="I277" i="19"/>
  <c r="K277" i="19" s="1"/>
  <c r="L277" i="19" s="1"/>
  <c r="K276" i="19"/>
  <c r="L276" i="19" s="1"/>
  <c r="J276" i="19"/>
  <c r="I276" i="19"/>
  <c r="J275" i="19"/>
  <c r="I275" i="19"/>
  <c r="K275" i="19" s="1"/>
  <c r="J274" i="19"/>
  <c r="I274" i="19"/>
  <c r="K274" i="19" s="1"/>
  <c r="L274" i="19" s="1"/>
  <c r="J273" i="19"/>
  <c r="I273" i="19"/>
  <c r="K273" i="19" s="1"/>
  <c r="L273" i="19" s="1"/>
  <c r="J272" i="19"/>
  <c r="I272" i="19"/>
  <c r="K272" i="19" s="1"/>
  <c r="L272" i="19" s="1"/>
  <c r="J271" i="19"/>
  <c r="I271" i="19"/>
  <c r="K271" i="19" s="1"/>
  <c r="L271" i="19" s="1"/>
  <c r="J270" i="19"/>
  <c r="I270" i="19"/>
  <c r="K270" i="19" s="1"/>
  <c r="L270" i="19" s="1"/>
  <c r="J269" i="19"/>
  <c r="I269" i="19"/>
  <c r="K269" i="19" s="1"/>
  <c r="J268" i="19"/>
  <c r="I268" i="19"/>
  <c r="K268" i="19" s="1"/>
  <c r="L268" i="19" s="1"/>
  <c r="J267" i="19"/>
  <c r="I267" i="19"/>
  <c r="K267" i="19" s="1"/>
  <c r="L267" i="19" s="1"/>
  <c r="J266" i="19"/>
  <c r="I266" i="19"/>
  <c r="K266" i="19" s="1"/>
  <c r="L266" i="19" s="1"/>
  <c r="J265" i="19"/>
  <c r="I265" i="19"/>
  <c r="K265" i="19" s="1"/>
  <c r="J264" i="19"/>
  <c r="I264" i="19"/>
  <c r="K264" i="19" s="1"/>
  <c r="L264" i="19" s="1"/>
  <c r="J263" i="19"/>
  <c r="I263" i="19"/>
  <c r="K263" i="19" s="1"/>
  <c r="L263" i="19" s="1"/>
  <c r="J262" i="19"/>
  <c r="I262" i="19"/>
  <c r="K262" i="19" s="1"/>
  <c r="J261" i="19"/>
  <c r="I261" i="19"/>
  <c r="K261" i="19" s="1"/>
  <c r="L261" i="19" s="1"/>
  <c r="J260" i="19"/>
  <c r="I260" i="19"/>
  <c r="K260" i="19" s="1"/>
  <c r="L260" i="19" s="1"/>
  <c r="J259" i="19"/>
  <c r="I259" i="19"/>
  <c r="K259" i="19" s="1"/>
  <c r="L259" i="19" s="1"/>
  <c r="J258" i="19"/>
  <c r="I258" i="19"/>
  <c r="K258" i="19" s="1"/>
  <c r="L258" i="19" s="1"/>
  <c r="J257" i="19"/>
  <c r="I257" i="19"/>
  <c r="K257" i="19" s="1"/>
  <c r="L257" i="19" s="1"/>
  <c r="J256" i="19"/>
  <c r="I256" i="19"/>
  <c r="K256" i="19" s="1"/>
  <c r="L256" i="19" s="1"/>
  <c r="J255" i="19"/>
  <c r="I255" i="19"/>
  <c r="K255" i="19" s="1"/>
  <c r="J254" i="19"/>
  <c r="I254" i="19"/>
  <c r="K254" i="19" s="1"/>
  <c r="L254" i="19" s="1"/>
  <c r="J253" i="19"/>
  <c r="I253" i="19"/>
  <c r="K253" i="19" s="1"/>
  <c r="L253" i="19" s="1"/>
  <c r="J252" i="19"/>
  <c r="I252" i="19"/>
  <c r="K252" i="19" s="1"/>
  <c r="L252" i="19" s="1"/>
  <c r="J251" i="19"/>
  <c r="I251" i="19"/>
  <c r="K251" i="19" s="1"/>
  <c r="J250" i="19"/>
  <c r="I250" i="19"/>
  <c r="K250" i="19" s="1"/>
  <c r="L250" i="19" s="1"/>
  <c r="J249" i="19"/>
  <c r="I249" i="19"/>
  <c r="K249" i="19" s="1"/>
  <c r="L249" i="19" s="1"/>
  <c r="J248" i="19"/>
  <c r="I248" i="19"/>
  <c r="K248" i="19" s="1"/>
  <c r="J247" i="19"/>
  <c r="I247" i="19"/>
  <c r="K247" i="19" s="1"/>
  <c r="J246" i="19"/>
  <c r="I246" i="19"/>
  <c r="K246" i="19" s="1"/>
  <c r="L246" i="19" s="1"/>
  <c r="J245" i="19"/>
  <c r="I245" i="19"/>
  <c r="K245" i="19" s="1"/>
  <c r="J244" i="19"/>
  <c r="I244" i="19"/>
  <c r="K244" i="19" s="1"/>
  <c r="L244" i="19" s="1"/>
  <c r="J243" i="19"/>
  <c r="I243" i="19"/>
  <c r="K243" i="19" s="1"/>
  <c r="L243" i="19" s="1"/>
  <c r="J242" i="19"/>
  <c r="I242" i="19"/>
  <c r="K242" i="19" s="1"/>
  <c r="L242" i="19" s="1"/>
  <c r="J241" i="19"/>
  <c r="I241" i="19"/>
  <c r="K241" i="19" s="1"/>
  <c r="L241" i="19" s="1"/>
  <c r="J240" i="19"/>
  <c r="I240" i="19"/>
  <c r="K240" i="19" s="1"/>
  <c r="L240" i="19" s="1"/>
  <c r="J239" i="19"/>
  <c r="I239" i="19"/>
  <c r="K239" i="19" s="1"/>
  <c r="L239" i="19" s="1"/>
  <c r="J238" i="19"/>
  <c r="I238" i="19"/>
  <c r="K238" i="19" s="1"/>
  <c r="L238" i="19" s="1"/>
  <c r="J237" i="19"/>
  <c r="I237" i="19"/>
  <c r="K237" i="19" s="1"/>
  <c r="J236" i="19"/>
  <c r="I236" i="19"/>
  <c r="K236" i="19" s="1"/>
  <c r="L236" i="19" s="1"/>
  <c r="J235" i="19"/>
  <c r="I235" i="19"/>
  <c r="K235" i="19" s="1"/>
  <c r="L235" i="19" s="1"/>
  <c r="J234" i="19"/>
  <c r="I234" i="19"/>
  <c r="K234" i="19" s="1"/>
  <c r="L234" i="19" s="1"/>
  <c r="J233" i="19"/>
  <c r="I233" i="19"/>
  <c r="K233" i="19" s="1"/>
  <c r="J232" i="19"/>
  <c r="I232" i="19"/>
  <c r="K232" i="19" s="1"/>
  <c r="L232" i="19" s="1"/>
  <c r="J231" i="19"/>
  <c r="I231" i="19"/>
  <c r="K231" i="19" s="1"/>
  <c r="L231" i="19" s="1"/>
  <c r="J230" i="19"/>
  <c r="I230" i="19"/>
  <c r="K230" i="19" s="1"/>
  <c r="J229" i="19"/>
  <c r="I229" i="19"/>
  <c r="K229" i="19" s="1"/>
  <c r="L229" i="19" s="1"/>
  <c r="J228" i="19"/>
  <c r="I228" i="19"/>
  <c r="K228" i="19" s="1"/>
  <c r="L228" i="19" s="1"/>
  <c r="J227" i="19"/>
  <c r="I227" i="19"/>
  <c r="K227" i="19" s="1"/>
  <c r="L227" i="19" s="1"/>
  <c r="J226" i="19"/>
  <c r="I226" i="19"/>
  <c r="K226" i="19" s="1"/>
  <c r="L226" i="19" s="1"/>
  <c r="J225" i="19"/>
  <c r="I225" i="19"/>
  <c r="K225" i="19" s="1"/>
  <c r="J224" i="19"/>
  <c r="I224" i="19"/>
  <c r="K224" i="19" s="1"/>
  <c r="L224" i="19" s="1"/>
  <c r="J223" i="19"/>
  <c r="I223" i="19"/>
  <c r="K223" i="19" s="1"/>
  <c r="J222" i="19"/>
  <c r="I222" i="19"/>
  <c r="K222" i="19" s="1"/>
  <c r="L222" i="19" s="1"/>
  <c r="J221" i="19"/>
  <c r="I221" i="19"/>
  <c r="K221" i="19" s="1"/>
  <c r="L221" i="19" s="1"/>
  <c r="J220" i="19"/>
  <c r="I220" i="19"/>
  <c r="K220" i="19" s="1"/>
  <c r="L220" i="19" s="1"/>
  <c r="J219" i="19"/>
  <c r="I219" i="19"/>
  <c r="K219" i="19" s="1"/>
  <c r="L219" i="19" s="1"/>
  <c r="J218" i="19"/>
  <c r="I218" i="19"/>
  <c r="K218" i="19" s="1"/>
  <c r="J217" i="19"/>
  <c r="I217" i="19"/>
  <c r="K217" i="19" s="1"/>
  <c r="L217" i="19" s="1"/>
  <c r="J216" i="19"/>
  <c r="I216" i="19"/>
  <c r="K216" i="19" s="1"/>
  <c r="J215" i="19"/>
  <c r="I215" i="19"/>
  <c r="K215" i="19" s="1"/>
  <c r="L215" i="19" s="1"/>
  <c r="J214" i="19"/>
  <c r="I214" i="19"/>
  <c r="K214" i="19" s="1"/>
  <c r="J213" i="19"/>
  <c r="I213" i="19"/>
  <c r="K213" i="19" s="1"/>
  <c r="K212" i="19"/>
  <c r="L212" i="19" s="1"/>
  <c r="J212" i="19"/>
  <c r="I212" i="19"/>
  <c r="J211" i="19"/>
  <c r="I211" i="19"/>
  <c r="K211" i="19" s="1"/>
  <c r="L211" i="19" s="1"/>
  <c r="J210" i="19"/>
  <c r="I210" i="19"/>
  <c r="K210" i="19" s="1"/>
  <c r="L210" i="19" s="1"/>
  <c r="J209" i="19"/>
  <c r="I209" i="19"/>
  <c r="K209" i="19" s="1"/>
  <c r="L209" i="19" s="1"/>
  <c r="J208" i="19"/>
  <c r="I208" i="19"/>
  <c r="K208" i="19" s="1"/>
  <c r="L208" i="19" s="1"/>
  <c r="J207" i="19"/>
  <c r="I207" i="19"/>
  <c r="K207" i="19" s="1"/>
  <c r="L207" i="19" s="1"/>
  <c r="J206" i="19"/>
  <c r="I206" i="19"/>
  <c r="K206" i="19" s="1"/>
  <c r="L206" i="19" s="1"/>
  <c r="J205" i="19"/>
  <c r="I205" i="19"/>
  <c r="K205" i="19" s="1"/>
  <c r="J204" i="19"/>
  <c r="I204" i="19"/>
  <c r="K204" i="19" s="1"/>
  <c r="L204" i="19" s="1"/>
  <c r="J203" i="19"/>
  <c r="I203" i="19"/>
  <c r="K203" i="19" s="1"/>
  <c r="L203" i="19" s="1"/>
  <c r="J202" i="19"/>
  <c r="I202" i="19"/>
  <c r="K202" i="19" s="1"/>
  <c r="L202" i="19" s="1"/>
  <c r="J201" i="19"/>
  <c r="I201" i="19"/>
  <c r="K201" i="19" s="1"/>
  <c r="L201" i="19" s="1"/>
  <c r="J200" i="19"/>
  <c r="I200" i="19"/>
  <c r="K200" i="19" s="1"/>
  <c r="L200" i="19" s="1"/>
  <c r="J199" i="19"/>
  <c r="I199" i="19"/>
  <c r="K199" i="19" s="1"/>
  <c r="L199" i="19" s="1"/>
  <c r="J198" i="19"/>
  <c r="I198" i="19"/>
  <c r="K198" i="19" s="1"/>
  <c r="J197" i="19"/>
  <c r="I197" i="19"/>
  <c r="K197" i="19" s="1"/>
  <c r="L197" i="19" s="1"/>
  <c r="J196" i="19"/>
  <c r="I196" i="19"/>
  <c r="K196" i="19" s="1"/>
  <c r="L196" i="19" s="1"/>
  <c r="K195" i="19"/>
  <c r="J195" i="19"/>
  <c r="L195" i="19" s="1"/>
  <c r="I195" i="19"/>
  <c r="J194" i="19"/>
  <c r="I194" i="19"/>
  <c r="K194" i="19" s="1"/>
  <c r="J193" i="19"/>
  <c r="I193" i="19"/>
  <c r="K193" i="19" s="1"/>
  <c r="L193" i="19" s="1"/>
  <c r="K192" i="19"/>
  <c r="J192" i="19"/>
  <c r="I192" i="19"/>
  <c r="J191" i="19"/>
  <c r="I191" i="19"/>
  <c r="K191" i="19" s="1"/>
  <c r="L191" i="19" s="1"/>
  <c r="J190" i="19"/>
  <c r="I190" i="19"/>
  <c r="K190" i="19" s="1"/>
  <c r="J189" i="19"/>
  <c r="I189" i="19"/>
  <c r="K189" i="19" s="1"/>
  <c r="L189" i="19" s="1"/>
  <c r="J188" i="19"/>
  <c r="I188" i="19"/>
  <c r="K188" i="19" s="1"/>
  <c r="J187" i="19"/>
  <c r="I187" i="19"/>
  <c r="K187" i="19" s="1"/>
  <c r="L187" i="19" s="1"/>
  <c r="J186" i="19"/>
  <c r="I186" i="19"/>
  <c r="K186" i="19" s="1"/>
  <c r="J185" i="19"/>
  <c r="I185" i="19"/>
  <c r="K185" i="19" s="1"/>
  <c r="J184" i="19"/>
  <c r="I184" i="19"/>
  <c r="K184" i="19" s="1"/>
  <c r="J183" i="19"/>
  <c r="I183" i="19"/>
  <c r="K183" i="19" s="1"/>
  <c r="L183" i="19" s="1"/>
  <c r="J182" i="19"/>
  <c r="I182" i="19"/>
  <c r="K182" i="19" s="1"/>
  <c r="J181" i="19"/>
  <c r="I181" i="19"/>
  <c r="K181" i="19" s="1"/>
  <c r="K180" i="19"/>
  <c r="L180" i="19" s="1"/>
  <c r="J180" i="19"/>
  <c r="I180" i="19"/>
  <c r="J179" i="19"/>
  <c r="I179" i="19"/>
  <c r="K179" i="19" s="1"/>
  <c r="J178" i="19"/>
  <c r="I178" i="19"/>
  <c r="K178" i="19" s="1"/>
  <c r="L178" i="19" s="1"/>
  <c r="J177" i="19"/>
  <c r="I177" i="19"/>
  <c r="K177" i="19" s="1"/>
  <c r="L177" i="19" s="1"/>
  <c r="J176" i="19"/>
  <c r="I176" i="19"/>
  <c r="K176" i="19" s="1"/>
  <c r="J175" i="19"/>
  <c r="I175" i="19"/>
  <c r="K175" i="19" s="1"/>
  <c r="L175" i="19" s="1"/>
  <c r="J174" i="19"/>
  <c r="I174" i="19"/>
  <c r="K174" i="19" s="1"/>
  <c r="L174" i="19" s="1"/>
  <c r="J173" i="19"/>
  <c r="I173" i="19"/>
  <c r="K173" i="19" s="1"/>
  <c r="J172" i="19"/>
  <c r="I172" i="19"/>
  <c r="K172" i="19" s="1"/>
  <c r="L172" i="19" s="1"/>
  <c r="J171" i="19"/>
  <c r="I171" i="19"/>
  <c r="K171" i="19" s="1"/>
  <c r="J170" i="19"/>
  <c r="I170" i="19"/>
  <c r="K170" i="19" s="1"/>
  <c r="L170" i="19" s="1"/>
  <c r="J169" i="19"/>
  <c r="I169" i="19"/>
  <c r="K169" i="19" s="1"/>
  <c r="L169" i="19" s="1"/>
  <c r="J168" i="19"/>
  <c r="I168" i="19"/>
  <c r="K168" i="19" s="1"/>
  <c r="L168" i="19" s="1"/>
  <c r="J167" i="19"/>
  <c r="I167" i="19"/>
  <c r="K167" i="19" s="1"/>
  <c r="L167" i="19" s="1"/>
  <c r="J166" i="19"/>
  <c r="I166" i="19"/>
  <c r="K166" i="19" s="1"/>
  <c r="L166" i="19" s="1"/>
  <c r="J165" i="19"/>
  <c r="I165" i="19"/>
  <c r="K165" i="19" s="1"/>
  <c r="J164" i="19"/>
  <c r="I164" i="19"/>
  <c r="K164" i="19" s="1"/>
  <c r="L164" i="19" s="1"/>
  <c r="J163" i="19"/>
  <c r="I163" i="19"/>
  <c r="K163" i="19" s="1"/>
  <c r="L163" i="19" s="1"/>
  <c r="J162" i="19"/>
  <c r="I162" i="19"/>
  <c r="K162" i="19" s="1"/>
  <c r="L162" i="19" s="1"/>
  <c r="J161" i="19"/>
  <c r="I161" i="19"/>
  <c r="K161" i="19" s="1"/>
  <c r="J160" i="19"/>
  <c r="I160" i="19"/>
  <c r="K160" i="19" s="1"/>
  <c r="L160" i="19" s="1"/>
  <c r="J159" i="19"/>
  <c r="I159" i="19"/>
  <c r="K159" i="19" s="1"/>
  <c r="K158" i="19"/>
  <c r="J158" i="19"/>
  <c r="I158" i="19"/>
  <c r="J157" i="19"/>
  <c r="I157" i="19"/>
  <c r="K157" i="19" s="1"/>
  <c r="L157" i="19" s="1"/>
  <c r="J156" i="19"/>
  <c r="I156" i="19"/>
  <c r="K156" i="19" s="1"/>
  <c r="J155" i="19"/>
  <c r="I155" i="19"/>
  <c r="K155" i="19" s="1"/>
  <c r="J154" i="19"/>
  <c r="I154" i="19"/>
  <c r="K154" i="19" s="1"/>
  <c r="J153" i="19"/>
  <c r="I153" i="19"/>
  <c r="K153" i="19" s="1"/>
  <c r="L153" i="19" s="1"/>
  <c r="J152" i="19"/>
  <c r="I152" i="19"/>
  <c r="K152" i="19" s="1"/>
  <c r="J151" i="19"/>
  <c r="I151" i="19"/>
  <c r="K151" i="19" s="1"/>
  <c r="L151" i="19" s="1"/>
  <c r="J150" i="19"/>
  <c r="I150" i="19"/>
  <c r="K150" i="19" s="1"/>
  <c r="J149" i="19"/>
  <c r="I149" i="19"/>
  <c r="K149" i="19" s="1"/>
  <c r="L149" i="19" s="1"/>
  <c r="J148" i="19"/>
  <c r="I148" i="19"/>
  <c r="K148" i="19" s="1"/>
  <c r="J147" i="19"/>
  <c r="I147" i="19"/>
  <c r="K147" i="19" s="1"/>
  <c r="L147" i="19" s="1"/>
  <c r="J146" i="19"/>
  <c r="I146" i="19"/>
  <c r="K146" i="19" s="1"/>
  <c r="J145" i="19"/>
  <c r="I145" i="19"/>
  <c r="K145" i="19" s="1"/>
  <c r="L145" i="19" s="1"/>
  <c r="J144" i="19"/>
  <c r="I144" i="19"/>
  <c r="K144" i="19" s="1"/>
  <c r="J143" i="19"/>
  <c r="I143" i="19"/>
  <c r="K143" i="19" s="1"/>
  <c r="L143" i="19" s="1"/>
  <c r="J142" i="19"/>
  <c r="I142" i="19"/>
  <c r="K142" i="19" s="1"/>
  <c r="L142" i="19" s="1"/>
  <c r="J141" i="19"/>
  <c r="I141" i="19"/>
  <c r="K141" i="19" s="1"/>
  <c r="J140" i="19"/>
  <c r="I140" i="19"/>
  <c r="K140" i="19" s="1"/>
  <c r="L140" i="19" s="1"/>
  <c r="K139" i="19"/>
  <c r="J139" i="19"/>
  <c r="I139" i="19"/>
  <c r="J138" i="19"/>
  <c r="I138" i="19"/>
  <c r="K138" i="19" s="1"/>
  <c r="L138" i="19" s="1"/>
  <c r="J137" i="19"/>
  <c r="I137" i="19"/>
  <c r="K137" i="19" s="1"/>
  <c r="L137" i="19" s="1"/>
  <c r="J136" i="19"/>
  <c r="I136" i="19"/>
  <c r="K136" i="19" s="1"/>
  <c r="L136" i="19" s="1"/>
  <c r="J135" i="19"/>
  <c r="I135" i="19"/>
  <c r="K135" i="19" s="1"/>
  <c r="L135" i="19" s="1"/>
  <c r="J134" i="19"/>
  <c r="I134" i="19"/>
  <c r="K134" i="19" s="1"/>
  <c r="L134" i="19" s="1"/>
  <c r="J133" i="19"/>
  <c r="I133" i="19"/>
  <c r="K133" i="19" s="1"/>
  <c r="L133" i="19" s="1"/>
  <c r="J132" i="19"/>
  <c r="I132" i="19"/>
  <c r="K132" i="19" s="1"/>
  <c r="L132" i="19" s="1"/>
  <c r="J131" i="19"/>
  <c r="I131" i="19"/>
  <c r="K131" i="19" s="1"/>
  <c r="L131" i="19" s="1"/>
  <c r="J130" i="19"/>
  <c r="I130" i="19"/>
  <c r="K130" i="19" s="1"/>
  <c r="J129" i="19"/>
  <c r="I129" i="19"/>
  <c r="K129" i="19" s="1"/>
  <c r="L129" i="19" s="1"/>
  <c r="J128" i="19"/>
  <c r="I128" i="19"/>
  <c r="K128" i="19" s="1"/>
  <c r="J127" i="19"/>
  <c r="I127" i="19"/>
  <c r="K127" i="19" s="1"/>
  <c r="L127" i="19" s="1"/>
  <c r="K126" i="19"/>
  <c r="L126" i="19" s="1"/>
  <c r="J126" i="19"/>
  <c r="I126" i="19"/>
  <c r="J125" i="19"/>
  <c r="I125" i="19"/>
  <c r="K125" i="19" s="1"/>
  <c r="L125" i="19" s="1"/>
  <c r="J124" i="19"/>
  <c r="I124" i="19"/>
  <c r="K124" i="19" s="1"/>
  <c r="J123" i="19"/>
  <c r="I123" i="19"/>
  <c r="K123" i="19" s="1"/>
  <c r="J122" i="19"/>
  <c r="I122" i="19"/>
  <c r="K122" i="19" s="1"/>
  <c r="L122" i="19" s="1"/>
  <c r="J121" i="19"/>
  <c r="I121" i="19"/>
  <c r="K121" i="19" s="1"/>
  <c r="J120" i="19"/>
  <c r="I120" i="19"/>
  <c r="K120" i="19" s="1"/>
  <c r="L120" i="19" s="1"/>
  <c r="J119" i="19"/>
  <c r="I119" i="19"/>
  <c r="K119" i="19" s="1"/>
  <c r="J118" i="19"/>
  <c r="I118" i="19"/>
  <c r="K118" i="19" s="1"/>
  <c r="L118" i="19" s="1"/>
  <c r="J117" i="19"/>
  <c r="I117" i="19"/>
  <c r="K117" i="19" s="1"/>
  <c r="J116" i="19"/>
  <c r="I116" i="19"/>
  <c r="K116" i="19" s="1"/>
  <c r="L116" i="19" s="1"/>
  <c r="J115" i="19"/>
  <c r="I115" i="19"/>
  <c r="K115" i="19" s="1"/>
  <c r="J114" i="19"/>
  <c r="I114" i="19"/>
  <c r="K114" i="19" s="1"/>
  <c r="J113" i="19"/>
  <c r="I113" i="19"/>
  <c r="K113" i="19" s="1"/>
  <c r="J112" i="19"/>
  <c r="I112" i="19"/>
  <c r="K112" i="19" s="1"/>
  <c r="J111" i="19"/>
  <c r="I111" i="19"/>
  <c r="K111" i="19" s="1"/>
  <c r="J110" i="19"/>
  <c r="I110" i="19"/>
  <c r="K110" i="19" s="1"/>
  <c r="L110" i="19" s="1"/>
  <c r="J109" i="19"/>
  <c r="I109" i="19"/>
  <c r="K109" i="19" s="1"/>
  <c r="J108" i="19"/>
  <c r="I108" i="19"/>
  <c r="K108" i="19" s="1"/>
  <c r="L108" i="19" s="1"/>
  <c r="J107" i="19"/>
  <c r="I107" i="19"/>
  <c r="K107" i="19" s="1"/>
  <c r="J106" i="19"/>
  <c r="I106" i="19"/>
  <c r="K106" i="19" s="1"/>
  <c r="L106" i="19" s="1"/>
  <c r="J105" i="19"/>
  <c r="I105" i="19"/>
  <c r="K105" i="19" s="1"/>
  <c r="J104" i="19"/>
  <c r="I104" i="19"/>
  <c r="K104" i="19" s="1"/>
  <c r="L104" i="19" s="1"/>
  <c r="J103" i="19"/>
  <c r="I103" i="19"/>
  <c r="K103" i="19" s="1"/>
  <c r="K102" i="19"/>
  <c r="J102" i="19"/>
  <c r="I102" i="19"/>
  <c r="J101" i="19"/>
  <c r="I101" i="19"/>
  <c r="K101" i="19" s="1"/>
  <c r="L101" i="19" s="1"/>
  <c r="J100" i="19"/>
  <c r="I100" i="19"/>
  <c r="K100" i="19" s="1"/>
  <c r="L100" i="19" s="1"/>
  <c r="V99" i="19"/>
  <c r="J99" i="19"/>
  <c r="I99" i="19"/>
  <c r="K99" i="19" s="1"/>
  <c r="J98" i="19"/>
  <c r="I98" i="19"/>
  <c r="K98" i="19" s="1"/>
  <c r="J97" i="19"/>
  <c r="I97" i="19"/>
  <c r="K97" i="19" s="1"/>
  <c r="V96" i="19"/>
  <c r="J96" i="19"/>
  <c r="I96" i="19"/>
  <c r="K96" i="19" s="1"/>
  <c r="L96" i="19" s="1"/>
  <c r="J95" i="19"/>
  <c r="I95" i="19"/>
  <c r="K95" i="19" s="1"/>
  <c r="J94" i="19"/>
  <c r="I94" i="19"/>
  <c r="K94" i="19" s="1"/>
  <c r="L94" i="19" s="1"/>
  <c r="J93" i="19"/>
  <c r="I93" i="19"/>
  <c r="K93" i="19" s="1"/>
  <c r="L93" i="19" s="1"/>
  <c r="J92" i="19"/>
  <c r="I92" i="19"/>
  <c r="K92" i="19" s="1"/>
  <c r="J91" i="19"/>
  <c r="I91" i="19"/>
  <c r="K91" i="19" s="1"/>
  <c r="J90" i="19"/>
  <c r="I90" i="19"/>
  <c r="K90" i="19" s="1"/>
  <c r="L90" i="19" s="1"/>
  <c r="V89" i="19"/>
  <c r="J89" i="19"/>
  <c r="I89" i="19"/>
  <c r="K89" i="19" s="1"/>
  <c r="J88" i="19"/>
  <c r="I88" i="19"/>
  <c r="K88" i="19" s="1"/>
  <c r="L88" i="19" s="1"/>
  <c r="J87" i="19"/>
  <c r="I87" i="19"/>
  <c r="K87" i="19" s="1"/>
  <c r="L87" i="19" s="1"/>
  <c r="J86" i="19"/>
  <c r="I86" i="19"/>
  <c r="K86" i="19" s="1"/>
  <c r="L86" i="19" s="1"/>
  <c r="V85" i="19"/>
  <c r="J85" i="19"/>
  <c r="I85" i="19"/>
  <c r="K85" i="19" s="1"/>
  <c r="J84" i="19"/>
  <c r="I84" i="19"/>
  <c r="K84" i="19" s="1"/>
  <c r="J83" i="19"/>
  <c r="I83" i="19"/>
  <c r="K83" i="19" s="1"/>
  <c r="J82" i="19"/>
  <c r="I82" i="19"/>
  <c r="K82" i="19" s="1"/>
  <c r="L82" i="19" s="1"/>
  <c r="J81" i="19"/>
  <c r="I81" i="19"/>
  <c r="K81" i="19" s="1"/>
  <c r="J80" i="19"/>
  <c r="I80" i="19"/>
  <c r="K80" i="19" s="1"/>
  <c r="J79" i="19"/>
  <c r="I79" i="19"/>
  <c r="K79" i="19" s="1"/>
  <c r="J78" i="19"/>
  <c r="I78" i="19"/>
  <c r="K78" i="19" s="1"/>
  <c r="L78" i="19" s="1"/>
  <c r="V80" i="19" s="1"/>
  <c r="J77" i="19"/>
  <c r="I77" i="19"/>
  <c r="K77" i="19" s="1"/>
  <c r="J76" i="19"/>
  <c r="I76" i="19"/>
  <c r="K76" i="19" s="1"/>
  <c r="J75" i="19"/>
  <c r="I75" i="19"/>
  <c r="K75" i="19" s="1"/>
  <c r="J74" i="19"/>
  <c r="I74" i="19"/>
  <c r="K74" i="19" s="1"/>
  <c r="L74" i="19" s="1"/>
  <c r="K73" i="19"/>
  <c r="J73" i="19"/>
  <c r="I73" i="19"/>
  <c r="J72" i="19"/>
  <c r="I72" i="19"/>
  <c r="K72" i="19" s="1"/>
  <c r="L72" i="19" s="1"/>
  <c r="V74" i="19" s="1"/>
  <c r="J71" i="19"/>
  <c r="I71" i="19"/>
  <c r="K71" i="19" s="1"/>
  <c r="J70" i="19"/>
  <c r="I70" i="19"/>
  <c r="K70" i="19" s="1"/>
  <c r="J69" i="19"/>
  <c r="I69" i="19"/>
  <c r="K69" i="19" s="1"/>
  <c r="L69" i="19" s="1"/>
  <c r="J68" i="19"/>
  <c r="I68" i="19"/>
  <c r="K68" i="19" s="1"/>
  <c r="J67" i="19"/>
  <c r="I67" i="19"/>
  <c r="K67" i="19" s="1"/>
  <c r="L67" i="19" s="1"/>
  <c r="J66" i="19"/>
  <c r="L66" i="19" s="1"/>
  <c r="I66" i="19"/>
  <c r="K66" i="19" s="1"/>
  <c r="J65" i="19"/>
  <c r="I65" i="19"/>
  <c r="K65" i="19" s="1"/>
  <c r="L65" i="19" s="1"/>
  <c r="J64" i="19"/>
  <c r="I64" i="19"/>
  <c r="K64" i="19" s="1"/>
  <c r="J63" i="19"/>
  <c r="I63" i="19"/>
  <c r="K63" i="19" s="1"/>
  <c r="J62" i="19"/>
  <c r="I62" i="19"/>
  <c r="K62" i="19" s="1"/>
  <c r="L62" i="19" s="1"/>
  <c r="J61" i="19"/>
  <c r="I61" i="19"/>
  <c r="K61" i="19" s="1"/>
  <c r="J60" i="19"/>
  <c r="I60" i="19"/>
  <c r="K60" i="19" s="1"/>
  <c r="J59" i="19"/>
  <c r="I59" i="19"/>
  <c r="K59" i="19" s="1"/>
  <c r="J58" i="19"/>
  <c r="I58" i="19"/>
  <c r="K58" i="19" s="1"/>
  <c r="L58" i="19" s="1"/>
  <c r="J57" i="19"/>
  <c r="I57" i="19"/>
  <c r="K57" i="19" s="1"/>
  <c r="J56" i="19"/>
  <c r="I56" i="19"/>
  <c r="K56" i="19" s="1"/>
  <c r="J55" i="19"/>
  <c r="I55" i="19"/>
  <c r="K55" i="19" s="1"/>
  <c r="J54" i="19"/>
  <c r="I54" i="19"/>
  <c r="K54" i="19" s="1"/>
  <c r="L54" i="19" s="1"/>
  <c r="J53" i="19"/>
  <c r="I53" i="19"/>
  <c r="K53" i="19" s="1"/>
  <c r="J52" i="19"/>
  <c r="I52" i="19"/>
  <c r="K52" i="19" s="1"/>
  <c r="J51" i="19"/>
  <c r="I51" i="19"/>
  <c r="K51" i="19" s="1"/>
  <c r="J50" i="19"/>
  <c r="I50" i="19"/>
  <c r="K50" i="19" s="1"/>
  <c r="L50" i="19" s="1"/>
  <c r="J49" i="19"/>
  <c r="I49" i="19"/>
  <c r="K49" i="19" s="1"/>
  <c r="J48" i="19"/>
  <c r="I48" i="19"/>
  <c r="K48" i="19" s="1"/>
  <c r="J47" i="19"/>
  <c r="I47" i="19"/>
  <c r="K47" i="19" s="1"/>
  <c r="J46" i="19"/>
  <c r="I46" i="19"/>
  <c r="K46" i="19" s="1"/>
  <c r="L46" i="19" s="1"/>
  <c r="J45" i="19"/>
  <c r="I45" i="19"/>
  <c r="K45" i="19" s="1"/>
  <c r="J44" i="19"/>
  <c r="I44" i="19"/>
  <c r="K44" i="19" s="1"/>
  <c r="J43" i="19"/>
  <c r="I43" i="19"/>
  <c r="K43" i="19" s="1"/>
  <c r="J42" i="19"/>
  <c r="I42" i="19"/>
  <c r="K42" i="19" s="1"/>
  <c r="J41" i="19"/>
  <c r="I41" i="19"/>
  <c r="K41" i="19" s="1"/>
  <c r="J40" i="19"/>
  <c r="I40" i="19"/>
  <c r="K40" i="19" s="1"/>
  <c r="J39" i="19"/>
  <c r="I39" i="19"/>
  <c r="K39" i="19" s="1"/>
  <c r="J38" i="19"/>
  <c r="I38" i="19"/>
  <c r="K38" i="19" s="1"/>
  <c r="L38" i="19" s="1"/>
  <c r="J37" i="19"/>
  <c r="I37" i="19"/>
  <c r="K37" i="19" s="1"/>
  <c r="J36" i="19"/>
  <c r="I36" i="19"/>
  <c r="K36" i="19" s="1"/>
  <c r="L36" i="19" s="1"/>
  <c r="J35" i="19"/>
  <c r="I35" i="19"/>
  <c r="K35" i="19" s="1"/>
  <c r="J34" i="19"/>
  <c r="I34" i="19"/>
  <c r="K34" i="19" s="1"/>
  <c r="L34" i="19" s="1"/>
  <c r="J33" i="19"/>
  <c r="I33" i="19"/>
  <c r="K33" i="19" s="1"/>
  <c r="J32" i="19"/>
  <c r="I32" i="19"/>
  <c r="K32" i="19" s="1"/>
  <c r="L32" i="19" s="1"/>
  <c r="J31" i="19"/>
  <c r="I31" i="19"/>
  <c r="K31" i="19" s="1"/>
  <c r="J30" i="19"/>
  <c r="I30" i="19"/>
  <c r="K30" i="19" s="1"/>
  <c r="L30" i="19" s="1"/>
  <c r="J29" i="19"/>
  <c r="I29" i="19"/>
  <c r="K29" i="19" s="1"/>
  <c r="J28" i="19"/>
  <c r="I28" i="19"/>
  <c r="K28" i="19" s="1"/>
  <c r="J27" i="19"/>
  <c r="I27" i="19"/>
  <c r="K27" i="19" s="1"/>
  <c r="L27" i="19" s="1"/>
  <c r="J26" i="19"/>
  <c r="I26" i="19"/>
  <c r="K26" i="19" s="1"/>
  <c r="L26" i="19" s="1"/>
  <c r="J25" i="19"/>
  <c r="I25" i="19"/>
  <c r="K25" i="19" s="1"/>
  <c r="J24" i="19"/>
  <c r="I24" i="19"/>
  <c r="K24" i="19" s="1"/>
  <c r="J23" i="19"/>
  <c r="I23" i="19"/>
  <c r="K23" i="19" s="1"/>
  <c r="J22" i="19"/>
  <c r="I22" i="19"/>
  <c r="K22" i="19" s="1"/>
  <c r="L22" i="19" s="1"/>
  <c r="J21" i="19"/>
  <c r="I21" i="19"/>
  <c r="K21" i="19" s="1"/>
  <c r="J20" i="19"/>
  <c r="I20" i="19"/>
  <c r="K20" i="19" s="1"/>
  <c r="L20" i="19" s="1"/>
  <c r="J19" i="19"/>
  <c r="I19" i="19"/>
  <c r="K19" i="19" s="1"/>
  <c r="L19" i="19" s="1"/>
  <c r="J18" i="19"/>
  <c r="I18" i="19"/>
  <c r="K18" i="19" s="1"/>
  <c r="L18" i="19" s="1"/>
  <c r="J17" i="19"/>
  <c r="I17" i="19"/>
  <c r="K17" i="19" s="1"/>
  <c r="J16" i="19"/>
  <c r="I16" i="19"/>
  <c r="K16" i="19" s="1"/>
  <c r="J15" i="19"/>
  <c r="I15" i="19"/>
  <c r="K15" i="19" s="1"/>
  <c r="L15" i="19" s="1"/>
  <c r="J14" i="19"/>
  <c r="I14" i="19"/>
  <c r="K14" i="19" s="1"/>
  <c r="J13" i="19"/>
  <c r="I13" i="19"/>
  <c r="K13" i="19" s="1"/>
  <c r="L13" i="19" s="1"/>
  <c r="J12" i="19"/>
  <c r="I12" i="19"/>
  <c r="K12" i="19" s="1"/>
  <c r="J11" i="19"/>
  <c r="I11" i="19"/>
  <c r="K11" i="19" s="1"/>
  <c r="L11" i="19" s="1"/>
  <c r="K10" i="19"/>
  <c r="L10" i="19" s="1"/>
  <c r="J10" i="19"/>
  <c r="I10" i="19"/>
  <c r="J9" i="19"/>
  <c r="I9" i="19"/>
  <c r="K9" i="19" s="1"/>
  <c r="J8" i="19"/>
  <c r="I8" i="19"/>
  <c r="K8" i="19" s="1"/>
  <c r="L8" i="19" s="1"/>
  <c r="J7" i="19"/>
  <c r="I7" i="19"/>
  <c r="K7" i="19" s="1"/>
  <c r="L7" i="19" s="1"/>
  <c r="J6" i="19"/>
  <c r="I6" i="19"/>
  <c r="K6" i="19" s="1"/>
  <c r="L6" i="19" s="1"/>
  <c r="J5" i="19"/>
  <c r="I5" i="19"/>
  <c r="K5" i="19" s="1"/>
  <c r="J4" i="19"/>
  <c r="I4" i="19"/>
  <c r="K4" i="19" s="1"/>
  <c r="L4" i="19" s="1"/>
  <c r="J3" i="19"/>
  <c r="I3" i="19"/>
  <c r="K3" i="19" s="1"/>
  <c r="L3" i="19" s="1"/>
  <c r="J2" i="19"/>
  <c r="I2" i="19"/>
  <c r="K2" i="19" s="1"/>
  <c r="J322" i="18"/>
  <c r="I322" i="18"/>
  <c r="K322" i="18" s="1"/>
  <c r="L322" i="18" s="1"/>
  <c r="J321" i="18"/>
  <c r="I321" i="18"/>
  <c r="K321" i="18" s="1"/>
  <c r="J320" i="18"/>
  <c r="I320" i="18"/>
  <c r="K320" i="18" s="1"/>
  <c r="J319" i="18"/>
  <c r="I319" i="18"/>
  <c r="K319" i="18" s="1"/>
  <c r="J318" i="18"/>
  <c r="I318" i="18"/>
  <c r="K318" i="18" s="1"/>
  <c r="L318" i="18" s="1"/>
  <c r="J317" i="18"/>
  <c r="I317" i="18"/>
  <c r="K317" i="18" s="1"/>
  <c r="J316" i="18"/>
  <c r="I316" i="18"/>
  <c r="K316" i="18" s="1"/>
  <c r="J315" i="18"/>
  <c r="I315" i="18"/>
  <c r="K315" i="18" s="1"/>
  <c r="J314" i="18"/>
  <c r="I314" i="18"/>
  <c r="K314" i="18" s="1"/>
  <c r="L314" i="18" s="1"/>
  <c r="J313" i="18"/>
  <c r="I313" i="18"/>
  <c r="K313" i="18" s="1"/>
  <c r="J312" i="18"/>
  <c r="I312" i="18"/>
  <c r="K312" i="18" s="1"/>
  <c r="J311" i="18"/>
  <c r="I311" i="18"/>
  <c r="K311" i="18" s="1"/>
  <c r="J310" i="18"/>
  <c r="I310" i="18"/>
  <c r="K310" i="18" s="1"/>
  <c r="L310" i="18" s="1"/>
  <c r="J309" i="18"/>
  <c r="I309" i="18"/>
  <c r="K309" i="18" s="1"/>
  <c r="J308" i="18"/>
  <c r="I308" i="18"/>
  <c r="K308" i="18" s="1"/>
  <c r="J307" i="18"/>
  <c r="I307" i="18"/>
  <c r="K307" i="18" s="1"/>
  <c r="L307" i="18" s="1"/>
  <c r="V89" i="18" s="1"/>
  <c r="J306" i="18"/>
  <c r="I306" i="18"/>
  <c r="K306" i="18" s="1"/>
  <c r="J305" i="18"/>
  <c r="I305" i="18"/>
  <c r="K305" i="18" s="1"/>
  <c r="J304" i="18"/>
  <c r="I304" i="18"/>
  <c r="K304" i="18" s="1"/>
  <c r="J303" i="18"/>
  <c r="I303" i="18"/>
  <c r="K303" i="18" s="1"/>
  <c r="L303" i="18" s="1"/>
  <c r="V85" i="18" s="1"/>
  <c r="J302" i="18"/>
  <c r="I302" i="18"/>
  <c r="K302" i="18" s="1"/>
  <c r="L302" i="18" s="1"/>
  <c r="V84" i="18" s="1"/>
  <c r="J301" i="18"/>
  <c r="I301" i="18"/>
  <c r="K301" i="18" s="1"/>
  <c r="J300" i="18"/>
  <c r="I300" i="18"/>
  <c r="K300" i="18" s="1"/>
  <c r="J299" i="18"/>
  <c r="I299" i="18"/>
  <c r="K299" i="18" s="1"/>
  <c r="J298" i="18"/>
  <c r="I298" i="18"/>
  <c r="K298" i="18" s="1"/>
  <c r="L298" i="18" s="1"/>
  <c r="J297" i="18"/>
  <c r="I297" i="18"/>
  <c r="K297" i="18" s="1"/>
  <c r="J296" i="18"/>
  <c r="I296" i="18"/>
  <c r="K296" i="18" s="1"/>
  <c r="J295" i="18"/>
  <c r="I295" i="18"/>
  <c r="K295" i="18" s="1"/>
  <c r="L295" i="18" s="1"/>
  <c r="J294" i="18"/>
  <c r="I294" i="18"/>
  <c r="K294" i="18" s="1"/>
  <c r="J293" i="18"/>
  <c r="I293" i="18"/>
  <c r="K293" i="18" s="1"/>
  <c r="J292" i="18"/>
  <c r="I292" i="18"/>
  <c r="K292" i="18" s="1"/>
  <c r="J291" i="18"/>
  <c r="I291" i="18"/>
  <c r="K291" i="18" s="1"/>
  <c r="L291" i="18" s="1"/>
  <c r="J290" i="18"/>
  <c r="I290" i="18"/>
  <c r="K290" i="18" s="1"/>
  <c r="L290" i="18" s="1"/>
  <c r="J289" i="18"/>
  <c r="I289" i="18"/>
  <c r="K289" i="18" s="1"/>
  <c r="J288" i="18"/>
  <c r="I288" i="18"/>
  <c r="K288" i="18" s="1"/>
  <c r="J287" i="18"/>
  <c r="I287" i="18"/>
  <c r="K287" i="18" s="1"/>
  <c r="J286" i="18"/>
  <c r="I286" i="18"/>
  <c r="K286" i="18" s="1"/>
  <c r="L286" i="18" s="1"/>
  <c r="J285" i="18"/>
  <c r="I285" i="18"/>
  <c r="K285" i="18" s="1"/>
  <c r="J284" i="18"/>
  <c r="I284" i="18"/>
  <c r="K284" i="18" s="1"/>
  <c r="L284" i="18" s="1"/>
  <c r="J283" i="18"/>
  <c r="I283" i="18"/>
  <c r="K283" i="18" s="1"/>
  <c r="L283" i="18" s="1"/>
  <c r="J282" i="18"/>
  <c r="I282" i="18"/>
  <c r="K282" i="18" s="1"/>
  <c r="L282" i="18" s="1"/>
  <c r="J281" i="18"/>
  <c r="I281" i="18"/>
  <c r="K281" i="18" s="1"/>
  <c r="J280" i="18"/>
  <c r="I280" i="18"/>
  <c r="K280" i="18" s="1"/>
  <c r="J279" i="18"/>
  <c r="I279" i="18"/>
  <c r="K279" i="18" s="1"/>
  <c r="J278" i="18"/>
  <c r="I278" i="18"/>
  <c r="K278" i="18" s="1"/>
  <c r="J277" i="18"/>
  <c r="I277" i="18"/>
  <c r="K277" i="18" s="1"/>
  <c r="J276" i="18"/>
  <c r="I276" i="18"/>
  <c r="K276" i="18" s="1"/>
  <c r="L276" i="18" s="1"/>
  <c r="J275" i="18"/>
  <c r="I275" i="18"/>
  <c r="K275" i="18" s="1"/>
  <c r="J274" i="18"/>
  <c r="I274" i="18"/>
  <c r="K274" i="18" s="1"/>
  <c r="J273" i="18"/>
  <c r="I273" i="18"/>
  <c r="K273" i="18" s="1"/>
  <c r="J272" i="18"/>
  <c r="I272" i="18"/>
  <c r="K272" i="18" s="1"/>
  <c r="L272" i="18" s="1"/>
  <c r="J271" i="18"/>
  <c r="I271" i="18"/>
  <c r="K271" i="18" s="1"/>
  <c r="J270" i="18"/>
  <c r="I270" i="18"/>
  <c r="K270" i="18" s="1"/>
  <c r="J269" i="18"/>
  <c r="I269" i="18"/>
  <c r="K269" i="18" s="1"/>
  <c r="J268" i="18"/>
  <c r="I268" i="18"/>
  <c r="K268" i="18" s="1"/>
  <c r="L268" i="18" s="1"/>
  <c r="J267" i="18"/>
  <c r="I267" i="18"/>
  <c r="K267" i="18" s="1"/>
  <c r="J266" i="18"/>
  <c r="I266" i="18"/>
  <c r="K266" i="18" s="1"/>
  <c r="J265" i="18"/>
  <c r="I265" i="18"/>
  <c r="K265" i="18" s="1"/>
  <c r="J264" i="18"/>
  <c r="I264" i="18"/>
  <c r="K264" i="18" s="1"/>
  <c r="L264" i="18" s="1"/>
  <c r="J263" i="18"/>
  <c r="I263" i="18"/>
  <c r="K263" i="18" s="1"/>
  <c r="J262" i="18"/>
  <c r="I262" i="18"/>
  <c r="K262" i="18" s="1"/>
  <c r="J261" i="18"/>
  <c r="I261" i="18"/>
  <c r="K261" i="18" s="1"/>
  <c r="J260" i="18"/>
  <c r="I260" i="18"/>
  <c r="K260" i="18" s="1"/>
  <c r="L260" i="18" s="1"/>
  <c r="J259" i="18"/>
  <c r="I259" i="18"/>
  <c r="K259" i="18" s="1"/>
  <c r="J258" i="18"/>
  <c r="I258" i="18"/>
  <c r="K258" i="18" s="1"/>
  <c r="J257" i="18"/>
  <c r="I257" i="18"/>
  <c r="K257" i="18" s="1"/>
  <c r="J256" i="18"/>
  <c r="I256" i="18"/>
  <c r="K256" i="18" s="1"/>
  <c r="L256" i="18" s="1"/>
  <c r="J255" i="18"/>
  <c r="I255" i="18"/>
  <c r="K255" i="18" s="1"/>
  <c r="J254" i="18"/>
  <c r="I254" i="18"/>
  <c r="K254" i="18" s="1"/>
  <c r="L254" i="18" s="1"/>
  <c r="J253" i="18"/>
  <c r="I253" i="18"/>
  <c r="K253" i="18" s="1"/>
  <c r="J252" i="18"/>
  <c r="I252" i="18"/>
  <c r="K252" i="18" s="1"/>
  <c r="L252" i="18" s="1"/>
  <c r="J251" i="18"/>
  <c r="I251" i="18"/>
  <c r="K251" i="18" s="1"/>
  <c r="J250" i="18"/>
  <c r="I250" i="18"/>
  <c r="K250" i="18" s="1"/>
  <c r="L250" i="18" s="1"/>
  <c r="J249" i="18"/>
  <c r="I249" i="18"/>
  <c r="K249" i="18" s="1"/>
  <c r="J248" i="18"/>
  <c r="I248" i="18"/>
  <c r="K248" i="18" s="1"/>
  <c r="J247" i="18"/>
  <c r="I247" i="18"/>
  <c r="K247" i="18" s="1"/>
  <c r="J246" i="18"/>
  <c r="I246" i="18"/>
  <c r="K246" i="18" s="1"/>
  <c r="L246" i="18" s="1"/>
  <c r="J245" i="18"/>
  <c r="I245" i="18"/>
  <c r="K245" i="18" s="1"/>
  <c r="J244" i="18"/>
  <c r="I244" i="18"/>
  <c r="K244" i="18" s="1"/>
  <c r="L244" i="18" s="1"/>
  <c r="J243" i="18"/>
  <c r="I243" i="18"/>
  <c r="K243" i="18" s="1"/>
  <c r="J242" i="18"/>
  <c r="I242" i="18"/>
  <c r="K242" i="18" s="1"/>
  <c r="L242" i="18" s="1"/>
  <c r="J241" i="18"/>
  <c r="I241" i="18"/>
  <c r="K241" i="18" s="1"/>
  <c r="J240" i="18"/>
  <c r="I240" i="18"/>
  <c r="K240" i="18" s="1"/>
  <c r="L240" i="18" s="1"/>
  <c r="J239" i="18"/>
  <c r="I239" i="18"/>
  <c r="K239" i="18" s="1"/>
  <c r="J238" i="18"/>
  <c r="I238" i="18"/>
  <c r="K238" i="18" s="1"/>
  <c r="L238" i="18" s="1"/>
  <c r="J237" i="18"/>
  <c r="I237" i="18"/>
  <c r="K237" i="18" s="1"/>
  <c r="J236" i="18"/>
  <c r="I236" i="18"/>
  <c r="K236" i="18" s="1"/>
  <c r="L236" i="18" s="1"/>
  <c r="J235" i="18"/>
  <c r="I235" i="18"/>
  <c r="K235" i="18" s="1"/>
  <c r="J234" i="18"/>
  <c r="I234" i="18"/>
  <c r="K234" i="18" s="1"/>
  <c r="L234" i="18" s="1"/>
  <c r="J233" i="18"/>
  <c r="I233" i="18"/>
  <c r="K233" i="18" s="1"/>
  <c r="J232" i="18"/>
  <c r="I232" i="18"/>
  <c r="K232" i="18" s="1"/>
  <c r="L232" i="18" s="1"/>
  <c r="J231" i="18"/>
  <c r="I231" i="18"/>
  <c r="K231" i="18" s="1"/>
  <c r="J230" i="18"/>
  <c r="I230" i="18"/>
  <c r="K230" i="18" s="1"/>
  <c r="J229" i="18"/>
  <c r="I229" i="18"/>
  <c r="K229" i="18" s="1"/>
  <c r="J228" i="18"/>
  <c r="I228" i="18"/>
  <c r="K228" i="18" s="1"/>
  <c r="L228" i="18" s="1"/>
  <c r="J227" i="18"/>
  <c r="I227" i="18"/>
  <c r="K227" i="18" s="1"/>
  <c r="J226" i="18"/>
  <c r="I226" i="18"/>
  <c r="K226" i="18" s="1"/>
  <c r="J225" i="18"/>
  <c r="I225" i="18"/>
  <c r="K225" i="18" s="1"/>
  <c r="J224" i="18"/>
  <c r="I224" i="18"/>
  <c r="K224" i="18" s="1"/>
  <c r="L224" i="18" s="1"/>
  <c r="J223" i="18"/>
  <c r="I223" i="18"/>
  <c r="K223" i="18" s="1"/>
  <c r="J222" i="18"/>
  <c r="I222" i="18"/>
  <c r="K222" i="18" s="1"/>
  <c r="J221" i="18"/>
  <c r="I221" i="18"/>
  <c r="K221" i="18" s="1"/>
  <c r="J220" i="18"/>
  <c r="I220" i="18"/>
  <c r="K220" i="18" s="1"/>
  <c r="L220" i="18" s="1"/>
  <c r="J219" i="18"/>
  <c r="I219" i="18"/>
  <c r="K219" i="18" s="1"/>
  <c r="J218" i="18"/>
  <c r="I218" i="18"/>
  <c r="K218" i="18" s="1"/>
  <c r="L218" i="18" s="1"/>
  <c r="J217" i="18"/>
  <c r="I217" i="18"/>
  <c r="K217" i="18" s="1"/>
  <c r="J216" i="18"/>
  <c r="I216" i="18"/>
  <c r="K216" i="18" s="1"/>
  <c r="L216" i="18" s="1"/>
  <c r="J215" i="18"/>
  <c r="I215" i="18"/>
  <c r="K215" i="18" s="1"/>
  <c r="J214" i="18"/>
  <c r="I214" i="18"/>
  <c r="K214" i="18" s="1"/>
  <c r="L214" i="18" s="1"/>
  <c r="J213" i="18"/>
  <c r="I213" i="18"/>
  <c r="K213" i="18" s="1"/>
  <c r="J212" i="18"/>
  <c r="I212" i="18"/>
  <c r="K212" i="18" s="1"/>
  <c r="L212" i="18" s="1"/>
  <c r="J211" i="18"/>
  <c r="I211" i="18"/>
  <c r="K211" i="18" s="1"/>
  <c r="J210" i="18"/>
  <c r="I210" i="18"/>
  <c r="K210" i="18" s="1"/>
  <c r="L210" i="18" s="1"/>
  <c r="J209" i="18"/>
  <c r="I209" i="18"/>
  <c r="K209" i="18" s="1"/>
  <c r="J208" i="18"/>
  <c r="I208" i="18"/>
  <c r="K208" i="18" s="1"/>
  <c r="L208" i="18" s="1"/>
  <c r="J207" i="18"/>
  <c r="I207" i="18"/>
  <c r="K207" i="18" s="1"/>
  <c r="J206" i="18"/>
  <c r="I206" i="18"/>
  <c r="K206" i="18" s="1"/>
  <c r="L206" i="18" s="1"/>
  <c r="J205" i="18"/>
  <c r="I205" i="18"/>
  <c r="K205" i="18" s="1"/>
  <c r="J204" i="18"/>
  <c r="I204" i="18"/>
  <c r="K204" i="18" s="1"/>
  <c r="L204" i="18" s="1"/>
  <c r="J203" i="18"/>
  <c r="I203" i="18"/>
  <c r="K203" i="18" s="1"/>
  <c r="J202" i="18"/>
  <c r="I202" i="18"/>
  <c r="K202" i="18" s="1"/>
  <c r="J201" i="18"/>
  <c r="I201" i="18"/>
  <c r="K201" i="18" s="1"/>
  <c r="J200" i="18"/>
  <c r="I200" i="18"/>
  <c r="K200" i="18" s="1"/>
  <c r="J199" i="18"/>
  <c r="I199" i="18"/>
  <c r="K199" i="18" s="1"/>
  <c r="J198" i="18"/>
  <c r="I198" i="18"/>
  <c r="K198" i="18" s="1"/>
  <c r="J197" i="18"/>
  <c r="I197" i="18"/>
  <c r="K197" i="18" s="1"/>
  <c r="J196" i="18"/>
  <c r="I196" i="18"/>
  <c r="K196" i="18" s="1"/>
  <c r="J195" i="18"/>
  <c r="I195" i="18"/>
  <c r="K195" i="18" s="1"/>
  <c r="J194" i="18"/>
  <c r="I194" i="18"/>
  <c r="K194" i="18" s="1"/>
  <c r="J193" i="18"/>
  <c r="I193" i="18"/>
  <c r="K193" i="18" s="1"/>
  <c r="J192" i="18"/>
  <c r="I192" i="18"/>
  <c r="K192" i="18" s="1"/>
  <c r="J191" i="18"/>
  <c r="I191" i="18"/>
  <c r="K191" i="18" s="1"/>
  <c r="J190" i="18"/>
  <c r="I190" i="18"/>
  <c r="K190" i="18" s="1"/>
  <c r="J189" i="18"/>
  <c r="I189" i="18"/>
  <c r="K189" i="18" s="1"/>
  <c r="J188" i="18"/>
  <c r="I188" i="18"/>
  <c r="K188" i="18" s="1"/>
  <c r="J187" i="18"/>
  <c r="I187" i="18"/>
  <c r="K187" i="18" s="1"/>
  <c r="J186" i="18"/>
  <c r="I186" i="18"/>
  <c r="K186" i="18" s="1"/>
  <c r="L186" i="18" s="1"/>
  <c r="J185" i="18"/>
  <c r="I185" i="18"/>
  <c r="K185" i="18" s="1"/>
  <c r="J184" i="18"/>
  <c r="I184" i="18"/>
  <c r="K184" i="18" s="1"/>
  <c r="L184" i="18" s="1"/>
  <c r="J183" i="18"/>
  <c r="I183" i="18"/>
  <c r="K183" i="18" s="1"/>
  <c r="J182" i="18"/>
  <c r="I182" i="18"/>
  <c r="K182" i="18" s="1"/>
  <c r="J181" i="18"/>
  <c r="I181" i="18"/>
  <c r="K181" i="18" s="1"/>
  <c r="J180" i="18"/>
  <c r="I180" i="18"/>
  <c r="K180" i="18" s="1"/>
  <c r="L180" i="18" s="1"/>
  <c r="J179" i="18"/>
  <c r="I179" i="18"/>
  <c r="K179" i="18" s="1"/>
  <c r="J178" i="18"/>
  <c r="I178" i="18"/>
  <c r="K178" i="18" s="1"/>
  <c r="J177" i="18"/>
  <c r="I177" i="18"/>
  <c r="K177" i="18" s="1"/>
  <c r="J176" i="18"/>
  <c r="I176" i="18"/>
  <c r="K176" i="18" s="1"/>
  <c r="J175" i="18"/>
  <c r="I175" i="18"/>
  <c r="K175" i="18" s="1"/>
  <c r="J174" i="18"/>
  <c r="I174" i="18"/>
  <c r="K174" i="18" s="1"/>
  <c r="J173" i="18"/>
  <c r="I173" i="18"/>
  <c r="K173" i="18" s="1"/>
  <c r="J172" i="18"/>
  <c r="I172" i="18"/>
  <c r="K172" i="18" s="1"/>
  <c r="L172" i="18" s="1"/>
  <c r="J171" i="18"/>
  <c r="I171" i="18"/>
  <c r="K171" i="18" s="1"/>
  <c r="J170" i="18"/>
  <c r="I170" i="18"/>
  <c r="K170" i="18" s="1"/>
  <c r="J169" i="18"/>
  <c r="I169" i="18"/>
  <c r="K169" i="18" s="1"/>
  <c r="J168" i="18"/>
  <c r="I168" i="18"/>
  <c r="K168" i="18" s="1"/>
  <c r="L168" i="18" s="1"/>
  <c r="J167" i="18"/>
  <c r="I167" i="18"/>
  <c r="K167" i="18" s="1"/>
  <c r="J166" i="18"/>
  <c r="I166" i="18"/>
  <c r="K166" i="18" s="1"/>
  <c r="L166" i="18" s="1"/>
  <c r="J165" i="18"/>
  <c r="I165" i="18"/>
  <c r="K165" i="18" s="1"/>
  <c r="J164" i="18"/>
  <c r="I164" i="18"/>
  <c r="K164" i="18" s="1"/>
  <c r="L164" i="18" s="1"/>
  <c r="J163" i="18"/>
  <c r="I163" i="18"/>
  <c r="K163" i="18" s="1"/>
  <c r="J162" i="18"/>
  <c r="I162" i="18"/>
  <c r="K162" i="18" s="1"/>
  <c r="J161" i="18"/>
  <c r="I161" i="18"/>
  <c r="K161" i="18" s="1"/>
  <c r="J160" i="18"/>
  <c r="I160" i="18"/>
  <c r="K160" i="18" s="1"/>
  <c r="J159" i="18"/>
  <c r="I159" i="18"/>
  <c r="K159" i="18" s="1"/>
  <c r="J158" i="18"/>
  <c r="I158" i="18"/>
  <c r="K158" i="18" s="1"/>
  <c r="J157" i="18"/>
  <c r="I157" i="18"/>
  <c r="K157" i="18" s="1"/>
  <c r="J156" i="18"/>
  <c r="I156" i="18"/>
  <c r="K156" i="18" s="1"/>
  <c r="J155" i="18"/>
  <c r="I155" i="18"/>
  <c r="K155" i="18" s="1"/>
  <c r="J154" i="18"/>
  <c r="I154" i="18"/>
  <c r="K154" i="18" s="1"/>
  <c r="L154" i="18" s="1"/>
  <c r="J153" i="18"/>
  <c r="I153" i="18"/>
  <c r="K153" i="18" s="1"/>
  <c r="J152" i="18"/>
  <c r="I152" i="18"/>
  <c r="K152" i="18" s="1"/>
  <c r="L152" i="18" s="1"/>
  <c r="J151" i="18"/>
  <c r="I151" i="18"/>
  <c r="K151" i="18" s="1"/>
  <c r="J150" i="18"/>
  <c r="I150" i="18"/>
  <c r="K150" i="18" s="1"/>
  <c r="J149" i="18"/>
  <c r="I149" i="18"/>
  <c r="K149" i="18" s="1"/>
  <c r="J148" i="18"/>
  <c r="I148" i="18"/>
  <c r="K148" i="18" s="1"/>
  <c r="L148" i="18" s="1"/>
  <c r="J147" i="18"/>
  <c r="I147" i="18"/>
  <c r="K147" i="18" s="1"/>
  <c r="J146" i="18"/>
  <c r="I146" i="18"/>
  <c r="K146" i="18" s="1"/>
  <c r="J145" i="18"/>
  <c r="I145" i="18"/>
  <c r="K145" i="18" s="1"/>
  <c r="J144" i="18"/>
  <c r="I144" i="18"/>
  <c r="K144" i="18" s="1"/>
  <c r="J143" i="18"/>
  <c r="I143" i="18"/>
  <c r="K143" i="18" s="1"/>
  <c r="J142" i="18"/>
  <c r="I142" i="18"/>
  <c r="K142" i="18" s="1"/>
  <c r="J141" i="18"/>
  <c r="I141" i="18"/>
  <c r="K141" i="18" s="1"/>
  <c r="J140" i="18"/>
  <c r="I140" i="18"/>
  <c r="K140" i="18" s="1"/>
  <c r="J139" i="18"/>
  <c r="I139" i="18"/>
  <c r="K139" i="18" s="1"/>
  <c r="J138" i="18"/>
  <c r="I138" i="18"/>
  <c r="K138" i="18" s="1"/>
  <c r="J137" i="18"/>
  <c r="I137" i="18"/>
  <c r="K137" i="18" s="1"/>
  <c r="J136" i="18"/>
  <c r="I136" i="18"/>
  <c r="K136" i="18" s="1"/>
  <c r="J135" i="18"/>
  <c r="I135" i="18"/>
  <c r="K135" i="18" s="1"/>
  <c r="J134" i="18"/>
  <c r="I134" i="18"/>
  <c r="K134" i="18" s="1"/>
  <c r="J133" i="18"/>
  <c r="I133" i="18"/>
  <c r="K133" i="18" s="1"/>
  <c r="J132" i="18"/>
  <c r="I132" i="18"/>
  <c r="K132" i="18" s="1"/>
  <c r="J131" i="18"/>
  <c r="I131" i="18"/>
  <c r="K131" i="18" s="1"/>
  <c r="J130" i="18"/>
  <c r="I130" i="18"/>
  <c r="K130" i="18" s="1"/>
  <c r="J129" i="18"/>
  <c r="I129" i="18"/>
  <c r="K129" i="18" s="1"/>
  <c r="J128" i="18"/>
  <c r="I128" i="18"/>
  <c r="K128" i="18" s="1"/>
  <c r="J127" i="18"/>
  <c r="I127" i="18"/>
  <c r="K127" i="18" s="1"/>
  <c r="J126" i="18"/>
  <c r="I126" i="18"/>
  <c r="K126" i="18" s="1"/>
  <c r="J125" i="18"/>
  <c r="I125" i="18"/>
  <c r="K125" i="18" s="1"/>
  <c r="J124" i="18"/>
  <c r="I124" i="18"/>
  <c r="K124" i="18" s="1"/>
  <c r="J123" i="18"/>
  <c r="I123" i="18"/>
  <c r="K123" i="18" s="1"/>
  <c r="J122" i="18"/>
  <c r="I122" i="18"/>
  <c r="K122" i="18" s="1"/>
  <c r="J121" i="18"/>
  <c r="I121" i="18"/>
  <c r="K121" i="18" s="1"/>
  <c r="J120" i="18"/>
  <c r="I120" i="18"/>
  <c r="K120" i="18" s="1"/>
  <c r="J119" i="18"/>
  <c r="I119" i="18"/>
  <c r="K119" i="18" s="1"/>
  <c r="J118" i="18"/>
  <c r="I118" i="18"/>
  <c r="K118" i="18" s="1"/>
  <c r="J117" i="18"/>
  <c r="I117" i="18"/>
  <c r="K117" i="18" s="1"/>
  <c r="J116" i="18"/>
  <c r="I116" i="18"/>
  <c r="K116" i="18" s="1"/>
  <c r="J115" i="18"/>
  <c r="I115" i="18"/>
  <c r="K115" i="18" s="1"/>
  <c r="J114" i="18"/>
  <c r="I114" i="18"/>
  <c r="K114" i="18" s="1"/>
  <c r="L114" i="18" s="1"/>
  <c r="J113" i="18"/>
  <c r="I113" i="18"/>
  <c r="K113" i="18" s="1"/>
  <c r="J112" i="18"/>
  <c r="I112" i="18"/>
  <c r="K112" i="18" s="1"/>
  <c r="J111" i="18"/>
  <c r="I111" i="18"/>
  <c r="K111" i="18" s="1"/>
  <c r="J110" i="18"/>
  <c r="I110" i="18"/>
  <c r="K110" i="18" s="1"/>
  <c r="J109" i="18"/>
  <c r="I109" i="18"/>
  <c r="K109" i="18" s="1"/>
  <c r="J108" i="18"/>
  <c r="I108" i="18"/>
  <c r="K108" i="18" s="1"/>
  <c r="J107" i="18"/>
  <c r="I107" i="18"/>
  <c r="K107" i="18" s="1"/>
  <c r="L107" i="18" s="1"/>
  <c r="J106" i="18"/>
  <c r="I106" i="18"/>
  <c r="K106" i="18" s="1"/>
  <c r="L106" i="18" s="1"/>
  <c r="J105" i="18"/>
  <c r="I105" i="18"/>
  <c r="K105" i="18" s="1"/>
  <c r="J104" i="18"/>
  <c r="I104" i="18"/>
  <c r="K104" i="18" s="1"/>
  <c r="J103" i="18"/>
  <c r="I103" i="18"/>
  <c r="K103" i="18" s="1"/>
  <c r="J102" i="18"/>
  <c r="I102" i="18"/>
  <c r="K102" i="18" s="1"/>
  <c r="J101" i="18"/>
  <c r="I101" i="18"/>
  <c r="K101" i="18" s="1"/>
  <c r="V100" i="18"/>
  <c r="J100" i="18"/>
  <c r="I100" i="18"/>
  <c r="K100" i="18" s="1"/>
  <c r="J99" i="18"/>
  <c r="I99" i="18"/>
  <c r="K99" i="18" s="1"/>
  <c r="J98" i="18"/>
  <c r="I98" i="18"/>
  <c r="K98" i="18" s="1"/>
  <c r="J97" i="18"/>
  <c r="I97" i="18"/>
  <c r="K97" i="18" s="1"/>
  <c r="V96" i="18"/>
  <c r="J96" i="18"/>
  <c r="I96" i="18"/>
  <c r="K96" i="18" s="1"/>
  <c r="J95" i="18"/>
  <c r="I95" i="18"/>
  <c r="K95" i="18" s="1"/>
  <c r="J94" i="18"/>
  <c r="I94" i="18"/>
  <c r="K94" i="18" s="1"/>
  <c r="J93" i="18"/>
  <c r="I93" i="18"/>
  <c r="K93" i="18" s="1"/>
  <c r="J92" i="18"/>
  <c r="I92" i="18"/>
  <c r="K92" i="18" s="1"/>
  <c r="J91" i="18"/>
  <c r="I91" i="18"/>
  <c r="K91" i="18" s="1"/>
  <c r="J90" i="18"/>
  <c r="I90" i="18"/>
  <c r="K90" i="18" s="1"/>
  <c r="J89" i="18"/>
  <c r="I89" i="18"/>
  <c r="K89" i="18" s="1"/>
  <c r="J88" i="18"/>
  <c r="I88" i="18"/>
  <c r="K88" i="18" s="1"/>
  <c r="J87" i="18"/>
  <c r="I87" i="18"/>
  <c r="K87" i="18" s="1"/>
  <c r="J86" i="18"/>
  <c r="I86" i="18"/>
  <c r="K86" i="18" s="1"/>
  <c r="J85" i="18"/>
  <c r="I85" i="18"/>
  <c r="K85" i="18" s="1"/>
  <c r="J84" i="18"/>
  <c r="I84" i="18"/>
  <c r="K84" i="18" s="1"/>
  <c r="J83" i="18"/>
  <c r="I83" i="18"/>
  <c r="K83" i="18" s="1"/>
  <c r="J82" i="18"/>
  <c r="I82" i="18"/>
  <c r="K82" i="18" s="1"/>
  <c r="J81" i="18"/>
  <c r="I81" i="18"/>
  <c r="K81" i="18" s="1"/>
  <c r="J80" i="18"/>
  <c r="I80" i="18"/>
  <c r="K80" i="18" s="1"/>
  <c r="J79" i="18"/>
  <c r="I79" i="18"/>
  <c r="K79" i="18" s="1"/>
  <c r="J78" i="18"/>
  <c r="I78" i="18"/>
  <c r="K78" i="18" s="1"/>
  <c r="J77" i="18"/>
  <c r="I77" i="18"/>
  <c r="K77" i="18" s="1"/>
  <c r="J76" i="18"/>
  <c r="I76" i="18"/>
  <c r="K76" i="18" s="1"/>
  <c r="J75" i="18"/>
  <c r="I75" i="18"/>
  <c r="K75" i="18" s="1"/>
  <c r="J74" i="18"/>
  <c r="I74" i="18"/>
  <c r="K74" i="18" s="1"/>
  <c r="J73" i="18"/>
  <c r="I73" i="18"/>
  <c r="K73" i="18" s="1"/>
  <c r="J72" i="18"/>
  <c r="I72" i="18"/>
  <c r="K72" i="18" s="1"/>
  <c r="J71" i="18"/>
  <c r="I71" i="18"/>
  <c r="K71" i="18" s="1"/>
  <c r="J70" i="18"/>
  <c r="I70" i="18"/>
  <c r="K70" i="18" s="1"/>
  <c r="J69" i="18"/>
  <c r="I69" i="18"/>
  <c r="K69" i="18" s="1"/>
  <c r="J68" i="18"/>
  <c r="I68" i="18"/>
  <c r="K68" i="18" s="1"/>
  <c r="J67" i="18"/>
  <c r="I67" i="18"/>
  <c r="K67" i="18" s="1"/>
  <c r="J66" i="18"/>
  <c r="I66" i="18"/>
  <c r="K66" i="18" s="1"/>
  <c r="J65" i="18"/>
  <c r="I65" i="18"/>
  <c r="K65" i="18" s="1"/>
  <c r="J64" i="18"/>
  <c r="I64" i="18"/>
  <c r="K64" i="18" s="1"/>
  <c r="J63" i="18"/>
  <c r="I63" i="18"/>
  <c r="K63" i="18" s="1"/>
  <c r="J62" i="18"/>
  <c r="I62" i="18"/>
  <c r="K62" i="18" s="1"/>
  <c r="J61" i="18"/>
  <c r="I61" i="18"/>
  <c r="K61" i="18" s="1"/>
  <c r="J60" i="18"/>
  <c r="I60" i="18"/>
  <c r="K60" i="18" s="1"/>
  <c r="J59" i="18"/>
  <c r="I59" i="18"/>
  <c r="K59" i="18" s="1"/>
  <c r="J58" i="18"/>
  <c r="I58" i="18"/>
  <c r="K58" i="18" s="1"/>
  <c r="J57" i="18"/>
  <c r="I57" i="18"/>
  <c r="K57" i="18" s="1"/>
  <c r="J56" i="18"/>
  <c r="I56" i="18"/>
  <c r="K56" i="18" s="1"/>
  <c r="J55" i="18"/>
  <c r="I55" i="18"/>
  <c r="K55" i="18" s="1"/>
  <c r="J54" i="18"/>
  <c r="I54" i="18"/>
  <c r="K54" i="18" s="1"/>
  <c r="J53" i="18"/>
  <c r="I53" i="18"/>
  <c r="K53" i="18" s="1"/>
  <c r="J52" i="18"/>
  <c r="I52" i="18"/>
  <c r="K52" i="18" s="1"/>
  <c r="J51" i="18"/>
  <c r="I51" i="18"/>
  <c r="K51" i="18" s="1"/>
  <c r="J50" i="18"/>
  <c r="I50" i="18"/>
  <c r="K50" i="18" s="1"/>
  <c r="J49" i="18"/>
  <c r="I49" i="18"/>
  <c r="K49" i="18" s="1"/>
  <c r="J48" i="18"/>
  <c r="I48" i="18"/>
  <c r="K48" i="18" s="1"/>
  <c r="J47" i="18"/>
  <c r="I47" i="18"/>
  <c r="K47" i="18" s="1"/>
  <c r="J46" i="18"/>
  <c r="I46" i="18"/>
  <c r="K46" i="18" s="1"/>
  <c r="J45" i="18"/>
  <c r="I45" i="18"/>
  <c r="K45" i="18" s="1"/>
  <c r="J44" i="18"/>
  <c r="I44" i="18"/>
  <c r="K44" i="18" s="1"/>
  <c r="J43" i="18"/>
  <c r="I43" i="18"/>
  <c r="K43" i="18" s="1"/>
  <c r="J42" i="18"/>
  <c r="I42" i="18"/>
  <c r="K42" i="18" s="1"/>
  <c r="J41" i="18"/>
  <c r="I41" i="18"/>
  <c r="K41" i="18" s="1"/>
  <c r="J40" i="18"/>
  <c r="I40" i="18"/>
  <c r="K40" i="18" s="1"/>
  <c r="J39" i="18"/>
  <c r="I39" i="18"/>
  <c r="K39" i="18" s="1"/>
  <c r="J38" i="18"/>
  <c r="I38" i="18"/>
  <c r="K38" i="18" s="1"/>
  <c r="J37" i="18"/>
  <c r="I37" i="18"/>
  <c r="K37" i="18" s="1"/>
  <c r="J36" i="18"/>
  <c r="I36" i="18"/>
  <c r="K36" i="18" s="1"/>
  <c r="J35" i="18"/>
  <c r="I35" i="18"/>
  <c r="K35" i="18" s="1"/>
  <c r="J34" i="18"/>
  <c r="I34" i="18"/>
  <c r="K34" i="18" s="1"/>
  <c r="J33" i="18"/>
  <c r="I33" i="18"/>
  <c r="K33" i="18" s="1"/>
  <c r="J32" i="18"/>
  <c r="I32" i="18"/>
  <c r="K32" i="18" s="1"/>
  <c r="J31" i="18"/>
  <c r="I31" i="18"/>
  <c r="K31" i="18" s="1"/>
  <c r="J30" i="18"/>
  <c r="I30" i="18"/>
  <c r="K30" i="18" s="1"/>
  <c r="J29" i="18"/>
  <c r="I29" i="18"/>
  <c r="K29" i="18" s="1"/>
  <c r="J28" i="18"/>
  <c r="I28" i="18"/>
  <c r="K28" i="18" s="1"/>
  <c r="J27" i="18"/>
  <c r="I27" i="18"/>
  <c r="K27" i="18" s="1"/>
  <c r="J26" i="18"/>
  <c r="I26" i="18"/>
  <c r="K26" i="18" s="1"/>
  <c r="J25" i="18"/>
  <c r="I25" i="18"/>
  <c r="K25" i="18" s="1"/>
  <c r="J24" i="18"/>
  <c r="I24" i="18"/>
  <c r="K24" i="18" s="1"/>
  <c r="J23" i="18"/>
  <c r="I23" i="18"/>
  <c r="K23" i="18" s="1"/>
  <c r="J22" i="18"/>
  <c r="I22" i="18"/>
  <c r="K22" i="18" s="1"/>
  <c r="J21" i="18"/>
  <c r="I21" i="18"/>
  <c r="K21" i="18" s="1"/>
  <c r="J20" i="18"/>
  <c r="I20" i="18"/>
  <c r="K20" i="18" s="1"/>
  <c r="J19" i="18"/>
  <c r="I19" i="18"/>
  <c r="K19" i="18" s="1"/>
  <c r="J18" i="18"/>
  <c r="I18" i="18"/>
  <c r="K18" i="18" s="1"/>
  <c r="J17" i="18"/>
  <c r="I17" i="18"/>
  <c r="K17" i="18" s="1"/>
  <c r="J16" i="18"/>
  <c r="I16" i="18"/>
  <c r="K16" i="18" s="1"/>
  <c r="J15" i="18"/>
  <c r="I15" i="18"/>
  <c r="K15" i="18" s="1"/>
  <c r="J14" i="18"/>
  <c r="I14" i="18"/>
  <c r="K14" i="18" s="1"/>
  <c r="J13" i="18"/>
  <c r="I13" i="18"/>
  <c r="K13" i="18" s="1"/>
  <c r="J12" i="18"/>
  <c r="I12" i="18"/>
  <c r="K12" i="18" s="1"/>
  <c r="J11" i="18"/>
  <c r="I11" i="18"/>
  <c r="K11" i="18" s="1"/>
  <c r="J10" i="18"/>
  <c r="I10" i="18"/>
  <c r="K10" i="18" s="1"/>
  <c r="J9" i="18"/>
  <c r="I9" i="18"/>
  <c r="K9" i="18" s="1"/>
  <c r="J8" i="18"/>
  <c r="I8" i="18"/>
  <c r="K8" i="18" s="1"/>
  <c r="J7" i="18"/>
  <c r="I7" i="18"/>
  <c r="K7" i="18" s="1"/>
  <c r="J6" i="18"/>
  <c r="I6" i="18"/>
  <c r="K6" i="18" s="1"/>
  <c r="J5" i="18"/>
  <c r="I5" i="18"/>
  <c r="K5" i="18" s="1"/>
  <c r="J4" i="18"/>
  <c r="I4" i="18"/>
  <c r="K4" i="18" s="1"/>
  <c r="J3" i="18"/>
  <c r="I3" i="18"/>
  <c r="K3" i="18" s="1"/>
  <c r="J2" i="18"/>
  <c r="I2" i="18"/>
  <c r="K2" i="18" s="1"/>
  <c r="J322" i="17"/>
  <c r="I322" i="17"/>
  <c r="K322" i="17" s="1"/>
  <c r="J321" i="17"/>
  <c r="I321" i="17"/>
  <c r="K321" i="17" s="1"/>
  <c r="J320" i="17"/>
  <c r="I320" i="17"/>
  <c r="K320" i="17" s="1"/>
  <c r="J319" i="17"/>
  <c r="I319" i="17"/>
  <c r="K319" i="17" s="1"/>
  <c r="J318" i="17"/>
  <c r="I318" i="17"/>
  <c r="K318" i="17" s="1"/>
  <c r="J317" i="17"/>
  <c r="I317" i="17"/>
  <c r="K317" i="17" s="1"/>
  <c r="J316" i="17"/>
  <c r="I316" i="17"/>
  <c r="K316" i="17" s="1"/>
  <c r="L316" i="17" s="1"/>
  <c r="V98" i="17" s="1"/>
  <c r="J315" i="17"/>
  <c r="I315" i="17"/>
  <c r="K315" i="17" s="1"/>
  <c r="J314" i="17"/>
  <c r="I314" i="17"/>
  <c r="K314" i="17" s="1"/>
  <c r="J313" i="17"/>
  <c r="I313" i="17"/>
  <c r="K313" i="17" s="1"/>
  <c r="J312" i="17"/>
  <c r="I312" i="17"/>
  <c r="K312" i="17" s="1"/>
  <c r="J311" i="17"/>
  <c r="I311" i="17"/>
  <c r="K311" i="17" s="1"/>
  <c r="J310" i="17"/>
  <c r="I310" i="17"/>
  <c r="K310" i="17" s="1"/>
  <c r="J309" i="17"/>
  <c r="I309" i="17"/>
  <c r="K309" i="17" s="1"/>
  <c r="J308" i="17"/>
  <c r="I308" i="17"/>
  <c r="K308" i="17" s="1"/>
  <c r="L308" i="17" s="1"/>
  <c r="V90" i="17" s="1"/>
  <c r="J307" i="17"/>
  <c r="I307" i="17"/>
  <c r="K307" i="17" s="1"/>
  <c r="J306" i="17"/>
  <c r="I306" i="17"/>
  <c r="K306" i="17" s="1"/>
  <c r="J305" i="17"/>
  <c r="I305" i="17"/>
  <c r="K305" i="17" s="1"/>
  <c r="J304" i="17"/>
  <c r="I304" i="17"/>
  <c r="K304" i="17" s="1"/>
  <c r="L304" i="17" s="1"/>
  <c r="V86" i="17" s="1"/>
  <c r="J303" i="17"/>
  <c r="I303" i="17"/>
  <c r="K303" i="17" s="1"/>
  <c r="J302" i="17"/>
  <c r="I302" i="17"/>
  <c r="K302" i="17" s="1"/>
  <c r="J301" i="17"/>
  <c r="I301" i="17"/>
  <c r="K301" i="17" s="1"/>
  <c r="J300" i="17"/>
  <c r="I300" i="17"/>
  <c r="K300" i="17" s="1"/>
  <c r="L300" i="17" s="1"/>
  <c r="J299" i="17"/>
  <c r="I299" i="17"/>
  <c r="K299" i="17" s="1"/>
  <c r="J298" i="17"/>
  <c r="I298" i="17"/>
  <c r="K298" i="17" s="1"/>
  <c r="J297" i="17"/>
  <c r="I297" i="17"/>
  <c r="K297" i="17" s="1"/>
  <c r="J296" i="17"/>
  <c r="I296" i="17"/>
  <c r="K296" i="17" s="1"/>
  <c r="L296" i="17" s="1"/>
  <c r="J295" i="17"/>
  <c r="I295" i="17"/>
  <c r="K295" i="17" s="1"/>
  <c r="J294" i="17"/>
  <c r="I294" i="17"/>
  <c r="K294" i="17" s="1"/>
  <c r="J293" i="17"/>
  <c r="I293" i="17"/>
  <c r="K293" i="17" s="1"/>
  <c r="J292" i="17"/>
  <c r="I292" i="17"/>
  <c r="K292" i="17" s="1"/>
  <c r="L292" i="17" s="1"/>
  <c r="J291" i="17"/>
  <c r="I291" i="17"/>
  <c r="K291" i="17" s="1"/>
  <c r="J290" i="17"/>
  <c r="I290" i="17"/>
  <c r="K290" i="17" s="1"/>
  <c r="J289" i="17"/>
  <c r="I289" i="17"/>
  <c r="K289" i="17" s="1"/>
  <c r="J288" i="17"/>
  <c r="I288" i="17"/>
  <c r="K288" i="17" s="1"/>
  <c r="L288" i="17" s="1"/>
  <c r="J287" i="17"/>
  <c r="I287" i="17"/>
  <c r="K287" i="17" s="1"/>
  <c r="J286" i="17"/>
  <c r="I286" i="17"/>
  <c r="K286" i="17" s="1"/>
  <c r="J285" i="17"/>
  <c r="I285" i="17"/>
  <c r="K285" i="17" s="1"/>
  <c r="J284" i="17"/>
  <c r="I284" i="17"/>
  <c r="K284" i="17" s="1"/>
  <c r="L284" i="17" s="1"/>
  <c r="J283" i="17"/>
  <c r="I283" i="17"/>
  <c r="K283" i="17" s="1"/>
  <c r="J282" i="17"/>
  <c r="I282" i="17"/>
  <c r="K282" i="17" s="1"/>
  <c r="J281" i="17"/>
  <c r="I281" i="17"/>
  <c r="K281" i="17" s="1"/>
  <c r="J280" i="17"/>
  <c r="I280" i="17"/>
  <c r="K280" i="17" s="1"/>
  <c r="J279" i="17"/>
  <c r="I279" i="17"/>
  <c r="K279" i="17" s="1"/>
  <c r="J278" i="17"/>
  <c r="I278" i="17"/>
  <c r="K278" i="17" s="1"/>
  <c r="J277" i="17"/>
  <c r="I277" i="17"/>
  <c r="K277" i="17" s="1"/>
  <c r="J276" i="17"/>
  <c r="I276" i="17"/>
  <c r="K276" i="17" s="1"/>
  <c r="L276" i="17" s="1"/>
  <c r="J275" i="17"/>
  <c r="I275" i="17"/>
  <c r="K275" i="17" s="1"/>
  <c r="J274" i="17"/>
  <c r="I274" i="17"/>
  <c r="K274" i="17" s="1"/>
  <c r="J273" i="17"/>
  <c r="I273" i="17"/>
  <c r="K273" i="17" s="1"/>
  <c r="L273" i="17" s="1"/>
  <c r="J272" i="17"/>
  <c r="I272" i="17"/>
  <c r="K272" i="17" s="1"/>
  <c r="J271" i="17"/>
  <c r="I271" i="17"/>
  <c r="K271" i="17" s="1"/>
  <c r="J270" i="17"/>
  <c r="I270" i="17"/>
  <c r="K270" i="17" s="1"/>
  <c r="J269" i="17"/>
  <c r="I269" i="17"/>
  <c r="K269" i="17" s="1"/>
  <c r="J268" i="17"/>
  <c r="I268" i="17"/>
  <c r="K268" i="17" s="1"/>
  <c r="J267" i="17"/>
  <c r="I267" i="17"/>
  <c r="K267" i="17" s="1"/>
  <c r="J266" i="17"/>
  <c r="I266" i="17"/>
  <c r="K266" i="17" s="1"/>
  <c r="J265" i="17"/>
  <c r="I265" i="17"/>
  <c r="K265" i="17" s="1"/>
  <c r="L265" i="17" s="1"/>
  <c r="J264" i="17"/>
  <c r="I264" i="17"/>
  <c r="K264" i="17" s="1"/>
  <c r="J263" i="17"/>
  <c r="I263" i="17"/>
  <c r="K263" i="17" s="1"/>
  <c r="J262" i="17"/>
  <c r="I262" i="17"/>
  <c r="K262" i="17" s="1"/>
  <c r="J261" i="17"/>
  <c r="I261" i="17"/>
  <c r="K261" i="17" s="1"/>
  <c r="L261" i="17" s="1"/>
  <c r="J260" i="17"/>
  <c r="I260" i="17"/>
  <c r="K260" i="17" s="1"/>
  <c r="J259" i="17"/>
  <c r="I259" i="17"/>
  <c r="K259" i="17" s="1"/>
  <c r="J258" i="17"/>
  <c r="I258" i="17"/>
  <c r="K258" i="17" s="1"/>
  <c r="J257" i="17"/>
  <c r="I257" i="17"/>
  <c r="K257" i="17" s="1"/>
  <c r="L257" i="17" s="1"/>
  <c r="J256" i="17"/>
  <c r="I256" i="17"/>
  <c r="K256" i="17" s="1"/>
  <c r="J255" i="17"/>
  <c r="I255" i="17"/>
  <c r="K255" i="17" s="1"/>
  <c r="J254" i="17"/>
  <c r="I254" i="17"/>
  <c r="K254" i="17" s="1"/>
  <c r="J253" i="17"/>
  <c r="I253" i="17"/>
  <c r="K253" i="17" s="1"/>
  <c r="L253" i="17" s="1"/>
  <c r="J252" i="17"/>
  <c r="I252" i="17"/>
  <c r="K252" i="17" s="1"/>
  <c r="J251" i="17"/>
  <c r="I251" i="17"/>
  <c r="K251" i="17" s="1"/>
  <c r="J250" i="17"/>
  <c r="I250" i="17"/>
  <c r="K250" i="17" s="1"/>
  <c r="J249" i="17"/>
  <c r="I249" i="17"/>
  <c r="K249" i="17" s="1"/>
  <c r="L249" i="17" s="1"/>
  <c r="J248" i="17"/>
  <c r="I248" i="17"/>
  <c r="K248" i="17" s="1"/>
  <c r="J247" i="17"/>
  <c r="I247" i="17"/>
  <c r="K247" i="17" s="1"/>
  <c r="J246" i="17"/>
  <c r="I246" i="17"/>
  <c r="K246" i="17" s="1"/>
  <c r="J245" i="17"/>
  <c r="I245" i="17"/>
  <c r="K245" i="17" s="1"/>
  <c r="J244" i="17"/>
  <c r="I244" i="17"/>
  <c r="K244" i="17" s="1"/>
  <c r="J243" i="17"/>
  <c r="I243" i="17"/>
  <c r="K243" i="17" s="1"/>
  <c r="J242" i="17"/>
  <c r="I242" i="17"/>
  <c r="K242" i="17" s="1"/>
  <c r="J241" i="17"/>
  <c r="I241" i="17"/>
  <c r="K241" i="17" s="1"/>
  <c r="J240" i="17"/>
  <c r="I240" i="17"/>
  <c r="K240" i="17" s="1"/>
  <c r="J239" i="17"/>
  <c r="I239" i="17"/>
  <c r="K239" i="17" s="1"/>
  <c r="J238" i="17"/>
  <c r="I238" i="17"/>
  <c r="K238" i="17" s="1"/>
  <c r="J237" i="17"/>
  <c r="I237" i="17"/>
  <c r="K237" i="17" s="1"/>
  <c r="J236" i="17"/>
  <c r="I236" i="17"/>
  <c r="K236" i="17" s="1"/>
  <c r="J235" i="17"/>
  <c r="I235" i="17"/>
  <c r="K235" i="17" s="1"/>
  <c r="J234" i="17"/>
  <c r="I234" i="17"/>
  <c r="K234" i="17" s="1"/>
  <c r="J233" i="17"/>
  <c r="I233" i="17"/>
  <c r="K233" i="17" s="1"/>
  <c r="J232" i="17"/>
  <c r="I232" i="17"/>
  <c r="K232" i="17" s="1"/>
  <c r="J231" i="17"/>
  <c r="I231" i="17"/>
  <c r="K231" i="17" s="1"/>
  <c r="J230" i="17"/>
  <c r="I230" i="17"/>
  <c r="K230" i="17" s="1"/>
  <c r="J229" i="17"/>
  <c r="I229" i="17"/>
  <c r="K229" i="17" s="1"/>
  <c r="J228" i="17"/>
  <c r="I228" i="17"/>
  <c r="K228" i="17" s="1"/>
  <c r="J227" i="17"/>
  <c r="I227" i="17"/>
  <c r="K227" i="17" s="1"/>
  <c r="J226" i="17"/>
  <c r="I226" i="17"/>
  <c r="K226" i="17" s="1"/>
  <c r="J225" i="17"/>
  <c r="I225" i="17"/>
  <c r="K225" i="17" s="1"/>
  <c r="L225" i="17" s="1"/>
  <c r="J224" i="17"/>
  <c r="I224" i="17"/>
  <c r="K224" i="17" s="1"/>
  <c r="J223" i="17"/>
  <c r="I223" i="17"/>
  <c r="K223" i="17" s="1"/>
  <c r="J222" i="17"/>
  <c r="I222" i="17"/>
  <c r="K222" i="17" s="1"/>
  <c r="J221" i="17"/>
  <c r="I221" i="17"/>
  <c r="K221" i="17" s="1"/>
  <c r="L221" i="17" s="1"/>
  <c r="J220" i="17"/>
  <c r="I220" i="17"/>
  <c r="K220" i="17" s="1"/>
  <c r="J219" i="17"/>
  <c r="I219" i="17"/>
  <c r="K219" i="17" s="1"/>
  <c r="J218" i="17"/>
  <c r="I218" i="17"/>
  <c r="K218" i="17" s="1"/>
  <c r="J217" i="17"/>
  <c r="I217" i="17"/>
  <c r="K217" i="17" s="1"/>
  <c r="L217" i="17" s="1"/>
  <c r="J216" i="17"/>
  <c r="I216" i="17"/>
  <c r="K216" i="17" s="1"/>
  <c r="J215" i="17"/>
  <c r="I215" i="17"/>
  <c r="K215" i="17" s="1"/>
  <c r="J214" i="17"/>
  <c r="I214" i="17"/>
  <c r="K214" i="17" s="1"/>
  <c r="J213" i="17"/>
  <c r="I213" i="17"/>
  <c r="K213" i="17" s="1"/>
  <c r="L213" i="17" s="1"/>
  <c r="J212" i="17"/>
  <c r="I212" i="17"/>
  <c r="K212" i="17" s="1"/>
  <c r="J211" i="17"/>
  <c r="I211" i="17"/>
  <c r="K211" i="17" s="1"/>
  <c r="J210" i="17"/>
  <c r="I210" i="17"/>
  <c r="K210" i="17" s="1"/>
  <c r="J209" i="17"/>
  <c r="I209" i="17"/>
  <c r="K209" i="17" s="1"/>
  <c r="L209" i="17" s="1"/>
  <c r="J208" i="17"/>
  <c r="I208" i="17"/>
  <c r="K208" i="17" s="1"/>
  <c r="J207" i="17"/>
  <c r="I207" i="17"/>
  <c r="K207" i="17" s="1"/>
  <c r="J206" i="17"/>
  <c r="I206" i="17"/>
  <c r="K206" i="17" s="1"/>
  <c r="J205" i="17"/>
  <c r="I205" i="17"/>
  <c r="K205" i="17" s="1"/>
  <c r="L205" i="17" s="1"/>
  <c r="J204" i="17"/>
  <c r="I204" i="17"/>
  <c r="K204" i="17" s="1"/>
  <c r="J203" i="17"/>
  <c r="I203" i="17"/>
  <c r="K203" i="17" s="1"/>
  <c r="J202" i="17"/>
  <c r="I202" i="17"/>
  <c r="K202" i="17" s="1"/>
  <c r="J201" i="17"/>
  <c r="I201" i="17"/>
  <c r="K201" i="17" s="1"/>
  <c r="J200" i="17"/>
  <c r="I200" i="17"/>
  <c r="K200" i="17" s="1"/>
  <c r="J199" i="17"/>
  <c r="I199" i="17"/>
  <c r="K199" i="17" s="1"/>
  <c r="J198" i="17"/>
  <c r="I198" i="17"/>
  <c r="K198" i="17" s="1"/>
  <c r="J197" i="17"/>
  <c r="I197" i="17"/>
  <c r="K197" i="17" s="1"/>
  <c r="J196" i="17"/>
  <c r="I196" i="17"/>
  <c r="K196" i="17" s="1"/>
  <c r="J195" i="17"/>
  <c r="I195" i="17"/>
  <c r="K195" i="17" s="1"/>
  <c r="J194" i="17"/>
  <c r="I194" i="17"/>
  <c r="K194" i="17" s="1"/>
  <c r="J193" i="17"/>
  <c r="I193" i="17"/>
  <c r="K193" i="17" s="1"/>
  <c r="J192" i="17"/>
  <c r="I192" i="17"/>
  <c r="K192" i="17" s="1"/>
  <c r="J191" i="17"/>
  <c r="I191" i="17"/>
  <c r="K191" i="17" s="1"/>
  <c r="J190" i="17"/>
  <c r="I190" i="17"/>
  <c r="K190" i="17" s="1"/>
  <c r="J189" i="17"/>
  <c r="I189" i="17"/>
  <c r="K189" i="17" s="1"/>
  <c r="J188" i="17"/>
  <c r="I188" i="17"/>
  <c r="K188" i="17" s="1"/>
  <c r="J187" i="17"/>
  <c r="I187" i="17"/>
  <c r="K187" i="17" s="1"/>
  <c r="J186" i="17"/>
  <c r="I186" i="17"/>
  <c r="K186" i="17" s="1"/>
  <c r="J185" i="17"/>
  <c r="I185" i="17"/>
  <c r="K185" i="17" s="1"/>
  <c r="J184" i="17"/>
  <c r="I184" i="17"/>
  <c r="K184" i="17" s="1"/>
  <c r="J183" i="17"/>
  <c r="I183" i="17"/>
  <c r="K183" i="17" s="1"/>
  <c r="J182" i="17"/>
  <c r="I182" i="17"/>
  <c r="K182" i="17" s="1"/>
  <c r="J181" i="17"/>
  <c r="I181" i="17"/>
  <c r="K181" i="17" s="1"/>
  <c r="J180" i="17"/>
  <c r="I180" i="17"/>
  <c r="K180" i="17" s="1"/>
  <c r="J179" i="17"/>
  <c r="I179" i="17"/>
  <c r="K179" i="17" s="1"/>
  <c r="J178" i="17"/>
  <c r="I178" i="17"/>
  <c r="K178" i="17" s="1"/>
  <c r="J177" i="17"/>
  <c r="I177" i="17"/>
  <c r="K177" i="17" s="1"/>
  <c r="J176" i="17"/>
  <c r="I176" i="17"/>
  <c r="K176" i="17" s="1"/>
  <c r="J175" i="17"/>
  <c r="I175" i="17"/>
  <c r="K175" i="17" s="1"/>
  <c r="J174" i="17"/>
  <c r="I174" i="17"/>
  <c r="K174" i="17" s="1"/>
  <c r="J173" i="17"/>
  <c r="I173" i="17"/>
  <c r="K173" i="17" s="1"/>
  <c r="J172" i="17"/>
  <c r="I172" i="17"/>
  <c r="K172" i="17" s="1"/>
  <c r="J171" i="17"/>
  <c r="I171" i="17"/>
  <c r="K171" i="17" s="1"/>
  <c r="J170" i="17"/>
  <c r="I170" i="17"/>
  <c r="K170" i="17" s="1"/>
  <c r="J169" i="17"/>
  <c r="I169" i="17"/>
  <c r="K169" i="17" s="1"/>
  <c r="J168" i="17"/>
  <c r="I168" i="17"/>
  <c r="K168" i="17" s="1"/>
  <c r="J167" i="17"/>
  <c r="I167" i="17"/>
  <c r="K167" i="17" s="1"/>
  <c r="J166" i="17"/>
  <c r="I166" i="17"/>
  <c r="K166" i="17" s="1"/>
  <c r="J165" i="17"/>
  <c r="I165" i="17"/>
  <c r="K165" i="17" s="1"/>
  <c r="J164" i="17"/>
  <c r="I164" i="17"/>
  <c r="K164" i="17" s="1"/>
  <c r="J163" i="17"/>
  <c r="I163" i="17"/>
  <c r="K163" i="17" s="1"/>
  <c r="J162" i="17"/>
  <c r="I162" i="17"/>
  <c r="K162" i="17" s="1"/>
  <c r="J161" i="17"/>
  <c r="I161" i="17"/>
  <c r="K161" i="17" s="1"/>
  <c r="J160" i="17"/>
  <c r="I160" i="17"/>
  <c r="K160" i="17" s="1"/>
  <c r="J159" i="17"/>
  <c r="I159" i="17"/>
  <c r="K159" i="17" s="1"/>
  <c r="J158" i="17"/>
  <c r="I158" i="17"/>
  <c r="K158" i="17" s="1"/>
  <c r="J157" i="17"/>
  <c r="I157" i="17"/>
  <c r="K157" i="17" s="1"/>
  <c r="J156" i="17"/>
  <c r="I156" i="17"/>
  <c r="K156" i="17" s="1"/>
  <c r="J155" i="17"/>
  <c r="I155" i="17"/>
  <c r="K155" i="17" s="1"/>
  <c r="J154" i="17"/>
  <c r="I154" i="17"/>
  <c r="K154" i="17" s="1"/>
  <c r="J153" i="17"/>
  <c r="I153" i="17"/>
  <c r="K153" i="17" s="1"/>
  <c r="J152" i="17"/>
  <c r="I152" i="17"/>
  <c r="K152" i="17" s="1"/>
  <c r="J151" i="17"/>
  <c r="I151" i="17"/>
  <c r="K151" i="17" s="1"/>
  <c r="J150" i="17"/>
  <c r="I150" i="17"/>
  <c r="K150" i="17" s="1"/>
  <c r="J149" i="17"/>
  <c r="I149" i="17"/>
  <c r="K149" i="17" s="1"/>
  <c r="L149" i="17" s="1"/>
  <c r="J148" i="17"/>
  <c r="I148" i="17"/>
  <c r="K148" i="17" s="1"/>
  <c r="J147" i="17"/>
  <c r="I147" i="17"/>
  <c r="K147" i="17" s="1"/>
  <c r="J146" i="17"/>
  <c r="I146" i="17"/>
  <c r="K146" i="17" s="1"/>
  <c r="J145" i="17"/>
  <c r="I145" i="17"/>
  <c r="K145" i="17" s="1"/>
  <c r="L145" i="17" s="1"/>
  <c r="J144" i="17"/>
  <c r="I144" i="17"/>
  <c r="K144" i="17" s="1"/>
  <c r="J143" i="17"/>
  <c r="I143" i="17"/>
  <c r="K143" i="17" s="1"/>
  <c r="J142" i="17"/>
  <c r="I142" i="17"/>
  <c r="K142" i="17" s="1"/>
  <c r="J141" i="17"/>
  <c r="I141" i="17"/>
  <c r="K141" i="17" s="1"/>
  <c r="J140" i="17"/>
  <c r="I140" i="17"/>
  <c r="K140" i="17" s="1"/>
  <c r="J139" i="17"/>
  <c r="I139" i="17"/>
  <c r="K139" i="17" s="1"/>
  <c r="J138" i="17"/>
  <c r="I138" i="17"/>
  <c r="K138" i="17" s="1"/>
  <c r="J137" i="17"/>
  <c r="I137" i="17"/>
  <c r="K137" i="17" s="1"/>
  <c r="J136" i="17"/>
  <c r="I136" i="17"/>
  <c r="K136" i="17" s="1"/>
  <c r="J135" i="17"/>
  <c r="I135" i="17"/>
  <c r="K135" i="17" s="1"/>
  <c r="J134" i="17"/>
  <c r="I134" i="17"/>
  <c r="K134" i="17" s="1"/>
  <c r="J133" i="17"/>
  <c r="I133" i="17"/>
  <c r="K133" i="17" s="1"/>
  <c r="L133" i="17" s="1"/>
  <c r="J132" i="17"/>
  <c r="I132" i="17"/>
  <c r="K132" i="17" s="1"/>
  <c r="J131" i="17"/>
  <c r="I131" i="17"/>
  <c r="K131" i="17" s="1"/>
  <c r="J130" i="17"/>
  <c r="I130" i="17"/>
  <c r="K130" i="17" s="1"/>
  <c r="J129" i="17"/>
  <c r="I129" i="17"/>
  <c r="K129" i="17" s="1"/>
  <c r="J128" i="17"/>
  <c r="I128" i="17"/>
  <c r="K128" i="17" s="1"/>
  <c r="J127" i="17"/>
  <c r="I127" i="17"/>
  <c r="K127" i="17" s="1"/>
  <c r="J126" i="17"/>
  <c r="I126" i="17"/>
  <c r="K126" i="17" s="1"/>
  <c r="J125" i="17"/>
  <c r="I125" i="17"/>
  <c r="K125" i="17" s="1"/>
  <c r="L125" i="17" s="1"/>
  <c r="J124" i="17"/>
  <c r="I124" i="17"/>
  <c r="K124" i="17" s="1"/>
  <c r="J123" i="17"/>
  <c r="I123" i="17"/>
  <c r="K123" i="17" s="1"/>
  <c r="J122" i="17"/>
  <c r="I122" i="17"/>
  <c r="K122" i="17" s="1"/>
  <c r="J121" i="17"/>
  <c r="I121" i="17"/>
  <c r="K121" i="17" s="1"/>
  <c r="J120" i="17"/>
  <c r="I120" i="17"/>
  <c r="K120" i="17" s="1"/>
  <c r="J119" i="17"/>
  <c r="I119" i="17"/>
  <c r="K119" i="17" s="1"/>
  <c r="J118" i="17"/>
  <c r="I118" i="17"/>
  <c r="K118" i="17" s="1"/>
  <c r="J117" i="17"/>
  <c r="I117" i="17"/>
  <c r="K117" i="17" s="1"/>
  <c r="J116" i="17"/>
  <c r="I116" i="17"/>
  <c r="K116" i="17" s="1"/>
  <c r="J115" i="17"/>
  <c r="I115" i="17"/>
  <c r="K115" i="17" s="1"/>
  <c r="J114" i="17"/>
  <c r="I114" i="17"/>
  <c r="K114" i="17" s="1"/>
  <c r="J113" i="17"/>
  <c r="I113" i="17"/>
  <c r="K113" i="17" s="1"/>
  <c r="J112" i="17"/>
  <c r="I112" i="17"/>
  <c r="K112" i="17" s="1"/>
  <c r="L112" i="17" s="1"/>
  <c r="J111" i="17"/>
  <c r="I111" i="17"/>
  <c r="K111" i="17" s="1"/>
  <c r="J110" i="17"/>
  <c r="I110" i="17"/>
  <c r="K110" i="17" s="1"/>
  <c r="J109" i="17"/>
  <c r="I109" i="17"/>
  <c r="K109" i="17" s="1"/>
  <c r="J108" i="17"/>
  <c r="I108" i="17"/>
  <c r="K108" i="17" s="1"/>
  <c r="L108" i="17" s="1"/>
  <c r="J107" i="17"/>
  <c r="I107" i="17"/>
  <c r="K107" i="17" s="1"/>
  <c r="J106" i="17"/>
  <c r="I106" i="17"/>
  <c r="K106" i="17" s="1"/>
  <c r="J105" i="17"/>
  <c r="I105" i="17"/>
  <c r="K105" i="17" s="1"/>
  <c r="J104" i="17"/>
  <c r="I104" i="17"/>
  <c r="K104" i="17" s="1"/>
  <c r="L104" i="17" s="1"/>
  <c r="J103" i="17"/>
  <c r="I103" i="17"/>
  <c r="K103" i="17" s="1"/>
  <c r="J102" i="17"/>
  <c r="I102" i="17"/>
  <c r="K102" i="17" s="1"/>
  <c r="J101" i="17"/>
  <c r="I101" i="17"/>
  <c r="K101" i="17" s="1"/>
  <c r="J100" i="17"/>
  <c r="I100" i="17"/>
  <c r="K100" i="17" s="1"/>
  <c r="J99" i="17"/>
  <c r="I99" i="17"/>
  <c r="K99" i="17" s="1"/>
  <c r="J98" i="17"/>
  <c r="I98" i="17"/>
  <c r="K98" i="17" s="1"/>
  <c r="J97" i="17"/>
  <c r="I97" i="17"/>
  <c r="K97" i="17" s="1"/>
  <c r="J96" i="17"/>
  <c r="I96" i="17"/>
  <c r="K96" i="17" s="1"/>
  <c r="J95" i="17"/>
  <c r="I95" i="17"/>
  <c r="K95" i="17" s="1"/>
  <c r="J94" i="17"/>
  <c r="I94" i="17"/>
  <c r="K94" i="17" s="1"/>
  <c r="J93" i="17"/>
  <c r="I93" i="17"/>
  <c r="K93" i="17" s="1"/>
  <c r="L93" i="17" s="1"/>
  <c r="J92" i="17"/>
  <c r="I92" i="17"/>
  <c r="K92" i="17" s="1"/>
  <c r="J91" i="17"/>
  <c r="I91" i="17"/>
  <c r="K91" i="17" s="1"/>
  <c r="J90" i="17"/>
  <c r="I90" i="17"/>
  <c r="K90" i="17" s="1"/>
  <c r="J89" i="17"/>
  <c r="I89" i="17"/>
  <c r="K89" i="17" s="1"/>
  <c r="L89" i="17" s="1"/>
  <c r="J88" i="17"/>
  <c r="I88" i="17"/>
  <c r="K88" i="17" s="1"/>
  <c r="J87" i="17"/>
  <c r="I87" i="17"/>
  <c r="K87" i="17" s="1"/>
  <c r="J86" i="17"/>
  <c r="I86" i="17"/>
  <c r="K86" i="17" s="1"/>
  <c r="J85" i="17"/>
  <c r="I85" i="17"/>
  <c r="K85" i="17" s="1"/>
  <c r="L85" i="17" s="1"/>
  <c r="J84" i="17"/>
  <c r="I84" i="17"/>
  <c r="K84" i="17" s="1"/>
  <c r="J83" i="17"/>
  <c r="I83" i="17"/>
  <c r="K83" i="17" s="1"/>
  <c r="J82" i="17"/>
  <c r="I82" i="17"/>
  <c r="K82" i="17" s="1"/>
  <c r="J81" i="17"/>
  <c r="I81" i="17"/>
  <c r="K81" i="17" s="1"/>
  <c r="J80" i="17"/>
  <c r="I80" i="17"/>
  <c r="K80" i="17" s="1"/>
  <c r="J79" i="17"/>
  <c r="I79" i="17"/>
  <c r="K79" i="17" s="1"/>
  <c r="J78" i="17"/>
  <c r="I78" i="17"/>
  <c r="K78" i="17" s="1"/>
  <c r="J77" i="17"/>
  <c r="I77" i="17"/>
  <c r="K77" i="17" s="1"/>
  <c r="J76" i="17"/>
  <c r="I76" i="17"/>
  <c r="K76" i="17" s="1"/>
  <c r="J75" i="17"/>
  <c r="I75" i="17"/>
  <c r="K75" i="17" s="1"/>
  <c r="J74" i="17"/>
  <c r="I74" i="17"/>
  <c r="K74" i="17" s="1"/>
  <c r="J73" i="17"/>
  <c r="I73" i="17"/>
  <c r="K73" i="17" s="1"/>
  <c r="J72" i="17"/>
  <c r="I72" i="17"/>
  <c r="K72" i="17" s="1"/>
  <c r="J71" i="17"/>
  <c r="I71" i="17"/>
  <c r="K71" i="17" s="1"/>
  <c r="J70" i="17"/>
  <c r="I70" i="17"/>
  <c r="K70" i="17" s="1"/>
  <c r="J69" i="17"/>
  <c r="I69" i="17"/>
  <c r="K69" i="17" s="1"/>
  <c r="J68" i="17"/>
  <c r="I68" i="17"/>
  <c r="K68" i="17" s="1"/>
  <c r="J67" i="17"/>
  <c r="I67" i="17"/>
  <c r="K67" i="17" s="1"/>
  <c r="J66" i="17"/>
  <c r="I66" i="17"/>
  <c r="K66" i="17" s="1"/>
  <c r="J65" i="17"/>
  <c r="I65" i="17"/>
  <c r="K65" i="17" s="1"/>
  <c r="J64" i="17"/>
  <c r="I64" i="17"/>
  <c r="K64" i="17" s="1"/>
  <c r="J63" i="17"/>
  <c r="I63" i="17"/>
  <c r="K63" i="17" s="1"/>
  <c r="J62" i="17"/>
  <c r="I62" i="17"/>
  <c r="K62" i="17" s="1"/>
  <c r="J61" i="17"/>
  <c r="I61" i="17"/>
  <c r="K61" i="17" s="1"/>
  <c r="J60" i="17"/>
  <c r="I60" i="17"/>
  <c r="K60" i="17" s="1"/>
  <c r="J59" i="17"/>
  <c r="I59" i="17"/>
  <c r="K59" i="17" s="1"/>
  <c r="J58" i="17"/>
  <c r="I58" i="17"/>
  <c r="K58" i="17" s="1"/>
  <c r="J57" i="17"/>
  <c r="I57" i="17"/>
  <c r="K57" i="17" s="1"/>
  <c r="J56" i="17"/>
  <c r="I56" i="17"/>
  <c r="K56" i="17" s="1"/>
  <c r="J55" i="17"/>
  <c r="I55" i="17"/>
  <c r="K55" i="17" s="1"/>
  <c r="J54" i="17"/>
  <c r="I54" i="17"/>
  <c r="K54" i="17" s="1"/>
  <c r="J53" i="17"/>
  <c r="I53" i="17"/>
  <c r="K53" i="17" s="1"/>
  <c r="L53" i="17" s="1"/>
  <c r="J52" i="17"/>
  <c r="I52" i="17"/>
  <c r="K52" i="17" s="1"/>
  <c r="J51" i="17"/>
  <c r="I51" i="17"/>
  <c r="K51" i="17" s="1"/>
  <c r="J50" i="17"/>
  <c r="I50" i="17"/>
  <c r="K50" i="17" s="1"/>
  <c r="J49" i="17"/>
  <c r="I49" i="17"/>
  <c r="K49" i="17" s="1"/>
  <c r="L49" i="17" s="1"/>
  <c r="J48" i="17"/>
  <c r="I48" i="17"/>
  <c r="K48" i="17" s="1"/>
  <c r="J47" i="17"/>
  <c r="I47" i="17"/>
  <c r="K47" i="17" s="1"/>
  <c r="J46" i="17"/>
  <c r="I46" i="17"/>
  <c r="K46" i="17" s="1"/>
  <c r="J45" i="17"/>
  <c r="I45" i="17"/>
  <c r="K45" i="17" s="1"/>
  <c r="L45" i="17" s="1"/>
  <c r="J44" i="17"/>
  <c r="I44" i="17"/>
  <c r="K44" i="17" s="1"/>
  <c r="J43" i="17"/>
  <c r="I43" i="17"/>
  <c r="K43" i="17" s="1"/>
  <c r="J42" i="17"/>
  <c r="I42" i="17"/>
  <c r="K42" i="17" s="1"/>
  <c r="J41" i="17"/>
  <c r="I41" i="17"/>
  <c r="K41" i="17" s="1"/>
  <c r="L41" i="17" s="1"/>
  <c r="J40" i="17"/>
  <c r="I40" i="17"/>
  <c r="K40" i="17" s="1"/>
  <c r="J39" i="17"/>
  <c r="I39" i="17"/>
  <c r="K39" i="17" s="1"/>
  <c r="J38" i="17"/>
  <c r="I38" i="17"/>
  <c r="K38" i="17" s="1"/>
  <c r="J37" i="17"/>
  <c r="I37" i="17"/>
  <c r="K37" i="17" s="1"/>
  <c r="L37" i="17" s="1"/>
  <c r="J36" i="17"/>
  <c r="I36" i="17"/>
  <c r="K36" i="17" s="1"/>
  <c r="J35" i="17"/>
  <c r="I35" i="17"/>
  <c r="K35" i="17" s="1"/>
  <c r="J34" i="17"/>
  <c r="I34" i="17"/>
  <c r="K34" i="17" s="1"/>
  <c r="J33" i="17"/>
  <c r="I33" i="17"/>
  <c r="K33" i="17" s="1"/>
  <c r="L33" i="17" s="1"/>
  <c r="J32" i="17"/>
  <c r="I32" i="17"/>
  <c r="K32" i="17" s="1"/>
  <c r="J31" i="17"/>
  <c r="I31" i="17"/>
  <c r="K31" i="17" s="1"/>
  <c r="J30" i="17"/>
  <c r="I30" i="17"/>
  <c r="K30" i="17" s="1"/>
  <c r="J29" i="17"/>
  <c r="I29" i="17"/>
  <c r="K29" i="17" s="1"/>
  <c r="L29" i="17" s="1"/>
  <c r="J28" i="17"/>
  <c r="I28" i="17"/>
  <c r="K28" i="17" s="1"/>
  <c r="J27" i="17"/>
  <c r="I27" i="17"/>
  <c r="K27" i="17" s="1"/>
  <c r="J26" i="17"/>
  <c r="I26" i="17"/>
  <c r="K26" i="17" s="1"/>
  <c r="J25" i="17"/>
  <c r="I25" i="17"/>
  <c r="K25" i="17" s="1"/>
  <c r="J24" i="17"/>
  <c r="I24" i="17"/>
  <c r="K24" i="17" s="1"/>
  <c r="J23" i="17"/>
  <c r="I23" i="17"/>
  <c r="K23" i="17" s="1"/>
  <c r="J22" i="17"/>
  <c r="I22" i="17"/>
  <c r="K22" i="17" s="1"/>
  <c r="J21" i="17"/>
  <c r="I21" i="17"/>
  <c r="K21" i="17" s="1"/>
  <c r="L21" i="17" s="1"/>
  <c r="J20" i="17"/>
  <c r="I20" i="17"/>
  <c r="K20" i="17" s="1"/>
  <c r="J19" i="17"/>
  <c r="I19" i="17"/>
  <c r="K19" i="17" s="1"/>
  <c r="J18" i="17"/>
  <c r="I18" i="17"/>
  <c r="K18" i="17" s="1"/>
  <c r="J17" i="17"/>
  <c r="I17" i="17"/>
  <c r="K17" i="17" s="1"/>
  <c r="L17" i="17" s="1"/>
  <c r="J16" i="17"/>
  <c r="I16" i="17"/>
  <c r="K16" i="17" s="1"/>
  <c r="J15" i="17"/>
  <c r="I15" i="17"/>
  <c r="K15" i="17" s="1"/>
  <c r="J14" i="17"/>
  <c r="I14" i="17"/>
  <c r="K14" i="17" s="1"/>
  <c r="J13" i="17"/>
  <c r="I13" i="17"/>
  <c r="K13" i="17" s="1"/>
  <c r="J12" i="17"/>
  <c r="I12" i="17"/>
  <c r="K12" i="17" s="1"/>
  <c r="J11" i="17"/>
  <c r="I11" i="17"/>
  <c r="K11" i="17" s="1"/>
  <c r="J10" i="17"/>
  <c r="I10" i="17"/>
  <c r="K10" i="17" s="1"/>
  <c r="J9" i="17"/>
  <c r="I9" i="17"/>
  <c r="K9" i="17" s="1"/>
  <c r="J8" i="17"/>
  <c r="I8" i="17"/>
  <c r="K8" i="17" s="1"/>
  <c r="J7" i="17"/>
  <c r="I7" i="17"/>
  <c r="K7" i="17" s="1"/>
  <c r="J6" i="17"/>
  <c r="I6" i="17"/>
  <c r="K6" i="17" s="1"/>
  <c r="J5" i="17"/>
  <c r="I5" i="17"/>
  <c r="K5" i="17" s="1"/>
  <c r="L5" i="17" s="1"/>
  <c r="J4" i="17"/>
  <c r="I4" i="17"/>
  <c r="K4" i="17" s="1"/>
  <c r="J3" i="17"/>
  <c r="I3" i="17"/>
  <c r="K3" i="17" s="1"/>
  <c r="J2" i="17"/>
  <c r="I2" i="17"/>
  <c r="K2" i="17" s="1"/>
  <c r="J322" i="16"/>
  <c r="I322" i="16"/>
  <c r="K322" i="16" s="1"/>
  <c r="J321" i="16"/>
  <c r="I321" i="16"/>
  <c r="K321" i="16" s="1"/>
  <c r="J320" i="16"/>
  <c r="I320" i="16"/>
  <c r="K320" i="16" s="1"/>
  <c r="J319" i="16"/>
  <c r="I319" i="16"/>
  <c r="K319" i="16" s="1"/>
  <c r="J318" i="16"/>
  <c r="I318" i="16"/>
  <c r="K318" i="16" s="1"/>
  <c r="J317" i="16"/>
  <c r="I317" i="16"/>
  <c r="K317" i="16" s="1"/>
  <c r="J316" i="16"/>
  <c r="I316" i="16"/>
  <c r="K316" i="16" s="1"/>
  <c r="J315" i="16"/>
  <c r="I315" i="16"/>
  <c r="K315" i="16" s="1"/>
  <c r="J314" i="16"/>
  <c r="I314" i="16"/>
  <c r="K314" i="16" s="1"/>
  <c r="J313" i="16"/>
  <c r="I313" i="16"/>
  <c r="K313" i="16" s="1"/>
  <c r="J312" i="16"/>
  <c r="I312" i="16"/>
  <c r="K312" i="16" s="1"/>
  <c r="J311" i="16"/>
  <c r="I311" i="16"/>
  <c r="K311" i="16" s="1"/>
  <c r="J310" i="16"/>
  <c r="I310" i="16"/>
  <c r="K310" i="16" s="1"/>
  <c r="J309" i="16"/>
  <c r="I309" i="16"/>
  <c r="K309" i="16" s="1"/>
  <c r="J308" i="16"/>
  <c r="I308" i="16"/>
  <c r="K308" i="16" s="1"/>
  <c r="J307" i="16"/>
  <c r="I307" i="16"/>
  <c r="K307" i="16" s="1"/>
  <c r="J306" i="16"/>
  <c r="I306" i="16"/>
  <c r="K306" i="16" s="1"/>
  <c r="J305" i="16"/>
  <c r="I305" i="16"/>
  <c r="K305" i="16" s="1"/>
  <c r="J304" i="16"/>
  <c r="I304" i="16"/>
  <c r="K304" i="16" s="1"/>
  <c r="J303" i="16"/>
  <c r="I303" i="16"/>
  <c r="K303" i="16" s="1"/>
  <c r="J302" i="16"/>
  <c r="I302" i="16"/>
  <c r="K302" i="16" s="1"/>
  <c r="J301" i="16"/>
  <c r="I301" i="16"/>
  <c r="K301" i="16" s="1"/>
  <c r="J300" i="16"/>
  <c r="I300" i="16"/>
  <c r="K300" i="16" s="1"/>
  <c r="J299" i="16"/>
  <c r="I299" i="16"/>
  <c r="K299" i="16" s="1"/>
  <c r="J298" i="16"/>
  <c r="I298" i="16"/>
  <c r="K298" i="16" s="1"/>
  <c r="J297" i="16"/>
  <c r="I297" i="16"/>
  <c r="K297" i="16" s="1"/>
  <c r="J296" i="16"/>
  <c r="I296" i="16"/>
  <c r="K296" i="16" s="1"/>
  <c r="J295" i="16"/>
  <c r="I295" i="16"/>
  <c r="K295" i="16" s="1"/>
  <c r="J294" i="16"/>
  <c r="I294" i="16"/>
  <c r="K294" i="16" s="1"/>
  <c r="J293" i="16"/>
  <c r="I293" i="16"/>
  <c r="K293" i="16" s="1"/>
  <c r="J292" i="16"/>
  <c r="I292" i="16"/>
  <c r="K292" i="16" s="1"/>
  <c r="J291" i="16"/>
  <c r="I291" i="16"/>
  <c r="K291" i="16" s="1"/>
  <c r="J290" i="16"/>
  <c r="I290" i="16"/>
  <c r="K290" i="16" s="1"/>
  <c r="J289" i="16"/>
  <c r="I289" i="16"/>
  <c r="K289" i="16" s="1"/>
  <c r="J288" i="16"/>
  <c r="I288" i="16"/>
  <c r="K288" i="16" s="1"/>
  <c r="J287" i="16"/>
  <c r="I287" i="16"/>
  <c r="K287" i="16" s="1"/>
  <c r="J286" i="16"/>
  <c r="I286" i="16"/>
  <c r="K286" i="16" s="1"/>
  <c r="J285" i="16"/>
  <c r="I285" i="16"/>
  <c r="K285" i="16" s="1"/>
  <c r="K284" i="16"/>
  <c r="J284" i="16"/>
  <c r="I284" i="16"/>
  <c r="J283" i="16"/>
  <c r="I283" i="16"/>
  <c r="K283" i="16" s="1"/>
  <c r="J282" i="16"/>
  <c r="I282" i="16"/>
  <c r="K282" i="16" s="1"/>
  <c r="J281" i="16"/>
  <c r="I281" i="16"/>
  <c r="K281" i="16" s="1"/>
  <c r="J280" i="16"/>
  <c r="I280" i="16"/>
  <c r="K280" i="16" s="1"/>
  <c r="J279" i="16"/>
  <c r="I279" i="16"/>
  <c r="K279" i="16" s="1"/>
  <c r="J278" i="16"/>
  <c r="I278" i="16"/>
  <c r="K278" i="16" s="1"/>
  <c r="J277" i="16"/>
  <c r="I277" i="16"/>
  <c r="K277" i="16" s="1"/>
  <c r="J276" i="16"/>
  <c r="I276" i="16"/>
  <c r="K276" i="16" s="1"/>
  <c r="J275" i="16"/>
  <c r="I275" i="16"/>
  <c r="K275" i="16" s="1"/>
  <c r="L275" i="16" s="1"/>
  <c r="J274" i="16"/>
  <c r="I274" i="16"/>
  <c r="K274" i="16" s="1"/>
  <c r="J273" i="16"/>
  <c r="I273" i="16"/>
  <c r="K273" i="16" s="1"/>
  <c r="J272" i="16"/>
  <c r="I272" i="16"/>
  <c r="K272" i="16" s="1"/>
  <c r="J271" i="16"/>
  <c r="I271" i="16"/>
  <c r="K271" i="16" s="1"/>
  <c r="L271" i="16" s="1"/>
  <c r="J270" i="16"/>
  <c r="I270" i="16"/>
  <c r="K270" i="16" s="1"/>
  <c r="J269" i="16"/>
  <c r="I269" i="16"/>
  <c r="K269" i="16" s="1"/>
  <c r="J268" i="16"/>
  <c r="I268" i="16"/>
  <c r="K268" i="16" s="1"/>
  <c r="J267" i="16"/>
  <c r="I267" i="16"/>
  <c r="K267" i="16" s="1"/>
  <c r="J266" i="16"/>
  <c r="I266" i="16"/>
  <c r="K266" i="16" s="1"/>
  <c r="J265" i="16"/>
  <c r="I265" i="16"/>
  <c r="K265" i="16" s="1"/>
  <c r="J264" i="16"/>
  <c r="I264" i="16"/>
  <c r="K264" i="16" s="1"/>
  <c r="J263" i="16"/>
  <c r="I263" i="16"/>
  <c r="K263" i="16" s="1"/>
  <c r="L263" i="16" s="1"/>
  <c r="J262" i="16"/>
  <c r="I262" i="16"/>
  <c r="K262" i="16" s="1"/>
  <c r="J261" i="16"/>
  <c r="I261" i="16"/>
  <c r="K261" i="16" s="1"/>
  <c r="J260" i="16"/>
  <c r="I260" i="16"/>
  <c r="K260" i="16" s="1"/>
  <c r="J259" i="16"/>
  <c r="I259" i="16"/>
  <c r="K259" i="16" s="1"/>
  <c r="L259" i="16" s="1"/>
  <c r="J258" i="16"/>
  <c r="I258" i="16"/>
  <c r="K258" i="16" s="1"/>
  <c r="J257" i="16"/>
  <c r="I257" i="16"/>
  <c r="K257" i="16" s="1"/>
  <c r="J256" i="16"/>
  <c r="I256" i="16"/>
  <c r="K256" i="16" s="1"/>
  <c r="J255" i="16"/>
  <c r="I255" i="16"/>
  <c r="K255" i="16" s="1"/>
  <c r="L255" i="16" s="1"/>
  <c r="J254" i="16"/>
  <c r="I254" i="16"/>
  <c r="K254" i="16" s="1"/>
  <c r="J253" i="16"/>
  <c r="I253" i="16"/>
  <c r="K253" i="16" s="1"/>
  <c r="J252" i="16"/>
  <c r="I252" i="16"/>
  <c r="K252" i="16" s="1"/>
  <c r="J251" i="16"/>
  <c r="I251" i="16"/>
  <c r="K251" i="16" s="1"/>
  <c r="J250" i="16"/>
  <c r="I250" i="16"/>
  <c r="K250" i="16" s="1"/>
  <c r="J249" i="16"/>
  <c r="I249" i="16"/>
  <c r="K249" i="16" s="1"/>
  <c r="J248" i="16"/>
  <c r="I248" i="16"/>
  <c r="K248" i="16" s="1"/>
  <c r="J247" i="16"/>
  <c r="I247" i="16"/>
  <c r="K247" i="16" s="1"/>
  <c r="J246" i="16"/>
  <c r="I246" i="16"/>
  <c r="K246" i="16" s="1"/>
  <c r="J245" i="16"/>
  <c r="I245" i="16"/>
  <c r="K245" i="16" s="1"/>
  <c r="J244" i="16"/>
  <c r="I244" i="16"/>
  <c r="K244" i="16" s="1"/>
  <c r="J243" i="16"/>
  <c r="I243" i="16"/>
  <c r="K243" i="16" s="1"/>
  <c r="J242" i="16"/>
  <c r="I242" i="16"/>
  <c r="K242" i="16" s="1"/>
  <c r="J241" i="16"/>
  <c r="I241" i="16"/>
  <c r="K241" i="16" s="1"/>
  <c r="J240" i="16"/>
  <c r="I240" i="16"/>
  <c r="K240" i="16" s="1"/>
  <c r="J239" i="16"/>
  <c r="I239" i="16"/>
  <c r="K239" i="16" s="1"/>
  <c r="J238" i="16"/>
  <c r="I238" i="16"/>
  <c r="K238" i="16" s="1"/>
  <c r="J237" i="16"/>
  <c r="I237" i="16"/>
  <c r="K237" i="16" s="1"/>
  <c r="J236" i="16"/>
  <c r="I236" i="16"/>
  <c r="K236" i="16" s="1"/>
  <c r="J235" i="16"/>
  <c r="I235" i="16"/>
  <c r="K235" i="16" s="1"/>
  <c r="J234" i="16"/>
  <c r="I234" i="16"/>
  <c r="K234" i="16" s="1"/>
  <c r="J233" i="16"/>
  <c r="I233" i="16"/>
  <c r="K233" i="16" s="1"/>
  <c r="J232" i="16"/>
  <c r="I232" i="16"/>
  <c r="K232" i="16" s="1"/>
  <c r="J231" i="16"/>
  <c r="I231" i="16"/>
  <c r="K231" i="16" s="1"/>
  <c r="J230" i="16"/>
  <c r="I230" i="16"/>
  <c r="K230" i="16" s="1"/>
  <c r="J229" i="16"/>
  <c r="I229" i="16"/>
  <c r="K229" i="16" s="1"/>
  <c r="J228" i="16"/>
  <c r="I228" i="16"/>
  <c r="K228" i="16" s="1"/>
  <c r="L228" i="16" s="1"/>
  <c r="J227" i="16"/>
  <c r="I227" i="16"/>
  <c r="K227" i="16" s="1"/>
  <c r="J226" i="16"/>
  <c r="I226" i="16"/>
  <c r="K226" i="16" s="1"/>
  <c r="J225" i="16"/>
  <c r="I225" i="16"/>
  <c r="K225" i="16" s="1"/>
  <c r="J224" i="16"/>
  <c r="I224" i="16"/>
  <c r="K224" i="16" s="1"/>
  <c r="L224" i="16" s="1"/>
  <c r="J223" i="16"/>
  <c r="I223" i="16"/>
  <c r="K223" i="16" s="1"/>
  <c r="J222" i="16"/>
  <c r="I222" i="16"/>
  <c r="K222" i="16" s="1"/>
  <c r="J221" i="16"/>
  <c r="I221" i="16"/>
  <c r="K221" i="16" s="1"/>
  <c r="J220" i="16"/>
  <c r="I220" i="16"/>
  <c r="K220" i="16" s="1"/>
  <c r="L220" i="16" s="1"/>
  <c r="J219" i="16"/>
  <c r="I219" i="16"/>
  <c r="K219" i="16" s="1"/>
  <c r="J218" i="16"/>
  <c r="I218" i="16"/>
  <c r="K218" i="16" s="1"/>
  <c r="J217" i="16"/>
  <c r="I217" i="16"/>
  <c r="K217" i="16" s="1"/>
  <c r="J216" i="16"/>
  <c r="I216" i="16"/>
  <c r="K216" i="16" s="1"/>
  <c r="J215" i="16"/>
  <c r="I215" i="16"/>
  <c r="K215" i="16" s="1"/>
  <c r="J214" i="16"/>
  <c r="I214" i="16"/>
  <c r="K214" i="16" s="1"/>
  <c r="J213" i="16"/>
  <c r="I213" i="16"/>
  <c r="K213" i="16" s="1"/>
  <c r="J212" i="16"/>
  <c r="I212" i="16"/>
  <c r="K212" i="16" s="1"/>
  <c r="L212" i="16" s="1"/>
  <c r="J211" i="16"/>
  <c r="I211" i="16"/>
  <c r="K211" i="16" s="1"/>
  <c r="J210" i="16"/>
  <c r="I210" i="16"/>
  <c r="K210" i="16" s="1"/>
  <c r="J209" i="16"/>
  <c r="I209" i="16"/>
  <c r="K209" i="16" s="1"/>
  <c r="J208" i="16"/>
  <c r="I208" i="16"/>
  <c r="K208" i="16" s="1"/>
  <c r="L208" i="16" s="1"/>
  <c r="J207" i="16"/>
  <c r="I207" i="16"/>
  <c r="K207" i="16" s="1"/>
  <c r="J206" i="16"/>
  <c r="I206" i="16"/>
  <c r="K206" i="16" s="1"/>
  <c r="J205" i="16"/>
  <c r="I205" i="16"/>
  <c r="K205" i="16" s="1"/>
  <c r="J204" i="16"/>
  <c r="I204" i="16"/>
  <c r="K204" i="16" s="1"/>
  <c r="J203" i="16"/>
  <c r="I203" i="16"/>
  <c r="K203" i="16" s="1"/>
  <c r="J202" i="16"/>
  <c r="I202" i="16"/>
  <c r="K202" i="16" s="1"/>
  <c r="J201" i="16"/>
  <c r="I201" i="16"/>
  <c r="K201" i="16" s="1"/>
  <c r="J200" i="16"/>
  <c r="I200" i="16"/>
  <c r="K200" i="16" s="1"/>
  <c r="J199" i="16"/>
  <c r="I199" i="16"/>
  <c r="K199" i="16" s="1"/>
  <c r="J198" i="16"/>
  <c r="I198" i="16"/>
  <c r="K198" i="16" s="1"/>
  <c r="J197" i="16"/>
  <c r="I197" i="16"/>
  <c r="K197" i="16" s="1"/>
  <c r="J196" i="16"/>
  <c r="I196" i="16"/>
  <c r="K196" i="16" s="1"/>
  <c r="J195" i="16"/>
  <c r="I195" i="16"/>
  <c r="K195" i="16" s="1"/>
  <c r="J194" i="16"/>
  <c r="I194" i="16"/>
  <c r="K194" i="16" s="1"/>
  <c r="J193" i="16"/>
  <c r="I193" i="16"/>
  <c r="K193" i="16" s="1"/>
  <c r="J192" i="16"/>
  <c r="I192" i="16"/>
  <c r="K192" i="16" s="1"/>
  <c r="J191" i="16"/>
  <c r="I191" i="16"/>
  <c r="K191" i="16" s="1"/>
  <c r="J190" i="16"/>
  <c r="I190" i="16"/>
  <c r="K190" i="16" s="1"/>
  <c r="J189" i="16"/>
  <c r="I189" i="16"/>
  <c r="K189" i="16" s="1"/>
  <c r="J188" i="16"/>
  <c r="I188" i="16"/>
  <c r="K188" i="16" s="1"/>
  <c r="J187" i="16"/>
  <c r="I187" i="16"/>
  <c r="K187" i="16" s="1"/>
  <c r="J186" i="16"/>
  <c r="I186" i="16"/>
  <c r="K186" i="16" s="1"/>
  <c r="J185" i="16"/>
  <c r="I185" i="16"/>
  <c r="K185" i="16" s="1"/>
  <c r="J184" i="16"/>
  <c r="I184" i="16"/>
  <c r="K184" i="16" s="1"/>
  <c r="J183" i="16"/>
  <c r="I183" i="16"/>
  <c r="K183" i="16" s="1"/>
  <c r="J182" i="16"/>
  <c r="I182" i="16"/>
  <c r="K182" i="16" s="1"/>
  <c r="J181" i="16"/>
  <c r="I181" i="16"/>
  <c r="K181" i="16" s="1"/>
  <c r="J180" i="16"/>
  <c r="I180" i="16"/>
  <c r="K180" i="16" s="1"/>
  <c r="J179" i="16"/>
  <c r="I179" i="16"/>
  <c r="K179" i="16" s="1"/>
  <c r="J178" i="16"/>
  <c r="I178" i="16"/>
  <c r="K178" i="16" s="1"/>
  <c r="J177" i="16"/>
  <c r="I177" i="16"/>
  <c r="K177" i="16" s="1"/>
  <c r="J176" i="16"/>
  <c r="I176" i="16"/>
  <c r="K176" i="16" s="1"/>
  <c r="J175" i="16"/>
  <c r="I175" i="16"/>
  <c r="K175" i="16" s="1"/>
  <c r="J174" i="16"/>
  <c r="I174" i="16"/>
  <c r="K174" i="16" s="1"/>
  <c r="J173" i="16"/>
  <c r="I173" i="16"/>
  <c r="K173" i="16" s="1"/>
  <c r="J172" i="16"/>
  <c r="I172" i="16"/>
  <c r="K172" i="16" s="1"/>
  <c r="J171" i="16"/>
  <c r="I171" i="16"/>
  <c r="K171" i="16" s="1"/>
  <c r="J170" i="16"/>
  <c r="I170" i="16"/>
  <c r="K170" i="16" s="1"/>
  <c r="J169" i="16"/>
  <c r="I169" i="16"/>
  <c r="K169" i="16" s="1"/>
  <c r="J168" i="16"/>
  <c r="I168" i="16"/>
  <c r="K168" i="16" s="1"/>
  <c r="J167" i="16"/>
  <c r="I167" i="16"/>
  <c r="K167" i="16" s="1"/>
  <c r="J166" i="16"/>
  <c r="I166" i="16"/>
  <c r="K166" i="16" s="1"/>
  <c r="J165" i="16"/>
  <c r="I165" i="16"/>
  <c r="K165" i="16" s="1"/>
  <c r="J164" i="16"/>
  <c r="I164" i="16"/>
  <c r="K164" i="16" s="1"/>
  <c r="J163" i="16"/>
  <c r="I163" i="16"/>
  <c r="K163" i="16" s="1"/>
  <c r="J162" i="16"/>
  <c r="I162" i="16"/>
  <c r="K162" i="16" s="1"/>
  <c r="J161" i="16"/>
  <c r="I161" i="16"/>
  <c r="K161" i="16" s="1"/>
  <c r="J160" i="16"/>
  <c r="I160" i="16"/>
  <c r="K160" i="16" s="1"/>
  <c r="L160" i="16" s="1"/>
  <c r="J159" i="16"/>
  <c r="I159" i="16"/>
  <c r="K159" i="16" s="1"/>
  <c r="J158" i="16"/>
  <c r="I158" i="16"/>
  <c r="K158" i="16" s="1"/>
  <c r="J157" i="16"/>
  <c r="I157" i="16"/>
  <c r="K157" i="16" s="1"/>
  <c r="J156" i="16"/>
  <c r="I156" i="16"/>
  <c r="K156" i="16" s="1"/>
  <c r="J155" i="16"/>
  <c r="I155" i="16"/>
  <c r="K155" i="16" s="1"/>
  <c r="J154" i="16"/>
  <c r="I154" i="16"/>
  <c r="K154" i="16" s="1"/>
  <c r="J153" i="16"/>
  <c r="I153" i="16"/>
  <c r="K153" i="16" s="1"/>
  <c r="J152" i="16"/>
  <c r="I152" i="16"/>
  <c r="K152" i="16" s="1"/>
  <c r="L152" i="16" s="1"/>
  <c r="J151" i="16"/>
  <c r="I151" i="16"/>
  <c r="K151" i="16" s="1"/>
  <c r="J150" i="16"/>
  <c r="I150" i="16"/>
  <c r="K150" i="16" s="1"/>
  <c r="J149" i="16"/>
  <c r="I149" i="16"/>
  <c r="K149" i="16" s="1"/>
  <c r="J148" i="16"/>
  <c r="I148" i="16"/>
  <c r="K148" i="16" s="1"/>
  <c r="L148" i="16" s="1"/>
  <c r="J147" i="16"/>
  <c r="I147" i="16"/>
  <c r="K147" i="16" s="1"/>
  <c r="J146" i="16"/>
  <c r="I146" i="16"/>
  <c r="K146" i="16" s="1"/>
  <c r="J145" i="16"/>
  <c r="I145" i="16"/>
  <c r="K145" i="16" s="1"/>
  <c r="J144" i="16"/>
  <c r="I144" i="16"/>
  <c r="K144" i="16" s="1"/>
  <c r="J143" i="16"/>
  <c r="I143" i="16"/>
  <c r="K143" i="16" s="1"/>
  <c r="J142" i="16"/>
  <c r="I142" i="16"/>
  <c r="K142" i="16" s="1"/>
  <c r="J141" i="16"/>
  <c r="I141" i="16"/>
  <c r="K141" i="16" s="1"/>
  <c r="J140" i="16"/>
  <c r="I140" i="16"/>
  <c r="K140" i="16" s="1"/>
  <c r="J139" i="16"/>
  <c r="I139" i="16"/>
  <c r="K139" i="16" s="1"/>
  <c r="J138" i="16"/>
  <c r="I138" i="16"/>
  <c r="K138" i="16" s="1"/>
  <c r="J137" i="16"/>
  <c r="I137" i="16"/>
  <c r="K137" i="16" s="1"/>
  <c r="J136" i="16"/>
  <c r="I136" i="16"/>
  <c r="K136" i="16" s="1"/>
  <c r="L136" i="16" s="1"/>
  <c r="J135" i="16"/>
  <c r="I135" i="16"/>
  <c r="K135" i="16" s="1"/>
  <c r="J134" i="16"/>
  <c r="I134" i="16"/>
  <c r="K134" i="16" s="1"/>
  <c r="J133" i="16"/>
  <c r="I133" i="16"/>
  <c r="K133" i="16" s="1"/>
  <c r="J132" i="16"/>
  <c r="I132" i="16"/>
  <c r="K132" i="16" s="1"/>
  <c r="J131" i="16"/>
  <c r="I131" i="16"/>
  <c r="K131" i="16" s="1"/>
  <c r="J130" i="16"/>
  <c r="I130" i="16"/>
  <c r="K130" i="16" s="1"/>
  <c r="J129" i="16"/>
  <c r="I129" i="16"/>
  <c r="K129" i="16" s="1"/>
  <c r="J128" i="16"/>
  <c r="I128" i="16"/>
  <c r="K128" i="16" s="1"/>
  <c r="J127" i="16"/>
  <c r="I127" i="16"/>
  <c r="K127" i="16" s="1"/>
  <c r="J126" i="16"/>
  <c r="I126" i="16"/>
  <c r="K126" i="16" s="1"/>
  <c r="J125" i="16"/>
  <c r="I125" i="16"/>
  <c r="K125" i="16" s="1"/>
  <c r="J124" i="16"/>
  <c r="I124" i="16"/>
  <c r="K124" i="16" s="1"/>
  <c r="J123" i="16"/>
  <c r="I123" i="16"/>
  <c r="K123" i="16" s="1"/>
  <c r="J122" i="16"/>
  <c r="I122" i="16"/>
  <c r="K122" i="16" s="1"/>
  <c r="J121" i="16"/>
  <c r="I121" i="16"/>
  <c r="K121" i="16" s="1"/>
  <c r="J120" i="16"/>
  <c r="I120" i="16"/>
  <c r="K120" i="16" s="1"/>
  <c r="J119" i="16"/>
  <c r="I119" i="16"/>
  <c r="K119" i="16" s="1"/>
  <c r="L119" i="16" s="1"/>
  <c r="J118" i="16"/>
  <c r="I118" i="16"/>
  <c r="K118" i="16" s="1"/>
  <c r="J117" i="16"/>
  <c r="I117" i="16"/>
  <c r="K117" i="16" s="1"/>
  <c r="J116" i="16"/>
  <c r="I116" i="16"/>
  <c r="K116" i="16" s="1"/>
  <c r="J115" i="16"/>
  <c r="I115" i="16"/>
  <c r="K115" i="16" s="1"/>
  <c r="J114" i="16"/>
  <c r="I114" i="16"/>
  <c r="K114" i="16" s="1"/>
  <c r="J113" i="16"/>
  <c r="I113" i="16"/>
  <c r="K113" i="16" s="1"/>
  <c r="J112" i="16"/>
  <c r="I112" i="16"/>
  <c r="K112" i="16" s="1"/>
  <c r="J111" i="16"/>
  <c r="I111" i="16"/>
  <c r="K111" i="16" s="1"/>
  <c r="J110" i="16"/>
  <c r="I110" i="16"/>
  <c r="K110" i="16" s="1"/>
  <c r="J109" i="16"/>
  <c r="I109" i="16"/>
  <c r="K109" i="16" s="1"/>
  <c r="J108" i="16"/>
  <c r="I108" i="16"/>
  <c r="K108" i="16" s="1"/>
  <c r="J107" i="16"/>
  <c r="I107" i="16"/>
  <c r="K107" i="16" s="1"/>
  <c r="J106" i="16"/>
  <c r="I106" i="16"/>
  <c r="K106" i="16" s="1"/>
  <c r="J105" i="16"/>
  <c r="I105" i="16"/>
  <c r="K105" i="16" s="1"/>
  <c r="J104" i="16"/>
  <c r="I104" i="16"/>
  <c r="K104" i="16" s="1"/>
  <c r="J103" i="16"/>
  <c r="I103" i="16"/>
  <c r="K103" i="16" s="1"/>
  <c r="L103" i="16" s="1"/>
  <c r="J102" i="16"/>
  <c r="I102" i="16"/>
  <c r="K102" i="16" s="1"/>
  <c r="J101" i="16"/>
  <c r="I101" i="16"/>
  <c r="K101" i="16" s="1"/>
  <c r="J100" i="16"/>
  <c r="I100" i="16"/>
  <c r="K100" i="16" s="1"/>
  <c r="J99" i="16"/>
  <c r="I99" i="16"/>
  <c r="K99" i="16" s="1"/>
  <c r="J98" i="16"/>
  <c r="I98" i="16"/>
  <c r="K98" i="16" s="1"/>
  <c r="J97" i="16"/>
  <c r="I97" i="16"/>
  <c r="K97" i="16" s="1"/>
  <c r="J96" i="16"/>
  <c r="I96" i="16"/>
  <c r="K96" i="16" s="1"/>
  <c r="J95" i="16"/>
  <c r="I95" i="16"/>
  <c r="K95" i="16" s="1"/>
  <c r="J94" i="16"/>
  <c r="I94" i="16"/>
  <c r="K94" i="16" s="1"/>
  <c r="J93" i="16"/>
  <c r="I93" i="16"/>
  <c r="K93" i="16" s="1"/>
  <c r="J92" i="16"/>
  <c r="I92" i="16"/>
  <c r="K92" i="16" s="1"/>
  <c r="J91" i="16"/>
  <c r="I91" i="16"/>
  <c r="K91" i="16" s="1"/>
  <c r="J90" i="16"/>
  <c r="I90" i="16"/>
  <c r="K90" i="16" s="1"/>
  <c r="J89" i="16"/>
  <c r="I89" i="16"/>
  <c r="K89" i="16" s="1"/>
  <c r="J88" i="16"/>
  <c r="I88" i="16"/>
  <c r="K88" i="16" s="1"/>
  <c r="J87" i="16"/>
  <c r="I87" i="16"/>
  <c r="K87" i="16" s="1"/>
  <c r="J86" i="16"/>
  <c r="I86" i="16"/>
  <c r="K86" i="16" s="1"/>
  <c r="J85" i="16"/>
  <c r="I85" i="16"/>
  <c r="K85" i="16" s="1"/>
  <c r="L85" i="16" s="1"/>
  <c r="J84" i="16"/>
  <c r="I84" i="16"/>
  <c r="K84" i="16" s="1"/>
  <c r="J83" i="16"/>
  <c r="I83" i="16"/>
  <c r="K83" i="16" s="1"/>
  <c r="J82" i="16"/>
  <c r="I82" i="16"/>
  <c r="K82" i="16" s="1"/>
  <c r="J81" i="16"/>
  <c r="I81" i="16"/>
  <c r="K81" i="16" s="1"/>
  <c r="J80" i="16"/>
  <c r="I80" i="16"/>
  <c r="K80" i="16" s="1"/>
  <c r="J79" i="16"/>
  <c r="I79" i="16"/>
  <c r="K79" i="16" s="1"/>
  <c r="L79" i="16" s="1"/>
  <c r="J78" i="16"/>
  <c r="I78" i="16"/>
  <c r="K78" i="16" s="1"/>
  <c r="J77" i="16"/>
  <c r="I77" i="16"/>
  <c r="K77" i="16" s="1"/>
  <c r="J76" i="16"/>
  <c r="I76" i="16"/>
  <c r="K76" i="16" s="1"/>
  <c r="J75" i="16"/>
  <c r="I75" i="16"/>
  <c r="K75" i="16" s="1"/>
  <c r="L75" i="16" s="1"/>
  <c r="J74" i="16"/>
  <c r="I74" i="16"/>
  <c r="K74" i="16" s="1"/>
  <c r="J73" i="16"/>
  <c r="I73" i="16"/>
  <c r="K73" i="16" s="1"/>
  <c r="J72" i="16"/>
  <c r="I72" i="16"/>
  <c r="K72" i="16" s="1"/>
  <c r="J71" i="16"/>
  <c r="I71" i="16"/>
  <c r="K71" i="16" s="1"/>
  <c r="L71" i="16" s="1"/>
  <c r="J70" i="16"/>
  <c r="I70" i="16"/>
  <c r="K70" i="16" s="1"/>
  <c r="J69" i="16"/>
  <c r="I69" i="16"/>
  <c r="K69" i="16" s="1"/>
  <c r="J68" i="16"/>
  <c r="I68" i="16"/>
  <c r="K68" i="16" s="1"/>
  <c r="L68" i="16" s="1"/>
  <c r="J67" i="16"/>
  <c r="I67" i="16"/>
  <c r="K67" i="16" s="1"/>
  <c r="J66" i="16"/>
  <c r="I66" i="16"/>
  <c r="K66" i="16" s="1"/>
  <c r="J65" i="16"/>
  <c r="I65" i="16"/>
  <c r="K65" i="16" s="1"/>
  <c r="J64" i="16"/>
  <c r="I64" i="16"/>
  <c r="K64" i="16" s="1"/>
  <c r="J63" i="16"/>
  <c r="I63" i="16"/>
  <c r="K63" i="16" s="1"/>
  <c r="J62" i="16"/>
  <c r="I62" i="16"/>
  <c r="K62" i="16" s="1"/>
  <c r="J61" i="16"/>
  <c r="I61" i="16"/>
  <c r="K61" i="16" s="1"/>
  <c r="J60" i="16"/>
  <c r="I60" i="16"/>
  <c r="K60" i="16" s="1"/>
  <c r="J59" i="16"/>
  <c r="I59" i="16"/>
  <c r="K59" i="16" s="1"/>
  <c r="J58" i="16"/>
  <c r="I58" i="16"/>
  <c r="K58" i="16" s="1"/>
  <c r="J57" i="16"/>
  <c r="I57" i="16"/>
  <c r="K57" i="16" s="1"/>
  <c r="J56" i="16"/>
  <c r="I56" i="16"/>
  <c r="K56" i="16" s="1"/>
  <c r="J55" i="16"/>
  <c r="I55" i="16"/>
  <c r="K55" i="16" s="1"/>
  <c r="J54" i="16"/>
  <c r="I54" i="16"/>
  <c r="K54" i="16" s="1"/>
  <c r="J53" i="16"/>
  <c r="I53" i="16"/>
  <c r="K53" i="16" s="1"/>
  <c r="J52" i="16"/>
  <c r="I52" i="16"/>
  <c r="K52" i="16" s="1"/>
  <c r="J51" i="16"/>
  <c r="I51" i="16"/>
  <c r="K51" i="16" s="1"/>
  <c r="J50" i="16"/>
  <c r="I50" i="16"/>
  <c r="K50" i="16" s="1"/>
  <c r="J49" i="16"/>
  <c r="I49" i="16"/>
  <c r="K49" i="16" s="1"/>
  <c r="J48" i="16"/>
  <c r="I48" i="16"/>
  <c r="K48" i="16" s="1"/>
  <c r="L48" i="16" s="1"/>
  <c r="J47" i="16"/>
  <c r="I47" i="16"/>
  <c r="K47" i="16" s="1"/>
  <c r="J46" i="16"/>
  <c r="I46" i="16"/>
  <c r="K46" i="16" s="1"/>
  <c r="J45" i="16"/>
  <c r="I45" i="16"/>
  <c r="K45" i="16" s="1"/>
  <c r="J44" i="16"/>
  <c r="I44" i="16"/>
  <c r="K44" i="16" s="1"/>
  <c r="J43" i="16"/>
  <c r="I43" i="16"/>
  <c r="K43" i="16" s="1"/>
  <c r="J42" i="16"/>
  <c r="I42" i="16"/>
  <c r="K42" i="16" s="1"/>
  <c r="J41" i="16"/>
  <c r="I41" i="16"/>
  <c r="K41" i="16" s="1"/>
  <c r="J40" i="16"/>
  <c r="I40" i="16"/>
  <c r="K40" i="16" s="1"/>
  <c r="L40" i="16" s="1"/>
  <c r="J39" i="16"/>
  <c r="I39" i="16"/>
  <c r="K39" i="16" s="1"/>
  <c r="J38" i="16"/>
  <c r="I38" i="16"/>
  <c r="K38" i="16" s="1"/>
  <c r="J37" i="16"/>
  <c r="I37" i="16"/>
  <c r="K37" i="16" s="1"/>
  <c r="J36" i="16"/>
  <c r="I36" i="16"/>
  <c r="K36" i="16" s="1"/>
  <c r="J35" i="16"/>
  <c r="I35" i="16"/>
  <c r="K35" i="16" s="1"/>
  <c r="J34" i="16"/>
  <c r="I34" i="16"/>
  <c r="K34" i="16" s="1"/>
  <c r="J33" i="16"/>
  <c r="I33" i="16"/>
  <c r="K33" i="16" s="1"/>
  <c r="J32" i="16"/>
  <c r="I32" i="16"/>
  <c r="K32" i="16" s="1"/>
  <c r="L32" i="16" s="1"/>
  <c r="J31" i="16"/>
  <c r="I31" i="16"/>
  <c r="K31" i="16" s="1"/>
  <c r="L31" i="16" s="1"/>
  <c r="J30" i="16"/>
  <c r="I30" i="16"/>
  <c r="K30" i="16" s="1"/>
  <c r="J29" i="16"/>
  <c r="I29" i="16"/>
  <c r="K29" i="16" s="1"/>
  <c r="J28" i="16"/>
  <c r="I28" i="16"/>
  <c r="K28" i="16" s="1"/>
  <c r="J27" i="16"/>
  <c r="I27" i="16"/>
  <c r="K27" i="16" s="1"/>
  <c r="J26" i="16"/>
  <c r="I26" i="16"/>
  <c r="K26" i="16" s="1"/>
  <c r="J25" i="16"/>
  <c r="I25" i="16"/>
  <c r="K25" i="16" s="1"/>
  <c r="L25" i="16" s="1"/>
  <c r="J24" i="16"/>
  <c r="I24" i="16"/>
  <c r="K24" i="16" s="1"/>
  <c r="J23" i="16"/>
  <c r="I23" i="16"/>
  <c r="K23" i="16" s="1"/>
  <c r="J22" i="16"/>
  <c r="I22" i="16"/>
  <c r="K22" i="16" s="1"/>
  <c r="J21" i="16"/>
  <c r="I21" i="16"/>
  <c r="K21" i="16" s="1"/>
  <c r="J20" i="16"/>
  <c r="I20" i="16"/>
  <c r="K20" i="16" s="1"/>
  <c r="J19" i="16"/>
  <c r="I19" i="16"/>
  <c r="K19" i="16" s="1"/>
  <c r="J18" i="16"/>
  <c r="I18" i="16"/>
  <c r="K18" i="16" s="1"/>
  <c r="J17" i="16"/>
  <c r="I17" i="16"/>
  <c r="K17" i="16" s="1"/>
  <c r="J16" i="16"/>
  <c r="I16" i="16"/>
  <c r="K16" i="16" s="1"/>
  <c r="J15" i="16"/>
  <c r="I15" i="16"/>
  <c r="K15" i="16" s="1"/>
  <c r="J14" i="16"/>
  <c r="I14" i="16"/>
  <c r="K14" i="16" s="1"/>
  <c r="J13" i="16"/>
  <c r="I13" i="16"/>
  <c r="K13" i="16" s="1"/>
  <c r="J12" i="16"/>
  <c r="I12" i="16"/>
  <c r="K12" i="16" s="1"/>
  <c r="J11" i="16"/>
  <c r="I11" i="16"/>
  <c r="K11" i="16" s="1"/>
  <c r="J10" i="16"/>
  <c r="I10" i="16"/>
  <c r="K10" i="16" s="1"/>
  <c r="J9" i="16"/>
  <c r="I9" i="16"/>
  <c r="K9" i="16" s="1"/>
  <c r="J8" i="16"/>
  <c r="I8" i="16"/>
  <c r="K8" i="16" s="1"/>
  <c r="J7" i="16"/>
  <c r="I7" i="16"/>
  <c r="K7" i="16" s="1"/>
  <c r="J6" i="16"/>
  <c r="I6" i="16"/>
  <c r="K6" i="16" s="1"/>
  <c r="J5" i="16"/>
  <c r="I5" i="16"/>
  <c r="K5" i="16" s="1"/>
  <c r="L5" i="16" s="1"/>
  <c r="J4" i="16"/>
  <c r="I4" i="16"/>
  <c r="K4" i="16" s="1"/>
  <c r="J3" i="16"/>
  <c r="I3" i="16"/>
  <c r="K3" i="16" s="1"/>
  <c r="J2" i="16"/>
  <c r="I2" i="16"/>
  <c r="K2" i="16" s="1"/>
  <c r="I322" i="1"/>
  <c r="K322" i="1" s="1"/>
  <c r="J322" i="1"/>
  <c r="L25" i="19" l="1"/>
  <c r="L29" i="19"/>
  <c r="L97" i="19"/>
  <c r="L33" i="19"/>
  <c r="L37" i="19"/>
  <c r="L41" i="19"/>
  <c r="L45" i="19"/>
  <c r="L49" i="19"/>
  <c r="L64" i="19"/>
  <c r="L68" i="19"/>
  <c r="L75" i="19"/>
  <c r="L79" i="19"/>
  <c r="L92" i="19"/>
  <c r="L95" i="19"/>
  <c r="L107" i="19"/>
  <c r="L111" i="19"/>
  <c r="L115" i="19"/>
  <c r="L119" i="19"/>
  <c r="L130" i="19"/>
  <c r="L152" i="19"/>
  <c r="L156" i="19"/>
  <c r="L182" i="19"/>
  <c r="L186" i="19"/>
  <c r="L190" i="19"/>
  <c r="L247" i="19"/>
  <c r="L309" i="19"/>
  <c r="V91" i="19" s="1"/>
  <c r="L84" i="19"/>
  <c r="L213" i="19"/>
  <c r="L279" i="19"/>
  <c r="L310" i="19"/>
  <c r="V92" i="19" s="1"/>
  <c r="L105" i="19"/>
  <c r="L124" i="19"/>
  <c r="L146" i="19"/>
  <c r="L176" i="19"/>
  <c r="L12" i="19"/>
  <c r="L39" i="19"/>
  <c r="L47" i="19"/>
  <c r="L73" i="19"/>
  <c r="L99" i="19"/>
  <c r="L109" i="19"/>
  <c r="L117" i="19"/>
  <c r="L121" i="19"/>
  <c r="L128" i="19"/>
  <c r="L150" i="19"/>
  <c r="L154" i="19"/>
  <c r="L173" i="19"/>
  <c r="L184" i="19"/>
  <c r="L188" i="19"/>
  <c r="L214" i="19"/>
  <c r="L245" i="19"/>
  <c r="L311" i="19"/>
  <c r="V93" i="19" s="1"/>
  <c r="L14" i="19"/>
  <c r="L53" i="19"/>
  <c r="L60" i="19"/>
  <c r="L63" i="19"/>
  <c r="V65" i="19" s="1"/>
  <c r="L70" i="19"/>
  <c r="V72" i="19" s="1"/>
  <c r="L77" i="19"/>
  <c r="L114" i="19"/>
  <c r="L123" i="19"/>
  <c r="L139" i="19"/>
  <c r="L158" i="19"/>
  <c r="L179" i="19"/>
  <c r="L192" i="19"/>
  <c r="L216" i="19"/>
  <c r="L248" i="19"/>
  <c r="L280" i="19"/>
  <c r="L312" i="19"/>
  <c r="V94" i="19" s="1"/>
  <c r="L57" i="19"/>
  <c r="L61" i="19"/>
  <c r="L71" i="19"/>
  <c r="V73" i="19" s="1"/>
  <c r="L85" i="19"/>
  <c r="L159" i="19"/>
  <c r="L278" i="19"/>
  <c r="L2" i="19"/>
  <c r="L9" i="19"/>
  <c r="L16" i="19"/>
  <c r="L23" i="19"/>
  <c r="L44" i="19"/>
  <c r="L141" i="19"/>
  <c r="L144" i="19"/>
  <c r="L171" i="19"/>
  <c r="L218" i="19"/>
  <c r="L225" i="19"/>
  <c r="L275" i="19"/>
  <c r="L282" i="19"/>
  <c r="L102" i="19"/>
  <c r="L112" i="19"/>
  <c r="L318" i="19"/>
  <c r="V100" i="19" s="1"/>
  <c r="L17" i="19"/>
  <c r="L24" i="19"/>
  <c r="L31" i="19"/>
  <c r="L55" i="19"/>
  <c r="L76" i="19"/>
  <c r="V78" i="19" s="1"/>
  <c r="L83" i="19"/>
  <c r="L148" i="19"/>
  <c r="L181" i="19"/>
  <c r="L194" i="19"/>
  <c r="L233" i="19"/>
  <c r="L251" i="19"/>
  <c r="L265" i="19"/>
  <c r="L297" i="19"/>
  <c r="L21" i="19"/>
  <c r="L28" i="19"/>
  <c r="L35" i="19"/>
  <c r="L42" i="19"/>
  <c r="L52" i="19"/>
  <c r="L59" i="19"/>
  <c r="L80" i="19"/>
  <c r="V82" i="19" s="1"/>
  <c r="L91" i="19"/>
  <c r="L98" i="19"/>
  <c r="L103" i="19"/>
  <c r="L113" i="19"/>
  <c r="L155" i="19"/>
  <c r="L161" i="19"/>
  <c r="L165" i="19"/>
  <c r="L185" i="19"/>
  <c r="L198" i="19"/>
  <c r="L205" i="19"/>
  <c r="L223" i="19"/>
  <c r="L230" i="19"/>
  <c r="L237" i="19"/>
  <c r="L255" i="19"/>
  <c r="L262" i="19"/>
  <c r="L269" i="19"/>
  <c r="L287" i="19"/>
  <c r="L294" i="19"/>
  <c r="L301" i="19"/>
  <c r="L319" i="19"/>
  <c r="V101" i="19" s="1"/>
  <c r="V79" i="19"/>
  <c r="V66" i="19"/>
  <c r="V69" i="19"/>
  <c r="V76" i="19"/>
  <c r="V68" i="19"/>
  <c r="L48" i="19"/>
  <c r="V70" i="19"/>
  <c r="V77" i="19"/>
  <c r="V64" i="19"/>
  <c r="V81" i="19"/>
  <c r="V67" i="19"/>
  <c r="L5" i="19"/>
  <c r="L40" i="19"/>
  <c r="V71" i="19"/>
  <c r="L56" i="19"/>
  <c r="V75" i="19"/>
  <c r="L89" i="19"/>
  <c r="L51" i="19"/>
  <c r="L43" i="19"/>
  <c r="L81" i="19"/>
  <c r="L287" i="16"/>
  <c r="L291" i="16"/>
  <c r="L295" i="16"/>
  <c r="L311" i="16"/>
  <c r="L315" i="16"/>
  <c r="L26" i="16"/>
  <c r="L54" i="16"/>
  <c r="L78" i="16"/>
  <c r="V80" i="16" s="1"/>
  <c r="L82" i="16"/>
  <c r="L102" i="16"/>
  <c r="L106" i="16"/>
  <c r="L114" i="16"/>
  <c r="L112" i="16"/>
  <c r="L319" i="16"/>
  <c r="V101" i="16" s="1"/>
  <c r="L121" i="16"/>
  <c r="L249" i="16"/>
  <c r="L134" i="16"/>
  <c r="L142" i="16"/>
  <c r="L150" i="16"/>
  <c r="L158" i="16"/>
  <c r="L162" i="16"/>
  <c r="L166" i="16"/>
  <c r="L174" i="16"/>
  <c r="L178" i="16"/>
  <c r="L182" i="16"/>
  <c r="L186" i="16"/>
  <c r="L190" i="16"/>
  <c r="L42" i="18"/>
  <c r="L46" i="18"/>
  <c r="L50" i="18"/>
  <c r="L58" i="18"/>
  <c r="L149" i="18"/>
  <c r="L157" i="18"/>
  <c r="L161" i="18"/>
  <c r="L165" i="18"/>
  <c r="L169" i="18"/>
  <c r="L173" i="18"/>
  <c r="L177" i="18"/>
  <c r="L205" i="18"/>
  <c r="L209" i="18"/>
  <c r="L217" i="18"/>
  <c r="L221" i="18"/>
  <c r="L225" i="18"/>
  <c r="L229" i="18"/>
  <c r="L241" i="18"/>
  <c r="L249" i="18"/>
  <c r="L253" i="18"/>
  <c r="L285" i="18"/>
  <c r="L289" i="18"/>
  <c r="L94" i="18"/>
  <c r="L293" i="18"/>
  <c r="L297" i="18"/>
  <c r="L305" i="18"/>
  <c r="V87" i="18" s="1"/>
  <c r="L309" i="18"/>
  <c r="V91" i="18" s="1"/>
  <c r="L317" i="18"/>
  <c r="V99" i="18" s="1"/>
  <c r="L44" i="18"/>
  <c r="L80" i="18"/>
  <c r="V82" i="18" s="1"/>
  <c r="L84" i="18"/>
  <c r="L91" i="18"/>
  <c r="L95" i="18"/>
  <c r="L45" i="18"/>
  <c r="L53" i="18"/>
  <c r="L57" i="18"/>
  <c r="L81" i="18"/>
  <c r="V83" i="18" s="1"/>
  <c r="L85" i="18"/>
  <c r="L92" i="18"/>
  <c r="L2" i="17"/>
  <c r="L14" i="17"/>
  <c r="L34" i="17"/>
  <c r="L46" i="17"/>
  <c r="L50" i="17"/>
  <c r="L62" i="17"/>
  <c r="L66" i="17"/>
  <c r="L70" i="17"/>
  <c r="V72" i="17" s="1"/>
  <c r="L74" i="17"/>
  <c r="L82" i="17"/>
  <c r="L7" i="17"/>
  <c r="L11" i="17"/>
  <c r="L35" i="17"/>
  <c r="L39" i="17"/>
  <c r="L43" i="17"/>
  <c r="L47" i="17"/>
  <c r="L51" i="17"/>
  <c r="L63" i="17"/>
  <c r="V65" i="17" s="1"/>
  <c r="L67" i="17"/>
  <c r="L71" i="17"/>
  <c r="L75" i="17"/>
  <c r="L79" i="17"/>
  <c r="L151" i="17"/>
  <c r="L167" i="17"/>
  <c r="L171" i="17"/>
  <c r="L175" i="17"/>
  <c r="L179" i="17"/>
  <c r="L183" i="17"/>
  <c r="L187" i="17"/>
  <c r="L191" i="17"/>
  <c r="L195" i="17"/>
  <c r="L199" i="17"/>
  <c r="L203" i="17"/>
  <c r="L219" i="17"/>
  <c r="L259" i="17"/>
  <c r="L263" i="17"/>
  <c r="L267" i="17"/>
  <c r="L271" i="17"/>
  <c r="L275" i="17"/>
  <c r="L83" i="17"/>
  <c r="L186" i="17"/>
  <c r="L190" i="17"/>
  <c r="L194" i="17"/>
  <c r="L198" i="17"/>
  <c r="L202" i="17"/>
  <c r="L206" i="17"/>
  <c r="L4" i="17"/>
  <c r="L8" i="17"/>
  <c r="L36" i="17"/>
  <c r="L40" i="17"/>
  <c r="L48" i="17"/>
  <c r="L52" i="17"/>
  <c r="L56" i="17"/>
  <c r="L64" i="17"/>
  <c r="L68" i="17"/>
  <c r="V70" i="17" s="1"/>
  <c r="L72" i="17"/>
  <c r="V74" i="17" s="1"/>
  <c r="L80" i="17"/>
  <c r="L84" i="17"/>
  <c r="L107" i="17"/>
  <c r="L111" i="17"/>
  <c r="L115" i="17"/>
  <c r="L119" i="17"/>
  <c r="L127" i="17"/>
  <c r="L282" i="17"/>
  <c r="L286" i="17"/>
  <c r="L290" i="17"/>
  <c r="L298" i="17"/>
  <c r="L306" i="17"/>
  <c r="V88" i="17" s="1"/>
  <c r="L314" i="17"/>
  <c r="V96" i="17" s="1"/>
  <c r="L322" i="17"/>
  <c r="L61" i="17"/>
  <c r="L65" i="17"/>
  <c r="V67" i="17" s="1"/>
  <c r="L69" i="17"/>
  <c r="V71" i="17" s="1"/>
  <c r="L73" i="17"/>
  <c r="V75" i="17" s="1"/>
  <c r="L77" i="17"/>
  <c r="L81" i="17"/>
  <c r="V83" i="17" s="1"/>
  <c r="L88" i="17"/>
  <c r="L99" i="17"/>
  <c r="L130" i="17"/>
  <c r="L185" i="17"/>
  <c r="L220" i="17"/>
  <c r="L224" i="17"/>
  <c r="L96" i="17"/>
  <c r="L103" i="17"/>
  <c r="L134" i="17"/>
  <c r="L162" i="17"/>
  <c r="L166" i="17"/>
  <c r="L170" i="17"/>
  <c r="L174" i="17"/>
  <c r="L178" i="17"/>
  <c r="L201" i="17"/>
  <c r="L252" i="17"/>
  <c r="L256" i="17"/>
  <c r="L260" i="17"/>
  <c r="L264" i="17"/>
  <c r="L268" i="17"/>
  <c r="L272" i="17"/>
  <c r="L291" i="17"/>
  <c r="L295" i="17"/>
  <c r="L299" i="17"/>
  <c r="L303" i="17"/>
  <c r="V85" i="17" s="1"/>
  <c r="L307" i="17"/>
  <c r="V89" i="17" s="1"/>
  <c r="L320" i="17"/>
  <c r="V102" i="17" s="1"/>
  <c r="L124" i="17"/>
  <c r="L128" i="17"/>
  <c r="L147" i="17"/>
  <c r="L210" i="17"/>
  <c r="L214" i="17"/>
  <c r="L234" i="17"/>
  <c r="L94" i="17"/>
  <c r="L136" i="17"/>
  <c r="L140" i="17"/>
  <c r="L148" i="17"/>
  <c r="L152" i="17"/>
  <c r="L156" i="17"/>
  <c r="L160" i="17"/>
  <c r="L164" i="17"/>
  <c r="L168" i="17"/>
  <c r="L172" i="17"/>
  <c r="L176" i="17"/>
  <c r="L180" i="17"/>
  <c r="L250" i="17"/>
  <c r="L254" i="17"/>
  <c r="L258" i="17"/>
  <c r="L266" i="17"/>
  <c r="L270" i="17"/>
  <c r="L274" i="17"/>
  <c r="L281" i="17"/>
  <c r="L285" i="17"/>
  <c r="L289" i="17"/>
  <c r="L293" i="17"/>
  <c r="L297" i="17"/>
  <c r="L305" i="17"/>
  <c r="V87" i="17" s="1"/>
  <c r="L313" i="17"/>
  <c r="V95" i="17" s="1"/>
  <c r="L317" i="17"/>
  <c r="V99" i="17" s="1"/>
  <c r="L321" i="17"/>
  <c r="V103" i="17" s="1"/>
  <c r="L16" i="16"/>
  <c r="L24" i="16"/>
  <c r="L51" i="16"/>
  <c r="L59" i="16"/>
  <c r="L247" i="16"/>
  <c r="L294" i="16"/>
  <c r="L306" i="16"/>
  <c r="V88" i="16" s="1"/>
  <c r="L310" i="16"/>
  <c r="V92" i="16" s="1"/>
  <c r="L314" i="16"/>
  <c r="V96" i="16" s="1"/>
  <c r="L318" i="16"/>
  <c r="V100" i="16" s="1"/>
  <c r="L322" i="16"/>
  <c r="L141" i="16"/>
  <c r="L145" i="16"/>
  <c r="L153" i="16"/>
  <c r="L157" i="16"/>
  <c r="L252" i="16"/>
  <c r="L256" i="16"/>
  <c r="L61" i="16"/>
  <c r="L84" i="16"/>
  <c r="L126" i="16"/>
  <c r="L193" i="16"/>
  <c r="L205" i="16"/>
  <c r="L209" i="16"/>
  <c r="L221" i="16"/>
  <c r="L225" i="16"/>
  <c r="L19" i="16"/>
  <c r="L66" i="16"/>
  <c r="V68" i="16" s="1"/>
  <c r="L127" i="16"/>
  <c r="L281" i="16"/>
  <c r="L4" i="16"/>
  <c r="L301" i="16"/>
  <c r="L268" i="16"/>
  <c r="L272" i="16"/>
  <c r="L276" i="16"/>
  <c r="L64" i="16"/>
  <c r="L94" i="16"/>
  <c r="L101" i="16"/>
  <c r="L105" i="16"/>
  <c r="L143" i="16"/>
  <c r="L159" i="16"/>
  <c r="L167" i="16"/>
  <c r="L206" i="16"/>
  <c r="L233" i="16"/>
  <c r="L237" i="16"/>
  <c r="L241" i="16"/>
  <c r="L245" i="16"/>
  <c r="L288" i="16"/>
  <c r="L292" i="16"/>
  <c r="L300" i="16"/>
  <c r="L308" i="16"/>
  <c r="V90" i="16" s="1"/>
  <c r="L320" i="16"/>
  <c r="L14" i="16"/>
  <c r="L18" i="16"/>
  <c r="L22" i="16"/>
  <c r="L53" i="16"/>
  <c r="L76" i="16"/>
  <c r="V78" i="16" s="1"/>
  <c r="L91" i="16"/>
  <c r="L98" i="16"/>
  <c r="L171" i="16"/>
  <c r="L175" i="16"/>
  <c r="L218" i="16"/>
  <c r="L222" i="16"/>
  <c r="L226" i="16"/>
  <c r="L230" i="16"/>
  <c r="L253" i="16"/>
  <c r="L257" i="16"/>
  <c r="L265" i="16"/>
  <c r="L269" i="16"/>
  <c r="L30" i="16"/>
  <c r="L199" i="16"/>
  <c r="L207" i="16"/>
  <c r="L211" i="16"/>
  <c r="L285" i="16"/>
  <c r="L289" i="16"/>
  <c r="L293" i="16"/>
  <c r="L305" i="16"/>
  <c r="V87" i="16" s="1"/>
  <c r="L309" i="16"/>
  <c r="V91" i="16" s="1"/>
  <c r="L313" i="16"/>
  <c r="V95" i="16" s="1"/>
  <c r="L317" i="16"/>
  <c r="V99" i="16" s="1"/>
  <c r="L38" i="16"/>
  <c r="L42" i="16"/>
  <c r="L46" i="16"/>
  <c r="L50" i="16"/>
  <c r="L69" i="16"/>
  <c r="L92" i="16"/>
  <c r="L128" i="16"/>
  <c r="L172" i="16"/>
  <c r="L176" i="16"/>
  <c r="L215" i="16"/>
  <c r="L223" i="16"/>
  <c r="L227" i="16"/>
  <c r="L231" i="16"/>
  <c r="L254" i="16"/>
  <c r="L266" i="16"/>
  <c r="L274" i="16"/>
  <c r="L278" i="16"/>
  <c r="L108" i="18"/>
  <c r="L116" i="18"/>
  <c r="L120" i="18"/>
  <c r="L124" i="18"/>
  <c r="L128" i="18"/>
  <c r="L132" i="18"/>
  <c r="L136" i="18"/>
  <c r="L140" i="18"/>
  <c r="L105" i="18"/>
  <c r="L113" i="18"/>
  <c r="L117" i="18"/>
  <c r="L121" i="18"/>
  <c r="L125" i="18"/>
  <c r="L129" i="18"/>
  <c r="L133" i="18"/>
  <c r="L137" i="18"/>
  <c r="L141" i="18"/>
  <c r="L288" i="18"/>
  <c r="L292" i="18"/>
  <c r="L296" i="18"/>
  <c r="L300" i="18"/>
  <c r="L304" i="18"/>
  <c r="L308" i="18"/>
  <c r="V90" i="18" s="1"/>
  <c r="L316" i="18"/>
  <c r="V98" i="18" s="1"/>
  <c r="L320" i="18"/>
  <c r="V102" i="18" s="1"/>
  <c r="L257" i="18"/>
  <c r="L261" i="18"/>
  <c r="L273" i="18"/>
  <c r="L122" i="18"/>
  <c r="L130" i="18"/>
  <c r="L138" i="18"/>
  <c r="L258" i="18"/>
  <c r="L266" i="18"/>
  <c r="L270" i="18"/>
  <c r="L274" i="18"/>
  <c r="L119" i="18"/>
  <c r="L127" i="18"/>
  <c r="L135" i="18"/>
  <c r="L143" i="18"/>
  <c r="L43" i="18"/>
  <c r="L51" i="18"/>
  <c r="L55" i="18"/>
  <c r="L59" i="18"/>
  <c r="L163" i="18"/>
  <c r="L167" i="18"/>
  <c r="L171" i="18"/>
  <c r="L183" i="18"/>
  <c r="L187" i="18"/>
  <c r="L211" i="18"/>
  <c r="L215" i="18"/>
  <c r="L219" i="18"/>
  <c r="L231" i="18"/>
  <c r="L235" i="18"/>
  <c r="L239" i="18"/>
  <c r="L243" i="18"/>
  <c r="L247" i="18"/>
  <c r="L259" i="18"/>
  <c r="L263" i="18"/>
  <c r="L271" i="18"/>
  <c r="L275" i="18"/>
  <c r="L315" i="18"/>
  <c r="V97" i="18" s="1"/>
  <c r="L4" i="18"/>
  <c r="L12" i="18"/>
  <c r="L16" i="18"/>
  <c r="L28" i="18"/>
  <c r="L32" i="18"/>
  <c r="L40" i="18"/>
  <c r="L67" i="18"/>
  <c r="V69" i="18" s="1"/>
  <c r="L71" i="18"/>
  <c r="V73" i="18" s="1"/>
  <c r="L86" i="18"/>
  <c r="L111" i="18"/>
  <c r="L146" i="18"/>
  <c r="L189" i="18"/>
  <c r="L193" i="18"/>
  <c r="L201" i="18"/>
  <c r="L5" i="18"/>
  <c r="L9" i="18"/>
  <c r="L21" i="18"/>
  <c r="L25" i="18"/>
  <c r="L33" i="18"/>
  <c r="L37" i="18"/>
  <c r="L41" i="18"/>
  <c r="L64" i="18"/>
  <c r="V66" i="18" s="1"/>
  <c r="L68" i="18"/>
  <c r="V70" i="18" s="1"/>
  <c r="L79" i="18"/>
  <c r="L87" i="18"/>
  <c r="L98" i="18"/>
  <c r="L101" i="18"/>
  <c r="L112" i="18"/>
  <c r="L198" i="18"/>
  <c r="L202" i="18"/>
  <c r="L277" i="18"/>
  <c r="L321" i="18"/>
  <c r="V103" i="18" s="1"/>
  <c r="L2" i="18"/>
  <c r="L6" i="18"/>
  <c r="L14" i="18"/>
  <c r="L18" i="18"/>
  <c r="L22" i="18"/>
  <c r="L26" i="18"/>
  <c r="L30" i="18"/>
  <c r="L34" i="18"/>
  <c r="L38" i="18"/>
  <c r="L61" i="18"/>
  <c r="L65" i="18"/>
  <c r="V67" i="18" s="1"/>
  <c r="L69" i="18"/>
  <c r="V71" i="18" s="1"/>
  <c r="L73" i="18"/>
  <c r="L102" i="18"/>
  <c r="L195" i="18"/>
  <c r="L199" i="18"/>
  <c r="L278" i="18"/>
  <c r="L7" i="18"/>
  <c r="L15" i="18"/>
  <c r="L19" i="18"/>
  <c r="L23" i="18"/>
  <c r="L39" i="18"/>
  <c r="L62" i="18"/>
  <c r="V64" i="18" s="1"/>
  <c r="L70" i="18"/>
  <c r="V72" i="18" s="1"/>
  <c r="L89" i="18"/>
  <c r="L145" i="18"/>
  <c r="L196" i="18"/>
  <c r="L200" i="18"/>
  <c r="L279" i="18"/>
  <c r="L60" i="18"/>
  <c r="L153" i="18"/>
  <c r="L82" i="18"/>
  <c r="L109" i="18"/>
  <c r="L203" i="18"/>
  <c r="L52" i="18"/>
  <c r="L147" i="18"/>
  <c r="L185" i="18"/>
  <c r="L8" i="18"/>
  <c r="L35" i="18"/>
  <c r="L49" i="18"/>
  <c r="L56" i="18"/>
  <c r="L97" i="18"/>
  <c r="L100" i="18"/>
  <c r="L151" i="18"/>
  <c r="L155" i="18"/>
  <c r="L181" i="18"/>
  <c r="L192" i="18"/>
  <c r="L222" i="18"/>
  <c r="L226" i="18"/>
  <c r="L245" i="18"/>
  <c r="L311" i="18"/>
  <c r="V93" i="18" s="1"/>
  <c r="L11" i="18"/>
  <c r="L29" i="18"/>
  <c r="L36" i="18"/>
  <c r="L77" i="18"/>
  <c r="V79" i="18" s="1"/>
  <c r="L83" i="18"/>
  <c r="L160" i="18"/>
  <c r="L267" i="18"/>
  <c r="L281" i="18"/>
  <c r="L299" i="18"/>
  <c r="L306" i="18"/>
  <c r="V88" i="18" s="1"/>
  <c r="L313" i="18"/>
  <c r="V95" i="18" s="1"/>
  <c r="L123" i="18"/>
  <c r="L182" i="18"/>
  <c r="L194" i="18"/>
  <c r="L248" i="18"/>
  <c r="L280" i="18"/>
  <c r="L74" i="18"/>
  <c r="V76" i="18" s="1"/>
  <c r="L139" i="18"/>
  <c r="L90" i="18"/>
  <c r="L104" i="18"/>
  <c r="L312" i="18"/>
  <c r="V94" i="18" s="1"/>
  <c r="L103" i="18"/>
  <c r="L115" i="18"/>
  <c r="L47" i="18"/>
  <c r="L96" i="18"/>
  <c r="L10" i="18"/>
  <c r="L48" i="18"/>
  <c r="L144" i="18"/>
  <c r="L188" i="18"/>
  <c r="L227" i="18"/>
  <c r="L3" i="18"/>
  <c r="L13" i="18"/>
  <c r="L20" i="18"/>
  <c r="L27" i="18"/>
  <c r="L63" i="18"/>
  <c r="V65" i="18" s="1"/>
  <c r="L72" i="18"/>
  <c r="V74" i="18" s="1"/>
  <c r="L131" i="18"/>
  <c r="L170" i="18"/>
  <c r="L223" i="18"/>
  <c r="L233" i="18"/>
  <c r="L251" i="18"/>
  <c r="L265" i="18"/>
  <c r="L93" i="18"/>
  <c r="L17" i="18"/>
  <c r="L24" i="18"/>
  <c r="L31" i="18"/>
  <c r="L66" i="18"/>
  <c r="V68" i="18" s="1"/>
  <c r="L76" i="18"/>
  <c r="V78" i="18" s="1"/>
  <c r="L176" i="18"/>
  <c r="L179" i="18"/>
  <c r="L197" i="18"/>
  <c r="L213" i="18"/>
  <c r="L230" i="18"/>
  <c r="L237" i="18"/>
  <c r="L255" i="18"/>
  <c r="L262" i="18"/>
  <c r="L269" i="18"/>
  <c r="L287" i="18"/>
  <c r="L294" i="18"/>
  <c r="L301" i="18"/>
  <c r="L319" i="18"/>
  <c r="V101" i="18" s="1"/>
  <c r="V81" i="18"/>
  <c r="L54" i="18"/>
  <c r="L88" i="18"/>
  <c r="L78" i="18"/>
  <c r="V75" i="18"/>
  <c r="L99" i="18"/>
  <c r="L110" i="18"/>
  <c r="L118" i="18"/>
  <c r="L126" i="18"/>
  <c r="L134" i="18"/>
  <c r="L142" i="18"/>
  <c r="L150" i="18"/>
  <c r="L178" i="18"/>
  <c r="L190" i="18"/>
  <c r="L162" i="18"/>
  <c r="L174" i="18"/>
  <c r="L191" i="18"/>
  <c r="L156" i="18"/>
  <c r="L158" i="18"/>
  <c r="L175" i="18"/>
  <c r="L207" i="18"/>
  <c r="V92" i="18"/>
  <c r="V86" i="18"/>
  <c r="L75" i="18"/>
  <c r="L159" i="18"/>
  <c r="L16" i="17"/>
  <c r="L20" i="17"/>
  <c r="L24" i="17"/>
  <c r="L32" i="17"/>
  <c r="L55" i="17"/>
  <c r="L92" i="17"/>
  <c r="L114" i="17"/>
  <c r="L118" i="17"/>
  <c r="L182" i="17"/>
  <c r="L189" i="17"/>
  <c r="L193" i="17"/>
  <c r="L197" i="17"/>
  <c r="L204" i="17"/>
  <c r="L208" i="17"/>
  <c r="L212" i="17"/>
  <c r="L223" i="17"/>
  <c r="L231" i="17"/>
  <c r="L238" i="17"/>
  <c r="L242" i="17"/>
  <c r="L246" i="17"/>
  <c r="L277" i="17"/>
  <c r="L159" i="17"/>
  <c r="L228" i="17"/>
  <c r="L239" i="17"/>
  <c r="L247" i="17"/>
  <c r="L278" i="17"/>
  <c r="L90" i="17"/>
  <c r="L18" i="17"/>
  <c r="L57" i="17"/>
  <c r="L116" i="17"/>
  <c r="L123" i="17"/>
  <c r="L131" i="17"/>
  <c r="L138" i="17"/>
  <c r="L146" i="17"/>
  <c r="L229" i="17"/>
  <c r="L236" i="17"/>
  <c r="L240" i="17"/>
  <c r="L244" i="17"/>
  <c r="L310" i="17"/>
  <c r="V92" i="17" s="1"/>
  <c r="L91" i="17"/>
  <c r="L101" i="17"/>
  <c r="L139" i="17"/>
  <c r="L218" i="17"/>
  <c r="L233" i="17"/>
  <c r="L3" i="17"/>
  <c r="L19" i="17"/>
  <c r="L23" i="17"/>
  <c r="L27" i="17"/>
  <c r="L31" i="17"/>
  <c r="L98" i="17"/>
  <c r="L109" i="17"/>
  <c r="L113" i="17"/>
  <c r="L117" i="17"/>
  <c r="L143" i="17"/>
  <c r="L158" i="17"/>
  <c r="L169" i="17"/>
  <c r="L177" i="17"/>
  <c r="L181" i="17"/>
  <c r="L188" i="17"/>
  <c r="L192" i="17"/>
  <c r="L196" i="17"/>
  <c r="L207" i="17"/>
  <c r="L211" i="17"/>
  <c r="L215" i="17"/>
  <c r="L222" i="17"/>
  <c r="L226" i="17"/>
  <c r="L230" i="17"/>
  <c r="L237" i="17"/>
  <c r="L241" i="17"/>
  <c r="L245" i="17"/>
  <c r="L97" i="17"/>
  <c r="L105" i="17"/>
  <c r="L120" i="17"/>
  <c r="L126" i="17"/>
  <c r="L129" i="17"/>
  <c r="L184" i="17"/>
  <c r="L200" i="17"/>
  <c r="L216" i="17"/>
  <c r="L232" i="17"/>
  <c r="L248" i="17"/>
  <c r="L280" i="17"/>
  <c r="L302" i="17"/>
  <c r="V84" i="17" s="1"/>
  <c r="L309" i="17"/>
  <c r="V91" i="17" s="1"/>
  <c r="L312" i="17"/>
  <c r="V94" i="17" s="1"/>
  <c r="L132" i="17"/>
  <c r="L22" i="17"/>
  <c r="L154" i="17"/>
  <c r="L86" i="17"/>
  <c r="L121" i="17"/>
  <c r="L142" i="17"/>
  <c r="L155" i="17"/>
  <c r="L161" i="17"/>
  <c r="L10" i="17"/>
  <c r="L141" i="17"/>
  <c r="L26" i="17"/>
  <c r="L54" i="17"/>
  <c r="L78" i="17"/>
  <c r="V80" i="17" s="1"/>
  <c r="L106" i="17"/>
  <c r="L15" i="17"/>
  <c r="L137" i="17"/>
  <c r="L318" i="17"/>
  <c r="V100" i="17" s="1"/>
  <c r="L13" i="17"/>
  <c r="L42" i="17"/>
  <c r="L59" i="17"/>
  <c r="L100" i="17"/>
  <c r="L58" i="17"/>
  <c r="L122" i="17"/>
  <c r="L6" i="17"/>
  <c r="L30" i="17"/>
  <c r="L38" i="17"/>
  <c r="L76" i="17"/>
  <c r="V78" i="17" s="1"/>
  <c r="L102" i="17"/>
  <c r="L110" i="17"/>
  <c r="L135" i="17"/>
  <c r="L144" i="17"/>
  <c r="L150" i="17"/>
  <c r="L153" i="17"/>
  <c r="L262" i="17"/>
  <c r="L269" i="17"/>
  <c r="L294" i="17"/>
  <c r="L301" i="17"/>
  <c r="V79" i="17"/>
  <c r="V73" i="17"/>
  <c r="V76" i="17"/>
  <c r="L9" i="17"/>
  <c r="L28" i="17"/>
  <c r="L60" i="17"/>
  <c r="V64" i="17"/>
  <c r="L25" i="17"/>
  <c r="V82" i="17"/>
  <c r="L44" i="17"/>
  <c r="V68" i="17"/>
  <c r="L12" i="17"/>
  <c r="V69" i="17"/>
  <c r="V77" i="17"/>
  <c r="V66" i="17"/>
  <c r="L163" i="17"/>
  <c r="L87" i="17"/>
  <c r="L251" i="17"/>
  <c r="L283" i="17"/>
  <c r="L315" i="17"/>
  <c r="V81" i="17"/>
  <c r="L227" i="17"/>
  <c r="L235" i="17"/>
  <c r="L243" i="17"/>
  <c r="L95" i="17"/>
  <c r="L255" i="17"/>
  <c r="L287" i="17"/>
  <c r="L319" i="17"/>
  <c r="L279" i="17"/>
  <c r="L311" i="17"/>
  <c r="L157" i="17"/>
  <c r="L165" i="17"/>
  <c r="L173" i="17"/>
  <c r="L170" i="16"/>
  <c r="L90" i="16"/>
  <c r="L125" i="16"/>
  <c r="L56" i="16"/>
  <c r="L74" i="16"/>
  <c r="V76" i="16" s="1"/>
  <c r="L81" i="16"/>
  <c r="V83" i="16" s="1"/>
  <c r="L88" i="16"/>
  <c r="L95" i="16"/>
  <c r="L109" i="16"/>
  <c r="L123" i="16"/>
  <c r="L161" i="16"/>
  <c r="L183" i="16"/>
  <c r="L187" i="16"/>
  <c r="L191" i="16"/>
  <c r="L194" i="16"/>
  <c r="L201" i="16"/>
  <c r="L234" i="16"/>
  <c r="L242" i="16"/>
  <c r="L246" i="16"/>
  <c r="L260" i="16"/>
  <c r="L279" i="16"/>
  <c r="L286" i="16"/>
  <c r="L297" i="16"/>
  <c r="L321" i="16"/>
  <c r="V103" i="16" s="1"/>
  <c r="L118" i="16"/>
  <c r="L20" i="16"/>
  <c r="L34" i="16"/>
  <c r="L110" i="16"/>
  <c r="L117" i="16"/>
  <c r="L124" i="16"/>
  <c r="L169" i="16"/>
  <c r="L180" i="16"/>
  <c r="L188" i="16"/>
  <c r="L239" i="16"/>
  <c r="L243" i="16"/>
  <c r="L250" i="16"/>
  <c r="L261" i="16"/>
  <c r="L298" i="16"/>
  <c r="L302" i="16"/>
  <c r="V84" i="16" s="1"/>
  <c r="L35" i="16"/>
  <c r="L97" i="16"/>
  <c r="L6" i="16"/>
  <c r="L43" i="16"/>
  <c r="L58" i="16"/>
  <c r="L93" i="16"/>
  <c r="L107" i="16"/>
  <c r="L111" i="16"/>
  <c r="L163" i="16"/>
  <c r="L177" i="16"/>
  <c r="L181" i="16"/>
  <c r="L185" i="16"/>
  <c r="L189" i="16"/>
  <c r="L196" i="16"/>
  <c r="L203" i="16"/>
  <c r="L214" i="16"/>
  <c r="L217" i="16"/>
  <c r="L244" i="16"/>
  <c r="L251" i="16"/>
  <c r="L258" i="16"/>
  <c r="L262" i="16"/>
  <c r="L273" i="16"/>
  <c r="L277" i="16"/>
  <c r="L303" i="16"/>
  <c r="V85" i="16" s="1"/>
  <c r="L264" i="16"/>
  <c r="L2" i="16"/>
  <c r="L8" i="16"/>
  <c r="L11" i="16"/>
  <c r="L21" i="16"/>
  <c r="L27" i="16"/>
  <c r="L37" i="16"/>
  <c r="L57" i="16"/>
  <c r="L73" i="16"/>
  <c r="V75" i="16" s="1"/>
  <c r="L80" i="16"/>
  <c r="V82" i="16" s="1"/>
  <c r="L131" i="16"/>
  <c r="L149" i="16"/>
  <c r="L165" i="16"/>
  <c r="L10" i="16"/>
  <c r="L62" i="16"/>
  <c r="V64" i="16" s="1"/>
  <c r="L99" i="16"/>
  <c r="L41" i="16"/>
  <c r="L70" i="16"/>
  <c r="V72" i="16" s="1"/>
  <c r="L115" i="16"/>
  <c r="L135" i="16"/>
  <c r="L12" i="16"/>
  <c r="L28" i="16"/>
  <c r="L44" i="16"/>
  <c r="L77" i="16"/>
  <c r="V79" i="16" s="1"/>
  <c r="L86" i="16"/>
  <c r="L89" i="16"/>
  <c r="L100" i="16"/>
  <c r="L132" i="16"/>
  <c r="L139" i="16"/>
  <c r="L197" i="16"/>
  <c r="L304" i="16"/>
  <c r="V86" i="16" s="1"/>
  <c r="L67" i="16"/>
  <c r="V69" i="16" s="1"/>
  <c r="L122" i="16"/>
  <c r="L164" i="16"/>
  <c r="L204" i="16"/>
  <c r="L13" i="16"/>
  <c r="L29" i="16"/>
  <c r="L45" i="16"/>
  <c r="L104" i="16"/>
  <c r="L133" i="16"/>
  <c r="L140" i="16"/>
  <c r="L147" i="16"/>
  <c r="L316" i="16"/>
  <c r="V98" i="16" s="1"/>
  <c r="L33" i="16"/>
  <c r="L130" i="16"/>
  <c r="L9" i="16"/>
  <c r="L17" i="16"/>
  <c r="L23" i="16"/>
  <c r="L39" i="16"/>
  <c r="L49" i="16"/>
  <c r="L52" i="16"/>
  <c r="L72" i="16"/>
  <c r="V74" i="16" s="1"/>
  <c r="L108" i="16"/>
  <c r="L120" i="16"/>
  <c r="L137" i="16"/>
  <c r="L144" i="16"/>
  <c r="L151" i="16"/>
  <c r="L173" i="16"/>
  <c r="L179" i="16"/>
  <c r="L195" i="16"/>
  <c r="L219" i="16"/>
  <c r="L235" i="16"/>
  <c r="L238" i="16"/>
  <c r="L267" i="16"/>
  <c r="L270" i="16"/>
  <c r="L307" i="16"/>
  <c r="V89" i="16" s="1"/>
  <c r="L36" i="16"/>
  <c r="V81" i="16"/>
  <c r="V93" i="16"/>
  <c r="V102" i="16"/>
  <c r="L15" i="16"/>
  <c r="V70" i="16"/>
  <c r="V73" i="16"/>
  <c r="V77" i="16"/>
  <c r="L113" i="16"/>
  <c r="L198" i="16"/>
  <c r="L312" i="16"/>
  <c r="L55" i="16"/>
  <c r="L65" i="16"/>
  <c r="L87" i="16"/>
  <c r="L96" i="16"/>
  <c r="L129" i="16"/>
  <c r="L7" i="16"/>
  <c r="L60" i="16"/>
  <c r="L63" i="16"/>
  <c r="V71" i="16"/>
  <c r="L83" i="16"/>
  <c r="L116" i="16"/>
  <c r="L156" i="16"/>
  <c r="V66" i="16"/>
  <c r="L3" i="16"/>
  <c r="L47" i="16"/>
  <c r="L210" i="16"/>
  <c r="L229" i="16"/>
  <c r="L240" i="16"/>
  <c r="L192" i="16"/>
  <c r="L202" i="16"/>
  <c r="L290" i="16"/>
  <c r="L146" i="16"/>
  <c r="L200" i="16"/>
  <c r="L232" i="16"/>
  <c r="L236" i="16"/>
  <c r="L154" i="16"/>
  <c r="L184" i="16"/>
  <c r="L284" i="16"/>
  <c r="L138" i="16"/>
  <c r="L280" i="16"/>
  <c r="L282" i="16"/>
  <c r="L299" i="16"/>
  <c r="L168" i="16"/>
  <c r="L296" i="16"/>
  <c r="L248" i="16"/>
  <c r="V97" i="16"/>
  <c r="L155" i="16"/>
  <c r="L213" i="16"/>
  <c r="L216" i="16"/>
  <c r="L283" i="16"/>
  <c r="L322" i="1"/>
  <c r="V83" i="19" l="1"/>
  <c r="N2" i="19" s="1"/>
  <c r="V80" i="18"/>
  <c r="V77" i="18"/>
  <c r="N5" i="18" s="1"/>
  <c r="V93" i="17"/>
  <c r="V97" i="17"/>
  <c r="V101" i="17"/>
  <c r="N2" i="17" s="1"/>
  <c r="M315" i="17" s="1"/>
  <c r="N5" i="17"/>
  <c r="V94" i="16"/>
  <c r="V65" i="16"/>
  <c r="V67" i="16"/>
  <c r="J321" i="1"/>
  <c r="I321" i="1"/>
  <c r="K321" i="1" s="1"/>
  <c r="J320" i="1"/>
  <c r="I320" i="1"/>
  <c r="K320" i="1" s="1"/>
  <c r="J319" i="1"/>
  <c r="I319" i="1"/>
  <c r="K319" i="1" s="1"/>
  <c r="J318" i="1"/>
  <c r="I318" i="1"/>
  <c r="K318" i="1" s="1"/>
  <c r="J317" i="1"/>
  <c r="I317" i="1"/>
  <c r="K317" i="1" s="1"/>
  <c r="J316" i="1"/>
  <c r="I316" i="1"/>
  <c r="K316" i="1" s="1"/>
  <c r="J315" i="1"/>
  <c r="I315" i="1"/>
  <c r="K315" i="1" s="1"/>
  <c r="J314" i="1"/>
  <c r="I314" i="1"/>
  <c r="K314" i="1" s="1"/>
  <c r="J313" i="1"/>
  <c r="I313" i="1"/>
  <c r="J312" i="1"/>
  <c r="I312" i="1"/>
  <c r="K312" i="1" s="1"/>
  <c r="J311" i="1"/>
  <c r="I311" i="1"/>
  <c r="K311" i="1" s="1"/>
  <c r="J310" i="1"/>
  <c r="I310" i="1"/>
  <c r="K310" i="1" s="1"/>
  <c r="J309" i="1"/>
  <c r="I309" i="1"/>
  <c r="K309" i="1" s="1"/>
  <c r="J308" i="1"/>
  <c r="I308" i="1"/>
  <c r="K308" i="1" s="1"/>
  <c r="J307" i="1"/>
  <c r="I307" i="1"/>
  <c r="K307" i="1" s="1"/>
  <c r="J306" i="1"/>
  <c r="I306" i="1"/>
  <c r="K306" i="1" s="1"/>
  <c r="J305" i="1"/>
  <c r="I305" i="1"/>
  <c r="K305" i="1" s="1"/>
  <c r="J304" i="1"/>
  <c r="I304" i="1"/>
  <c r="K304" i="1" s="1"/>
  <c r="J303" i="1"/>
  <c r="I303" i="1"/>
  <c r="K303" i="1" s="1"/>
  <c r="J302" i="1"/>
  <c r="I302" i="1"/>
  <c r="K302" i="1" s="1"/>
  <c r="J301" i="1"/>
  <c r="I301" i="1"/>
  <c r="K301" i="1" s="1"/>
  <c r="J300" i="1"/>
  <c r="I300" i="1"/>
  <c r="K300" i="1" s="1"/>
  <c r="J299" i="1"/>
  <c r="I299" i="1"/>
  <c r="K299" i="1" s="1"/>
  <c r="J298" i="1"/>
  <c r="I298" i="1"/>
  <c r="K298" i="1" s="1"/>
  <c r="J297" i="1"/>
  <c r="I297" i="1"/>
  <c r="K297" i="1" s="1"/>
  <c r="J296" i="1"/>
  <c r="I296" i="1"/>
  <c r="K296" i="1" s="1"/>
  <c r="J295" i="1"/>
  <c r="I295" i="1"/>
  <c r="K295" i="1" s="1"/>
  <c r="J294" i="1"/>
  <c r="I294" i="1"/>
  <c r="K294" i="1" s="1"/>
  <c r="J293" i="1"/>
  <c r="I293" i="1"/>
  <c r="K293" i="1" s="1"/>
  <c r="J292" i="1"/>
  <c r="I292" i="1"/>
  <c r="K292" i="1" s="1"/>
  <c r="J291" i="1"/>
  <c r="I291" i="1"/>
  <c r="K291" i="1" s="1"/>
  <c r="J290" i="1"/>
  <c r="I290" i="1"/>
  <c r="K290" i="1" s="1"/>
  <c r="J289" i="1"/>
  <c r="I289" i="1"/>
  <c r="K289" i="1" s="1"/>
  <c r="J288" i="1"/>
  <c r="I288" i="1"/>
  <c r="K288" i="1" s="1"/>
  <c r="J287" i="1"/>
  <c r="I287" i="1"/>
  <c r="K287" i="1" s="1"/>
  <c r="J286" i="1"/>
  <c r="I286" i="1"/>
  <c r="K286" i="1" s="1"/>
  <c r="J285" i="1"/>
  <c r="I285" i="1"/>
  <c r="K285" i="1" s="1"/>
  <c r="J284" i="1"/>
  <c r="I284" i="1"/>
  <c r="K284" i="1" s="1"/>
  <c r="J283" i="1"/>
  <c r="I283" i="1"/>
  <c r="J282" i="1"/>
  <c r="I282" i="1"/>
  <c r="K282" i="1" s="1"/>
  <c r="J281" i="1"/>
  <c r="I281" i="1"/>
  <c r="K281" i="1" s="1"/>
  <c r="J280" i="1"/>
  <c r="I280" i="1"/>
  <c r="K280" i="1" s="1"/>
  <c r="J279" i="1"/>
  <c r="I279" i="1"/>
  <c r="K279" i="1" s="1"/>
  <c r="J278" i="1"/>
  <c r="I278" i="1"/>
  <c r="K278" i="1" s="1"/>
  <c r="J277" i="1"/>
  <c r="I277" i="1"/>
  <c r="K277" i="1" s="1"/>
  <c r="J276" i="1"/>
  <c r="I276" i="1"/>
  <c r="K276" i="1" s="1"/>
  <c r="J275" i="1"/>
  <c r="I275" i="1"/>
  <c r="K275" i="1" s="1"/>
  <c r="J274" i="1"/>
  <c r="I274" i="1"/>
  <c r="K274" i="1" s="1"/>
  <c r="J273" i="1"/>
  <c r="I273" i="1"/>
  <c r="K273" i="1" s="1"/>
  <c r="J272" i="1"/>
  <c r="I272" i="1"/>
  <c r="K272" i="1" s="1"/>
  <c r="J271" i="1"/>
  <c r="I271" i="1"/>
  <c r="K271" i="1" s="1"/>
  <c r="J270" i="1"/>
  <c r="I270" i="1"/>
  <c r="K270" i="1" s="1"/>
  <c r="J269" i="1"/>
  <c r="I269" i="1"/>
  <c r="J268" i="1"/>
  <c r="I268" i="1"/>
  <c r="K268" i="1" s="1"/>
  <c r="J267" i="1"/>
  <c r="I267" i="1"/>
  <c r="K267" i="1" s="1"/>
  <c r="J266" i="1"/>
  <c r="I266" i="1"/>
  <c r="K266" i="1" s="1"/>
  <c r="J265" i="1"/>
  <c r="I265" i="1"/>
  <c r="J264" i="1"/>
  <c r="I264" i="1"/>
  <c r="K264" i="1" s="1"/>
  <c r="J263" i="1"/>
  <c r="I263" i="1"/>
  <c r="J262" i="1"/>
  <c r="I262" i="1"/>
  <c r="K262" i="1" s="1"/>
  <c r="J261" i="1"/>
  <c r="I261" i="1"/>
  <c r="K261" i="1" s="1"/>
  <c r="J260" i="1"/>
  <c r="I260" i="1"/>
  <c r="K260" i="1" s="1"/>
  <c r="J259" i="1"/>
  <c r="I259" i="1"/>
  <c r="K259" i="1" s="1"/>
  <c r="J258" i="1"/>
  <c r="I258" i="1"/>
  <c r="K258" i="1" s="1"/>
  <c r="J257" i="1"/>
  <c r="I257" i="1"/>
  <c r="J256" i="1"/>
  <c r="I256" i="1"/>
  <c r="K256" i="1" s="1"/>
  <c r="J255" i="1"/>
  <c r="I255" i="1"/>
  <c r="K255" i="1" s="1"/>
  <c r="J254" i="1"/>
  <c r="I254" i="1"/>
  <c r="K254" i="1" s="1"/>
  <c r="J253" i="1"/>
  <c r="I253" i="1"/>
  <c r="K253" i="1" s="1"/>
  <c r="J252" i="1"/>
  <c r="I252" i="1"/>
  <c r="K252" i="1" s="1"/>
  <c r="J251" i="1"/>
  <c r="I251" i="1"/>
  <c r="K251" i="1" s="1"/>
  <c r="J250" i="1"/>
  <c r="I250" i="1"/>
  <c r="J249" i="1"/>
  <c r="I249" i="1"/>
  <c r="J248" i="1"/>
  <c r="I248" i="1"/>
  <c r="K248" i="1" s="1"/>
  <c r="J247" i="1"/>
  <c r="I247" i="1"/>
  <c r="K247" i="1" s="1"/>
  <c r="J246" i="1"/>
  <c r="I246" i="1"/>
  <c r="K246" i="1" s="1"/>
  <c r="J245" i="1"/>
  <c r="I245" i="1"/>
  <c r="J244" i="1"/>
  <c r="I244" i="1"/>
  <c r="K244" i="1" s="1"/>
  <c r="J243" i="1"/>
  <c r="I243" i="1"/>
  <c r="K243" i="1" s="1"/>
  <c r="J242" i="1"/>
  <c r="I242" i="1"/>
  <c r="K242" i="1" s="1"/>
  <c r="J241" i="1"/>
  <c r="I241" i="1"/>
  <c r="K241" i="1" s="1"/>
  <c r="J240" i="1"/>
  <c r="I240" i="1"/>
  <c r="K240" i="1" s="1"/>
  <c r="J239" i="1"/>
  <c r="I239" i="1"/>
  <c r="K239" i="1" s="1"/>
  <c r="J238" i="1"/>
  <c r="I238" i="1"/>
  <c r="K238" i="1" s="1"/>
  <c r="J237" i="1"/>
  <c r="I237" i="1"/>
  <c r="K237" i="1" s="1"/>
  <c r="J236" i="1"/>
  <c r="I236" i="1"/>
  <c r="K236" i="1" s="1"/>
  <c r="J235" i="1"/>
  <c r="I235" i="1"/>
  <c r="K235" i="1" s="1"/>
  <c r="J234" i="1"/>
  <c r="I234" i="1"/>
  <c r="K234" i="1" s="1"/>
  <c r="J233" i="1"/>
  <c r="I233" i="1"/>
  <c r="J232" i="1"/>
  <c r="I232" i="1"/>
  <c r="K232" i="1" s="1"/>
  <c r="J231" i="1"/>
  <c r="I231" i="1"/>
  <c r="J230" i="1"/>
  <c r="I230" i="1"/>
  <c r="J229" i="1"/>
  <c r="I229" i="1"/>
  <c r="J228" i="1"/>
  <c r="I228" i="1"/>
  <c r="K228" i="1" s="1"/>
  <c r="J227" i="1"/>
  <c r="I227" i="1"/>
  <c r="K227" i="1" s="1"/>
  <c r="J226" i="1"/>
  <c r="I226" i="1"/>
  <c r="K226" i="1" s="1"/>
  <c r="J225" i="1"/>
  <c r="I225" i="1"/>
  <c r="K225" i="1" s="1"/>
  <c r="J224" i="1"/>
  <c r="I224" i="1"/>
  <c r="K224" i="1" s="1"/>
  <c r="J223" i="1"/>
  <c r="I223" i="1"/>
  <c r="K223" i="1" s="1"/>
  <c r="J222" i="1"/>
  <c r="I222" i="1"/>
  <c r="K222" i="1" s="1"/>
  <c r="J221" i="1"/>
  <c r="I221" i="1"/>
  <c r="K221" i="1" s="1"/>
  <c r="J220" i="1"/>
  <c r="I220" i="1"/>
  <c r="J219" i="1"/>
  <c r="I219" i="1"/>
  <c r="K219" i="1" s="1"/>
  <c r="J218" i="1"/>
  <c r="I218" i="1"/>
  <c r="K218" i="1" s="1"/>
  <c r="J217" i="1"/>
  <c r="I217" i="1"/>
  <c r="K217" i="1" s="1"/>
  <c r="J216" i="1"/>
  <c r="I216" i="1"/>
  <c r="K216" i="1" s="1"/>
  <c r="J215" i="1"/>
  <c r="I215" i="1"/>
  <c r="K215" i="1" s="1"/>
  <c r="J214" i="1"/>
  <c r="I214" i="1"/>
  <c r="K214" i="1" s="1"/>
  <c r="J213" i="1"/>
  <c r="I213" i="1"/>
  <c r="K213" i="1" s="1"/>
  <c r="J212" i="1"/>
  <c r="I212" i="1"/>
  <c r="K212" i="1" s="1"/>
  <c r="J211" i="1"/>
  <c r="I211" i="1"/>
  <c r="J210" i="1"/>
  <c r="I210" i="1"/>
  <c r="K210" i="1" s="1"/>
  <c r="J209" i="1"/>
  <c r="I209" i="1"/>
  <c r="K209" i="1" s="1"/>
  <c r="J208" i="1"/>
  <c r="I208" i="1"/>
  <c r="K208" i="1" s="1"/>
  <c r="J207" i="1"/>
  <c r="I207" i="1"/>
  <c r="K207" i="1" s="1"/>
  <c r="J206" i="1"/>
  <c r="I206" i="1"/>
  <c r="K206" i="1" s="1"/>
  <c r="J205" i="1"/>
  <c r="I205" i="1"/>
  <c r="J204" i="1"/>
  <c r="I204" i="1"/>
  <c r="K204" i="1" s="1"/>
  <c r="J203" i="1"/>
  <c r="I203" i="1"/>
  <c r="K203" i="1" s="1"/>
  <c r="J202" i="1"/>
  <c r="I202" i="1"/>
  <c r="K202" i="1" s="1"/>
  <c r="J201" i="1"/>
  <c r="I201" i="1"/>
  <c r="K201" i="1" s="1"/>
  <c r="J200" i="1"/>
  <c r="I200" i="1"/>
  <c r="K200" i="1" s="1"/>
  <c r="J199" i="1"/>
  <c r="I199" i="1"/>
  <c r="K199" i="1" s="1"/>
  <c r="J198" i="1"/>
  <c r="I198" i="1"/>
  <c r="K198" i="1" s="1"/>
  <c r="J197" i="1"/>
  <c r="I197" i="1"/>
  <c r="K197" i="1" s="1"/>
  <c r="J196" i="1"/>
  <c r="I196" i="1"/>
  <c r="K196" i="1" s="1"/>
  <c r="J195" i="1"/>
  <c r="I195" i="1"/>
  <c r="J194" i="1"/>
  <c r="I194" i="1"/>
  <c r="K194" i="1" s="1"/>
  <c r="J193" i="1"/>
  <c r="I193" i="1"/>
  <c r="K193" i="1" s="1"/>
  <c r="J192" i="1"/>
  <c r="I192" i="1"/>
  <c r="J191" i="1"/>
  <c r="I191" i="1"/>
  <c r="K191" i="1" s="1"/>
  <c r="J190" i="1"/>
  <c r="I190" i="1"/>
  <c r="K190" i="1" s="1"/>
  <c r="J189" i="1"/>
  <c r="I189" i="1"/>
  <c r="K189" i="1" s="1"/>
  <c r="J188" i="1"/>
  <c r="I188" i="1"/>
  <c r="K188" i="1" s="1"/>
  <c r="J187" i="1"/>
  <c r="I187" i="1"/>
  <c r="K187" i="1" s="1"/>
  <c r="J186" i="1"/>
  <c r="I186" i="1"/>
  <c r="K186" i="1" s="1"/>
  <c r="J185" i="1"/>
  <c r="I185" i="1"/>
  <c r="K185" i="1" s="1"/>
  <c r="J184" i="1"/>
  <c r="I184" i="1"/>
  <c r="J183" i="1"/>
  <c r="I183" i="1"/>
  <c r="K183" i="1" s="1"/>
  <c r="J182" i="1"/>
  <c r="I182" i="1"/>
  <c r="K182" i="1" s="1"/>
  <c r="J181" i="1"/>
  <c r="I181" i="1"/>
  <c r="K181" i="1" s="1"/>
  <c r="J180" i="1"/>
  <c r="I180" i="1"/>
  <c r="K180" i="1" s="1"/>
  <c r="J179" i="1"/>
  <c r="I179" i="1"/>
  <c r="K179" i="1" s="1"/>
  <c r="J178" i="1"/>
  <c r="I178" i="1"/>
  <c r="K178" i="1" s="1"/>
  <c r="J177" i="1"/>
  <c r="I177" i="1"/>
  <c r="K177" i="1" s="1"/>
  <c r="J176" i="1"/>
  <c r="I176" i="1"/>
  <c r="K176" i="1" s="1"/>
  <c r="J175" i="1"/>
  <c r="I175" i="1"/>
  <c r="J174" i="1"/>
  <c r="I174" i="1"/>
  <c r="K174" i="1" s="1"/>
  <c r="J173" i="1"/>
  <c r="I173" i="1"/>
  <c r="K173" i="1" s="1"/>
  <c r="J172" i="1"/>
  <c r="I172" i="1"/>
  <c r="K172" i="1" s="1"/>
  <c r="J171" i="1"/>
  <c r="I171" i="1"/>
  <c r="K171" i="1" s="1"/>
  <c r="J170" i="1"/>
  <c r="I170" i="1"/>
  <c r="K170" i="1" s="1"/>
  <c r="J169" i="1"/>
  <c r="I169" i="1"/>
  <c r="K169" i="1" s="1"/>
  <c r="J168" i="1"/>
  <c r="I168" i="1"/>
  <c r="J167" i="1"/>
  <c r="I167" i="1"/>
  <c r="K167" i="1" s="1"/>
  <c r="J166" i="1"/>
  <c r="I166" i="1"/>
  <c r="K166" i="1" s="1"/>
  <c r="J165" i="1"/>
  <c r="I165" i="1"/>
  <c r="K165" i="1" s="1"/>
  <c r="J164" i="1"/>
  <c r="I164" i="1"/>
  <c r="K164" i="1" s="1"/>
  <c r="J163" i="1"/>
  <c r="I163" i="1"/>
  <c r="K163" i="1" s="1"/>
  <c r="J162" i="1"/>
  <c r="I162" i="1"/>
  <c r="K162" i="1" s="1"/>
  <c r="J161" i="1"/>
  <c r="I161" i="1"/>
  <c r="K161" i="1" s="1"/>
  <c r="J160" i="1"/>
  <c r="I160" i="1"/>
  <c r="K160" i="1" s="1"/>
  <c r="J159" i="1"/>
  <c r="I159" i="1"/>
  <c r="K159" i="1" s="1"/>
  <c r="J158" i="1"/>
  <c r="I158" i="1"/>
  <c r="K158" i="1" s="1"/>
  <c r="J157" i="1"/>
  <c r="I157" i="1"/>
  <c r="K157" i="1" s="1"/>
  <c r="J156" i="1"/>
  <c r="I156" i="1"/>
  <c r="K156" i="1" s="1"/>
  <c r="J155" i="1"/>
  <c r="I155" i="1"/>
  <c r="J154" i="1"/>
  <c r="I154" i="1"/>
  <c r="K154" i="1" s="1"/>
  <c r="J153" i="1"/>
  <c r="I153" i="1"/>
  <c r="K153" i="1" s="1"/>
  <c r="J152" i="1"/>
  <c r="I152" i="1"/>
  <c r="K152" i="1" s="1"/>
  <c r="J151" i="1"/>
  <c r="I151" i="1"/>
  <c r="K151" i="1" s="1"/>
  <c r="J150" i="1"/>
  <c r="I150" i="1"/>
  <c r="J149" i="1"/>
  <c r="I149" i="1"/>
  <c r="J148" i="1"/>
  <c r="I148" i="1"/>
  <c r="K148" i="1" s="1"/>
  <c r="J147" i="1"/>
  <c r="I147" i="1"/>
  <c r="J146" i="1"/>
  <c r="I146" i="1"/>
  <c r="K146" i="1" s="1"/>
  <c r="J145" i="1"/>
  <c r="I145" i="1"/>
  <c r="J144" i="1"/>
  <c r="I144" i="1"/>
  <c r="K144" i="1" s="1"/>
  <c r="J143" i="1"/>
  <c r="I143" i="1"/>
  <c r="J142" i="1"/>
  <c r="I142" i="1"/>
  <c r="K142" i="1" s="1"/>
  <c r="J141" i="1"/>
  <c r="I141" i="1"/>
  <c r="K141" i="1" s="1"/>
  <c r="J140" i="1"/>
  <c r="I140" i="1"/>
  <c r="K140" i="1" s="1"/>
  <c r="J139" i="1"/>
  <c r="I139" i="1"/>
  <c r="K139" i="1" s="1"/>
  <c r="J138" i="1"/>
  <c r="I138" i="1"/>
  <c r="K138" i="1" s="1"/>
  <c r="J137" i="1"/>
  <c r="I137" i="1"/>
  <c r="K137" i="1" s="1"/>
  <c r="J136" i="1"/>
  <c r="I136" i="1"/>
  <c r="K136" i="1" s="1"/>
  <c r="J135" i="1"/>
  <c r="I135" i="1"/>
  <c r="K135" i="1" s="1"/>
  <c r="J134" i="1"/>
  <c r="I134" i="1"/>
  <c r="K134" i="1" s="1"/>
  <c r="J133" i="1"/>
  <c r="I133" i="1"/>
  <c r="K133" i="1" s="1"/>
  <c r="J132" i="1"/>
  <c r="I132" i="1"/>
  <c r="K132" i="1" s="1"/>
  <c r="J131" i="1"/>
  <c r="I131" i="1"/>
  <c r="K131" i="1" s="1"/>
  <c r="J130" i="1"/>
  <c r="I130" i="1"/>
  <c r="J129" i="1"/>
  <c r="I129" i="1"/>
  <c r="J128" i="1"/>
  <c r="I128" i="1"/>
  <c r="K128" i="1" s="1"/>
  <c r="J127" i="1"/>
  <c r="I127" i="1"/>
  <c r="K127" i="1" s="1"/>
  <c r="J126" i="1"/>
  <c r="I126" i="1"/>
  <c r="K126" i="1" s="1"/>
  <c r="J125" i="1"/>
  <c r="I125" i="1"/>
  <c r="K125" i="1" s="1"/>
  <c r="J124" i="1"/>
  <c r="I124" i="1"/>
  <c r="J123" i="1"/>
  <c r="I123" i="1"/>
  <c r="K123" i="1" s="1"/>
  <c r="J122" i="1"/>
  <c r="I122" i="1"/>
  <c r="K122" i="1" s="1"/>
  <c r="J121" i="1"/>
  <c r="I121" i="1"/>
  <c r="K121" i="1" s="1"/>
  <c r="J120" i="1"/>
  <c r="I120" i="1"/>
  <c r="K120" i="1" s="1"/>
  <c r="J119" i="1"/>
  <c r="I119" i="1"/>
  <c r="K119" i="1" s="1"/>
  <c r="J118" i="1"/>
  <c r="I118" i="1"/>
  <c r="K118" i="1" s="1"/>
  <c r="J117" i="1"/>
  <c r="I117" i="1"/>
  <c r="K117" i="1" s="1"/>
  <c r="J116" i="1"/>
  <c r="I116" i="1"/>
  <c r="K116" i="1" s="1"/>
  <c r="J115" i="1"/>
  <c r="I115" i="1"/>
  <c r="K115" i="1" s="1"/>
  <c r="J114" i="1"/>
  <c r="I114" i="1"/>
  <c r="K114" i="1" s="1"/>
  <c r="J113" i="1"/>
  <c r="I113" i="1"/>
  <c r="K113" i="1" s="1"/>
  <c r="J112" i="1"/>
  <c r="I112" i="1"/>
  <c r="K112" i="1" s="1"/>
  <c r="J111" i="1"/>
  <c r="I111" i="1"/>
  <c r="J110" i="1"/>
  <c r="I110" i="1"/>
  <c r="J109" i="1"/>
  <c r="I109" i="1"/>
  <c r="J108" i="1"/>
  <c r="I108" i="1"/>
  <c r="K108" i="1" s="1"/>
  <c r="J107" i="1"/>
  <c r="I107" i="1"/>
  <c r="K107" i="1" s="1"/>
  <c r="J106" i="1"/>
  <c r="I106" i="1"/>
  <c r="K106" i="1" s="1"/>
  <c r="J105" i="1"/>
  <c r="I105" i="1"/>
  <c r="J104" i="1"/>
  <c r="I104" i="1"/>
  <c r="K104" i="1" s="1"/>
  <c r="J103" i="1"/>
  <c r="I103" i="1"/>
  <c r="J102" i="1"/>
  <c r="I102" i="1"/>
  <c r="K102" i="1" s="1"/>
  <c r="J101" i="1"/>
  <c r="I101" i="1"/>
  <c r="K101" i="1" s="1"/>
  <c r="J100" i="1"/>
  <c r="I100" i="1"/>
  <c r="K100" i="1" s="1"/>
  <c r="J99" i="1"/>
  <c r="I99" i="1"/>
  <c r="K99" i="1" s="1"/>
  <c r="J98" i="1"/>
  <c r="I98" i="1"/>
  <c r="K98" i="1" s="1"/>
  <c r="J97" i="1"/>
  <c r="I97" i="1"/>
  <c r="K97" i="1" s="1"/>
  <c r="J96" i="1"/>
  <c r="I96" i="1"/>
  <c r="K96" i="1" s="1"/>
  <c r="J95" i="1"/>
  <c r="I95" i="1"/>
  <c r="K95" i="1" s="1"/>
  <c r="L95" i="1" s="1"/>
  <c r="J94" i="1"/>
  <c r="I94" i="1"/>
  <c r="K94" i="1" s="1"/>
  <c r="J93" i="1"/>
  <c r="I93" i="1"/>
  <c r="K93" i="1" s="1"/>
  <c r="J92" i="1"/>
  <c r="I92" i="1"/>
  <c r="K92" i="1" s="1"/>
  <c r="J91" i="1"/>
  <c r="I91" i="1"/>
  <c r="K91" i="1" s="1"/>
  <c r="J90" i="1"/>
  <c r="I90" i="1"/>
  <c r="K90" i="1" s="1"/>
  <c r="J89" i="1"/>
  <c r="I89" i="1"/>
  <c r="K89" i="1" s="1"/>
  <c r="J88" i="1"/>
  <c r="I88" i="1"/>
  <c r="K88" i="1" s="1"/>
  <c r="J87" i="1"/>
  <c r="I87" i="1"/>
  <c r="K87" i="1" s="1"/>
  <c r="J86" i="1"/>
  <c r="I86" i="1"/>
  <c r="K86" i="1" s="1"/>
  <c r="J85" i="1"/>
  <c r="I85" i="1"/>
  <c r="K85" i="1" s="1"/>
  <c r="J84" i="1"/>
  <c r="I84" i="1"/>
  <c r="K84" i="1" s="1"/>
  <c r="J83" i="1"/>
  <c r="I83" i="1"/>
  <c r="K83" i="1" s="1"/>
  <c r="J82" i="1"/>
  <c r="I82" i="1"/>
  <c r="K82" i="1" s="1"/>
  <c r="J81" i="1"/>
  <c r="I81" i="1"/>
  <c r="K81" i="1" s="1"/>
  <c r="J80" i="1"/>
  <c r="I80" i="1"/>
  <c r="K80" i="1" s="1"/>
  <c r="J79" i="1"/>
  <c r="I79" i="1"/>
  <c r="K79" i="1" s="1"/>
  <c r="J78" i="1"/>
  <c r="I78" i="1"/>
  <c r="K78" i="1" s="1"/>
  <c r="J77" i="1"/>
  <c r="I77" i="1"/>
  <c r="K77" i="1" s="1"/>
  <c r="L77" i="1" s="1"/>
  <c r="J76" i="1"/>
  <c r="I76" i="1"/>
  <c r="K76" i="1" s="1"/>
  <c r="J75" i="1"/>
  <c r="I75" i="1"/>
  <c r="K75" i="1" s="1"/>
  <c r="J74" i="1"/>
  <c r="I74" i="1"/>
  <c r="K74" i="1" s="1"/>
  <c r="J73" i="1"/>
  <c r="I73" i="1"/>
  <c r="K73" i="1" s="1"/>
  <c r="J72" i="1"/>
  <c r="I72" i="1"/>
  <c r="J71" i="1"/>
  <c r="I71" i="1"/>
  <c r="K71" i="1" s="1"/>
  <c r="J70" i="1"/>
  <c r="I70" i="1"/>
  <c r="K70" i="1" s="1"/>
  <c r="J69" i="1"/>
  <c r="I69" i="1"/>
  <c r="K69" i="1" s="1"/>
  <c r="J68" i="1"/>
  <c r="I68" i="1"/>
  <c r="K68" i="1" s="1"/>
  <c r="J67" i="1"/>
  <c r="I67" i="1"/>
  <c r="K67" i="1" s="1"/>
  <c r="J66" i="1"/>
  <c r="I66" i="1"/>
  <c r="K66" i="1" s="1"/>
  <c r="J65" i="1"/>
  <c r="I65" i="1"/>
  <c r="K65" i="1" s="1"/>
  <c r="J64" i="1"/>
  <c r="I64" i="1"/>
  <c r="K64" i="1" s="1"/>
  <c r="J63" i="1"/>
  <c r="I63" i="1"/>
  <c r="J62" i="1"/>
  <c r="I62" i="1"/>
  <c r="K62" i="1" s="1"/>
  <c r="J61" i="1"/>
  <c r="I61" i="1"/>
  <c r="K61" i="1" s="1"/>
  <c r="J60" i="1"/>
  <c r="I60" i="1"/>
  <c r="J59" i="1"/>
  <c r="I59" i="1"/>
  <c r="K59" i="1" s="1"/>
  <c r="J58" i="1"/>
  <c r="I58" i="1"/>
  <c r="K58" i="1" s="1"/>
  <c r="J57" i="1"/>
  <c r="I57" i="1"/>
  <c r="K57" i="1" s="1"/>
  <c r="J56" i="1"/>
  <c r="I56" i="1"/>
  <c r="K56" i="1" s="1"/>
  <c r="J55" i="1"/>
  <c r="I55" i="1"/>
  <c r="K55" i="1" s="1"/>
  <c r="J54" i="1"/>
  <c r="I54" i="1"/>
  <c r="K54" i="1" s="1"/>
  <c r="J53" i="1"/>
  <c r="I53" i="1"/>
  <c r="K53" i="1" s="1"/>
  <c r="J52" i="1"/>
  <c r="I52" i="1"/>
  <c r="J51" i="1"/>
  <c r="I51" i="1"/>
  <c r="K51" i="1" s="1"/>
  <c r="J50" i="1"/>
  <c r="I50" i="1"/>
  <c r="K50" i="1" s="1"/>
  <c r="J49" i="1"/>
  <c r="I49" i="1"/>
  <c r="K49" i="1" s="1"/>
  <c r="J48" i="1"/>
  <c r="I48" i="1"/>
  <c r="K48" i="1" s="1"/>
  <c r="J47" i="1"/>
  <c r="I47" i="1"/>
  <c r="K47" i="1" s="1"/>
  <c r="J46" i="1"/>
  <c r="I46" i="1"/>
  <c r="K46" i="1" s="1"/>
  <c r="J45" i="1"/>
  <c r="I45" i="1"/>
  <c r="K45" i="1" s="1"/>
  <c r="J44" i="1"/>
  <c r="I44" i="1"/>
  <c r="K44" i="1" s="1"/>
  <c r="J43" i="1"/>
  <c r="I43" i="1"/>
  <c r="J42" i="1"/>
  <c r="I42" i="1"/>
  <c r="K42" i="1" s="1"/>
  <c r="J41" i="1"/>
  <c r="I41" i="1"/>
  <c r="K41" i="1" s="1"/>
  <c r="J40" i="1"/>
  <c r="I40" i="1"/>
  <c r="K40" i="1" s="1"/>
  <c r="J39" i="1"/>
  <c r="I39" i="1"/>
  <c r="K39" i="1" s="1"/>
  <c r="J38" i="1"/>
  <c r="I38" i="1"/>
  <c r="K38" i="1" s="1"/>
  <c r="J37" i="1"/>
  <c r="I37" i="1"/>
  <c r="K37" i="1" s="1"/>
  <c r="J36" i="1"/>
  <c r="I36" i="1"/>
  <c r="K36" i="1" s="1"/>
  <c r="J35" i="1"/>
  <c r="I35" i="1"/>
  <c r="K35" i="1" s="1"/>
  <c r="J34" i="1"/>
  <c r="I34" i="1"/>
  <c r="K34" i="1" s="1"/>
  <c r="J33" i="1"/>
  <c r="I33" i="1"/>
  <c r="K33" i="1" s="1"/>
  <c r="J32" i="1"/>
  <c r="I32" i="1"/>
  <c r="K32" i="1" s="1"/>
  <c r="J31" i="1"/>
  <c r="I31" i="1"/>
  <c r="K31" i="1" s="1"/>
  <c r="J30" i="1"/>
  <c r="I30" i="1"/>
  <c r="J29" i="1"/>
  <c r="I29" i="1"/>
  <c r="K29" i="1" s="1"/>
  <c r="J28" i="1"/>
  <c r="I28" i="1"/>
  <c r="K28" i="1" s="1"/>
  <c r="J27" i="1"/>
  <c r="I27" i="1"/>
  <c r="K27" i="1" s="1"/>
  <c r="J26" i="1"/>
  <c r="I26" i="1"/>
  <c r="K26" i="1" s="1"/>
  <c r="J25" i="1"/>
  <c r="I25" i="1"/>
  <c r="K25" i="1" s="1"/>
  <c r="J24" i="1"/>
  <c r="I24" i="1"/>
  <c r="K24" i="1" s="1"/>
  <c r="J23" i="1"/>
  <c r="I23" i="1"/>
  <c r="J22" i="1"/>
  <c r="I22" i="1"/>
  <c r="K22" i="1" s="1"/>
  <c r="J21" i="1"/>
  <c r="I21" i="1"/>
  <c r="K21" i="1" s="1"/>
  <c r="J20" i="1"/>
  <c r="I20" i="1"/>
  <c r="K20" i="1" s="1"/>
  <c r="J19" i="1"/>
  <c r="I19" i="1"/>
  <c r="K19" i="1" s="1"/>
  <c r="J18" i="1"/>
  <c r="I18" i="1"/>
  <c r="K18" i="1" s="1"/>
  <c r="J17" i="1"/>
  <c r="I17" i="1"/>
  <c r="K17" i="1" s="1"/>
  <c r="J16" i="1"/>
  <c r="I16" i="1"/>
  <c r="K16" i="1" s="1"/>
  <c r="J15" i="1"/>
  <c r="I15" i="1"/>
  <c r="K15" i="1" s="1"/>
  <c r="J14" i="1"/>
  <c r="I14" i="1"/>
  <c r="K14" i="1" s="1"/>
  <c r="J13" i="1"/>
  <c r="I13" i="1"/>
  <c r="K13" i="1" s="1"/>
  <c r="J12" i="1"/>
  <c r="I12" i="1"/>
  <c r="K12" i="1" s="1"/>
  <c r="J11" i="1"/>
  <c r="I11" i="1"/>
  <c r="J10" i="1"/>
  <c r="I10" i="1"/>
  <c r="K10" i="1" s="1"/>
  <c r="J9" i="1"/>
  <c r="I9" i="1"/>
  <c r="K9" i="1" s="1"/>
  <c r="J8" i="1"/>
  <c r="I8" i="1"/>
  <c r="K8" i="1" s="1"/>
  <c r="J7" i="1"/>
  <c r="I7" i="1"/>
  <c r="K7" i="1" s="1"/>
  <c r="J6" i="1"/>
  <c r="I6" i="1"/>
  <c r="K6" i="1" s="1"/>
  <c r="J5" i="1"/>
  <c r="I5" i="1"/>
  <c r="K5" i="1" s="1"/>
  <c r="J4" i="1"/>
  <c r="I4" i="1"/>
  <c r="J3" i="1"/>
  <c r="I3" i="1"/>
  <c r="J2" i="1"/>
  <c r="I2" i="1"/>
  <c r="K2" i="1" s="1"/>
  <c r="M185" i="19" l="1"/>
  <c r="M169" i="19"/>
  <c r="M201" i="19"/>
  <c r="M197" i="19"/>
  <c r="M181" i="19"/>
  <c r="M313" i="19"/>
  <c r="M297" i="19"/>
  <c r="M281" i="19"/>
  <c r="M265" i="19"/>
  <c r="M249" i="19"/>
  <c r="M233" i="19"/>
  <c r="M217" i="19"/>
  <c r="M88" i="19"/>
  <c r="M108" i="19"/>
  <c r="M35" i="19"/>
  <c r="M19" i="19"/>
  <c r="M86" i="19"/>
  <c r="M31" i="19"/>
  <c r="M15" i="19"/>
  <c r="M11" i="19"/>
  <c r="M34" i="19"/>
  <c r="M29" i="19"/>
  <c r="M85" i="19"/>
  <c r="M66" i="19"/>
  <c r="M68" i="19"/>
  <c r="M10" i="19"/>
  <c r="M62" i="19"/>
  <c r="M117" i="19"/>
  <c r="M100" i="19"/>
  <c r="M8" i="19"/>
  <c r="M109" i="19"/>
  <c r="M133" i="19"/>
  <c r="M124" i="19"/>
  <c r="M167" i="19"/>
  <c r="M149" i="19"/>
  <c r="M245" i="19"/>
  <c r="M141" i="19"/>
  <c r="M289" i="19"/>
  <c r="M200" i="19"/>
  <c r="M80" i="19"/>
  <c r="M175" i="19"/>
  <c r="M213" i="19"/>
  <c r="M165" i="19"/>
  <c r="M214" i="19"/>
  <c r="M259" i="19"/>
  <c r="M300" i="19"/>
  <c r="M231" i="19"/>
  <c r="M272" i="19"/>
  <c r="M314" i="19"/>
  <c r="M228" i="19"/>
  <c r="M270" i="19"/>
  <c r="M315" i="19"/>
  <c r="M216" i="19"/>
  <c r="M258" i="19"/>
  <c r="M303" i="19"/>
  <c r="M74" i="19"/>
  <c r="M131" i="19"/>
  <c r="M95" i="19"/>
  <c r="M184" i="19"/>
  <c r="M168" i="19"/>
  <c r="M262" i="19"/>
  <c r="M307" i="19"/>
  <c r="M234" i="19"/>
  <c r="M279" i="19"/>
  <c r="M320" i="19"/>
  <c r="M235" i="19"/>
  <c r="M318" i="19"/>
  <c r="M223" i="19"/>
  <c r="M264" i="19"/>
  <c r="M306" i="19"/>
  <c r="M194" i="19"/>
  <c r="M41" i="19"/>
  <c r="M36" i="19"/>
  <c r="M76" i="19"/>
  <c r="M47" i="19"/>
  <c r="M166" i="19"/>
  <c r="M285" i="19"/>
  <c r="M63" i="19"/>
  <c r="M176" i="19"/>
  <c r="M269" i="19"/>
  <c r="M298" i="19"/>
  <c r="M299" i="19"/>
  <c r="M16" i="19"/>
  <c r="M158" i="19"/>
  <c r="M304" i="19"/>
  <c r="M248" i="19"/>
  <c r="M22" i="19"/>
  <c r="M183" i="19"/>
  <c r="M211" i="19"/>
  <c r="M266" i="19"/>
  <c r="M308" i="19"/>
  <c r="M296" i="19"/>
  <c r="M7" i="19"/>
  <c r="M32" i="19"/>
  <c r="M87" i="19"/>
  <c r="M17" i="19"/>
  <c r="M2" i="19"/>
  <c r="M102" i="19"/>
  <c r="M14" i="19"/>
  <c r="M9" i="19"/>
  <c r="M69" i="19"/>
  <c r="M142" i="19"/>
  <c r="M146" i="19"/>
  <c r="M177" i="19"/>
  <c r="M195" i="19"/>
  <c r="M309" i="19"/>
  <c r="M144" i="19"/>
  <c r="M321" i="19"/>
  <c r="M229" i="19"/>
  <c r="M122" i="19"/>
  <c r="M220" i="19"/>
  <c r="M276" i="19"/>
  <c r="M64" i="19"/>
  <c r="M103" i="19"/>
  <c r="M125" i="19"/>
  <c r="M123" i="19"/>
  <c r="M256" i="19"/>
  <c r="M287" i="19"/>
  <c r="M28" i="19"/>
  <c r="M61" i="19"/>
  <c r="M77" i="19"/>
  <c r="M114" i="19"/>
  <c r="M38" i="19"/>
  <c r="M92" i="19"/>
  <c r="M4" i="19"/>
  <c r="M75" i="19"/>
  <c r="M20" i="19"/>
  <c r="M79" i="19"/>
  <c r="M112" i="19"/>
  <c r="M21" i="19"/>
  <c r="M57" i="19"/>
  <c r="M84" i="19"/>
  <c r="M172" i="19"/>
  <c r="M203" i="19"/>
  <c r="M187" i="19"/>
  <c r="M241" i="19"/>
  <c r="M140" i="19"/>
  <c r="M150" i="19"/>
  <c r="M126" i="19"/>
  <c r="M147" i="19"/>
  <c r="M261" i="19"/>
  <c r="M173" i="19"/>
  <c r="M129" i="19"/>
  <c r="M204" i="19"/>
  <c r="M137" i="19"/>
  <c r="M188" i="19"/>
  <c r="M227" i="19"/>
  <c r="M268" i="19"/>
  <c r="M310" i="19"/>
  <c r="M240" i="19"/>
  <c r="M282" i="19"/>
  <c r="M174" i="19"/>
  <c r="M238" i="19"/>
  <c r="M283" i="19"/>
  <c r="M178" i="19"/>
  <c r="M226" i="19"/>
  <c r="M271" i="19"/>
  <c r="M312" i="19"/>
  <c r="M13" i="19"/>
  <c r="M37" i="19"/>
  <c r="M73" i="19"/>
  <c r="M145" i="19"/>
  <c r="M215" i="19"/>
  <c r="M242" i="19"/>
  <c r="M3" i="19"/>
  <c r="M71" i="19"/>
  <c r="M23" i="19"/>
  <c r="M110" i="19"/>
  <c r="M106" i="19"/>
  <c r="M45" i="19"/>
  <c r="M94" i="19"/>
  <c r="M39" i="19"/>
  <c r="M82" i="19"/>
  <c r="M26" i="19"/>
  <c r="M90" i="19"/>
  <c r="M65" i="19"/>
  <c r="M115" i="19"/>
  <c r="M24" i="19"/>
  <c r="M91" i="19"/>
  <c r="M189" i="19"/>
  <c r="M116" i="19"/>
  <c r="M221" i="19"/>
  <c r="M170" i="19"/>
  <c r="M156" i="19"/>
  <c r="M97" i="19"/>
  <c r="M157" i="19"/>
  <c r="M293" i="19"/>
  <c r="M199" i="19"/>
  <c r="M132" i="19"/>
  <c r="M305" i="19"/>
  <c r="M153" i="19"/>
  <c r="M205" i="19"/>
  <c r="M230" i="19"/>
  <c r="M275" i="19"/>
  <c r="M316" i="19"/>
  <c r="M247" i="19"/>
  <c r="M288" i="19"/>
  <c r="M190" i="19"/>
  <c r="M244" i="19"/>
  <c r="M286" i="19"/>
  <c r="M232" i="19"/>
  <c r="M274" i="19"/>
  <c r="M319" i="19"/>
  <c r="M58" i="19"/>
  <c r="M12" i="19"/>
  <c r="M111" i="19"/>
  <c r="M143" i="19"/>
  <c r="M196" i="19"/>
  <c r="M152" i="19"/>
  <c r="M151" i="19"/>
  <c r="M284" i="19"/>
  <c r="M212" i="19"/>
  <c r="M202" i="19"/>
  <c r="M55" i="19"/>
  <c r="M52" i="19"/>
  <c r="M83" i="19"/>
  <c r="M46" i="19"/>
  <c r="M113" i="19"/>
  <c r="M159" i="19"/>
  <c r="M139" i="19"/>
  <c r="M128" i="19"/>
  <c r="M121" i="19"/>
  <c r="M182" i="19"/>
  <c r="M148" i="19"/>
  <c r="M155" i="19"/>
  <c r="M246" i="19"/>
  <c r="M218" i="19"/>
  <c r="M219" i="19"/>
  <c r="M302" i="19"/>
  <c r="M290" i="19"/>
  <c r="M67" i="19"/>
  <c r="M93" i="19"/>
  <c r="M53" i="19"/>
  <c r="M119" i="19"/>
  <c r="M163" i="19"/>
  <c r="M186" i="19"/>
  <c r="M257" i="19"/>
  <c r="M191" i="19"/>
  <c r="M78" i="19"/>
  <c r="M179" i="19"/>
  <c r="M252" i="19"/>
  <c r="M224" i="19"/>
  <c r="M222" i="19"/>
  <c r="M210" i="19"/>
  <c r="M27" i="19"/>
  <c r="M6" i="19"/>
  <c r="M54" i="19"/>
  <c r="M99" i="19"/>
  <c r="M42" i="19"/>
  <c r="M107" i="19"/>
  <c r="M33" i="19"/>
  <c r="M105" i="19"/>
  <c r="M25" i="19"/>
  <c r="M30" i="19"/>
  <c r="M98" i="19"/>
  <c r="M273" i="19"/>
  <c r="M127" i="19"/>
  <c r="M253" i="19"/>
  <c r="M193" i="19"/>
  <c r="M171" i="19"/>
  <c r="M162" i="19"/>
  <c r="M160" i="19"/>
  <c r="M136" i="19"/>
  <c r="M130" i="19"/>
  <c r="M138" i="19"/>
  <c r="M135" i="19"/>
  <c r="M237" i="19"/>
  <c r="M236" i="19"/>
  <c r="M278" i="19"/>
  <c r="M208" i="19"/>
  <c r="M250" i="19"/>
  <c r="M295" i="19"/>
  <c r="M206" i="19"/>
  <c r="M251" i="19"/>
  <c r="M292" i="19"/>
  <c r="M198" i="19"/>
  <c r="M239" i="19"/>
  <c r="M280" i="19"/>
  <c r="M322" i="19"/>
  <c r="M104" i="19"/>
  <c r="M164" i="19"/>
  <c r="M243" i="19"/>
  <c r="M254" i="19"/>
  <c r="M49" i="19"/>
  <c r="M44" i="19"/>
  <c r="M118" i="19"/>
  <c r="M70" i="19"/>
  <c r="M50" i="19"/>
  <c r="M192" i="19"/>
  <c r="M317" i="19"/>
  <c r="M225" i="19"/>
  <c r="M180" i="19"/>
  <c r="M72" i="19"/>
  <c r="M301" i="19"/>
  <c r="M291" i="19"/>
  <c r="M263" i="19"/>
  <c r="M260" i="19"/>
  <c r="M207" i="19"/>
  <c r="M59" i="19"/>
  <c r="M101" i="19"/>
  <c r="M18" i="19"/>
  <c r="M96" i="19"/>
  <c r="M60" i="19"/>
  <c r="M277" i="19"/>
  <c r="M120" i="19"/>
  <c r="M134" i="19"/>
  <c r="M209" i="19"/>
  <c r="M154" i="19"/>
  <c r="M161" i="19"/>
  <c r="M294" i="19"/>
  <c r="M311" i="19"/>
  <c r="M267" i="19"/>
  <c r="M255" i="19"/>
  <c r="M43" i="19"/>
  <c r="M81" i="19"/>
  <c r="M40" i="19"/>
  <c r="M51" i="19"/>
  <c r="M89" i="19"/>
  <c r="M56" i="19"/>
  <c r="M5" i="19"/>
  <c r="M48" i="19"/>
  <c r="N5" i="19"/>
  <c r="N2" i="18"/>
  <c r="M175" i="18" s="1"/>
  <c r="M28" i="17"/>
  <c r="M251" i="17"/>
  <c r="M235" i="17"/>
  <c r="M243" i="17"/>
  <c r="M163" i="17"/>
  <c r="M9" i="17"/>
  <c r="M279" i="17"/>
  <c r="M255" i="17"/>
  <c r="M287" i="17"/>
  <c r="M319" i="17"/>
  <c r="M87" i="17"/>
  <c r="M304" i="17"/>
  <c r="M272" i="17"/>
  <c r="M216" i="17"/>
  <c r="M208" i="17"/>
  <c r="M200" i="17"/>
  <c r="M192" i="17"/>
  <c r="M184" i="17"/>
  <c r="M177" i="17"/>
  <c r="M300" i="17"/>
  <c r="M268" i="17"/>
  <c r="M296" i="17"/>
  <c r="M264" i="17"/>
  <c r="M244" i="17"/>
  <c r="M236" i="17"/>
  <c r="M228" i="17"/>
  <c r="M220" i="17"/>
  <c r="M212" i="17"/>
  <c r="M204" i="17"/>
  <c r="M196" i="17"/>
  <c r="M188" i="17"/>
  <c r="M101" i="17"/>
  <c r="M13" i="17"/>
  <c r="M3" i="17"/>
  <c r="M35" i="17"/>
  <c r="M38" i="17"/>
  <c r="M84" i="17"/>
  <c r="M161" i="17"/>
  <c r="M59" i="17"/>
  <c r="M146" i="17"/>
  <c r="M21" i="17"/>
  <c r="M224" i="17"/>
  <c r="M105" i="17"/>
  <c r="M164" i="17"/>
  <c r="M65" i="17"/>
  <c r="M7" i="17"/>
  <c r="M75" i="17"/>
  <c r="M50" i="17"/>
  <c r="M79" i="17"/>
  <c r="M150" i="17"/>
  <c r="M131" i="17"/>
  <c r="M191" i="17"/>
  <c r="M231" i="17"/>
  <c r="M181" i="17"/>
  <c r="M245" i="17"/>
  <c r="M277" i="17"/>
  <c r="M148" i="17"/>
  <c r="M206" i="17"/>
  <c r="M275" i="17"/>
  <c r="M301" i="17"/>
  <c r="M152" i="17"/>
  <c r="M201" i="17"/>
  <c r="M281" i="17"/>
  <c r="M316" i="17"/>
  <c r="M234" i="17"/>
  <c r="M266" i="17"/>
  <c r="M298" i="17"/>
  <c r="M42" i="17"/>
  <c r="M129" i="17"/>
  <c r="M170" i="17"/>
  <c r="M62" i="17"/>
  <c r="M91" i="17"/>
  <c r="M240" i="17"/>
  <c r="M20" i="17"/>
  <c r="M97" i="17"/>
  <c r="M15" i="17"/>
  <c r="M94" i="17"/>
  <c r="M55" i="17"/>
  <c r="M82" i="17"/>
  <c r="M140" i="17"/>
  <c r="M194" i="17"/>
  <c r="M239" i="17"/>
  <c r="M253" i="17"/>
  <c r="M189" i="17"/>
  <c r="M295" i="17"/>
  <c r="M172" i="17"/>
  <c r="M289" i="17"/>
  <c r="M158" i="17"/>
  <c r="M209" i="17"/>
  <c r="M299" i="17"/>
  <c r="M238" i="17"/>
  <c r="M270" i="17"/>
  <c r="M302" i="17"/>
  <c r="M14" i="17"/>
  <c r="M63" i="17"/>
  <c r="M112" i="17"/>
  <c r="M288" i="17"/>
  <c r="M280" i="17"/>
  <c r="M33" i="17"/>
  <c r="M81" i="17"/>
  <c r="M260" i="17"/>
  <c r="M92" i="17"/>
  <c r="M98" i="17"/>
  <c r="M248" i="17"/>
  <c r="M40" i="17"/>
  <c r="M126" i="17"/>
  <c r="M49" i="17"/>
  <c r="M34" i="17"/>
  <c r="M99" i="17"/>
  <c r="M102" i="17"/>
  <c r="M156" i="17"/>
  <c r="M147" i="17"/>
  <c r="M199" i="17"/>
  <c r="M271" i="17"/>
  <c r="M265" i="17"/>
  <c r="M309" i="17"/>
  <c r="M182" i="17"/>
  <c r="M214" i="17"/>
  <c r="M104" i="17"/>
  <c r="M162" i="17"/>
  <c r="M313" i="17"/>
  <c r="M274" i="17"/>
  <c r="M306" i="17"/>
  <c r="M64" i="17"/>
  <c r="M66" i="17"/>
  <c r="M70" i="17"/>
  <c r="M110" i="17"/>
  <c r="M202" i="17"/>
  <c r="M259" i="17"/>
  <c r="M285" i="17"/>
  <c r="M205" i="17"/>
  <c r="M107" i="17"/>
  <c r="M219" i="17"/>
  <c r="M321" i="17"/>
  <c r="M111" i="17"/>
  <c r="M225" i="17"/>
  <c r="M246" i="17"/>
  <c r="M278" i="17"/>
  <c r="M250" i="17"/>
  <c r="M10" i="17"/>
  <c r="M54" i="17"/>
  <c r="M276" i="17"/>
  <c r="M67" i="17"/>
  <c r="M125" i="17"/>
  <c r="M308" i="17"/>
  <c r="M221" i="17"/>
  <c r="M241" i="17"/>
  <c r="M286" i="17"/>
  <c r="M16" i="17"/>
  <c r="M252" i="17"/>
  <c r="M90" i="17"/>
  <c r="M137" i="17"/>
  <c r="M109" i="17"/>
  <c r="M8" i="17"/>
  <c r="M183" i="17"/>
  <c r="M229" i="17"/>
  <c r="M132" i="17"/>
  <c r="M136" i="17"/>
  <c r="M185" i="17"/>
  <c r="M258" i="17"/>
  <c r="M322" i="17"/>
  <c r="M166" i="17"/>
  <c r="M284" i="17"/>
  <c r="M48" i="17"/>
  <c r="M167" i="17"/>
  <c r="M154" i="17"/>
  <c r="M17" i="17"/>
  <c r="M124" i="17"/>
  <c r="M69" i="17"/>
  <c r="M237" i="17"/>
  <c r="M257" i="17"/>
  <c r="M193" i="17"/>
  <c r="M230" i="17"/>
  <c r="M294" i="17"/>
  <c r="M4" i="17"/>
  <c r="M71" i="17"/>
  <c r="M51" i="17"/>
  <c r="M86" i="17"/>
  <c r="M256" i="17"/>
  <c r="M78" i="17"/>
  <c r="M151" i="17"/>
  <c r="M153" i="17"/>
  <c r="M211" i="17"/>
  <c r="M197" i="17"/>
  <c r="M307" i="17"/>
  <c r="M217" i="17"/>
  <c r="M242" i="17"/>
  <c r="M119" i="17"/>
  <c r="M232" i="17"/>
  <c r="M122" i="17"/>
  <c r="M168" i="17"/>
  <c r="M310" i="17"/>
  <c r="M218" i="17"/>
  <c r="M77" i="17"/>
  <c r="M179" i="17"/>
  <c r="M134" i="17"/>
  <c r="M114" i="17"/>
  <c r="M73" i="17"/>
  <c r="M291" i="17"/>
  <c r="M106" i="17"/>
  <c r="M18" i="17"/>
  <c r="M115" i="17"/>
  <c r="M317" i="17"/>
  <c r="M269" i="17"/>
  <c r="M226" i="17"/>
  <c r="M2" i="17"/>
  <c r="M30" i="17"/>
  <c r="M133" i="17"/>
  <c r="M130" i="17"/>
  <c r="M186" i="17"/>
  <c r="M143" i="17"/>
  <c r="M262" i="17"/>
  <c r="M27" i="17"/>
  <c r="M56" i="17"/>
  <c r="M247" i="17"/>
  <c r="M120" i="17"/>
  <c r="M261" i="17"/>
  <c r="M314" i="17"/>
  <c r="M23" i="17"/>
  <c r="M68" i="17"/>
  <c r="M96" i="17"/>
  <c r="M169" i="17"/>
  <c r="M159" i="17"/>
  <c r="M210" i="17"/>
  <c r="M195" i="17"/>
  <c r="M127" i="17"/>
  <c r="M254" i="17"/>
  <c r="M31" i="17"/>
  <c r="M57" i="17"/>
  <c r="M103" i="17"/>
  <c r="M100" i="17"/>
  <c r="M76" i="17"/>
  <c r="M305" i="17"/>
  <c r="M198" i="17"/>
  <c r="M249" i="17"/>
  <c r="M290" i="17"/>
  <c r="M36" i="17"/>
  <c r="M5" i="17"/>
  <c r="M223" i="17"/>
  <c r="M139" i="17"/>
  <c r="M19" i="17"/>
  <c r="M61" i="17"/>
  <c r="M117" i="17"/>
  <c r="M118" i="17"/>
  <c r="M320" i="17"/>
  <c r="M11" i="17"/>
  <c r="M47" i="17"/>
  <c r="M292" i="17"/>
  <c r="M141" i="17"/>
  <c r="M39" i="17"/>
  <c r="M174" i="17"/>
  <c r="M187" i="17"/>
  <c r="M160" i="17"/>
  <c r="M142" i="17"/>
  <c r="M32" i="17"/>
  <c r="M46" i="17"/>
  <c r="M108" i="17"/>
  <c r="M123" i="17"/>
  <c r="M178" i="17"/>
  <c r="M318" i="17"/>
  <c r="M74" i="17"/>
  <c r="M37" i="17"/>
  <c r="M215" i="17"/>
  <c r="M24" i="17"/>
  <c r="M144" i="17"/>
  <c r="M263" i="17"/>
  <c r="M267" i="17"/>
  <c r="M26" i="17"/>
  <c r="M85" i="17"/>
  <c r="M175" i="17"/>
  <c r="M72" i="17"/>
  <c r="M121" i="17"/>
  <c r="M29" i="17"/>
  <c r="M83" i="17"/>
  <c r="M52" i="17"/>
  <c r="M89" i="17"/>
  <c r="M22" i="17"/>
  <c r="M312" i="17"/>
  <c r="M128" i="17"/>
  <c r="M138" i="17"/>
  <c r="M53" i="17"/>
  <c r="M80" i="17"/>
  <c r="M6" i="17"/>
  <c r="M58" i="17"/>
  <c r="M149" i="17"/>
  <c r="M113" i="17"/>
  <c r="M88" i="17"/>
  <c r="M176" i="17"/>
  <c r="M207" i="17"/>
  <c r="M273" i="17"/>
  <c r="M303" i="17"/>
  <c r="M213" i="17"/>
  <c r="M297" i="17"/>
  <c r="M116" i="17"/>
  <c r="M190" i="17"/>
  <c r="M171" i="17"/>
  <c r="M233" i="17"/>
  <c r="M282" i="17"/>
  <c r="M43" i="17"/>
  <c r="M93" i="17"/>
  <c r="M180" i="17"/>
  <c r="M222" i="17"/>
  <c r="M145" i="17"/>
  <c r="M41" i="17"/>
  <c r="M135" i="17"/>
  <c r="M293" i="17"/>
  <c r="M155" i="17"/>
  <c r="M45" i="17"/>
  <c r="M203" i="17"/>
  <c r="M157" i="17"/>
  <c r="M165" i="17"/>
  <c r="M60" i="17"/>
  <c r="M283" i="17"/>
  <c r="M44" i="17"/>
  <c r="M95" i="17"/>
  <c r="M25" i="17"/>
  <c r="M12" i="17"/>
  <c r="M227" i="17"/>
  <c r="M173" i="17"/>
  <c r="M311" i="17"/>
  <c r="N2" i="16"/>
  <c r="N5" i="16"/>
  <c r="L44" i="1"/>
  <c r="L80" i="1"/>
  <c r="V82" i="1" s="1"/>
  <c r="L100" i="1"/>
  <c r="L144" i="1"/>
  <c r="L188" i="1"/>
  <c r="L208" i="1"/>
  <c r="L232" i="1"/>
  <c r="L252" i="1"/>
  <c r="L272" i="1"/>
  <c r="L292" i="1"/>
  <c r="L97" i="1"/>
  <c r="L14" i="1"/>
  <c r="L70" i="1"/>
  <c r="V72" i="1" s="1"/>
  <c r="L82" i="1"/>
  <c r="L154" i="1"/>
  <c r="L178" i="1"/>
  <c r="L198" i="1"/>
  <c r="L238" i="1"/>
  <c r="L242" i="1"/>
  <c r="L262" i="1"/>
  <c r="L282" i="1"/>
  <c r="L302" i="1"/>
  <c r="V84" i="1" s="1"/>
  <c r="L42" i="1"/>
  <c r="L73" i="1"/>
  <c r="V75" i="1" s="1"/>
  <c r="L93" i="1"/>
  <c r="L46" i="1"/>
  <c r="L56" i="1"/>
  <c r="L106" i="1"/>
  <c r="L116" i="1"/>
  <c r="L126" i="1"/>
  <c r="L136" i="1"/>
  <c r="L216" i="1"/>
  <c r="L236" i="1"/>
  <c r="L246" i="1"/>
  <c r="L256" i="1"/>
  <c r="L276" i="1"/>
  <c r="L286" i="1"/>
  <c r="L296" i="1"/>
  <c r="L316" i="1"/>
  <c r="V98" i="1" s="1"/>
  <c r="L176" i="1"/>
  <c r="L258" i="1"/>
  <c r="L319" i="1"/>
  <c r="V101" i="1" s="1"/>
  <c r="L161" i="1"/>
  <c r="L212" i="1"/>
  <c r="L222" i="1"/>
  <c r="L318" i="1"/>
  <c r="V100" i="1" s="1"/>
  <c r="L6" i="1"/>
  <c r="L16" i="1"/>
  <c r="L26" i="1"/>
  <c r="L36" i="1"/>
  <c r="L85" i="1"/>
  <c r="L206" i="1"/>
  <c r="L76" i="1"/>
  <c r="V78" i="1" s="1"/>
  <c r="L166" i="1"/>
  <c r="L186" i="1"/>
  <c r="L196" i="1"/>
  <c r="L156" i="1"/>
  <c r="L306" i="1"/>
  <c r="V88" i="1" s="1"/>
  <c r="L218" i="1"/>
  <c r="L228" i="1"/>
  <c r="L248" i="1"/>
  <c r="L268" i="1"/>
  <c r="L278" i="1"/>
  <c r="L288" i="1"/>
  <c r="L298" i="1"/>
  <c r="L308" i="1"/>
  <c r="V90" i="1" s="1"/>
  <c r="L201" i="1"/>
  <c r="L12" i="1"/>
  <c r="L79" i="1"/>
  <c r="V81" i="1" s="1"/>
  <c r="L202" i="1"/>
  <c r="L267" i="1"/>
  <c r="L285" i="1"/>
  <c r="L41" i="1"/>
  <c r="L22" i="1"/>
  <c r="L32" i="1"/>
  <c r="L61" i="1"/>
  <c r="L89" i="1"/>
  <c r="L98" i="1"/>
  <c r="L165" i="1"/>
  <c r="L193" i="1"/>
  <c r="L239" i="1"/>
  <c r="L295" i="1"/>
  <c r="K220" i="1"/>
  <c r="L220" i="1" s="1"/>
  <c r="K60" i="1"/>
  <c r="L60" i="1" s="1"/>
  <c r="L221" i="1"/>
  <c r="L305" i="1"/>
  <c r="V87" i="1" s="1"/>
  <c r="L20" i="1"/>
  <c r="L62" i="1"/>
  <c r="V64" i="1" s="1"/>
  <c r="L240" i="1"/>
  <c r="L315" i="1"/>
  <c r="V97" i="1" s="1"/>
  <c r="L58" i="1"/>
  <c r="L59" i="1"/>
  <c r="L99" i="1"/>
  <c r="L5" i="1"/>
  <c r="L81" i="1"/>
  <c r="V83" i="1" s="1"/>
  <c r="L118" i="1"/>
  <c r="L185" i="1"/>
  <c r="L259" i="1"/>
  <c r="K257" i="1"/>
  <c r="L257" i="1" s="1"/>
  <c r="L138" i="1"/>
  <c r="L241" i="1"/>
  <c r="L15" i="1"/>
  <c r="L119" i="1"/>
  <c r="L158" i="1"/>
  <c r="L260" i="1"/>
  <c r="K195" i="1"/>
  <c r="L195" i="1" s="1"/>
  <c r="K175" i="1"/>
  <c r="L175" i="1" s="1"/>
  <c r="K155" i="1"/>
  <c r="L155" i="1" s="1"/>
  <c r="L35" i="1"/>
  <c r="L317" i="1"/>
  <c r="V99" i="1" s="1"/>
  <c r="L34" i="1"/>
  <c r="L215" i="1"/>
  <c r="L279" i="1"/>
  <c r="K313" i="1"/>
  <c r="L313" i="1" s="1"/>
  <c r="V95" i="1" s="1"/>
  <c r="K233" i="1"/>
  <c r="L233" i="1" s="1"/>
  <c r="L139" i="1"/>
  <c r="L45" i="1"/>
  <c r="L65" i="1"/>
  <c r="V67" i="1" s="1"/>
  <c r="L140" i="1"/>
  <c r="L197" i="1"/>
  <c r="L224" i="1"/>
  <c r="L261" i="1"/>
  <c r="L289" i="1"/>
  <c r="L299" i="1"/>
  <c r="K192" i="1"/>
  <c r="L192" i="1" s="1"/>
  <c r="K72" i="1"/>
  <c r="L72" i="1" s="1"/>
  <c r="V74" i="1" s="1"/>
  <c r="K52" i="1"/>
  <c r="L52" i="1" s="1"/>
  <c r="L92" i="1"/>
  <c r="L101" i="1"/>
  <c r="L83" i="1"/>
  <c r="L102" i="1"/>
  <c r="L121" i="1"/>
  <c r="L169" i="1"/>
  <c r="L234" i="1"/>
  <c r="L243" i="1"/>
  <c r="K231" i="1"/>
  <c r="L231" i="1" s="1"/>
  <c r="K211" i="1"/>
  <c r="L211" i="1" s="1"/>
  <c r="K111" i="1"/>
  <c r="L111" i="1" s="1"/>
  <c r="K11" i="1"/>
  <c r="L11" i="1" s="1"/>
  <c r="L25" i="1"/>
  <c r="L55" i="1"/>
  <c r="L159" i="1"/>
  <c r="L27" i="1"/>
  <c r="L66" i="1"/>
  <c r="V68" i="1" s="1"/>
  <c r="L75" i="1"/>
  <c r="V77" i="1" s="1"/>
  <c r="L112" i="1"/>
  <c r="L141" i="1"/>
  <c r="L225" i="1"/>
  <c r="L309" i="1"/>
  <c r="V91" i="1" s="1"/>
  <c r="K250" i="1"/>
  <c r="L250" i="1" s="1"/>
  <c r="K230" i="1"/>
  <c r="L230" i="1" s="1"/>
  <c r="K150" i="1"/>
  <c r="L150" i="1" s="1"/>
  <c r="K130" i="1"/>
  <c r="L130" i="1" s="1"/>
  <c r="K110" i="1"/>
  <c r="L110" i="1" s="1"/>
  <c r="K30" i="1"/>
  <c r="L30" i="1" s="1"/>
  <c r="L37" i="1"/>
  <c r="L122" i="1"/>
  <c r="L179" i="1"/>
  <c r="K269" i="1"/>
  <c r="L269" i="1" s="1"/>
  <c r="K249" i="1"/>
  <c r="L249" i="1" s="1"/>
  <c r="K229" i="1"/>
  <c r="L229" i="1" s="1"/>
  <c r="K149" i="1"/>
  <c r="L149" i="1" s="1"/>
  <c r="K129" i="1"/>
  <c r="L129" i="1" s="1"/>
  <c r="K109" i="1"/>
  <c r="L109" i="1" s="1"/>
  <c r="L18" i="1"/>
  <c r="L132" i="1"/>
  <c r="L170" i="1"/>
  <c r="L235" i="1"/>
  <c r="L9" i="1"/>
  <c r="L38" i="1"/>
  <c r="L113" i="1"/>
  <c r="L152" i="1"/>
  <c r="L189" i="1"/>
  <c r="K168" i="1"/>
  <c r="L168" i="1" s="1"/>
  <c r="L19" i="1"/>
  <c r="L29" i="1"/>
  <c r="L48" i="1"/>
  <c r="L133" i="1"/>
  <c r="L199" i="1"/>
  <c r="L273" i="1"/>
  <c r="K147" i="1"/>
  <c r="L147" i="1" s="1"/>
  <c r="L114" i="1"/>
  <c r="L162" i="1"/>
  <c r="L190" i="1"/>
  <c r="L209" i="1"/>
  <c r="L255" i="1"/>
  <c r="L320" i="1"/>
  <c r="V102" i="1" s="1"/>
  <c r="L266" i="1"/>
  <c r="L226" i="1"/>
  <c r="L146" i="1"/>
  <c r="L49" i="1"/>
  <c r="L172" i="1"/>
  <c r="L181" i="1"/>
  <c r="L237" i="1"/>
  <c r="K265" i="1"/>
  <c r="L265" i="1" s="1"/>
  <c r="K245" i="1"/>
  <c r="L245" i="1" s="1"/>
  <c r="K205" i="1"/>
  <c r="L205" i="1" s="1"/>
  <c r="K145" i="1"/>
  <c r="L145" i="1" s="1"/>
  <c r="K105" i="1"/>
  <c r="L105" i="1" s="1"/>
  <c r="L39" i="1"/>
  <c r="L293" i="1"/>
  <c r="K184" i="1"/>
  <c r="L184" i="1" s="1"/>
  <c r="K124" i="1"/>
  <c r="L124" i="1" s="1"/>
  <c r="L24" i="1"/>
  <c r="K4" i="1"/>
  <c r="L4" i="1" s="1"/>
  <c r="L69" i="1"/>
  <c r="V71" i="1" s="1"/>
  <c r="L87" i="1"/>
  <c r="L115" i="1"/>
  <c r="L21" i="1"/>
  <c r="L50" i="1"/>
  <c r="L78" i="1"/>
  <c r="V80" i="1" s="1"/>
  <c r="L96" i="1"/>
  <c r="L125" i="1"/>
  <c r="L135" i="1"/>
  <c r="L219" i="1"/>
  <c r="L247" i="1"/>
  <c r="L275" i="1"/>
  <c r="L321" i="1"/>
  <c r="V103" i="1" s="1"/>
  <c r="K283" i="1"/>
  <c r="L283" i="1" s="1"/>
  <c r="K263" i="1"/>
  <c r="L263" i="1" s="1"/>
  <c r="K143" i="1"/>
  <c r="L143" i="1" s="1"/>
  <c r="K103" i="1"/>
  <c r="L103" i="1" s="1"/>
  <c r="K63" i="1"/>
  <c r="L63" i="1" s="1"/>
  <c r="V65" i="1" s="1"/>
  <c r="K43" i="1"/>
  <c r="L43" i="1" s="1"/>
  <c r="K23" i="1"/>
  <c r="L23" i="1" s="1"/>
  <c r="K3" i="1"/>
  <c r="L3" i="1" s="1"/>
  <c r="L71" i="1"/>
  <c r="V73" i="1" s="1"/>
  <c r="L107" i="1"/>
  <c r="L163" i="1"/>
  <c r="L287" i="1"/>
  <c r="L53" i="1"/>
  <c r="L90" i="1"/>
  <c r="L117" i="1"/>
  <c r="L173" i="1"/>
  <c r="L182" i="1"/>
  <c r="L191" i="1"/>
  <c r="L200" i="1"/>
  <c r="L244" i="1"/>
  <c r="L270" i="1"/>
  <c r="L314" i="1"/>
  <c r="V96" i="1" s="1"/>
  <c r="L164" i="1"/>
  <c r="L8" i="1"/>
  <c r="L54" i="1"/>
  <c r="L91" i="1"/>
  <c r="L137" i="1"/>
  <c r="L174" i="1"/>
  <c r="L183" i="1"/>
  <c r="L210" i="1"/>
  <c r="L297" i="1"/>
  <c r="L217" i="1"/>
  <c r="L7" i="1"/>
  <c r="L108" i="1"/>
  <c r="L127" i="1"/>
  <c r="L227" i="1"/>
  <c r="L253" i="1"/>
  <c r="L17" i="1"/>
  <c r="L64" i="1"/>
  <c r="V66" i="1" s="1"/>
  <c r="L128" i="1"/>
  <c r="L254" i="1"/>
  <c r="L271" i="1"/>
  <c r="L280" i="1"/>
  <c r="L74" i="1"/>
  <c r="V76" i="1" s="1"/>
  <c r="L307" i="1"/>
  <c r="V89" i="1" s="1"/>
  <c r="L10" i="1"/>
  <c r="L28" i="1"/>
  <c r="L120" i="1"/>
  <c r="L148" i="1"/>
  <c r="L157" i="1"/>
  <c r="L194" i="1"/>
  <c r="L203" i="1"/>
  <c r="L264" i="1"/>
  <c r="L281" i="1"/>
  <c r="L290" i="1"/>
  <c r="L84" i="1"/>
  <c r="L167" i="1"/>
  <c r="L204" i="1"/>
  <c r="L47" i="1"/>
  <c r="L57" i="1"/>
  <c r="L67" i="1"/>
  <c r="V69" i="1" s="1"/>
  <c r="L94" i="1"/>
  <c r="L131" i="1"/>
  <c r="L177" i="1"/>
  <c r="L213" i="1"/>
  <c r="L274" i="1"/>
  <c r="L291" i="1"/>
  <c r="L300" i="1"/>
  <c r="L68" i="1"/>
  <c r="V70" i="1" s="1"/>
  <c r="L187" i="1"/>
  <c r="L214" i="1"/>
  <c r="L13" i="1"/>
  <c r="L31" i="1"/>
  <c r="L40" i="1"/>
  <c r="L86" i="1"/>
  <c r="L104" i="1"/>
  <c r="L123" i="1"/>
  <c r="L142" i="1"/>
  <c r="L151" i="1"/>
  <c r="L160" i="1"/>
  <c r="L223" i="1"/>
  <c r="L284" i="1"/>
  <c r="L301" i="1"/>
  <c r="L310" i="1"/>
  <c r="V92" i="1" s="1"/>
  <c r="L134" i="1"/>
  <c r="L207" i="1"/>
  <c r="L294" i="1"/>
  <c r="L311" i="1"/>
  <c r="V93" i="1" s="1"/>
  <c r="L33" i="1"/>
  <c r="L51" i="1"/>
  <c r="L88" i="1"/>
  <c r="L153" i="1"/>
  <c r="L171" i="1"/>
  <c r="L180" i="1"/>
  <c r="L251" i="1"/>
  <c r="L277" i="1"/>
  <c r="L303" i="1"/>
  <c r="V85" i="1" s="1"/>
  <c r="L312" i="1"/>
  <c r="V94" i="1" s="1"/>
  <c r="L304" i="1"/>
  <c r="V86" i="1" s="1"/>
  <c r="L2" i="1"/>
  <c r="V79" i="1"/>
  <c r="P289" i="19" l="1"/>
  <c r="P268" i="19"/>
  <c r="P32" i="19"/>
  <c r="P18" i="19"/>
  <c r="P125" i="19"/>
  <c r="P144" i="19"/>
  <c r="O2" i="19"/>
  <c r="P130" i="19" s="1"/>
  <c r="P62" i="19"/>
  <c r="P233" i="19"/>
  <c r="P74" i="19"/>
  <c r="P272" i="19"/>
  <c r="P194" i="19"/>
  <c r="P303" i="19"/>
  <c r="P142" i="19"/>
  <c r="P258" i="19"/>
  <c r="P39" i="19"/>
  <c r="P243" i="19"/>
  <c r="P167" i="19"/>
  <c r="P31" i="19"/>
  <c r="P61" i="19"/>
  <c r="P17" i="19"/>
  <c r="P282" i="19"/>
  <c r="P220" i="19"/>
  <c r="P71" i="19"/>
  <c r="P203" i="19"/>
  <c r="P198" i="19"/>
  <c r="P105" i="19"/>
  <c r="P253" i="19"/>
  <c r="P224" i="19"/>
  <c r="P145" i="19"/>
  <c r="P150" i="19"/>
  <c r="P228" i="19"/>
  <c r="P213" i="19"/>
  <c r="P164" i="19"/>
  <c r="P206" i="19"/>
  <c r="P152" i="19"/>
  <c r="P232" i="19"/>
  <c r="P140" i="19"/>
  <c r="P112" i="19"/>
  <c r="P320" i="19"/>
  <c r="P131" i="19"/>
  <c r="M9" i="18"/>
  <c r="M97" i="18"/>
  <c r="M54" i="18"/>
  <c r="M282" i="18"/>
  <c r="M35" i="18"/>
  <c r="M62" i="18"/>
  <c r="M110" i="18"/>
  <c r="M16" i="18"/>
  <c r="M315" i="18"/>
  <c r="M145" i="18"/>
  <c r="M70" i="18"/>
  <c r="M150" i="18"/>
  <c r="M57" i="18"/>
  <c r="M139" i="18"/>
  <c r="M228" i="18"/>
  <c r="M270" i="18"/>
  <c r="M292" i="18"/>
  <c r="M161" i="18"/>
  <c r="M69" i="18"/>
  <c r="M218" i="18"/>
  <c r="M169" i="18"/>
  <c r="M78" i="18"/>
  <c r="M94" i="18"/>
  <c r="M130" i="18"/>
  <c r="M312" i="18"/>
  <c r="M296" i="18"/>
  <c r="M135" i="18"/>
  <c r="M259" i="18"/>
  <c r="M132" i="18"/>
  <c r="M199" i="18"/>
  <c r="M256" i="18"/>
  <c r="M280" i="18"/>
  <c r="M95" i="18"/>
  <c r="M66" i="18"/>
  <c r="M4" i="18"/>
  <c r="M240" i="18"/>
  <c r="M32" i="18"/>
  <c r="M55" i="18"/>
  <c r="M26" i="18"/>
  <c r="M157" i="18"/>
  <c r="M193" i="18"/>
  <c r="M58" i="18"/>
  <c r="M294" i="18"/>
  <c r="M36" i="18"/>
  <c r="M239" i="18"/>
  <c r="M287" i="18"/>
  <c r="M233" i="18"/>
  <c r="M275" i="18"/>
  <c r="M303" i="18"/>
  <c r="M19" i="18"/>
  <c r="M284" i="18"/>
  <c r="M102" i="18"/>
  <c r="M265" i="18"/>
  <c r="M153" i="18"/>
  <c r="M160" i="18"/>
  <c r="M104" i="18"/>
  <c r="M183" i="18"/>
  <c r="M222" i="18"/>
  <c r="M74" i="18"/>
  <c r="M59" i="18"/>
  <c r="M24" i="18"/>
  <c r="M317" i="18"/>
  <c r="M255" i="18"/>
  <c r="M263" i="18"/>
  <c r="M60" i="18"/>
  <c r="M249" i="18"/>
  <c r="M241" i="18"/>
  <c r="M123" i="18"/>
  <c r="M20" i="18"/>
  <c r="M89" i="18"/>
  <c r="M262" i="18"/>
  <c r="M283" i="18"/>
  <c r="M84" i="18"/>
  <c r="M204" i="18"/>
  <c r="M232" i="18"/>
  <c r="M237" i="18"/>
  <c r="M260" i="18"/>
  <c r="M310" i="18"/>
  <c r="M205" i="18"/>
  <c r="M174" i="18"/>
  <c r="M162" i="18"/>
  <c r="M286" i="18"/>
  <c r="M98" i="18"/>
  <c r="M311" i="18"/>
  <c r="M43" i="18"/>
  <c r="M225" i="18"/>
  <c r="M39" i="18"/>
  <c r="M271" i="18"/>
  <c r="M279" i="18"/>
  <c r="M133" i="18"/>
  <c r="M106" i="18"/>
  <c r="M171" i="18"/>
  <c r="M305" i="18"/>
  <c r="M173" i="18"/>
  <c r="M146" i="18"/>
  <c r="M131" i="18"/>
  <c r="M198" i="18"/>
  <c r="M308" i="18"/>
  <c r="M208" i="18"/>
  <c r="M65" i="18"/>
  <c r="M11" i="18"/>
  <c r="M295" i="18"/>
  <c r="M73" i="18"/>
  <c r="M68" i="18"/>
  <c r="M137" i="18"/>
  <c r="M67" i="18"/>
  <c r="M302" i="18"/>
  <c r="M266" i="18"/>
  <c r="M28" i="18"/>
  <c r="M101" i="18"/>
  <c r="M27" i="18"/>
  <c r="M236" i="18"/>
  <c r="M185" i="18"/>
  <c r="M159" i="18"/>
  <c r="M126" i="18"/>
  <c r="M289" i="18"/>
  <c r="M238" i="18"/>
  <c r="M261" i="18"/>
  <c r="M99" i="18"/>
  <c r="M142" i="18"/>
  <c r="M244" i="18"/>
  <c r="M170" i="18"/>
  <c r="M37" i="18"/>
  <c r="M195" i="18"/>
  <c r="M230" i="18"/>
  <c r="M221" i="18"/>
  <c r="M197" i="18"/>
  <c r="M29" i="18"/>
  <c r="M120" i="18"/>
  <c r="M7" i="18"/>
  <c r="M318" i="18"/>
  <c r="M285" i="18"/>
  <c r="M30" i="18"/>
  <c r="M48" i="18"/>
  <c r="M251" i="18"/>
  <c r="M196" i="18"/>
  <c r="M119" i="18"/>
  <c r="M257" i="18"/>
  <c r="M177" i="18"/>
  <c r="M154" i="18"/>
  <c r="M267" i="18"/>
  <c r="M168" i="18"/>
  <c r="M72" i="18"/>
  <c r="M33" i="18"/>
  <c r="M215" i="18"/>
  <c r="M246" i="18"/>
  <c r="M34" i="18"/>
  <c r="M219" i="18"/>
  <c r="M79" i="18"/>
  <c r="M127" i="18"/>
  <c r="M321" i="18"/>
  <c r="M314" i="18"/>
  <c r="M201" i="18"/>
  <c r="M8" i="18"/>
  <c r="M108" i="18"/>
  <c r="M281" i="18"/>
  <c r="M200" i="18"/>
  <c r="M134" i="18"/>
  <c r="M112" i="18"/>
  <c r="M158" i="18"/>
  <c r="M156" i="18"/>
  <c r="M243" i="18"/>
  <c r="M216" i="18"/>
  <c r="M125" i="18"/>
  <c r="M103" i="18"/>
  <c r="M71" i="18"/>
  <c r="M301" i="18"/>
  <c r="M136" i="18"/>
  <c r="M93" i="18"/>
  <c r="M51" i="18"/>
  <c r="M253" i="18"/>
  <c r="M276" i="18"/>
  <c r="M179" i="18"/>
  <c r="M247" i="18"/>
  <c r="M13" i="18"/>
  <c r="M91" i="18"/>
  <c r="M277" i="18"/>
  <c r="M47" i="18"/>
  <c r="M129" i="18"/>
  <c r="M92" i="18"/>
  <c r="M176" i="18"/>
  <c r="M298" i="18"/>
  <c r="M107" i="18"/>
  <c r="M114" i="18"/>
  <c r="M61" i="18"/>
  <c r="M165" i="18"/>
  <c r="M273" i="18"/>
  <c r="M14" i="18"/>
  <c r="M109" i="18"/>
  <c r="M85" i="18"/>
  <c r="M83" i="18"/>
  <c r="M290" i="18"/>
  <c r="M214" i="18"/>
  <c r="M184" i="18"/>
  <c r="M87" i="18"/>
  <c r="M116" i="18"/>
  <c r="M188" i="18"/>
  <c r="M209" i="18"/>
  <c r="M118" i="18"/>
  <c r="M288" i="18"/>
  <c r="M190" i="18"/>
  <c r="M182" i="18"/>
  <c r="M304" i="18"/>
  <c r="M151" i="18"/>
  <c r="M164" i="18"/>
  <c r="M77" i="18"/>
  <c r="M194" i="18"/>
  <c r="M202" i="18"/>
  <c r="M81" i="18"/>
  <c r="M21" i="18"/>
  <c r="M44" i="18"/>
  <c r="M268" i="18"/>
  <c r="M226" i="18"/>
  <c r="M122" i="18"/>
  <c r="M10" i="18"/>
  <c r="M186" i="18"/>
  <c r="M117" i="18"/>
  <c r="M300" i="18"/>
  <c r="M2" i="18"/>
  <c r="M49" i="18"/>
  <c r="M163" i="18"/>
  <c r="M46" i="18"/>
  <c r="M181" i="18"/>
  <c r="M41" i="18"/>
  <c r="M250" i="18"/>
  <c r="M149" i="18"/>
  <c r="M111" i="18"/>
  <c r="M217" i="18"/>
  <c r="M187" i="18"/>
  <c r="M42" i="18"/>
  <c r="M5" i="18"/>
  <c r="M138" i="18"/>
  <c r="M248" i="18"/>
  <c r="M293" i="18"/>
  <c r="M80" i="18"/>
  <c r="M152" i="18"/>
  <c r="M31" i="18"/>
  <c r="M213" i="18"/>
  <c r="M220" i="18"/>
  <c r="M75" i="18"/>
  <c r="M207" i="18"/>
  <c r="M167" i="18"/>
  <c r="M309" i="18"/>
  <c r="M210" i="18"/>
  <c r="M319" i="18"/>
  <c r="M64" i="18"/>
  <c r="M105" i="18"/>
  <c r="M189" i="18"/>
  <c r="M25" i="18"/>
  <c r="M212" i="18"/>
  <c r="M76" i="18"/>
  <c r="M53" i="18"/>
  <c r="M96" i="18"/>
  <c r="M306" i="18"/>
  <c r="M245" i="18"/>
  <c r="M223" i="18"/>
  <c r="M203" i="18"/>
  <c r="M140" i="18"/>
  <c r="M3" i="18"/>
  <c r="M252" i="18"/>
  <c r="M115" i="18"/>
  <c r="M82" i="18"/>
  <c r="M192" i="18"/>
  <c r="M307" i="18"/>
  <c r="M86" i="18"/>
  <c r="M113" i="18"/>
  <c r="M90" i="18"/>
  <c r="M23" i="18"/>
  <c r="M299" i="18"/>
  <c r="M316" i="18"/>
  <c r="M143" i="18"/>
  <c r="M17" i="18"/>
  <c r="M6" i="18"/>
  <c r="M313" i="18"/>
  <c r="M229" i="18"/>
  <c r="M88" i="18"/>
  <c r="M211" i="18"/>
  <c r="M18" i="18"/>
  <c r="M269" i="18"/>
  <c r="M40" i="18"/>
  <c r="M191" i="18"/>
  <c r="M322" i="18"/>
  <c r="M272" i="18"/>
  <c r="M38" i="18"/>
  <c r="M278" i="18"/>
  <c r="M124" i="18"/>
  <c r="M274" i="18"/>
  <c r="M166" i="18"/>
  <c r="M12" i="18"/>
  <c r="M147" i="18"/>
  <c r="M100" i="18"/>
  <c r="M22" i="18"/>
  <c r="M291" i="18"/>
  <c r="M50" i="18"/>
  <c r="M141" i="18"/>
  <c r="M56" i="18"/>
  <c r="M264" i="18"/>
  <c r="M320" i="18"/>
  <c r="M121" i="18"/>
  <c r="M180" i="18"/>
  <c r="M148" i="18"/>
  <c r="M63" i="18"/>
  <c r="M235" i="18"/>
  <c r="M206" i="18"/>
  <c r="M45" i="18"/>
  <c r="M128" i="18"/>
  <c r="M52" i="18"/>
  <c r="M234" i="18"/>
  <c r="M227" i="18"/>
  <c r="M155" i="18"/>
  <c r="M242" i="18"/>
  <c r="M258" i="18"/>
  <c r="M254" i="18"/>
  <c r="M231" i="18"/>
  <c r="M144" i="18"/>
  <c r="M224" i="18"/>
  <c r="M15" i="18"/>
  <c r="M172" i="18"/>
  <c r="M297" i="18"/>
  <c r="M178" i="18"/>
  <c r="O2" i="17"/>
  <c r="P315" i="17" s="1"/>
  <c r="M288" i="16"/>
  <c r="M177" i="16"/>
  <c r="M251" i="16"/>
  <c r="M241" i="16"/>
  <c r="M189" i="16"/>
  <c r="M50" i="16"/>
  <c r="M37" i="16"/>
  <c r="M305" i="16"/>
  <c r="M153" i="16"/>
  <c r="M119" i="16"/>
  <c r="M13" i="16"/>
  <c r="M193" i="16"/>
  <c r="M126" i="16"/>
  <c r="M91" i="16"/>
  <c r="M78" i="16"/>
  <c r="M4" i="16"/>
  <c r="M276" i="16"/>
  <c r="M273" i="16"/>
  <c r="M110" i="16"/>
  <c r="M259" i="16"/>
  <c r="M235" i="16"/>
  <c r="M145" i="16"/>
  <c r="M253" i="16"/>
  <c r="M61" i="16"/>
  <c r="M29" i="16"/>
  <c r="M94" i="16"/>
  <c r="M42" i="16"/>
  <c r="M49" i="16"/>
  <c r="M18" i="16"/>
  <c r="M132" i="16"/>
  <c r="M5" i="16"/>
  <c r="M53" i="16"/>
  <c r="M297" i="16"/>
  <c r="M31" i="16"/>
  <c r="M44" i="16"/>
  <c r="M212" i="16"/>
  <c r="M237" i="16"/>
  <c r="M26" i="16"/>
  <c r="M225" i="16"/>
  <c r="M262" i="16"/>
  <c r="M158" i="16"/>
  <c r="M19" i="16"/>
  <c r="M239" i="16"/>
  <c r="M230" i="16"/>
  <c r="M289" i="16"/>
  <c r="M287" i="16"/>
  <c r="M157" i="16"/>
  <c r="M263" i="16"/>
  <c r="M67" i="16"/>
  <c r="M258" i="16"/>
  <c r="M141" i="16"/>
  <c r="M22" i="16"/>
  <c r="M104" i="16"/>
  <c r="M194" i="16"/>
  <c r="M250" i="16"/>
  <c r="M309" i="16"/>
  <c r="M174" i="16"/>
  <c r="M293" i="16"/>
  <c r="M315" i="16"/>
  <c r="M252" i="16"/>
  <c r="M197" i="16"/>
  <c r="M121" i="16"/>
  <c r="M27" i="16"/>
  <c r="M90" i="16"/>
  <c r="M275" i="16"/>
  <c r="M45" i="16"/>
  <c r="M311" i="16"/>
  <c r="M277" i="16"/>
  <c r="M54" i="16"/>
  <c r="M208" i="16"/>
  <c r="M38" i="16"/>
  <c r="M30" i="16"/>
  <c r="M310" i="16"/>
  <c r="M35" i="16"/>
  <c r="M196" i="16"/>
  <c r="M278" i="16"/>
  <c r="M51" i="16"/>
  <c r="M117" i="16"/>
  <c r="M302" i="16"/>
  <c r="M103" i="16"/>
  <c r="M97" i="16"/>
  <c r="M107" i="16"/>
  <c r="M25" i="16"/>
  <c r="M70" i="16"/>
  <c r="M163" i="16"/>
  <c r="M102" i="16"/>
  <c r="M159" i="16"/>
  <c r="M144" i="16"/>
  <c r="M170" i="16"/>
  <c r="M274" i="16"/>
  <c r="M300" i="16"/>
  <c r="M77" i="16"/>
  <c r="M56" i="16"/>
  <c r="M166" i="16"/>
  <c r="M32" i="16"/>
  <c r="M111" i="16"/>
  <c r="M271" i="16"/>
  <c r="M211" i="16"/>
  <c r="M303" i="16"/>
  <c r="M247" i="16"/>
  <c r="M17" i="16"/>
  <c r="M10" i="16"/>
  <c r="M2" i="16"/>
  <c r="M243" i="16"/>
  <c r="M206" i="16"/>
  <c r="M269" i="16"/>
  <c r="M313" i="16"/>
  <c r="M125" i="16"/>
  <c r="M160" i="16"/>
  <c r="M195" i="16"/>
  <c r="M140" i="16"/>
  <c r="M169" i="16"/>
  <c r="M228" i="16"/>
  <c r="M6" i="16"/>
  <c r="M319" i="16"/>
  <c r="M317" i="16"/>
  <c r="M95" i="16"/>
  <c r="M58" i="16"/>
  <c r="M139" i="16"/>
  <c r="M34" i="16"/>
  <c r="M85" i="16"/>
  <c r="M233" i="16"/>
  <c r="M57" i="16"/>
  <c r="M246" i="16"/>
  <c r="M79" i="16"/>
  <c r="M266" i="16"/>
  <c r="M39" i="16"/>
  <c r="M306" i="16"/>
  <c r="M281" i="16"/>
  <c r="M185" i="16"/>
  <c r="M48" i="16"/>
  <c r="M203" i="16"/>
  <c r="M272" i="16"/>
  <c r="M256" i="16"/>
  <c r="M24" i="16"/>
  <c r="M124" i="16"/>
  <c r="M307" i="16"/>
  <c r="M179" i="16"/>
  <c r="M321" i="16"/>
  <c r="M69" i="16"/>
  <c r="M186" i="16"/>
  <c r="M268" i="16"/>
  <c r="M147" i="16"/>
  <c r="M106" i="16"/>
  <c r="M267" i="16"/>
  <c r="M254" i="16"/>
  <c r="M279" i="16"/>
  <c r="M314" i="16"/>
  <c r="M301" i="16"/>
  <c r="M108" i="16"/>
  <c r="M270" i="16"/>
  <c r="M175" i="16"/>
  <c r="M221" i="16"/>
  <c r="M261" i="16"/>
  <c r="M322" i="16"/>
  <c r="M220" i="16"/>
  <c r="M137" i="16"/>
  <c r="M320" i="16"/>
  <c r="M43" i="16"/>
  <c r="M101" i="16"/>
  <c r="M72" i="16"/>
  <c r="M161" i="16"/>
  <c r="M204" i="16"/>
  <c r="M100" i="16"/>
  <c r="M114" i="16"/>
  <c r="M172" i="16"/>
  <c r="M171" i="16"/>
  <c r="M128" i="16"/>
  <c r="M112" i="16"/>
  <c r="M167" i="16"/>
  <c r="M64" i="16"/>
  <c r="M286" i="16"/>
  <c r="M242" i="16"/>
  <c r="M109" i="16"/>
  <c r="M201" i="16"/>
  <c r="M178" i="16"/>
  <c r="M190" i="16"/>
  <c r="M131" i="16"/>
  <c r="M89" i="16"/>
  <c r="M181" i="16"/>
  <c r="M9" i="16"/>
  <c r="M227" i="16"/>
  <c r="M66" i="16"/>
  <c r="M20" i="16"/>
  <c r="M93" i="16"/>
  <c r="M150" i="16"/>
  <c r="M16" i="16"/>
  <c r="M226" i="16"/>
  <c r="M80" i="16"/>
  <c r="M294" i="16"/>
  <c r="M162" i="16"/>
  <c r="M88" i="16"/>
  <c r="M260" i="16"/>
  <c r="M316" i="16"/>
  <c r="M118" i="16"/>
  <c r="M209" i="16"/>
  <c r="M285" i="16"/>
  <c r="M122" i="16"/>
  <c r="M123" i="16"/>
  <c r="M105" i="16"/>
  <c r="M215" i="16"/>
  <c r="M244" i="16"/>
  <c r="M151" i="16"/>
  <c r="M21" i="16"/>
  <c r="M136" i="16"/>
  <c r="M133" i="16"/>
  <c r="M148" i="16"/>
  <c r="M71" i="16"/>
  <c r="M152" i="16"/>
  <c r="M183" i="16"/>
  <c r="M92" i="16"/>
  <c r="M165" i="16"/>
  <c r="M99" i="16"/>
  <c r="M12" i="16"/>
  <c r="M191" i="16"/>
  <c r="M149" i="16"/>
  <c r="M75" i="16"/>
  <c r="M205" i="16"/>
  <c r="M257" i="16"/>
  <c r="M308" i="16"/>
  <c r="M130" i="16"/>
  <c r="M41" i="16"/>
  <c r="M199" i="16"/>
  <c r="M28" i="16"/>
  <c r="M249" i="16"/>
  <c r="M81" i="16"/>
  <c r="M120" i="16"/>
  <c r="M295" i="16"/>
  <c r="M73" i="16"/>
  <c r="M8" i="16"/>
  <c r="M292" i="16"/>
  <c r="M68" i="16"/>
  <c r="M214" i="16"/>
  <c r="M86" i="16"/>
  <c r="M14" i="16"/>
  <c r="M134" i="16"/>
  <c r="M318" i="16"/>
  <c r="M62" i="16"/>
  <c r="M11" i="16"/>
  <c r="M207" i="16"/>
  <c r="M291" i="16"/>
  <c r="M180" i="16"/>
  <c r="M127" i="16"/>
  <c r="M224" i="16"/>
  <c r="M265" i="16"/>
  <c r="M238" i="16"/>
  <c r="M298" i="16"/>
  <c r="M135" i="16"/>
  <c r="M33" i="16"/>
  <c r="M52" i="16"/>
  <c r="M84" i="16"/>
  <c r="M59" i="16"/>
  <c r="M217" i="16"/>
  <c r="M218" i="16"/>
  <c r="M40" i="16"/>
  <c r="M231" i="16"/>
  <c r="M143" i="16"/>
  <c r="M264" i="16"/>
  <c r="M164" i="16"/>
  <c r="M82" i="16"/>
  <c r="M223" i="16"/>
  <c r="M188" i="16"/>
  <c r="M46" i="16"/>
  <c r="M74" i="16"/>
  <c r="M173" i="16"/>
  <c r="M182" i="16"/>
  <c r="M245" i="16"/>
  <c r="M304" i="16"/>
  <c r="M115" i="16"/>
  <c r="M176" i="16"/>
  <c r="M98" i="16"/>
  <c r="M234" i="16"/>
  <c r="M76" i="16"/>
  <c r="M219" i="16"/>
  <c r="M23" i="16"/>
  <c r="M222" i="16"/>
  <c r="M142" i="16"/>
  <c r="M255" i="16"/>
  <c r="M187" i="16"/>
  <c r="M283" i="16"/>
  <c r="M192" i="16"/>
  <c r="M3" i="16"/>
  <c r="M216" i="16"/>
  <c r="M47" i="16"/>
  <c r="M236" i="16"/>
  <c r="M202" i="16"/>
  <c r="M248" i="16"/>
  <c r="M282" i="16"/>
  <c r="M210" i="16"/>
  <c r="M232" i="16"/>
  <c r="M83" i="16"/>
  <c r="M87" i="16"/>
  <c r="M200" i="16"/>
  <c r="M36" i="16"/>
  <c r="M240" i="16"/>
  <c r="M312" i="16"/>
  <c r="M213" i="16"/>
  <c r="M63" i="16"/>
  <c r="M138" i="16"/>
  <c r="M55" i="16"/>
  <c r="M299" i="16"/>
  <c r="M60" i="16"/>
  <c r="M116" i="16"/>
  <c r="M156" i="16"/>
  <c r="M113" i="16"/>
  <c r="M96" i="16"/>
  <c r="M296" i="16"/>
  <c r="M290" i="16"/>
  <c r="M184" i="16"/>
  <c r="M168" i="16"/>
  <c r="M65" i="16"/>
  <c r="M7" i="16"/>
  <c r="M155" i="16"/>
  <c r="M198" i="16"/>
  <c r="M229" i="16"/>
  <c r="M129" i="16"/>
  <c r="M280" i="16"/>
  <c r="M284" i="16"/>
  <c r="M146" i="16"/>
  <c r="M15" i="16"/>
  <c r="M154" i="16"/>
  <c r="N2" i="1"/>
  <c r="M322" i="1" s="1"/>
  <c r="N5" i="1"/>
  <c r="P185" i="19" l="1"/>
  <c r="P137" i="19"/>
  <c r="P76" i="19"/>
  <c r="P135" i="19"/>
  <c r="P221" i="19"/>
  <c r="P37" i="19"/>
  <c r="P266" i="19"/>
  <c r="P75" i="19"/>
  <c r="P80" i="19"/>
  <c r="P265" i="19"/>
  <c r="P298" i="19"/>
  <c r="P238" i="19"/>
  <c r="P155" i="19"/>
  <c r="P120" i="19"/>
  <c r="P299" i="19"/>
  <c r="P24" i="19"/>
  <c r="P251" i="19"/>
  <c r="P40" i="19"/>
  <c r="P121" i="19"/>
  <c r="P52" i="19"/>
  <c r="P83" i="19"/>
  <c r="P114" i="19"/>
  <c r="P171" i="19"/>
  <c r="P26" i="19"/>
  <c r="P187" i="19"/>
  <c r="P110" i="19"/>
  <c r="P149" i="19"/>
  <c r="P91" i="19"/>
  <c r="P176" i="19"/>
  <c r="P141" i="19"/>
  <c r="P177" i="19"/>
  <c r="P86" i="19"/>
  <c r="P211" i="19"/>
  <c r="P73" i="19"/>
  <c r="P252" i="19"/>
  <c r="P255" i="19"/>
  <c r="P102" i="19"/>
  <c r="P275" i="19"/>
  <c r="P317" i="19"/>
  <c r="P44" i="19"/>
  <c r="P6" i="19"/>
  <c r="P250" i="19"/>
  <c r="P93" i="19"/>
  <c r="P283" i="19"/>
  <c r="P49" i="19"/>
  <c r="P55" i="19"/>
  <c r="P143" i="19"/>
  <c r="P196" i="19"/>
  <c r="P165" i="19"/>
  <c r="P293" i="19"/>
  <c r="P136" i="19"/>
  <c r="P229" i="19"/>
  <c r="P68" i="19"/>
  <c r="P2" i="19"/>
  <c r="P115" i="19"/>
  <c r="P42" i="19"/>
  <c r="P48" i="19"/>
  <c r="P309" i="19"/>
  <c r="P274" i="19"/>
  <c r="P207" i="19"/>
  <c r="P108" i="19"/>
  <c r="P35" i="19"/>
  <c r="P60" i="19"/>
  <c r="P295" i="19"/>
  <c r="P157" i="19"/>
  <c r="P101" i="19"/>
  <c r="P191" i="19"/>
  <c r="P322" i="19"/>
  <c r="P179" i="19"/>
  <c r="P270" i="19"/>
  <c r="P284" i="19"/>
  <c r="P279" i="19"/>
  <c r="P116" i="19"/>
  <c r="P46" i="19"/>
  <c r="P30" i="19"/>
  <c r="P124" i="19"/>
  <c r="P64" i="19"/>
  <c r="P97" i="19"/>
  <c r="P127" i="19"/>
  <c r="P249" i="19"/>
  <c r="P103" i="19"/>
  <c r="P151" i="19"/>
  <c r="P134" i="19"/>
  <c r="P248" i="19"/>
  <c r="P234" i="19"/>
  <c r="P19" i="19"/>
  <c r="P263" i="19"/>
  <c r="P113" i="19"/>
  <c r="P239" i="19"/>
  <c r="P96" i="19"/>
  <c r="P56" i="19"/>
  <c r="P50" i="19"/>
  <c r="P318" i="19"/>
  <c r="P193" i="19"/>
  <c r="P197" i="19"/>
  <c r="P25" i="19"/>
  <c r="P36" i="19"/>
  <c r="P192" i="19"/>
  <c r="P45" i="19"/>
  <c r="P180" i="19"/>
  <c r="P153" i="19"/>
  <c r="P210" i="19"/>
  <c r="P87" i="19"/>
  <c r="P126" i="19"/>
  <c r="P314" i="19"/>
  <c r="P77" i="19"/>
  <c r="P230" i="19"/>
  <c r="P138" i="19"/>
  <c r="P10" i="19"/>
  <c r="P21" i="19"/>
  <c r="P246" i="19"/>
  <c r="P186" i="19"/>
  <c r="P122" i="19"/>
  <c r="P22" i="19"/>
  <c r="P41" i="19"/>
  <c r="P169" i="19"/>
  <c r="P107" i="19"/>
  <c r="P51" i="19"/>
  <c r="P231" i="19"/>
  <c r="P281" i="19"/>
  <c r="P267" i="19"/>
  <c r="P16" i="19"/>
  <c r="P225" i="19"/>
  <c r="P166" i="19"/>
  <c r="P89" i="19"/>
  <c r="P63" i="19"/>
  <c r="P297" i="19"/>
  <c r="P54" i="19"/>
  <c r="P79" i="19"/>
  <c r="P15" i="19"/>
  <c r="P47" i="19"/>
  <c r="P227" i="19"/>
  <c r="P218" i="19"/>
  <c r="P59" i="19"/>
  <c r="P287" i="19"/>
  <c r="P146" i="19"/>
  <c r="P183" i="19"/>
  <c r="P217" i="19"/>
  <c r="P158" i="19"/>
  <c r="P242" i="19"/>
  <c r="P173" i="19"/>
  <c r="P241" i="19"/>
  <c r="P259" i="19"/>
  <c r="P256" i="19"/>
  <c r="P132" i="19"/>
  <c r="P162" i="19"/>
  <c r="P28" i="19"/>
  <c r="P215" i="19"/>
  <c r="P163" i="19"/>
  <c r="P209" i="19"/>
  <c r="P312" i="19"/>
  <c r="P129" i="19"/>
  <c r="P276" i="19"/>
  <c r="P11" i="19"/>
  <c r="P9" i="19"/>
  <c r="P199" i="19"/>
  <c r="P111" i="19"/>
  <c r="P205" i="19"/>
  <c r="P216" i="19"/>
  <c r="P4" i="19"/>
  <c r="P288" i="19"/>
  <c r="P72" i="19"/>
  <c r="P90" i="19"/>
  <c r="P14" i="19"/>
  <c r="P94" i="19"/>
  <c r="P222" i="19"/>
  <c r="P81" i="19"/>
  <c r="P305" i="19"/>
  <c r="P13" i="19"/>
  <c r="P174" i="19"/>
  <c r="P245" i="19"/>
  <c r="P321" i="19"/>
  <c r="P247" i="19"/>
  <c r="P208" i="19"/>
  <c r="P273" i="19"/>
  <c r="P262" i="19"/>
  <c r="P172" i="19"/>
  <c r="P202" i="19"/>
  <c r="P161" i="19"/>
  <c r="P182" i="19"/>
  <c r="P33" i="19"/>
  <c r="P139" i="19"/>
  <c r="P290" i="19"/>
  <c r="P244" i="19"/>
  <c r="P148" i="19"/>
  <c r="P214" i="19"/>
  <c r="P123" i="19"/>
  <c r="P58" i="19"/>
  <c r="P200" i="19"/>
  <c r="P5" i="19"/>
  <c r="P264" i="19"/>
  <c r="P310" i="19"/>
  <c r="P128" i="19"/>
  <c r="P8" i="19"/>
  <c r="P70" i="19"/>
  <c r="P99" i="19"/>
  <c r="P315" i="19"/>
  <c r="P92" i="19"/>
  <c r="P212" i="19"/>
  <c r="P20" i="19"/>
  <c r="P181" i="19"/>
  <c r="P304" i="19"/>
  <c r="P271" i="19"/>
  <c r="P302" i="19"/>
  <c r="P240" i="19"/>
  <c r="P133" i="19"/>
  <c r="P38" i="19"/>
  <c r="P316" i="19"/>
  <c r="P237" i="19"/>
  <c r="P29" i="19"/>
  <c r="P294" i="19"/>
  <c r="P311" i="19"/>
  <c r="P104" i="19"/>
  <c r="P168" i="19"/>
  <c r="P84" i="19"/>
  <c r="P219" i="19"/>
  <c r="P170" i="19"/>
  <c r="P34" i="19"/>
  <c r="P7" i="19"/>
  <c r="P3" i="19"/>
  <c r="P257" i="19"/>
  <c r="P190" i="19"/>
  <c r="P204" i="19"/>
  <c r="P175" i="19"/>
  <c r="P195" i="19"/>
  <c r="P106" i="19"/>
  <c r="P53" i="19"/>
  <c r="P260" i="19"/>
  <c r="P235" i="19"/>
  <c r="P188" i="19"/>
  <c r="P119" i="19"/>
  <c r="P189" i="19"/>
  <c r="P307" i="19"/>
  <c r="P301" i="19"/>
  <c r="P98" i="19"/>
  <c r="P156" i="19"/>
  <c r="P95" i="19"/>
  <c r="P43" i="19"/>
  <c r="P313" i="19"/>
  <c r="P280" i="19"/>
  <c r="P23" i="19"/>
  <c r="P269" i="19"/>
  <c r="P201" i="19"/>
  <c r="P184" i="19"/>
  <c r="P57" i="19"/>
  <c r="P319" i="19"/>
  <c r="P292" i="19"/>
  <c r="P306" i="19"/>
  <c r="P85" i="19"/>
  <c r="P66" i="19"/>
  <c r="P277" i="19"/>
  <c r="P223" i="19"/>
  <c r="P147" i="19"/>
  <c r="P236" i="19"/>
  <c r="P291" i="19"/>
  <c r="P100" i="19"/>
  <c r="P69" i="19"/>
  <c r="P82" i="19"/>
  <c r="P27" i="19"/>
  <c r="P160" i="19"/>
  <c r="P286" i="19"/>
  <c r="P308" i="19"/>
  <c r="P178" i="19"/>
  <c r="P159" i="19"/>
  <c r="P254" i="19"/>
  <c r="P300" i="19"/>
  <c r="P118" i="19"/>
  <c r="P78" i="19"/>
  <c r="P65" i="19"/>
  <c r="P117" i="19"/>
  <c r="P296" i="19"/>
  <c r="P226" i="19"/>
  <c r="P154" i="19"/>
  <c r="P67" i="19"/>
  <c r="P88" i="19"/>
  <c r="P285" i="19"/>
  <c r="P261" i="19"/>
  <c r="P12" i="19"/>
  <c r="P278" i="19"/>
  <c r="P109" i="19"/>
  <c r="O2" i="18"/>
  <c r="P175" i="18" s="1"/>
  <c r="P146" i="17"/>
  <c r="P147" i="17"/>
  <c r="P100" i="18"/>
  <c r="P221" i="18"/>
  <c r="P193" i="18"/>
  <c r="P26" i="18"/>
  <c r="P32" i="18"/>
  <c r="P4" i="18"/>
  <c r="P210" i="18"/>
  <c r="P254" i="18"/>
  <c r="P45" i="18"/>
  <c r="P264" i="18"/>
  <c r="P12" i="18"/>
  <c r="P191" i="18"/>
  <c r="P42" i="18"/>
  <c r="P46" i="18"/>
  <c r="P122" i="18"/>
  <c r="P77" i="18"/>
  <c r="P105" i="18"/>
  <c r="P214" i="18"/>
  <c r="P93" i="18"/>
  <c r="P156" i="18"/>
  <c r="P281" i="18"/>
  <c r="P219" i="18"/>
  <c r="P154" i="18"/>
  <c r="P285" i="18"/>
  <c r="P28" i="18"/>
  <c r="P11" i="18"/>
  <c r="P173" i="18"/>
  <c r="P225" i="18"/>
  <c r="P286" i="18"/>
  <c r="P205" i="18"/>
  <c r="P232" i="18"/>
  <c r="P84" i="18"/>
  <c r="P262" i="18"/>
  <c r="P52" i="18"/>
  <c r="P70" i="18"/>
  <c r="P199" i="18"/>
  <c r="P132" i="18"/>
  <c r="P135" i="18"/>
  <c r="P23" i="18"/>
  <c r="P178" i="18"/>
  <c r="P258" i="18"/>
  <c r="P206" i="18"/>
  <c r="P56" i="18"/>
  <c r="P166" i="18"/>
  <c r="P309" i="18"/>
  <c r="P31" i="18"/>
  <c r="P187" i="18"/>
  <c r="P163" i="18"/>
  <c r="P226" i="18"/>
  <c r="P164" i="18"/>
  <c r="P18" i="18"/>
  <c r="P290" i="18"/>
  <c r="P114" i="18"/>
  <c r="P91" i="18"/>
  <c r="P136" i="18"/>
  <c r="P158" i="18"/>
  <c r="P108" i="18"/>
  <c r="P34" i="18"/>
  <c r="P177" i="18"/>
  <c r="P318" i="18"/>
  <c r="P37" i="18"/>
  <c r="P64" i="18"/>
  <c r="P266" i="18"/>
  <c r="P65" i="18"/>
  <c r="P305" i="18"/>
  <c r="P43" i="18"/>
  <c r="P126" i="18"/>
  <c r="P102" i="18"/>
  <c r="P19" i="18"/>
  <c r="P275" i="18"/>
  <c r="P89" i="18"/>
  <c r="P239" i="18"/>
  <c r="P144" i="18"/>
  <c r="P160" i="18"/>
  <c r="P94" i="18"/>
  <c r="P9" i="18"/>
  <c r="P153" i="18"/>
  <c r="P82" i="18"/>
  <c r="P297" i="18"/>
  <c r="P242" i="18"/>
  <c r="P235" i="18"/>
  <c r="P141" i="18"/>
  <c r="P274" i="18"/>
  <c r="P299" i="18"/>
  <c r="P88" i="18"/>
  <c r="P152" i="18"/>
  <c r="P217" i="18"/>
  <c r="P49" i="18"/>
  <c r="P268" i="18"/>
  <c r="P151" i="18"/>
  <c r="P118" i="18"/>
  <c r="P83" i="18"/>
  <c r="P107" i="18"/>
  <c r="P13" i="18"/>
  <c r="P301" i="18"/>
  <c r="P90" i="18"/>
  <c r="P8" i="18"/>
  <c r="P246" i="18"/>
  <c r="P257" i="18"/>
  <c r="P7" i="18"/>
  <c r="P170" i="18"/>
  <c r="P167" i="18"/>
  <c r="P302" i="18"/>
  <c r="P208" i="18"/>
  <c r="P171" i="18"/>
  <c r="P288" i="18"/>
  <c r="P203" i="18"/>
  <c r="P218" i="18"/>
  <c r="P161" i="18"/>
  <c r="P270" i="18"/>
  <c r="P139" i="18"/>
  <c r="P150" i="18"/>
  <c r="P78" i="18"/>
  <c r="P223" i="18"/>
  <c r="P60" i="18"/>
  <c r="P255" i="18"/>
  <c r="P24" i="18"/>
  <c r="P74" i="18"/>
  <c r="P183" i="18"/>
  <c r="P40" i="18"/>
  <c r="P172" i="18"/>
  <c r="P155" i="18"/>
  <c r="P63" i="18"/>
  <c r="P50" i="18"/>
  <c r="P124" i="18"/>
  <c r="P192" i="18"/>
  <c r="P229" i="18"/>
  <c r="P80" i="18"/>
  <c r="P111" i="18"/>
  <c r="P2" i="18"/>
  <c r="P44" i="18"/>
  <c r="P304" i="18"/>
  <c r="P209" i="18"/>
  <c r="P85" i="18"/>
  <c r="P298" i="18"/>
  <c r="P247" i="18"/>
  <c r="P71" i="18"/>
  <c r="P212" i="18"/>
  <c r="P201" i="18"/>
  <c r="P215" i="18"/>
  <c r="P119" i="18"/>
  <c r="P120" i="18"/>
  <c r="P244" i="18"/>
  <c r="P159" i="18"/>
  <c r="P67" i="18"/>
  <c r="P261" i="18"/>
  <c r="P106" i="18"/>
  <c r="P238" i="18"/>
  <c r="P174" i="18"/>
  <c r="P296" i="18"/>
  <c r="P20" i="18"/>
  <c r="P35" i="18"/>
  <c r="P282" i="18"/>
  <c r="P54" i="18"/>
  <c r="P41" i="18"/>
  <c r="P157" i="18"/>
  <c r="P55" i="18"/>
  <c r="P240" i="18"/>
  <c r="P66" i="18"/>
  <c r="P280" i="18"/>
  <c r="P3" i="18"/>
  <c r="P15" i="18"/>
  <c r="P227" i="18"/>
  <c r="P148" i="18"/>
  <c r="P291" i="18"/>
  <c r="P278" i="18"/>
  <c r="P115" i="18"/>
  <c r="P313" i="18"/>
  <c r="P293" i="18"/>
  <c r="P149" i="18"/>
  <c r="P300" i="18"/>
  <c r="P21" i="18"/>
  <c r="P182" i="18"/>
  <c r="P188" i="18"/>
  <c r="P109" i="18"/>
  <c r="P176" i="18"/>
  <c r="P179" i="18"/>
  <c r="P103" i="18"/>
  <c r="P269" i="18"/>
  <c r="P314" i="18"/>
  <c r="P33" i="18"/>
  <c r="P196" i="18"/>
  <c r="P29" i="18"/>
  <c r="P142" i="18"/>
  <c r="P185" i="18"/>
  <c r="P137" i="18"/>
  <c r="P308" i="18"/>
  <c r="P133" i="18"/>
  <c r="P311" i="18"/>
  <c r="P265" i="18"/>
  <c r="P310" i="18"/>
  <c r="P237" i="18"/>
  <c r="P204" i="18"/>
  <c r="P283" i="18"/>
  <c r="P86" i="18"/>
  <c r="P58" i="18"/>
  <c r="P138" i="18"/>
  <c r="P123" i="18"/>
  <c r="P256" i="18"/>
  <c r="P145" i="18"/>
  <c r="P315" i="18"/>
  <c r="P16" i="18"/>
  <c r="P110" i="18"/>
  <c r="P140" i="18"/>
  <c r="P224" i="18"/>
  <c r="P234" i="18"/>
  <c r="P180" i="18"/>
  <c r="P22" i="18"/>
  <c r="P38" i="18"/>
  <c r="P252" i="18"/>
  <c r="P6" i="18"/>
  <c r="P248" i="18"/>
  <c r="P250" i="18"/>
  <c r="P117" i="18"/>
  <c r="P81" i="18"/>
  <c r="P190" i="18"/>
  <c r="P116" i="18"/>
  <c r="P14" i="18"/>
  <c r="P92" i="18"/>
  <c r="P276" i="18"/>
  <c r="P125" i="18"/>
  <c r="P207" i="18"/>
  <c r="P321" i="18"/>
  <c r="P72" i="18"/>
  <c r="P251" i="18"/>
  <c r="P197" i="18"/>
  <c r="P99" i="18"/>
  <c r="P236" i="18"/>
  <c r="P68" i="18"/>
  <c r="P198" i="18"/>
  <c r="P279" i="18"/>
  <c r="P98" i="18"/>
  <c r="P169" i="18"/>
  <c r="P284" i="18"/>
  <c r="P303" i="18"/>
  <c r="P233" i="18"/>
  <c r="P287" i="18"/>
  <c r="P76" i="18"/>
  <c r="P69" i="18"/>
  <c r="P292" i="18"/>
  <c r="P228" i="18"/>
  <c r="P57" i="18"/>
  <c r="P319" i="18"/>
  <c r="P294" i="18"/>
  <c r="P241" i="18"/>
  <c r="P306" i="18"/>
  <c r="P121" i="18"/>
  <c r="P272" i="18"/>
  <c r="P75" i="18"/>
  <c r="P186" i="18"/>
  <c r="P202" i="18"/>
  <c r="P113" i="18"/>
  <c r="P87" i="18"/>
  <c r="P273" i="18"/>
  <c r="P129" i="18"/>
  <c r="P253" i="18"/>
  <c r="P216" i="18"/>
  <c r="P134" i="18"/>
  <c r="P127" i="18"/>
  <c r="P168" i="18"/>
  <c r="P48" i="18"/>
  <c r="P162" i="18"/>
  <c r="P27" i="18"/>
  <c r="P73" i="18"/>
  <c r="P131" i="18"/>
  <c r="P271" i="18"/>
  <c r="P112" i="18"/>
  <c r="P249" i="18"/>
  <c r="P263" i="18"/>
  <c r="P317" i="18"/>
  <c r="P59" i="18"/>
  <c r="P222" i="18"/>
  <c r="P17" i="18"/>
  <c r="P25" i="18"/>
  <c r="P231" i="18"/>
  <c r="P128" i="18"/>
  <c r="P320" i="18"/>
  <c r="P147" i="18"/>
  <c r="P322" i="18"/>
  <c r="P96" i="18"/>
  <c r="P220" i="18"/>
  <c r="P5" i="18"/>
  <c r="P181" i="18"/>
  <c r="P10" i="18"/>
  <c r="P194" i="18"/>
  <c r="P245" i="18"/>
  <c r="P184" i="18"/>
  <c r="P165" i="18"/>
  <c r="P47" i="18"/>
  <c r="P51" i="18"/>
  <c r="P243" i="18"/>
  <c r="P200" i="18"/>
  <c r="P79" i="18"/>
  <c r="P267" i="18"/>
  <c r="P30" i="18"/>
  <c r="P230" i="18"/>
  <c r="P307" i="18"/>
  <c r="P101" i="18"/>
  <c r="P295" i="18"/>
  <c r="P146" i="18"/>
  <c r="P39" i="18"/>
  <c r="P289" i="18"/>
  <c r="P62" i="18"/>
  <c r="P104" i="18"/>
  <c r="P36" i="18"/>
  <c r="P312" i="18"/>
  <c r="P130" i="18"/>
  <c r="P211" i="18"/>
  <c r="P199" i="17"/>
  <c r="P70" i="17"/>
  <c r="P249" i="17"/>
  <c r="P2" i="17"/>
  <c r="P150" i="17"/>
  <c r="P294" i="17"/>
  <c r="P301" i="17"/>
  <c r="P229" i="17"/>
  <c r="P25" i="17"/>
  <c r="P204" i="17"/>
  <c r="P16" i="17"/>
  <c r="P85" i="17"/>
  <c r="P125" i="17"/>
  <c r="P29" i="17"/>
  <c r="P205" i="17"/>
  <c r="P140" i="17"/>
  <c r="P137" i="17"/>
  <c r="P210" i="17"/>
  <c r="P171" i="17"/>
  <c r="P79" i="17"/>
  <c r="P313" i="17"/>
  <c r="P18" i="17"/>
  <c r="P207" i="17"/>
  <c r="P186" i="17"/>
  <c r="P267" i="17"/>
  <c r="P154" i="17"/>
  <c r="P110" i="17"/>
  <c r="P19" i="17"/>
  <c r="P43" i="17"/>
  <c r="P11" i="17"/>
  <c r="P291" i="17"/>
  <c r="P20" i="17"/>
  <c r="P44" i="17"/>
  <c r="P177" i="17"/>
  <c r="P241" i="17"/>
  <c r="P169" i="17"/>
  <c r="P42" i="17"/>
  <c r="P119" i="17"/>
  <c r="P7" i="17"/>
  <c r="P84" i="17"/>
  <c r="P132" i="17"/>
  <c r="P149" i="17"/>
  <c r="P316" i="17"/>
  <c r="P176" i="17"/>
  <c r="P218" i="17"/>
  <c r="P82" i="17"/>
  <c r="P4" i="17"/>
  <c r="P200" i="17"/>
  <c r="P158" i="17"/>
  <c r="P258" i="17"/>
  <c r="P76" i="17"/>
  <c r="P41" i="17"/>
  <c r="P148" i="17"/>
  <c r="P259" i="17"/>
  <c r="P261" i="17"/>
  <c r="P233" i="17"/>
  <c r="P127" i="17"/>
  <c r="P6" i="17"/>
  <c r="P122" i="17"/>
  <c r="P67" i="17"/>
  <c r="P135" i="17"/>
  <c r="P95" i="17"/>
  <c r="P116" i="17"/>
  <c r="P47" i="17"/>
  <c r="P239" i="17"/>
  <c r="P276" i="17"/>
  <c r="P275" i="17"/>
  <c r="P183" i="17"/>
  <c r="P312" i="17"/>
  <c r="P15" i="17"/>
  <c r="P134" i="17"/>
  <c r="P56" i="17"/>
  <c r="P65" i="17"/>
  <c r="P230" i="17"/>
  <c r="P297" i="17"/>
  <c r="P120" i="17"/>
  <c r="P115" i="17"/>
  <c r="P87" i="17"/>
  <c r="P244" i="17"/>
  <c r="P112" i="17"/>
  <c r="P124" i="17"/>
  <c r="P139" i="17"/>
  <c r="P60" i="17"/>
  <c r="P234" i="17"/>
  <c r="P308" i="17"/>
  <c r="P195" i="17"/>
  <c r="P283" i="17"/>
  <c r="P198" i="17"/>
  <c r="P155" i="17"/>
  <c r="P103" i="17"/>
  <c r="P168" i="17"/>
  <c r="P61" i="17"/>
  <c r="P26" i="17"/>
  <c r="P279" i="17"/>
  <c r="P72" i="17"/>
  <c r="P299" i="17"/>
  <c r="P37" i="17"/>
  <c r="P298" i="17"/>
  <c r="P242" i="17"/>
  <c r="P188" i="17"/>
  <c r="P189" i="17"/>
  <c r="P269" i="17"/>
  <c r="P175" i="17"/>
  <c r="P295" i="17"/>
  <c r="P226" i="17"/>
  <c r="P180" i="17"/>
  <c r="P21" i="17"/>
  <c r="P117" i="17"/>
  <c r="P109" i="17"/>
  <c r="P123" i="17"/>
  <c r="P101" i="17"/>
  <c r="P248" i="17"/>
  <c r="P71" i="17"/>
  <c r="P292" i="17"/>
  <c r="P311" i="17"/>
  <c r="P194" i="17"/>
  <c r="P322" i="17"/>
  <c r="P305" i="17"/>
  <c r="P126" i="17"/>
  <c r="P39" i="17"/>
  <c r="P89" i="17"/>
  <c r="P142" i="17"/>
  <c r="P32" i="17"/>
  <c r="P263" i="17"/>
  <c r="P93" i="17"/>
  <c r="P245" i="17"/>
  <c r="P319" i="17"/>
  <c r="P271" i="17"/>
  <c r="P227" i="17"/>
  <c r="P97" i="17"/>
  <c r="P179" i="17"/>
  <c r="P88" i="17"/>
  <c r="P270" i="17"/>
  <c r="P262" i="17"/>
  <c r="P98" i="17"/>
  <c r="P302" i="17"/>
  <c r="P27" i="17"/>
  <c r="P153" i="17"/>
  <c r="P287" i="17"/>
  <c r="P69" i="17"/>
  <c r="P83" i="17"/>
  <c r="P157" i="17"/>
  <c r="P273" i="17"/>
  <c r="P228" i="17"/>
  <c r="P253" i="17"/>
  <c r="P23" i="17"/>
  <c r="P243" i="17"/>
  <c r="P64" i="17"/>
  <c r="P187" i="17"/>
  <c r="P260" i="17"/>
  <c r="P5" i="17"/>
  <c r="P75" i="17"/>
  <c r="P185" i="17"/>
  <c r="P50" i="17"/>
  <c r="P162" i="17"/>
  <c r="P310" i="17"/>
  <c r="P121" i="17"/>
  <c r="P236" i="17"/>
  <c r="P288" i="17"/>
  <c r="P51" i="17"/>
  <c r="P108" i="17"/>
  <c r="P166" i="17"/>
  <c r="P80" i="17"/>
  <c r="P9" i="17"/>
  <c r="P208" i="17"/>
  <c r="P165" i="17"/>
  <c r="P293" i="17"/>
  <c r="P216" i="17"/>
  <c r="P289" i="17"/>
  <c r="P3" i="17"/>
  <c r="P217" i="17"/>
  <c r="P145" i="17"/>
  <c r="P238" i="17"/>
  <c r="P254" i="17"/>
  <c r="P304" i="17"/>
  <c r="P10" i="17"/>
  <c r="P318" i="17"/>
  <c r="P272" i="17"/>
  <c r="P99" i="17"/>
  <c r="P57" i="17"/>
  <c r="P222" i="17"/>
  <c r="P197" i="17"/>
  <c r="P46" i="17"/>
  <c r="P209" i="17"/>
  <c r="P141" i="17"/>
  <c r="P221" i="17"/>
  <c r="P45" i="17"/>
  <c r="P215" i="17"/>
  <c r="P203" i="17"/>
  <c r="P8" i="17"/>
  <c r="P96" i="17"/>
  <c r="P277" i="17"/>
  <c r="P202" i="17"/>
  <c r="P133" i="17"/>
  <c r="P138" i="17"/>
  <c r="P13" i="17"/>
  <c r="P40" i="17"/>
  <c r="P307" i="17"/>
  <c r="P144" i="17"/>
  <c r="P237" i="17"/>
  <c r="P143" i="17"/>
  <c r="P14" i="17"/>
  <c r="P281" i="17"/>
  <c r="P192" i="17"/>
  <c r="P317" i="17"/>
  <c r="P136" i="17"/>
  <c r="P111" i="17"/>
  <c r="P224" i="17"/>
  <c r="P314" i="17"/>
  <c r="P235" i="17"/>
  <c r="P306" i="17"/>
  <c r="P174" i="17"/>
  <c r="P212" i="17"/>
  <c r="P286" i="17"/>
  <c r="P213" i="17"/>
  <c r="P268" i="17"/>
  <c r="P54" i="17"/>
  <c r="P36" i="17"/>
  <c r="P59" i="17"/>
  <c r="P184" i="17"/>
  <c r="P280" i="17"/>
  <c r="P73" i="17"/>
  <c r="P220" i="17"/>
  <c r="P250" i="17"/>
  <c r="P102" i="17"/>
  <c r="P300" i="17"/>
  <c r="P107" i="17"/>
  <c r="P68" i="17"/>
  <c r="P264" i="17"/>
  <c r="P94" i="17"/>
  <c r="P167" i="17"/>
  <c r="P22" i="17"/>
  <c r="P156" i="17"/>
  <c r="P274" i="17"/>
  <c r="P58" i="17"/>
  <c r="P104" i="17"/>
  <c r="P35" i="17"/>
  <c r="P33" i="17"/>
  <c r="P284" i="17"/>
  <c r="P303" i="17"/>
  <c r="P63" i="17"/>
  <c r="P38" i="17"/>
  <c r="P81" i="17"/>
  <c r="P48" i="17"/>
  <c r="P31" i="17"/>
  <c r="P181" i="17"/>
  <c r="P159" i="17"/>
  <c r="P231" i="17"/>
  <c r="P182" i="17"/>
  <c r="P151" i="17"/>
  <c r="P320" i="17"/>
  <c r="P196" i="17"/>
  <c r="P17" i="17"/>
  <c r="P178" i="17"/>
  <c r="P170" i="17"/>
  <c r="P164" i="17"/>
  <c r="P232" i="17"/>
  <c r="P100" i="17"/>
  <c r="P173" i="17"/>
  <c r="P206" i="17"/>
  <c r="P285" i="17"/>
  <c r="P296" i="17"/>
  <c r="P211" i="17"/>
  <c r="P105" i="17"/>
  <c r="P49" i="17"/>
  <c r="P257" i="17"/>
  <c r="P161" i="17"/>
  <c r="P90" i="17"/>
  <c r="P34" i="17"/>
  <c r="P193" i="17"/>
  <c r="P290" i="17"/>
  <c r="P92" i="17"/>
  <c r="P190" i="17"/>
  <c r="P152" i="17"/>
  <c r="P66" i="17"/>
  <c r="P160" i="17"/>
  <c r="P55" i="17"/>
  <c r="P255" i="17"/>
  <c r="P91" i="17"/>
  <c r="P225" i="17"/>
  <c r="P106" i="17"/>
  <c r="P24" i="17"/>
  <c r="P28" i="17"/>
  <c r="P240" i="17"/>
  <c r="P246" i="17"/>
  <c r="P130" i="17"/>
  <c r="P53" i="17"/>
  <c r="P86" i="17"/>
  <c r="P282" i="17"/>
  <c r="P12" i="17"/>
  <c r="P113" i="17"/>
  <c r="P30" i="17"/>
  <c r="P77" i="17"/>
  <c r="P52" i="17"/>
  <c r="P214" i="17"/>
  <c r="P62" i="17"/>
  <c r="P251" i="17"/>
  <c r="P266" i="17"/>
  <c r="P278" i="17"/>
  <c r="P172" i="17"/>
  <c r="P223" i="17"/>
  <c r="P131" i="17"/>
  <c r="P265" i="17"/>
  <c r="P256" i="17"/>
  <c r="P201" i="17"/>
  <c r="P247" i="17"/>
  <c r="P191" i="17"/>
  <c r="P309" i="17"/>
  <c r="P78" i="17"/>
  <c r="P118" i="17"/>
  <c r="P252" i="17"/>
  <c r="P163" i="17"/>
  <c r="P129" i="17"/>
  <c r="P219" i="17"/>
  <c r="P114" i="17"/>
  <c r="P74" i="17"/>
  <c r="P321" i="17"/>
  <c r="P128" i="17"/>
  <c r="O2" i="16"/>
  <c r="P7" i="16" s="1"/>
  <c r="M107" i="1"/>
  <c r="M305" i="1"/>
  <c r="M65" i="1"/>
  <c r="M165" i="1"/>
  <c r="M193" i="1"/>
  <c r="M156" i="1"/>
  <c r="M290" i="1"/>
  <c r="M208" i="1"/>
  <c r="M41" i="1"/>
  <c r="M49" i="1"/>
  <c r="M95" i="1"/>
  <c r="M215" i="1"/>
  <c r="M258" i="1"/>
  <c r="M276" i="1"/>
  <c r="M161" i="1"/>
  <c r="M135" i="1"/>
  <c r="M64" i="1"/>
  <c r="M314" i="1"/>
  <c r="M73" i="1"/>
  <c r="M201" i="1"/>
  <c r="M202" i="1"/>
  <c r="M220" i="1"/>
  <c r="M298" i="1"/>
  <c r="M58" i="1"/>
  <c r="M11" i="1"/>
  <c r="M59" i="1"/>
  <c r="M14" i="1"/>
  <c r="M104" i="1"/>
  <c r="M241" i="1"/>
  <c r="M285" i="1"/>
  <c r="M294" i="1"/>
  <c r="M171" i="1"/>
  <c r="M162" i="1"/>
  <c r="M97" i="1"/>
  <c r="M219" i="1"/>
  <c r="M211" i="1"/>
  <c r="M228" i="1"/>
  <c r="M68" i="1"/>
  <c r="M4" i="1"/>
  <c r="M69" i="1"/>
  <c r="M33" i="1"/>
  <c r="M123" i="1"/>
  <c r="M267" i="1"/>
  <c r="M180" i="1"/>
  <c r="M198" i="1"/>
  <c r="M106" i="1"/>
  <c r="M89" i="1"/>
  <c r="M81" i="1"/>
  <c r="M28" i="1"/>
  <c r="M118" i="1"/>
  <c r="M236" i="1"/>
  <c r="M237" i="1"/>
  <c r="M255" i="1"/>
  <c r="M316" i="1"/>
  <c r="M112" i="1"/>
  <c r="M50" i="1"/>
  <c r="M142" i="1"/>
  <c r="M293" i="1"/>
  <c r="M319" i="1"/>
  <c r="M302" i="1"/>
  <c r="M189" i="1"/>
  <c r="M216" i="1"/>
  <c r="M144" i="1"/>
  <c r="M72" i="1"/>
  <c r="M36" i="1"/>
  <c r="M137" i="1"/>
  <c r="M254" i="1"/>
  <c r="M263" i="1"/>
  <c r="M307" i="1"/>
  <c r="M10" i="1"/>
  <c r="M131" i="1"/>
  <c r="M85" i="1"/>
  <c r="M86" i="1"/>
  <c r="M151" i="1"/>
  <c r="M57" i="1"/>
  <c r="M235" i="1"/>
  <c r="M311" i="1"/>
  <c r="M225" i="1"/>
  <c r="M234" i="1"/>
  <c r="M172" i="1"/>
  <c r="M259" i="1"/>
  <c r="M117" i="1"/>
  <c r="M45" i="1"/>
  <c r="M174" i="1"/>
  <c r="M262" i="1"/>
  <c r="M289" i="1"/>
  <c r="M22" i="1"/>
  <c r="M76" i="1"/>
  <c r="M177" i="1"/>
  <c r="M103" i="1"/>
  <c r="M113" i="1"/>
  <c r="M160" i="1"/>
  <c r="M51" i="1"/>
  <c r="M13" i="1"/>
  <c r="M251" i="1"/>
  <c r="M242" i="1"/>
  <c r="M181" i="1"/>
  <c r="M114" i="1"/>
  <c r="M126" i="1"/>
  <c r="M55" i="1"/>
  <c r="M183" i="1"/>
  <c r="M271" i="1"/>
  <c r="M306" i="1"/>
  <c r="M98" i="1"/>
  <c r="M31" i="1"/>
  <c r="M94" i="1"/>
  <c r="M213" i="1"/>
  <c r="M122" i="1"/>
  <c r="M132" i="1"/>
  <c r="M169" i="1"/>
  <c r="M133" i="1"/>
  <c r="M87" i="1"/>
  <c r="M320" i="1"/>
  <c r="M277" i="1"/>
  <c r="M260" i="1"/>
  <c r="M190" i="1"/>
  <c r="M265" i="1"/>
  <c r="M154" i="1"/>
  <c r="M91" i="1"/>
  <c r="M192" i="1"/>
  <c r="M280" i="1"/>
  <c r="M47" i="1"/>
  <c r="M48" i="1"/>
  <c r="M102" i="1"/>
  <c r="M239" i="1"/>
  <c r="M141" i="1"/>
  <c r="M187" i="1"/>
  <c r="M196" i="1"/>
  <c r="M43" i="1"/>
  <c r="M178" i="1"/>
  <c r="M303" i="1"/>
  <c r="M268" i="1"/>
  <c r="M199" i="1"/>
  <c r="M153" i="1"/>
  <c r="M173" i="1"/>
  <c r="M99" i="1"/>
  <c r="M210" i="1"/>
  <c r="M288" i="1"/>
  <c r="M44" i="1"/>
  <c r="M120" i="1"/>
  <c r="M84" i="1"/>
  <c r="M121" i="1"/>
  <c r="M256" i="1"/>
  <c r="M150" i="1"/>
  <c r="M214" i="1"/>
  <c r="M223" i="1"/>
  <c r="M61" i="1"/>
  <c r="M25" i="1"/>
  <c r="M287" i="1"/>
  <c r="M295" i="1"/>
  <c r="M217" i="1"/>
  <c r="M250" i="1"/>
  <c r="M182" i="1"/>
  <c r="M108" i="1"/>
  <c r="M218" i="1"/>
  <c r="M163" i="1"/>
  <c r="M29" i="1"/>
  <c r="M139" i="1"/>
  <c r="M93" i="1"/>
  <c r="M140" i="1"/>
  <c r="M274" i="1"/>
  <c r="M159" i="1"/>
  <c r="M222" i="1"/>
  <c r="M249" i="1"/>
  <c r="M96" i="1"/>
  <c r="M52" i="1"/>
  <c r="M21" i="1"/>
  <c r="M145" i="1"/>
  <c r="M243" i="1"/>
  <c r="M129" i="1"/>
  <c r="M191" i="1"/>
  <c r="M127" i="1"/>
  <c r="M245" i="1"/>
  <c r="M19" i="1"/>
  <c r="M46" i="1"/>
  <c r="M148" i="1"/>
  <c r="M111" i="1"/>
  <c r="M149" i="1"/>
  <c r="M282" i="1"/>
  <c r="M168" i="1"/>
  <c r="M240" i="1"/>
  <c r="M266" i="1"/>
  <c r="M105" i="1"/>
  <c r="M70" i="1"/>
  <c r="M40" i="1"/>
  <c r="M312" i="1"/>
  <c r="M20" i="1"/>
  <c r="M269" i="1"/>
  <c r="M77" i="1"/>
  <c r="M200" i="1"/>
  <c r="M136" i="1"/>
  <c r="M297" i="1"/>
  <c r="M38" i="1"/>
  <c r="M3" i="1"/>
  <c r="M157" i="1"/>
  <c r="M130" i="1"/>
  <c r="M158" i="1"/>
  <c r="M291" i="1"/>
  <c r="M186" i="1"/>
  <c r="M248" i="1"/>
  <c r="M284" i="1"/>
  <c r="M124" i="1"/>
  <c r="M197" i="1"/>
  <c r="M39" i="1"/>
  <c r="M101" i="1"/>
  <c r="M286" i="1"/>
  <c r="M209" i="1"/>
  <c r="M155" i="1"/>
  <c r="M66" i="1"/>
  <c r="M12" i="1"/>
  <c r="M185" i="1"/>
  <c r="M166" i="1"/>
  <c r="M167" i="1"/>
  <c r="M300" i="1"/>
  <c r="M205" i="1"/>
  <c r="M275" i="1"/>
  <c r="M292" i="1"/>
  <c r="M143" i="1"/>
  <c r="M79" i="1"/>
  <c r="M8" i="1"/>
  <c r="M6" i="1"/>
  <c r="M42" i="1"/>
  <c r="M304" i="1"/>
  <c r="M67" i="1"/>
  <c r="M226" i="1"/>
  <c r="M164" i="1"/>
  <c r="M315" i="1"/>
  <c r="M30" i="1"/>
  <c r="M194" i="1"/>
  <c r="M221" i="1"/>
  <c r="M176" i="1"/>
  <c r="M308" i="1"/>
  <c r="M231" i="1"/>
  <c r="M301" i="1"/>
  <c r="M152" i="1"/>
  <c r="M88" i="1"/>
  <c r="M34" i="1"/>
  <c r="M78" i="1"/>
  <c r="M9" i="1"/>
  <c r="M32" i="1"/>
  <c r="M244" i="1"/>
  <c r="M227" i="1"/>
  <c r="M80" i="1"/>
  <c r="M82" i="1"/>
  <c r="M56" i="1"/>
  <c r="M203" i="1"/>
  <c r="M247" i="1"/>
  <c r="M195" i="1"/>
  <c r="M257" i="1"/>
  <c r="M318" i="1"/>
  <c r="M170" i="1"/>
  <c r="M115" i="1"/>
  <c r="M18" i="1"/>
  <c r="M281" i="1"/>
  <c r="M252" i="1"/>
  <c r="M253" i="1"/>
  <c r="M119" i="1"/>
  <c r="M75" i="1"/>
  <c r="M229" i="1"/>
  <c r="M273" i="1"/>
  <c r="M204" i="1"/>
  <c r="M90" i="1"/>
  <c r="M283" i="1"/>
  <c r="M27" i="1"/>
  <c r="M310" i="1"/>
  <c r="M179" i="1"/>
  <c r="M134" i="1"/>
  <c r="M62" i="1"/>
  <c r="M7" i="1"/>
  <c r="M26" i="1"/>
  <c r="M313" i="1"/>
  <c r="M261" i="1"/>
  <c r="M279" i="1"/>
  <c r="M92" i="1"/>
  <c r="M138" i="1"/>
  <c r="M246" i="1"/>
  <c r="M299" i="1"/>
  <c r="M212" i="1"/>
  <c r="M37" i="1"/>
  <c r="M83" i="1"/>
  <c r="M54" i="1"/>
  <c r="M206" i="1"/>
  <c r="M188" i="1"/>
  <c r="M71" i="1"/>
  <c r="M16" i="1"/>
  <c r="M35" i="1"/>
  <c r="M321" i="1"/>
  <c r="M184" i="1"/>
  <c r="M270" i="1"/>
  <c r="M296" i="1"/>
  <c r="M109" i="1"/>
  <c r="M147" i="1"/>
  <c r="M100" i="1"/>
  <c r="M264" i="1"/>
  <c r="M317" i="1"/>
  <c r="M230" i="1"/>
  <c r="M23" i="1"/>
  <c r="M309" i="1"/>
  <c r="M15" i="1"/>
  <c r="M2" i="1"/>
  <c r="M224" i="1"/>
  <c r="M207" i="1"/>
  <c r="M17" i="1"/>
  <c r="M63" i="1"/>
  <c r="M146" i="1"/>
  <c r="M278" i="1"/>
  <c r="M116" i="1"/>
  <c r="M128" i="1"/>
  <c r="M175" i="1"/>
  <c r="M110" i="1"/>
  <c r="M272" i="1"/>
  <c r="M238" i="1"/>
  <c r="M5" i="1"/>
  <c r="M74" i="1"/>
  <c r="M60" i="1"/>
  <c r="M24" i="1"/>
  <c r="M232" i="1"/>
  <c r="M233" i="1"/>
  <c r="M125" i="1"/>
  <c r="M53" i="1"/>
  <c r="P53" i="18" l="1"/>
  <c r="P277" i="18"/>
  <c r="P213" i="18"/>
  <c r="P316" i="18"/>
  <c r="P97" i="18"/>
  <c r="P143" i="18"/>
  <c r="P259" i="18"/>
  <c r="P260" i="18"/>
  <c r="P195" i="18"/>
  <c r="P61" i="18"/>
  <c r="P189" i="18"/>
  <c r="P95" i="18"/>
  <c r="P267" i="16"/>
  <c r="P31" i="16"/>
  <c r="P39" i="16"/>
  <c r="P247" i="16"/>
  <c r="P318" i="16"/>
  <c r="P193" i="16"/>
  <c r="P242" i="16"/>
  <c r="P152" i="16"/>
  <c r="P211" i="16"/>
  <c r="P103" i="16"/>
  <c r="P227" i="16"/>
  <c r="P299" i="16"/>
  <c r="P161" i="16"/>
  <c r="P195" i="16"/>
  <c r="P282" i="16"/>
  <c r="P122" i="16"/>
  <c r="P105" i="16"/>
  <c r="P251" i="16"/>
  <c r="P287" i="16"/>
  <c r="P77" i="16"/>
  <c r="P311" i="16"/>
  <c r="P222" i="16"/>
  <c r="P78" i="16"/>
  <c r="P286" i="16"/>
  <c r="P118" i="16"/>
  <c r="P289" i="16"/>
  <c r="P147" i="16"/>
  <c r="P97" i="16"/>
  <c r="P76" i="16"/>
  <c r="P159" i="16"/>
  <c r="P81" i="16"/>
  <c r="P4" i="16"/>
  <c r="P232" i="16"/>
  <c r="P48" i="16"/>
  <c r="P276" i="16"/>
  <c r="P240" i="16"/>
  <c r="P133" i="16"/>
  <c r="P164" i="16"/>
  <c r="P160" i="16"/>
  <c r="P144" i="16"/>
  <c r="P196" i="16"/>
  <c r="P259" i="16"/>
  <c r="P41" i="16"/>
  <c r="P104" i="16"/>
  <c r="P9" i="16"/>
  <c r="P184" i="16"/>
  <c r="P34" i="16"/>
  <c r="P271" i="16"/>
  <c r="P210" i="16"/>
  <c r="P129" i="16"/>
  <c r="P74" i="16"/>
  <c r="P6" i="16"/>
  <c r="P96" i="16"/>
  <c r="P162" i="16"/>
  <c r="P92" i="16"/>
  <c r="P148" i="16"/>
  <c r="P158" i="16"/>
  <c r="P206" i="16"/>
  <c r="P112" i="16"/>
  <c r="P214" i="16"/>
  <c r="P213" i="16"/>
  <c r="P100" i="16"/>
  <c r="P294" i="16"/>
  <c r="P24" i="16"/>
  <c r="P262" i="16"/>
  <c r="P312" i="16"/>
  <c r="P293" i="16"/>
  <c r="P233" i="16"/>
  <c r="P150" i="16"/>
  <c r="P52" i="16"/>
  <c r="P198" i="16"/>
  <c r="P224" i="16"/>
  <c r="P176" i="16"/>
  <c r="P199" i="16"/>
  <c r="P178" i="16"/>
  <c r="P42" i="16"/>
  <c r="P300" i="16"/>
  <c r="P322" i="16"/>
  <c r="P257" i="16"/>
  <c r="P216" i="16"/>
  <c r="P212" i="16"/>
  <c r="P181" i="16"/>
  <c r="P202" i="16"/>
  <c r="P66" i="16"/>
  <c r="P306" i="16"/>
  <c r="P189" i="16"/>
  <c r="P54" i="16"/>
  <c r="P272" i="16"/>
  <c r="P285" i="16"/>
  <c r="P223" i="16"/>
  <c r="P50" i="16"/>
  <c r="P208" i="16"/>
  <c r="P256" i="16"/>
  <c r="P36" i="16"/>
  <c r="P11" i="16"/>
  <c r="P20" i="16"/>
  <c r="P221" i="16"/>
  <c r="P317" i="16"/>
  <c r="P146" i="16"/>
  <c r="P269" i="16"/>
  <c r="P63" i="16"/>
  <c r="P13" i="16"/>
  <c r="P151" i="16"/>
  <c r="P139" i="16"/>
  <c r="P201" i="16"/>
  <c r="P297" i="16"/>
  <c r="P72" i="16"/>
  <c r="P249" i="16"/>
  <c r="P69" i="16"/>
  <c r="P2" i="16"/>
  <c r="P53" i="16"/>
  <c r="P258" i="16"/>
  <c r="P131" i="16"/>
  <c r="P180" i="16"/>
  <c r="P308" i="16"/>
  <c r="P62" i="16"/>
  <c r="P106" i="16"/>
  <c r="P110" i="16"/>
  <c r="P25" i="16"/>
  <c r="P279" i="16"/>
  <c r="P23" i="16"/>
  <c r="P49" i="16"/>
  <c r="P220" i="16"/>
  <c r="P218" i="16"/>
  <c r="P270" i="16"/>
  <c r="P111" i="16"/>
  <c r="P241" i="16"/>
  <c r="P197" i="16"/>
  <c r="P79" i="16"/>
  <c r="P80" i="16"/>
  <c r="P217" i="16"/>
  <c r="P280" i="16"/>
  <c r="P121" i="16"/>
  <c r="P266" i="16"/>
  <c r="P188" i="16"/>
  <c r="P175" i="16"/>
  <c r="P67" i="16"/>
  <c r="P228" i="16"/>
  <c r="P190" i="16"/>
  <c r="P291" i="16"/>
  <c r="P113" i="16"/>
  <c r="P226" i="16"/>
  <c r="P12" i="16"/>
  <c r="P171" i="16"/>
  <c r="P30" i="16"/>
  <c r="P177" i="16"/>
  <c r="P45" i="16"/>
  <c r="P185" i="16"/>
  <c r="P316" i="16"/>
  <c r="P264" i="16"/>
  <c r="P252" i="16"/>
  <c r="P82" i="16"/>
  <c r="P60" i="16"/>
  <c r="P40" i="16"/>
  <c r="P71" i="16"/>
  <c r="P44" i="16"/>
  <c r="P303" i="16"/>
  <c r="P204" i="16"/>
  <c r="P120" i="16"/>
  <c r="P83" i="16"/>
  <c r="P230" i="16"/>
  <c r="P21" i="16"/>
  <c r="P284" i="16"/>
  <c r="P191" i="16"/>
  <c r="P101" i="16"/>
  <c r="P126" i="16"/>
  <c r="P51" i="16"/>
  <c r="P186" i="16"/>
  <c r="P136" i="16"/>
  <c r="P115" i="16"/>
  <c r="P91" i="16"/>
  <c r="P117" i="16"/>
  <c r="P268" i="16"/>
  <c r="P37" i="16"/>
  <c r="P98" i="16"/>
  <c r="P149" i="16"/>
  <c r="P170" i="16"/>
  <c r="P192" i="16"/>
  <c r="P38" i="16"/>
  <c r="P19" i="16"/>
  <c r="P86" i="16"/>
  <c r="P169" i="16"/>
  <c r="P245" i="16"/>
  <c r="P15" i="16"/>
  <c r="P8" i="16"/>
  <c r="P174" i="16"/>
  <c r="P93" i="16"/>
  <c r="P155" i="16"/>
  <c r="P165" i="16"/>
  <c r="P123" i="16"/>
  <c r="P119" i="16"/>
  <c r="P179" i="16"/>
  <c r="P182" i="16"/>
  <c r="P47" i="16"/>
  <c r="P253" i="16"/>
  <c r="P248" i="16"/>
  <c r="P239" i="16"/>
  <c r="P313" i="16"/>
  <c r="P64" i="16"/>
  <c r="P138" i="16"/>
  <c r="P22" i="16"/>
  <c r="P134" i="16"/>
  <c r="P5" i="16"/>
  <c r="P298" i="16"/>
  <c r="P88" i="16"/>
  <c r="P235" i="16"/>
  <c r="P163" i="16"/>
  <c r="P301" i="16"/>
  <c r="P99" i="16"/>
  <c r="P142" i="16"/>
  <c r="P145" i="16"/>
  <c r="P102" i="16"/>
  <c r="P108" i="16"/>
  <c r="P157" i="16"/>
  <c r="P135" i="16"/>
  <c r="P288" i="16"/>
  <c r="P275" i="16"/>
  <c r="P281" i="16"/>
  <c r="P260" i="16"/>
  <c r="P143" i="16"/>
  <c r="P154" i="16"/>
  <c r="P295" i="16"/>
  <c r="P255" i="16"/>
  <c r="P292" i="16"/>
  <c r="P124" i="16"/>
  <c r="P273" i="16"/>
  <c r="P107" i="16"/>
  <c r="P254" i="16"/>
  <c r="P183" i="16"/>
  <c r="P219" i="16"/>
  <c r="P203" i="16"/>
  <c r="P290" i="16"/>
  <c r="P250" i="16"/>
  <c r="P305" i="16"/>
  <c r="P234" i="16"/>
  <c r="P141" i="16"/>
  <c r="P319" i="16"/>
  <c r="P89" i="16"/>
  <c r="P127" i="16"/>
  <c r="P296" i="16"/>
  <c r="P277" i="16"/>
  <c r="P304" i="16"/>
  <c r="P225" i="16"/>
  <c r="P187" i="16"/>
  <c r="P28" i="16"/>
  <c r="P18" i="16"/>
  <c r="P56" i="16"/>
  <c r="P137" i="16"/>
  <c r="P130" i="16"/>
  <c r="P236" i="16"/>
  <c r="P132" i="16"/>
  <c r="P166" i="16"/>
  <c r="P320" i="16"/>
  <c r="P302" i="16"/>
  <c r="P61" i="16"/>
  <c r="P283" i="16"/>
  <c r="P29" i="16"/>
  <c r="P75" i="16"/>
  <c r="P55" i="16"/>
  <c r="P68" i="16"/>
  <c r="P167" i="16"/>
  <c r="P209" i="16"/>
  <c r="P43" i="16"/>
  <c r="P321" i="16"/>
  <c r="P246" i="16"/>
  <c r="P90" i="16"/>
  <c r="P95" i="16"/>
  <c r="P265" i="16"/>
  <c r="P194" i="16"/>
  <c r="P58" i="16"/>
  <c r="P85" i="16"/>
  <c r="P33" i="16"/>
  <c r="P238" i="16"/>
  <c r="P243" i="16"/>
  <c r="P35" i="16"/>
  <c r="P244" i="16"/>
  <c r="P125" i="16"/>
  <c r="P207" i="16"/>
  <c r="P14" i="16"/>
  <c r="P116" i="16"/>
  <c r="P153" i="16"/>
  <c r="P310" i="16"/>
  <c r="P307" i="16"/>
  <c r="P215" i="16"/>
  <c r="P173" i="16"/>
  <c r="P278" i="16"/>
  <c r="P59" i="16"/>
  <c r="P168" i="16"/>
  <c r="P46" i="16"/>
  <c r="P128" i="16"/>
  <c r="P94" i="16"/>
  <c r="P274" i="16"/>
  <c r="P261" i="16"/>
  <c r="P205" i="16"/>
  <c r="P3" i="16"/>
  <c r="P314" i="16"/>
  <c r="P172" i="16"/>
  <c r="P32" i="16"/>
  <c r="P263" i="16"/>
  <c r="P156" i="16"/>
  <c r="P315" i="16"/>
  <c r="P57" i="16"/>
  <c r="P16" i="16"/>
  <c r="P84" i="16"/>
  <c r="P229" i="16"/>
  <c r="P70" i="16"/>
  <c r="P87" i="16"/>
  <c r="P27" i="16"/>
  <c r="P65" i="16"/>
  <c r="P231" i="16"/>
  <c r="P237" i="16"/>
  <c r="P17" i="16"/>
  <c r="P114" i="16"/>
  <c r="P73" i="16"/>
  <c r="P200" i="16"/>
  <c r="P26" i="16"/>
  <c r="P10" i="16"/>
  <c r="P109" i="16"/>
  <c r="P140" i="16"/>
  <c r="P309" i="16"/>
  <c r="O2" i="1"/>
  <c r="P55" i="1" l="1"/>
  <c r="P322" i="1"/>
  <c r="P216" i="1"/>
  <c r="P259" i="1"/>
  <c r="P117" i="1"/>
  <c r="P121" i="1"/>
  <c r="P159" i="1"/>
  <c r="P48" i="1"/>
  <c r="P256" i="1"/>
  <c r="P105" i="1"/>
  <c r="P304" i="1"/>
  <c r="P273" i="1"/>
  <c r="P146" i="1"/>
  <c r="P156" i="1"/>
  <c r="P22" i="1"/>
  <c r="P155" i="1"/>
  <c r="P243" i="1"/>
  <c r="P221" i="1"/>
  <c r="P201" i="1"/>
  <c r="P202" i="1"/>
  <c r="P97" i="1"/>
  <c r="P33" i="1"/>
  <c r="P75" i="1"/>
  <c r="P189" i="1"/>
  <c r="P116" i="1"/>
  <c r="P183" i="1"/>
  <c r="P137" i="1"/>
  <c r="P280" i="1"/>
  <c r="P254" i="1"/>
  <c r="P213" i="1"/>
  <c r="P271" i="1"/>
  <c r="P21" i="1"/>
  <c r="P47" i="1"/>
  <c r="P145" i="1"/>
  <c r="P222" i="1"/>
  <c r="P109" i="1"/>
  <c r="P27" i="1"/>
  <c r="P112" i="1"/>
  <c r="P71" i="1"/>
  <c r="P99" i="1"/>
  <c r="P63" i="1"/>
  <c r="P292" i="1"/>
  <c r="P269" i="1"/>
  <c r="P77" i="1"/>
  <c r="P318" i="1"/>
  <c r="P272" i="1"/>
  <c r="P258" i="1"/>
  <c r="P316" i="1"/>
  <c r="P57" i="1"/>
  <c r="P163" i="1"/>
  <c r="P34" i="1"/>
  <c r="P212" i="1"/>
  <c r="P66" i="1"/>
  <c r="P26" i="1"/>
  <c r="P238" i="1"/>
  <c r="P162" i="1"/>
  <c r="P151" i="1"/>
  <c r="P251" i="1"/>
  <c r="P148" i="1"/>
  <c r="P119" i="1"/>
  <c r="P309" i="1"/>
  <c r="P16" i="1"/>
  <c r="P59" i="1"/>
  <c r="P187" i="1"/>
  <c r="P30" i="1"/>
  <c r="P194" i="1"/>
  <c r="P296" i="1"/>
  <c r="P125" i="1"/>
  <c r="P255" i="1"/>
  <c r="P13" i="1"/>
  <c r="P260" i="1"/>
  <c r="P130" i="1"/>
  <c r="P299" i="1"/>
  <c r="P168" i="1"/>
  <c r="P197" i="1"/>
  <c r="P35" i="1"/>
  <c r="P106" i="1"/>
  <c r="P61" i="1"/>
  <c r="P195" i="1"/>
  <c r="P257" i="1"/>
  <c r="P110" i="1"/>
  <c r="P302" i="1"/>
  <c r="P86" i="1"/>
  <c r="P277" i="1"/>
  <c r="P173" i="1"/>
  <c r="P275" i="1"/>
  <c r="P23" i="1"/>
  <c r="P73" i="1"/>
  <c r="P7" i="1"/>
  <c r="P32" i="1"/>
  <c r="P215" i="1"/>
  <c r="P51" i="1"/>
  <c r="P153" i="1"/>
  <c r="P218" i="1"/>
  <c r="P88" i="1"/>
  <c r="P232" i="1"/>
  <c r="P4" i="1"/>
  <c r="P84" i="1"/>
  <c r="P266" i="1"/>
  <c r="P283" i="1"/>
  <c r="P193" i="1"/>
  <c r="P289" i="1"/>
  <c r="P20" i="1"/>
  <c r="P62" i="1"/>
  <c r="P270" i="1"/>
  <c r="P95" i="1"/>
  <c r="P171" i="1"/>
  <c r="P320" i="1"/>
  <c r="P108" i="1"/>
  <c r="P46" i="1"/>
  <c r="P253" i="1"/>
  <c r="P233" i="1"/>
  <c r="P319" i="1"/>
  <c r="P274" i="1"/>
  <c r="P124" i="1"/>
  <c r="P165" i="1"/>
  <c r="P11" i="1"/>
  <c r="P94" i="1"/>
  <c r="P209" i="1"/>
  <c r="P184" i="1"/>
  <c r="P140" i="1"/>
  <c r="P294" i="1"/>
  <c r="P237" i="1"/>
  <c r="P199" i="1"/>
  <c r="P19" i="1"/>
  <c r="P157" i="1"/>
  <c r="P246" i="1"/>
  <c r="P69" i="1"/>
  <c r="P234" i="1"/>
  <c r="P240" i="1"/>
  <c r="P42" i="1"/>
  <c r="P58" i="1"/>
  <c r="P198" i="1"/>
  <c r="P141" i="1"/>
  <c r="P315" i="1"/>
  <c r="P128" i="1"/>
  <c r="P83" i="1"/>
  <c r="P236" i="1"/>
  <c r="P85" i="1"/>
  <c r="P182" i="1"/>
  <c r="P3" i="1"/>
  <c r="P205" i="1"/>
  <c r="P230" i="1"/>
  <c r="P314" i="1"/>
  <c r="P126" i="1"/>
  <c r="P284" i="1"/>
  <c r="P227" i="1"/>
  <c r="P180" i="1"/>
  <c r="P36" i="1"/>
  <c r="P223" i="1"/>
  <c r="P247" i="1"/>
  <c r="P175" i="1"/>
  <c r="P49" i="1"/>
  <c r="P131" i="1"/>
  <c r="P160" i="1"/>
  <c r="P245" i="1"/>
  <c r="P300" i="1"/>
  <c r="P152" i="1"/>
  <c r="P172" i="1"/>
  <c r="P68" i="1"/>
  <c r="P91" i="1"/>
  <c r="P6" i="1"/>
  <c r="P90" i="1"/>
  <c r="P72" i="1"/>
  <c r="P262" i="1"/>
  <c r="P52" i="1"/>
  <c r="P134" i="1"/>
  <c r="P248" i="1"/>
  <c r="P285" i="1"/>
  <c r="P113" i="1"/>
  <c r="P87" i="1"/>
  <c r="P38" i="1"/>
  <c r="P301" i="1"/>
  <c r="P252" i="1"/>
  <c r="P64" i="1"/>
  <c r="P293" i="1"/>
  <c r="P44" i="1"/>
  <c r="P244" i="1"/>
  <c r="P206" i="1"/>
  <c r="P174" i="1"/>
  <c r="P31" i="1"/>
  <c r="P312" i="1"/>
  <c r="P321" i="1"/>
  <c r="P2" i="1"/>
  <c r="P118" i="1"/>
  <c r="P133" i="1"/>
  <c r="P268" i="1"/>
  <c r="P167" i="1"/>
  <c r="P281" i="1"/>
  <c r="P138" i="1"/>
  <c r="P228" i="1"/>
  <c r="P225" i="1"/>
  <c r="P93" i="1"/>
  <c r="P204" i="1"/>
  <c r="P188" i="1"/>
  <c r="P98" i="1"/>
  <c r="P239" i="1"/>
  <c r="P286" i="1"/>
  <c r="P208" i="1"/>
  <c r="P41" i="1"/>
  <c r="P10" i="1"/>
  <c r="P303" i="1"/>
  <c r="P250" i="1"/>
  <c r="P231" i="1"/>
  <c r="P92" i="1"/>
  <c r="P317" i="1"/>
  <c r="P142" i="1"/>
  <c r="P114" i="1"/>
  <c r="P282" i="1"/>
  <c r="P54" i="1"/>
  <c r="P17" i="1"/>
  <c r="P102" i="1"/>
  <c r="P214" i="1"/>
  <c r="P164" i="1"/>
  <c r="P104" i="1"/>
  <c r="P241" i="1"/>
  <c r="P103" i="1"/>
  <c r="P217" i="1"/>
  <c r="P127" i="1"/>
  <c r="P18" i="1"/>
  <c r="P264" i="1"/>
  <c r="P120" i="1"/>
  <c r="P311" i="1"/>
  <c r="P154" i="1"/>
  <c r="P186" i="1"/>
  <c r="P224" i="1"/>
  <c r="P65" i="1"/>
  <c r="P150" i="1"/>
  <c r="P96" i="1"/>
  <c r="P203" i="1"/>
  <c r="P81" i="1"/>
  <c r="P28" i="1"/>
  <c r="P169" i="1"/>
  <c r="P191" i="1"/>
  <c r="P297" i="1"/>
  <c r="P279" i="1"/>
  <c r="P74" i="1"/>
  <c r="P135" i="1"/>
  <c r="P181" i="1"/>
  <c r="P288" i="1"/>
  <c r="P79" i="1"/>
  <c r="P207" i="1"/>
  <c r="P298" i="1"/>
  <c r="P249" i="1"/>
  <c r="P40" i="1"/>
  <c r="P179" i="1"/>
  <c r="P263" i="1"/>
  <c r="P307" i="1"/>
  <c r="P178" i="1"/>
  <c r="P136" i="1"/>
  <c r="P166" i="1"/>
  <c r="P100" i="1"/>
  <c r="P60" i="1"/>
  <c r="P211" i="1"/>
  <c r="P265" i="1"/>
  <c r="P139" i="1"/>
  <c r="P9" i="1"/>
  <c r="P80" i="1"/>
  <c r="P267" i="1"/>
  <c r="P70" i="1"/>
  <c r="P101" i="1"/>
  <c r="P278" i="1"/>
  <c r="P76" i="1"/>
  <c r="P177" i="1"/>
  <c r="P295" i="1"/>
  <c r="P185" i="1"/>
  <c r="P308" i="1"/>
  <c r="P5" i="1"/>
  <c r="P24" i="1"/>
  <c r="P50" i="1"/>
  <c r="P210" i="1"/>
  <c r="P149" i="1"/>
  <c r="P229" i="1"/>
  <c r="P305" i="1"/>
  <c r="P144" i="1"/>
  <c r="P39" i="1"/>
  <c r="P226" i="1"/>
  <c r="P290" i="1"/>
  <c r="P122" i="1"/>
  <c r="P132" i="1"/>
  <c r="P129" i="1"/>
  <c r="P176" i="1"/>
  <c r="P115" i="1"/>
  <c r="P8" i="1"/>
  <c r="P192" i="1"/>
  <c r="P235" i="1"/>
  <c r="P29" i="1"/>
  <c r="P291" i="1"/>
  <c r="P37" i="1"/>
  <c r="P220" i="1"/>
  <c r="P45" i="1"/>
  <c r="P67" i="1"/>
  <c r="P56" i="1"/>
  <c r="P14" i="1"/>
  <c r="P196" i="1"/>
  <c r="P43" i="1"/>
  <c r="P200" i="1"/>
  <c r="P170" i="1"/>
  <c r="P261" i="1"/>
  <c r="P53" i="1"/>
  <c r="P161" i="1"/>
  <c r="P242" i="1"/>
  <c r="P111" i="1"/>
  <c r="P143" i="1"/>
  <c r="P15" i="1"/>
  <c r="P107" i="1"/>
  <c r="P123" i="1"/>
  <c r="P306" i="1"/>
  <c r="P82" i="1"/>
  <c r="P310" i="1"/>
  <c r="P89" i="1"/>
  <c r="P25" i="1"/>
  <c r="P287" i="1"/>
  <c r="P12" i="1"/>
  <c r="P313" i="1"/>
  <c r="P147" i="1"/>
  <c r="P276" i="1"/>
  <c r="P219" i="1"/>
  <c r="P190" i="1"/>
  <c r="P158" i="1"/>
  <c r="P78" i="1"/>
</calcChain>
</file>

<file path=xl/sharedStrings.xml><?xml version="1.0" encoding="utf-8"?>
<sst xmlns="http://schemas.openxmlformats.org/spreadsheetml/2006/main" count="105" uniqueCount="19">
  <si>
    <t>Time (s)</t>
  </si>
  <si>
    <t>Image #</t>
  </si>
  <si>
    <t>Markers</t>
  </si>
  <si>
    <t>Slope of linear trendline</t>
  </si>
  <si>
    <r>
      <t>R</t>
    </r>
    <r>
      <rPr>
        <b/>
        <vertAlign val="subscript"/>
        <sz val="10"/>
        <rFont val="Arial"/>
        <family val="2"/>
      </rPr>
      <t>0</t>
    </r>
  </si>
  <si>
    <r>
      <rPr>
        <b/>
        <sz val="10"/>
        <rFont val="Symbol"/>
        <family val="1"/>
      </rPr>
      <t>D</t>
    </r>
    <r>
      <rPr>
        <b/>
        <sz val="10"/>
        <rFont val="Arial"/>
        <family val="2"/>
      </rPr>
      <t>R/R</t>
    </r>
    <r>
      <rPr>
        <b/>
        <vertAlign val="subscript"/>
        <sz val="10"/>
        <rFont val="Arial"/>
        <family val="2"/>
      </rPr>
      <t>0</t>
    </r>
  </si>
  <si>
    <t>21% O2</t>
  </si>
  <si>
    <r>
      <t>R</t>
    </r>
    <r>
      <rPr>
        <b/>
        <vertAlign val="superscript"/>
        <sz val="10"/>
        <rFont val="Arial"/>
        <family val="2"/>
      </rPr>
      <t>2</t>
    </r>
  </si>
  <si>
    <t>For baseline correction:</t>
  </si>
  <si>
    <t>For O2 pulse line:</t>
  </si>
  <si>
    <t>R1_DensMeanChannel0::R1_mScarlet</t>
  </si>
  <si>
    <t>R1_DensMeanChannel1::R1_eGFP</t>
  </si>
  <si>
    <t>R2_DensMeanChannel0::R2_mScarlet</t>
  </si>
  <si>
    <t>R2_DensMeanChannel1::R2_eGFP</t>
  </si>
  <si>
    <t>GFP</t>
  </si>
  <si>
    <t>mScarlet</t>
  </si>
  <si>
    <t>GFP/mScarlet ratio</t>
  </si>
  <si>
    <t>GFP/mScarlet, baseline-adjusted</t>
  </si>
  <si>
    <t>GFP adjust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</si>
</sst>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0"/>
      <name val="Symbol"/>
      <family val="1"/>
    </font>
    <font>
      <b/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/>
    <xf numFmtId="0" fontId="1" fillId="0" borderId="0" xfId="0" applyFont="1"/>
    <xf numFmtId="0" fontId="2" fillId="0" borderId="0" xfId="1" applyFont="1" applyAlignment="1">
      <alignment wrapText="1"/>
    </xf>
    <xf numFmtId="0" fontId="1" fillId="2" borderId="0" xfId="1" applyFill="1"/>
    <xf numFmtId="164" fontId="1" fillId="2" borderId="0" xfId="1" applyNumberFormat="1" applyFill="1"/>
    <xf numFmtId="2" fontId="1" fillId="2" borderId="0" xfId="1" applyNumberFormat="1" applyFill="1"/>
    <xf numFmtId="165" fontId="1" fillId="2" borderId="0" xfId="1" applyNumberFormat="1" applyFill="1"/>
    <xf numFmtId="0" fontId="1" fillId="0" borderId="0" xfId="1"/>
    <xf numFmtId="164" fontId="1" fillId="0" borderId="0" xfId="1" applyNumberFormat="1"/>
    <xf numFmtId="2" fontId="1" fillId="0" borderId="0" xfId="1" applyNumberFormat="1"/>
    <xf numFmtId="165" fontId="1" fillId="0" borderId="0" xfId="1" applyNumberFormat="1"/>
    <xf numFmtId="0" fontId="1" fillId="0" borderId="0" xfId="1" quotePrefix="1"/>
    <xf numFmtId="0" fontId="1" fillId="3" borderId="0" xfId="1" applyFill="1"/>
    <xf numFmtId="164" fontId="1" fillId="3" borderId="0" xfId="1" applyNumberFormat="1" applyFill="1"/>
    <xf numFmtId="2" fontId="1" fillId="3" borderId="0" xfId="1" applyNumberFormat="1" applyFill="1"/>
  </cellXfs>
  <cellStyles count="2">
    <cellStyle name="Normal" xfId="0" builtinId="0"/>
    <cellStyle name="Normal 2" xfId="1" xr:uid="{1D49C091-8A5D-49A2-90C3-7E5CC801D3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'240828E015'!$A$2:$A$321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'240828E015'!$J$2:$J$321</c:f>
              <c:numCache>
                <c:formatCode>0.0</c:formatCode>
                <c:ptCount val="320"/>
                <c:pt idx="0">
                  <c:v>301.71746805135001</c:v>
                </c:pt>
                <c:pt idx="1">
                  <c:v>306.24933311241</c:v>
                </c:pt>
                <c:pt idx="2">
                  <c:v>305.41533251828997</c:v>
                </c:pt>
                <c:pt idx="3">
                  <c:v>308.55429368133002</c:v>
                </c:pt>
                <c:pt idx="4">
                  <c:v>300.04543418972997</c:v>
                </c:pt>
                <c:pt idx="5">
                  <c:v>278.82940888456994</c:v>
                </c:pt>
                <c:pt idx="6">
                  <c:v>301.60186474757995</c:v>
                </c:pt>
                <c:pt idx="7">
                  <c:v>334.20604290831</c:v>
                </c:pt>
                <c:pt idx="8">
                  <c:v>297.35855612299002</c:v>
                </c:pt>
                <c:pt idx="9">
                  <c:v>353.52699088982001</c:v>
                </c:pt>
                <c:pt idx="10">
                  <c:v>274.16794883078001</c:v>
                </c:pt>
                <c:pt idx="11">
                  <c:v>376.90573086930999</c:v>
                </c:pt>
                <c:pt idx="12">
                  <c:v>373.38678101769</c:v>
                </c:pt>
                <c:pt idx="13">
                  <c:v>389.32628047085001</c:v>
                </c:pt>
                <c:pt idx="14">
                  <c:v>390.34379368841002</c:v>
                </c:pt>
                <c:pt idx="15">
                  <c:v>389.81880500545003</c:v>
                </c:pt>
                <c:pt idx="16">
                  <c:v>392.65927849385002</c:v>
                </c:pt>
                <c:pt idx="17">
                  <c:v>384.45981431591008</c:v>
                </c:pt>
                <c:pt idx="18">
                  <c:v>387.14222639415993</c:v>
                </c:pt>
                <c:pt idx="19">
                  <c:v>412.54561522610999</c:v>
                </c:pt>
                <c:pt idx="20">
                  <c:v>411.10807316979003</c:v>
                </c:pt>
                <c:pt idx="21">
                  <c:v>405.35287089568004</c:v>
                </c:pt>
                <c:pt idx="22">
                  <c:v>407.18613644045001</c:v>
                </c:pt>
                <c:pt idx="23">
                  <c:v>415.62071074018002</c:v>
                </c:pt>
                <c:pt idx="24">
                  <c:v>402.16729013612996</c:v>
                </c:pt>
                <c:pt idx="25">
                  <c:v>401.77028864160002</c:v>
                </c:pt>
                <c:pt idx="26">
                  <c:v>398.77854554673002</c:v>
                </c:pt>
                <c:pt idx="27">
                  <c:v>401.74287287507002</c:v>
                </c:pt>
                <c:pt idx="28">
                  <c:v>407.47895844193999</c:v>
                </c:pt>
                <c:pt idx="29">
                  <c:v>408.35850271514994</c:v>
                </c:pt>
                <c:pt idx="30">
                  <c:v>401.19619706135995</c:v>
                </c:pt>
                <c:pt idx="31">
                  <c:v>405.30769230768999</c:v>
                </c:pt>
                <c:pt idx="32">
                  <c:v>403.44857389800995</c:v>
                </c:pt>
                <c:pt idx="33">
                  <c:v>392.64411219089993</c:v>
                </c:pt>
                <c:pt idx="34">
                  <c:v>401.02512053580995</c:v>
                </c:pt>
                <c:pt idx="35">
                  <c:v>395.45030250648</c:v>
                </c:pt>
                <c:pt idx="36">
                  <c:v>394.00272973595003</c:v>
                </c:pt>
                <c:pt idx="37">
                  <c:v>386.89256832937997</c:v>
                </c:pt>
                <c:pt idx="38">
                  <c:v>385.04022875845999</c:v>
                </c:pt>
                <c:pt idx="39">
                  <c:v>389.42495997767003</c:v>
                </c:pt>
                <c:pt idx="40">
                  <c:v>375.70582247012999</c:v>
                </c:pt>
                <c:pt idx="41">
                  <c:v>376.01920403816996</c:v>
                </c:pt>
                <c:pt idx="42">
                  <c:v>386.82731810257002</c:v>
                </c:pt>
                <c:pt idx="43">
                  <c:v>386.89286117373001</c:v>
                </c:pt>
                <c:pt idx="44">
                  <c:v>387.97444733536003</c:v>
                </c:pt>
                <c:pt idx="45">
                  <c:v>389.14986025597</c:v>
                </c:pt>
                <c:pt idx="46">
                  <c:v>396.58837119293992</c:v>
                </c:pt>
                <c:pt idx="47">
                  <c:v>385.05243246830003</c:v>
                </c:pt>
                <c:pt idx="48">
                  <c:v>391.58472828854997</c:v>
                </c:pt>
                <c:pt idx="49">
                  <c:v>389.26114292490001</c:v>
                </c:pt>
                <c:pt idx="50">
                  <c:v>389.77558366637004</c:v>
                </c:pt>
                <c:pt idx="51">
                  <c:v>383.60147446276</c:v>
                </c:pt>
                <c:pt idx="52">
                  <c:v>383.17299955330003</c:v>
                </c:pt>
                <c:pt idx="53">
                  <c:v>387.01469766577998</c:v>
                </c:pt>
                <c:pt idx="54">
                  <c:v>390.19334201132995</c:v>
                </c:pt>
                <c:pt idx="55">
                  <c:v>392.30188259542996</c:v>
                </c:pt>
                <c:pt idx="56">
                  <c:v>393.75844793727998</c:v>
                </c:pt>
                <c:pt idx="57">
                  <c:v>393.11850479860999</c:v>
                </c:pt>
                <c:pt idx="58">
                  <c:v>386.77945412521996</c:v>
                </c:pt>
                <c:pt idx="59">
                  <c:v>394.12721899251994</c:v>
                </c:pt>
                <c:pt idx="60">
                  <c:v>390.86825876400002</c:v>
                </c:pt>
                <c:pt idx="61">
                  <c:v>397.15916379688997</c:v>
                </c:pt>
                <c:pt idx="62">
                  <c:v>391.87018135410005</c:v>
                </c:pt>
                <c:pt idx="63">
                  <c:v>393.24980863973997</c:v>
                </c:pt>
                <c:pt idx="64">
                  <c:v>390.29656719927999</c:v>
                </c:pt>
                <c:pt idx="65">
                  <c:v>386.23092542129007</c:v>
                </c:pt>
                <c:pt idx="66">
                  <c:v>384.24246249362</c:v>
                </c:pt>
                <c:pt idx="67">
                  <c:v>377.51697558097004</c:v>
                </c:pt>
                <c:pt idx="68">
                  <c:v>381.63544458353999</c:v>
                </c:pt>
                <c:pt idx="69">
                  <c:v>394.52619457584001</c:v>
                </c:pt>
                <c:pt idx="70">
                  <c:v>398.07599119025002</c:v>
                </c:pt>
                <c:pt idx="71">
                  <c:v>388.44686030785999</c:v>
                </c:pt>
                <c:pt idx="72">
                  <c:v>370.61854522053</c:v>
                </c:pt>
                <c:pt idx="73">
                  <c:v>377.35789178851002</c:v>
                </c:pt>
                <c:pt idx="74">
                  <c:v>377.69293170344997</c:v>
                </c:pt>
                <c:pt idx="75">
                  <c:v>371.45628274021999</c:v>
                </c:pt>
                <c:pt idx="76">
                  <c:v>381.42306940739002</c:v>
                </c:pt>
                <c:pt idx="77">
                  <c:v>380.95476882280997</c:v>
                </c:pt>
                <c:pt idx="78">
                  <c:v>388.11050289702001</c:v>
                </c:pt>
                <c:pt idx="79">
                  <c:v>382.54355532107991</c:v>
                </c:pt>
                <c:pt idx="80">
                  <c:v>382.93792424803996</c:v>
                </c:pt>
                <c:pt idx="81">
                  <c:v>401.90241321853</c:v>
                </c:pt>
                <c:pt idx="82">
                  <c:v>392.82481506818004</c:v>
                </c:pt>
                <c:pt idx="83">
                  <c:v>400.53106201290007</c:v>
                </c:pt>
                <c:pt idx="84">
                  <c:v>392.76162323995004</c:v>
                </c:pt>
                <c:pt idx="85">
                  <c:v>396.34085575880999</c:v>
                </c:pt>
                <c:pt idx="86">
                  <c:v>393.55454015035002</c:v>
                </c:pt>
                <c:pt idx="87">
                  <c:v>389.52758452121998</c:v>
                </c:pt>
                <c:pt idx="88">
                  <c:v>384.16207540961</c:v>
                </c:pt>
                <c:pt idx="89">
                  <c:v>386.86263184762004</c:v>
                </c:pt>
                <c:pt idx="90">
                  <c:v>392.06999065232003</c:v>
                </c:pt>
                <c:pt idx="91">
                  <c:v>413.63676283957</c:v>
                </c:pt>
                <c:pt idx="92">
                  <c:v>429.68058598778003</c:v>
                </c:pt>
                <c:pt idx="93">
                  <c:v>438.45312704972991</c:v>
                </c:pt>
                <c:pt idx="94">
                  <c:v>442.74080842806006</c:v>
                </c:pt>
                <c:pt idx="95">
                  <c:v>452.31749650118002</c:v>
                </c:pt>
                <c:pt idx="96">
                  <c:v>458.47888526493</c:v>
                </c:pt>
                <c:pt idx="97">
                  <c:v>448.36302427022997</c:v>
                </c:pt>
                <c:pt idx="98">
                  <c:v>448.09661009037995</c:v>
                </c:pt>
                <c:pt idx="99">
                  <c:v>430.49178910976002</c:v>
                </c:pt>
                <c:pt idx="100">
                  <c:v>428.20311149524002</c:v>
                </c:pt>
                <c:pt idx="101">
                  <c:v>424.38552604425996</c:v>
                </c:pt>
                <c:pt idx="102">
                  <c:v>430.42675993576006</c:v>
                </c:pt>
                <c:pt idx="103">
                  <c:v>421.03139981397999</c:v>
                </c:pt>
                <c:pt idx="104">
                  <c:v>427.26506850134001</c:v>
                </c:pt>
                <c:pt idx="105">
                  <c:v>418.9433415446</c:v>
                </c:pt>
                <c:pt idx="106">
                  <c:v>412.67215630810995</c:v>
                </c:pt>
                <c:pt idx="107">
                  <c:v>414.33997837368997</c:v>
                </c:pt>
                <c:pt idx="108">
                  <c:v>413.59886163711008</c:v>
                </c:pt>
                <c:pt idx="109">
                  <c:v>405.03795967229996</c:v>
                </c:pt>
                <c:pt idx="110">
                  <c:v>407.07635486996998</c:v>
                </c:pt>
                <c:pt idx="111">
                  <c:v>403.77756497086995</c:v>
                </c:pt>
                <c:pt idx="112">
                  <c:v>397.50576415213993</c:v>
                </c:pt>
                <c:pt idx="113">
                  <c:v>393.11185955842996</c:v>
                </c:pt>
                <c:pt idx="114">
                  <c:v>395.90320392257996</c:v>
                </c:pt>
                <c:pt idx="115">
                  <c:v>391.61009759217006</c:v>
                </c:pt>
                <c:pt idx="116">
                  <c:v>385.36571613190006</c:v>
                </c:pt>
                <c:pt idx="117">
                  <c:v>377.97226130623005</c:v>
                </c:pt>
                <c:pt idx="118">
                  <c:v>377.95254722377001</c:v>
                </c:pt>
                <c:pt idx="119">
                  <c:v>379.62024960626997</c:v>
                </c:pt>
                <c:pt idx="120">
                  <c:v>376.91553806124</c:v>
                </c:pt>
                <c:pt idx="121">
                  <c:v>373.65638022190001</c:v>
                </c:pt>
                <c:pt idx="122">
                  <c:v>370.88293737505001</c:v>
                </c:pt>
                <c:pt idx="123">
                  <c:v>370.19549917130001</c:v>
                </c:pt>
                <c:pt idx="124">
                  <c:v>369.07483384495998</c:v>
                </c:pt>
                <c:pt idx="125">
                  <c:v>368.90445116681002</c:v>
                </c:pt>
                <c:pt idx="126">
                  <c:v>368.85631240127998</c:v>
                </c:pt>
                <c:pt idx="127">
                  <c:v>362.83481303615997</c:v>
                </c:pt>
                <c:pt idx="128">
                  <c:v>360.94610905811999</c:v>
                </c:pt>
                <c:pt idx="129">
                  <c:v>360.77490192318999</c:v>
                </c:pt>
                <c:pt idx="130">
                  <c:v>356.04837257654003</c:v>
                </c:pt>
                <c:pt idx="131">
                  <c:v>357.18795546362003</c:v>
                </c:pt>
                <c:pt idx="132">
                  <c:v>362.36908187521999</c:v>
                </c:pt>
                <c:pt idx="133">
                  <c:v>366.97178151345003</c:v>
                </c:pt>
                <c:pt idx="134">
                  <c:v>359.92325112972998</c:v>
                </c:pt>
                <c:pt idx="135">
                  <c:v>363.24018037782997</c:v>
                </c:pt>
                <c:pt idx="136">
                  <c:v>357.82843225354003</c:v>
                </c:pt>
                <c:pt idx="137">
                  <c:v>356.10371650821003</c:v>
                </c:pt>
                <c:pt idx="138">
                  <c:v>362.30656841208997</c:v>
                </c:pt>
                <c:pt idx="139">
                  <c:v>358.24350796480996</c:v>
                </c:pt>
                <c:pt idx="140">
                  <c:v>357.92445890954002</c:v>
                </c:pt>
                <c:pt idx="141">
                  <c:v>354.41137805507003</c:v>
                </c:pt>
                <c:pt idx="142">
                  <c:v>355.35777610762</c:v>
                </c:pt>
                <c:pt idx="143">
                  <c:v>350.92170831611003</c:v>
                </c:pt>
                <c:pt idx="144">
                  <c:v>347.87555296682001</c:v>
                </c:pt>
                <c:pt idx="145">
                  <c:v>344.01365300063003</c:v>
                </c:pt>
                <c:pt idx="146">
                  <c:v>347.11024989665998</c:v>
                </c:pt>
                <c:pt idx="147">
                  <c:v>342.13876517230005</c:v>
                </c:pt>
                <c:pt idx="148">
                  <c:v>341.00960655367999</c:v>
                </c:pt>
                <c:pt idx="149">
                  <c:v>338.58972755627997</c:v>
                </c:pt>
                <c:pt idx="150">
                  <c:v>343.6129893653</c:v>
                </c:pt>
                <c:pt idx="151">
                  <c:v>344.02349629852</c:v>
                </c:pt>
                <c:pt idx="152">
                  <c:v>342.41106685205</c:v>
                </c:pt>
                <c:pt idx="153">
                  <c:v>336.91007628424001</c:v>
                </c:pt>
                <c:pt idx="154">
                  <c:v>331.40777724148001</c:v>
                </c:pt>
                <c:pt idx="155">
                  <c:v>326.82060411498998</c:v>
                </c:pt>
                <c:pt idx="156">
                  <c:v>344.10701957218998</c:v>
                </c:pt>
                <c:pt idx="157">
                  <c:v>345.62610947105003</c:v>
                </c:pt>
                <c:pt idx="158">
                  <c:v>351.13508064969005</c:v>
                </c:pt>
                <c:pt idx="159">
                  <c:v>352.70705174975001</c:v>
                </c:pt>
                <c:pt idx="160">
                  <c:v>352.54357627391005</c:v>
                </c:pt>
                <c:pt idx="161">
                  <c:v>351.75398010229998</c:v>
                </c:pt>
                <c:pt idx="162">
                  <c:v>345.62406133192997</c:v>
                </c:pt>
                <c:pt idx="163">
                  <c:v>342.70441169316996</c:v>
                </c:pt>
                <c:pt idx="164">
                  <c:v>352.20198564504</c:v>
                </c:pt>
                <c:pt idx="165">
                  <c:v>346.97467363121001</c:v>
                </c:pt>
                <c:pt idx="166">
                  <c:v>352.96467642422999</c:v>
                </c:pt>
                <c:pt idx="167">
                  <c:v>355.60629147689002</c:v>
                </c:pt>
                <c:pt idx="168">
                  <c:v>359.64818331622996</c:v>
                </c:pt>
                <c:pt idx="169">
                  <c:v>358.59632132378999</c:v>
                </c:pt>
                <c:pt idx="170">
                  <c:v>361.81152933998999</c:v>
                </c:pt>
                <c:pt idx="171">
                  <c:v>357.86760743242002</c:v>
                </c:pt>
                <c:pt idx="172">
                  <c:v>356.64913808829999</c:v>
                </c:pt>
                <c:pt idx="173">
                  <c:v>355.07907406712002</c:v>
                </c:pt>
                <c:pt idx="174">
                  <c:v>353.18081996166995</c:v>
                </c:pt>
                <c:pt idx="175">
                  <c:v>352.71074067115001</c:v>
                </c:pt>
                <c:pt idx="176">
                  <c:v>352.60661681260001</c:v>
                </c:pt>
                <c:pt idx="177">
                  <c:v>345.07774153545006</c:v>
                </c:pt>
                <c:pt idx="178">
                  <c:v>359.2461499346</c:v>
                </c:pt>
                <c:pt idx="179">
                  <c:v>356.6034415707</c:v>
                </c:pt>
                <c:pt idx="180">
                  <c:v>357.07540809979002</c:v>
                </c:pt>
                <c:pt idx="181">
                  <c:v>360.77817996634002</c:v>
                </c:pt>
                <c:pt idx="182">
                  <c:v>357.64876836645999</c:v>
                </c:pt>
                <c:pt idx="183">
                  <c:v>355.58996140434999</c:v>
                </c:pt>
                <c:pt idx="184">
                  <c:v>352.46534065509002</c:v>
                </c:pt>
                <c:pt idx="185">
                  <c:v>355.27304413912998</c:v>
                </c:pt>
                <c:pt idx="186">
                  <c:v>360.89620396379001</c:v>
                </c:pt>
                <c:pt idx="187">
                  <c:v>361.65481399452005</c:v>
                </c:pt>
                <c:pt idx="188">
                  <c:v>362.91413677614003</c:v>
                </c:pt>
                <c:pt idx="189">
                  <c:v>364.80985306827995</c:v>
                </c:pt>
                <c:pt idx="190">
                  <c:v>363.32459848663996</c:v>
                </c:pt>
                <c:pt idx="191">
                  <c:v>362.00825418008003</c:v>
                </c:pt>
                <c:pt idx="192">
                  <c:v>368.64244898141999</c:v>
                </c:pt>
                <c:pt idx="193">
                  <c:v>365.26930148503004</c:v>
                </c:pt>
                <c:pt idx="194">
                  <c:v>367.08225257888</c:v>
                </c:pt>
                <c:pt idx="195">
                  <c:v>360.92378033951002</c:v>
                </c:pt>
                <c:pt idx="196">
                  <c:v>366.83785951875996</c:v>
                </c:pt>
                <c:pt idx="197">
                  <c:v>361.98545050454999</c:v>
                </c:pt>
                <c:pt idx="198">
                  <c:v>364.52339271214998</c:v>
                </c:pt>
                <c:pt idx="199">
                  <c:v>358.02043200244998</c:v>
                </c:pt>
                <c:pt idx="200">
                  <c:v>355.92302304436998</c:v>
                </c:pt>
                <c:pt idx="201">
                  <c:v>363.28854984781003</c:v>
                </c:pt>
                <c:pt idx="202">
                  <c:v>359.16664837848998</c:v>
                </c:pt>
                <c:pt idx="203">
                  <c:v>370.08564503400999</c:v>
                </c:pt>
                <c:pt idx="204">
                  <c:v>359.68625756265999</c:v>
                </c:pt>
                <c:pt idx="205">
                  <c:v>354.84269662921002</c:v>
                </c:pt>
                <c:pt idx="206">
                  <c:v>364.36732929991001</c:v>
                </c:pt>
                <c:pt idx="207">
                  <c:v>371.51214719153995</c:v>
                </c:pt>
                <c:pt idx="208">
                  <c:v>365.22749298457001</c:v>
                </c:pt>
                <c:pt idx="209">
                  <c:v>371.27864012128998</c:v>
                </c:pt>
                <c:pt idx="210">
                  <c:v>372.36548805404999</c:v>
                </c:pt>
                <c:pt idx="211">
                  <c:v>370.61305151959004</c:v>
                </c:pt>
                <c:pt idx="212">
                  <c:v>364.16974604773998</c:v>
                </c:pt>
                <c:pt idx="213">
                  <c:v>360.43170607347997</c:v>
                </c:pt>
                <c:pt idx="214">
                  <c:v>361.49932229836998</c:v>
                </c:pt>
                <c:pt idx="215">
                  <c:v>359.34113284678995</c:v>
                </c:pt>
                <c:pt idx="216">
                  <c:v>359.94976597704999</c:v>
                </c:pt>
                <c:pt idx="217">
                  <c:v>358.61506322336999</c:v>
                </c:pt>
                <c:pt idx="218">
                  <c:v>356.57825557724004</c:v>
                </c:pt>
                <c:pt idx="219">
                  <c:v>357.98439146148996</c:v>
                </c:pt>
                <c:pt idx="220">
                  <c:v>361.53593395544999</c:v>
                </c:pt>
                <c:pt idx="221">
                  <c:v>359.04577731013001</c:v>
                </c:pt>
                <c:pt idx="222">
                  <c:v>361.23254969748996</c:v>
                </c:pt>
                <c:pt idx="223">
                  <c:v>363.13471872534001</c:v>
                </c:pt>
                <c:pt idx="224">
                  <c:v>370.89372966066003</c:v>
                </c:pt>
                <c:pt idx="225">
                  <c:v>368.75926045620002</c:v>
                </c:pt>
                <c:pt idx="226">
                  <c:v>367.6791251738</c:v>
                </c:pt>
                <c:pt idx="227">
                  <c:v>370.30124760438002</c:v>
                </c:pt>
                <c:pt idx="228">
                  <c:v>371.93251512532004</c:v>
                </c:pt>
                <c:pt idx="229">
                  <c:v>373.29686971553002</c:v>
                </c:pt>
                <c:pt idx="230">
                  <c:v>365.53558152644001</c:v>
                </c:pt>
                <c:pt idx="231">
                  <c:v>362.34015231492998</c:v>
                </c:pt>
                <c:pt idx="232">
                  <c:v>356.44484079157002</c:v>
                </c:pt>
                <c:pt idx="233">
                  <c:v>349.82751149166</c:v>
                </c:pt>
                <c:pt idx="234">
                  <c:v>364.94900605012998</c:v>
                </c:pt>
                <c:pt idx="235">
                  <c:v>363.71899412166999</c:v>
                </c:pt>
                <c:pt idx="236">
                  <c:v>361.22214854111996</c:v>
                </c:pt>
                <c:pt idx="237">
                  <c:v>364.42997198462001</c:v>
                </c:pt>
                <c:pt idx="238">
                  <c:v>359.02894517305003</c:v>
                </c:pt>
                <c:pt idx="239">
                  <c:v>351.14565104656003</c:v>
                </c:pt>
                <c:pt idx="240">
                  <c:v>353.70052910451</c:v>
                </c:pt>
                <c:pt idx="241">
                  <c:v>352.45261207772</c:v>
                </c:pt>
                <c:pt idx="242">
                  <c:v>352.28305888543002</c:v>
                </c:pt>
                <c:pt idx="243">
                  <c:v>351.87751681635007</c:v>
                </c:pt>
                <c:pt idx="244">
                  <c:v>352.69604073504001</c:v>
                </c:pt>
                <c:pt idx="245">
                  <c:v>360.99684884403996</c:v>
                </c:pt>
                <c:pt idx="246">
                  <c:v>364.44590540546</c:v>
                </c:pt>
                <c:pt idx="247">
                  <c:v>367.68906299692003</c:v>
                </c:pt>
                <c:pt idx="248">
                  <c:v>370.00177275906998</c:v>
                </c:pt>
                <c:pt idx="249">
                  <c:v>372.20812163091</c:v>
                </c:pt>
                <c:pt idx="250">
                  <c:v>374.02191059625</c:v>
                </c:pt>
                <c:pt idx="251">
                  <c:v>369.72020960680999</c:v>
                </c:pt>
                <c:pt idx="252">
                  <c:v>371.97410511756004</c:v>
                </c:pt>
                <c:pt idx="253">
                  <c:v>368.42047842701004</c:v>
                </c:pt>
                <c:pt idx="254">
                  <c:v>368.81481183701999</c:v>
                </c:pt>
                <c:pt idx="255">
                  <c:v>369.63176595179999</c:v>
                </c:pt>
                <c:pt idx="256">
                  <c:v>369.8802698966</c:v>
                </c:pt>
                <c:pt idx="257">
                  <c:v>370.04596915167997</c:v>
                </c:pt>
                <c:pt idx="258">
                  <c:v>371.48641903926</c:v>
                </c:pt>
                <c:pt idx="259">
                  <c:v>372.60159244684996</c:v>
                </c:pt>
                <c:pt idx="260">
                  <c:v>371.21481330579002</c:v>
                </c:pt>
                <c:pt idx="261">
                  <c:v>371.00999791788001</c:v>
                </c:pt>
                <c:pt idx="262">
                  <c:v>369.59535432729001</c:v>
                </c:pt>
                <c:pt idx="263">
                  <c:v>370.90558637126003</c:v>
                </c:pt>
                <c:pt idx="264">
                  <c:v>373.34006776625</c:v>
                </c:pt>
                <c:pt idx="265">
                  <c:v>374.56710865518005</c:v>
                </c:pt>
                <c:pt idx="266">
                  <c:v>377.27452228196995</c:v>
                </c:pt>
                <c:pt idx="267">
                  <c:v>377.27798175557996</c:v>
                </c:pt>
                <c:pt idx="268">
                  <c:v>369.65871566947999</c:v>
                </c:pt>
                <c:pt idx="269">
                  <c:v>369.35083681049002</c:v>
                </c:pt>
                <c:pt idx="270">
                  <c:v>372.29375699483001</c:v>
                </c:pt>
                <c:pt idx="271">
                  <c:v>366.25021420202995</c:v>
                </c:pt>
                <c:pt idx="272">
                  <c:v>367.32363733404998</c:v>
                </c:pt>
                <c:pt idx="273">
                  <c:v>365.30550343659996</c:v>
                </c:pt>
                <c:pt idx="274">
                  <c:v>362.11269370815</c:v>
                </c:pt>
                <c:pt idx="275">
                  <c:v>361.56681462212998</c:v>
                </c:pt>
                <c:pt idx="276">
                  <c:v>364.44140715638002</c:v>
                </c:pt>
                <c:pt idx="277">
                  <c:v>364.45078567655997</c:v>
                </c:pt>
                <c:pt idx="278">
                  <c:v>360.99754813694</c:v>
                </c:pt>
                <c:pt idx="279">
                  <c:v>370.25230181024</c:v>
                </c:pt>
                <c:pt idx="280">
                  <c:v>364.92792212859001</c:v>
                </c:pt>
                <c:pt idx="281">
                  <c:v>364.29190299985999</c:v>
                </c:pt>
                <c:pt idx="282">
                  <c:v>362.30994460049999</c:v>
                </c:pt>
                <c:pt idx="283">
                  <c:v>361.21609556563999</c:v>
                </c:pt>
                <c:pt idx="284">
                  <c:v>364.14252241789001</c:v>
                </c:pt>
                <c:pt idx="285">
                  <c:v>367.00019731945002</c:v>
                </c:pt>
                <c:pt idx="286">
                  <c:v>370.20343485907</c:v>
                </c:pt>
                <c:pt idx="287">
                  <c:v>369.40384783754996</c:v>
                </c:pt>
                <c:pt idx="288">
                  <c:v>369.04031698639</c:v>
                </c:pt>
                <c:pt idx="289">
                  <c:v>363.24185851600998</c:v>
                </c:pt>
                <c:pt idx="290">
                  <c:v>372.45462402764997</c:v>
                </c:pt>
                <c:pt idx="291">
                  <c:v>368.29213483145998</c:v>
                </c:pt>
                <c:pt idx="292">
                  <c:v>370.19533275713002</c:v>
                </c:pt>
                <c:pt idx="293">
                  <c:v>365.21002592912998</c:v>
                </c:pt>
                <c:pt idx="294">
                  <c:v>366.42696629213003</c:v>
                </c:pt>
                <c:pt idx="295">
                  <c:v>363.09680207432996</c:v>
                </c:pt>
                <c:pt idx="296">
                  <c:v>364.94641313743</c:v>
                </c:pt>
                <c:pt idx="297">
                  <c:v>361.03802938633999</c:v>
                </c:pt>
                <c:pt idx="298">
                  <c:v>357.56647380291997</c:v>
                </c:pt>
                <c:pt idx="299">
                  <c:v>362.87090817626</c:v>
                </c:pt>
                <c:pt idx="300">
                  <c:v>364.77600115241</c:v>
                </c:pt>
                <c:pt idx="301">
                  <c:v>363.84180844091998</c:v>
                </c:pt>
                <c:pt idx="302">
                  <c:v>371.15417754510997</c:v>
                </c:pt>
                <c:pt idx="303">
                  <c:v>367.92503690831995</c:v>
                </c:pt>
                <c:pt idx="304">
                  <c:v>370.83232497839003</c:v>
                </c:pt>
                <c:pt idx="305">
                  <c:v>373.05012964563997</c:v>
                </c:pt>
                <c:pt idx="306">
                  <c:v>362.78478824545999</c:v>
                </c:pt>
                <c:pt idx="307">
                  <c:v>361.88331892826</c:v>
                </c:pt>
                <c:pt idx="308">
                  <c:v>371.62834917890996</c:v>
                </c:pt>
                <c:pt idx="309">
                  <c:v>358.04148660327996</c:v>
                </c:pt>
                <c:pt idx="310">
                  <c:v>359.62316335349999</c:v>
                </c:pt>
                <c:pt idx="311">
                  <c:v>359.66637856526</c:v>
                </c:pt>
                <c:pt idx="312">
                  <c:v>370.70700086429997</c:v>
                </c:pt>
                <c:pt idx="313">
                  <c:v>364.14001728608002</c:v>
                </c:pt>
                <c:pt idx="314">
                  <c:v>365.18150388936999</c:v>
                </c:pt>
                <c:pt idx="315">
                  <c:v>369.09593777010002</c:v>
                </c:pt>
                <c:pt idx="316">
                  <c:v>363.20051858253998</c:v>
                </c:pt>
                <c:pt idx="317">
                  <c:v>360.72428694899997</c:v>
                </c:pt>
                <c:pt idx="318">
                  <c:v>359.69230769231001</c:v>
                </c:pt>
                <c:pt idx="319">
                  <c:v>367.33448573897999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5C-8144-A93A-F6DBE89F6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CD-0741-B0B1-4246C99AF5FA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'240828E015'!$A$2:$A$321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'240828E015'!$P$2:$P$321</c:f>
              <c:numCache>
                <c:formatCode>General</c:formatCode>
                <c:ptCount val="320"/>
                <c:pt idx="0">
                  <c:v>24.799383505193259</c:v>
                </c:pt>
                <c:pt idx="1">
                  <c:v>40.709255309677822</c:v>
                </c:pt>
                <c:pt idx="2">
                  <c:v>55.264894611709195</c:v>
                </c:pt>
                <c:pt idx="3">
                  <c:v>54.483533707302058</c:v>
                </c:pt>
                <c:pt idx="4">
                  <c:v>45.671842970629584</c:v>
                </c:pt>
                <c:pt idx="5">
                  <c:v>42.401129531677313</c:v>
                </c:pt>
                <c:pt idx="6">
                  <c:v>34.166114231297442</c:v>
                </c:pt>
                <c:pt idx="7">
                  <c:v>25.525921400671457</c:v>
                </c:pt>
                <c:pt idx="8">
                  <c:v>28.480794345269604</c:v>
                </c:pt>
                <c:pt idx="9">
                  <c:v>18.80192099351304</c:v>
                </c:pt>
                <c:pt idx="10">
                  <c:v>21.727809748356833</c:v>
                </c:pt>
                <c:pt idx="11">
                  <c:v>9.4413222341789762</c:v>
                </c:pt>
                <c:pt idx="12">
                  <c:v>5.4886234291380127</c:v>
                </c:pt>
                <c:pt idx="13">
                  <c:v>0.82323001669592011</c:v>
                </c:pt>
                <c:pt idx="14">
                  <c:v>-3.438262334185735</c:v>
                </c:pt>
                <c:pt idx="15">
                  <c:v>-4.0044221714873691</c:v>
                </c:pt>
                <c:pt idx="16">
                  <c:v>-6.3380993452911092</c:v>
                </c:pt>
                <c:pt idx="17">
                  <c:v>-7.6579382619882921</c:v>
                </c:pt>
                <c:pt idx="18">
                  <c:v>-8.5437205608595992</c:v>
                </c:pt>
                <c:pt idx="19">
                  <c:v>-8.6781820599009194</c:v>
                </c:pt>
                <c:pt idx="20">
                  <c:v>-8.2090187531173715</c:v>
                </c:pt>
                <c:pt idx="21">
                  <c:v>-9.0336910676155515</c:v>
                </c:pt>
                <c:pt idx="22">
                  <c:v>-9.178481268604024</c:v>
                </c:pt>
                <c:pt idx="23">
                  <c:v>-10.452710010341812</c:v>
                </c:pt>
                <c:pt idx="24">
                  <c:v>-10.888808480484389</c:v>
                </c:pt>
                <c:pt idx="25">
                  <c:v>-9.7961054019997942</c:v>
                </c:pt>
                <c:pt idx="26">
                  <c:v>-10.699068102818291</c:v>
                </c:pt>
                <c:pt idx="27">
                  <c:v>-9.1940774594253973</c:v>
                </c:pt>
                <c:pt idx="28">
                  <c:v>-10.214558664146947</c:v>
                </c:pt>
                <c:pt idx="29">
                  <c:v>-9.4931832773731202</c:v>
                </c:pt>
                <c:pt idx="30">
                  <c:v>-10.214361045405038</c:v>
                </c:pt>
                <c:pt idx="31">
                  <c:v>-9.4357577462482372</c:v>
                </c:pt>
                <c:pt idx="32">
                  <c:v>-9.0761787434587688</c:v>
                </c:pt>
                <c:pt idx="33">
                  <c:v>-7.7467265471555908</c:v>
                </c:pt>
                <c:pt idx="34">
                  <c:v>-8.7754254765951778</c:v>
                </c:pt>
                <c:pt idx="35">
                  <c:v>-9.1207340128099492</c:v>
                </c:pt>
                <c:pt idx="36">
                  <c:v>-7.5691778015825095</c:v>
                </c:pt>
                <c:pt idx="37">
                  <c:v>-5.9976873281188778</c:v>
                </c:pt>
                <c:pt idx="38">
                  <c:v>-6.3948477536595645</c:v>
                </c:pt>
                <c:pt idx="39">
                  <c:v>-6.7289901030878649</c:v>
                </c:pt>
                <c:pt idx="40">
                  <c:v>-5.8843926091757677</c:v>
                </c:pt>
                <c:pt idx="41">
                  <c:v>-4.9962625776424945</c:v>
                </c:pt>
                <c:pt idx="42">
                  <c:v>-5.2823977229248973</c:v>
                </c:pt>
                <c:pt idx="43">
                  <c:v>-5.2290235260866016</c:v>
                </c:pt>
                <c:pt idx="44">
                  <c:v>-5.0651206752104088</c:v>
                </c:pt>
                <c:pt idx="45">
                  <c:v>-5.4220160522608953</c:v>
                </c:pt>
                <c:pt idx="46">
                  <c:v>-4.2927936724063542</c:v>
                </c:pt>
                <c:pt idx="47">
                  <c:v>-3.4429329303933742</c:v>
                </c:pt>
                <c:pt idx="48">
                  <c:v>-4.9962500124570628</c:v>
                </c:pt>
                <c:pt idx="49">
                  <c:v>-3.422387541725179</c:v>
                </c:pt>
                <c:pt idx="50">
                  <c:v>-4.4591923229004031</c:v>
                </c:pt>
                <c:pt idx="51">
                  <c:v>-3.1482209781033959</c:v>
                </c:pt>
                <c:pt idx="52">
                  <c:v>-3.3906772804482141</c:v>
                </c:pt>
                <c:pt idx="53">
                  <c:v>-2.3867279025850086</c:v>
                </c:pt>
                <c:pt idx="54">
                  <c:v>-2.7279398382614337</c:v>
                </c:pt>
                <c:pt idx="55">
                  <c:v>-2.7906734036316654</c:v>
                </c:pt>
                <c:pt idx="56">
                  <c:v>-2.4769766050328426</c:v>
                </c:pt>
                <c:pt idx="57">
                  <c:v>-2.071419495877084</c:v>
                </c:pt>
                <c:pt idx="58">
                  <c:v>-2.2036707895353276</c:v>
                </c:pt>
                <c:pt idx="59">
                  <c:v>-1.7180826816773491</c:v>
                </c:pt>
                <c:pt idx="60">
                  <c:v>-1.672172683839708</c:v>
                </c:pt>
                <c:pt idx="61">
                  <c:v>-0.71271069687131039</c:v>
                </c:pt>
                <c:pt idx="62">
                  <c:v>-1.4942823286991975</c:v>
                </c:pt>
                <c:pt idx="63">
                  <c:v>-0.80182600375881996</c:v>
                </c:pt>
                <c:pt idx="64">
                  <c:v>-0.44267182827119245</c:v>
                </c:pt>
                <c:pt idx="65">
                  <c:v>0.2347620018721667</c:v>
                </c:pt>
                <c:pt idx="66">
                  <c:v>-0.9895040882806575</c:v>
                </c:pt>
                <c:pt idx="67">
                  <c:v>1.444326540987827</c:v>
                </c:pt>
                <c:pt idx="68">
                  <c:v>0.60877393826604864</c:v>
                </c:pt>
                <c:pt idx="69">
                  <c:v>0.60894571795963104</c:v>
                </c:pt>
                <c:pt idx="70">
                  <c:v>0.69538953537627768</c:v>
                </c:pt>
                <c:pt idx="71">
                  <c:v>0.4830101416246434</c:v>
                </c:pt>
                <c:pt idx="72">
                  <c:v>0.98291731494991286</c:v>
                </c:pt>
                <c:pt idx="73">
                  <c:v>0.24780784720385632</c:v>
                </c:pt>
                <c:pt idx="74">
                  <c:v>-0.29245896230695267</c:v>
                </c:pt>
                <c:pt idx="75">
                  <c:v>1.8614917863640119E-2</c:v>
                </c:pt>
                <c:pt idx="76">
                  <c:v>0.47621055166188953</c:v>
                </c:pt>
                <c:pt idx="77">
                  <c:v>0.76826488365436874</c:v>
                </c:pt>
                <c:pt idx="78">
                  <c:v>-0.38795900137360939</c:v>
                </c:pt>
                <c:pt idx="79">
                  <c:v>0.22456220198137419</c:v>
                </c:pt>
                <c:pt idx="80">
                  <c:v>2.9215274519360505E-2</c:v>
                </c:pt>
                <c:pt idx="81">
                  <c:v>0.21153188077232618</c:v>
                </c:pt>
                <c:pt idx="82">
                  <c:v>0.12176490149695071</c:v>
                </c:pt>
                <c:pt idx="83">
                  <c:v>-0.11661351634419793</c:v>
                </c:pt>
                <c:pt idx="84">
                  <c:v>0.49073901791088492</c:v>
                </c:pt>
                <c:pt idx="85">
                  <c:v>4.5140655742398401E-2</c:v>
                </c:pt>
                <c:pt idx="86">
                  <c:v>0.58397077732571367</c:v>
                </c:pt>
                <c:pt idx="87">
                  <c:v>0.52435418081370644</c:v>
                </c:pt>
                <c:pt idx="88">
                  <c:v>1.0318839247734801</c:v>
                </c:pt>
                <c:pt idx="89">
                  <c:v>2.8553192482450345</c:v>
                </c:pt>
                <c:pt idx="90">
                  <c:v>20.405434493405039</c:v>
                </c:pt>
                <c:pt idx="91">
                  <c:v>71.16715336637904</c:v>
                </c:pt>
                <c:pt idx="92">
                  <c:v>117.94764158286898</c:v>
                </c:pt>
                <c:pt idx="93">
                  <c:v>157.70139877335015</c:v>
                </c:pt>
                <c:pt idx="94">
                  <c:v>185.82977491816445</c:v>
                </c:pt>
                <c:pt idx="95">
                  <c:v>202.53804092695279</c:v>
                </c:pt>
                <c:pt idx="96">
                  <c:v>213.27224516059297</c:v>
                </c:pt>
                <c:pt idx="97">
                  <c:v>212.95841444644523</c:v>
                </c:pt>
                <c:pt idx="98">
                  <c:v>209.39149475501725</c:v>
                </c:pt>
                <c:pt idx="99">
                  <c:v>201.78806920523141</c:v>
                </c:pt>
                <c:pt idx="100">
                  <c:v>191.19754484538564</c:v>
                </c:pt>
                <c:pt idx="101">
                  <c:v>184.59276411468269</c:v>
                </c:pt>
                <c:pt idx="102">
                  <c:v>175.21552238290099</c:v>
                </c:pt>
                <c:pt idx="103">
                  <c:v>169.23573828991815</c:v>
                </c:pt>
                <c:pt idx="104">
                  <c:v>156.206339130679</c:v>
                </c:pt>
                <c:pt idx="105">
                  <c:v>145.4926767583614</c:v>
                </c:pt>
                <c:pt idx="106">
                  <c:v>131.16447807226581</c:v>
                </c:pt>
                <c:pt idx="107">
                  <c:v>121.13654067210398</c:v>
                </c:pt>
                <c:pt idx="108">
                  <c:v>107.60072012135753</c:v>
                </c:pt>
                <c:pt idx="109">
                  <c:v>100.87994282509727</c:v>
                </c:pt>
                <c:pt idx="110">
                  <c:v>94.857892998629723</c:v>
                </c:pt>
                <c:pt idx="111">
                  <c:v>86.127583936155787</c:v>
                </c:pt>
                <c:pt idx="112">
                  <c:v>76.01739384661667</c:v>
                </c:pt>
                <c:pt idx="113">
                  <c:v>71.065645071393519</c:v>
                </c:pt>
                <c:pt idx="114">
                  <c:v>61.446928481772808</c:v>
                </c:pt>
                <c:pt idx="115">
                  <c:v>56.790028958229314</c:v>
                </c:pt>
                <c:pt idx="116">
                  <c:v>49.248041820051093</c:v>
                </c:pt>
                <c:pt idx="117">
                  <c:v>43.624989087402405</c:v>
                </c:pt>
                <c:pt idx="118">
                  <c:v>40.15902474023725</c:v>
                </c:pt>
                <c:pt idx="119">
                  <c:v>36.735874876805745</c:v>
                </c:pt>
                <c:pt idx="120">
                  <c:v>32.790765364812266</c:v>
                </c:pt>
                <c:pt idx="121">
                  <c:v>30.723844807658274</c:v>
                </c:pt>
                <c:pt idx="122">
                  <c:v>25.739076439817055</c:v>
                </c:pt>
                <c:pt idx="123">
                  <c:v>23.764950392429757</c:v>
                </c:pt>
                <c:pt idx="124">
                  <c:v>20.227296897501841</c:v>
                </c:pt>
                <c:pt idx="125">
                  <c:v>17.386520660217755</c:v>
                </c:pt>
                <c:pt idx="126">
                  <c:v>16.331252252299887</c:v>
                </c:pt>
                <c:pt idx="127">
                  <c:v>12.105258172964927</c:v>
                </c:pt>
                <c:pt idx="128">
                  <c:v>11.610228236251645</c:v>
                </c:pt>
                <c:pt idx="129">
                  <c:v>11.028278554492033</c:v>
                </c:pt>
                <c:pt idx="130">
                  <c:v>9.867231162968638</c:v>
                </c:pt>
                <c:pt idx="131">
                  <c:v>8.3288678339487952</c:v>
                </c:pt>
                <c:pt idx="132">
                  <c:v>6.59657809741846</c:v>
                </c:pt>
                <c:pt idx="133">
                  <c:v>7.8266800040932738</c:v>
                </c:pt>
                <c:pt idx="134">
                  <c:v>6.6805082154647879</c:v>
                </c:pt>
                <c:pt idx="135">
                  <c:v>7.4417169763079176</c:v>
                </c:pt>
                <c:pt idx="136">
                  <c:v>5.993302362075088</c:v>
                </c:pt>
                <c:pt idx="137">
                  <c:v>3.6323674747300165</c:v>
                </c:pt>
                <c:pt idx="138">
                  <c:v>1.4790909974253383</c:v>
                </c:pt>
                <c:pt idx="139">
                  <c:v>0.3966872126036568</c:v>
                </c:pt>
                <c:pt idx="140">
                  <c:v>-0.50742134159566576</c:v>
                </c:pt>
                <c:pt idx="141">
                  <c:v>-0.29962881132962887</c:v>
                </c:pt>
                <c:pt idx="142">
                  <c:v>-3.3096351793574992</c:v>
                </c:pt>
                <c:pt idx="143">
                  <c:v>-3.3185321244328234</c:v>
                </c:pt>
                <c:pt idx="144">
                  <c:v>-4.7142565444700013</c:v>
                </c:pt>
                <c:pt idx="145">
                  <c:v>-5.0355494093579338</c:v>
                </c:pt>
                <c:pt idx="146">
                  <c:v>-8.2613442853081267</c:v>
                </c:pt>
                <c:pt idx="147">
                  <c:v>-8.47434628261664</c:v>
                </c:pt>
                <c:pt idx="148">
                  <c:v>-10.468963336428356</c:v>
                </c:pt>
                <c:pt idx="149">
                  <c:v>-10.823897024473125</c:v>
                </c:pt>
                <c:pt idx="150">
                  <c:v>-12.31907764679344</c:v>
                </c:pt>
                <c:pt idx="151">
                  <c:v>-12.619958761018369</c:v>
                </c:pt>
                <c:pt idx="152">
                  <c:v>-13.77218511820544</c:v>
                </c:pt>
                <c:pt idx="153">
                  <c:v>-14.083470095651263</c:v>
                </c:pt>
                <c:pt idx="154">
                  <c:v>-12.892315570891865</c:v>
                </c:pt>
                <c:pt idx="155">
                  <c:v>-12.734981792767597</c:v>
                </c:pt>
                <c:pt idx="156">
                  <c:v>-14.831319639087873</c:v>
                </c:pt>
                <c:pt idx="157">
                  <c:v>-14.493201123042907</c:v>
                </c:pt>
                <c:pt idx="158">
                  <c:v>-15.104085604855101</c:v>
                </c:pt>
                <c:pt idx="159">
                  <c:v>-15.972179338615829</c:v>
                </c:pt>
                <c:pt idx="160">
                  <c:v>-16.034784817624796</c:v>
                </c:pt>
                <c:pt idx="161">
                  <c:v>-14.708454276964348</c:v>
                </c:pt>
                <c:pt idx="162">
                  <c:v>-16.746853033862998</c:v>
                </c:pt>
                <c:pt idx="163">
                  <c:v>-20.551133325800727</c:v>
                </c:pt>
                <c:pt idx="164">
                  <c:v>-22.475807173829065</c:v>
                </c:pt>
                <c:pt idx="165">
                  <c:v>-23.047401798836109</c:v>
                </c:pt>
                <c:pt idx="166">
                  <c:v>-25.235053380702084</c:v>
                </c:pt>
                <c:pt idx="167">
                  <c:v>-26.680152542582526</c:v>
                </c:pt>
                <c:pt idx="168">
                  <c:v>-27.455446875928818</c:v>
                </c:pt>
                <c:pt idx="169">
                  <c:v>-27.802074726489806</c:v>
                </c:pt>
                <c:pt idx="170">
                  <c:v>-29.504375953104816</c:v>
                </c:pt>
                <c:pt idx="171">
                  <c:v>-29.102878750252664</c:v>
                </c:pt>
                <c:pt idx="172">
                  <c:v>-29.464149907385551</c:v>
                </c:pt>
                <c:pt idx="173">
                  <c:v>-29.354578985447461</c:v>
                </c:pt>
                <c:pt idx="174">
                  <c:v>-28.939622947085798</c:v>
                </c:pt>
                <c:pt idx="175">
                  <c:v>-29.013508116847525</c:v>
                </c:pt>
                <c:pt idx="176">
                  <c:v>-28.718593918876628</c:v>
                </c:pt>
                <c:pt idx="177">
                  <c:v>-28.347717867313715</c:v>
                </c:pt>
                <c:pt idx="178">
                  <c:v>-30.630255011000664</c:v>
                </c:pt>
                <c:pt idx="179">
                  <c:v>-29.211203576793331</c:v>
                </c:pt>
                <c:pt idx="180">
                  <c:v>-30.219613866057887</c:v>
                </c:pt>
                <c:pt idx="181">
                  <c:v>-27.766632603694635</c:v>
                </c:pt>
                <c:pt idx="182">
                  <c:v>-27.388706778435772</c:v>
                </c:pt>
                <c:pt idx="183">
                  <c:v>-27.05088572229818</c:v>
                </c:pt>
                <c:pt idx="184">
                  <c:v>-27.004663432903541</c:v>
                </c:pt>
                <c:pt idx="185">
                  <c:v>-25.762624825725648</c:v>
                </c:pt>
                <c:pt idx="186">
                  <c:v>-27.972498969383214</c:v>
                </c:pt>
                <c:pt idx="187">
                  <c:v>-26.174082014608036</c:v>
                </c:pt>
                <c:pt idx="188">
                  <c:v>-26.318773919914769</c:v>
                </c:pt>
                <c:pt idx="189">
                  <c:v>-25.335223159247523</c:v>
                </c:pt>
                <c:pt idx="190">
                  <c:v>-25.831849697781124</c:v>
                </c:pt>
                <c:pt idx="191">
                  <c:v>-25.259642849808195</c:v>
                </c:pt>
                <c:pt idx="192">
                  <c:v>-25.031160702909798</c:v>
                </c:pt>
                <c:pt idx="193">
                  <c:v>-23.939943376111966</c:v>
                </c:pt>
                <c:pt idx="194">
                  <c:v>-24.291897482900367</c:v>
                </c:pt>
                <c:pt idx="195">
                  <c:v>-23.524287368239737</c:v>
                </c:pt>
                <c:pt idx="196">
                  <c:v>-24.178914704075606</c:v>
                </c:pt>
                <c:pt idx="197">
                  <c:v>-22.922825495105524</c:v>
                </c:pt>
                <c:pt idx="198">
                  <c:v>-21.936098972130537</c:v>
                </c:pt>
                <c:pt idx="199">
                  <c:v>-21.609575174996515</c:v>
                </c:pt>
                <c:pt idx="200">
                  <c:v>-21.282106177277321</c:v>
                </c:pt>
                <c:pt idx="201">
                  <c:v>-23.263480735315792</c:v>
                </c:pt>
                <c:pt idx="202">
                  <c:v>-21.961422187028713</c:v>
                </c:pt>
                <c:pt idx="203">
                  <c:v>-21.018468509647882</c:v>
                </c:pt>
                <c:pt idx="204">
                  <c:v>-20.349839362701076</c:v>
                </c:pt>
                <c:pt idx="205">
                  <c:v>-19.692980174695069</c:v>
                </c:pt>
                <c:pt idx="206">
                  <c:v>-20.165505842416184</c:v>
                </c:pt>
                <c:pt idx="207">
                  <c:v>-20.278787458792642</c:v>
                </c:pt>
                <c:pt idx="208">
                  <c:v>-19.717666464369618</c:v>
                </c:pt>
                <c:pt idx="209">
                  <c:v>-20.128113652790098</c:v>
                </c:pt>
                <c:pt idx="210">
                  <c:v>-20.454515337408552</c:v>
                </c:pt>
                <c:pt idx="211">
                  <c:v>-19.632284194243081</c:v>
                </c:pt>
                <c:pt idx="212">
                  <c:v>-19.793320447304367</c:v>
                </c:pt>
                <c:pt idx="213">
                  <c:v>-17.840867006892903</c:v>
                </c:pt>
                <c:pt idx="214">
                  <c:v>-18.74372233726524</c:v>
                </c:pt>
                <c:pt idx="215">
                  <c:v>-18.244142119617134</c:v>
                </c:pt>
                <c:pt idx="216">
                  <c:v>-17.964954118260991</c:v>
                </c:pt>
                <c:pt idx="217">
                  <c:v>-17.381646664102103</c:v>
                </c:pt>
                <c:pt idx="218">
                  <c:v>-16.797794359192963</c:v>
                </c:pt>
                <c:pt idx="219">
                  <c:v>-16.58227322605882</c:v>
                </c:pt>
                <c:pt idx="220">
                  <c:v>-16.851001003999276</c:v>
                </c:pt>
                <c:pt idx="221">
                  <c:v>-16.785528283984057</c:v>
                </c:pt>
                <c:pt idx="222">
                  <c:v>-16.093972923129289</c:v>
                </c:pt>
                <c:pt idx="223">
                  <c:v>-14.942810969612557</c:v>
                </c:pt>
                <c:pt idx="224">
                  <c:v>-14.387149458119222</c:v>
                </c:pt>
                <c:pt idx="225">
                  <c:v>-15.02370985998974</c:v>
                </c:pt>
                <c:pt idx="226">
                  <c:v>-14.164048183801611</c:v>
                </c:pt>
                <c:pt idx="227">
                  <c:v>-14.211298701825308</c:v>
                </c:pt>
                <c:pt idx="228">
                  <c:v>-13.799364465536115</c:v>
                </c:pt>
                <c:pt idx="229">
                  <c:v>-14.028959196057395</c:v>
                </c:pt>
                <c:pt idx="230">
                  <c:v>-12.805689710055884</c:v>
                </c:pt>
                <c:pt idx="231">
                  <c:v>-12.741576559446365</c:v>
                </c:pt>
                <c:pt idx="232">
                  <c:v>-11.606557591122131</c:v>
                </c:pt>
                <c:pt idx="233">
                  <c:v>-11.423954682972749</c:v>
                </c:pt>
                <c:pt idx="234">
                  <c:v>-11.195525733138872</c:v>
                </c:pt>
                <c:pt idx="235">
                  <c:v>-10.934768582265027</c:v>
                </c:pt>
                <c:pt idx="236">
                  <c:v>-9.7463081251370252</c:v>
                </c:pt>
                <c:pt idx="237">
                  <c:v>-10.086733903480601</c:v>
                </c:pt>
                <c:pt idx="238">
                  <c:v>-9.7696708051721259</c:v>
                </c:pt>
                <c:pt idx="239">
                  <c:v>-9.5193219222834884</c:v>
                </c:pt>
                <c:pt idx="240">
                  <c:v>-10.359761670054883</c:v>
                </c:pt>
                <c:pt idx="241">
                  <c:v>-9.1902816380411814</c:v>
                </c:pt>
                <c:pt idx="242">
                  <c:v>-8.6112827035773698</c:v>
                </c:pt>
                <c:pt idx="243">
                  <c:v>-8.885223392313657</c:v>
                </c:pt>
                <c:pt idx="244">
                  <c:v>-8.1005123159284302</c:v>
                </c:pt>
                <c:pt idx="245">
                  <c:v>-8.9761661289989245</c:v>
                </c:pt>
                <c:pt idx="246">
                  <c:v>-7.7601683891315538</c:v>
                </c:pt>
                <c:pt idx="247">
                  <c:v>-8.5662069173251467</c:v>
                </c:pt>
                <c:pt idx="248">
                  <c:v>-8.2226192531350168</c:v>
                </c:pt>
                <c:pt idx="249">
                  <c:v>-9.0123120854808132</c:v>
                </c:pt>
                <c:pt idx="250">
                  <c:v>-8.7209609626841011</c:v>
                </c:pt>
                <c:pt idx="251">
                  <c:v>-7.7401507092449622</c:v>
                </c:pt>
                <c:pt idx="252">
                  <c:v>-9.1018041878461542</c:v>
                </c:pt>
                <c:pt idx="253">
                  <c:v>-7.0848032540116552</c:v>
                </c:pt>
                <c:pt idx="254">
                  <c:v>-7.6156751498764468</c:v>
                </c:pt>
                <c:pt idx="255">
                  <c:v>-7.3218872690715626</c:v>
                </c:pt>
                <c:pt idx="256">
                  <c:v>-6.9596873846251937</c:v>
                </c:pt>
                <c:pt idx="257">
                  <c:v>-7.1825349226330122</c:v>
                </c:pt>
                <c:pt idx="258">
                  <c:v>-6.949636906301607</c:v>
                </c:pt>
                <c:pt idx="259">
                  <c:v>-7.2649085619350382</c:v>
                </c:pt>
                <c:pt idx="260">
                  <c:v>-7.0159964514678892</c:v>
                </c:pt>
                <c:pt idx="261">
                  <c:v>-6.5537180670354651</c:v>
                </c:pt>
                <c:pt idx="262">
                  <c:v>-6.1548572426609915</c:v>
                </c:pt>
                <c:pt idx="263">
                  <c:v>-5.6913634279802752</c:v>
                </c:pt>
                <c:pt idx="264">
                  <c:v>-5.3721150674326461</c:v>
                </c:pt>
                <c:pt idx="265">
                  <c:v>-4.0931017598845783</c:v>
                </c:pt>
                <c:pt idx="266">
                  <c:v>-3.8965705270408537</c:v>
                </c:pt>
                <c:pt idx="267">
                  <c:v>-3.661700855770937</c:v>
                </c:pt>
                <c:pt idx="268">
                  <c:v>-2.8337263903129322</c:v>
                </c:pt>
                <c:pt idx="269">
                  <c:v>-3.5656494677441475</c:v>
                </c:pt>
                <c:pt idx="270">
                  <c:v>-2.3298648322930156</c:v>
                </c:pt>
                <c:pt idx="271">
                  <c:v>-2.7090294034997964</c:v>
                </c:pt>
                <c:pt idx="272">
                  <c:v>-2.1617627464205689</c:v>
                </c:pt>
                <c:pt idx="273">
                  <c:v>-1.1560209050635113</c:v>
                </c:pt>
                <c:pt idx="274">
                  <c:v>-1.8993072566452815</c:v>
                </c:pt>
                <c:pt idx="275">
                  <c:v>-0.55395713696413995</c:v>
                </c:pt>
                <c:pt idx="276">
                  <c:v>-2.0202460654552707</c:v>
                </c:pt>
                <c:pt idx="277">
                  <c:v>-1.8480307260476292</c:v>
                </c:pt>
                <c:pt idx="278">
                  <c:v>-0.81211711001125708</c:v>
                </c:pt>
                <c:pt idx="279">
                  <c:v>-1.7729003134336256</c:v>
                </c:pt>
                <c:pt idx="280">
                  <c:v>-0.31529146396291091</c:v>
                </c:pt>
                <c:pt idx="281">
                  <c:v>0.28063121927601908</c:v>
                </c:pt>
                <c:pt idx="282">
                  <c:v>-1.1972084035868844</c:v>
                </c:pt>
                <c:pt idx="283">
                  <c:v>-5.266154952056902E-2</c:v>
                </c:pt>
                <c:pt idx="284">
                  <c:v>-1.1530228806377794</c:v>
                </c:pt>
                <c:pt idx="285">
                  <c:v>-1.1101623051220335</c:v>
                </c:pt>
                <c:pt idx="286">
                  <c:v>-1.1899149305777457</c:v>
                </c:pt>
                <c:pt idx="287">
                  <c:v>-0.86260476241407269</c:v>
                </c:pt>
                <c:pt idx="288">
                  <c:v>-0.46601012371580586</c:v>
                </c:pt>
                <c:pt idx="289">
                  <c:v>-0.29720504497003059</c:v>
                </c:pt>
                <c:pt idx="290">
                  <c:v>-1.1026572449163092</c:v>
                </c:pt>
                <c:pt idx="291">
                  <c:v>-0.45152161998760704</c:v>
                </c:pt>
                <c:pt idx="292">
                  <c:v>-0.20501507585226295</c:v>
                </c:pt>
                <c:pt idx="293">
                  <c:v>-0.85171036140311784</c:v>
                </c:pt>
                <c:pt idx="294">
                  <c:v>-0.66727610175924745</c:v>
                </c:pt>
                <c:pt idx="295">
                  <c:v>-0.78488987892993656</c:v>
                </c:pt>
                <c:pt idx="296">
                  <c:v>0.1837079138121871</c:v>
                </c:pt>
                <c:pt idx="297">
                  <c:v>0.27626088947617872</c:v>
                </c:pt>
                <c:pt idx="298">
                  <c:v>2.6111146830027576</c:v>
                </c:pt>
                <c:pt idx="299">
                  <c:v>0.59032525931298008</c:v>
                </c:pt>
                <c:pt idx="300">
                  <c:v>0.43237376862170562</c:v>
                </c:pt>
                <c:pt idx="301">
                  <c:v>0.95448590286061163</c:v>
                </c:pt>
                <c:pt idx="302">
                  <c:v>0.21204820501260868</c:v>
                </c:pt>
                <c:pt idx="303">
                  <c:v>2.6914630787420193E-3</c:v>
                </c:pt>
                <c:pt idx="304">
                  <c:v>-1.6248229066533288</c:v>
                </c:pt>
                <c:pt idx="305">
                  <c:v>-1.8478139105777485</c:v>
                </c:pt>
                <c:pt idx="306">
                  <c:v>-0.22205738775639902</c:v>
                </c:pt>
                <c:pt idx="307">
                  <c:v>-0.59989187676076028</c:v>
                </c:pt>
                <c:pt idx="308">
                  <c:v>-0.94680088923127015</c:v>
                </c:pt>
                <c:pt idx="309">
                  <c:v>0.40989156328826465</c:v>
                </c:pt>
                <c:pt idx="310">
                  <c:v>-1.0650572942999297E-2</c:v>
                </c:pt>
                <c:pt idx="311">
                  <c:v>2.1517358263800341</c:v>
                </c:pt>
                <c:pt idx="312">
                  <c:v>0.50611257015288946</c:v>
                </c:pt>
                <c:pt idx="313">
                  <c:v>0.75869203819206477</c:v>
                </c:pt>
                <c:pt idx="314">
                  <c:v>0.71258430395335182</c:v>
                </c:pt>
                <c:pt idx="315">
                  <c:v>-1.0387889674477937</c:v>
                </c:pt>
                <c:pt idx="316">
                  <c:v>-0.8814880542649377</c:v>
                </c:pt>
                <c:pt idx="317">
                  <c:v>-8.1789765289840125E-2</c:v>
                </c:pt>
                <c:pt idx="318">
                  <c:v>0.71316930618465091</c:v>
                </c:pt>
                <c:pt idx="319">
                  <c:v>-9.6402065362374528E-2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CD-0741-B0B1-4246C99AF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'240828E016'!$A$2:$A$321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'240828E016'!$J$2:$J$321</c:f>
              <c:numCache>
                <c:formatCode>0.0</c:formatCode>
                <c:ptCount val="320"/>
                <c:pt idx="0">
                  <c:v>711.71744037089002</c:v>
                </c:pt>
                <c:pt idx="1">
                  <c:v>644.22943699837003</c:v>
                </c:pt>
                <c:pt idx="2">
                  <c:v>617.34580199737002</c:v>
                </c:pt>
                <c:pt idx="3">
                  <c:v>600.28688203153001</c:v>
                </c:pt>
                <c:pt idx="4">
                  <c:v>743.23269136362001</c:v>
                </c:pt>
                <c:pt idx="5">
                  <c:v>758.78393187569009</c:v>
                </c:pt>
                <c:pt idx="6">
                  <c:v>763.28977380008996</c:v>
                </c:pt>
                <c:pt idx="7">
                  <c:v>519.60567954382009</c:v>
                </c:pt>
                <c:pt idx="8">
                  <c:v>830.47828496389002</c:v>
                </c:pt>
                <c:pt idx="9">
                  <c:v>798.98021377574992</c:v>
                </c:pt>
                <c:pt idx="10">
                  <c:v>697.11211043715002</c:v>
                </c:pt>
                <c:pt idx="11">
                  <c:v>908.34130476871997</c:v>
                </c:pt>
                <c:pt idx="12">
                  <c:v>856.39124319159998</c:v>
                </c:pt>
                <c:pt idx="13">
                  <c:v>943.84024545181012</c:v>
                </c:pt>
                <c:pt idx="14">
                  <c:v>961.52887738277991</c:v>
                </c:pt>
                <c:pt idx="15">
                  <c:v>905.49440590132008</c:v>
                </c:pt>
                <c:pt idx="16">
                  <c:v>892.86239485514</c:v>
                </c:pt>
                <c:pt idx="17">
                  <c:v>906.79163542402</c:v>
                </c:pt>
                <c:pt idx="18">
                  <c:v>892.89068461534998</c:v>
                </c:pt>
                <c:pt idx="19">
                  <c:v>888.05816893684994</c:v>
                </c:pt>
                <c:pt idx="20">
                  <c:v>839.06624969160998</c:v>
                </c:pt>
                <c:pt idx="21">
                  <c:v>847.95615229367991</c:v>
                </c:pt>
                <c:pt idx="22">
                  <c:v>828.84095674467005</c:v>
                </c:pt>
                <c:pt idx="23">
                  <c:v>847.02532381706999</c:v>
                </c:pt>
                <c:pt idx="24">
                  <c:v>861.40759790038999</c:v>
                </c:pt>
                <c:pt idx="25">
                  <c:v>866.98979268157996</c:v>
                </c:pt>
                <c:pt idx="26">
                  <c:v>865.9069072919001</c:v>
                </c:pt>
                <c:pt idx="27">
                  <c:v>840.06875543670003</c:v>
                </c:pt>
                <c:pt idx="28">
                  <c:v>813.36546192730998</c:v>
                </c:pt>
                <c:pt idx="29">
                  <c:v>771.33795725033008</c:v>
                </c:pt>
                <c:pt idx="30">
                  <c:v>735.33048482546997</c:v>
                </c:pt>
                <c:pt idx="31">
                  <c:v>731.33271439652003</c:v>
                </c:pt>
                <c:pt idx="32">
                  <c:v>819.64211481421</c:v>
                </c:pt>
                <c:pt idx="33">
                  <c:v>910.53901877080011</c:v>
                </c:pt>
                <c:pt idx="34">
                  <c:v>935.81858767775009</c:v>
                </c:pt>
                <c:pt idx="35">
                  <c:v>956.07871832578996</c:v>
                </c:pt>
                <c:pt idx="36">
                  <c:v>962.50776866967999</c:v>
                </c:pt>
                <c:pt idx="37">
                  <c:v>937.33265238257991</c:v>
                </c:pt>
                <c:pt idx="38">
                  <c:v>934.45188967494005</c:v>
                </c:pt>
                <c:pt idx="39">
                  <c:v>922.30731288154993</c:v>
                </c:pt>
                <c:pt idx="40">
                  <c:v>897.21065234599007</c:v>
                </c:pt>
                <c:pt idx="41">
                  <c:v>893.83898140626002</c:v>
                </c:pt>
                <c:pt idx="42">
                  <c:v>893.70056840109999</c:v>
                </c:pt>
                <c:pt idx="43">
                  <c:v>931.65123006226997</c:v>
                </c:pt>
                <c:pt idx="44">
                  <c:v>930.84681848469995</c:v>
                </c:pt>
                <c:pt idx="45">
                  <c:v>927.77098674518004</c:v>
                </c:pt>
                <c:pt idx="46">
                  <c:v>964.82916053017993</c:v>
                </c:pt>
                <c:pt idx="47">
                  <c:v>966.07269277493992</c:v>
                </c:pt>
                <c:pt idx="48">
                  <c:v>974.61596271889016</c:v>
                </c:pt>
                <c:pt idx="49">
                  <c:v>992.02318351371991</c:v>
                </c:pt>
                <c:pt idx="50">
                  <c:v>979.98729776505991</c:v>
                </c:pt>
                <c:pt idx="51">
                  <c:v>964.12911645508984</c:v>
                </c:pt>
                <c:pt idx="52">
                  <c:v>946.55524547690993</c:v>
                </c:pt>
                <c:pt idx="53">
                  <c:v>941.01309924444001</c:v>
                </c:pt>
                <c:pt idx="54">
                  <c:v>909.3419906508301</c:v>
                </c:pt>
                <c:pt idx="55">
                  <c:v>915.9828287304299</c:v>
                </c:pt>
                <c:pt idx="56">
                  <c:v>868.13851599393001</c:v>
                </c:pt>
                <c:pt idx="57">
                  <c:v>890.84818143111988</c:v>
                </c:pt>
                <c:pt idx="58">
                  <c:v>899.57956673222998</c:v>
                </c:pt>
                <c:pt idx="59">
                  <c:v>903.24619321314992</c:v>
                </c:pt>
                <c:pt idx="60">
                  <c:v>928.46256858737013</c:v>
                </c:pt>
                <c:pt idx="61">
                  <c:v>917.68483063328006</c:v>
                </c:pt>
                <c:pt idx="62">
                  <c:v>918.17083946977004</c:v>
                </c:pt>
                <c:pt idx="63">
                  <c:v>924.03460972014</c:v>
                </c:pt>
                <c:pt idx="64">
                  <c:v>938.44466126657005</c:v>
                </c:pt>
                <c:pt idx="65">
                  <c:v>969.72224075999009</c:v>
                </c:pt>
                <c:pt idx="66">
                  <c:v>965.78397578383999</c:v>
                </c:pt>
                <c:pt idx="67">
                  <c:v>952.68318940924996</c:v>
                </c:pt>
                <c:pt idx="68">
                  <c:v>933.83666213368008</c:v>
                </c:pt>
                <c:pt idx="69">
                  <c:v>893.47702308330997</c:v>
                </c:pt>
                <c:pt idx="70">
                  <c:v>952.6486905106201</c:v>
                </c:pt>
                <c:pt idx="71">
                  <c:v>946.55976100172984</c:v>
                </c:pt>
                <c:pt idx="72">
                  <c:v>953.54545315805012</c:v>
                </c:pt>
                <c:pt idx="73">
                  <c:v>914.71989057364999</c:v>
                </c:pt>
                <c:pt idx="74">
                  <c:v>922.89958690002004</c:v>
                </c:pt>
                <c:pt idx="75">
                  <c:v>927.61268819422003</c:v>
                </c:pt>
                <c:pt idx="76">
                  <c:v>934.61204935766</c:v>
                </c:pt>
                <c:pt idx="77">
                  <c:v>938.03225052686003</c:v>
                </c:pt>
                <c:pt idx="78">
                  <c:v>951.52537338707998</c:v>
                </c:pt>
                <c:pt idx="79">
                  <c:v>945.30895965268007</c:v>
                </c:pt>
                <c:pt idx="80">
                  <c:v>943.13163419142006</c:v>
                </c:pt>
                <c:pt idx="81">
                  <c:v>906.4359580406599</c:v>
                </c:pt>
                <c:pt idx="82">
                  <c:v>880.40491382105006</c:v>
                </c:pt>
                <c:pt idx="83">
                  <c:v>847.12178501272001</c:v>
                </c:pt>
                <c:pt idx="84">
                  <c:v>818.02363476569997</c:v>
                </c:pt>
                <c:pt idx="85">
                  <c:v>732.30845930783005</c:v>
                </c:pt>
                <c:pt idx="86">
                  <c:v>801.78553263879007</c:v>
                </c:pt>
                <c:pt idx="87">
                  <c:v>791.60770248193</c:v>
                </c:pt>
                <c:pt idx="88">
                  <c:v>937.18727688433012</c:v>
                </c:pt>
                <c:pt idx="89">
                  <c:v>969.00841123118994</c:v>
                </c:pt>
                <c:pt idx="90">
                  <c:v>962.41841660443993</c:v>
                </c:pt>
                <c:pt idx="91">
                  <c:v>967.33927837224007</c:v>
                </c:pt>
                <c:pt idx="92">
                  <c:v>979.73949874150992</c:v>
                </c:pt>
                <c:pt idx="93">
                  <c:v>979.55144632279996</c:v>
                </c:pt>
                <c:pt idx="94">
                  <c:v>974.51837026817998</c:v>
                </c:pt>
                <c:pt idx="95">
                  <c:v>976.14370337822004</c:v>
                </c:pt>
                <c:pt idx="96">
                  <c:v>962.12772332538998</c:v>
                </c:pt>
                <c:pt idx="97">
                  <c:v>955.31649300848005</c:v>
                </c:pt>
                <c:pt idx="98">
                  <c:v>950.56770400560993</c:v>
                </c:pt>
                <c:pt idx="99">
                  <c:v>918.07946388729988</c:v>
                </c:pt>
                <c:pt idx="100">
                  <c:v>977.46480921531997</c:v>
                </c:pt>
                <c:pt idx="101">
                  <c:v>996.66644075750992</c:v>
                </c:pt>
                <c:pt idx="102">
                  <c:v>979.77511945127003</c:v>
                </c:pt>
                <c:pt idx="103">
                  <c:v>970.72772147930004</c:v>
                </c:pt>
                <c:pt idx="104">
                  <c:v>963.46348783702001</c:v>
                </c:pt>
                <c:pt idx="105">
                  <c:v>931.02574393582006</c:v>
                </c:pt>
                <c:pt idx="106">
                  <c:v>917.80500476284999</c:v>
                </c:pt>
                <c:pt idx="107">
                  <c:v>934.25944489506992</c:v>
                </c:pt>
                <c:pt idx="108">
                  <c:v>936.89138358316006</c:v>
                </c:pt>
                <c:pt idx="109">
                  <c:v>935.46691040319001</c:v>
                </c:pt>
                <c:pt idx="110">
                  <c:v>931.44354442810993</c:v>
                </c:pt>
                <c:pt idx="111">
                  <c:v>913.92043252462008</c:v>
                </c:pt>
                <c:pt idx="112">
                  <c:v>907.44560391529001</c:v>
                </c:pt>
                <c:pt idx="113">
                  <c:v>920.26901015422004</c:v>
                </c:pt>
                <c:pt idx="114">
                  <c:v>908.64035216051002</c:v>
                </c:pt>
                <c:pt idx="115">
                  <c:v>953.11740905830004</c:v>
                </c:pt>
                <c:pt idx="116">
                  <c:v>931.16778775869989</c:v>
                </c:pt>
                <c:pt idx="117">
                  <c:v>906.58485229147993</c:v>
                </c:pt>
                <c:pt idx="118">
                  <c:v>945.14087975393988</c:v>
                </c:pt>
                <c:pt idx="119">
                  <c:v>910.31092545270008</c:v>
                </c:pt>
                <c:pt idx="120">
                  <c:v>922.27228406831</c:v>
                </c:pt>
                <c:pt idx="121">
                  <c:v>940.03103504292994</c:v>
                </c:pt>
                <c:pt idx="122">
                  <c:v>938.65696201166008</c:v>
                </c:pt>
                <c:pt idx="123">
                  <c:v>971.66627242289007</c:v>
                </c:pt>
                <c:pt idx="124">
                  <c:v>1037.1767757683699</c:v>
                </c:pt>
                <c:pt idx="125">
                  <c:v>1066.9818590339798</c:v>
                </c:pt>
                <c:pt idx="126">
                  <c:v>1115.54323061432</c:v>
                </c:pt>
                <c:pt idx="127">
                  <c:v>1114.0818435085901</c:v>
                </c:pt>
                <c:pt idx="128">
                  <c:v>1144.15179393519</c:v>
                </c:pt>
                <c:pt idx="129">
                  <c:v>1165.1344454100199</c:v>
                </c:pt>
                <c:pt idx="130">
                  <c:v>1153.2522010449502</c:v>
                </c:pt>
                <c:pt idx="131">
                  <c:v>1186.5944880616</c:v>
                </c:pt>
                <c:pt idx="132">
                  <c:v>1167.1036142708399</c:v>
                </c:pt>
                <c:pt idx="133">
                  <c:v>1127.92937663608</c:v>
                </c:pt>
                <c:pt idx="134">
                  <c:v>1091.2927437364001</c:v>
                </c:pt>
                <c:pt idx="135">
                  <c:v>1084.72024228339</c:v>
                </c:pt>
                <c:pt idx="136">
                  <c:v>1135.1293491423</c:v>
                </c:pt>
                <c:pt idx="137">
                  <c:v>1089.9508613068199</c:v>
                </c:pt>
                <c:pt idx="138">
                  <c:v>1078.4563081162</c:v>
                </c:pt>
                <c:pt idx="139">
                  <c:v>1116.4171066047302</c:v>
                </c:pt>
                <c:pt idx="140">
                  <c:v>1116.89796080205</c:v>
                </c:pt>
                <c:pt idx="141">
                  <c:v>1082.01947056379</c:v>
                </c:pt>
                <c:pt idx="142">
                  <c:v>1132.31813058854</c:v>
                </c:pt>
                <c:pt idx="143">
                  <c:v>1055.7165961717401</c:v>
                </c:pt>
                <c:pt idx="144">
                  <c:v>1047.00166212364</c:v>
                </c:pt>
                <c:pt idx="145">
                  <c:v>1040.81783569001</c:v>
                </c:pt>
                <c:pt idx="146">
                  <c:v>1058.38317792409</c:v>
                </c:pt>
                <c:pt idx="147">
                  <c:v>1063.09573280623</c:v>
                </c:pt>
                <c:pt idx="148">
                  <c:v>1006.26313584995</c:v>
                </c:pt>
                <c:pt idx="149">
                  <c:v>999.23028173059993</c:v>
                </c:pt>
                <c:pt idx="150">
                  <c:v>1004.55188493112</c:v>
                </c:pt>
                <c:pt idx="151">
                  <c:v>1003.9062996703501</c:v>
                </c:pt>
                <c:pt idx="152">
                  <c:v>942.19158876992014</c:v>
                </c:pt>
                <c:pt idx="153">
                  <c:v>938.78209070614002</c:v>
                </c:pt>
                <c:pt idx="154">
                  <c:v>937.32858287369004</c:v>
                </c:pt>
                <c:pt idx="155">
                  <c:v>937.61288810961992</c:v>
                </c:pt>
                <c:pt idx="156">
                  <c:v>912.36143695019996</c:v>
                </c:pt>
                <c:pt idx="157">
                  <c:v>904.06567144199994</c:v>
                </c:pt>
                <c:pt idx="158">
                  <c:v>895.69972013354015</c:v>
                </c:pt>
                <c:pt idx="159">
                  <c:v>897.77210318780999</c:v>
                </c:pt>
                <c:pt idx="160">
                  <c:v>848.09435451478998</c:v>
                </c:pt>
                <c:pt idx="161">
                  <c:v>870.64933553313006</c:v>
                </c:pt>
                <c:pt idx="162">
                  <c:v>882.95095772079003</c:v>
                </c:pt>
                <c:pt idx="163">
                  <c:v>862.97621308426005</c:v>
                </c:pt>
                <c:pt idx="164">
                  <c:v>839.22701728547997</c:v>
                </c:pt>
                <c:pt idx="165">
                  <c:v>807.70247349366002</c:v>
                </c:pt>
                <c:pt idx="166">
                  <c:v>824.47147967576996</c:v>
                </c:pt>
                <c:pt idx="167">
                  <c:v>840.23911455712005</c:v>
                </c:pt>
                <c:pt idx="168">
                  <c:v>850.45299250740004</c:v>
                </c:pt>
                <c:pt idx="169">
                  <c:v>863.69923174426003</c:v>
                </c:pt>
                <c:pt idx="170">
                  <c:v>861.29018877237002</c:v>
                </c:pt>
                <c:pt idx="171">
                  <c:v>853.03852305367002</c:v>
                </c:pt>
                <c:pt idx="172">
                  <c:v>826.76686761917995</c:v>
                </c:pt>
                <c:pt idx="173">
                  <c:v>802.05770215431994</c:v>
                </c:pt>
                <c:pt idx="174">
                  <c:v>820.02097173382003</c:v>
                </c:pt>
                <c:pt idx="175">
                  <c:v>813.1299926526101</c:v>
                </c:pt>
                <c:pt idx="176">
                  <c:v>837.2190520423901</c:v>
                </c:pt>
                <c:pt idx="177">
                  <c:v>822.97882236236001</c:v>
                </c:pt>
                <c:pt idx="178">
                  <c:v>828.45389757724001</c:v>
                </c:pt>
                <c:pt idx="179">
                  <c:v>783.58141806419007</c:v>
                </c:pt>
                <c:pt idx="180">
                  <c:v>758.18915535271003</c:v>
                </c:pt>
                <c:pt idx="181">
                  <c:v>809.04636806793997</c:v>
                </c:pt>
                <c:pt idx="182">
                  <c:v>812.16215322652999</c:v>
                </c:pt>
                <c:pt idx="183">
                  <c:v>777.30972919358999</c:v>
                </c:pt>
                <c:pt idx="184">
                  <c:v>779.52065188180006</c:v>
                </c:pt>
                <c:pt idx="185">
                  <c:v>731.7878976167201</c:v>
                </c:pt>
                <c:pt idx="186">
                  <c:v>818.62652088504001</c:v>
                </c:pt>
                <c:pt idx="187">
                  <c:v>799.46168337746008</c:v>
                </c:pt>
                <c:pt idx="188">
                  <c:v>798.54467770598001</c:v>
                </c:pt>
                <c:pt idx="189">
                  <c:v>781.76252464991001</c:v>
                </c:pt>
                <c:pt idx="190">
                  <c:v>803.48836339799004</c:v>
                </c:pt>
                <c:pt idx="191">
                  <c:v>793.28283660894999</c:v>
                </c:pt>
                <c:pt idx="192">
                  <c:v>809.49877143877006</c:v>
                </c:pt>
                <c:pt idx="193">
                  <c:v>793.0109485209</c:v>
                </c:pt>
                <c:pt idx="194">
                  <c:v>780.01049703550007</c:v>
                </c:pt>
                <c:pt idx="195">
                  <c:v>805.75465354621997</c:v>
                </c:pt>
                <c:pt idx="196">
                  <c:v>820.04347325757999</c:v>
                </c:pt>
                <c:pt idx="197">
                  <c:v>809.53748553448997</c:v>
                </c:pt>
                <c:pt idx="198">
                  <c:v>839.14239138169</c:v>
                </c:pt>
                <c:pt idx="199">
                  <c:v>814.17533476335007</c:v>
                </c:pt>
                <c:pt idx="200">
                  <c:v>834.76118278130002</c:v>
                </c:pt>
                <c:pt idx="201">
                  <c:v>839.86205887561005</c:v>
                </c:pt>
                <c:pt idx="202">
                  <c:v>834.07768589900002</c:v>
                </c:pt>
                <c:pt idx="203">
                  <c:v>834.16643583765995</c:v>
                </c:pt>
                <c:pt idx="204">
                  <c:v>822.24615261872009</c:v>
                </c:pt>
                <c:pt idx="205">
                  <c:v>823.55181485131004</c:v>
                </c:pt>
                <c:pt idx="206">
                  <c:v>806.74428633960997</c:v>
                </c:pt>
                <c:pt idx="207">
                  <c:v>827.09947235298</c:v>
                </c:pt>
                <c:pt idx="208">
                  <c:v>818.40912266553005</c:v>
                </c:pt>
                <c:pt idx="209">
                  <c:v>815.03590457933001</c:v>
                </c:pt>
                <c:pt idx="210">
                  <c:v>813.14731529659002</c:v>
                </c:pt>
                <c:pt idx="211">
                  <c:v>787.67839299461002</c:v>
                </c:pt>
                <c:pt idx="212">
                  <c:v>804.87277521281999</c:v>
                </c:pt>
                <c:pt idx="213">
                  <c:v>799.03523056590996</c:v>
                </c:pt>
                <c:pt idx="214">
                  <c:v>797.17799917076002</c:v>
                </c:pt>
                <c:pt idx="215">
                  <c:v>813.02776536354997</c:v>
                </c:pt>
                <c:pt idx="216">
                  <c:v>810.04101078575991</c:v>
                </c:pt>
                <c:pt idx="217">
                  <c:v>804.46724442006996</c:v>
                </c:pt>
                <c:pt idx="218">
                  <c:v>802.57031834973998</c:v>
                </c:pt>
                <c:pt idx="219">
                  <c:v>750.39937706921</c:v>
                </c:pt>
                <c:pt idx="220">
                  <c:v>798.00062383740999</c:v>
                </c:pt>
                <c:pt idx="221">
                  <c:v>798.42263059863001</c:v>
                </c:pt>
                <c:pt idx="222">
                  <c:v>791.20598572428003</c:v>
                </c:pt>
                <c:pt idx="223">
                  <c:v>775.42583553812005</c:v>
                </c:pt>
                <c:pt idx="224">
                  <c:v>779.40679182903</c:v>
                </c:pt>
                <c:pt idx="225">
                  <c:v>772.84976716614005</c:v>
                </c:pt>
                <c:pt idx="226">
                  <c:v>771.73619875569011</c:v>
                </c:pt>
                <c:pt idx="227">
                  <c:v>741.7252072855299</c:v>
                </c:pt>
                <c:pt idx="228">
                  <c:v>775.24547851501995</c:v>
                </c:pt>
                <c:pt idx="229">
                  <c:v>792.25340906259009</c:v>
                </c:pt>
                <c:pt idx="230">
                  <c:v>799.48328277853</c:v>
                </c:pt>
                <c:pt idx="231">
                  <c:v>799.22146579547007</c:v>
                </c:pt>
                <c:pt idx="232">
                  <c:v>831.85862479564992</c:v>
                </c:pt>
                <c:pt idx="233">
                  <c:v>811.72132100528006</c:v>
                </c:pt>
                <c:pt idx="234">
                  <c:v>802.28524000899006</c:v>
                </c:pt>
                <c:pt idx="235">
                  <c:v>814.33204634672006</c:v>
                </c:pt>
                <c:pt idx="236">
                  <c:v>801.57292683005994</c:v>
                </c:pt>
                <c:pt idx="237">
                  <c:v>780.39215712681005</c:v>
                </c:pt>
                <c:pt idx="238">
                  <c:v>785.90638369391002</c:v>
                </c:pt>
                <c:pt idx="239">
                  <c:v>774.50358761593998</c:v>
                </c:pt>
                <c:pt idx="240">
                  <c:v>767.51731320964996</c:v>
                </c:pt>
                <c:pt idx="241">
                  <c:v>769.65891855927998</c:v>
                </c:pt>
                <c:pt idx="242">
                  <c:v>738.21600105226992</c:v>
                </c:pt>
                <c:pt idx="243">
                  <c:v>775.50945198734996</c:v>
                </c:pt>
                <c:pt idx="244">
                  <c:v>766.10652920962002</c:v>
                </c:pt>
                <c:pt idx="245">
                  <c:v>769.58317938315997</c:v>
                </c:pt>
                <c:pt idx="246">
                  <c:v>781.80267706223992</c:v>
                </c:pt>
                <c:pt idx="247">
                  <c:v>774.76629673130003</c:v>
                </c:pt>
                <c:pt idx="248">
                  <c:v>794.59698318073993</c:v>
                </c:pt>
                <c:pt idx="249">
                  <c:v>777.97081707008999</c:v>
                </c:pt>
                <c:pt idx="250">
                  <c:v>808.24265594931001</c:v>
                </c:pt>
                <c:pt idx="251">
                  <c:v>833.63311838110997</c:v>
                </c:pt>
                <c:pt idx="252">
                  <c:v>825.18268579337996</c:v>
                </c:pt>
                <c:pt idx="253">
                  <c:v>829.27282093450003</c:v>
                </c:pt>
                <c:pt idx="254">
                  <c:v>803.69542263742005</c:v>
                </c:pt>
                <c:pt idx="255">
                  <c:v>788.78819054988003</c:v>
                </c:pt>
                <c:pt idx="256">
                  <c:v>784.69264739189998</c:v>
                </c:pt>
                <c:pt idx="257">
                  <c:v>786.20986203360997</c:v>
                </c:pt>
                <c:pt idx="258">
                  <c:v>756.41089188253</c:v>
                </c:pt>
                <c:pt idx="259">
                  <c:v>753.79990253833989</c:v>
                </c:pt>
                <c:pt idx="260">
                  <c:v>767.56152105171998</c:v>
                </c:pt>
                <c:pt idx="261">
                  <c:v>758.56518344451001</c:v>
                </c:pt>
                <c:pt idx="262">
                  <c:v>750.38840639348996</c:v>
                </c:pt>
                <c:pt idx="263">
                  <c:v>770.67430387570994</c:v>
                </c:pt>
                <c:pt idx="264">
                  <c:v>786.21592639490996</c:v>
                </c:pt>
                <c:pt idx="265">
                  <c:v>750.94735666792008</c:v>
                </c:pt>
                <c:pt idx="266">
                  <c:v>719.04826428528008</c:v>
                </c:pt>
                <c:pt idx="267">
                  <c:v>763.97920059776993</c:v>
                </c:pt>
                <c:pt idx="268">
                  <c:v>773.14495690028002</c:v>
                </c:pt>
                <c:pt idx="269">
                  <c:v>823.30318445493003</c:v>
                </c:pt>
                <c:pt idx="270">
                  <c:v>839.64586276336001</c:v>
                </c:pt>
                <c:pt idx="271">
                  <c:v>841.34088002984004</c:v>
                </c:pt>
                <c:pt idx="272">
                  <c:v>828.03308844932997</c:v>
                </c:pt>
                <c:pt idx="273">
                  <c:v>812.22663976350009</c:v>
                </c:pt>
                <c:pt idx="274">
                  <c:v>811.66318590653998</c:v>
                </c:pt>
                <c:pt idx="275">
                  <c:v>802.47528460703006</c:v>
                </c:pt>
                <c:pt idx="276">
                  <c:v>781.86621983108</c:v>
                </c:pt>
                <c:pt idx="277">
                  <c:v>808.28218268161993</c:v>
                </c:pt>
                <c:pt idx="278">
                  <c:v>825.41833475840997</c:v>
                </c:pt>
                <c:pt idx="279">
                  <c:v>802.97221599092006</c:v>
                </c:pt>
                <c:pt idx="280">
                  <c:v>820.12130714237003</c:v>
                </c:pt>
                <c:pt idx="281">
                  <c:v>831.30890122144001</c:v>
                </c:pt>
                <c:pt idx="282">
                  <c:v>821.83993580135996</c:v>
                </c:pt>
                <c:pt idx="283">
                  <c:v>813.09771539298004</c:v>
                </c:pt>
                <c:pt idx="284">
                  <c:v>809.60086099466992</c:v>
                </c:pt>
                <c:pt idx="285">
                  <c:v>792.47681734073012</c:v>
                </c:pt>
                <c:pt idx="286">
                  <c:v>772.77350553225995</c:v>
                </c:pt>
                <c:pt idx="287">
                  <c:v>800.68606134998004</c:v>
                </c:pt>
                <c:pt idx="288">
                  <c:v>822.03494360206003</c:v>
                </c:pt>
                <c:pt idx="289">
                  <c:v>809.875336178</c:v>
                </c:pt>
                <c:pt idx="290">
                  <c:v>814.65637395634997</c:v>
                </c:pt>
                <c:pt idx="291">
                  <c:v>795.64803620132011</c:v>
                </c:pt>
                <c:pt idx="292">
                  <c:v>783.85770552472002</c:v>
                </c:pt>
                <c:pt idx="293">
                  <c:v>795.25989955062005</c:v>
                </c:pt>
                <c:pt idx="294">
                  <c:v>789.36305653109002</c:v>
                </c:pt>
                <c:pt idx="295">
                  <c:v>782.04623314829996</c:v>
                </c:pt>
                <c:pt idx="296">
                  <c:v>770.93250887984004</c:v>
                </c:pt>
                <c:pt idx="297">
                  <c:v>732.20616174305007</c:v>
                </c:pt>
                <c:pt idx="298">
                  <c:v>757.13107511045996</c:v>
                </c:pt>
                <c:pt idx="299">
                  <c:v>768.40500736376998</c:v>
                </c:pt>
                <c:pt idx="300">
                  <c:v>774.08910162002996</c:v>
                </c:pt>
                <c:pt idx="301">
                  <c:v>752.76625010829002</c:v>
                </c:pt>
                <c:pt idx="302">
                  <c:v>745.30652235120999</c:v>
                </c:pt>
                <c:pt idx="303">
                  <c:v>749.65071560742001</c:v>
                </c:pt>
                <c:pt idx="304">
                  <c:v>739.75099127677004</c:v>
                </c:pt>
                <c:pt idx="305">
                  <c:v>736.80148797069</c:v>
                </c:pt>
                <c:pt idx="306">
                  <c:v>699.83332010933998</c:v>
                </c:pt>
                <c:pt idx="307">
                  <c:v>700.22719649582007</c:v>
                </c:pt>
                <c:pt idx="308">
                  <c:v>753.75524077627006</c:v>
                </c:pt>
                <c:pt idx="309">
                  <c:v>751.01053861495996</c:v>
                </c:pt>
                <c:pt idx="310">
                  <c:v>770.54357449907002</c:v>
                </c:pt>
                <c:pt idx="311">
                  <c:v>744.95912047780007</c:v>
                </c:pt>
                <c:pt idx="312">
                  <c:v>738.11344988560995</c:v>
                </c:pt>
                <c:pt idx="313">
                  <c:v>755.47387938522002</c:v>
                </c:pt>
                <c:pt idx="314">
                  <c:v>750.62016917789992</c:v>
                </c:pt>
                <c:pt idx="315">
                  <c:v>761.38555568143011</c:v>
                </c:pt>
                <c:pt idx="316">
                  <c:v>732.87349085836001</c:v>
                </c:pt>
                <c:pt idx="317">
                  <c:v>748.50592794366003</c:v>
                </c:pt>
                <c:pt idx="318">
                  <c:v>758.05620468239999</c:v>
                </c:pt>
                <c:pt idx="319">
                  <c:v>747.97602014304994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4B-E24C-AE49-F33B6F985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FE-0442-AD02-D40C75433398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'240828E016'!$A$2:$A$321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'240828E016'!$P$2:$P$321</c:f>
              <c:numCache>
                <c:formatCode>General</c:formatCode>
                <c:ptCount val="320"/>
                <c:pt idx="0">
                  <c:v>52.443449496868276</c:v>
                </c:pt>
                <c:pt idx="1">
                  <c:v>71.299612550623451</c:v>
                </c:pt>
                <c:pt idx="2">
                  <c:v>91.123716234336456</c:v>
                </c:pt>
                <c:pt idx="3">
                  <c:v>104.19335992363598</c:v>
                </c:pt>
                <c:pt idx="4">
                  <c:v>70.828122590922376</c:v>
                </c:pt>
                <c:pt idx="5">
                  <c:v>59.834151789162995</c:v>
                </c:pt>
                <c:pt idx="6">
                  <c:v>51.067196133816793</c:v>
                </c:pt>
                <c:pt idx="7">
                  <c:v>53.874443066189528</c:v>
                </c:pt>
                <c:pt idx="8">
                  <c:v>45.782793239465292</c:v>
                </c:pt>
                <c:pt idx="9">
                  <c:v>49.41111076162948</c:v>
                </c:pt>
                <c:pt idx="10">
                  <c:v>44.692287023943223</c:v>
                </c:pt>
                <c:pt idx="11">
                  <c:v>39.922784596263114</c:v>
                </c:pt>
                <c:pt idx="12">
                  <c:v>35.016938757784246</c:v>
                </c:pt>
                <c:pt idx="13">
                  <c:v>29.549509326725566</c:v>
                </c:pt>
                <c:pt idx="14">
                  <c:v>25.645466096335394</c:v>
                </c:pt>
                <c:pt idx="15">
                  <c:v>25.363563577223246</c:v>
                </c:pt>
                <c:pt idx="16">
                  <c:v>21.127384806938704</c:v>
                </c:pt>
                <c:pt idx="17">
                  <c:v>18.08282630042747</c:v>
                </c:pt>
                <c:pt idx="18">
                  <c:v>15.52895936971864</c:v>
                </c:pt>
                <c:pt idx="19">
                  <c:v>14.479761398963936</c:v>
                </c:pt>
                <c:pt idx="20">
                  <c:v>13.207000207323558</c:v>
                </c:pt>
                <c:pt idx="21">
                  <c:v>11.514385953016683</c:v>
                </c:pt>
                <c:pt idx="22">
                  <c:v>10.377168416894678</c:v>
                </c:pt>
                <c:pt idx="23">
                  <c:v>7.684225177376458</c:v>
                </c:pt>
                <c:pt idx="24">
                  <c:v>5.2403335198872041</c:v>
                </c:pt>
                <c:pt idx="25">
                  <c:v>3.2823762761154702</c:v>
                </c:pt>
                <c:pt idx="26">
                  <c:v>3.3403677488212544</c:v>
                </c:pt>
                <c:pt idx="27">
                  <c:v>4.5762704024242726</c:v>
                </c:pt>
                <c:pt idx="28">
                  <c:v>4.9002167592349926</c:v>
                </c:pt>
                <c:pt idx="29">
                  <c:v>5.1388624096344255</c:v>
                </c:pt>
                <c:pt idx="30">
                  <c:v>6.6665391549725284</c:v>
                </c:pt>
                <c:pt idx="31">
                  <c:v>5.4869233261722519</c:v>
                </c:pt>
                <c:pt idx="32">
                  <c:v>-1.0256874200535864</c:v>
                </c:pt>
                <c:pt idx="33">
                  <c:v>-2.3052537162572908</c:v>
                </c:pt>
                <c:pt idx="34">
                  <c:v>-1.6231586094041472</c:v>
                </c:pt>
                <c:pt idx="35">
                  <c:v>-2.5512437768339744</c:v>
                </c:pt>
                <c:pt idx="36">
                  <c:v>-2.2221411842815972</c:v>
                </c:pt>
                <c:pt idx="37">
                  <c:v>-2.4595956953419211</c:v>
                </c:pt>
                <c:pt idx="38">
                  <c:v>-2.8020370174069278</c:v>
                </c:pt>
                <c:pt idx="39">
                  <c:v>-2.8071539716156493</c:v>
                </c:pt>
                <c:pt idx="40">
                  <c:v>-2.4053321945336754</c:v>
                </c:pt>
                <c:pt idx="41">
                  <c:v>-2.4243878442323239</c:v>
                </c:pt>
                <c:pt idx="42">
                  <c:v>-3.9610164797590079</c:v>
                </c:pt>
                <c:pt idx="43">
                  <c:v>-4.4664871648741284</c:v>
                </c:pt>
                <c:pt idx="44">
                  <c:v>-3.6030397218952031</c:v>
                </c:pt>
                <c:pt idx="45">
                  <c:v>-3.5197958391147899</c:v>
                </c:pt>
                <c:pt idx="46">
                  <c:v>-3.9140682525941819</c:v>
                </c:pt>
                <c:pt idx="47">
                  <c:v>-5.1703953853531202</c:v>
                </c:pt>
                <c:pt idx="48">
                  <c:v>-5.6934641213416448</c:v>
                </c:pt>
                <c:pt idx="49">
                  <c:v>-5.3269684298036761</c:v>
                </c:pt>
                <c:pt idx="50">
                  <c:v>-4.4273632131217644</c:v>
                </c:pt>
                <c:pt idx="51">
                  <c:v>-4.2631610415828938</c:v>
                </c:pt>
                <c:pt idx="52">
                  <c:v>-3.8533234477813934</c:v>
                </c:pt>
                <c:pt idx="53">
                  <c:v>-3.1447459423559212</c:v>
                </c:pt>
                <c:pt idx="54">
                  <c:v>-1.9031687640729666</c:v>
                </c:pt>
                <c:pt idx="55">
                  <c:v>-1.6349281247404073</c:v>
                </c:pt>
                <c:pt idx="56">
                  <c:v>-0.19936144986109203</c:v>
                </c:pt>
                <c:pt idx="57">
                  <c:v>-0.23356959244919809</c:v>
                </c:pt>
                <c:pt idx="58">
                  <c:v>-1.5659073514757502</c:v>
                </c:pt>
                <c:pt idx="59">
                  <c:v>-2.1160652090451868</c:v>
                </c:pt>
                <c:pt idx="60">
                  <c:v>-1.2137275639816087</c:v>
                </c:pt>
                <c:pt idx="61">
                  <c:v>-0.83850549537062702</c:v>
                </c:pt>
                <c:pt idx="62">
                  <c:v>-0.12021530195735571</c:v>
                </c:pt>
                <c:pt idx="63">
                  <c:v>-0.14476121276945658</c:v>
                </c:pt>
                <c:pt idx="64">
                  <c:v>-1.0040742889130938</c:v>
                </c:pt>
                <c:pt idx="65">
                  <c:v>-2.0654272693199562</c:v>
                </c:pt>
                <c:pt idx="66">
                  <c:v>-2.0738286734791207</c:v>
                </c:pt>
                <c:pt idx="67">
                  <c:v>-1.0790930586484369</c:v>
                </c:pt>
                <c:pt idx="68">
                  <c:v>-1.2237837018811701</c:v>
                </c:pt>
                <c:pt idx="69">
                  <c:v>-0.64073857831414738</c:v>
                </c:pt>
                <c:pt idx="70">
                  <c:v>-1.0684849765407998</c:v>
                </c:pt>
                <c:pt idx="71">
                  <c:v>-9.9099970015244607E-2</c:v>
                </c:pt>
                <c:pt idx="72">
                  <c:v>-0.70915888304153196</c:v>
                </c:pt>
                <c:pt idx="73">
                  <c:v>1.5903603932198016</c:v>
                </c:pt>
                <c:pt idx="74">
                  <c:v>1.383104282703552</c:v>
                </c:pt>
                <c:pt idx="75">
                  <c:v>1.2709199230564634</c:v>
                </c:pt>
                <c:pt idx="76">
                  <c:v>2.1467249100337877</c:v>
                </c:pt>
                <c:pt idx="77">
                  <c:v>2.1086883838078054</c:v>
                </c:pt>
                <c:pt idx="78">
                  <c:v>2.0631409802270939</c:v>
                </c:pt>
                <c:pt idx="79">
                  <c:v>1.7179601011842072</c:v>
                </c:pt>
                <c:pt idx="80">
                  <c:v>2.3133170675090193</c:v>
                </c:pt>
                <c:pt idx="81">
                  <c:v>2.6742758702496814</c:v>
                </c:pt>
                <c:pt idx="82">
                  <c:v>3.1846763946495695</c:v>
                </c:pt>
                <c:pt idx="83">
                  <c:v>3.3642673192340862</c:v>
                </c:pt>
                <c:pt idx="84">
                  <c:v>3.8372261199871369</c:v>
                </c:pt>
                <c:pt idx="85">
                  <c:v>5.7631919052326532</c:v>
                </c:pt>
                <c:pt idx="86">
                  <c:v>7.287613922055554</c:v>
                </c:pt>
                <c:pt idx="87">
                  <c:v>6.4994618927235042</c:v>
                </c:pt>
                <c:pt idx="88">
                  <c:v>3.684786131000811</c:v>
                </c:pt>
                <c:pt idx="89">
                  <c:v>4.3129045520978533</c:v>
                </c:pt>
                <c:pt idx="90">
                  <c:v>4.5850712499385855</c:v>
                </c:pt>
                <c:pt idx="91">
                  <c:v>5.533305040411082</c:v>
                </c:pt>
                <c:pt idx="92">
                  <c:v>4.6184645815461502</c:v>
                </c:pt>
                <c:pt idx="93">
                  <c:v>5.8620577946213546</c:v>
                </c:pt>
                <c:pt idx="94">
                  <c:v>5.6783158144181893</c:v>
                </c:pt>
                <c:pt idx="95">
                  <c:v>7.1873478845455683</c:v>
                </c:pt>
                <c:pt idx="96">
                  <c:v>7.2509453650880769</c:v>
                </c:pt>
                <c:pt idx="97">
                  <c:v>6.5008642512584203</c:v>
                </c:pt>
                <c:pt idx="98">
                  <c:v>5.5179207109461919</c:v>
                </c:pt>
                <c:pt idx="99">
                  <c:v>5.8471068066792409</c:v>
                </c:pt>
                <c:pt idx="100">
                  <c:v>7.3351520883503456</c:v>
                </c:pt>
                <c:pt idx="101">
                  <c:v>7.1880736410118926</c:v>
                </c:pt>
                <c:pt idx="102">
                  <c:v>7.5007667956098061</c:v>
                </c:pt>
                <c:pt idx="103">
                  <c:v>6.6291160441141876</c:v>
                </c:pt>
                <c:pt idx="104">
                  <c:v>6.4800516450301533</c:v>
                </c:pt>
                <c:pt idx="105">
                  <c:v>7.2201349181124099</c:v>
                </c:pt>
                <c:pt idx="106">
                  <c:v>7.0696570676959807</c:v>
                </c:pt>
                <c:pt idx="107">
                  <c:v>5.6493912031130247</c:v>
                </c:pt>
                <c:pt idx="108">
                  <c:v>4.7527172575420007</c:v>
                </c:pt>
                <c:pt idx="109">
                  <c:v>5.0788956637257465</c:v>
                </c:pt>
                <c:pt idx="110">
                  <c:v>4.9376588253558591</c:v>
                </c:pt>
                <c:pt idx="111">
                  <c:v>5.2939873683395149</c:v>
                </c:pt>
                <c:pt idx="112">
                  <c:v>5.2784138352350158</c:v>
                </c:pt>
                <c:pt idx="113">
                  <c:v>5.5500665231013722</c:v>
                </c:pt>
                <c:pt idx="114">
                  <c:v>6.4285427196610803</c:v>
                </c:pt>
                <c:pt idx="115">
                  <c:v>5.4089736960302544</c:v>
                </c:pt>
                <c:pt idx="116">
                  <c:v>5.9659563924548635</c:v>
                </c:pt>
                <c:pt idx="117">
                  <c:v>5.304372281807991</c:v>
                </c:pt>
                <c:pt idx="118">
                  <c:v>5.5386426393583781</c:v>
                </c:pt>
                <c:pt idx="119">
                  <c:v>6.9759009284980493</c:v>
                </c:pt>
                <c:pt idx="120">
                  <c:v>11.708957622858792</c:v>
                </c:pt>
                <c:pt idx="121">
                  <c:v>23.363160996527132</c:v>
                </c:pt>
                <c:pt idx="122">
                  <c:v>40.470883643753695</c:v>
                </c:pt>
                <c:pt idx="123">
                  <c:v>67.139189498098816</c:v>
                </c:pt>
                <c:pt idx="124">
                  <c:v>102.96725141480991</c:v>
                </c:pt>
                <c:pt idx="125">
                  <c:v>141.01886410369363</c:v>
                </c:pt>
                <c:pt idx="126">
                  <c:v>182.47957780353664</c:v>
                </c:pt>
                <c:pt idx="127">
                  <c:v>208.28230933921</c:v>
                </c:pt>
                <c:pt idx="128">
                  <c:v>232.24585638394282</c:v>
                </c:pt>
                <c:pt idx="129">
                  <c:v>245.79818452071063</c:v>
                </c:pt>
                <c:pt idx="130">
                  <c:v>260.93497427735952</c:v>
                </c:pt>
                <c:pt idx="131">
                  <c:v>262.913023312912</c:v>
                </c:pt>
                <c:pt idx="132">
                  <c:v>261.59362945439608</c:v>
                </c:pt>
                <c:pt idx="133">
                  <c:v>252.29004582178075</c:v>
                </c:pt>
                <c:pt idx="134">
                  <c:v>250.79135903072029</c:v>
                </c:pt>
                <c:pt idx="135">
                  <c:v>244.47952078912985</c:v>
                </c:pt>
                <c:pt idx="136">
                  <c:v>244.577127261838</c:v>
                </c:pt>
                <c:pt idx="137">
                  <c:v>237.07627259944343</c:v>
                </c:pt>
                <c:pt idx="138">
                  <c:v>227.0614184985904</c:v>
                </c:pt>
                <c:pt idx="139">
                  <c:v>217.31515812301035</c:v>
                </c:pt>
                <c:pt idx="140">
                  <c:v>209.51824324196161</c:v>
                </c:pt>
                <c:pt idx="141">
                  <c:v>199.03177506860843</c:v>
                </c:pt>
                <c:pt idx="142">
                  <c:v>197.18711037606386</c:v>
                </c:pt>
                <c:pt idx="143">
                  <c:v>186.6818472914008</c:v>
                </c:pt>
                <c:pt idx="144">
                  <c:v>188.31669101483675</c:v>
                </c:pt>
                <c:pt idx="145">
                  <c:v>178.83398213815923</c:v>
                </c:pt>
                <c:pt idx="146">
                  <c:v>166.03832291718263</c:v>
                </c:pt>
                <c:pt idx="147">
                  <c:v>153.10912289902387</c:v>
                </c:pt>
                <c:pt idx="148">
                  <c:v>143.68032056432421</c:v>
                </c:pt>
                <c:pt idx="149">
                  <c:v>137.39096429667146</c:v>
                </c:pt>
                <c:pt idx="150">
                  <c:v>129.25254183025748</c:v>
                </c:pt>
                <c:pt idx="151">
                  <c:v>120.90993901961092</c:v>
                </c:pt>
                <c:pt idx="152">
                  <c:v>114.82036210297002</c:v>
                </c:pt>
                <c:pt idx="153">
                  <c:v>112.4728065013116</c:v>
                </c:pt>
                <c:pt idx="154">
                  <c:v>107.18866725128491</c:v>
                </c:pt>
                <c:pt idx="155">
                  <c:v>99.592347823764399</c:v>
                </c:pt>
                <c:pt idx="156">
                  <c:v>94.53380867739375</c:v>
                </c:pt>
                <c:pt idx="157">
                  <c:v>88.567986661732604</c:v>
                </c:pt>
                <c:pt idx="158">
                  <c:v>86.103107179652966</c:v>
                </c:pt>
                <c:pt idx="159">
                  <c:v>82.693722307509503</c:v>
                </c:pt>
                <c:pt idx="160">
                  <c:v>81.245465906928786</c:v>
                </c:pt>
                <c:pt idx="161">
                  <c:v>80.054071956945222</c:v>
                </c:pt>
                <c:pt idx="162">
                  <c:v>73.243602322625847</c:v>
                </c:pt>
                <c:pt idx="163">
                  <c:v>59.763536791363904</c:v>
                </c:pt>
                <c:pt idx="164">
                  <c:v>51.426504859052415</c:v>
                </c:pt>
                <c:pt idx="165">
                  <c:v>44.196557761401877</c:v>
                </c:pt>
                <c:pt idx="166">
                  <c:v>33.793910489310157</c:v>
                </c:pt>
                <c:pt idx="167">
                  <c:v>28.616489755823444</c:v>
                </c:pt>
                <c:pt idx="168">
                  <c:v>21.827228048197536</c:v>
                </c:pt>
                <c:pt idx="169">
                  <c:v>14.083943589264617</c:v>
                </c:pt>
                <c:pt idx="170">
                  <c:v>10.540049073935029</c:v>
                </c:pt>
                <c:pt idx="171">
                  <c:v>7.0002831437631645</c:v>
                </c:pt>
                <c:pt idx="172">
                  <c:v>4.0003222494078186</c:v>
                </c:pt>
                <c:pt idx="173">
                  <c:v>2.378128697400248</c:v>
                </c:pt>
                <c:pt idx="174">
                  <c:v>-2.6768629289732999</c:v>
                </c:pt>
                <c:pt idx="175">
                  <c:v>-5.7351068614689309</c:v>
                </c:pt>
                <c:pt idx="176">
                  <c:v>-8.9871218215235018</c:v>
                </c:pt>
                <c:pt idx="177">
                  <c:v>-11.308958296530214</c:v>
                </c:pt>
                <c:pt idx="178">
                  <c:v>-13.03966780843643</c:v>
                </c:pt>
                <c:pt idx="179">
                  <c:v>-12.208843904901236</c:v>
                </c:pt>
                <c:pt idx="180">
                  <c:v>-12.916710341767635</c:v>
                </c:pt>
                <c:pt idx="181">
                  <c:v>-16.811441616606313</c:v>
                </c:pt>
                <c:pt idx="182">
                  <c:v>-18.447863004227663</c:v>
                </c:pt>
                <c:pt idx="183">
                  <c:v>-17.879159310647115</c:v>
                </c:pt>
                <c:pt idx="184">
                  <c:v>-18.176102817400082</c:v>
                </c:pt>
                <c:pt idx="185">
                  <c:v>-16.627463855693357</c:v>
                </c:pt>
                <c:pt idx="186">
                  <c:v>-22.200526781094666</c:v>
                </c:pt>
                <c:pt idx="187">
                  <c:v>-21.368291868743821</c:v>
                </c:pt>
                <c:pt idx="188">
                  <c:v>-21.287837158205456</c:v>
                </c:pt>
                <c:pt idx="189">
                  <c:v>-20.687578409525724</c:v>
                </c:pt>
                <c:pt idx="190">
                  <c:v>-21.808540741462711</c:v>
                </c:pt>
                <c:pt idx="191">
                  <c:v>-22.08218949921562</c:v>
                </c:pt>
                <c:pt idx="192">
                  <c:v>-22.222566191139215</c:v>
                </c:pt>
                <c:pt idx="193">
                  <c:v>-22.724149446187774</c:v>
                </c:pt>
                <c:pt idx="194">
                  <c:v>-22.498888408379681</c:v>
                </c:pt>
                <c:pt idx="195">
                  <c:v>-22.297133003025088</c:v>
                </c:pt>
                <c:pt idx="196">
                  <c:v>-22.825816177787583</c:v>
                </c:pt>
                <c:pt idx="197">
                  <c:v>-22.61124836102778</c:v>
                </c:pt>
                <c:pt idx="198">
                  <c:v>-23.927652970621136</c:v>
                </c:pt>
                <c:pt idx="199">
                  <c:v>-21.07616117508487</c:v>
                </c:pt>
                <c:pt idx="200">
                  <c:v>-23.262534041987074</c:v>
                </c:pt>
                <c:pt idx="201">
                  <c:v>-22.51682445750199</c:v>
                </c:pt>
                <c:pt idx="202">
                  <c:v>-22.817129786319541</c:v>
                </c:pt>
                <c:pt idx="203">
                  <c:v>-21.160232959083942</c:v>
                </c:pt>
                <c:pt idx="204">
                  <c:v>-21.306661558583979</c:v>
                </c:pt>
                <c:pt idx="205">
                  <c:v>-20.019492844010028</c:v>
                </c:pt>
                <c:pt idx="206">
                  <c:v>-19.573009421030672</c:v>
                </c:pt>
                <c:pt idx="207">
                  <c:v>-19.591020375338637</c:v>
                </c:pt>
                <c:pt idx="208">
                  <c:v>-19.865171794450003</c:v>
                </c:pt>
                <c:pt idx="209">
                  <c:v>-18.052194744961703</c:v>
                </c:pt>
                <c:pt idx="210">
                  <c:v>-16.961635816950029</c:v>
                </c:pt>
                <c:pt idx="211">
                  <c:v>-15.498534021119776</c:v>
                </c:pt>
                <c:pt idx="212">
                  <c:v>-15.240496929011375</c:v>
                </c:pt>
                <c:pt idx="213">
                  <c:v>-14.276955273307657</c:v>
                </c:pt>
                <c:pt idx="214">
                  <c:v>-12.296895303411535</c:v>
                </c:pt>
                <c:pt idx="215">
                  <c:v>-14.30690197093025</c:v>
                </c:pt>
                <c:pt idx="216">
                  <c:v>-13.717165078683511</c:v>
                </c:pt>
                <c:pt idx="217">
                  <c:v>-11.214041843753575</c:v>
                </c:pt>
                <c:pt idx="218">
                  <c:v>-10.853003766757007</c:v>
                </c:pt>
                <c:pt idx="219">
                  <c:v>-7.632821015893029</c:v>
                </c:pt>
                <c:pt idx="220">
                  <c:v>-11.433075349689833</c:v>
                </c:pt>
                <c:pt idx="221">
                  <c:v>-11.04933658229578</c:v>
                </c:pt>
                <c:pt idx="222">
                  <c:v>-11.4277325353726</c:v>
                </c:pt>
                <c:pt idx="223">
                  <c:v>-9.9834188364587551</c:v>
                </c:pt>
                <c:pt idx="224">
                  <c:v>-9.3496684580853362</c:v>
                </c:pt>
                <c:pt idx="225">
                  <c:v>-7.3932190941814078</c:v>
                </c:pt>
                <c:pt idx="226">
                  <c:v>-7.4092122604448809</c:v>
                </c:pt>
                <c:pt idx="227">
                  <c:v>-5.8182097812179974</c:v>
                </c:pt>
                <c:pt idx="228">
                  <c:v>-7.2764347494398596</c:v>
                </c:pt>
                <c:pt idx="229">
                  <c:v>-7.6542481529736488</c:v>
                </c:pt>
                <c:pt idx="230">
                  <c:v>-7.5320049080906868</c:v>
                </c:pt>
                <c:pt idx="231">
                  <c:v>-7.1360691248941812</c:v>
                </c:pt>
                <c:pt idx="232">
                  <c:v>-8.6404700707829551</c:v>
                </c:pt>
                <c:pt idx="233">
                  <c:v>-6.9259397149588358</c:v>
                </c:pt>
                <c:pt idx="234">
                  <c:v>-6.0624853221387003</c:v>
                </c:pt>
                <c:pt idx="235">
                  <c:v>-6.170924364702393</c:v>
                </c:pt>
                <c:pt idx="236">
                  <c:v>-5.252854187087781</c:v>
                </c:pt>
                <c:pt idx="237">
                  <c:v>-4.8136010877583519</c:v>
                </c:pt>
                <c:pt idx="238">
                  <c:v>-3.9183900860269447</c:v>
                </c:pt>
                <c:pt idx="239">
                  <c:v>-3.6828125630912076</c:v>
                </c:pt>
                <c:pt idx="240">
                  <c:v>-2.5460562488475142</c:v>
                </c:pt>
                <c:pt idx="241">
                  <c:v>-1.0404588057718056</c:v>
                </c:pt>
                <c:pt idx="242">
                  <c:v>-0.96802911146238602</c:v>
                </c:pt>
                <c:pt idx="243">
                  <c:v>-1.4430513363653135</c:v>
                </c:pt>
                <c:pt idx="244">
                  <c:v>0.78783260007067013</c:v>
                </c:pt>
                <c:pt idx="245">
                  <c:v>0.87998623729138703</c:v>
                </c:pt>
                <c:pt idx="246">
                  <c:v>-0.69201267627174246</c:v>
                </c:pt>
                <c:pt idx="247">
                  <c:v>2.1990521409744321</c:v>
                </c:pt>
                <c:pt idx="248">
                  <c:v>1.3538401285186945</c:v>
                </c:pt>
                <c:pt idx="249">
                  <c:v>2.073317624625401</c:v>
                </c:pt>
                <c:pt idx="250">
                  <c:v>1.1100897119615811</c:v>
                </c:pt>
                <c:pt idx="251">
                  <c:v>0.42998393054881751</c:v>
                </c:pt>
                <c:pt idx="252">
                  <c:v>1.3415481654781631</c:v>
                </c:pt>
                <c:pt idx="253">
                  <c:v>2.2575911078598616</c:v>
                </c:pt>
                <c:pt idx="254">
                  <c:v>2.7425693623529677</c:v>
                </c:pt>
                <c:pt idx="255">
                  <c:v>4.3047691676960183</c:v>
                </c:pt>
                <c:pt idx="256">
                  <c:v>5.1752219977505103</c:v>
                </c:pt>
                <c:pt idx="257">
                  <c:v>5.248855282337896</c:v>
                </c:pt>
                <c:pt idx="258">
                  <c:v>5.2945944855346347</c:v>
                </c:pt>
                <c:pt idx="259">
                  <c:v>5.9799595816191111</c:v>
                </c:pt>
                <c:pt idx="260">
                  <c:v>5.7253529996592922</c:v>
                </c:pt>
                <c:pt idx="261">
                  <c:v>5.7884022620701696</c:v>
                </c:pt>
                <c:pt idx="262">
                  <c:v>5.8940505578796429</c:v>
                </c:pt>
                <c:pt idx="263">
                  <c:v>6.7849163211659267</c:v>
                </c:pt>
                <c:pt idx="264">
                  <c:v>7.6906955979111427</c:v>
                </c:pt>
                <c:pt idx="265">
                  <c:v>7.4009966855335438</c:v>
                </c:pt>
                <c:pt idx="266">
                  <c:v>8.8644191313574936</c:v>
                </c:pt>
                <c:pt idx="267">
                  <c:v>6.6687433406052028</c:v>
                </c:pt>
                <c:pt idx="268">
                  <c:v>7.2362913465216439</c:v>
                </c:pt>
                <c:pt idx="269">
                  <c:v>6.2430716074136843</c:v>
                </c:pt>
                <c:pt idx="270">
                  <c:v>5.6604668893570924</c:v>
                </c:pt>
                <c:pt idx="271">
                  <c:v>7.4833973669638825</c:v>
                </c:pt>
                <c:pt idx="272">
                  <c:v>7.9425863872035336</c:v>
                </c:pt>
                <c:pt idx="273">
                  <c:v>7.7845226253092221</c:v>
                </c:pt>
                <c:pt idx="274">
                  <c:v>8.3408395118760303</c:v>
                </c:pt>
                <c:pt idx="275">
                  <c:v>10.988102944121787</c:v>
                </c:pt>
                <c:pt idx="276">
                  <c:v>12.522866544721797</c:v>
                </c:pt>
                <c:pt idx="277">
                  <c:v>10.016775339162068</c:v>
                </c:pt>
                <c:pt idx="278">
                  <c:v>8.3728739369041385</c:v>
                </c:pt>
                <c:pt idx="279">
                  <c:v>9.2476404129998535</c:v>
                </c:pt>
                <c:pt idx="280">
                  <c:v>9.1494454911563636</c:v>
                </c:pt>
                <c:pt idx="281">
                  <c:v>10.059018744517042</c:v>
                </c:pt>
                <c:pt idx="282">
                  <c:v>9.7242668327334574</c:v>
                </c:pt>
                <c:pt idx="283">
                  <c:v>10.807045547027121</c:v>
                </c:pt>
                <c:pt idx="284">
                  <c:v>9.9705951228515186</c:v>
                </c:pt>
                <c:pt idx="285">
                  <c:v>10.927096297127726</c:v>
                </c:pt>
                <c:pt idx="286">
                  <c:v>11.256423915899356</c:v>
                </c:pt>
                <c:pt idx="287">
                  <c:v>9.4980540457773106</c:v>
                </c:pt>
                <c:pt idx="288">
                  <c:v>9.3129376083725468</c:v>
                </c:pt>
                <c:pt idx="289">
                  <c:v>10.123575059592</c:v>
                </c:pt>
                <c:pt idx="290">
                  <c:v>10.455612849329206</c:v>
                </c:pt>
                <c:pt idx="291">
                  <c:v>9.2781975216969457</c:v>
                </c:pt>
                <c:pt idx="292">
                  <c:v>10.049508825403715</c:v>
                </c:pt>
                <c:pt idx="293">
                  <c:v>10.252001082343213</c:v>
                </c:pt>
                <c:pt idx="294">
                  <c:v>10.217929071292978</c:v>
                </c:pt>
                <c:pt idx="295">
                  <c:v>10.724846077365839</c:v>
                </c:pt>
                <c:pt idx="296">
                  <c:v>10.819738671962673</c:v>
                </c:pt>
                <c:pt idx="297">
                  <c:v>12.059707664295743</c:v>
                </c:pt>
                <c:pt idx="298">
                  <c:v>13.095805574522416</c:v>
                </c:pt>
                <c:pt idx="299">
                  <c:v>12.801953635421473</c:v>
                </c:pt>
                <c:pt idx="300">
                  <c:v>12.4589138461359</c:v>
                </c:pt>
                <c:pt idx="301">
                  <c:v>13.014741831501727</c:v>
                </c:pt>
                <c:pt idx="302">
                  <c:v>13.422605786429029</c:v>
                </c:pt>
                <c:pt idx="303">
                  <c:v>14.53125947136451</c:v>
                </c:pt>
                <c:pt idx="304">
                  <c:v>14.174192396470934</c:v>
                </c:pt>
                <c:pt idx="305">
                  <c:v>14.794264183597303</c:v>
                </c:pt>
                <c:pt idx="306">
                  <c:v>15.265722563738018</c:v>
                </c:pt>
                <c:pt idx="307">
                  <c:v>15.912721094446425</c:v>
                </c:pt>
                <c:pt idx="308">
                  <c:v>14.418130637454722</c:v>
                </c:pt>
                <c:pt idx="309">
                  <c:v>15.176227514557459</c:v>
                </c:pt>
                <c:pt idx="310">
                  <c:v>14.803365107016782</c:v>
                </c:pt>
                <c:pt idx="311">
                  <c:v>16.137525063989919</c:v>
                </c:pt>
                <c:pt idx="312">
                  <c:v>17.351061617603346</c:v>
                </c:pt>
                <c:pt idx="313">
                  <c:v>16.581021160957153</c:v>
                </c:pt>
                <c:pt idx="314">
                  <c:v>18.238224282216052</c:v>
                </c:pt>
                <c:pt idx="315">
                  <c:v>16.851133329234866</c:v>
                </c:pt>
                <c:pt idx="316">
                  <c:v>20.649727242870163</c:v>
                </c:pt>
                <c:pt idx="317">
                  <c:v>19.894234950335122</c:v>
                </c:pt>
                <c:pt idx="318">
                  <c:v>18.357702885782512</c:v>
                </c:pt>
                <c:pt idx="319">
                  <c:v>19.075555331490104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FE-0442-AD02-D40C75433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'240828E017'!$A$2:$A$321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'240828E017'!$J$2:$J$321</c:f>
              <c:numCache>
                <c:formatCode>0.0</c:formatCode>
                <c:ptCount val="320"/>
                <c:pt idx="0">
                  <c:v>6320.4296872265695</c:v>
                </c:pt>
                <c:pt idx="1">
                  <c:v>6197.7890161880496</c:v>
                </c:pt>
                <c:pt idx="2">
                  <c:v>6093.7875464540602</c:v>
                </c:pt>
                <c:pt idx="3">
                  <c:v>3130.0518349512504</c:v>
                </c:pt>
                <c:pt idx="4">
                  <c:v>5775.2062165822199</c:v>
                </c:pt>
                <c:pt idx="5">
                  <c:v>5775.8580768620905</c:v>
                </c:pt>
                <c:pt idx="6">
                  <c:v>4945.9616140050102</c:v>
                </c:pt>
                <c:pt idx="7">
                  <c:v>4909.3885900220594</c:v>
                </c:pt>
                <c:pt idx="8">
                  <c:v>5243.2336397624395</c:v>
                </c:pt>
                <c:pt idx="9">
                  <c:v>4487.5259843180802</c:v>
                </c:pt>
                <c:pt idx="10">
                  <c:v>5264.8408697489494</c:v>
                </c:pt>
                <c:pt idx="11">
                  <c:v>6339.5451493453002</c:v>
                </c:pt>
                <c:pt idx="12">
                  <c:v>7028.1196114628001</c:v>
                </c:pt>
                <c:pt idx="13">
                  <c:v>6386.2060005407602</c:v>
                </c:pt>
                <c:pt idx="14">
                  <c:v>5996.9975681462602</c:v>
                </c:pt>
                <c:pt idx="15">
                  <c:v>6237.2012184130899</c:v>
                </c:pt>
                <c:pt idx="16">
                  <c:v>6068.6929081551498</c:v>
                </c:pt>
                <c:pt idx="17">
                  <c:v>6160.73251629265</c:v>
                </c:pt>
                <c:pt idx="18">
                  <c:v>6081.2964033427106</c:v>
                </c:pt>
                <c:pt idx="19">
                  <c:v>5994.03287247142</c:v>
                </c:pt>
                <c:pt idx="20">
                  <c:v>6136.1651462415402</c:v>
                </c:pt>
                <c:pt idx="21">
                  <c:v>5961.2018194083503</c:v>
                </c:pt>
                <c:pt idx="22">
                  <c:v>5776.24291173643</c:v>
                </c:pt>
                <c:pt idx="23">
                  <c:v>5655.0444574339699</c:v>
                </c:pt>
                <c:pt idx="24">
                  <c:v>6388.97688828235</c:v>
                </c:pt>
                <c:pt idx="25">
                  <c:v>6227.4886833586097</c:v>
                </c:pt>
                <c:pt idx="26">
                  <c:v>6484.0906825864604</c:v>
                </c:pt>
                <c:pt idx="27">
                  <c:v>6372.5979787658898</c:v>
                </c:pt>
                <c:pt idx="28">
                  <c:v>6068.0028204895398</c:v>
                </c:pt>
                <c:pt idx="29">
                  <c:v>6102.0362907647204</c:v>
                </c:pt>
                <c:pt idx="30">
                  <c:v>5589.3123371336596</c:v>
                </c:pt>
                <c:pt idx="31">
                  <c:v>5478.1949685680602</c:v>
                </c:pt>
                <c:pt idx="32">
                  <c:v>5687.3292147961201</c:v>
                </c:pt>
                <c:pt idx="33">
                  <c:v>5851.4318953618304</c:v>
                </c:pt>
                <c:pt idx="34">
                  <c:v>5787.4329843126607</c:v>
                </c:pt>
                <c:pt idx="35">
                  <c:v>5751.6286445846699</c:v>
                </c:pt>
                <c:pt idx="36">
                  <c:v>5783.5374872672392</c:v>
                </c:pt>
                <c:pt idx="37">
                  <c:v>5701.1561257154499</c:v>
                </c:pt>
                <c:pt idx="38">
                  <c:v>6013.68154100837</c:v>
                </c:pt>
                <c:pt idx="39">
                  <c:v>6002.1571636579602</c:v>
                </c:pt>
                <c:pt idx="40">
                  <c:v>5263.52461461649</c:v>
                </c:pt>
                <c:pt idx="41">
                  <c:v>5287.76028938734</c:v>
                </c:pt>
                <c:pt idx="42">
                  <c:v>5321.4161925209501</c:v>
                </c:pt>
                <c:pt idx="43">
                  <c:v>5183.0663139362996</c:v>
                </c:pt>
                <c:pt idx="44">
                  <c:v>5210.7194193395708</c:v>
                </c:pt>
                <c:pt idx="45">
                  <c:v>5253.8777654636306</c:v>
                </c:pt>
                <c:pt idx="46">
                  <c:v>5182.9291919196394</c:v>
                </c:pt>
                <c:pt idx="47">
                  <c:v>5187.6450901378994</c:v>
                </c:pt>
                <c:pt idx="48">
                  <c:v>5224.0308469085494</c:v>
                </c:pt>
                <c:pt idx="49">
                  <c:v>5138.1310783009003</c:v>
                </c:pt>
                <c:pt idx="50">
                  <c:v>5205.7124443352504</c:v>
                </c:pt>
                <c:pt idx="51">
                  <c:v>5126.3355846560808</c:v>
                </c:pt>
                <c:pt idx="52">
                  <c:v>5188.2163240606405</c:v>
                </c:pt>
                <c:pt idx="53">
                  <c:v>5127.8251148074296</c:v>
                </c:pt>
                <c:pt idx="54">
                  <c:v>5201.9387876708397</c:v>
                </c:pt>
                <c:pt idx="55">
                  <c:v>5132.7401426378401</c:v>
                </c:pt>
                <c:pt idx="56">
                  <c:v>5165.2135448788104</c:v>
                </c:pt>
                <c:pt idx="57">
                  <c:v>5095.2782528251801</c:v>
                </c:pt>
                <c:pt idx="58">
                  <c:v>5074.2546429184495</c:v>
                </c:pt>
                <c:pt idx="59">
                  <c:v>5142.0259717476101</c:v>
                </c:pt>
                <c:pt idx="60">
                  <c:v>5034.9827839116806</c:v>
                </c:pt>
                <c:pt idx="61">
                  <c:v>4980.5214381878895</c:v>
                </c:pt>
                <c:pt idx="62">
                  <c:v>5161.8747676058401</c:v>
                </c:pt>
                <c:pt idx="63">
                  <c:v>5028.58876643239</c:v>
                </c:pt>
                <c:pt idx="64">
                  <c:v>4918.1601863310307</c:v>
                </c:pt>
                <c:pt idx="65">
                  <c:v>5068.7934145904801</c:v>
                </c:pt>
                <c:pt idx="66">
                  <c:v>5105.2129863559803</c:v>
                </c:pt>
                <c:pt idx="67">
                  <c:v>5008.0259322390093</c:v>
                </c:pt>
                <c:pt idx="68">
                  <c:v>4987.52568161829</c:v>
                </c:pt>
                <c:pt idx="69">
                  <c:v>4935.9736023225596</c:v>
                </c:pt>
                <c:pt idx="70">
                  <c:v>4995.8315356886897</c:v>
                </c:pt>
                <c:pt idx="71">
                  <c:v>4982.0346480682801</c:v>
                </c:pt>
                <c:pt idx="72">
                  <c:v>4939.6990508030804</c:v>
                </c:pt>
                <c:pt idx="73">
                  <c:v>4853.5255654172097</c:v>
                </c:pt>
                <c:pt idx="74">
                  <c:v>4880.5330291345399</c:v>
                </c:pt>
                <c:pt idx="75">
                  <c:v>4912.75610719221</c:v>
                </c:pt>
                <c:pt idx="76">
                  <c:v>4900.4551127322602</c:v>
                </c:pt>
                <c:pt idx="77">
                  <c:v>4906.6467626399299</c:v>
                </c:pt>
                <c:pt idx="78">
                  <c:v>4838.2400407679497</c:v>
                </c:pt>
                <c:pt idx="79">
                  <c:v>4951.2874303788694</c:v>
                </c:pt>
                <c:pt idx="80">
                  <c:v>5233.5879300670904</c:v>
                </c:pt>
                <c:pt idx="81">
                  <c:v>4930.7481900641296</c:v>
                </c:pt>
                <c:pt idx="82">
                  <c:v>4958.1391822531596</c:v>
                </c:pt>
                <c:pt idx="83">
                  <c:v>5144.98231230083</c:v>
                </c:pt>
                <c:pt idx="84">
                  <c:v>5024.0776838439597</c:v>
                </c:pt>
                <c:pt idx="85">
                  <c:v>4893.9583260170903</c:v>
                </c:pt>
                <c:pt idx="86">
                  <c:v>5003.2064751103699</c:v>
                </c:pt>
                <c:pt idx="87">
                  <c:v>5063.5757761634204</c:v>
                </c:pt>
                <c:pt idx="88">
                  <c:v>5280.0829873677503</c:v>
                </c:pt>
                <c:pt idx="89">
                  <c:v>5282.5719898624093</c:v>
                </c:pt>
                <c:pt idx="90">
                  <c:v>5340.0276633071308</c:v>
                </c:pt>
                <c:pt idx="91">
                  <c:v>5324.29786583234</c:v>
                </c:pt>
                <c:pt idx="92">
                  <c:v>5231.8111720799207</c:v>
                </c:pt>
                <c:pt idx="93">
                  <c:v>5197.1122500603506</c:v>
                </c:pt>
                <c:pt idx="94">
                  <c:v>4807.3500603928906</c:v>
                </c:pt>
                <c:pt idx="95">
                  <c:v>4956.2351040698595</c:v>
                </c:pt>
                <c:pt idx="96">
                  <c:v>4807.6213436979797</c:v>
                </c:pt>
                <c:pt idx="97">
                  <c:v>4991.2609645394505</c:v>
                </c:pt>
                <c:pt idx="98">
                  <c:v>5208.24011955079</c:v>
                </c:pt>
                <c:pt idx="99">
                  <c:v>5583.2008359612901</c:v>
                </c:pt>
                <c:pt idx="100">
                  <c:v>5690.9601989699995</c:v>
                </c:pt>
                <c:pt idx="101">
                  <c:v>5451.1647356418198</c:v>
                </c:pt>
                <c:pt idx="102">
                  <c:v>5259.4754119286499</c:v>
                </c:pt>
                <c:pt idx="103">
                  <c:v>5420.8335508710506</c:v>
                </c:pt>
                <c:pt idx="104">
                  <c:v>5377.4937826306996</c:v>
                </c:pt>
                <c:pt idx="105">
                  <c:v>5178.84259389207</c:v>
                </c:pt>
                <c:pt idx="106">
                  <c:v>5181.3185010011903</c:v>
                </c:pt>
                <c:pt idx="107">
                  <c:v>5335.14471292705</c:v>
                </c:pt>
                <c:pt idx="108">
                  <c:v>5414.7876327717604</c:v>
                </c:pt>
                <c:pt idx="109">
                  <c:v>5628.7441566410198</c:v>
                </c:pt>
                <c:pt idx="110">
                  <c:v>5430.7443736016994</c:v>
                </c:pt>
                <c:pt idx="111">
                  <c:v>5549.2126191825801</c:v>
                </c:pt>
                <c:pt idx="112">
                  <c:v>5447.1032359809205</c:v>
                </c:pt>
                <c:pt idx="113">
                  <c:v>5149.5423924936604</c:v>
                </c:pt>
                <c:pt idx="114">
                  <c:v>5050.5568661637399</c:v>
                </c:pt>
                <c:pt idx="115">
                  <c:v>5059.7733683586803</c:v>
                </c:pt>
                <c:pt idx="116">
                  <c:v>4920.3794055769495</c:v>
                </c:pt>
                <c:pt idx="117">
                  <c:v>5603.4296642643903</c:v>
                </c:pt>
                <c:pt idx="118">
                  <c:v>6137.9811386689908</c:v>
                </c:pt>
                <c:pt idx="119">
                  <c:v>6056.7094021684206</c:v>
                </c:pt>
                <c:pt idx="120">
                  <c:v>5928.3832963629002</c:v>
                </c:pt>
                <c:pt idx="121">
                  <c:v>5783.86043653864</c:v>
                </c:pt>
                <c:pt idx="122">
                  <c:v>5660.6899952547001</c:v>
                </c:pt>
                <c:pt idx="123">
                  <c:v>5765.1593005983905</c:v>
                </c:pt>
                <c:pt idx="124">
                  <c:v>5654.5759351916104</c:v>
                </c:pt>
                <c:pt idx="125">
                  <c:v>5604.3799186339493</c:v>
                </c:pt>
                <c:pt idx="126">
                  <c:v>5694.2111389853999</c:v>
                </c:pt>
                <c:pt idx="127">
                  <c:v>5770.4290937672095</c:v>
                </c:pt>
                <c:pt idx="128">
                  <c:v>5815.7299525622302</c:v>
                </c:pt>
                <c:pt idx="129">
                  <c:v>5775.3611522011397</c:v>
                </c:pt>
                <c:pt idx="130">
                  <c:v>5824.01784209983</c:v>
                </c:pt>
                <c:pt idx="131">
                  <c:v>5785.7199317415398</c:v>
                </c:pt>
                <c:pt idx="132">
                  <c:v>5790.7739488030702</c:v>
                </c:pt>
                <c:pt idx="133">
                  <c:v>5767.9369189106201</c:v>
                </c:pt>
                <c:pt idx="134">
                  <c:v>5791.1726060470901</c:v>
                </c:pt>
                <c:pt idx="135">
                  <c:v>5728.55643686641</c:v>
                </c:pt>
                <c:pt idx="136">
                  <c:v>5694.8682153108994</c:v>
                </c:pt>
                <c:pt idx="137">
                  <c:v>5681.5082842184393</c:v>
                </c:pt>
                <c:pt idx="138">
                  <c:v>5526.6560314273001</c:v>
                </c:pt>
                <c:pt idx="139">
                  <c:v>5741.6913577956602</c:v>
                </c:pt>
                <c:pt idx="140">
                  <c:v>5768.4934021481804</c:v>
                </c:pt>
                <c:pt idx="141">
                  <c:v>5606.0186079977602</c:v>
                </c:pt>
                <c:pt idx="142">
                  <c:v>5460.3064550283898</c:v>
                </c:pt>
                <c:pt idx="143">
                  <c:v>5505.9812884397797</c:v>
                </c:pt>
                <c:pt idx="144">
                  <c:v>5545.6929599213199</c:v>
                </c:pt>
                <c:pt idx="145">
                  <c:v>5560.8106910394199</c:v>
                </c:pt>
                <c:pt idx="146">
                  <c:v>5600.2518297310899</c:v>
                </c:pt>
                <c:pt idx="147">
                  <c:v>5538.2122124791103</c:v>
                </c:pt>
                <c:pt idx="148">
                  <c:v>5549.1724422021198</c:v>
                </c:pt>
                <c:pt idx="149">
                  <c:v>5516.8430511954102</c:v>
                </c:pt>
                <c:pt idx="150">
                  <c:v>5412.0804463384293</c:v>
                </c:pt>
                <c:pt idx="151">
                  <c:v>5346.1137091875698</c:v>
                </c:pt>
                <c:pt idx="152">
                  <c:v>5179.53568265391</c:v>
                </c:pt>
                <c:pt idx="153">
                  <c:v>5630.6044555475</c:v>
                </c:pt>
                <c:pt idx="154">
                  <c:v>5557.0718576321005</c:v>
                </c:pt>
                <c:pt idx="155">
                  <c:v>5439.39605905798</c:v>
                </c:pt>
                <c:pt idx="156">
                  <c:v>5404.3318924381601</c:v>
                </c:pt>
                <c:pt idx="157">
                  <c:v>5331.9105438521001</c:v>
                </c:pt>
                <c:pt idx="158">
                  <c:v>5447.5262409664101</c:v>
                </c:pt>
                <c:pt idx="159">
                  <c:v>5744.5281699694697</c:v>
                </c:pt>
                <c:pt idx="160">
                  <c:v>5500.74349258033</c:v>
                </c:pt>
                <c:pt idx="161">
                  <c:v>5954.7100098215597</c:v>
                </c:pt>
                <c:pt idx="162">
                  <c:v>6074.4922605674701</c:v>
                </c:pt>
                <c:pt idx="163">
                  <c:v>5958.7444342574399</c:v>
                </c:pt>
                <c:pt idx="164">
                  <c:v>6101.8215952912797</c:v>
                </c:pt>
                <c:pt idx="165">
                  <c:v>5985.54769045393</c:v>
                </c:pt>
                <c:pt idx="166">
                  <c:v>5805.2851383527095</c:v>
                </c:pt>
                <c:pt idx="167">
                  <c:v>5915.2662308929202</c:v>
                </c:pt>
                <c:pt idx="168">
                  <c:v>5815.0135999794002</c:v>
                </c:pt>
                <c:pt idx="169">
                  <c:v>5655.6051532911206</c:v>
                </c:pt>
                <c:pt idx="170">
                  <c:v>5642.0542936309394</c:v>
                </c:pt>
                <c:pt idx="171">
                  <c:v>5781.0544329511904</c:v>
                </c:pt>
                <c:pt idx="172">
                  <c:v>6013.3837584286402</c:v>
                </c:pt>
                <c:pt idx="173">
                  <c:v>6046.6198956318003</c:v>
                </c:pt>
                <c:pt idx="174">
                  <c:v>5754.7979571972601</c:v>
                </c:pt>
                <c:pt idx="175">
                  <c:v>5941.5936675461498</c:v>
                </c:pt>
                <c:pt idx="176">
                  <c:v>5958.6814176633798</c:v>
                </c:pt>
                <c:pt idx="177">
                  <c:v>6049.4857184738403</c:v>
                </c:pt>
                <c:pt idx="178">
                  <c:v>6098.6532972223904</c:v>
                </c:pt>
                <c:pt idx="179">
                  <c:v>5967.2361890084694</c:v>
                </c:pt>
                <c:pt idx="180">
                  <c:v>6079.1193328195895</c:v>
                </c:pt>
                <c:pt idx="181">
                  <c:v>6130.6142737058099</c:v>
                </c:pt>
                <c:pt idx="182">
                  <c:v>6154.5255896274202</c:v>
                </c:pt>
                <c:pt idx="183">
                  <c:v>6097.48959068363</c:v>
                </c:pt>
                <c:pt idx="184">
                  <c:v>5814.0061315574603</c:v>
                </c:pt>
                <c:pt idx="185">
                  <c:v>5980.2416897469093</c:v>
                </c:pt>
                <c:pt idx="186">
                  <c:v>6059.0088395573493</c:v>
                </c:pt>
                <c:pt idx="187">
                  <c:v>5929.1523881319899</c:v>
                </c:pt>
                <c:pt idx="188">
                  <c:v>5874.68210760272</c:v>
                </c:pt>
                <c:pt idx="189">
                  <c:v>6060.4595891908602</c:v>
                </c:pt>
                <c:pt idx="190">
                  <c:v>5765.93340303895</c:v>
                </c:pt>
                <c:pt idx="191">
                  <c:v>5806.7656907876099</c:v>
                </c:pt>
                <c:pt idx="192">
                  <c:v>5953.8885902617603</c:v>
                </c:pt>
                <c:pt idx="193">
                  <c:v>5881.1600960908809</c:v>
                </c:pt>
                <c:pt idx="194">
                  <c:v>5913.9079326904102</c:v>
                </c:pt>
                <c:pt idx="195">
                  <c:v>5626.4663063021098</c:v>
                </c:pt>
                <c:pt idx="196">
                  <c:v>5652.27442812555</c:v>
                </c:pt>
                <c:pt idx="197">
                  <c:v>5768.1729555342999</c:v>
                </c:pt>
                <c:pt idx="198">
                  <c:v>5858.6527712269099</c:v>
                </c:pt>
                <c:pt idx="199">
                  <c:v>5507.2734918313508</c:v>
                </c:pt>
                <c:pt idx="200">
                  <c:v>5229.6298097093904</c:v>
                </c:pt>
                <c:pt idx="201">
                  <c:v>5030.0355353652403</c:v>
                </c:pt>
                <c:pt idx="202">
                  <c:v>5050.7188865481903</c:v>
                </c:pt>
                <c:pt idx="203">
                  <c:v>5399.7035686540594</c:v>
                </c:pt>
                <c:pt idx="204">
                  <c:v>5203.9174684791606</c:v>
                </c:pt>
                <c:pt idx="205">
                  <c:v>5132.6851270002999</c:v>
                </c:pt>
                <c:pt idx="206">
                  <c:v>5217.0938641144994</c:v>
                </c:pt>
                <c:pt idx="207">
                  <c:v>5308.6869909034995</c:v>
                </c:pt>
                <c:pt idx="208">
                  <c:v>5398.2287566312398</c:v>
                </c:pt>
                <c:pt idx="209">
                  <c:v>5770.0605026555895</c:v>
                </c:pt>
                <c:pt idx="210">
                  <c:v>5140.8407454369808</c:v>
                </c:pt>
                <c:pt idx="211">
                  <c:v>5454.9138082673899</c:v>
                </c:pt>
                <c:pt idx="212">
                  <c:v>5432.7546174142599</c:v>
                </c:pt>
                <c:pt idx="213">
                  <c:v>5532.9700967458093</c:v>
                </c:pt>
                <c:pt idx="214">
                  <c:v>5698.3078276164997</c:v>
                </c:pt>
                <c:pt idx="215">
                  <c:v>5290.5057167985897</c:v>
                </c:pt>
                <c:pt idx="216">
                  <c:v>5966.1499700593395</c:v>
                </c:pt>
                <c:pt idx="217">
                  <c:v>5515.3809577274696</c:v>
                </c:pt>
                <c:pt idx="218">
                  <c:v>5611.9772357267102</c:v>
                </c:pt>
                <c:pt idx="219">
                  <c:v>5538.0594556409796</c:v>
                </c:pt>
                <c:pt idx="220">
                  <c:v>5415.3774513931594</c:v>
                </c:pt>
                <c:pt idx="221">
                  <c:v>5004.0522464866508</c:v>
                </c:pt>
                <c:pt idx="222">
                  <c:v>5227.0615608450698</c:v>
                </c:pt>
                <c:pt idx="223">
                  <c:v>4999.1033106897003</c:v>
                </c:pt>
                <c:pt idx="224">
                  <c:v>5376.1901340183304</c:v>
                </c:pt>
                <c:pt idx="225">
                  <c:v>5222.4369326322403</c:v>
                </c:pt>
                <c:pt idx="226">
                  <c:v>4903.1780070298701</c:v>
                </c:pt>
                <c:pt idx="227">
                  <c:v>4958.9868291425</c:v>
                </c:pt>
                <c:pt idx="228">
                  <c:v>4989.2192933794195</c:v>
                </c:pt>
                <c:pt idx="229">
                  <c:v>5035.6584364346199</c:v>
                </c:pt>
                <c:pt idx="230">
                  <c:v>5187.9041880716704</c:v>
                </c:pt>
                <c:pt idx="231">
                  <c:v>5318.0476346555806</c:v>
                </c:pt>
                <c:pt idx="232">
                  <c:v>5241.6809971902994</c:v>
                </c:pt>
                <c:pt idx="233">
                  <c:v>5309.3560682123998</c:v>
                </c:pt>
                <c:pt idx="234">
                  <c:v>5363.4826308948905</c:v>
                </c:pt>
                <c:pt idx="235">
                  <c:v>5290.3287505545304</c:v>
                </c:pt>
                <c:pt idx="236">
                  <c:v>5420.5407359842802</c:v>
                </c:pt>
                <c:pt idx="237">
                  <c:v>5440.3768541652298</c:v>
                </c:pt>
                <c:pt idx="238">
                  <c:v>5691.3643900654197</c:v>
                </c:pt>
                <c:pt idx="239">
                  <c:v>5754.5805348651002</c:v>
                </c:pt>
                <c:pt idx="240">
                  <c:v>6152.3218997361801</c:v>
                </c:pt>
                <c:pt idx="241">
                  <c:v>5949.3957783641299</c:v>
                </c:pt>
                <c:pt idx="242">
                  <c:v>5931.5730037822195</c:v>
                </c:pt>
                <c:pt idx="243">
                  <c:v>6023.1138527089497</c:v>
                </c:pt>
                <c:pt idx="244">
                  <c:v>5719.6182890937707</c:v>
                </c:pt>
                <c:pt idx="245">
                  <c:v>5591.3893032623</c:v>
                </c:pt>
                <c:pt idx="246">
                  <c:v>5441.6746708063001</c:v>
                </c:pt>
                <c:pt idx="247">
                  <c:v>5489.8065829424795</c:v>
                </c:pt>
                <c:pt idx="248">
                  <c:v>5303.3583918825998</c:v>
                </c:pt>
                <c:pt idx="249">
                  <c:v>5344.9436116307397</c:v>
                </c:pt>
                <c:pt idx="250">
                  <c:v>5339.70297385909</c:v>
                </c:pt>
                <c:pt idx="251">
                  <c:v>5282.4736307738995</c:v>
                </c:pt>
                <c:pt idx="252">
                  <c:v>5285.3274317446603</c:v>
                </c:pt>
                <c:pt idx="253">
                  <c:v>5350.4308346900298</c:v>
                </c:pt>
                <c:pt idx="254">
                  <c:v>5597.5063606820595</c:v>
                </c:pt>
                <c:pt idx="255">
                  <c:v>5177.0113714959998</c:v>
                </c:pt>
                <c:pt idx="256">
                  <c:v>5222.1543663703706</c:v>
                </c:pt>
                <c:pt idx="257">
                  <c:v>5136.22170497147</c:v>
                </c:pt>
                <c:pt idx="258">
                  <c:v>5079.8956762853795</c:v>
                </c:pt>
                <c:pt idx="259">
                  <c:v>5031.8033233428396</c:v>
                </c:pt>
                <c:pt idx="260">
                  <c:v>5115.6013106446599</c:v>
                </c:pt>
                <c:pt idx="261">
                  <c:v>5350.1824497999305</c:v>
                </c:pt>
                <c:pt idx="262">
                  <c:v>5160.2582074460997</c:v>
                </c:pt>
                <c:pt idx="263">
                  <c:v>5231.9562556237206</c:v>
                </c:pt>
                <c:pt idx="264">
                  <c:v>5150.5928206705994</c:v>
                </c:pt>
                <c:pt idx="265">
                  <c:v>5396.7146962987299</c:v>
                </c:pt>
                <c:pt idx="266">
                  <c:v>5464.20989930224</c:v>
                </c:pt>
                <c:pt idx="267">
                  <c:v>5278.0645109410398</c:v>
                </c:pt>
                <c:pt idx="268">
                  <c:v>5264.4886891609804</c:v>
                </c:pt>
                <c:pt idx="269">
                  <c:v>5241.7924323509797</c:v>
                </c:pt>
                <c:pt idx="270">
                  <c:v>5475.8271197255699</c:v>
                </c:pt>
                <c:pt idx="271">
                  <c:v>5453.45443833012</c:v>
                </c:pt>
                <c:pt idx="272">
                  <c:v>5558.2500372936302</c:v>
                </c:pt>
                <c:pt idx="273">
                  <c:v>5405.88202468691</c:v>
                </c:pt>
                <c:pt idx="274">
                  <c:v>5490.1311398478801</c:v>
                </c:pt>
                <c:pt idx="275">
                  <c:v>5391.2170754747704</c:v>
                </c:pt>
                <c:pt idx="276">
                  <c:v>5350.3697514576997</c:v>
                </c:pt>
                <c:pt idx="277">
                  <c:v>5265.8889493841307</c:v>
                </c:pt>
                <c:pt idx="278">
                  <c:v>5225.5496340038799</c:v>
                </c:pt>
                <c:pt idx="279">
                  <c:v>5410.4798248430798</c:v>
                </c:pt>
                <c:pt idx="280">
                  <c:v>5428.5377211851801</c:v>
                </c:pt>
                <c:pt idx="281">
                  <c:v>5373.8929533861001</c:v>
                </c:pt>
                <c:pt idx="282">
                  <c:v>5623.8144666548706</c:v>
                </c:pt>
                <c:pt idx="283">
                  <c:v>5466.0898264081006</c:v>
                </c:pt>
                <c:pt idx="284">
                  <c:v>5684.7206245669195</c:v>
                </c:pt>
                <c:pt idx="285">
                  <c:v>5640.4839017471295</c:v>
                </c:pt>
                <c:pt idx="286">
                  <c:v>5405.36327158121</c:v>
                </c:pt>
                <c:pt idx="287">
                  <c:v>5375.0887998466096</c:v>
                </c:pt>
                <c:pt idx="288">
                  <c:v>5449.8821810849904</c:v>
                </c:pt>
                <c:pt idx="289">
                  <c:v>5698.1295371156393</c:v>
                </c:pt>
                <c:pt idx="290">
                  <c:v>5838.1274262976995</c:v>
                </c:pt>
                <c:pt idx="291">
                  <c:v>5748.72683040225</c:v>
                </c:pt>
                <c:pt idx="292">
                  <c:v>5534.9247234588101</c:v>
                </c:pt>
                <c:pt idx="293">
                  <c:v>5492.85577015539</c:v>
                </c:pt>
                <c:pt idx="294">
                  <c:v>5461.6012406918899</c:v>
                </c:pt>
                <c:pt idx="295">
                  <c:v>5104.3050272647306</c:v>
                </c:pt>
                <c:pt idx="296">
                  <c:v>5646.09751704681</c:v>
                </c:pt>
                <c:pt idx="297">
                  <c:v>5450.5704973151096</c:v>
                </c:pt>
                <c:pt idx="298">
                  <c:v>5399.1453083700499</c:v>
                </c:pt>
                <c:pt idx="299">
                  <c:v>5309.6610837061608</c:v>
                </c:pt>
                <c:pt idx="300">
                  <c:v>5301.2995312154699</c:v>
                </c:pt>
                <c:pt idx="301">
                  <c:v>5023.5182497800906</c:v>
                </c:pt>
                <c:pt idx="302">
                  <c:v>5065.6508519058998</c:v>
                </c:pt>
                <c:pt idx="303">
                  <c:v>4967.5196438930798</c:v>
                </c:pt>
                <c:pt idx="304">
                  <c:v>4843.1702852785602</c:v>
                </c:pt>
                <c:pt idx="305">
                  <c:v>4809.2769536293999</c:v>
                </c:pt>
                <c:pt idx="306">
                  <c:v>4895.7408855477897</c:v>
                </c:pt>
                <c:pt idx="307">
                  <c:v>5002.6445845517301</c:v>
                </c:pt>
                <c:pt idx="308">
                  <c:v>5063.6369725589402</c:v>
                </c:pt>
                <c:pt idx="309">
                  <c:v>5185.6192621493701</c:v>
                </c:pt>
                <c:pt idx="310">
                  <c:v>5076.55906033051</c:v>
                </c:pt>
                <c:pt idx="311">
                  <c:v>5197.48000290052</c:v>
                </c:pt>
                <c:pt idx="312">
                  <c:v>5264.7582363584897</c:v>
                </c:pt>
                <c:pt idx="313">
                  <c:v>5179.9731202953499</c:v>
                </c:pt>
                <c:pt idx="314">
                  <c:v>5361.7969337526702</c:v>
                </c:pt>
                <c:pt idx="315">
                  <c:v>4954.1765506922502</c:v>
                </c:pt>
                <c:pt idx="316">
                  <c:v>5069.96478260403</c:v>
                </c:pt>
                <c:pt idx="317">
                  <c:v>5110.45663054345</c:v>
                </c:pt>
                <c:pt idx="318">
                  <c:v>5333.29371597725</c:v>
                </c:pt>
                <c:pt idx="319">
                  <c:v>4887.1179799789106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FD-4FB3-8BB3-55D8E273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6-4070-A8B2-8F61A25880E1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'240828E017'!$A$2:$A$321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'240828E017'!$P$2:$P$321</c:f>
              <c:numCache>
                <c:formatCode>General</c:formatCode>
                <c:ptCount val="320"/>
                <c:pt idx="0">
                  <c:v>35.428662798041657</c:v>
                </c:pt>
                <c:pt idx="1">
                  <c:v>37.506034748087458</c:v>
                </c:pt>
                <c:pt idx="2">
                  <c:v>41.539772531071982</c:v>
                </c:pt>
                <c:pt idx="3">
                  <c:v>62.500274347538024</c:v>
                </c:pt>
                <c:pt idx="4">
                  <c:v>43.052805463217616</c:v>
                </c:pt>
                <c:pt idx="5">
                  <c:v>39.535822185858656</c:v>
                </c:pt>
                <c:pt idx="6">
                  <c:v>42.713647649284987</c:v>
                </c:pt>
                <c:pt idx="7">
                  <c:v>40.596509811589769</c:v>
                </c:pt>
                <c:pt idx="8">
                  <c:v>37.225663919132693</c:v>
                </c:pt>
                <c:pt idx="9">
                  <c:v>40.52255334286815</c:v>
                </c:pt>
                <c:pt idx="10">
                  <c:v>35.077937935393145</c:v>
                </c:pt>
                <c:pt idx="11">
                  <c:v>25.262144355704681</c:v>
                </c:pt>
                <c:pt idx="12">
                  <c:v>16.519517933996184</c:v>
                </c:pt>
                <c:pt idx="13">
                  <c:v>18.032498651034885</c:v>
                </c:pt>
                <c:pt idx="14">
                  <c:v>20.120344575587925</c:v>
                </c:pt>
                <c:pt idx="15">
                  <c:v>9.8737722367290317</c:v>
                </c:pt>
                <c:pt idx="16">
                  <c:v>10.576267423192965</c:v>
                </c:pt>
                <c:pt idx="17">
                  <c:v>9.0064130648743781</c:v>
                </c:pt>
                <c:pt idx="18">
                  <c:v>5.0825908756987364</c:v>
                </c:pt>
                <c:pt idx="19">
                  <c:v>3.7799966928895241</c:v>
                </c:pt>
                <c:pt idx="20">
                  <c:v>5.817289130288569</c:v>
                </c:pt>
                <c:pt idx="21">
                  <c:v>9.5397408711871794</c:v>
                </c:pt>
                <c:pt idx="22">
                  <c:v>9.0377559018894242</c:v>
                </c:pt>
                <c:pt idx="23">
                  <c:v>6.6578158972822754</c:v>
                </c:pt>
                <c:pt idx="24">
                  <c:v>8.2971052161439083</c:v>
                </c:pt>
                <c:pt idx="25">
                  <c:v>7.6791876436749424</c:v>
                </c:pt>
                <c:pt idx="26">
                  <c:v>6.5730582321005659</c:v>
                </c:pt>
                <c:pt idx="27">
                  <c:v>9.3768621413689583</c:v>
                </c:pt>
                <c:pt idx="28">
                  <c:v>7.0731023708983791</c:v>
                </c:pt>
                <c:pt idx="29">
                  <c:v>5.8195381332276188</c:v>
                </c:pt>
                <c:pt idx="30">
                  <c:v>5.7034097122400746</c:v>
                </c:pt>
                <c:pt idx="31">
                  <c:v>6.3583495206105916</c:v>
                </c:pt>
                <c:pt idx="32">
                  <c:v>6.1120710984525219</c:v>
                </c:pt>
                <c:pt idx="33">
                  <c:v>5.5577433529685107</c:v>
                </c:pt>
                <c:pt idx="34">
                  <c:v>5.726076002158635</c:v>
                </c:pt>
                <c:pt idx="35">
                  <c:v>4.9368904087709824</c:v>
                </c:pt>
                <c:pt idx="36">
                  <c:v>4.7332874837791525</c:v>
                </c:pt>
                <c:pt idx="37">
                  <c:v>4.1037935604072739</c:v>
                </c:pt>
                <c:pt idx="38">
                  <c:v>5.4635071231920076</c:v>
                </c:pt>
                <c:pt idx="39">
                  <c:v>5.3115178190383814</c:v>
                </c:pt>
                <c:pt idx="40">
                  <c:v>2.6391583422656644</c:v>
                </c:pt>
                <c:pt idx="41">
                  <c:v>2.0966525974258401</c:v>
                </c:pt>
                <c:pt idx="42">
                  <c:v>1.6037302186745377</c:v>
                </c:pt>
                <c:pt idx="43">
                  <c:v>1.9479930615679486</c:v>
                </c:pt>
                <c:pt idx="44">
                  <c:v>1.5461951066445578</c:v>
                </c:pt>
                <c:pt idx="45">
                  <c:v>1.6506032153467014</c:v>
                </c:pt>
                <c:pt idx="46">
                  <c:v>1.4364618703462981</c:v>
                </c:pt>
                <c:pt idx="47">
                  <c:v>1.733690120607434</c:v>
                </c:pt>
                <c:pt idx="48">
                  <c:v>0.9913505438485638</c:v>
                </c:pt>
                <c:pt idx="49">
                  <c:v>1.0266360490784756</c:v>
                </c:pt>
                <c:pt idx="50">
                  <c:v>0.97086064351490342</c:v>
                </c:pt>
                <c:pt idx="51">
                  <c:v>0.79820302606439797</c:v>
                </c:pt>
                <c:pt idx="52">
                  <c:v>-3.0930659628878764E-2</c:v>
                </c:pt>
                <c:pt idx="53">
                  <c:v>-1.5739939894790125E-2</c:v>
                </c:pt>
                <c:pt idx="54">
                  <c:v>0.36439549446387798</c:v>
                </c:pt>
                <c:pt idx="55">
                  <c:v>0.26378498643149634</c:v>
                </c:pt>
                <c:pt idx="56">
                  <c:v>-6.4790075578042838E-2</c:v>
                </c:pt>
                <c:pt idx="57">
                  <c:v>-0.58318905673289734</c:v>
                </c:pt>
                <c:pt idx="58">
                  <c:v>-0.65643425581613402</c:v>
                </c:pt>
                <c:pt idx="59">
                  <c:v>-0.78704565608287336</c:v>
                </c:pt>
                <c:pt idx="60">
                  <c:v>-0.94722049165903621</c:v>
                </c:pt>
                <c:pt idx="61">
                  <c:v>-2.756132463294128</c:v>
                </c:pt>
                <c:pt idx="62">
                  <c:v>-1.7972415698462771</c:v>
                </c:pt>
                <c:pt idx="63">
                  <c:v>-0.56168764538844873</c:v>
                </c:pt>
                <c:pt idx="64">
                  <c:v>0.87529381074457524</c:v>
                </c:pt>
                <c:pt idx="65">
                  <c:v>1.0980331868687339</c:v>
                </c:pt>
                <c:pt idx="66">
                  <c:v>0.29251589303736947</c:v>
                </c:pt>
                <c:pt idx="67">
                  <c:v>0.92321787673623779</c:v>
                </c:pt>
                <c:pt idx="68">
                  <c:v>0.92130346876669811</c:v>
                </c:pt>
                <c:pt idx="69">
                  <c:v>1.0740603443546872</c:v>
                </c:pt>
                <c:pt idx="70">
                  <c:v>-0.25571910978151569</c:v>
                </c:pt>
                <c:pt idx="71">
                  <c:v>-0.25184298980728453</c:v>
                </c:pt>
                <c:pt idx="72">
                  <c:v>2.3575429768802766E-2</c:v>
                </c:pt>
                <c:pt idx="73">
                  <c:v>0.3501633923643197</c:v>
                </c:pt>
                <c:pt idx="74">
                  <c:v>0.38211729937753564</c:v>
                </c:pt>
                <c:pt idx="75">
                  <c:v>2.9522433387015247E-2</c:v>
                </c:pt>
                <c:pt idx="76">
                  <c:v>0.16188731299142006</c:v>
                </c:pt>
                <c:pt idx="77">
                  <c:v>5.2549308050510633E-2</c:v>
                </c:pt>
                <c:pt idx="78">
                  <c:v>-8.8713362976925392E-2</c:v>
                </c:pt>
                <c:pt idx="79">
                  <c:v>0.47431787630556149</c:v>
                </c:pt>
                <c:pt idx="80">
                  <c:v>0.30760697942581572</c:v>
                </c:pt>
                <c:pt idx="81">
                  <c:v>0.42941843153594428</c:v>
                </c:pt>
                <c:pt idx="82">
                  <c:v>0.54989510002258279</c:v>
                </c:pt>
                <c:pt idx="83">
                  <c:v>19.682692736019721</c:v>
                </c:pt>
                <c:pt idx="84">
                  <c:v>24.831673328928598</c:v>
                </c:pt>
                <c:pt idx="85">
                  <c:v>24.119559509607146</c:v>
                </c:pt>
                <c:pt idx="86">
                  <c:v>25.839484736304243</c:v>
                </c:pt>
                <c:pt idx="87">
                  <c:v>28.324141437186075</c:v>
                </c:pt>
                <c:pt idx="88">
                  <c:v>33.048582693086964</c:v>
                </c:pt>
                <c:pt idx="89">
                  <c:v>36.820454436646983</c:v>
                </c:pt>
                <c:pt idx="90">
                  <c:v>33.990315213165367</c:v>
                </c:pt>
                <c:pt idx="91">
                  <c:v>38.096151640043509</c:v>
                </c:pt>
                <c:pt idx="92">
                  <c:v>36.683847395079589</c:v>
                </c:pt>
                <c:pt idx="93">
                  <c:v>35.794511268562424</c:v>
                </c:pt>
                <c:pt idx="94">
                  <c:v>39.649374786436972</c:v>
                </c:pt>
                <c:pt idx="95">
                  <c:v>39.190160133094132</c:v>
                </c:pt>
                <c:pt idx="96">
                  <c:v>34.478662453337542</c:v>
                </c:pt>
                <c:pt idx="97">
                  <c:v>34.751253115640743</c:v>
                </c:pt>
                <c:pt idx="98">
                  <c:v>42.486883230658336</c:v>
                </c:pt>
                <c:pt idx="99">
                  <c:v>41.34134807132687</c:v>
                </c:pt>
                <c:pt idx="100">
                  <c:v>39.108441842758644</c:v>
                </c:pt>
                <c:pt idx="101">
                  <c:v>39.088311215225644</c:v>
                </c:pt>
                <c:pt idx="102">
                  <c:v>40.43311153615992</c:v>
                </c:pt>
                <c:pt idx="103">
                  <c:v>37.76337495722408</c:v>
                </c:pt>
                <c:pt idx="104">
                  <c:v>39.35188836481688</c:v>
                </c:pt>
                <c:pt idx="105">
                  <c:v>40.843138194778781</c:v>
                </c:pt>
                <c:pt idx="106">
                  <c:v>37.202958864701294</c:v>
                </c:pt>
                <c:pt idx="107">
                  <c:v>42.807355781589827</c:v>
                </c:pt>
                <c:pt idx="108">
                  <c:v>41.239388479087928</c:v>
                </c:pt>
                <c:pt idx="109">
                  <c:v>39.119203428378967</c:v>
                </c:pt>
                <c:pt idx="110">
                  <c:v>36.610259195353194</c:v>
                </c:pt>
                <c:pt idx="111">
                  <c:v>40.625186849392271</c:v>
                </c:pt>
                <c:pt idx="112">
                  <c:v>40.865066028117724</c:v>
                </c:pt>
                <c:pt idx="113">
                  <c:v>41.785872451351558</c:v>
                </c:pt>
                <c:pt idx="114">
                  <c:v>45.480433916061116</c:v>
                </c:pt>
                <c:pt idx="115">
                  <c:v>44.118606721375727</c:v>
                </c:pt>
                <c:pt idx="116">
                  <c:v>46.228673854550898</c:v>
                </c:pt>
                <c:pt idx="117">
                  <c:v>46.256393262009723</c:v>
                </c:pt>
                <c:pt idx="118">
                  <c:v>39.532182140206459</c:v>
                </c:pt>
                <c:pt idx="119">
                  <c:v>40.364532760708343</c:v>
                </c:pt>
                <c:pt idx="120">
                  <c:v>40.835497240377698</c:v>
                </c:pt>
                <c:pt idx="121">
                  <c:v>39.782101705007086</c:v>
                </c:pt>
                <c:pt idx="122">
                  <c:v>40.884742817982719</c:v>
                </c:pt>
                <c:pt idx="123">
                  <c:v>39.173611532428822</c:v>
                </c:pt>
                <c:pt idx="124">
                  <c:v>38.427992440402662</c:v>
                </c:pt>
                <c:pt idx="125">
                  <c:v>37.883518469858672</c:v>
                </c:pt>
                <c:pt idx="126">
                  <c:v>35.611691838388403</c:v>
                </c:pt>
                <c:pt idx="127">
                  <c:v>34.003378977580368</c:v>
                </c:pt>
                <c:pt idx="128">
                  <c:v>31.96907587590675</c:v>
                </c:pt>
                <c:pt idx="129">
                  <c:v>31.051464465578103</c:v>
                </c:pt>
                <c:pt idx="130">
                  <c:v>29.486486181658687</c:v>
                </c:pt>
                <c:pt idx="131">
                  <c:v>28.416388057197295</c:v>
                </c:pt>
                <c:pt idx="132">
                  <c:v>27.966647174121185</c:v>
                </c:pt>
                <c:pt idx="133">
                  <c:v>28.01209075618155</c:v>
                </c:pt>
                <c:pt idx="134">
                  <c:v>26.451669626022824</c:v>
                </c:pt>
                <c:pt idx="135">
                  <c:v>26.574758051912866</c:v>
                </c:pt>
                <c:pt idx="136">
                  <c:v>25.425891736578222</c:v>
                </c:pt>
                <c:pt idx="137">
                  <c:v>25.202983592511853</c:v>
                </c:pt>
                <c:pt idx="138">
                  <c:v>24.465788292789977</c:v>
                </c:pt>
                <c:pt idx="139">
                  <c:v>20.93138352544516</c:v>
                </c:pt>
                <c:pt idx="140">
                  <c:v>20.088176306493345</c:v>
                </c:pt>
                <c:pt idx="141">
                  <c:v>19.029855293139153</c:v>
                </c:pt>
                <c:pt idx="142">
                  <c:v>16.269226035063518</c:v>
                </c:pt>
                <c:pt idx="143">
                  <c:v>16.317653000503036</c:v>
                </c:pt>
                <c:pt idx="144">
                  <c:v>15.498296685970834</c:v>
                </c:pt>
                <c:pt idx="145">
                  <c:v>15.356610334809307</c:v>
                </c:pt>
                <c:pt idx="146">
                  <c:v>14.50354000441529</c:v>
                </c:pt>
                <c:pt idx="147">
                  <c:v>14.061464133067897</c:v>
                </c:pt>
                <c:pt idx="148">
                  <c:v>13.01237262190566</c:v>
                </c:pt>
                <c:pt idx="149">
                  <c:v>13.231846344809691</c:v>
                </c:pt>
                <c:pt idx="150">
                  <c:v>11.910418047927493</c:v>
                </c:pt>
                <c:pt idx="151">
                  <c:v>10.592138758581831</c:v>
                </c:pt>
                <c:pt idx="152">
                  <c:v>10.413192161207238</c:v>
                </c:pt>
                <c:pt idx="153">
                  <c:v>15.987876875679575</c:v>
                </c:pt>
                <c:pt idx="154">
                  <c:v>15.562418413910994</c:v>
                </c:pt>
                <c:pt idx="155">
                  <c:v>13.622121230360456</c:v>
                </c:pt>
                <c:pt idx="156">
                  <c:v>13.463966831610714</c:v>
                </c:pt>
                <c:pt idx="157">
                  <c:v>14.989184704104808</c:v>
                </c:pt>
                <c:pt idx="158">
                  <c:v>16.512834920732082</c:v>
                </c:pt>
                <c:pt idx="159">
                  <c:v>15.495940923160545</c:v>
                </c:pt>
                <c:pt idx="160">
                  <c:v>16.770380995076405</c:v>
                </c:pt>
                <c:pt idx="161">
                  <c:v>13.575365842548059</c:v>
                </c:pt>
                <c:pt idx="162">
                  <c:v>10.567192832220952</c:v>
                </c:pt>
                <c:pt idx="163">
                  <c:v>12.072514576213555</c:v>
                </c:pt>
                <c:pt idx="164">
                  <c:v>10.244064555042964</c:v>
                </c:pt>
                <c:pt idx="165">
                  <c:v>13.628997114058111</c:v>
                </c:pt>
                <c:pt idx="166">
                  <c:v>15.887492796545219</c:v>
                </c:pt>
                <c:pt idx="167">
                  <c:v>15.795622230800848</c:v>
                </c:pt>
                <c:pt idx="168">
                  <c:v>16.634096441058361</c:v>
                </c:pt>
                <c:pt idx="169">
                  <c:v>16.315219638269042</c:v>
                </c:pt>
                <c:pt idx="170">
                  <c:v>15.870190924179742</c:v>
                </c:pt>
                <c:pt idx="171">
                  <c:v>14.225603304645015</c:v>
                </c:pt>
                <c:pt idx="172">
                  <c:v>15.287975143441646</c:v>
                </c:pt>
                <c:pt idx="173">
                  <c:v>13.903564999741436</c:v>
                </c:pt>
                <c:pt idx="174">
                  <c:v>13.52530318602369</c:v>
                </c:pt>
                <c:pt idx="175">
                  <c:v>14.928405179251541</c:v>
                </c:pt>
                <c:pt idx="176">
                  <c:v>15.767538760243971</c:v>
                </c:pt>
                <c:pt idx="177">
                  <c:v>18.772835547037001</c:v>
                </c:pt>
                <c:pt idx="178">
                  <c:v>15.489755361202167</c:v>
                </c:pt>
                <c:pt idx="179">
                  <c:v>19.398787571672756</c:v>
                </c:pt>
                <c:pt idx="180">
                  <c:v>16.110468526951571</c:v>
                </c:pt>
                <c:pt idx="181">
                  <c:v>13.502547427128267</c:v>
                </c:pt>
                <c:pt idx="182">
                  <c:v>13.302891331366192</c:v>
                </c:pt>
                <c:pt idx="183">
                  <c:v>12.458884619493485</c:v>
                </c:pt>
                <c:pt idx="184">
                  <c:v>14.110309251784168</c:v>
                </c:pt>
                <c:pt idx="185">
                  <c:v>12.703658928766387</c:v>
                </c:pt>
                <c:pt idx="186">
                  <c:v>11.582397252937822</c:v>
                </c:pt>
                <c:pt idx="187">
                  <c:v>13.702780585414734</c:v>
                </c:pt>
                <c:pt idx="188">
                  <c:v>13.18528443230754</c:v>
                </c:pt>
                <c:pt idx="189">
                  <c:v>9.7492266055871362</c:v>
                </c:pt>
                <c:pt idx="190">
                  <c:v>12.683912586215357</c:v>
                </c:pt>
                <c:pt idx="191">
                  <c:v>11.434272883276002</c:v>
                </c:pt>
                <c:pt idx="192">
                  <c:v>10.367784645324472</c:v>
                </c:pt>
                <c:pt idx="193">
                  <c:v>7.9283827766159458</c:v>
                </c:pt>
                <c:pt idx="194">
                  <c:v>7.109664028408698</c:v>
                </c:pt>
                <c:pt idx="195">
                  <c:v>6.2730013544888523</c:v>
                </c:pt>
                <c:pt idx="196">
                  <c:v>5.575374301228373</c:v>
                </c:pt>
                <c:pt idx="197">
                  <c:v>4.6214147513845161</c:v>
                </c:pt>
                <c:pt idx="198">
                  <c:v>3.2742264065731161</c:v>
                </c:pt>
                <c:pt idx="199">
                  <c:v>6.2006252825215924</c:v>
                </c:pt>
                <c:pt idx="200">
                  <c:v>6.0632140992278298</c:v>
                </c:pt>
                <c:pt idx="201">
                  <c:v>6.4475252838734596</c:v>
                </c:pt>
                <c:pt idx="202">
                  <c:v>2.6765489501645989</c:v>
                </c:pt>
                <c:pt idx="203">
                  <c:v>2.5120921047103599</c:v>
                </c:pt>
                <c:pt idx="204">
                  <c:v>3.53788366660776</c:v>
                </c:pt>
                <c:pt idx="205">
                  <c:v>-1.3009034201602829</c:v>
                </c:pt>
                <c:pt idx="206">
                  <c:v>3.6414401974416677</c:v>
                </c:pt>
                <c:pt idx="207">
                  <c:v>3.7391344493222531</c:v>
                </c:pt>
                <c:pt idx="208">
                  <c:v>1.2388302903999602</c:v>
                </c:pt>
                <c:pt idx="209">
                  <c:v>1.6252043312105762</c:v>
                </c:pt>
                <c:pt idx="210">
                  <c:v>6.1891987539771796</c:v>
                </c:pt>
                <c:pt idx="211">
                  <c:v>0.94143483547059137</c:v>
                </c:pt>
                <c:pt idx="212">
                  <c:v>0.86884900407180488</c:v>
                </c:pt>
                <c:pt idx="213">
                  <c:v>-0.43612130461096216</c:v>
                </c:pt>
                <c:pt idx="214">
                  <c:v>-1.8239140226702093</c:v>
                </c:pt>
                <c:pt idx="215">
                  <c:v>-4.7504757099992068</c:v>
                </c:pt>
                <c:pt idx="216">
                  <c:v>-0.99283005064576491</c:v>
                </c:pt>
                <c:pt idx="217">
                  <c:v>-0.5998985680255462</c:v>
                </c:pt>
                <c:pt idx="218">
                  <c:v>-2.9733859607807824</c:v>
                </c:pt>
                <c:pt idx="219">
                  <c:v>-3.4321201445668192</c:v>
                </c:pt>
                <c:pt idx="220">
                  <c:v>-5.0285900821646505</c:v>
                </c:pt>
                <c:pt idx="221">
                  <c:v>-2.2819792866116666</c:v>
                </c:pt>
                <c:pt idx="222">
                  <c:v>-5.7140895210032676</c:v>
                </c:pt>
                <c:pt idx="223">
                  <c:v>-3.1485182093688628</c:v>
                </c:pt>
                <c:pt idx="224">
                  <c:v>-5.4292241422154675</c:v>
                </c:pt>
                <c:pt idx="225">
                  <c:v>-4.1802075492624313</c:v>
                </c:pt>
                <c:pt idx="226">
                  <c:v>-4.5784803017356923</c:v>
                </c:pt>
                <c:pt idx="227">
                  <c:v>-6.1442393548422398</c:v>
                </c:pt>
                <c:pt idx="228">
                  <c:v>-4.711945277981874</c:v>
                </c:pt>
                <c:pt idx="229">
                  <c:v>-4.0992011265020256</c:v>
                </c:pt>
                <c:pt idx="230">
                  <c:v>-6.2468198327535678</c:v>
                </c:pt>
                <c:pt idx="231">
                  <c:v>-5.4925279074927236</c:v>
                </c:pt>
                <c:pt idx="232">
                  <c:v>-4.2940833697618288</c:v>
                </c:pt>
                <c:pt idx="233">
                  <c:v>-4.9687688048232044</c:v>
                </c:pt>
                <c:pt idx="234">
                  <c:v>-5.290626426296658</c:v>
                </c:pt>
                <c:pt idx="235">
                  <c:v>-2.0396599235695225</c:v>
                </c:pt>
                <c:pt idx="236">
                  <c:v>-6.5720498055846939</c:v>
                </c:pt>
                <c:pt idx="237">
                  <c:v>-2.0378171294835798</c:v>
                </c:pt>
                <c:pt idx="238">
                  <c:v>-3.8612098649983313</c:v>
                </c:pt>
                <c:pt idx="239">
                  <c:v>-5.908036020514988</c:v>
                </c:pt>
                <c:pt idx="240">
                  <c:v>-4.424951875240561</c:v>
                </c:pt>
                <c:pt idx="241">
                  <c:v>-7.9910841225317668</c:v>
                </c:pt>
                <c:pt idx="242">
                  <c:v>-3.7948762881644713</c:v>
                </c:pt>
                <c:pt idx="243">
                  <c:v>-5.0781434312185239</c:v>
                </c:pt>
                <c:pt idx="244">
                  <c:v>-5.2864655674131784</c:v>
                </c:pt>
                <c:pt idx="245">
                  <c:v>-5.1873466197784177</c:v>
                </c:pt>
                <c:pt idx="246">
                  <c:v>-6.1995688886766196</c:v>
                </c:pt>
                <c:pt idx="247">
                  <c:v>-8.2697333362628971</c:v>
                </c:pt>
                <c:pt idx="248">
                  <c:v>-5.378787854199226</c:v>
                </c:pt>
                <c:pt idx="249">
                  <c:v>-4.5445836051183877</c:v>
                </c:pt>
                <c:pt idx="250">
                  <c:v>-5.6333909802329556</c:v>
                </c:pt>
                <c:pt idx="251">
                  <c:v>-8.8222411535497098</c:v>
                </c:pt>
                <c:pt idx="252">
                  <c:v>-6.3558625222606828</c:v>
                </c:pt>
                <c:pt idx="253">
                  <c:v>-6.1279296377214365</c:v>
                </c:pt>
                <c:pt idx="254">
                  <c:v>-6.4694913626228976</c:v>
                </c:pt>
                <c:pt idx="255">
                  <c:v>-4.6818679719773559</c:v>
                </c:pt>
                <c:pt idx="256">
                  <c:v>-8.1345769889318333</c:v>
                </c:pt>
                <c:pt idx="257">
                  <c:v>-6.8767177466434211</c:v>
                </c:pt>
                <c:pt idx="258">
                  <c:v>-4.3250078642417966</c:v>
                </c:pt>
                <c:pt idx="259">
                  <c:v>-9.371339933373191</c:v>
                </c:pt>
                <c:pt idx="260">
                  <c:v>-8.051134071518721</c:v>
                </c:pt>
                <c:pt idx="261">
                  <c:v>-6.0886728515228219</c:v>
                </c:pt>
                <c:pt idx="262">
                  <c:v>-5.4452934467482272</c:v>
                </c:pt>
                <c:pt idx="263">
                  <c:v>-4.8598991541691605</c:v>
                </c:pt>
                <c:pt idx="264">
                  <c:v>-3.830114118306275</c:v>
                </c:pt>
                <c:pt idx="265">
                  <c:v>-4.7255721279825735</c:v>
                </c:pt>
                <c:pt idx="266">
                  <c:v>-5.475716039862923</c:v>
                </c:pt>
                <c:pt idx="267">
                  <c:v>-4.7052805626931304</c:v>
                </c:pt>
                <c:pt idx="268">
                  <c:v>-6.9850127775627007</c:v>
                </c:pt>
                <c:pt idx="269">
                  <c:v>-7.5221698470399572</c:v>
                </c:pt>
                <c:pt idx="270">
                  <c:v>-5.3467552154068736</c:v>
                </c:pt>
                <c:pt idx="271">
                  <c:v>-4.746228379281284</c:v>
                </c:pt>
                <c:pt idx="272">
                  <c:v>-5.4069922886730382</c:v>
                </c:pt>
                <c:pt idx="273">
                  <c:v>-3.7449036514211014</c:v>
                </c:pt>
                <c:pt idx="274">
                  <c:v>-4.0888514601855261</c:v>
                </c:pt>
                <c:pt idx="275">
                  <c:v>-2.7692981722369807</c:v>
                </c:pt>
                <c:pt idx="276">
                  <c:v>-2.0466528825187638</c:v>
                </c:pt>
                <c:pt idx="277">
                  <c:v>-1.3768764186301572</c:v>
                </c:pt>
                <c:pt idx="278">
                  <c:v>-0.59038207706930468</c:v>
                </c:pt>
                <c:pt idx="279">
                  <c:v>-4.329550507492578</c:v>
                </c:pt>
                <c:pt idx="280">
                  <c:v>-3.9101877195557022</c:v>
                </c:pt>
                <c:pt idx="281">
                  <c:v>-3.7762175536153171</c:v>
                </c:pt>
                <c:pt idx="282">
                  <c:v>-4.3815653113983597</c:v>
                </c:pt>
                <c:pt idx="283">
                  <c:v>-2.8299220972465151</c:v>
                </c:pt>
                <c:pt idx="284">
                  <c:v>-3.5365666495454988</c:v>
                </c:pt>
                <c:pt idx="285">
                  <c:v>-3.3590776033823473</c:v>
                </c:pt>
                <c:pt idx="286">
                  <c:v>-1.3750383705009621</c:v>
                </c:pt>
                <c:pt idx="287">
                  <c:v>-1.7010532004693226</c:v>
                </c:pt>
                <c:pt idx="288">
                  <c:v>-4.9330251656011477</c:v>
                </c:pt>
                <c:pt idx="289">
                  <c:v>-2.8521024563554387</c:v>
                </c:pt>
                <c:pt idx="290">
                  <c:v>-3.7254342349849234</c:v>
                </c:pt>
                <c:pt idx="291">
                  <c:v>-2.4093524460440587</c:v>
                </c:pt>
                <c:pt idx="292">
                  <c:v>0.21022365425225009</c:v>
                </c:pt>
                <c:pt idx="293">
                  <c:v>-2.1463450208226282</c:v>
                </c:pt>
                <c:pt idx="294">
                  <c:v>-1.8969387789631635</c:v>
                </c:pt>
                <c:pt idx="295">
                  <c:v>-7.4018683531973535</c:v>
                </c:pt>
                <c:pt idx="296">
                  <c:v>-2.7753938879724953</c:v>
                </c:pt>
                <c:pt idx="297">
                  <c:v>-0.90689087528612577</c:v>
                </c:pt>
                <c:pt idx="298">
                  <c:v>-1.8602418812288275</c:v>
                </c:pt>
                <c:pt idx="299">
                  <c:v>-3.5140558822339463</c:v>
                </c:pt>
                <c:pt idx="300">
                  <c:v>-3.3782271760454461</c:v>
                </c:pt>
                <c:pt idx="301">
                  <c:v>-1.556022965489684</c:v>
                </c:pt>
                <c:pt idx="302">
                  <c:v>-3.6691038320972833</c:v>
                </c:pt>
                <c:pt idx="303">
                  <c:v>0.75335539582036792</c:v>
                </c:pt>
                <c:pt idx="304">
                  <c:v>1.3755530097313857</c:v>
                </c:pt>
                <c:pt idx="305">
                  <c:v>2.4816693606297084</c:v>
                </c:pt>
                <c:pt idx="306">
                  <c:v>-7.9592380746019847E-2</c:v>
                </c:pt>
                <c:pt idx="307">
                  <c:v>0.75373778778876077</c:v>
                </c:pt>
                <c:pt idx="308">
                  <c:v>0.21458736477810397</c:v>
                </c:pt>
                <c:pt idx="309">
                  <c:v>-6.3291456833094589E-2</c:v>
                </c:pt>
                <c:pt idx="310">
                  <c:v>1.9949995525937358</c:v>
                </c:pt>
                <c:pt idx="311">
                  <c:v>-1.9298984798947385</c:v>
                </c:pt>
                <c:pt idx="312">
                  <c:v>-0.33407715009694561</c:v>
                </c:pt>
                <c:pt idx="313">
                  <c:v>-1.934193854730035</c:v>
                </c:pt>
                <c:pt idx="314">
                  <c:v>-1.2531135958098181E-2</c:v>
                </c:pt>
                <c:pt idx="315">
                  <c:v>2.9067123284744167</c:v>
                </c:pt>
                <c:pt idx="316">
                  <c:v>1.8474473404679708</c:v>
                </c:pt>
                <c:pt idx="317">
                  <c:v>-1.4913911270247842</c:v>
                </c:pt>
                <c:pt idx="318">
                  <c:v>-0.20061676136458581</c:v>
                </c:pt>
                <c:pt idx="319">
                  <c:v>1.4149750363175388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96-4070-A8B2-8F61A2588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'240828E020'!$A$2:$A$321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'240828E020'!$J$2:$J$321</c:f>
              <c:numCache>
                <c:formatCode>0.0</c:formatCode>
                <c:ptCount val="320"/>
                <c:pt idx="0">
                  <c:v>844.85580964557005</c:v>
                </c:pt>
                <c:pt idx="1">
                  <c:v>856.44784163306997</c:v>
                </c:pt>
                <c:pt idx="2">
                  <c:v>823.14371718655991</c:v>
                </c:pt>
                <c:pt idx="3">
                  <c:v>798.20469040224998</c:v>
                </c:pt>
                <c:pt idx="4">
                  <c:v>776.23690944204998</c:v>
                </c:pt>
                <c:pt idx="5">
                  <c:v>824.55158788085998</c:v>
                </c:pt>
                <c:pt idx="6">
                  <c:v>850.55874748104998</c:v>
                </c:pt>
                <c:pt idx="7">
                  <c:v>792.49647053691001</c:v>
                </c:pt>
                <c:pt idx="8">
                  <c:v>843.52169776655001</c:v>
                </c:pt>
                <c:pt idx="9">
                  <c:v>756.61394536421005</c:v>
                </c:pt>
                <c:pt idx="10">
                  <c:v>759.36624534591999</c:v>
                </c:pt>
                <c:pt idx="11">
                  <c:v>903.90234117413002</c:v>
                </c:pt>
                <c:pt idx="12">
                  <c:v>1137.3535050496198</c:v>
                </c:pt>
                <c:pt idx="13">
                  <c:v>1202.30437109785</c:v>
                </c:pt>
                <c:pt idx="14">
                  <c:v>1758.6791888359201</c:v>
                </c:pt>
                <c:pt idx="15">
                  <c:v>1919.3383565437798</c:v>
                </c:pt>
                <c:pt idx="16">
                  <c:v>2498.5666978541904</c:v>
                </c:pt>
                <c:pt idx="17">
                  <c:v>2457.1961315142798</c:v>
                </c:pt>
                <c:pt idx="18">
                  <c:v>2737.16984114657</c:v>
                </c:pt>
                <c:pt idx="19">
                  <c:v>2539.18373692867</c:v>
                </c:pt>
                <c:pt idx="20">
                  <c:v>2474.9197508480202</c:v>
                </c:pt>
                <c:pt idx="21">
                  <c:v>2349.5500906236903</c:v>
                </c:pt>
                <c:pt idx="22">
                  <c:v>2237.9390008489599</c:v>
                </c:pt>
                <c:pt idx="23">
                  <c:v>2099.0942250161702</c:v>
                </c:pt>
                <c:pt idx="24">
                  <c:v>2264.73545810428</c:v>
                </c:pt>
                <c:pt idx="25">
                  <c:v>2551.76581690888</c:v>
                </c:pt>
                <c:pt idx="26">
                  <c:v>2674.7725253447602</c:v>
                </c:pt>
                <c:pt idx="27">
                  <c:v>2678.63926980016</c:v>
                </c:pt>
                <c:pt idx="28">
                  <c:v>2530.6439929313997</c:v>
                </c:pt>
                <c:pt idx="29">
                  <c:v>2578.5736854120901</c:v>
                </c:pt>
                <c:pt idx="30">
                  <c:v>2674.6257852861099</c:v>
                </c:pt>
                <c:pt idx="31">
                  <c:v>2659.66703700886</c:v>
                </c:pt>
                <c:pt idx="32">
                  <c:v>2636.6166941463698</c:v>
                </c:pt>
                <c:pt idx="33">
                  <c:v>2595.3111195664401</c:v>
                </c:pt>
                <c:pt idx="34">
                  <c:v>2699.1343327499299</c:v>
                </c:pt>
                <c:pt idx="35">
                  <c:v>2747.8613381359201</c:v>
                </c:pt>
                <c:pt idx="36">
                  <c:v>2791.6910432995701</c:v>
                </c:pt>
                <c:pt idx="37">
                  <c:v>2749.3675230275503</c:v>
                </c:pt>
                <c:pt idx="38">
                  <c:v>2786.3739457337597</c:v>
                </c:pt>
                <c:pt idx="39">
                  <c:v>2730.20627645168</c:v>
                </c:pt>
                <c:pt idx="40">
                  <c:v>2590.2079213940897</c:v>
                </c:pt>
                <c:pt idx="41">
                  <c:v>2693.0751561124803</c:v>
                </c:pt>
                <c:pt idx="42">
                  <c:v>2621.6409234332796</c:v>
                </c:pt>
                <c:pt idx="43">
                  <c:v>2593.4040768709101</c:v>
                </c:pt>
                <c:pt idx="44">
                  <c:v>2613.2237348362301</c:v>
                </c:pt>
                <c:pt idx="45">
                  <c:v>2612.88009567072</c:v>
                </c:pt>
                <c:pt idx="46">
                  <c:v>2599.20832790125</c:v>
                </c:pt>
                <c:pt idx="47">
                  <c:v>2662.0599814141001</c:v>
                </c:pt>
                <c:pt idx="48">
                  <c:v>2671.9436522023802</c:v>
                </c:pt>
                <c:pt idx="49">
                  <c:v>2612.9001173320703</c:v>
                </c:pt>
                <c:pt idx="50">
                  <c:v>2503.5438407359397</c:v>
                </c:pt>
                <c:pt idx="51">
                  <c:v>2225.8051017713897</c:v>
                </c:pt>
                <c:pt idx="52">
                  <c:v>2503.9906846283702</c:v>
                </c:pt>
                <c:pt idx="53">
                  <c:v>2313.6701366692696</c:v>
                </c:pt>
                <c:pt idx="54">
                  <c:v>2262.1842497187599</c:v>
                </c:pt>
                <c:pt idx="55">
                  <c:v>2461.4827889035896</c:v>
                </c:pt>
                <c:pt idx="56">
                  <c:v>2591.3069658412901</c:v>
                </c:pt>
                <c:pt idx="57">
                  <c:v>2748.8434332345901</c:v>
                </c:pt>
                <c:pt idx="58">
                  <c:v>2697.4762944664599</c:v>
                </c:pt>
                <c:pt idx="59">
                  <c:v>2700.5455502637001</c:v>
                </c:pt>
                <c:pt idx="60">
                  <c:v>2571.0949375404298</c:v>
                </c:pt>
                <c:pt idx="61">
                  <c:v>2297.5200551153198</c:v>
                </c:pt>
                <c:pt idx="62">
                  <c:v>2225.5694365836198</c:v>
                </c:pt>
                <c:pt idx="63">
                  <c:v>2414.38817243421</c:v>
                </c:pt>
                <c:pt idx="64">
                  <c:v>2500.59713534402</c:v>
                </c:pt>
                <c:pt idx="65">
                  <c:v>2194.3549569202401</c:v>
                </c:pt>
                <c:pt idx="66">
                  <c:v>2454.5263472280799</c:v>
                </c:pt>
                <c:pt idx="67">
                  <c:v>2573.6218465962697</c:v>
                </c:pt>
                <c:pt idx="68">
                  <c:v>2565.6732306122699</c:v>
                </c:pt>
                <c:pt idx="69">
                  <c:v>2392.3299070610801</c:v>
                </c:pt>
                <c:pt idx="70">
                  <c:v>2362.31120518543</c:v>
                </c:pt>
                <c:pt idx="71">
                  <c:v>2483.15211368064</c:v>
                </c:pt>
                <c:pt idx="72">
                  <c:v>2407.8910363924697</c:v>
                </c:pt>
                <c:pt idx="73">
                  <c:v>2530.2515573559399</c:v>
                </c:pt>
                <c:pt idx="74">
                  <c:v>2492.9168288650098</c:v>
                </c:pt>
                <c:pt idx="75">
                  <c:v>2505.9829005190199</c:v>
                </c:pt>
                <c:pt idx="76">
                  <c:v>2499.9257428483302</c:v>
                </c:pt>
                <c:pt idx="77">
                  <c:v>2413.9265062930003</c:v>
                </c:pt>
                <c:pt idx="78">
                  <c:v>2410.0064045450599</c:v>
                </c:pt>
                <c:pt idx="79">
                  <c:v>2562.0572348539899</c:v>
                </c:pt>
                <c:pt idx="80">
                  <c:v>2484.87251817588</c:v>
                </c:pt>
                <c:pt idx="81">
                  <c:v>2608.0918617882098</c:v>
                </c:pt>
                <c:pt idx="82">
                  <c:v>2416.28488762487</c:v>
                </c:pt>
                <c:pt idx="83">
                  <c:v>2126.66454909707</c:v>
                </c:pt>
                <c:pt idx="84">
                  <c:v>2073.2000682999301</c:v>
                </c:pt>
                <c:pt idx="85">
                  <c:v>2318.0735213858302</c:v>
                </c:pt>
                <c:pt idx="86">
                  <c:v>2414.6490051612</c:v>
                </c:pt>
                <c:pt idx="87">
                  <c:v>2349.7351734314402</c:v>
                </c:pt>
                <c:pt idx="88">
                  <c:v>2478.87501179121</c:v>
                </c:pt>
                <c:pt idx="89">
                  <c:v>2516.88240654643</c:v>
                </c:pt>
                <c:pt idx="90">
                  <c:v>2554.69710139069</c:v>
                </c:pt>
                <c:pt idx="91">
                  <c:v>2437.4073425834499</c:v>
                </c:pt>
                <c:pt idx="92">
                  <c:v>2463.33093710099</c:v>
                </c:pt>
                <c:pt idx="93">
                  <c:v>2509.5173291395299</c:v>
                </c:pt>
                <c:pt idx="94">
                  <c:v>2534.18540615044</c:v>
                </c:pt>
                <c:pt idx="95">
                  <c:v>2460.3737293796403</c:v>
                </c:pt>
                <c:pt idx="96">
                  <c:v>2468.3907735754701</c:v>
                </c:pt>
                <c:pt idx="97">
                  <c:v>2591.27823013638</c:v>
                </c:pt>
                <c:pt idx="98">
                  <c:v>2611.6078515925401</c:v>
                </c:pt>
                <c:pt idx="99">
                  <c:v>2564.0301434927201</c:v>
                </c:pt>
                <c:pt idx="100">
                  <c:v>2583.1418760295401</c:v>
                </c:pt>
                <c:pt idx="101">
                  <c:v>2649.7858880447798</c:v>
                </c:pt>
                <c:pt idx="102">
                  <c:v>2537.79445578684</c:v>
                </c:pt>
                <c:pt idx="103">
                  <c:v>2456.8381529715803</c:v>
                </c:pt>
                <c:pt idx="104">
                  <c:v>2498.2464245826104</c:v>
                </c:pt>
                <c:pt idx="105">
                  <c:v>2569.52855149057</c:v>
                </c:pt>
                <c:pt idx="106">
                  <c:v>2542.5384502926199</c:v>
                </c:pt>
                <c:pt idx="107">
                  <c:v>2577.9394784216602</c:v>
                </c:pt>
                <c:pt idx="108">
                  <c:v>2589.0869880816699</c:v>
                </c:pt>
                <c:pt idx="109">
                  <c:v>2587.88802607046</c:v>
                </c:pt>
                <c:pt idx="110">
                  <c:v>2574.1757492099796</c:v>
                </c:pt>
                <c:pt idx="111">
                  <c:v>2560.51393193068</c:v>
                </c:pt>
                <c:pt idx="112">
                  <c:v>2549.7775429959702</c:v>
                </c:pt>
                <c:pt idx="113">
                  <c:v>2546.4749487040799</c:v>
                </c:pt>
                <c:pt idx="114">
                  <c:v>2553.6840441102304</c:v>
                </c:pt>
                <c:pt idx="115">
                  <c:v>2535.3363195768202</c:v>
                </c:pt>
                <c:pt idx="116">
                  <c:v>2621.8412481053401</c:v>
                </c:pt>
                <c:pt idx="117">
                  <c:v>2627.4207695684804</c:v>
                </c:pt>
                <c:pt idx="118">
                  <c:v>2606.0600955189402</c:v>
                </c:pt>
                <c:pt idx="119">
                  <c:v>2620.7219150221104</c:v>
                </c:pt>
                <c:pt idx="120">
                  <c:v>2609.2838055619</c:v>
                </c:pt>
                <c:pt idx="121">
                  <c:v>2572.9088045049702</c:v>
                </c:pt>
                <c:pt idx="122">
                  <c:v>2525.9121494220799</c:v>
                </c:pt>
                <c:pt idx="123">
                  <c:v>2549.4073848599301</c:v>
                </c:pt>
                <c:pt idx="124">
                  <c:v>2561.1516238406002</c:v>
                </c:pt>
                <c:pt idx="125">
                  <c:v>2752.4630428393998</c:v>
                </c:pt>
                <c:pt idx="126">
                  <c:v>2750.64722741075</c:v>
                </c:pt>
                <c:pt idx="127">
                  <c:v>2725.6185050952799</c:v>
                </c:pt>
                <c:pt idx="128">
                  <c:v>2719.1788663745601</c:v>
                </c:pt>
                <c:pt idx="129">
                  <c:v>2719.6738234609102</c:v>
                </c:pt>
                <c:pt idx="130">
                  <c:v>2548.7056701535503</c:v>
                </c:pt>
                <c:pt idx="131">
                  <c:v>2429.4018979325101</c:v>
                </c:pt>
                <c:pt idx="132">
                  <c:v>2589.9617600554902</c:v>
                </c:pt>
                <c:pt idx="133">
                  <c:v>2581.6153666641599</c:v>
                </c:pt>
                <c:pt idx="134">
                  <c:v>2593.60254504564</c:v>
                </c:pt>
                <c:pt idx="135">
                  <c:v>2571.7832432843402</c:v>
                </c:pt>
                <c:pt idx="136">
                  <c:v>2578.3671562285599</c:v>
                </c:pt>
                <c:pt idx="137">
                  <c:v>2603.42523400044</c:v>
                </c:pt>
                <c:pt idx="138">
                  <c:v>2559.0554853765498</c:v>
                </c:pt>
                <c:pt idx="139">
                  <c:v>2561.8363679409003</c:v>
                </c:pt>
                <c:pt idx="140">
                  <c:v>2598.4327575273001</c:v>
                </c:pt>
                <c:pt idx="141">
                  <c:v>2629.9761492867901</c:v>
                </c:pt>
                <c:pt idx="142">
                  <c:v>2645.2722843686997</c:v>
                </c:pt>
                <c:pt idx="143">
                  <c:v>2604.5127142361903</c:v>
                </c:pt>
                <c:pt idx="144">
                  <c:v>2600.1768967353801</c:v>
                </c:pt>
                <c:pt idx="145">
                  <c:v>2576.7420236917701</c:v>
                </c:pt>
                <c:pt idx="146">
                  <c:v>2543.7994808445101</c:v>
                </c:pt>
                <c:pt idx="147">
                  <c:v>2547.5427305549401</c:v>
                </c:pt>
                <c:pt idx="148">
                  <c:v>2552.3722209539201</c:v>
                </c:pt>
                <c:pt idx="149">
                  <c:v>2592.4849926862098</c:v>
                </c:pt>
                <c:pt idx="150">
                  <c:v>2601.8443751109403</c:v>
                </c:pt>
                <c:pt idx="151">
                  <c:v>2613.9499293982599</c:v>
                </c:pt>
                <c:pt idx="152">
                  <c:v>2608.2183801334704</c:v>
                </c:pt>
                <c:pt idx="153">
                  <c:v>2609.9846536286504</c:v>
                </c:pt>
                <c:pt idx="154">
                  <c:v>2557.9077509744802</c:v>
                </c:pt>
                <c:pt idx="155">
                  <c:v>2554.1418461303901</c:v>
                </c:pt>
                <c:pt idx="156">
                  <c:v>2597.0633437333599</c:v>
                </c:pt>
                <c:pt idx="157">
                  <c:v>2608.6430374823199</c:v>
                </c:pt>
                <c:pt idx="158">
                  <c:v>2590.0464804809499</c:v>
                </c:pt>
                <c:pt idx="159">
                  <c:v>2576.1292714067099</c:v>
                </c:pt>
                <c:pt idx="160">
                  <c:v>2592.8073087622001</c:v>
                </c:pt>
                <c:pt idx="161">
                  <c:v>2472.6128808055801</c:v>
                </c:pt>
                <c:pt idx="162">
                  <c:v>2487.14330889749</c:v>
                </c:pt>
                <c:pt idx="163">
                  <c:v>2430.8042986750297</c:v>
                </c:pt>
                <c:pt idx="164">
                  <c:v>2490.9236503225702</c:v>
                </c:pt>
                <c:pt idx="165">
                  <c:v>2515.0160312507501</c:v>
                </c:pt>
                <c:pt idx="166">
                  <c:v>2470.63356247198</c:v>
                </c:pt>
                <c:pt idx="167">
                  <c:v>2691.15656667741</c:v>
                </c:pt>
                <c:pt idx="168">
                  <c:v>2695.3146813685498</c:v>
                </c:pt>
                <c:pt idx="169">
                  <c:v>2684.6021082632601</c:v>
                </c:pt>
                <c:pt idx="170">
                  <c:v>2653.7034734464701</c:v>
                </c:pt>
                <c:pt idx="171">
                  <c:v>2594.9766420446203</c:v>
                </c:pt>
                <c:pt idx="172">
                  <c:v>2486.49729872851</c:v>
                </c:pt>
                <c:pt idx="173">
                  <c:v>2467.6491648177998</c:v>
                </c:pt>
                <c:pt idx="174">
                  <c:v>2594.1843684855703</c:v>
                </c:pt>
                <c:pt idx="175">
                  <c:v>2601.5268350884198</c:v>
                </c:pt>
                <c:pt idx="176">
                  <c:v>2600.1649585425403</c:v>
                </c:pt>
                <c:pt idx="177">
                  <c:v>2546.1467350139701</c:v>
                </c:pt>
                <c:pt idx="178">
                  <c:v>2468.2973912285597</c:v>
                </c:pt>
                <c:pt idx="179">
                  <c:v>2623.4096414614701</c:v>
                </c:pt>
                <c:pt idx="180">
                  <c:v>2636.2516070219899</c:v>
                </c:pt>
                <c:pt idx="181">
                  <c:v>2576.8344968463198</c:v>
                </c:pt>
                <c:pt idx="182">
                  <c:v>2565.7543468351801</c:v>
                </c:pt>
                <c:pt idx="183">
                  <c:v>2517.0989382595199</c:v>
                </c:pt>
                <c:pt idx="184">
                  <c:v>2645.1007056332901</c:v>
                </c:pt>
                <c:pt idx="185">
                  <c:v>2578.1265956553302</c:v>
                </c:pt>
                <c:pt idx="186">
                  <c:v>2535.6589136607704</c:v>
                </c:pt>
                <c:pt idx="187">
                  <c:v>2466.2142655533398</c:v>
                </c:pt>
                <c:pt idx="188">
                  <c:v>2322.8287579173502</c:v>
                </c:pt>
                <c:pt idx="189">
                  <c:v>2293.1491557601803</c:v>
                </c:pt>
                <c:pt idx="190">
                  <c:v>2427.4648258597499</c:v>
                </c:pt>
                <c:pt idx="191">
                  <c:v>2191.4883251289002</c:v>
                </c:pt>
                <c:pt idx="192">
                  <c:v>2110.3300448581599</c:v>
                </c:pt>
                <c:pt idx="193">
                  <c:v>2327.9859746980201</c:v>
                </c:pt>
                <c:pt idx="194">
                  <c:v>2276.4899396851602</c:v>
                </c:pt>
                <c:pt idx="195">
                  <c:v>2366.1842005342301</c:v>
                </c:pt>
                <c:pt idx="196">
                  <c:v>2388.0918986575998</c:v>
                </c:pt>
                <c:pt idx="197">
                  <c:v>2444.0022261051104</c:v>
                </c:pt>
                <c:pt idx="198">
                  <c:v>2603.1059059314102</c:v>
                </c:pt>
                <c:pt idx="199">
                  <c:v>2579.7574368753599</c:v>
                </c:pt>
                <c:pt idx="200">
                  <c:v>2377.4269550704603</c:v>
                </c:pt>
                <c:pt idx="201">
                  <c:v>2548.3985820794301</c:v>
                </c:pt>
                <c:pt idx="202">
                  <c:v>2396.9081381494302</c:v>
                </c:pt>
                <c:pt idx="203">
                  <c:v>2443.6261676992799</c:v>
                </c:pt>
                <c:pt idx="204">
                  <c:v>2428.0381919384899</c:v>
                </c:pt>
                <c:pt idx="205">
                  <c:v>2319.0665299243797</c:v>
                </c:pt>
                <c:pt idx="206">
                  <c:v>2407.5730101450399</c:v>
                </c:pt>
                <c:pt idx="207">
                  <c:v>2522.3073347177597</c:v>
                </c:pt>
                <c:pt idx="208">
                  <c:v>2495.0313089558699</c:v>
                </c:pt>
                <c:pt idx="209">
                  <c:v>2340.9164813766397</c:v>
                </c:pt>
                <c:pt idx="210">
                  <c:v>2302.65464134591</c:v>
                </c:pt>
                <c:pt idx="211">
                  <c:v>2257.9295847482399</c:v>
                </c:pt>
                <c:pt idx="212">
                  <c:v>2524.12196330084</c:v>
                </c:pt>
                <c:pt idx="213">
                  <c:v>2542.7668397222301</c:v>
                </c:pt>
                <c:pt idx="214">
                  <c:v>2550.57681282765</c:v>
                </c:pt>
                <c:pt idx="215">
                  <c:v>2523.27055948725</c:v>
                </c:pt>
                <c:pt idx="216">
                  <c:v>2460.95296316028</c:v>
                </c:pt>
                <c:pt idx="217">
                  <c:v>2546.2992936676997</c:v>
                </c:pt>
                <c:pt idx="218">
                  <c:v>2521.03067347264</c:v>
                </c:pt>
                <c:pt idx="219">
                  <c:v>2516.5152431381098</c:v>
                </c:pt>
                <c:pt idx="220">
                  <c:v>2504.7656668371301</c:v>
                </c:pt>
                <c:pt idx="221">
                  <c:v>2489.8134002560701</c:v>
                </c:pt>
                <c:pt idx="222">
                  <c:v>2359.1281359581303</c:v>
                </c:pt>
                <c:pt idx="223">
                  <c:v>2423.1881535683801</c:v>
                </c:pt>
                <c:pt idx="224">
                  <c:v>2400.5470872412698</c:v>
                </c:pt>
                <c:pt idx="225">
                  <c:v>2347.5121499703901</c:v>
                </c:pt>
                <c:pt idx="226">
                  <c:v>2676.9958596107899</c:v>
                </c:pt>
                <c:pt idx="227">
                  <c:v>2593.5269260053201</c:v>
                </c:pt>
                <c:pt idx="228">
                  <c:v>2611.4723378880999</c:v>
                </c:pt>
                <c:pt idx="229">
                  <c:v>2627.32112609153</c:v>
                </c:pt>
                <c:pt idx="230">
                  <c:v>2646.0020263987699</c:v>
                </c:pt>
                <c:pt idx="231">
                  <c:v>2563.9658959234998</c:v>
                </c:pt>
                <c:pt idx="232">
                  <c:v>2399.9046401446399</c:v>
                </c:pt>
                <c:pt idx="233">
                  <c:v>2555.4994253191603</c:v>
                </c:pt>
                <c:pt idx="234">
                  <c:v>2511.5588548666901</c:v>
                </c:pt>
                <c:pt idx="235">
                  <c:v>2376.3885872213405</c:v>
                </c:pt>
                <c:pt idx="236">
                  <c:v>2442.9933435258299</c:v>
                </c:pt>
                <c:pt idx="237">
                  <c:v>2262.24017405623</c:v>
                </c:pt>
                <c:pt idx="238">
                  <c:v>2402.8271888660502</c:v>
                </c:pt>
                <c:pt idx="239">
                  <c:v>2403.8674952861302</c:v>
                </c:pt>
                <c:pt idx="240">
                  <c:v>2467.8229798171897</c:v>
                </c:pt>
                <c:pt idx="241">
                  <c:v>2551.5608814459097</c:v>
                </c:pt>
                <c:pt idx="242">
                  <c:v>2573.1154161839299</c:v>
                </c:pt>
                <c:pt idx="243">
                  <c:v>2453.36905415089</c:v>
                </c:pt>
                <c:pt idx="244">
                  <c:v>2445.6977329890201</c:v>
                </c:pt>
                <c:pt idx="245">
                  <c:v>2419.1162116509799</c:v>
                </c:pt>
                <c:pt idx="246">
                  <c:v>2482.5238552446799</c:v>
                </c:pt>
                <c:pt idx="247">
                  <c:v>2394.4154157049202</c:v>
                </c:pt>
                <c:pt idx="248">
                  <c:v>2407.4091520178699</c:v>
                </c:pt>
                <c:pt idx="249">
                  <c:v>2495.72924265866</c:v>
                </c:pt>
                <c:pt idx="250">
                  <c:v>2505.0620196331897</c:v>
                </c:pt>
                <c:pt idx="251">
                  <c:v>2422.5405947459099</c:v>
                </c:pt>
                <c:pt idx="252">
                  <c:v>2479.2874295039301</c:v>
                </c:pt>
                <c:pt idx="253">
                  <c:v>2519.9659408535999</c:v>
                </c:pt>
                <c:pt idx="254">
                  <c:v>2435.98881619959</c:v>
                </c:pt>
                <c:pt idx="255">
                  <c:v>2418.8307197997801</c:v>
                </c:pt>
                <c:pt idx="256">
                  <c:v>2419.3162400967199</c:v>
                </c:pt>
                <c:pt idx="257">
                  <c:v>2467.1219660266402</c:v>
                </c:pt>
                <c:pt idx="258">
                  <c:v>2368.8302243191401</c:v>
                </c:pt>
                <c:pt idx="259">
                  <c:v>2356.14377901223</c:v>
                </c:pt>
                <c:pt idx="260">
                  <c:v>2346.0727138980201</c:v>
                </c:pt>
                <c:pt idx="261">
                  <c:v>2324.6182735966204</c:v>
                </c:pt>
                <c:pt idx="262">
                  <c:v>2294.0721541570101</c:v>
                </c:pt>
                <c:pt idx="263">
                  <c:v>2086.2846358724901</c:v>
                </c:pt>
                <c:pt idx="264">
                  <c:v>2139.1877093744401</c:v>
                </c:pt>
                <c:pt idx="265">
                  <c:v>2221.3528583144998</c:v>
                </c:pt>
                <c:pt idx="266">
                  <c:v>2300.5668619841299</c:v>
                </c:pt>
                <c:pt idx="267">
                  <c:v>2279.8848878404297</c:v>
                </c:pt>
                <c:pt idx="268">
                  <c:v>2242.9898248907598</c:v>
                </c:pt>
                <c:pt idx="269">
                  <c:v>2300.01510624088</c:v>
                </c:pt>
                <c:pt idx="270">
                  <c:v>2540.3676128346101</c:v>
                </c:pt>
                <c:pt idx="271">
                  <c:v>2573.1393479344201</c:v>
                </c:pt>
                <c:pt idx="272">
                  <c:v>2570.1487039060098</c:v>
                </c:pt>
                <c:pt idx="273">
                  <c:v>2566.6920365178398</c:v>
                </c:pt>
                <c:pt idx="274">
                  <c:v>2607.0825459786897</c:v>
                </c:pt>
                <c:pt idx="275">
                  <c:v>2566.4055031770899</c:v>
                </c:pt>
                <c:pt idx="276">
                  <c:v>2590.8176491611202</c:v>
                </c:pt>
                <c:pt idx="277">
                  <c:v>2563.0378198706599</c:v>
                </c:pt>
                <c:pt idx="278">
                  <c:v>2584.9244944906504</c:v>
                </c:pt>
                <c:pt idx="279">
                  <c:v>2552.4224717819402</c:v>
                </c:pt>
                <c:pt idx="280">
                  <c:v>2617.3814169195998</c:v>
                </c:pt>
                <c:pt idx="281">
                  <c:v>2604.5274529642402</c:v>
                </c:pt>
                <c:pt idx="282">
                  <c:v>2524.3859657070802</c:v>
                </c:pt>
                <c:pt idx="283">
                  <c:v>2470.5749643866102</c:v>
                </c:pt>
                <c:pt idx="284">
                  <c:v>2570.1625633617</c:v>
                </c:pt>
                <c:pt idx="285">
                  <c:v>2580.6834540582399</c:v>
                </c:pt>
                <c:pt idx="286">
                  <c:v>2567.1572309948097</c:v>
                </c:pt>
                <c:pt idx="287">
                  <c:v>2574.7554393329697</c:v>
                </c:pt>
                <c:pt idx="288">
                  <c:v>2607.7448098351601</c:v>
                </c:pt>
                <c:pt idx="289">
                  <c:v>2582.7259468810298</c:v>
                </c:pt>
                <c:pt idx="290">
                  <c:v>2583.5516482852599</c:v>
                </c:pt>
                <c:pt idx="291">
                  <c:v>2628.6631497878202</c:v>
                </c:pt>
                <c:pt idx="292">
                  <c:v>2574.7090990850902</c:v>
                </c:pt>
                <c:pt idx="293">
                  <c:v>2563.4170974675199</c:v>
                </c:pt>
                <c:pt idx="294">
                  <c:v>2545.47969656852</c:v>
                </c:pt>
                <c:pt idx="295">
                  <c:v>2595.5071101021299</c:v>
                </c:pt>
                <c:pt idx="296">
                  <c:v>2541.6297008471602</c:v>
                </c:pt>
                <c:pt idx="297">
                  <c:v>2703.3656159039501</c:v>
                </c:pt>
                <c:pt idx="298">
                  <c:v>2676.8884284713604</c:v>
                </c:pt>
                <c:pt idx="299">
                  <c:v>2649.0397682864</c:v>
                </c:pt>
                <c:pt idx="300">
                  <c:v>2580.0194605029101</c:v>
                </c:pt>
                <c:pt idx="301">
                  <c:v>2624.6328950383004</c:v>
                </c:pt>
                <c:pt idx="302">
                  <c:v>2613.0522062985101</c:v>
                </c:pt>
                <c:pt idx="303">
                  <c:v>2543.9024414483902</c:v>
                </c:pt>
                <c:pt idx="304">
                  <c:v>2546.8466699613</c:v>
                </c:pt>
                <c:pt idx="305">
                  <c:v>2519.2477740427698</c:v>
                </c:pt>
                <c:pt idx="306">
                  <c:v>2533.2173772245301</c:v>
                </c:pt>
                <c:pt idx="307">
                  <c:v>2547.8430554688498</c:v>
                </c:pt>
                <c:pt idx="308">
                  <c:v>2572.1880109497297</c:v>
                </c:pt>
                <c:pt idx="309">
                  <c:v>2564.6049020815499</c:v>
                </c:pt>
                <c:pt idx="310">
                  <c:v>2658.4608992209701</c:v>
                </c:pt>
                <c:pt idx="311">
                  <c:v>2587.7096565810998</c:v>
                </c:pt>
                <c:pt idx="312">
                  <c:v>2597.5554416518098</c:v>
                </c:pt>
                <c:pt idx="313">
                  <c:v>2519.8817600545699</c:v>
                </c:pt>
                <c:pt idx="314">
                  <c:v>2387.4083713044001</c:v>
                </c:pt>
                <c:pt idx="315">
                  <c:v>2670.5471089964399</c:v>
                </c:pt>
                <c:pt idx="316">
                  <c:v>2454.9574238772398</c:v>
                </c:pt>
                <c:pt idx="317">
                  <c:v>2537.5231683704601</c:v>
                </c:pt>
                <c:pt idx="318">
                  <c:v>2562.4875647887302</c:v>
                </c:pt>
                <c:pt idx="319">
                  <c:v>2575.6575011202899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28-4D45-8D4C-66A22B4E9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FF-6E4A-B640-A4090FF115E9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'240828E020'!$A$2:$A$321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'240828E020'!$P$2:$P$321</c:f>
              <c:numCache>
                <c:formatCode>General</c:formatCode>
                <c:ptCount val="320"/>
                <c:pt idx="0">
                  <c:v>45.407576132098093</c:v>
                </c:pt>
                <c:pt idx="1">
                  <c:v>77.048814361654109</c:v>
                </c:pt>
                <c:pt idx="2">
                  <c:v>72.382260469019315</c:v>
                </c:pt>
                <c:pt idx="3">
                  <c:v>53.972735050573561</c:v>
                </c:pt>
                <c:pt idx="4">
                  <c:v>48.327077095913815</c:v>
                </c:pt>
                <c:pt idx="5">
                  <c:v>54.474182359711087</c:v>
                </c:pt>
                <c:pt idx="6">
                  <c:v>44.778775025890951</c:v>
                </c:pt>
                <c:pt idx="7">
                  <c:v>26.872689121540649</c:v>
                </c:pt>
                <c:pt idx="8">
                  <c:v>24.799201434105502</c:v>
                </c:pt>
                <c:pt idx="9">
                  <c:v>17.910896018427575</c:v>
                </c:pt>
                <c:pt idx="10">
                  <c:v>10.560772686644061</c:v>
                </c:pt>
                <c:pt idx="11">
                  <c:v>7.2802682434070158</c:v>
                </c:pt>
                <c:pt idx="12">
                  <c:v>3.5942315105410683</c:v>
                </c:pt>
                <c:pt idx="13">
                  <c:v>3.9840363878102907</c:v>
                </c:pt>
                <c:pt idx="14">
                  <c:v>3.7164098398047121</c:v>
                </c:pt>
                <c:pt idx="15">
                  <c:v>-2.6881307764834022</c:v>
                </c:pt>
                <c:pt idx="16">
                  <c:v>-3.2844012743088138</c:v>
                </c:pt>
                <c:pt idx="17">
                  <c:v>-1.5265712883050206</c:v>
                </c:pt>
                <c:pt idx="18">
                  <c:v>-2.8667220328378908</c:v>
                </c:pt>
                <c:pt idx="19">
                  <c:v>6.0898468411251399</c:v>
                </c:pt>
                <c:pt idx="20">
                  <c:v>5.2929985151946513</c:v>
                </c:pt>
                <c:pt idx="21">
                  <c:v>5.456242882610689</c:v>
                </c:pt>
                <c:pt idx="22">
                  <c:v>5.8036202091156754</c:v>
                </c:pt>
                <c:pt idx="23">
                  <c:v>5.0083554519032365</c:v>
                </c:pt>
                <c:pt idx="24">
                  <c:v>3.8515898330518876</c:v>
                </c:pt>
                <c:pt idx="25">
                  <c:v>2.3672798561645592</c:v>
                </c:pt>
                <c:pt idx="26">
                  <c:v>-3.9174196480237731</c:v>
                </c:pt>
                <c:pt idx="27">
                  <c:v>-3.2896405114904215</c:v>
                </c:pt>
                <c:pt idx="28">
                  <c:v>-7.5111092019935919</c:v>
                </c:pt>
                <c:pt idx="29">
                  <c:v>-8.4749236766888121</c:v>
                </c:pt>
                <c:pt idx="30">
                  <c:v>-6.7977268137737319</c:v>
                </c:pt>
                <c:pt idx="31">
                  <c:v>-5.5627604896837868</c:v>
                </c:pt>
                <c:pt idx="32">
                  <c:v>-4.5714246175614859</c:v>
                </c:pt>
                <c:pt idx="33">
                  <c:v>-3.0294744456564477</c:v>
                </c:pt>
                <c:pt idx="34">
                  <c:v>-4.1051826852596687</c:v>
                </c:pt>
                <c:pt idx="35">
                  <c:v>-1.4269249711763805</c:v>
                </c:pt>
                <c:pt idx="36">
                  <c:v>-2.4503394816364614</c:v>
                </c:pt>
                <c:pt idx="37">
                  <c:v>-1.7772745535789385</c:v>
                </c:pt>
                <c:pt idx="38">
                  <c:v>-1.847404818350306</c:v>
                </c:pt>
                <c:pt idx="39">
                  <c:v>-2.2569406801737584</c:v>
                </c:pt>
                <c:pt idx="40">
                  <c:v>-1.725775906280332</c:v>
                </c:pt>
                <c:pt idx="41">
                  <c:v>-3.1678961770478646</c:v>
                </c:pt>
                <c:pt idx="42">
                  <c:v>-2.9026024522239204</c:v>
                </c:pt>
                <c:pt idx="43">
                  <c:v>-2.7555204613592417</c:v>
                </c:pt>
                <c:pt idx="44">
                  <c:v>-3.1074893548024285</c:v>
                </c:pt>
                <c:pt idx="45">
                  <c:v>-3.6549283334723008</c:v>
                </c:pt>
                <c:pt idx="46">
                  <c:v>-4.4939758859693351</c:v>
                </c:pt>
                <c:pt idx="47">
                  <c:v>-3.2652332060998654</c:v>
                </c:pt>
                <c:pt idx="48">
                  <c:v>-3.1830694990669066</c:v>
                </c:pt>
                <c:pt idx="49">
                  <c:v>-3.7111257568062208</c:v>
                </c:pt>
                <c:pt idx="50">
                  <c:v>-4.8969059315607844</c:v>
                </c:pt>
                <c:pt idx="51">
                  <c:v>-3.8722908510457383</c:v>
                </c:pt>
                <c:pt idx="52">
                  <c:v>-4.4009905539112966</c:v>
                </c:pt>
                <c:pt idx="53">
                  <c:v>-3.7054134264299847</c:v>
                </c:pt>
                <c:pt idx="54">
                  <c:v>-6.8089920562521087</c:v>
                </c:pt>
                <c:pt idx="55">
                  <c:v>-9.2443517618782707</c:v>
                </c:pt>
                <c:pt idx="56">
                  <c:v>-9.1382614334411407</c:v>
                </c:pt>
                <c:pt idx="57">
                  <c:v>-8.094392899443454</c:v>
                </c:pt>
                <c:pt idx="58">
                  <c:v>-5.0949220550073369</c:v>
                </c:pt>
                <c:pt idx="59">
                  <c:v>-1.6345870283276558</c:v>
                </c:pt>
                <c:pt idx="60">
                  <c:v>0.46894028658090708</c:v>
                </c:pt>
                <c:pt idx="61">
                  <c:v>0.90491110519055928</c:v>
                </c:pt>
                <c:pt idx="62">
                  <c:v>1.3021962761582153</c:v>
                </c:pt>
                <c:pt idx="63">
                  <c:v>-0.27272653105524042</c:v>
                </c:pt>
                <c:pt idx="64">
                  <c:v>-1.3717751373478515</c:v>
                </c:pt>
                <c:pt idx="65">
                  <c:v>-0.8270607730098396</c:v>
                </c:pt>
                <c:pt idx="66">
                  <c:v>-1.6055735086667002</c:v>
                </c:pt>
                <c:pt idx="67">
                  <c:v>-1.1455145477523658</c:v>
                </c:pt>
                <c:pt idx="68">
                  <c:v>-4.6893572340883961E-2</c:v>
                </c:pt>
                <c:pt idx="69">
                  <c:v>1.3769776183396318</c:v>
                </c:pt>
                <c:pt idx="70">
                  <c:v>1.562112314176626</c:v>
                </c:pt>
                <c:pt idx="71">
                  <c:v>-0.82883477851750709</c:v>
                </c:pt>
                <c:pt idx="72">
                  <c:v>0.35986434957530539</c:v>
                </c:pt>
                <c:pt idx="73">
                  <c:v>-0.74530675184534767</c:v>
                </c:pt>
                <c:pt idx="74">
                  <c:v>0.52447402098688922</c:v>
                </c:pt>
                <c:pt idx="75">
                  <c:v>-0.74783434755266354</c:v>
                </c:pt>
                <c:pt idx="76">
                  <c:v>-0.31780999546663469</c:v>
                </c:pt>
                <c:pt idx="77">
                  <c:v>1.1483875494860165</c:v>
                </c:pt>
                <c:pt idx="78">
                  <c:v>0.51762518040393035</c:v>
                </c:pt>
                <c:pt idx="79">
                  <c:v>-0.25615875734283444</c:v>
                </c:pt>
                <c:pt idx="80">
                  <c:v>1.7942576909523227</c:v>
                </c:pt>
                <c:pt idx="81">
                  <c:v>0.33035888210093761</c:v>
                </c:pt>
                <c:pt idx="82">
                  <c:v>0.17263870969893397</c:v>
                </c:pt>
                <c:pt idx="83">
                  <c:v>-0.60157015078888687</c:v>
                </c:pt>
                <c:pt idx="84">
                  <c:v>21.923071319560648</c:v>
                </c:pt>
                <c:pt idx="85">
                  <c:v>23.491613656330617</c:v>
                </c:pt>
                <c:pt idx="86">
                  <c:v>35.080940493275065</c:v>
                </c:pt>
                <c:pt idx="87">
                  <c:v>33.773720288569109</c:v>
                </c:pt>
                <c:pt idx="88">
                  <c:v>28.83494091837267</c:v>
                </c:pt>
                <c:pt idx="89">
                  <c:v>27.176553707519695</c:v>
                </c:pt>
                <c:pt idx="90">
                  <c:v>24.474946538142241</c:v>
                </c:pt>
                <c:pt idx="91">
                  <c:v>21.705408022041826</c:v>
                </c:pt>
                <c:pt idx="92">
                  <c:v>20.814286834054286</c:v>
                </c:pt>
                <c:pt idx="93">
                  <c:v>24.174624161743804</c:v>
                </c:pt>
                <c:pt idx="94">
                  <c:v>25.515863585806137</c:v>
                </c:pt>
                <c:pt idx="95">
                  <c:v>27.042299066874786</c:v>
                </c:pt>
                <c:pt idx="96">
                  <c:v>28.781492221555254</c:v>
                </c:pt>
                <c:pt idx="97">
                  <c:v>27.819952207382588</c:v>
                </c:pt>
                <c:pt idx="98">
                  <c:v>28.745207914763654</c:v>
                </c:pt>
                <c:pt idx="99">
                  <c:v>30.376814980167538</c:v>
                </c:pt>
                <c:pt idx="100">
                  <c:v>32.866057242931305</c:v>
                </c:pt>
                <c:pt idx="101">
                  <c:v>34.034611086200066</c:v>
                </c:pt>
                <c:pt idx="102">
                  <c:v>36.468902784031229</c:v>
                </c:pt>
                <c:pt idx="103">
                  <c:v>36.99113733265321</c:v>
                </c:pt>
                <c:pt idx="104">
                  <c:v>39.806863732921563</c:v>
                </c:pt>
                <c:pt idx="105">
                  <c:v>41.522709400388599</c:v>
                </c:pt>
                <c:pt idx="106">
                  <c:v>43.526893205198711</c:v>
                </c:pt>
                <c:pt idx="107">
                  <c:v>45.687515919041829</c:v>
                </c:pt>
                <c:pt idx="108">
                  <c:v>45.287059534152348</c:v>
                </c:pt>
                <c:pt idx="109">
                  <c:v>44.757354630260714</c:v>
                </c:pt>
                <c:pt idx="110">
                  <c:v>46.414285123352897</c:v>
                </c:pt>
                <c:pt idx="111">
                  <c:v>47.265544337727263</c:v>
                </c:pt>
                <c:pt idx="112">
                  <c:v>47.128298512982745</c:v>
                </c:pt>
                <c:pt idx="113">
                  <c:v>49.024112195769085</c:v>
                </c:pt>
                <c:pt idx="114">
                  <c:v>50.052597609534978</c:v>
                </c:pt>
                <c:pt idx="115">
                  <c:v>50.319453645453429</c:v>
                </c:pt>
                <c:pt idx="116">
                  <c:v>48.591037469064759</c:v>
                </c:pt>
                <c:pt idx="117">
                  <c:v>49.353559413843669</c:v>
                </c:pt>
                <c:pt idx="118">
                  <c:v>47.604239017518751</c:v>
                </c:pt>
                <c:pt idx="119">
                  <c:v>47.640277437983215</c:v>
                </c:pt>
                <c:pt idx="120">
                  <c:v>50.079018428382923</c:v>
                </c:pt>
                <c:pt idx="121">
                  <c:v>49.57453975946126</c:v>
                </c:pt>
                <c:pt idx="122">
                  <c:v>50.009548478416711</c:v>
                </c:pt>
                <c:pt idx="123">
                  <c:v>50.208578229761777</c:v>
                </c:pt>
                <c:pt idx="124">
                  <c:v>47.827229758623133</c:v>
                </c:pt>
                <c:pt idx="125">
                  <c:v>42.619174882270407</c:v>
                </c:pt>
                <c:pt idx="126">
                  <c:v>46.137232397864302</c:v>
                </c:pt>
                <c:pt idx="127">
                  <c:v>46.869512660910786</c:v>
                </c:pt>
                <c:pt idx="128">
                  <c:v>46.738728691312993</c:v>
                </c:pt>
                <c:pt idx="129">
                  <c:v>46.264629466129939</c:v>
                </c:pt>
                <c:pt idx="130">
                  <c:v>49.049724878903191</c:v>
                </c:pt>
                <c:pt idx="131">
                  <c:v>49.451978154259386</c:v>
                </c:pt>
                <c:pt idx="132">
                  <c:v>39.850232817531698</c:v>
                </c:pt>
                <c:pt idx="133">
                  <c:v>40.402590096418812</c:v>
                </c:pt>
                <c:pt idx="134">
                  <c:v>39.175668970429349</c:v>
                </c:pt>
                <c:pt idx="135">
                  <c:v>35.537901222157906</c:v>
                </c:pt>
                <c:pt idx="136">
                  <c:v>35.333457512562177</c:v>
                </c:pt>
                <c:pt idx="137">
                  <c:v>33.888307851844083</c:v>
                </c:pt>
                <c:pt idx="138">
                  <c:v>34.339394534630117</c:v>
                </c:pt>
                <c:pt idx="139">
                  <c:v>34.561601811632372</c:v>
                </c:pt>
                <c:pt idx="140">
                  <c:v>34.993477139471956</c:v>
                </c:pt>
                <c:pt idx="141">
                  <c:v>34.408940818437486</c:v>
                </c:pt>
                <c:pt idx="142">
                  <c:v>34.079103592835871</c:v>
                </c:pt>
                <c:pt idx="143">
                  <c:v>34.842473141842746</c:v>
                </c:pt>
                <c:pt idx="144">
                  <c:v>36.272049365047714</c:v>
                </c:pt>
                <c:pt idx="145">
                  <c:v>35.938065825442081</c:v>
                </c:pt>
                <c:pt idx="146">
                  <c:v>35.406061680313641</c:v>
                </c:pt>
                <c:pt idx="147">
                  <c:v>36.267653278138056</c:v>
                </c:pt>
                <c:pt idx="148">
                  <c:v>36.17516119070531</c:v>
                </c:pt>
                <c:pt idx="149">
                  <c:v>36.634548717994242</c:v>
                </c:pt>
                <c:pt idx="150">
                  <c:v>35.160625105149926</c:v>
                </c:pt>
                <c:pt idx="151">
                  <c:v>35.113967170049968</c:v>
                </c:pt>
                <c:pt idx="152">
                  <c:v>34.51319283983257</c:v>
                </c:pt>
                <c:pt idx="153">
                  <c:v>34.144855266282718</c:v>
                </c:pt>
                <c:pt idx="154">
                  <c:v>34.084455205766453</c:v>
                </c:pt>
                <c:pt idx="155">
                  <c:v>34.207045430772837</c:v>
                </c:pt>
                <c:pt idx="156">
                  <c:v>33.54966283163408</c:v>
                </c:pt>
                <c:pt idx="157">
                  <c:v>32.199739755431679</c:v>
                </c:pt>
                <c:pt idx="158">
                  <c:v>32.170983575633699</c:v>
                </c:pt>
                <c:pt idx="159">
                  <c:v>31.133764614376915</c:v>
                </c:pt>
                <c:pt idx="160">
                  <c:v>28.558576222685645</c:v>
                </c:pt>
                <c:pt idx="161">
                  <c:v>30.162808237807798</c:v>
                </c:pt>
                <c:pt idx="162">
                  <c:v>30.336914021275618</c:v>
                </c:pt>
                <c:pt idx="163">
                  <c:v>30.203330068157214</c:v>
                </c:pt>
                <c:pt idx="164">
                  <c:v>32.950660968914576</c:v>
                </c:pt>
                <c:pt idx="165">
                  <c:v>34.549239207500356</c:v>
                </c:pt>
                <c:pt idx="166">
                  <c:v>36.599406718930389</c:v>
                </c:pt>
                <c:pt idx="167">
                  <c:v>35.614935381254959</c:v>
                </c:pt>
                <c:pt idx="168">
                  <c:v>35.840447096846923</c:v>
                </c:pt>
                <c:pt idx="169">
                  <c:v>37.188144014634652</c:v>
                </c:pt>
                <c:pt idx="170">
                  <c:v>39.687813622875765</c:v>
                </c:pt>
                <c:pt idx="171">
                  <c:v>40.291647342792466</c:v>
                </c:pt>
                <c:pt idx="172">
                  <c:v>40.389280196926698</c:v>
                </c:pt>
                <c:pt idx="173">
                  <c:v>41.120216423891812</c:v>
                </c:pt>
                <c:pt idx="174">
                  <c:v>42.734003788345667</c:v>
                </c:pt>
                <c:pt idx="175">
                  <c:v>42.650159878506898</c:v>
                </c:pt>
                <c:pt idx="176">
                  <c:v>43.660740352629325</c:v>
                </c:pt>
                <c:pt idx="177">
                  <c:v>43.189536813798917</c:v>
                </c:pt>
                <c:pt idx="178">
                  <c:v>43.425254280933579</c:v>
                </c:pt>
                <c:pt idx="179">
                  <c:v>42.143305571090735</c:v>
                </c:pt>
                <c:pt idx="180">
                  <c:v>40.703402874107283</c:v>
                </c:pt>
                <c:pt idx="181">
                  <c:v>42.124001326578764</c:v>
                </c:pt>
                <c:pt idx="182">
                  <c:v>40.356276639301569</c:v>
                </c:pt>
                <c:pt idx="183">
                  <c:v>38.153618149570057</c:v>
                </c:pt>
                <c:pt idx="184">
                  <c:v>38.405426309117864</c:v>
                </c:pt>
                <c:pt idx="185">
                  <c:v>41.0328906820382</c:v>
                </c:pt>
                <c:pt idx="186">
                  <c:v>42.529596529839068</c:v>
                </c:pt>
                <c:pt idx="187">
                  <c:v>41.380853529780595</c:v>
                </c:pt>
                <c:pt idx="188">
                  <c:v>43.620196182331682</c:v>
                </c:pt>
                <c:pt idx="189">
                  <c:v>43.690808554952518</c:v>
                </c:pt>
                <c:pt idx="190">
                  <c:v>40.96665180107518</c:v>
                </c:pt>
                <c:pt idx="191">
                  <c:v>38.366875889262694</c:v>
                </c:pt>
                <c:pt idx="192">
                  <c:v>38.690195527911776</c:v>
                </c:pt>
                <c:pt idx="193">
                  <c:v>36.620480315600929</c:v>
                </c:pt>
                <c:pt idx="194">
                  <c:v>35.454580960181595</c:v>
                </c:pt>
                <c:pt idx="195">
                  <c:v>34.218080481561721</c:v>
                </c:pt>
                <c:pt idx="196">
                  <c:v>34.204191281753474</c:v>
                </c:pt>
                <c:pt idx="197">
                  <c:v>31.586839756569169</c:v>
                </c:pt>
                <c:pt idx="198">
                  <c:v>33.131904857906207</c:v>
                </c:pt>
                <c:pt idx="199">
                  <c:v>31.383520470470177</c:v>
                </c:pt>
                <c:pt idx="200">
                  <c:v>30.52348930768181</c:v>
                </c:pt>
                <c:pt idx="201">
                  <c:v>28.327728795896356</c:v>
                </c:pt>
                <c:pt idx="202">
                  <c:v>29.64736483981854</c:v>
                </c:pt>
                <c:pt idx="203">
                  <c:v>27.431793502478442</c:v>
                </c:pt>
                <c:pt idx="204">
                  <c:v>26.398182509779399</c:v>
                </c:pt>
                <c:pt idx="205">
                  <c:v>25.447124895191948</c:v>
                </c:pt>
                <c:pt idx="206">
                  <c:v>25.220277743040974</c:v>
                </c:pt>
                <c:pt idx="207">
                  <c:v>20.512103128707778</c:v>
                </c:pt>
                <c:pt idx="208">
                  <c:v>21.996690033517375</c:v>
                </c:pt>
                <c:pt idx="209">
                  <c:v>23.827282830198946</c:v>
                </c:pt>
                <c:pt idx="210">
                  <c:v>21.903925479620909</c:v>
                </c:pt>
                <c:pt idx="211">
                  <c:v>21.624641810699831</c:v>
                </c:pt>
                <c:pt idx="212">
                  <c:v>20.900403229477639</c:v>
                </c:pt>
                <c:pt idx="213">
                  <c:v>20.349404457474467</c:v>
                </c:pt>
                <c:pt idx="214">
                  <c:v>21.263857524291598</c:v>
                </c:pt>
                <c:pt idx="215">
                  <c:v>20.378670003330591</c:v>
                </c:pt>
                <c:pt idx="216">
                  <c:v>19.514182625472802</c:v>
                </c:pt>
                <c:pt idx="217">
                  <c:v>19.921371766085166</c:v>
                </c:pt>
                <c:pt idx="218">
                  <c:v>19.762164309507181</c:v>
                </c:pt>
                <c:pt idx="219">
                  <c:v>19.086654955352056</c:v>
                </c:pt>
                <c:pt idx="220">
                  <c:v>18.900122561624059</c:v>
                </c:pt>
                <c:pt idx="221">
                  <c:v>17.934534200120151</c:v>
                </c:pt>
                <c:pt idx="222">
                  <c:v>18.660896865851271</c:v>
                </c:pt>
                <c:pt idx="223">
                  <c:v>18.615828098974905</c:v>
                </c:pt>
                <c:pt idx="224">
                  <c:v>18.183584083323357</c:v>
                </c:pt>
                <c:pt idx="225">
                  <c:v>17.355699418381516</c:v>
                </c:pt>
                <c:pt idx="226">
                  <c:v>15.554107907322063</c:v>
                </c:pt>
                <c:pt idx="227">
                  <c:v>15.93822953047547</c:v>
                </c:pt>
                <c:pt idx="228">
                  <c:v>15.919481007630143</c:v>
                </c:pt>
                <c:pt idx="229">
                  <c:v>15.603103399408896</c:v>
                </c:pt>
                <c:pt idx="230">
                  <c:v>14.791802424839576</c:v>
                </c:pt>
                <c:pt idx="231">
                  <c:v>15.833557728636716</c:v>
                </c:pt>
                <c:pt idx="232">
                  <c:v>14.167880952714512</c:v>
                </c:pt>
                <c:pt idx="233">
                  <c:v>12.764863720563707</c:v>
                </c:pt>
                <c:pt idx="234">
                  <c:v>12.371566290591224</c:v>
                </c:pt>
                <c:pt idx="235">
                  <c:v>12.658259913132779</c:v>
                </c:pt>
                <c:pt idx="236">
                  <c:v>12.340399316034109</c:v>
                </c:pt>
                <c:pt idx="237">
                  <c:v>12.605787416588196</c:v>
                </c:pt>
                <c:pt idx="238">
                  <c:v>11.543764865560686</c:v>
                </c:pt>
                <c:pt idx="239">
                  <c:v>11.896652691415232</c:v>
                </c:pt>
                <c:pt idx="240">
                  <c:v>12.148359918801514</c:v>
                </c:pt>
                <c:pt idx="241">
                  <c:v>12.66573110482015</c:v>
                </c:pt>
                <c:pt idx="242">
                  <c:v>11.725615630462972</c:v>
                </c:pt>
                <c:pt idx="243">
                  <c:v>11.208339109095245</c:v>
                </c:pt>
                <c:pt idx="244">
                  <c:v>9.9576000779598708</c:v>
                </c:pt>
                <c:pt idx="245">
                  <c:v>10.744434724729468</c:v>
                </c:pt>
                <c:pt idx="246">
                  <c:v>10.462928946652434</c:v>
                </c:pt>
                <c:pt idx="247">
                  <c:v>10.41916003911399</c:v>
                </c:pt>
                <c:pt idx="248">
                  <c:v>11.027438560291966</c:v>
                </c:pt>
                <c:pt idx="249">
                  <c:v>10.64284431513318</c:v>
                </c:pt>
                <c:pt idx="250">
                  <c:v>10.102050710518833</c:v>
                </c:pt>
                <c:pt idx="251">
                  <c:v>10.48235941676003</c:v>
                </c:pt>
                <c:pt idx="252">
                  <c:v>10.191199469990583</c:v>
                </c:pt>
                <c:pt idx="253">
                  <c:v>10.871133197914929</c:v>
                </c:pt>
                <c:pt idx="254">
                  <c:v>8.5707139929530065</c:v>
                </c:pt>
                <c:pt idx="255">
                  <c:v>9.187107375879954</c:v>
                </c:pt>
                <c:pt idx="256">
                  <c:v>8.8902924336620384</c:v>
                </c:pt>
                <c:pt idx="257">
                  <c:v>9.6756146044812663</c:v>
                </c:pt>
                <c:pt idx="258">
                  <c:v>7.7792656521356269</c:v>
                </c:pt>
                <c:pt idx="259">
                  <c:v>7.8594254176921856</c:v>
                </c:pt>
                <c:pt idx="260">
                  <c:v>9.4210703507144462</c:v>
                </c:pt>
                <c:pt idx="261">
                  <c:v>7.9040705382414105</c:v>
                </c:pt>
                <c:pt idx="262">
                  <c:v>8.2305115439039316</c:v>
                </c:pt>
                <c:pt idx="263">
                  <c:v>4.5170298368403454</c:v>
                </c:pt>
                <c:pt idx="264">
                  <c:v>5.510546361017159</c:v>
                </c:pt>
                <c:pt idx="265">
                  <c:v>8.003928554661508</c:v>
                </c:pt>
                <c:pt idx="266">
                  <c:v>8.6600605853267023</c:v>
                </c:pt>
                <c:pt idx="267">
                  <c:v>10.786650042125531</c:v>
                </c:pt>
                <c:pt idx="268">
                  <c:v>11.232002659974285</c:v>
                </c:pt>
                <c:pt idx="269">
                  <c:v>9.966564468112681</c:v>
                </c:pt>
                <c:pt idx="270">
                  <c:v>9.8696030116343447</c:v>
                </c:pt>
                <c:pt idx="271">
                  <c:v>7.8196445011236859</c:v>
                </c:pt>
                <c:pt idx="272">
                  <c:v>7.3328903390089728</c:v>
                </c:pt>
                <c:pt idx="273">
                  <c:v>8.7799349734259113</c:v>
                </c:pt>
                <c:pt idx="274">
                  <c:v>7.8188755668540137</c:v>
                </c:pt>
                <c:pt idx="275">
                  <c:v>9.3128278335239969</c:v>
                </c:pt>
                <c:pt idx="276">
                  <c:v>8.6709757887985788</c:v>
                </c:pt>
                <c:pt idx="277">
                  <c:v>8.8741113273558998</c:v>
                </c:pt>
                <c:pt idx="278">
                  <c:v>8.2676512111355454</c:v>
                </c:pt>
                <c:pt idx="279">
                  <c:v>9.1501775973972279</c:v>
                </c:pt>
                <c:pt idx="280">
                  <c:v>9.4795712008782171</c:v>
                </c:pt>
                <c:pt idx="281">
                  <c:v>10.04015697528801</c:v>
                </c:pt>
                <c:pt idx="282">
                  <c:v>6.0708696272034794</c:v>
                </c:pt>
                <c:pt idx="283">
                  <c:v>6.1621802112370823</c:v>
                </c:pt>
                <c:pt idx="284">
                  <c:v>9.0180715049928946</c:v>
                </c:pt>
                <c:pt idx="285">
                  <c:v>9.0980429654785979</c:v>
                </c:pt>
                <c:pt idx="286">
                  <c:v>10.259330931246851</c:v>
                </c:pt>
                <c:pt idx="287">
                  <c:v>10.420281418940114</c:v>
                </c:pt>
                <c:pt idx="288">
                  <c:v>9.9272672384209972</c:v>
                </c:pt>
                <c:pt idx="289">
                  <c:v>10.589068131649816</c:v>
                </c:pt>
                <c:pt idx="290">
                  <c:v>9.2157306936981325</c:v>
                </c:pt>
                <c:pt idx="291">
                  <c:v>9.7536611667277295</c:v>
                </c:pt>
                <c:pt idx="292">
                  <c:v>8.55956834510663</c:v>
                </c:pt>
                <c:pt idx="293">
                  <c:v>9.4258838414768675</c:v>
                </c:pt>
                <c:pt idx="294">
                  <c:v>9.0124114429275206</c:v>
                </c:pt>
                <c:pt idx="295">
                  <c:v>9.2389265436412451</c:v>
                </c:pt>
                <c:pt idx="296">
                  <c:v>7.5254444550673556</c:v>
                </c:pt>
                <c:pt idx="297">
                  <c:v>9.3879112930006787</c:v>
                </c:pt>
                <c:pt idx="298">
                  <c:v>10.085275926540115</c:v>
                </c:pt>
                <c:pt idx="299">
                  <c:v>10.474986060399495</c:v>
                </c:pt>
                <c:pt idx="300">
                  <c:v>9.7497042295604484</c:v>
                </c:pt>
                <c:pt idx="301">
                  <c:v>8.6470683908485615</c:v>
                </c:pt>
                <c:pt idx="302">
                  <c:v>9.1583734003428603</c:v>
                </c:pt>
                <c:pt idx="303">
                  <c:v>7.3391775630890628</c:v>
                </c:pt>
                <c:pt idx="304">
                  <c:v>10.195308324122756</c:v>
                </c:pt>
                <c:pt idx="305">
                  <c:v>9.5558723631722113</c:v>
                </c:pt>
                <c:pt idx="306">
                  <c:v>10.158385229638606</c:v>
                </c:pt>
                <c:pt idx="307">
                  <c:v>9.4468810081436505</c:v>
                </c:pt>
                <c:pt idx="308">
                  <c:v>10.103572929479155</c:v>
                </c:pt>
                <c:pt idx="309">
                  <c:v>9.7665615901203999</c:v>
                </c:pt>
                <c:pt idx="310">
                  <c:v>9.2686090065164564</c:v>
                </c:pt>
                <c:pt idx="311">
                  <c:v>9.4764848743267684</c:v>
                </c:pt>
                <c:pt idx="312">
                  <c:v>9.8596699515586383</c:v>
                </c:pt>
                <c:pt idx="313">
                  <c:v>8.7012572814713849</c:v>
                </c:pt>
                <c:pt idx="314">
                  <c:v>9.7607228943710691</c:v>
                </c:pt>
                <c:pt idx="315">
                  <c:v>10.644069410708818</c:v>
                </c:pt>
                <c:pt idx="316">
                  <c:v>11.585449172988172</c:v>
                </c:pt>
                <c:pt idx="317">
                  <c:v>10.163488064296812</c:v>
                </c:pt>
                <c:pt idx="318">
                  <c:v>10.948847503493033</c:v>
                </c:pt>
                <c:pt idx="319">
                  <c:v>9.8479900659242965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FF-6E4A-B640-A4090FF11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'240828E021'!$A$2:$A$321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'240828E021'!$J$2:$J$321</c:f>
              <c:numCache>
                <c:formatCode>0.0</c:formatCode>
                <c:ptCount val="320"/>
                <c:pt idx="0">
                  <c:v>2590.7904827729699</c:v>
                </c:pt>
                <c:pt idx="1">
                  <c:v>2468.7256950179799</c:v>
                </c:pt>
                <c:pt idx="2">
                  <c:v>2178.4520304482103</c:v>
                </c:pt>
                <c:pt idx="3">
                  <c:v>1778.7262569935199</c:v>
                </c:pt>
                <c:pt idx="4">
                  <c:v>2614.8608526061998</c:v>
                </c:pt>
                <c:pt idx="5">
                  <c:v>2370.8138559034996</c:v>
                </c:pt>
                <c:pt idx="6">
                  <c:v>2613.49045322956</c:v>
                </c:pt>
                <c:pt idx="7">
                  <c:v>2892.29538578967</c:v>
                </c:pt>
                <c:pt idx="8">
                  <c:v>2219.2825689524902</c:v>
                </c:pt>
                <c:pt idx="9">
                  <c:v>3258.3537899234798</c:v>
                </c:pt>
                <c:pt idx="10">
                  <c:v>3149.3140969154601</c:v>
                </c:pt>
                <c:pt idx="11">
                  <c:v>2931.37393338843</c:v>
                </c:pt>
                <c:pt idx="12">
                  <c:v>2995.55756918523</c:v>
                </c:pt>
                <c:pt idx="13">
                  <c:v>3094.3203166742801</c:v>
                </c:pt>
                <c:pt idx="14">
                  <c:v>2895.9458740191399</c:v>
                </c:pt>
                <c:pt idx="15">
                  <c:v>3047.8999276328605</c:v>
                </c:pt>
                <c:pt idx="16">
                  <c:v>3059.3625116173498</c:v>
                </c:pt>
                <c:pt idx="17">
                  <c:v>2832.38179911321</c:v>
                </c:pt>
                <c:pt idx="18">
                  <c:v>2810.0580479974001</c:v>
                </c:pt>
                <c:pt idx="19">
                  <c:v>2838.1161566068699</c:v>
                </c:pt>
                <c:pt idx="20">
                  <c:v>2822.0189192316498</c:v>
                </c:pt>
                <c:pt idx="21">
                  <c:v>2699.5389570315997</c:v>
                </c:pt>
                <c:pt idx="22">
                  <c:v>2738.37925799806</c:v>
                </c:pt>
                <c:pt idx="23">
                  <c:v>2762.4761601701198</c:v>
                </c:pt>
                <c:pt idx="24">
                  <c:v>2741.8735852590999</c:v>
                </c:pt>
                <c:pt idx="25">
                  <c:v>2663.25876670967</c:v>
                </c:pt>
                <c:pt idx="26">
                  <c:v>2629.8384513799601</c:v>
                </c:pt>
                <c:pt idx="27">
                  <c:v>2624.00587477915</c:v>
                </c:pt>
                <c:pt idx="28">
                  <c:v>2626.37000639178</c:v>
                </c:pt>
                <c:pt idx="29">
                  <c:v>2614.0314227674198</c:v>
                </c:pt>
                <c:pt idx="30">
                  <c:v>2598.0538878052298</c:v>
                </c:pt>
                <c:pt idx="31">
                  <c:v>2613.4988345951901</c:v>
                </c:pt>
                <c:pt idx="32">
                  <c:v>2644.64979906184</c:v>
                </c:pt>
                <c:pt idx="33">
                  <c:v>2657.3386166856199</c:v>
                </c:pt>
                <c:pt idx="34">
                  <c:v>2622.62181097851</c:v>
                </c:pt>
                <c:pt idx="35">
                  <c:v>2561.0675898068598</c:v>
                </c:pt>
                <c:pt idx="36">
                  <c:v>2602.1891767043799</c:v>
                </c:pt>
                <c:pt idx="37">
                  <c:v>2594.4112574984701</c:v>
                </c:pt>
                <c:pt idx="38">
                  <c:v>2577.6511049763899</c:v>
                </c:pt>
                <c:pt idx="39">
                  <c:v>2559.7514170367303</c:v>
                </c:pt>
                <c:pt idx="40">
                  <c:v>2562.98702075133</c:v>
                </c:pt>
                <c:pt idx="41">
                  <c:v>2589.9843189223802</c:v>
                </c:pt>
                <c:pt idx="42">
                  <c:v>2574.8479417609601</c:v>
                </c:pt>
                <c:pt idx="43">
                  <c:v>2591.7414500244599</c:v>
                </c:pt>
                <c:pt idx="44">
                  <c:v>2584.05633983901</c:v>
                </c:pt>
                <c:pt idx="45">
                  <c:v>2587.0781638582698</c:v>
                </c:pt>
                <c:pt idx="46">
                  <c:v>2578.24988612281</c:v>
                </c:pt>
                <c:pt idx="47">
                  <c:v>2629.9524039114899</c:v>
                </c:pt>
                <c:pt idx="48">
                  <c:v>2626.1595842378802</c:v>
                </c:pt>
                <c:pt idx="49">
                  <c:v>2630.9913260451899</c:v>
                </c:pt>
                <c:pt idx="50">
                  <c:v>2600.8300437508997</c:v>
                </c:pt>
                <c:pt idx="51">
                  <c:v>2608.1355240005901</c:v>
                </c:pt>
                <c:pt idx="52">
                  <c:v>2627.65243476859</c:v>
                </c:pt>
                <c:pt idx="53">
                  <c:v>2613.1922394507801</c:v>
                </c:pt>
                <c:pt idx="54">
                  <c:v>2624.4017873214298</c:v>
                </c:pt>
                <c:pt idx="55">
                  <c:v>2547.5545995378402</c:v>
                </c:pt>
                <c:pt idx="56">
                  <c:v>2537.4986885752201</c:v>
                </c:pt>
                <c:pt idx="57">
                  <c:v>2566.7360050399702</c:v>
                </c:pt>
                <c:pt idx="58">
                  <c:v>2527.3215323466302</c:v>
                </c:pt>
                <c:pt idx="59">
                  <c:v>2538.64223724663</c:v>
                </c:pt>
                <c:pt idx="60">
                  <c:v>2534.98594901974</c:v>
                </c:pt>
                <c:pt idx="61">
                  <c:v>2530.5804726271899</c:v>
                </c:pt>
                <c:pt idx="62">
                  <c:v>2579.2800103224404</c:v>
                </c:pt>
                <c:pt idx="63">
                  <c:v>2501.91831237627</c:v>
                </c:pt>
                <c:pt idx="64">
                  <c:v>2532.2752173769604</c:v>
                </c:pt>
                <c:pt idx="65">
                  <c:v>2497.8091197290796</c:v>
                </c:pt>
                <c:pt idx="66">
                  <c:v>2521.4632020438803</c:v>
                </c:pt>
                <c:pt idx="67">
                  <c:v>2397.7819783779801</c:v>
                </c:pt>
                <c:pt idx="68">
                  <c:v>2402.7532234601899</c:v>
                </c:pt>
                <c:pt idx="69">
                  <c:v>2430.6773839829602</c:v>
                </c:pt>
                <c:pt idx="70">
                  <c:v>2456.11641191226</c:v>
                </c:pt>
                <c:pt idx="71">
                  <c:v>2468.1230737300302</c:v>
                </c:pt>
                <c:pt idx="72">
                  <c:v>2487.7024920744898</c:v>
                </c:pt>
                <c:pt idx="73">
                  <c:v>2480.8217509175001</c:v>
                </c:pt>
                <c:pt idx="74">
                  <c:v>2503.5565584098699</c:v>
                </c:pt>
                <c:pt idx="75">
                  <c:v>2509.86125253931</c:v>
                </c:pt>
                <c:pt idx="76">
                  <c:v>2484.5370642818702</c:v>
                </c:pt>
                <c:pt idx="77">
                  <c:v>2481.1673581953496</c:v>
                </c:pt>
                <c:pt idx="78">
                  <c:v>2459.90185803549</c:v>
                </c:pt>
                <c:pt idx="79">
                  <c:v>2482.0444323220199</c:v>
                </c:pt>
                <c:pt idx="80">
                  <c:v>2416.6304968720401</c:v>
                </c:pt>
                <c:pt idx="81">
                  <c:v>2406.5015850974901</c:v>
                </c:pt>
                <c:pt idx="82">
                  <c:v>2542.3826045190499</c:v>
                </c:pt>
                <c:pt idx="83">
                  <c:v>2564.9354031437497</c:v>
                </c:pt>
                <c:pt idx="84">
                  <c:v>2586.4887582973797</c:v>
                </c:pt>
                <c:pt idx="85">
                  <c:v>2594.6474939663904</c:v>
                </c:pt>
                <c:pt idx="86">
                  <c:v>2628.6997545467202</c:v>
                </c:pt>
                <c:pt idx="87">
                  <c:v>2621.3733707340803</c:v>
                </c:pt>
                <c:pt idx="88">
                  <c:v>2628.9874193464498</c:v>
                </c:pt>
                <c:pt idx="89">
                  <c:v>2560.7848721205</c:v>
                </c:pt>
                <c:pt idx="90">
                  <c:v>2702.3875561190403</c:v>
                </c:pt>
                <c:pt idx="91">
                  <c:v>2678.3766661572299</c:v>
                </c:pt>
                <c:pt idx="92">
                  <c:v>2697.1007785975603</c:v>
                </c:pt>
                <c:pt idx="93">
                  <c:v>2847.5909350870802</c:v>
                </c:pt>
                <c:pt idx="94">
                  <c:v>2832.1745747595996</c:v>
                </c:pt>
                <c:pt idx="95">
                  <c:v>2843.1766066883397</c:v>
                </c:pt>
                <c:pt idx="96">
                  <c:v>2836.4008208505502</c:v>
                </c:pt>
                <c:pt idx="97">
                  <c:v>2888.0832712250599</c:v>
                </c:pt>
                <c:pt idx="98">
                  <c:v>2874.11955109059</c:v>
                </c:pt>
                <c:pt idx="99">
                  <c:v>2936.2138980365603</c:v>
                </c:pt>
                <c:pt idx="100">
                  <c:v>2931.2286316414102</c:v>
                </c:pt>
                <c:pt idx="101">
                  <c:v>2926.0122698875998</c:v>
                </c:pt>
                <c:pt idx="102">
                  <c:v>2906.98480294305</c:v>
                </c:pt>
                <c:pt idx="103">
                  <c:v>2882.60687635158</c:v>
                </c:pt>
                <c:pt idx="104">
                  <c:v>2866.99665030497</c:v>
                </c:pt>
                <c:pt idx="105">
                  <c:v>2880.1248910169897</c:v>
                </c:pt>
                <c:pt idx="106">
                  <c:v>2843.6708062475</c:v>
                </c:pt>
                <c:pt idx="107">
                  <c:v>2816.5718076426497</c:v>
                </c:pt>
                <c:pt idx="108">
                  <c:v>2794.1190893784801</c:v>
                </c:pt>
                <c:pt idx="109">
                  <c:v>2851.0192799310998</c:v>
                </c:pt>
                <c:pt idx="110">
                  <c:v>2894.5733720047701</c:v>
                </c:pt>
                <c:pt idx="111">
                  <c:v>2842.17257077771</c:v>
                </c:pt>
                <c:pt idx="112">
                  <c:v>2909.6288181021896</c:v>
                </c:pt>
                <c:pt idx="113">
                  <c:v>2874.5143598642803</c:v>
                </c:pt>
                <c:pt idx="114">
                  <c:v>2882.3967904688898</c:v>
                </c:pt>
                <c:pt idx="115">
                  <c:v>2756.6930817656398</c:v>
                </c:pt>
                <c:pt idx="116">
                  <c:v>2756.7430424255099</c:v>
                </c:pt>
                <c:pt idx="117">
                  <c:v>2730.0685933962</c:v>
                </c:pt>
                <c:pt idx="118">
                  <c:v>2709.21131832643</c:v>
                </c:pt>
                <c:pt idx="119">
                  <c:v>2776.7307484992498</c:v>
                </c:pt>
                <c:pt idx="120">
                  <c:v>2769.32919190345</c:v>
                </c:pt>
                <c:pt idx="121">
                  <c:v>2825.38461026393</c:v>
                </c:pt>
                <c:pt idx="122">
                  <c:v>2775.4002002605698</c:v>
                </c:pt>
                <c:pt idx="123">
                  <c:v>2767.4059686147102</c:v>
                </c:pt>
                <c:pt idx="124">
                  <c:v>2791.1603776288403</c:v>
                </c:pt>
                <c:pt idx="125">
                  <c:v>2778.8508317839201</c:v>
                </c:pt>
                <c:pt idx="126">
                  <c:v>2786.5130525309501</c:v>
                </c:pt>
                <c:pt idx="127">
                  <c:v>2786.7187069789202</c:v>
                </c:pt>
                <c:pt idx="128">
                  <c:v>2785.2993127717</c:v>
                </c:pt>
                <c:pt idx="129">
                  <c:v>2736.6057613275202</c:v>
                </c:pt>
                <c:pt idx="130">
                  <c:v>2730.2841489990196</c:v>
                </c:pt>
                <c:pt idx="131">
                  <c:v>2718.4953711708099</c:v>
                </c:pt>
                <c:pt idx="132">
                  <c:v>2708.8482263628603</c:v>
                </c:pt>
                <c:pt idx="133">
                  <c:v>2733.05608127286</c:v>
                </c:pt>
                <c:pt idx="134">
                  <c:v>2737.93392881412</c:v>
                </c:pt>
                <c:pt idx="135">
                  <c:v>2742.19359813459</c:v>
                </c:pt>
                <c:pt idx="136">
                  <c:v>2781.3413378994696</c:v>
                </c:pt>
                <c:pt idx="137">
                  <c:v>2782.7653641718198</c:v>
                </c:pt>
                <c:pt idx="138">
                  <c:v>2783.6225976362803</c:v>
                </c:pt>
                <c:pt idx="139">
                  <c:v>2799.23399510541</c:v>
                </c:pt>
                <c:pt idx="140">
                  <c:v>2779.4723245663199</c:v>
                </c:pt>
                <c:pt idx="141">
                  <c:v>2803.7869342477898</c:v>
                </c:pt>
                <c:pt idx="142">
                  <c:v>2804.4238672474503</c:v>
                </c:pt>
                <c:pt idx="143">
                  <c:v>2790.3428486368402</c:v>
                </c:pt>
                <c:pt idx="144">
                  <c:v>2760.4433274685002</c:v>
                </c:pt>
                <c:pt idx="145">
                  <c:v>2735.9633854201898</c:v>
                </c:pt>
                <c:pt idx="146">
                  <c:v>2729.5198804353499</c:v>
                </c:pt>
                <c:pt idx="147">
                  <c:v>2743.266736687</c:v>
                </c:pt>
                <c:pt idx="148">
                  <c:v>2745.7009017271998</c:v>
                </c:pt>
                <c:pt idx="149">
                  <c:v>2745.4885978156203</c:v>
                </c:pt>
                <c:pt idx="150">
                  <c:v>2722.1903288766803</c:v>
                </c:pt>
                <c:pt idx="151">
                  <c:v>2761.1176150341598</c:v>
                </c:pt>
                <c:pt idx="152">
                  <c:v>2766.4098939404298</c:v>
                </c:pt>
                <c:pt idx="153">
                  <c:v>2771.8954566061998</c:v>
                </c:pt>
                <c:pt idx="154">
                  <c:v>2772.6168114115999</c:v>
                </c:pt>
                <c:pt idx="155">
                  <c:v>2695.7334481631196</c:v>
                </c:pt>
                <c:pt idx="156">
                  <c:v>2701.8796703011199</c:v>
                </c:pt>
                <c:pt idx="157">
                  <c:v>2689.3630162694499</c:v>
                </c:pt>
                <c:pt idx="158">
                  <c:v>2703.3824425665698</c:v>
                </c:pt>
                <c:pt idx="159">
                  <c:v>2621.2120021256601</c:v>
                </c:pt>
                <c:pt idx="160">
                  <c:v>2788.3039263231403</c:v>
                </c:pt>
                <c:pt idx="161">
                  <c:v>2679.6648095089499</c:v>
                </c:pt>
                <c:pt idx="162">
                  <c:v>2686.84199294672</c:v>
                </c:pt>
                <c:pt idx="163">
                  <c:v>2774.9674649007297</c:v>
                </c:pt>
                <c:pt idx="164">
                  <c:v>2740.6405512572101</c:v>
                </c:pt>
                <c:pt idx="165">
                  <c:v>2739.8338432893097</c:v>
                </c:pt>
                <c:pt idx="166">
                  <c:v>2766.7403439539698</c:v>
                </c:pt>
                <c:pt idx="167">
                  <c:v>2716.1952274422297</c:v>
                </c:pt>
                <c:pt idx="168">
                  <c:v>2727.6585666578399</c:v>
                </c:pt>
                <c:pt idx="169">
                  <c:v>2764.3182134404301</c:v>
                </c:pt>
                <c:pt idx="170">
                  <c:v>2827.9997359900599</c:v>
                </c:pt>
                <c:pt idx="171">
                  <c:v>2800.3113751210399</c:v>
                </c:pt>
                <c:pt idx="172">
                  <c:v>2929.8894521100101</c:v>
                </c:pt>
                <c:pt idx="173">
                  <c:v>2961.9749329554102</c:v>
                </c:pt>
                <c:pt idx="174">
                  <c:v>2948.1677778240696</c:v>
                </c:pt>
                <c:pt idx="175">
                  <c:v>2978.5969847291399</c:v>
                </c:pt>
                <c:pt idx="176">
                  <c:v>2973.17213815592</c:v>
                </c:pt>
                <c:pt idx="177">
                  <c:v>2960.3377223820603</c:v>
                </c:pt>
                <c:pt idx="178">
                  <c:v>2988.8297386301601</c:v>
                </c:pt>
                <c:pt idx="179">
                  <c:v>3000.7114297756498</c:v>
                </c:pt>
                <c:pt idx="180">
                  <c:v>3068.0569585134199</c:v>
                </c:pt>
                <c:pt idx="181">
                  <c:v>3008.5932895170099</c:v>
                </c:pt>
                <c:pt idx="182">
                  <c:v>3042.4188308530597</c:v>
                </c:pt>
                <c:pt idx="183">
                  <c:v>3047.3564920958802</c:v>
                </c:pt>
                <c:pt idx="184">
                  <c:v>3036.6238442619797</c:v>
                </c:pt>
                <c:pt idx="185">
                  <c:v>3051.8054413829</c:v>
                </c:pt>
                <c:pt idx="186">
                  <c:v>3056.0601951820499</c:v>
                </c:pt>
                <c:pt idx="187">
                  <c:v>3085.8609603475602</c:v>
                </c:pt>
                <c:pt idx="188">
                  <c:v>3079.0637783058396</c:v>
                </c:pt>
                <c:pt idx="189">
                  <c:v>3094.2812233384498</c:v>
                </c:pt>
                <c:pt idx="190">
                  <c:v>3077.3370683785897</c:v>
                </c:pt>
                <c:pt idx="191">
                  <c:v>3067.0178211309899</c:v>
                </c:pt>
                <c:pt idx="192">
                  <c:v>3055.52281369703</c:v>
                </c:pt>
                <c:pt idx="193">
                  <c:v>3087.57816574444</c:v>
                </c:pt>
                <c:pt idx="194">
                  <c:v>3097.9980346078401</c:v>
                </c:pt>
                <c:pt idx="195">
                  <c:v>3097.1550709142498</c:v>
                </c:pt>
                <c:pt idx="196">
                  <c:v>2966.3779027719502</c:v>
                </c:pt>
                <c:pt idx="197">
                  <c:v>2989.4286846042601</c:v>
                </c:pt>
                <c:pt idx="198">
                  <c:v>2893.9215260128899</c:v>
                </c:pt>
                <c:pt idx="199">
                  <c:v>2910.1938294415004</c:v>
                </c:pt>
                <c:pt idx="200">
                  <c:v>2927.3035886809198</c:v>
                </c:pt>
                <c:pt idx="201">
                  <c:v>2854.87377047975</c:v>
                </c:pt>
                <c:pt idx="202">
                  <c:v>2819.6545924479897</c:v>
                </c:pt>
                <c:pt idx="203">
                  <c:v>2824.4324847305302</c:v>
                </c:pt>
                <c:pt idx="204">
                  <c:v>2803.6471430964202</c:v>
                </c:pt>
                <c:pt idx="205">
                  <c:v>2869.20743076504</c:v>
                </c:pt>
                <c:pt idx="206">
                  <c:v>2848.1943612751402</c:v>
                </c:pt>
                <c:pt idx="207">
                  <c:v>2788.7214535068401</c:v>
                </c:pt>
                <c:pt idx="208">
                  <c:v>2814.4052627608298</c:v>
                </c:pt>
                <c:pt idx="209">
                  <c:v>2792.1252725877298</c:v>
                </c:pt>
                <c:pt idx="210">
                  <c:v>2614.6788994539602</c:v>
                </c:pt>
                <c:pt idx="211">
                  <c:v>2629.9526677254598</c:v>
                </c:pt>
                <c:pt idx="212">
                  <c:v>2671.4104614807102</c:v>
                </c:pt>
                <c:pt idx="213">
                  <c:v>2545.8600955460702</c:v>
                </c:pt>
                <c:pt idx="214">
                  <c:v>2611.1139117744601</c:v>
                </c:pt>
                <c:pt idx="215">
                  <c:v>2656.3076154619698</c:v>
                </c:pt>
                <c:pt idx="216">
                  <c:v>2672.41774711781</c:v>
                </c:pt>
                <c:pt idx="217">
                  <c:v>2662.2162345953598</c:v>
                </c:pt>
                <c:pt idx="218">
                  <c:v>2677.0781675747903</c:v>
                </c:pt>
                <c:pt idx="219">
                  <c:v>2727.3804060532098</c:v>
                </c:pt>
                <c:pt idx="220">
                  <c:v>2718.4000025912901</c:v>
                </c:pt>
                <c:pt idx="221">
                  <c:v>2726.1470614910204</c:v>
                </c:pt>
                <c:pt idx="222">
                  <c:v>2710.0187932419499</c:v>
                </c:pt>
                <c:pt idx="223">
                  <c:v>2728.3789678940702</c:v>
                </c:pt>
                <c:pt idx="224">
                  <c:v>2695.2585490572201</c:v>
                </c:pt>
                <c:pt idx="225">
                  <c:v>2643.5989264354403</c:v>
                </c:pt>
                <c:pt idx="226">
                  <c:v>2568.5821511729996</c:v>
                </c:pt>
                <c:pt idx="227">
                  <c:v>2579.9321157137401</c:v>
                </c:pt>
                <c:pt idx="228">
                  <c:v>2647.5711485014799</c:v>
                </c:pt>
                <c:pt idx="229">
                  <c:v>2599.7629917445302</c:v>
                </c:pt>
                <c:pt idx="230">
                  <c:v>2654.5720475849298</c:v>
                </c:pt>
                <c:pt idx="231">
                  <c:v>2676.9898230458898</c:v>
                </c:pt>
                <c:pt idx="232">
                  <c:v>2645.9103984957601</c:v>
                </c:pt>
                <c:pt idx="233">
                  <c:v>2702.96896706913</c:v>
                </c:pt>
                <c:pt idx="234">
                  <c:v>2663.1316323269502</c:v>
                </c:pt>
                <c:pt idx="235">
                  <c:v>2698.0943184560901</c:v>
                </c:pt>
                <c:pt idx="236">
                  <c:v>2675.6209390755298</c:v>
                </c:pt>
                <c:pt idx="237">
                  <c:v>2658.5501855584198</c:v>
                </c:pt>
                <c:pt idx="238">
                  <c:v>2723.5352560967003</c:v>
                </c:pt>
                <c:pt idx="239">
                  <c:v>2681.15198831212</c:v>
                </c:pt>
                <c:pt idx="240">
                  <c:v>2659.7500929422899</c:v>
                </c:pt>
                <c:pt idx="241">
                  <c:v>2660.2480025566897</c:v>
                </c:pt>
                <c:pt idx="242">
                  <c:v>2697.7818955003099</c:v>
                </c:pt>
                <c:pt idx="243">
                  <c:v>2647.1853953469904</c:v>
                </c:pt>
                <c:pt idx="244">
                  <c:v>2700.3130556153201</c:v>
                </c:pt>
                <c:pt idx="245">
                  <c:v>2686.8175657607499</c:v>
                </c:pt>
                <c:pt idx="246">
                  <c:v>2691.0220256847297</c:v>
                </c:pt>
                <c:pt idx="247">
                  <c:v>2695.9250004891501</c:v>
                </c:pt>
                <c:pt idx="248">
                  <c:v>2687.6557092635303</c:v>
                </c:pt>
                <c:pt idx="249">
                  <c:v>2664.5607320588801</c:v>
                </c:pt>
                <c:pt idx="250">
                  <c:v>2626.6367164315197</c:v>
                </c:pt>
                <c:pt idx="251">
                  <c:v>2567.7047632092699</c:v>
                </c:pt>
                <c:pt idx="252">
                  <c:v>2568.7555781660799</c:v>
                </c:pt>
                <c:pt idx="253">
                  <c:v>2580.3763215736999</c:v>
                </c:pt>
                <c:pt idx="254">
                  <c:v>2578.3601007037901</c:v>
                </c:pt>
                <c:pt idx="255">
                  <c:v>2602.2003639423201</c:v>
                </c:pt>
                <c:pt idx="256">
                  <c:v>2617.03280698662</c:v>
                </c:pt>
                <c:pt idx="257">
                  <c:v>2623.8034841932799</c:v>
                </c:pt>
                <c:pt idx="258">
                  <c:v>2548.19639188375</c:v>
                </c:pt>
                <c:pt idx="259">
                  <c:v>2549.6533351596104</c:v>
                </c:pt>
                <c:pt idx="260">
                  <c:v>2612.88745181681</c:v>
                </c:pt>
                <c:pt idx="261">
                  <c:v>2582.4443879181499</c:v>
                </c:pt>
                <c:pt idx="262">
                  <c:v>2617.8160721622899</c:v>
                </c:pt>
                <c:pt idx="263">
                  <c:v>2647.24508710485</c:v>
                </c:pt>
                <c:pt idx="264">
                  <c:v>2638.98458789081</c:v>
                </c:pt>
                <c:pt idx="265">
                  <c:v>2575.4178488270099</c:v>
                </c:pt>
                <c:pt idx="266">
                  <c:v>2586.1653524304802</c:v>
                </c:pt>
                <c:pt idx="267">
                  <c:v>2508.6396905838201</c:v>
                </c:pt>
                <c:pt idx="268">
                  <c:v>2584.1412370507001</c:v>
                </c:pt>
                <c:pt idx="269">
                  <c:v>2584.0379533708697</c:v>
                </c:pt>
                <c:pt idx="270">
                  <c:v>2561.1250826127502</c:v>
                </c:pt>
                <c:pt idx="271">
                  <c:v>2582.63356657862</c:v>
                </c:pt>
                <c:pt idx="272">
                  <c:v>2472.5802758515201</c:v>
                </c:pt>
                <c:pt idx="273">
                  <c:v>2593.8115091752597</c:v>
                </c:pt>
                <c:pt idx="274">
                  <c:v>2535.2856325298799</c:v>
                </c:pt>
                <c:pt idx="275">
                  <c:v>2501.9732138212198</c:v>
                </c:pt>
                <c:pt idx="276">
                  <c:v>2444.3815116650298</c:v>
                </c:pt>
                <c:pt idx="277">
                  <c:v>2566.6749862899101</c:v>
                </c:pt>
                <c:pt idx="278">
                  <c:v>2554.8139244024101</c:v>
                </c:pt>
                <c:pt idx="279">
                  <c:v>2478.2873846767698</c:v>
                </c:pt>
                <c:pt idx="280">
                  <c:v>2511.9901275345396</c:v>
                </c:pt>
                <c:pt idx="281">
                  <c:v>2517.7960820081898</c:v>
                </c:pt>
                <c:pt idx="282">
                  <c:v>2598.4805328249604</c:v>
                </c:pt>
                <c:pt idx="283">
                  <c:v>2481.6862862047901</c:v>
                </c:pt>
                <c:pt idx="284">
                  <c:v>2629.15025258894</c:v>
                </c:pt>
                <c:pt idx="285">
                  <c:v>2646.1325246374504</c:v>
                </c:pt>
                <c:pt idx="286">
                  <c:v>2361.9870390851402</c:v>
                </c:pt>
                <c:pt idx="287">
                  <c:v>2382.3093867973998</c:v>
                </c:pt>
                <c:pt idx="288">
                  <c:v>2405.40718911044</c:v>
                </c:pt>
                <c:pt idx="289">
                  <c:v>2478.951265487</c:v>
                </c:pt>
                <c:pt idx="290">
                  <c:v>2485.2854005901099</c:v>
                </c:pt>
                <c:pt idx="291">
                  <c:v>2613.1171668310999</c:v>
                </c:pt>
                <c:pt idx="292">
                  <c:v>2474.8654119262401</c:v>
                </c:pt>
                <c:pt idx="293">
                  <c:v>2444.6136127278301</c:v>
                </c:pt>
                <c:pt idx="294">
                  <c:v>2241.1640691829602</c:v>
                </c:pt>
                <c:pt idx="295">
                  <c:v>2342.8838837312901</c:v>
                </c:pt>
                <c:pt idx="296">
                  <c:v>2426.4372427907902</c:v>
                </c:pt>
                <c:pt idx="297">
                  <c:v>2466.6424566487203</c:v>
                </c:pt>
                <c:pt idx="298">
                  <c:v>2390.3977709693499</c:v>
                </c:pt>
                <c:pt idx="299">
                  <c:v>2313.70376708514</c:v>
                </c:pt>
                <c:pt idx="300">
                  <c:v>2356.5621632217299</c:v>
                </c:pt>
                <c:pt idx="301">
                  <c:v>2454.0556207823902</c:v>
                </c:pt>
                <c:pt idx="302">
                  <c:v>2511.8363025057201</c:v>
                </c:pt>
                <c:pt idx="303">
                  <c:v>2542.3176535776502</c:v>
                </c:pt>
                <c:pt idx="304">
                  <c:v>2363.463612001</c:v>
                </c:pt>
                <c:pt idx="305">
                  <c:v>2421.8600191754599</c:v>
                </c:pt>
                <c:pt idx="306">
                  <c:v>2352.0129886923501</c:v>
                </c:pt>
                <c:pt idx="307">
                  <c:v>2312.9307679234498</c:v>
                </c:pt>
                <c:pt idx="308">
                  <c:v>2341.1627438266601</c:v>
                </c:pt>
                <c:pt idx="309">
                  <c:v>2334.1180962357103</c:v>
                </c:pt>
                <c:pt idx="310">
                  <c:v>2396.7017911870498</c:v>
                </c:pt>
                <c:pt idx="311">
                  <c:v>2526.24032154623</c:v>
                </c:pt>
                <c:pt idx="312">
                  <c:v>2360.0712257719701</c:v>
                </c:pt>
                <c:pt idx="313">
                  <c:v>2606.0321657591303</c:v>
                </c:pt>
                <c:pt idx="314">
                  <c:v>2693.484318155</c:v>
                </c:pt>
                <c:pt idx="315">
                  <c:v>2497.45395263921</c:v>
                </c:pt>
                <c:pt idx="316">
                  <c:v>2426.4182859893299</c:v>
                </c:pt>
                <c:pt idx="317">
                  <c:v>2371.3135465674</c:v>
                </c:pt>
                <c:pt idx="318">
                  <c:v>2260.6481713503599</c:v>
                </c:pt>
                <c:pt idx="319">
                  <c:v>2200.75846931467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5B-9E49-A7B4-E93F33294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95-9A47-9D03-E5E53B586296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'240828E021'!$A$2:$A$321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'240828E021'!$P$2:$P$321</c:f>
              <c:numCache>
                <c:formatCode>General</c:formatCode>
                <c:ptCount val="320"/>
                <c:pt idx="0">
                  <c:v>1.9003577371239107</c:v>
                </c:pt>
                <c:pt idx="1">
                  <c:v>5.8258936571987361</c:v>
                </c:pt>
                <c:pt idx="2">
                  <c:v>5.1605877203789836</c:v>
                </c:pt>
                <c:pt idx="3">
                  <c:v>3.4315576550631293</c:v>
                </c:pt>
                <c:pt idx="4">
                  <c:v>4.7936750142359061</c:v>
                </c:pt>
                <c:pt idx="5">
                  <c:v>0.33294293852371409</c:v>
                </c:pt>
                <c:pt idx="6">
                  <c:v>3.872268560235117</c:v>
                </c:pt>
                <c:pt idx="7">
                  <c:v>1.9998460265452753</c:v>
                </c:pt>
                <c:pt idx="8">
                  <c:v>1.8671764946265643</c:v>
                </c:pt>
                <c:pt idx="9">
                  <c:v>2.4904629100965474</c:v>
                </c:pt>
                <c:pt idx="10">
                  <c:v>2.0492981604048284</c:v>
                </c:pt>
                <c:pt idx="11">
                  <c:v>2.7131941798592965</c:v>
                </c:pt>
                <c:pt idx="12">
                  <c:v>4.6802176942516489</c:v>
                </c:pt>
                <c:pt idx="13">
                  <c:v>4.5522678041554823</c:v>
                </c:pt>
                <c:pt idx="14">
                  <c:v>6.2229500556870549</c:v>
                </c:pt>
                <c:pt idx="15">
                  <c:v>3.738941874468539</c:v>
                </c:pt>
                <c:pt idx="16">
                  <c:v>3.1489333261178287</c:v>
                </c:pt>
                <c:pt idx="17">
                  <c:v>4.2093968818937064</c:v>
                </c:pt>
                <c:pt idx="18">
                  <c:v>4.0022884547427644</c:v>
                </c:pt>
                <c:pt idx="19">
                  <c:v>3.4300032681000987</c:v>
                </c:pt>
                <c:pt idx="20">
                  <c:v>3.865672849568897</c:v>
                </c:pt>
                <c:pt idx="21">
                  <c:v>3.587233385869089</c:v>
                </c:pt>
                <c:pt idx="22">
                  <c:v>3.7113971818864715</c:v>
                </c:pt>
                <c:pt idx="23">
                  <c:v>3.8026362277385775</c:v>
                </c:pt>
                <c:pt idx="24">
                  <c:v>3.4460640064540962</c:v>
                </c:pt>
                <c:pt idx="25">
                  <c:v>2.9621020873342556</c:v>
                </c:pt>
                <c:pt idx="26">
                  <c:v>3.2849130718567481</c:v>
                </c:pt>
                <c:pt idx="27">
                  <c:v>3.0527291734329776</c:v>
                </c:pt>
                <c:pt idx="28">
                  <c:v>2.5041154024401062</c:v>
                </c:pt>
                <c:pt idx="29">
                  <c:v>2.7650293979282545</c:v>
                </c:pt>
                <c:pt idx="30">
                  <c:v>2.4938883660796045</c:v>
                </c:pt>
                <c:pt idx="31">
                  <c:v>2.5323731654582087</c:v>
                </c:pt>
                <c:pt idx="32">
                  <c:v>2.6872032016358038</c:v>
                </c:pt>
                <c:pt idx="33">
                  <c:v>1.881220870550657</c:v>
                </c:pt>
                <c:pt idx="34">
                  <c:v>2.2255515343768737</c:v>
                </c:pt>
                <c:pt idx="35">
                  <c:v>2.1816618390260749</c:v>
                </c:pt>
                <c:pt idx="36">
                  <c:v>1.6646116336743553</c:v>
                </c:pt>
                <c:pt idx="37">
                  <c:v>2.1975285371171451</c:v>
                </c:pt>
                <c:pt idx="38">
                  <c:v>1.5605077224779857</c:v>
                </c:pt>
                <c:pt idx="39">
                  <c:v>1.8162587731778121</c:v>
                </c:pt>
                <c:pt idx="40">
                  <c:v>1.6744160659090617</c:v>
                </c:pt>
                <c:pt idx="41">
                  <c:v>1.0402996319273838</c:v>
                </c:pt>
                <c:pt idx="42">
                  <c:v>1.5188978762173095</c:v>
                </c:pt>
                <c:pt idx="43">
                  <c:v>1.1356846350867358</c:v>
                </c:pt>
                <c:pt idx="44">
                  <c:v>0.93977945567875143</c:v>
                </c:pt>
                <c:pt idx="45">
                  <c:v>0.80017037124199342</c:v>
                </c:pt>
                <c:pt idx="46">
                  <c:v>1.2844341007547051</c:v>
                </c:pt>
                <c:pt idx="47">
                  <c:v>0.77553792372088726</c:v>
                </c:pt>
                <c:pt idx="48">
                  <c:v>0.80019503304689865</c:v>
                </c:pt>
                <c:pt idx="49">
                  <c:v>0.90015280798349906</c:v>
                </c:pt>
                <c:pt idx="50">
                  <c:v>0.44142692821628998</c:v>
                </c:pt>
                <c:pt idx="51">
                  <c:v>0.31268846503745418</c:v>
                </c:pt>
                <c:pt idx="52">
                  <c:v>0.17417372299225867</c:v>
                </c:pt>
                <c:pt idx="53">
                  <c:v>0.21244262412048442</c:v>
                </c:pt>
                <c:pt idx="54">
                  <c:v>-0.10239084912763892</c:v>
                </c:pt>
                <c:pt idx="55">
                  <c:v>-1.7470844489741164E-2</c:v>
                </c:pt>
                <c:pt idx="56">
                  <c:v>-0.11395545769270078</c:v>
                </c:pt>
                <c:pt idx="57">
                  <c:v>0.3002709089372439</c:v>
                </c:pt>
                <c:pt idx="58">
                  <c:v>-3.8144759919412234E-2</c:v>
                </c:pt>
                <c:pt idx="59">
                  <c:v>-0.29507437043540752</c:v>
                </c:pt>
                <c:pt idx="60">
                  <c:v>-0.22045476529840119</c:v>
                </c:pt>
                <c:pt idx="61">
                  <c:v>-0.39983489721237242</c:v>
                </c:pt>
                <c:pt idx="62">
                  <c:v>-6.5117072727556111E-2</c:v>
                </c:pt>
                <c:pt idx="63">
                  <c:v>-0.14204352250778621</c:v>
                </c:pt>
                <c:pt idx="64">
                  <c:v>-0.40816888183567818</c:v>
                </c:pt>
                <c:pt idx="65">
                  <c:v>4.2841835046498015E-2</c:v>
                </c:pt>
                <c:pt idx="66">
                  <c:v>-8.091675165112712E-2</c:v>
                </c:pt>
                <c:pt idx="67">
                  <c:v>0.30526870847141963</c:v>
                </c:pt>
                <c:pt idx="68">
                  <c:v>-0.26563548297539769</c:v>
                </c:pt>
                <c:pt idx="69">
                  <c:v>-0.18206192668347868</c:v>
                </c:pt>
                <c:pt idx="70">
                  <c:v>0.33423790586220137</c:v>
                </c:pt>
                <c:pt idx="71">
                  <c:v>0.40187460575175127</c:v>
                </c:pt>
                <c:pt idx="72">
                  <c:v>0.3217409765964101</c:v>
                </c:pt>
                <c:pt idx="73">
                  <c:v>0.39011032993407557</c:v>
                </c:pt>
                <c:pt idx="74">
                  <c:v>0.14256690281633944</c:v>
                </c:pt>
                <c:pt idx="75">
                  <c:v>-0.25038749901096941</c:v>
                </c:pt>
                <c:pt idx="76">
                  <c:v>0.32559433530471038</c:v>
                </c:pt>
                <c:pt idx="77">
                  <c:v>8.793156788828322E-3</c:v>
                </c:pt>
                <c:pt idx="78">
                  <c:v>7.2153785425692424E-2</c:v>
                </c:pt>
                <c:pt idx="79">
                  <c:v>-0.3305617420954437</c:v>
                </c:pt>
                <c:pt idx="80">
                  <c:v>-7.3330916796254489E-2</c:v>
                </c:pt>
                <c:pt idx="81">
                  <c:v>0.26122874192811968</c:v>
                </c:pt>
                <c:pt idx="82">
                  <c:v>-0.33085724610849659</c:v>
                </c:pt>
                <c:pt idx="83">
                  <c:v>2.1255738067962526</c:v>
                </c:pt>
                <c:pt idx="84">
                  <c:v>4.5370713933943501</c:v>
                </c:pt>
                <c:pt idx="85">
                  <c:v>9.394080406300672</c:v>
                </c:pt>
                <c:pt idx="86">
                  <c:v>12.111091565138343</c:v>
                </c:pt>
                <c:pt idx="87">
                  <c:v>13.290408055959265</c:v>
                </c:pt>
                <c:pt idx="88">
                  <c:v>12.516196117922421</c:v>
                </c:pt>
                <c:pt idx="89">
                  <c:v>10.823161404395197</c:v>
                </c:pt>
                <c:pt idx="90">
                  <c:v>9.6105408960513561</c:v>
                </c:pt>
                <c:pt idx="91">
                  <c:v>9.3539360125256898</c:v>
                </c:pt>
                <c:pt idx="92">
                  <c:v>8.6406377802431056</c:v>
                </c:pt>
                <c:pt idx="93">
                  <c:v>8.8716204872862843</c:v>
                </c:pt>
                <c:pt idx="94">
                  <c:v>9.3449536041182313</c:v>
                </c:pt>
                <c:pt idx="95">
                  <c:v>9.1876801914032722</c:v>
                </c:pt>
                <c:pt idx="96">
                  <c:v>10.073671880307961</c:v>
                </c:pt>
                <c:pt idx="97">
                  <c:v>11.266848449937612</c:v>
                </c:pt>
                <c:pt idx="98">
                  <c:v>12.346382844991567</c:v>
                </c:pt>
                <c:pt idx="99">
                  <c:v>12.99596645105265</c:v>
                </c:pt>
                <c:pt idx="100">
                  <c:v>14.133520895885759</c:v>
                </c:pt>
                <c:pt idx="101">
                  <c:v>15.9855898262735</c:v>
                </c:pt>
                <c:pt idx="102">
                  <c:v>17.052645018297721</c:v>
                </c:pt>
                <c:pt idx="103">
                  <c:v>18.069071177434736</c:v>
                </c:pt>
                <c:pt idx="104">
                  <c:v>19.654765085658514</c:v>
                </c:pt>
                <c:pt idx="105">
                  <c:v>21.087046186574266</c:v>
                </c:pt>
                <c:pt idx="106">
                  <c:v>22.184589016285098</c:v>
                </c:pt>
                <c:pt idx="107">
                  <c:v>22.614169546506407</c:v>
                </c:pt>
                <c:pt idx="108">
                  <c:v>23.364138853682856</c:v>
                </c:pt>
                <c:pt idx="109">
                  <c:v>23.772885942197213</c:v>
                </c:pt>
                <c:pt idx="110">
                  <c:v>24.465696776171395</c:v>
                </c:pt>
                <c:pt idx="111">
                  <c:v>25.571944635840126</c:v>
                </c:pt>
                <c:pt idx="112">
                  <c:v>25.387297199744019</c:v>
                </c:pt>
                <c:pt idx="113">
                  <c:v>26.41806562794174</c:v>
                </c:pt>
                <c:pt idx="114">
                  <c:v>26.52012897327678</c:v>
                </c:pt>
                <c:pt idx="115">
                  <c:v>26.377511412600025</c:v>
                </c:pt>
                <c:pt idx="116">
                  <c:v>25.880450500379805</c:v>
                </c:pt>
                <c:pt idx="117">
                  <c:v>25.744320477674687</c:v>
                </c:pt>
                <c:pt idx="118">
                  <c:v>24.844577067048437</c:v>
                </c:pt>
                <c:pt idx="119">
                  <c:v>24.973984919415738</c:v>
                </c:pt>
                <c:pt idx="120">
                  <c:v>24.312695340869883</c:v>
                </c:pt>
                <c:pt idx="121">
                  <c:v>23.808324721374106</c:v>
                </c:pt>
                <c:pt idx="122">
                  <c:v>23.701430082894579</c:v>
                </c:pt>
                <c:pt idx="123">
                  <c:v>23.481752893595779</c:v>
                </c:pt>
                <c:pt idx="124">
                  <c:v>22.536961565259336</c:v>
                </c:pt>
                <c:pt idx="125">
                  <c:v>21.875785305517681</c:v>
                </c:pt>
                <c:pt idx="126">
                  <c:v>20.813436891951497</c:v>
                </c:pt>
                <c:pt idx="127">
                  <c:v>20.479498306420144</c:v>
                </c:pt>
                <c:pt idx="128">
                  <c:v>19.484536294322094</c:v>
                </c:pt>
                <c:pt idx="129">
                  <c:v>19.606918469171955</c:v>
                </c:pt>
                <c:pt idx="130">
                  <c:v>18.565986970904088</c:v>
                </c:pt>
                <c:pt idx="131">
                  <c:v>17.929914061258376</c:v>
                </c:pt>
                <c:pt idx="132">
                  <c:v>17.302806715393874</c:v>
                </c:pt>
                <c:pt idx="133">
                  <c:v>16.470310942736074</c:v>
                </c:pt>
                <c:pt idx="134">
                  <c:v>15.512727579615602</c:v>
                </c:pt>
                <c:pt idx="135">
                  <c:v>14.621332342860056</c:v>
                </c:pt>
                <c:pt idx="136">
                  <c:v>14.338690943747059</c:v>
                </c:pt>
                <c:pt idx="137">
                  <c:v>13.373904930954945</c:v>
                </c:pt>
                <c:pt idx="138">
                  <c:v>13.019564060590341</c:v>
                </c:pt>
                <c:pt idx="139">
                  <c:v>12.159619696536982</c:v>
                </c:pt>
                <c:pt idx="140">
                  <c:v>12.092553115721621</c:v>
                </c:pt>
                <c:pt idx="141">
                  <c:v>10.653896902240838</c:v>
                </c:pt>
                <c:pt idx="142">
                  <c:v>10.349100373518924</c:v>
                </c:pt>
                <c:pt idx="143">
                  <c:v>9.7037911502095042</c:v>
                </c:pt>
                <c:pt idx="144">
                  <c:v>9.5117112306227387</c:v>
                </c:pt>
                <c:pt idx="145">
                  <c:v>8.9640288333305307</c:v>
                </c:pt>
                <c:pt idx="146">
                  <c:v>8.6609486110553995</c:v>
                </c:pt>
                <c:pt idx="147">
                  <c:v>7.6360052430373946</c:v>
                </c:pt>
                <c:pt idx="148">
                  <c:v>7.2168924157847965</c:v>
                </c:pt>
                <c:pt idx="149">
                  <c:v>7.0524962091784271</c:v>
                </c:pt>
                <c:pt idx="150">
                  <c:v>6.3367238370605969</c:v>
                </c:pt>
                <c:pt idx="151">
                  <c:v>5.4641544844722878</c:v>
                </c:pt>
                <c:pt idx="152">
                  <c:v>4.1293261056564941</c:v>
                </c:pt>
                <c:pt idx="153">
                  <c:v>3.862273383326658</c:v>
                </c:pt>
                <c:pt idx="154">
                  <c:v>3.0314550529090964</c:v>
                </c:pt>
                <c:pt idx="155">
                  <c:v>2.7520514484252705</c:v>
                </c:pt>
                <c:pt idx="156">
                  <c:v>2.0433394518590795</c:v>
                </c:pt>
                <c:pt idx="157">
                  <c:v>1.8806736578795402</c:v>
                </c:pt>
                <c:pt idx="158">
                  <c:v>0.66436200689326608</c:v>
                </c:pt>
                <c:pt idx="159">
                  <c:v>-2.2684683615422505E-2</c:v>
                </c:pt>
                <c:pt idx="160">
                  <c:v>-0.90160908946541674</c:v>
                </c:pt>
                <c:pt idx="161">
                  <c:v>-1.3470098637400836</c:v>
                </c:pt>
                <c:pt idx="162">
                  <c:v>-2.4448952092511513</c:v>
                </c:pt>
                <c:pt idx="163">
                  <c:v>-0.39352585538907964</c:v>
                </c:pt>
                <c:pt idx="164">
                  <c:v>2.2158155346526502</c:v>
                </c:pt>
                <c:pt idx="165">
                  <c:v>5.0693079930983185</c:v>
                </c:pt>
                <c:pt idx="166">
                  <c:v>7.1860729781661536</c:v>
                </c:pt>
                <c:pt idx="167">
                  <c:v>9.1440988028256669</c:v>
                </c:pt>
                <c:pt idx="168">
                  <c:v>10.350668205253886</c:v>
                </c:pt>
                <c:pt idx="169">
                  <c:v>11.081432634755901</c:v>
                </c:pt>
                <c:pt idx="170">
                  <c:v>12.008373219367998</c:v>
                </c:pt>
                <c:pt idx="171">
                  <c:v>12.528374821552092</c:v>
                </c:pt>
                <c:pt idx="172">
                  <c:v>12.842343620913466</c:v>
                </c:pt>
                <c:pt idx="173">
                  <c:v>12.572852576632453</c:v>
                </c:pt>
                <c:pt idx="174">
                  <c:v>13.099228522801571</c:v>
                </c:pt>
                <c:pt idx="175">
                  <c:v>12.960581457567471</c:v>
                </c:pt>
                <c:pt idx="176">
                  <c:v>13.115651142106573</c:v>
                </c:pt>
                <c:pt idx="177">
                  <c:v>13.259955770445012</c:v>
                </c:pt>
                <c:pt idx="178">
                  <c:v>12.958786797663619</c:v>
                </c:pt>
                <c:pt idx="179">
                  <c:v>13.208093025607853</c:v>
                </c:pt>
                <c:pt idx="180">
                  <c:v>12.81009359746843</c:v>
                </c:pt>
                <c:pt idx="181">
                  <c:v>13.24634092511848</c:v>
                </c:pt>
                <c:pt idx="182">
                  <c:v>12.65896710982676</c:v>
                </c:pt>
                <c:pt idx="183">
                  <c:v>12.291514541390717</c:v>
                </c:pt>
                <c:pt idx="184">
                  <c:v>11.845951546873209</c:v>
                </c:pt>
                <c:pt idx="185">
                  <c:v>11.710721002418214</c:v>
                </c:pt>
                <c:pt idx="186">
                  <c:v>11.266290089938796</c:v>
                </c:pt>
                <c:pt idx="187">
                  <c:v>10.084284836116591</c:v>
                </c:pt>
                <c:pt idx="188">
                  <c:v>9.685268269462874</c:v>
                </c:pt>
                <c:pt idx="189">
                  <c:v>9.626211666681634</c:v>
                </c:pt>
                <c:pt idx="190">
                  <c:v>8.7238354814801902</c:v>
                </c:pt>
                <c:pt idx="191">
                  <c:v>8.6557160844783816</c:v>
                </c:pt>
                <c:pt idx="192">
                  <c:v>8.5765798861214524</c:v>
                </c:pt>
                <c:pt idx="193">
                  <c:v>7.945120933678516</c:v>
                </c:pt>
                <c:pt idx="194">
                  <c:v>7.3513656452266343</c:v>
                </c:pt>
                <c:pt idx="195">
                  <c:v>7.2017152947467498</c:v>
                </c:pt>
                <c:pt idx="196">
                  <c:v>6.4113759591923181</c:v>
                </c:pt>
                <c:pt idx="197">
                  <c:v>6.2094801531213371</c:v>
                </c:pt>
                <c:pt idx="198">
                  <c:v>5.6681028605697614</c:v>
                </c:pt>
                <c:pt idx="199">
                  <c:v>5.3276390355505381</c:v>
                </c:pt>
                <c:pt idx="200">
                  <c:v>4.4506192205332145</c:v>
                </c:pt>
                <c:pt idx="201">
                  <c:v>4.3504832964650175</c:v>
                </c:pt>
                <c:pt idx="202">
                  <c:v>4.1066109311651759</c:v>
                </c:pt>
                <c:pt idx="203">
                  <c:v>3.2006746548299505</c:v>
                </c:pt>
                <c:pt idx="204">
                  <c:v>2.7064232998502038</c:v>
                </c:pt>
                <c:pt idx="205">
                  <c:v>2.0494988471771061</c:v>
                </c:pt>
                <c:pt idx="206">
                  <c:v>1.7019925720514302</c:v>
                </c:pt>
                <c:pt idx="207">
                  <c:v>1.6419053117026812</c:v>
                </c:pt>
                <c:pt idx="208">
                  <c:v>0.90984442251115705</c:v>
                </c:pt>
                <c:pt idx="209">
                  <c:v>0.73933231521423171</c:v>
                </c:pt>
                <c:pt idx="210">
                  <c:v>-0.75510432702207997</c:v>
                </c:pt>
                <c:pt idx="211">
                  <c:v>-0.50827808978534683</c:v>
                </c:pt>
                <c:pt idx="212">
                  <c:v>-1.050189986724372</c:v>
                </c:pt>
                <c:pt idx="213">
                  <c:v>-1.8788114556262048</c:v>
                </c:pt>
                <c:pt idx="214">
                  <c:v>-2.1185781114638997</c:v>
                </c:pt>
                <c:pt idx="215">
                  <c:v>-1.8559861333246268</c:v>
                </c:pt>
                <c:pt idx="216">
                  <c:v>-1.9705264448900295</c:v>
                </c:pt>
                <c:pt idx="217">
                  <c:v>-2.4318715431236972</c:v>
                </c:pt>
                <c:pt idx="218">
                  <c:v>-2.6277292183636001</c:v>
                </c:pt>
                <c:pt idx="219">
                  <c:v>-2.6306135833605033</c:v>
                </c:pt>
                <c:pt idx="220">
                  <c:v>-2.934551973422391</c:v>
                </c:pt>
                <c:pt idx="221">
                  <c:v>-2.8489093481824277</c:v>
                </c:pt>
                <c:pt idx="222">
                  <c:v>-2.8817541167372696</c:v>
                </c:pt>
                <c:pt idx="223">
                  <c:v>-3.3165682367151805</c:v>
                </c:pt>
                <c:pt idx="224">
                  <c:v>-3.0445650033808116</c:v>
                </c:pt>
                <c:pt idx="225">
                  <c:v>-3.1345183005264121</c:v>
                </c:pt>
                <c:pt idx="226">
                  <c:v>-3.385172861184961</c:v>
                </c:pt>
                <c:pt idx="227">
                  <c:v>-3.2925756992236654</c:v>
                </c:pt>
                <c:pt idx="228">
                  <c:v>-3.0606901738509342</c:v>
                </c:pt>
                <c:pt idx="229">
                  <c:v>-3.1614179932853483</c:v>
                </c:pt>
                <c:pt idx="230">
                  <c:v>-2.9661000248204621</c:v>
                </c:pt>
                <c:pt idx="231">
                  <c:v>-2.8611248949575501</c:v>
                </c:pt>
                <c:pt idx="232">
                  <c:v>-2.7602924651974394</c:v>
                </c:pt>
                <c:pt idx="233">
                  <c:v>-3.1665469726178479</c:v>
                </c:pt>
                <c:pt idx="234">
                  <c:v>-3.1700692721159198</c:v>
                </c:pt>
                <c:pt idx="235">
                  <c:v>-3.6226300169718408</c:v>
                </c:pt>
                <c:pt idx="236">
                  <c:v>-3.6846865038834018</c:v>
                </c:pt>
                <c:pt idx="237">
                  <c:v>-3.3169375937079359</c:v>
                </c:pt>
                <c:pt idx="238">
                  <c:v>-4.1121790457540035</c:v>
                </c:pt>
                <c:pt idx="239">
                  <c:v>-3.2669498492469908</c:v>
                </c:pt>
                <c:pt idx="240">
                  <c:v>-3.0390707574641387</c:v>
                </c:pt>
                <c:pt idx="241">
                  <c:v>-3.3460400951557938</c:v>
                </c:pt>
                <c:pt idx="242">
                  <c:v>-2.611013714539614</c:v>
                </c:pt>
                <c:pt idx="243">
                  <c:v>-2.0052782487035339</c:v>
                </c:pt>
                <c:pt idx="244">
                  <c:v>-1.7611665525506299</c:v>
                </c:pt>
                <c:pt idx="245">
                  <c:v>-1.7697613008365987</c:v>
                </c:pt>
                <c:pt idx="246">
                  <c:v>-1.6045505523157477</c:v>
                </c:pt>
                <c:pt idx="247">
                  <c:v>-1.8646004995103018</c:v>
                </c:pt>
                <c:pt idx="248">
                  <c:v>-1.8284746963109195</c:v>
                </c:pt>
                <c:pt idx="249">
                  <c:v>-2.0060811547754405</c:v>
                </c:pt>
                <c:pt idx="250">
                  <c:v>-1.478364808627711</c:v>
                </c:pt>
                <c:pt idx="251">
                  <c:v>-1.7417771497261956</c:v>
                </c:pt>
                <c:pt idx="252">
                  <c:v>-1.6040395389685231</c:v>
                </c:pt>
                <c:pt idx="253">
                  <c:v>-2.0221226268997494</c:v>
                </c:pt>
                <c:pt idx="254">
                  <c:v>-2.2765670762180763</c:v>
                </c:pt>
                <c:pt idx="255">
                  <c:v>-3.028364267251213</c:v>
                </c:pt>
                <c:pt idx="256">
                  <c:v>-2.3232353464162752</c:v>
                </c:pt>
                <c:pt idx="257">
                  <c:v>-2.19469977530684</c:v>
                </c:pt>
                <c:pt idx="258">
                  <c:v>-1.7185660731518619</c:v>
                </c:pt>
                <c:pt idx="259">
                  <c:v>-1.4630460195873725</c:v>
                </c:pt>
                <c:pt idx="260">
                  <c:v>-1.8042727622334915</c:v>
                </c:pt>
                <c:pt idx="261">
                  <c:v>-1.7625652804225806</c:v>
                </c:pt>
                <c:pt idx="262">
                  <c:v>-2.1305545936997508</c:v>
                </c:pt>
                <c:pt idx="263">
                  <c:v>-1.5983040820069465</c:v>
                </c:pt>
                <c:pt idx="264">
                  <c:v>-1.6104596195769465</c:v>
                </c:pt>
                <c:pt idx="265">
                  <c:v>-1.8304551831038198</c:v>
                </c:pt>
                <c:pt idx="266">
                  <c:v>-1.7588184505211009</c:v>
                </c:pt>
                <c:pt idx="267">
                  <c:v>-2.0889736535843402</c:v>
                </c:pt>
                <c:pt idx="268">
                  <c:v>-2.3077126452019883</c:v>
                </c:pt>
                <c:pt idx="269">
                  <c:v>-2.4876567761364514</c:v>
                </c:pt>
                <c:pt idx="270">
                  <c:v>-3.0416435917642506</c:v>
                </c:pt>
                <c:pt idx="271">
                  <c:v>-4.1638508278701654</c:v>
                </c:pt>
                <c:pt idx="272">
                  <c:v>-2.2104486912256327</c:v>
                </c:pt>
                <c:pt idx="273">
                  <c:v>-2.0965962789971613</c:v>
                </c:pt>
                <c:pt idx="274">
                  <c:v>-2.0727612323229612</c:v>
                </c:pt>
                <c:pt idx="275">
                  <c:v>-1.6424549199414811</c:v>
                </c:pt>
                <c:pt idx="276">
                  <c:v>-1.4372906667396386</c:v>
                </c:pt>
                <c:pt idx="277">
                  <c:v>-1.7419746721943086</c:v>
                </c:pt>
                <c:pt idx="278">
                  <c:v>-1.2781994224851922</c:v>
                </c:pt>
                <c:pt idx="279">
                  <c:v>-1.0540369991156424</c:v>
                </c:pt>
                <c:pt idx="280">
                  <c:v>-1.745630478867638</c:v>
                </c:pt>
                <c:pt idx="281">
                  <c:v>-1.503198685281578</c:v>
                </c:pt>
                <c:pt idx="282">
                  <c:v>-2.3232066981824779</c:v>
                </c:pt>
                <c:pt idx="283">
                  <c:v>-1.7541669096687251</c:v>
                </c:pt>
                <c:pt idx="284">
                  <c:v>-2.2004452491101647</c:v>
                </c:pt>
                <c:pt idx="285">
                  <c:v>-2.6171952355034613</c:v>
                </c:pt>
                <c:pt idx="286">
                  <c:v>-0.87415965547412133</c:v>
                </c:pt>
                <c:pt idx="287">
                  <c:v>-1.0729382304691164</c:v>
                </c:pt>
                <c:pt idx="288">
                  <c:v>-1.5289575722620736</c:v>
                </c:pt>
                <c:pt idx="289">
                  <c:v>-1.4369463668452809</c:v>
                </c:pt>
                <c:pt idx="290">
                  <c:v>-0.90181514308296307</c:v>
                </c:pt>
                <c:pt idx="291">
                  <c:v>-2.0796712009196652</c:v>
                </c:pt>
                <c:pt idx="292">
                  <c:v>-1.6734299716625518</c:v>
                </c:pt>
                <c:pt idx="293">
                  <c:v>-0.81143445578300932</c:v>
                </c:pt>
                <c:pt idx="294">
                  <c:v>0.63549126413631196</c:v>
                </c:pt>
                <c:pt idx="295">
                  <c:v>-4.1877981668251602E-2</c:v>
                </c:pt>
                <c:pt idx="296">
                  <c:v>-1.779899587442876</c:v>
                </c:pt>
                <c:pt idx="297">
                  <c:v>-1.0966522975332309</c:v>
                </c:pt>
                <c:pt idx="298">
                  <c:v>-0.62159576284976403</c:v>
                </c:pt>
                <c:pt idx="299">
                  <c:v>6.5593657151392065E-2</c:v>
                </c:pt>
                <c:pt idx="300">
                  <c:v>-0.24465496551733484</c:v>
                </c:pt>
                <c:pt idx="301">
                  <c:v>-1.1016695154373257</c:v>
                </c:pt>
                <c:pt idx="302">
                  <c:v>-1.1587662348341057</c:v>
                </c:pt>
                <c:pt idx="303">
                  <c:v>-1.8381428744677075</c:v>
                </c:pt>
                <c:pt idx="304">
                  <c:v>1.3093139035792191E-4</c:v>
                </c:pt>
                <c:pt idx="305">
                  <c:v>-1.0938106276786987</c:v>
                </c:pt>
                <c:pt idx="306">
                  <c:v>-0.19998032563196866</c:v>
                </c:pt>
                <c:pt idx="307">
                  <c:v>0.5905049983823244</c:v>
                </c:pt>
                <c:pt idx="308">
                  <c:v>7.1432009201577051E-2</c:v>
                </c:pt>
                <c:pt idx="309">
                  <c:v>1.103325278298277</c:v>
                </c:pt>
                <c:pt idx="310">
                  <c:v>0.71744709878910207</c:v>
                </c:pt>
                <c:pt idx="311">
                  <c:v>-0.35506741417218135</c:v>
                </c:pt>
                <c:pt idx="312">
                  <c:v>0.57586427137887353</c:v>
                </c:pt>
                <c:pt idx="313">
                  <c:v>-0.61675517098643529</c:v>
                </c:pt>
                <c:pt idx="314">
                  <c:v>5.7107324114732551E-2</c:v>
                </c:pt>
                <c:pt idx="315">
                  <c:v>0.72404197667481685</c:v>
                </c:pt>
                <c:pt idx="316">
                  <c:v>0.26457142148288537</c:v>
                </c:pt>
                <c:pt idx="317">
                  <c:v>0.64773528220566146</c:v>
                </c:pt>
                <c:pt idx="318">
                  <c:v>0.63165831734191591</c:v>
                </c:pt>
                <c:pt idx="319">
                  <c:v>0.65692063719283933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95-9A47-9D03-E5E53B586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F4B956B-C3C6-1A47-AF9D-6E1C79BDF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AD7886-E346-D848-9466-D313DCFC3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3D091F5-477C-D045-B9B7-6E5E2755E5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261281-9B70-0D4D-A377-B3F420F49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E757681-EAF2-41C2-BBE0-91F376B16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40A90A-8F50-41E9-8976-09F3B9053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7A53D35D-54A2-CC4D-BBBB-F780BB3DB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1299C6-BC70-2243-A681-EFCC2AA2B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93ADE16B-D790-7042-BE9B-9864D3634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BB1A7C-645F-B64A-8B62-1045DB5D1B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eannawalsh/Documents/UCLA%20::%202019-2027/Hallem%20Lab/Data/Calcium%20Imaging%20Data/Analysis%20Worksheets/2024-0705_Walsh_CI_Data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. A Template"/>
      <sheetName val="Cond. B Template"/>
    </sheetNames>
    <sheetDataSet>
      <sheetData sheetId="0"/>
      <sheetData sheetId="1">
        <row r="64">
          <cell r="X64">
            <v>-13</v>
          </cell>
        </row>
        <row r="65">
          <cell r="X65">
            <v>-13</v>
          </cell>
        </row>
        <row r="66">
          <cell r="X66">
            <v>-13</v>
          </cell>
        </row>
        <row r="67">
          <cell r="X67">
            <v>-13</v>
          </cell>
        </row>
        <row r="68">
          <cell r="X68">
            <v>-13</v>
          </cell>
        </row>
        <row r="69">
          <cell r="X69">
            <v>-13</v>
          </cell>
        </row>
        <row r="70">
          <cell r="X70">
            <v>-13</v>
          </cell>
        </row>
        <row r="71">
          <cell r="X71">
            <v>-13</v>
          </cell>
        </row>
        <row r="72">
          <cell r="X72">
            <v>-13</v>
          </cell>
        </row>
        <row r="73">
          <cell r="X73">
            <v>-13</v>
          </cell>
        </row>
        <row r="74">
          <cell r="X74">
            <v>-13</v>
          </cell>
        </row>
        <row r="75">
          <cell r="X75">
            <v>-13</v>
          </cell>
        </row>
        <row r="76">
          <cell r="X76">
            <v>-13</v>
          </cell>
        </row>
        <row r="77">
          <cell r="X77">
            <v>-13</v>
          </cell>
        </row>
        <row r="78">
          <cell r="X78">
            <v>-13</v>
          </cell>
        </row>
        <row r="79">
          <cell r="X79">
            <v>-13</v>
          </cell>
        </row>
        <row r="80">
          <cell r="X80">
            <v>-13</v>
          </cell>
        </row>
        <row r="81">
          <cell r="X81">
            <v>-13</v>
          </cell>
        </row>
        <row r="82">
          <cell r="A82">
            <v>40.5</v>
          </cell>
          <cell r="X82">
            <v>-13</v>
          </cell>
        </row>
        <row r="83">
          <cell r="A83">
            <v>41</v>
          </cell>
          <cell r="X83">
            <v>-13</v>
          </cell>
        </row>
        <row r="84">
          <cell r="A84">
            <v>41.5</v>
          </cell>
          <cell r="X84">
            <v>-13</v>
          </cell>
        </row>
        <row r="85">
          <cell r="A85">
            <v>42</v>
          </cell>
          <cell r="X85">
            <v>-13</v>
          </cell>
        </row>
        <row r="86">
          <cell r="A86">
            <v>42.5</v>
          </cell>
          <cell r="X86">
            <v>-13</v>
          </cell>
        </row>
        <row r="87">
          <cell r="A87">
            <v>43</v>
          </cell>
          <cell r="X87">
            <v>-13</v>
          </cell>
        </row>
        <row r="88">
          <cell r="A88">
            <v>43.5</v>
          </cell>
          <cell r="X88">
            <v>-13</v>
          </cell>
        </row>
        <row r="89">
          <cell r="A89">
            <v>44</v>
          </cell>
          <cell r="X89">
            <v>-13</v>
          </cell>
        </row>
        <row r="90">
          <cell r="A90">
            <v>44.5</v>
          </cell>
          <cell r="X90">
            <v>-13</v>
          </cell>
        </row>
        <row r="91">
          <cell r="A91">
            <v>45</v>
          </cell>
          <cell r="X91">
            <v>-13</v>
          </cell>
        </row>
        <row r="92">
          <cell r="A92">
            <v>45.5</v>
          </cell>
          <cell r="X92">
            <v>-13</v>
          </cell>
        </row>
        <row r="93">
          <cell r="A93">
            <v>46</v>
          </cell>
          <cell r="X93">
            <v>-13</v>
          </cell>
        </row>
        <row r="94">
          <cell r="A94">
            <v>46.5</v>
          </cell>
          <cell r="X94">
            <v>-13</v>
          </cell>
        </row>
        <row r="95">
          <cell r="A95">
            <v>47</v>
          </cell>
          <cell r="X95">
            <v>-13</v>
          </cell>
        </row>
        <row r="96">
          <cell r="A96">
            <v>47.5</v>
          </cell>
          <cell r="X96">
            <v>-13</v>
          </cell>
        </row>
        <row r="97">
          <cell r="A97">
            <v>48</v>
          </cell>
          <cell r="X97">
            <v>-13</v>
          </cell>
        </row>
        <row r="98">
          <cell r="A98">
            <v>48.5</v>
          </cell>
          <cell r="X98">
            <v>-13</v>
          </cell>
        </row>
        <row r="99">
          <cell r="A99">
            <v>49</v>
          </cell>
          <cell r="X99">
            <v>-13</v>
          </cell>
        </row>
        <row r="100">
          <cell r="A100">
            <v>49.5</v>
          </cell>
          <cell r="X100">
            <v>-13</v>
          </cell>
        </row>
        <row r="101">
          <cell r="A101">
            <v>50</v>
          </cell>
          <cell r="X101">
            <v>-13</v>
          </cell>
        </row>
        <row r="102">
          <cell r="A102">
            <v>50.5</v>
          </cell>
          <cell r="X102">
            <v>-13</v>
          </cell>
        </row>
        <row r="103">
          <cell r="A103">
            <v>51</v>
          </cell>
          <cell r="X103">
            <v>-13</v>
          </cell>
        </row>
        <row r="104">
          <cell r="A104">
            <v>51.5</v>
          </cell>
          <cell r="X104">
            <v>-13</v>
          </cell>
        </row>
        <row r="105">
          <cell r="A105">
            <v>52</v>
          </cell>
          <cell r="X105">
            <v>-13</v>
          </cell>
        </row>
        <row r="106">
          <cell r="A106">
            <v>52.5</v>
          </cell>
          <cell r="X106">
            <v>-13</v>
          </cell>
        </row>
        <row r="107">
          <cell r="A107">
            <v>53</v>
          </cell>
          <cell r="X107">
            <v>-13</v>
          </cell>
        </row>
        <row r="108">
          <cell r="A108">
            <v>53.5</v>
          </cell>
          <cell r="X108">
            <v>-13</v>
          </cell>
        </row>
        <row r="109">
          <cell r="A109">
            <v>54</v>
          </cell>
          <cell r="X109">
            <v>-13</v>
          </cell>
        </row>
        <row r="110">
          <cell r="A110">
            <v>54.5</v>
          </cell>
          <cell r="X110">
            <v>-13</v>
          </cell>
        </row>
        <row r="111">
          <cell r="A111">
            <v>55</v>
          </cell>
          <cell r="X111">
            <v>-13</v>
          </cell>
        </row>
        <row r="112">
          <cell r="A112">
            <v>55.5</v>
          </cell>
          <cell r="X112">
            <v>-13</v>
          </cell>
        </row>
        <row r="113">
          <cell r="A113">
            <v>56</v>
          </cell>
          <cell r="X113">
            <v>-13</v>
          </cell>
        </row>
        <row r="114">
          <cell r="A114">
            <v>56.5</v>
          </cell>
          <cell r="X114">
            <v>-13</v>
          </cell>
        </row>
        <row r="115">
          <cell r="A115">
            <v>57</v>
          </cell>
          <cell r="X115">
            <v>-13</v>
          </cell>
        </row>
        <row r="116">
          <cell r="A116">
            <v>57.5</v>
          </cell>
          <cell r="X116">
            <v>-13</v>
          </cell>
        </row>
        <row r="117">
          <cell r="A117">
            <v>58</v>
          </cell>
          <cell r="X117">
            <v>-13</v>
          </cell>
        </row>
        <row r="118">
          <cell r="A118">
            <v>58.5</v>
          </cell>
          <cell r="X118">
            <v>-13</v>
          </cell>
        </row>
        <row r="119">
          <cell r="A119">
            <v>59</v>
          </cell>
          <cell r="X119">
            <v>-13</v>
          </cell>
        </row>
        <row r="120">
          <cell r="A120">
            <v>59.5</v>
          </cell>
          <cell r="X120">
            <v>-13</v>
          </cell>
        </row>
        <row r="121">
          <cell r="A121">
            <v>60</v>
          </cell>
          <cell r="X121">
            <v>-13</v>
          </cell>
        </row>
        <row r="122">
          <cell r="A122">
            <v>60.5</v>
          </cell>
          <cell r="X122">
            <v>-13</v>
          </cell>
        </row>
        <row r="123">
          <cell r="A123">
            <v>61</v>
          </cell>
          <cell r="X123">
            <v>-13</v>
          </cell>
        </row>
        <row r="124">
          <cell r="A124">
            <v>61.5</v>
          </cell>
          <cell r="X124">
            <v>-13</v>
          </cell>
        </row>
        <row r="125">
          <cell r="A125">
            <v>62</v>
          </cell>
          <cell r="X125">
            <v>-13</v>
          </cell>
        </row>
        <row r="126">
          <cell r="A126">
            <v>62.5</v>
          </cell>
          <cell r="X126">
            <v>-13</v>
          </cell>
        </row>
        <row r="127">
          <cell r="A127">
            <v>63</v>
          </cell>
          <cell r="X127">
            <v>-13</v>
          </cell>
        </row>
        <row r="128">
          <cell r="A128">
            <v>63.5</v>
          </cell>
          <cell r="X128">
            <v>-13</v>
          </cell>
        </row>
        <row r="129">
          <cell r="A129">
            <v>64</v>
          </cell>
          <cell r="X129">
            <v>-13</v>
          </cell>
        </row>
        <row r="130">
          <cell r="A130">
            <v>64.5</v>
          </cell>
          <cell r="X130">
            <v>-13</v>
          </cell>
        </row>
        <row r="131">
          <cell r="A131">
            <v>65</v>
          </cell>
          <cell r="X131">
            <v>-13</v>
          </cell>
        </row>
        <row r="132">
          <cell r="A132">
            <v>65.5</v>
          </cell>
          <cell r="X132">
            <v>-13</v>
          </cell>
        </row>
        <row r="133">
          <cell r="A133">
            <v>66</v>
          </cell>
          <cell r="X133">
            <v>-13</v>
          </cell>
        </row>
        <row r="134">
          <cell r="A134">
            <v>66.5</v>
          </cell>
          <cell r="X134">
            <v>-13</v>
          </cell>
        </row>
        <row r="135">
          <cell r="A135">
            <v>67</v>
          </cell>
          <cell r="X135">
            <v>-13</v>
          </cell>
        </row>
        <row r="136">
          <cell r="A136">
            <v>67.5</v>
          </cell>
          <cell r="X136">
            <v>-13</v>
          </cell>
        </row>
        <row r="137">
          <cell r="A137">
            <v>68</v>
          </cell>
          <cell r="X137">
            <v>-13</v>
          </cell>
        </row>
        <row r="138">
          <cell r="A138">
            <v>68.5</v>
          </cell>
          <cell r="X138">
            <v>-13</v>
          </cell>
        </row>
        <row r="139">
          <cell r="A139">
            <v>69</v>
          </cell>
          <cell r="X139">
            <v>-13</v>
          </cell>
        </row>
        <row r="140">
          <cell r="A140">
            <v>69.5</v>
          </cell>
          <cell r="X140">
            <v>-13</v>
          </cell>
        </row>
        <row r="141">
          <cell r="A141">
            <v>70</v>
          </cell>
          <cell r="X141">
            <v>-13</v>
          </cell>
        </row>
        <row r="142">
          <cell r="A142">
            <v>70.5</v>
          </cell>
          <cell r="X142">
            <v>-13</v>
          </cell>
        </row>
        <row r="143">
          <cell r="A143">
            <v>71</v>
          </cell>
          <cell r="X143">
            <v>-13</v>
          </cell>
        </row>
        <row r="144">
          <cell r="A144">
            <v>71.5</v>
          </cell>
        </row>
        <row r="145">
          <cell r="A145">
            <v>72</v>
          </cell>
        </row>
        <row r="146">
          <cell r="A146">
            <v>72.5</v>
          </cell>
        </row>
        <row r="147">
          <cell r="A147">
            <v>73</v>
          </cell>
        </row>
        <row r="148">
          <cell r="A148">
            <v>73.5</v>
          </cell>
        </row>
        <row r="149">
          <cell r="A149">
            <v>74</v>
          </cell>
        </row>
        <row r="150">
          <cell r="A150">
            <v>74.5</v>
          </cell>
        </row>
        <row r="151">
          <cell r="A151">
            <v>75</v>
          </cell>
        </row>
        <row r="152">
          <cell r="A152">
            <v>75.5</v>
          </cell>
        </row>
        <row r="153">
          <cell r="A153">
            <v>76</v>
          </cell>
        </row>
        <row r="154">
          <cell r="A154">
            <v>76.5</v>
          </cell>
        </row>
        <row r="155">
          <cell r="A155">
            <v>77</v>
          </cell>
        </row>
        <row r="156">
          <cell r="A156">
            <v>77.5</v>
          </cell>
        </row>
        <row r="157">
          <cell r="A157">
            <v>78</v>
          </cell>
        </row>
        <row r="158">
          <cell r="A158">
            <v>78.5</v>
          </cell>
        </row>
        <row r="159">
          <cell r="A159">
            <v>79</v>
          </cell>
        </row>
        <row r="160">
          <cell r="A160">
            <v>79.5</v>
          </cell>
        </row>
        <row r="161">
          <cell r="A161">
            <v>80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149B-C215-C44D-BFE1-5A04C3A2EEC8}">
  <dimension ref="A1:Y798"/>
  <sheetViews>
    <sheetView zoomScale="44" zoomScaleNormal="70" workbookViewId="0">
      <selection activeCell="F2" sqref="F2:G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434.88946459413</v>
      </c>
      <c r="E2">
        <v>237.64248704663001</v>
      </c>
      <c r="F2">
        <v>133.17199654277999</v>
      </c>
      <c r="G2">
        <v>115.62921348315</v>
      </c>
      <c r="H2" s="4"/>
      <c r="I2" s="5">
        <f>E2-G2</f>
        <v>122.01327356348001</v>
      </c>
      <c r="J2" s="5">
        <f>D2-F2</f>
        <v>301.71746805135001</v>
      </c>
      <c r="K2" s="9">
        <f>I2*1</f>
        <v>122.01327356348001</v>
      </c>
      <c r="L2" s="6">
        <f t="shared" ref="L2:L65" si="0">K2/J2</f>
        <v>0.40439578905227419</v>
      </c>
      <c r="M2" s="6">
        <f>L2+ABS($N$2)*A2</f>
        <v>0.40439578905227419</v>
      </c>
      <c r="N2" s="4">
        <f>LINEST(V64:V103,U64:U103)</f>
        <v>-2.3260215285304548E-5</v>
      </c>
      <c r="O2" s="7">
        <f>AVERAGE(M62:M81)</f>
        <v>0.32403668807822766</v>
      </c>
      <c r="P2" s="4">
        <f>(M2-$O$2)/$O$2*100</f>
        <v>24.799383505193259</v>
      </c>
    </row>
    <row r="3" spans="1:16" x14ac:dyDescent="0.2">
      <c r="A3" s="8">
        <v>0.5</v>
      </c>
      <c r="B3" s="8">
        <v>1</v>
      </c>
      <c r="D3">
        <v>438.52158894645999</v>
      </c>
      <c r="E3">
        <v>255.27720207254001</v>
      </c>
      <c r="F3">
        <v>132.27225583404999</v>
      </c>
      <c r="G3">
        <v>115.64649956785</v>
      </c>
      <c r="I3" s="9">
        <f t="shared" ref="I3:I66" si="1">E3-G3</f>
        <v>139.63070250469002</v>
      </c>
      <c r="J3" s="9">
        <f t="shared" ref="J3:J66" si="2">D3-F3</f>
        <v>306.24933311241</v>
      </c>
      <c r="K3" s="9">
        <f t="shared" ref="K3:K66" si="3">I3*1</f>
        <v>139.63070250469002</v>
      </c>
      <c r="L3" s="10">
        <f t="shared" si="0"/>
        <v>0.45593798061737506</v>
      </c>
      <c r="M3" s="10">
        <f t="shared" ref="M3:M66" si="4">L3+ABS($N$2)*A3</f>
        <v>0.45594961072501772</v>
      </c>
      <c r="P3" s="8">
        <f t="shared" ref="P3:P66" si="5">(M3-$O$2)/$O$2*100</f>
        <v>40.709255309677822</v>
      </c>
    </row>
    <row r="4" spans="1:16" ht="16" x14ac:dyDescent="0.2">
      <c r="A4" s="8">
        <v>1</v>
      </c>
      <c r="B4" s="8">
        <v>2</v>
      </c>
      <c r="D4">
        <v>438.46027633851998</v>
      </c>
      <c r="E4">
        <v>269.63730569948001</v>
      </c>
      <c r="F4">
        <v>133.04494382023</v>
      </c>
      <c r="G4">
        <v>115.98530682800001</v>
      </c>
      <c r="I4" s="9">
        <f t="shared" si="1"/>
        <v>153.65199887148</v>
      </c>
      <c r="J4" s="9">
        <f t="shared" si="2"/>
        <v>305.41533251828997</v>
      </c>
      <c r="K4" s="9">
        <f t="shared" si="3"/>
        <v>153.65199887148</v>
      </c>
      <c r="L4" s="10">
        <f t="shared" si="0"/>
        <v>0.50309196203264772</v>
      </c>
      <c r="M4" s="10">
        <f t="shared" si="4"/>
        <v>0.50311522224793304</v>
      </c>
      <c r="N4" s="1" t="s">
        <v>7</v>
      </c>
      <c r="P4" s="8">
        <f t="shared" si="5"/>
        <v>55.264894611709195</v>
      </c>
    </row>
    <row r="5" spans="1:16" x14ac:dyDescent="0.2">
      <c r="A5" s="8">
        <v>1.5</v>
      </c>
      <c r="B5" s="8">
        <v>3</v>
      </c>
      <c r="D5">
        <v>441.68221070812001</v>
      </c>
      <c r="E5">
        <v>270.55094991364001</v>
      </c>
      <c r="F5">
        <v>133.12791702678999</v>
      </c>
      <c r="G5">
        <v>116.10458081245</v>
      </c>
      <c r="I5" s="9">
        <f t="shared" si="1"/>
        <v>154.44636910119002</v>
      </c>
      <c r="J5" s="9">
        <f t="shared" si="2"/>
        <v>308.55429368133002</v>
      </c>
      <c r="K5" s="9">
        <f t="shared" si="3"/>
        <v>154.44636910119002</v>
      </c>
      <c r="L5" s="10">
        <f t="shared" si="0"/>
        <v>0.50054843592842613</v>
      </c>
      <c r="M5" s="10">
        <f t="shared" si="4"/>
        <v>0.50058332625135404</v>
      </c>
      <c r="N5" s="8">
        <f>RSQ(V64:V83,U64:U83)</f>
        <v>0.25922678018782586</v>
      </c>
      <c r="P5" s="8">
        <f t="shared" si="5"/>
        <v>54.483533707302058</v>
      </c>
    </row>
    <row r="6" spans="1:16" x14ac:dyDescent="0.2">
      <c r="A6" s="8">
        <v>2</v>
      </c>
      <c r="B6" s="8">
        <v>4</v>
      </c>
      <c r="D6">
        <v>432.43264248704997</v>
      </c>
      <c r="E6">
        <v>257.64853195164</v>
      </c>
      <c r="F6">
        <v>132.38720829732</v>
      </c>
      <c r="G6">
        <v>116.0319792567</v>
      </c>
      <c r="I6" s="9">
        <f t="shared" si="1"/>
        <v>141.61655269494</v>
      </c>
      <c r="J6" s="9">
        <f t="shared" si="2"/>
        <v>300.04543418972997</v>
      </c>
      <c r="K6" s="9">
        <f t="shared" si="3"/>
        <v>141.61655269494</v>
      </c>
      <c r="L6" s="10">
        <f t="shared" si="0"/>
        <v>0.47198369499397397</v>
      </c>
      <c r="M6" s="10">
        <f t="shared" si="4"/>
        <v>0.4720302154245446</v>
      </c>
      <c r="P6" s="8">
        <f t="shared" si="5"/>
        <v>45.671842970629584</v>
      </c>
    </row>
    <row r="7" spans="1:16" x14ac:dyDescent="0.2">
      <c r="A7" s="8">
        <v>2.5</v>
      </c>
      <c r="B7" s="8">
        <v>5</v>
      </c>
      <c r="D7">
        <v>411.37392055267998</v>
      </c>
      <c r="E7">
        <v>244.23143350605</v>
      </c>
      <c r="F7">
        <v>132.54451166811</v>
      </c>
      <c r="G7">
        <v>115.58686257562999</v>
      </c>
      <c r="I7" s="9">
        <f t="shared" si="1"/>
        <v>128.64457093042</v>
      </c>
      <c r="J7" s="9">
        <f t="shared" si="2"/>
        <v>278.82940888456994</v>
      </c>
      <c r="K7" s="9">
        <f t="shared" si="3"/>
        <v>128.64457093042</v>
      </c>
      <c r="L7" s="10">
        <f t="shared" si="0"/>
        <v>0.46137375338222086</v>
      </c>
      <c r="M7" s="10">
        <f t="shared" si="4"/>
        <v>0.46143190392043415</v>
      </c>
      <c r="P7" s="8">
        <f t="shared" si="5"/>
        <v>42.401129531677313</v>
      </c>
    </row>
    <row r="8" spans="1:16" x14ac:dyDescent="0.2">
      <c r="A8" s="8">
        <v>3</v>
      </c>
      <c r="B8" s="8">
        <v>6</v>
      </c>
      <c r="D8">
        <v>433.64248704662998</v>
      </c>
      <c r="E8">
        <v>246.77374784111001</v>
      </c>
      <c r="F8">
        <v>132.04062229905</v>
      </c>
      <c r="G8">
        <v>115.67415730337</v>
      </c>
      <c r="I8" s="9">
        <f t="shared" si="1"/>
        <v>131.09959053774003</v>
      </c>
      <c r="J8" s="9">
        <f t="shared" si="2"/>
        <v>301.60186474757995</v>
      </c>
      <c r="K8" s="9">
        <f t="shared" si="3"/>
        <v>131.09959053774003</v>
      </c>
      <c r="L8" s="10">
        <f t="shared" si="0"/>
        <v>0.43467765243249201</v>
      </c>
      <c r="M8" s="10">
        <f t="shared" si="4"/>
        <v>0.4347474330783479</v>
      </c>
      <c r="P8" s="8">
        <f t="shared" si="5"/>
        <v>34.166114231297442</v>
      </c>
    </row>
    <row r="9" spans="1:16" x14ac:dyDescent="0.2">
      <c r="A9" s="8">
        <v>3.5</v>
      </c>
      <c r="B9" s="8">
        <v>7</v>
      </c>
      <c r="D9">
        <v>466.79895561358001</v>
      </c>
      <c r="E9">
        <v>251.89469103568001</v>
      </c>
      <c r="F9">
        <v>132.59291270527001</v>
      </c>
      <c r="G9">
        <v>115.98357821953</v>
      </c>
      <c r="I9" s="9">
        <f t="shared" si="1"/>
        <v>135.91111281615002</v>
      </c>
      <c r="J9" s="9">
        <f t="shared" si="2"/>
        <v>334.20604290831</v>
      </c>
      <c r="K9" s="9">
        <f t="shared" si="3"/>
        <v>135.91111281615002</v>
      </c>
      <c r="L9" s="10">
        <f t="shared" si="0"/>
        <v>0.40666862763291645</v>
      </c>
      <c r="M9" s="10">
        <f t="shared" si="4"/>
        <v>0.40675003838641499</v>
      </c>
      <c r="P9" s="8">
        <f t="shared" si="5"/>
        <v>25.525921400671457</v>
      </c>
    </row>
    <row r="10" spans="1:16" x14ac:dyDescent="0.2">
      <c r="A10" s="8">
        <v>4</v>
      </c>
      <c r="B10" s="8">
        <v>8</v>
      </c>
      <c r="D10">
        <v>430.10617928634002</v>
      </c>
      <c r="E10">
        <v>239.37684943428999</v>
      </c>
      <c r="F10">
        <v>132.74762316335</v>
      </c>
      <c r="G10">
        <v>115.60674157303001</v>
      </c>
      <c r="I10" s="9">
        <f t="shared" si="1"/>
        <v>123.77010786125999</v>
      </c>
      <c r="J10" s="9">
        <f t="shared" si="2"/>
        <v>297.35855612299002</v>
      </c>
      <c r="K10" s="9">
        <f t="shared" si="3"/>
        <v>123.77010786125999</v>
      </c>
      <c r="L10" s="10">
        <f t="shared" si="0"/>
        <v>0.41623186995186923</v>
      </c>
      <c r="M10" s="10">
        <f t="shared" si="4"/>
        <v>0.41632491081301043</v>
      </c>
      <c r="P10" s="8">
        <f t="shared" si="5"/>
        <v>28.480794345269604</v>
      </c>
    </row>
    <row r="11" spans="1:16" x14ac:dyDescent="0.2">
      <c r="A11" s="8">
        <v>4.5</v>
      </c>
      <c r="B11" s="8">
        <v>9</v>
      </c>
      <c r="D11">
        <v>485.96605744124997</v>
      </c>
      <c r="E11">
        <v>251.67449956484</v>
      </c>
      <c r="F11">
        <v>132.43906655142999</v>
      </c>
      <c r="G11">
        <v>115.61711322386</v>
      </c>
      <c r="I11" s="9">
        <f t="shared" si="1"/>
        <v>136.05738634098</v>
      </c>
      <c r="J11" s="9">
        <f t="shared" si="2"/>
        <v>353.52699088982001</v>
      </c>
      <c r="K11" s="9">
        <f t="shared" si="3"/>
        <v>136.05738634098</v>
      </c>
      <c r="L11" s="10">
        <f t="shared" si="0"/>
        <v>0.38485713919190845</v>
      </c>
      <c r="M11" s="10">
        <f t="shared" si="4"/>
        <v>0.38496181016069231</v>
      </c>
      <c r="P11" s="8">
        <f t="shared" si="5"/>
        <v>18.80192099351304</v>
      </c>
    </row>
    <row r="12" spans="1:16" x14ac:dyDescent="0.2">
      <c r="A12" s="8">
        <v>5</v>
      </c>
      <c r="B12" s="8">
        <v>10</v>
      </c>
      <c r="D12">
        <v>406.53959965186999</v>
      </c>
      <c r="E12">
        <v>223.77632724108</v>
      </c>
      <c r="F12">
        <v>132.37165082108999</v>
      </c>
      <c r="G12">
        <v>115.66464995679</v>
      </c>
      <c r="I12" s="9">
        <f t="shared" si="1"/>
        <v>108.11167728429</v>
      </c>
      <c r="J12" s="9">
        <f t="shared" si="2"/>
        <v>274.16794883078001</v>
      </c>
      <c r="K12" s="9">
        <f t="shared" si="3"/>
        <v>108.11167728429</v>
      </c>
      <c r="L12" s="10">
        <f t="shared" si="0"/>
        <v>0.39432646210231492</v>
      </c>
      <c r="M12" s="10">
        <f t="shared" si="4"/>
        <v>0.39444276317874144</v>
      </c>
      <c r="P12" s="8">
        <f t="shared" si="5"/>
        <v>21.727809748356833</v>
      </c>
    </row>
    <row r="13" spans="1:16" x14ac:dyDescent="0.2">
      <c r="A13" s="8">
        <v>5.5</v>
      </c>
      <c r="B13" s="8">
        <v>11</v>
      </c>
      <c r="D13">
        <v>509.98265394623002</v>
      </c>
      <c r="E13">
        <v>249.06331309627001</v>
      </c>
      <c r="F13">
        <v>133.07692307692</v>
      </c>
      <c r="G13">
        <v>115.44943820224999</v>
      </c>
      <c r="I13" s="9">
        <f t="shared" si="1"/>
        <v>133.61387489402</v>
      </c>
      <c r="J13" s="9">
        <f t="shared" si="2"/>
        <v>376.90573086930999</v>
      </c>
      <c r="K13" s="9">
        <f t="shared" si="3"/>
        <v>133.61387489402</v>
      </c>
      <c r="L13" s="10">
        <f t="shared" si="0"/>
        <v>0.35450210477258537</v>
      </c>
      <c r="M13" s="10">
        <f t="shared" si="4"/>
        <v>0.35463003595665454</v>
      </c>
      <c r="P13" s="8">
        <f t="shared" si="5"/>
        <v>9.4413222341789762</v>
      </c>
    </row>
    <row r="14" spans="1:16" x14ac:dyDescent="0.2">
      <c r="A14" s="8">
        <v>6</v>
      </c>
      <c r="B14" s="8">
        <v>12</v>
      </c>
      <c r="D14">
        <v>506.37640936687001</v>
      </c>
      <c r="E14">
        <v>243.41283607979</v>
      </c>
      <c r="F14">
        <v>132.98962834918001</v>
      </c>
      <c r="G14">
        <v>115.83318928263</v>
      </c>
      <c r="I14" s="9">
        <f t="shared" si="1"/>
        <v>127.57964679716</v>
      </c>
      <c r="J14" s="9">
        <f t="shared" si="2"/>
        <v>373.38678101769</v>
      </c>
      <c r="K14" s="9">
        <f t="shared" si="3"/>
        <v>127.57964679716</v>
      </c>
      <c r="L14" s="10">
        <f t="shared" si="0"/>
        <v>0.3416822803673803</v>
      </c>
      <c r="M14" s="10">
        <f t="shared" si="4"/>
        <v>0.34182184165909213</v>
      </c>
      <c r="P14" s="8">
        <f t="shared" si="5"/>
        <v>5.4886234291380127</v>
      </c>
    </row>
    <row r="15" spans="1:16" x14ac:dyDescent="0.2">
      <c r="A15" s="8">
        <v>6.5</v>
      </c>
      <c r="B15" s="8">
        <v>13</v>
      </c>
      <c r="D15">
        <v>522.12662619254002</v>
      </c>
      <c r="E15">
        <v>242.99826539462001</v>
      </c>
      <c r="F15">
        <v>132.80034572169001</v>
      </c>
      <c r="G15">
        <v>115.86257562662</v>
      </c>
      <c r="I15" s="9">
        <f t="shared" si="1"/>
        <v>127.13568976800001</v>
      </c>
      <c r="J15" s="9">
        <f t="shared" si="2"/>
        <v>389.32628047085001</v>
      </c>
      <c r="K15" s="9">
        <f t="shared" si="3"/>
        <v>127.13568976800001</v>
      </c>
      <c r="L15" s="10">
        <f t="shared" si="0"/>
        <v>0.32655306396024047</v>
      </c>
      <c r="M15" s="10">
        <f t="shared" si="4"/>
        <v>0.32670425535959496</v>
      </c>
      <c r="P15" s="8">
        <f t="shared" si="5"/>
        <v>0.82323001669592011</v>
      </c>
    </row>
    <row r="16" spans="1:16" x14ac:dyDescent="0.2">
      <c r="A16" s="8">
        <v>7</v>
      </c>
      <c r="B16" s="8">
        <v>14</v>
      </c>
      <c r="D16">
        <v>522.44232437121002</v>
      </c>
      <c r="E16">
        <v>238.18560277537</v>
      </c>
      <c r="F16">
        <v>132.0985306828</v>
      </c>
      <c r="G16">
        <v>116.11235955056</v>
      </c>
      <c r="I16" s="9">
        <f t="shared" si="1"/>
        <v>122.07324322481</v>
      </c>
      <c r="J16" s="9">
        <f t="shared" si="2"/>
        <v>390.34379368841002</v>
      </c>
      <c r="K16" s="9">
        <f t="shared" si="3"/>
        <v>122.07324322481</v>
      </c>
      <c r="L16" s="10">
        <f t="shared" si="0"/>
        <v>0.3127326351760939</v>
      </c>
      <c r="M16" s="10">
        <f t="shared" si="4"/>
        <v>0.31289545668309104</v>
      </c>
      <c r="P16" s="8">
        <f t="shared" si="5"/>
        <v>-3.438262334185735</v>
      </c>
    </row>
    <row r="17" spans="1:16" x14ac:dyDescent="0.2">
      <c r="A17" s="8">
        <v>7.5</v>
      </c>
      <c r="B17" s="8">
        <v>15</v>
      </c>
      <c r="D17">
        <v>522.19391304348005</v>
      </c>
      <c r="E17">
        <v>236.73043478260999</v>
      </c>
      <c r="F17">
        <v>132.37510803802999</v>
      </c>
      <c r="G17">
        <v>115.54105445117</v>
      </c>
      <c r="I17" s="9">
        <f t="shared" si="1"/>
        <v>121.18938033143999</v>
      </c>
      <c r="J17" s="9">
        <f t="shared" si="2"/>
        <v>389.81880500545003</v>
      </c>
      <c r="K17" s="9">
        <f t="shared" si="3"/>
        <v>121.18938033143999</v>
      </c>
      <c r="L17" s="10">
        <f t="shared" si="0"/>
        <v>0.31088643948242994</v>
      </c>
      <c r="M17" s="10">
        <f t="shared" si="4"/>
        <v>0.31106089109706975</v>
      </c>
      <c r="P17" s="8">
        <f t="shared" si="5"/>
        <v>-4.0044221714873691</v>
      </c>
    </row>
    <row r="18" spans="1:16" x14ac:dyDescent="0.2">
      <c r="A18" s="8">
        <v>8</v>
      </c>
      <c r="B18" s="8">
        <v>16</v>
      </c>
      <c r="D18">
        <v>525.11217391304001</v>
      </c>
      <c r="E18">
        <v>234.86869565217</v>
      </c>
      <c r="F18">
        <v>132.45289541919001</v>
      </c>
      <c r="G18">
        <v>115.77009507347</v>
      </c>
      <c r="I18" s="9">
        <f t="shared" si="1"/>
        <v>119.0986005787</v>
      </c>
      <c r="J18" s="9">
        <f t="shared" si="2"/>
        <v>392.65927849385002</v>
      </c>
      <c r="K18" s="9">
        <f t="shared" si="3"/>
        <v>119.0986005787</v>
      </c>
      <c r="L18" s="10">
        <f t="shared" si="0"/>
        <v>0.30331283915035606</v>
      </c>
      <c r="M18" s="10">
        <f t="shared" si="4"/>
        <v>0.30349892087263852</v>
      </c>
      <c r="P18" s="8">
        <f t="shared" si="5"/>
        <v>-6.3380993452911092</v>
      </c>
    </row>
    <row r="19" spans="1:16" x14ac:dyDescent="0.2">
      <c r="A19" s="8">
        <v>8.5</v>
      </c>
      <c r="B19" s="8">
        <v>17</v>
      </c>
      <c r="D19">
        <v>516.59896729776005</v>
      </c>
      <c r="E19">
        <v>230.98881239242999</v>
      </c>
      <c r="F19">
        <v>132.13915298185</v>
      </c>
      <c r="G19">
        <v>116.02592912705001</v>
      </c>
      <c r="I19" s="9">
        <f t="shared" si="1"/>
        <v>114.96288326537999</v>
      </c>
      <c r="J19" s="9">
        <f t="shared" si="2"/>
        <v>384.45981431591008</v>
      </c>
      <c r="K19" s="9">
        <f t="shared" si="3"/>
        <v>114.96288326537999</v>
      </c>
      <c r="L19" s="10">
        <f t="shared" si="0"/>
        <v>0.29902444672908035</v>
      </c>
      <c r="M19" s="10">
        <f t="shared" si="4"/>
        <v>0.29922215855900541</v>
      </c>
      <c r="P19" s="8">
        <f t="shared" si="5"/>
        <v>-7.6579382619882921</v>
      </c>
    </row>
    <row r="20" spans="1:16" x14ac:dyDescent="0.2">
      <c r="A20" s="8">
        <v>9</v>
      </c>
      <c r="B20" s="8">
        <v>18</v>
      </c>
      <c r="D20">
        <v>519.48881239242996</v>
      </c>
      <c r="E20">
        <v>230.35456110154999</v>
      </c>
      <c r="F20">
        <v>132.34658599827</v>
      </c>
      <c r="G20">
        <v>115.70527225583</v>
      </c>
      <c r="I20" s="9">
        <f t="shared" si="1"/>
        <v>114.64928884571999</v>
      </c>
      <c r="J20" s="9">
        <f t="shared" si="2"/>
        <v>387.14222639415993</v>
      </c>
      <c r="K20" s="9">
        <f t="shared" si="3"/>
        <v>114.64928884571999</v>
      </c>
      <c r="L20" s="10">
        <f t="shared" si="0"/>
        <v>0.29614255699659192</v>
      </c>
      <c r="M20" s="10">
        <f t="shared" si="4"/>
        <v>0.29635189893415964</v>
      </c>
      <c r="P20" s="8">
        <f t="shared" si="5"/>
        <v>-8.5437205608595992</v>
      </c>
    </row>
    <row r="21" spans="1:16" x14ac:dyDescent="0.2">
      <c r="A21" s="8">
        <v>9.5</v>
      </c>
      <c r="B21" s="8">
        <v>19</v>
      </c>
      <c r="D21">
        <v>545.27681660899998</v>
      </c>
      <c r="E21">
        <v>237.84688581315001</v>
      </c>
      <c r="F21">
        <v>132.73120138288999</v>
      </c>
      <c r="G21">
        <v>115.85911840967999</v>
      </c>
      <c r="I21" s="9">
        <f t="shared" si="1"/>
        <v>121.98776740347002</v>
      </c>
      <c r="J21" s="9">
        <f t="shared" si="2"/>
        <v>412.54561522610999</v>
      </c>
      <c r="K21" s="9">
        <f t="shared" si="3"/>
        <v>121.98776740347002</v>
      </c>
      <c r="L21" s="10">
        <f t="shared" si="0"/>
        <v>0.29569522230071543</v>
      </c>
      <c r="M21" s="10">
        <f t="shared" si="4"/>
        <v>0.29591619434592581</v>
      </c>
      <c r="P21" s="8">
        <f t="shared" si="5"/>
        <v>-8.6781820599009194</v>
      </c>
    </row>
    <row r="22" spans="1:16" x14ac:dyDescent="0.2">
      <c r="A22" s="8">
        <v>10</v>
      </c>
      <c r="B22" s="8">
        <v>20</v>
      </c>
      <c r="D22">
        <v>543.04065743945</v>
      </c>
      <c r="E22">
        <v>237.61937716263</v>
      </c>
      <c r="F22">
        <v>131.93258426966</v>
      </c>
      <c r="G22">
        <v>115.43647363872</v>
      </c>
      <c r="I22" s="9">
        <f t="shared" si="1"/>
        <v>122.18290352391</v>
      </c>
      <c r="J22" s="9">
        <f t="shared" si="2"/>
        <v>411.10807316979003</v>
      </c>
      <c r="K22" s="9">
        <f t="shared" si="3"/>
        <v>122.18290352391</v>
      </c>
      <c r="L22" s="10">
        <f t="shared" si="0"/>
        <v>0.29720385343405248</v>
      </c>
      <c r="M22" s="10">
        <f t="shared" si="4"/>
        <v>0.29743645558690551</v>
      </c>
      <c r="P22" s="8">
        <f t="shared" si="5"/>
        <v>-8.2090187531173715</v>
      </c>
    </row>
    <row r="23" spans="1:16" x14ac:dyDescent="0.2">
      <c r="A23" s="8">
        <v>10.5</v>
      </c>
      <c r="B23" s="8">
        <v>21</v>
      </c>
      <c r="D23">
        <v>538.27162629758004</v>
      </c>
      <c r="E23">
        <v>234.8901384083</v>
      </c>
      <c r="F23">
        <v>132.9187554019</v>
      </c>
      <c r="G23">
        <v>115.50561797752999</v>
      </c>
      <c r="I23" s="9">
        <f t="shared" si="1"/>
        <v>119.38452043077001</v>
      </c>
      <c r="J23" s="9">
        <f t="shared" si="2"/>
        <v>405.35287089568004</v>
      </c>
      <c r="K23" s="9">
        <f t="shared" si="3"/>
        <v>119.38452043077001</v>
      </c>
      <c r="L23" s="10">
        <f t="shared" si="0"/>
        <v>0.29451998247101185</v>
      </c>
      <c r="M23" s="10">
        <f t="shared" si="4"/>
        <v>0.29476421473150755</v>
      </c>
      <c r="P23" s="8">
        <f t="shared" si="5"/>
        <v>-9.0336910676155515</v>
      </c>
    </row>
    <row r="24" spans="1:16" x14ac:dyDescent="0.2">
      <c r="A24" s="8">
        <v>11</v>
      </c>
      <c r="B24" s="8">
        <v>22</v>
      </c>
      <c r="D24">
        <v>539.3598615917</v>
      </c>
      <c r="E24">
        <v>235.07958477509001</v>
      </c>
      <c r="F24">
        <v>132.17372515125001</v>
      </c>
      <c r="G24">
        <v>115.35090751945</v>
      </c>
      <c r="I24" s="9">
        <f t="shared" si="1"/>
        <v>119.72867725564001</v>
      </c>
      <c r="J24" s="9">
        <f t="shared" si="2"/>
        <v>407.18613644045001</v>
      </c>
      <c r="K24" s="9">
        <f t="shared" si="3"/>
        <v>119.72867725564001</v>
      </c>
      <c r="L24" s="10">
        <f t="shared" si="0"/>
        <v>0.29403917899142434</v>
      </c>
      <c r="M24" s="10">
        <f t="shared" si="4"/>
        <v>0.29429504135956269</v>
      </c>
      <c r="P24" s="8">
        <f t="shared" si="5"/>
        <v>-9.178481268604024</v>
      </c>
    </row>
    <row r="25" spans="1:16" x14ac:dyDescent="0.2">
      <c r="A25" s="8">
        <v>11.5</v>
      </c>
      <c r="B25" s="8">
        <v>23</v>
      </c>
      <c r="D25">
        <v>547.83246527777999</v>
      </c>
      <c r="E25">
        <v>236.08940972222001</v>
      </c>
      <c r="F25">
        <v>132.2117545376</v>
      </c>
      <c r="G25">
        <v>115.60155574762</v>
      </c>
      <c r="I25" s="9">
        <f t="shared" si="1"/>
        <v>120.48785397460001</v>
      </c>
      <c r="J25" s="9">
        <f t="shared" si="2"/>
        <v>415.62071074018002</v>
      </c>
      <c r="K25" s="9">
        <f t="shared" si="3"/>
        <v>120.48785397460001</v>
      </c>
      <c r="L25" s="10">
        <f t="shared" si="0"/>
        <v>0.28989858027051368</v>
      </c>
      <c r="M25" s="10">
        <f t="shared" si="4"/>
        <v>0.29016607274629469</v>
      </c>
      <c r="P25" s="8">
        <f t="shared" si="5"/>
        <v>-10.452710010341812</v>
      </c>
    </row>
    <row r="26" spans="1:16" x14ac:dyDescent="0.2">
      <c r="A26" s="8">
        <v>12</v>
      </c>
      <c r="B26" s="8">
        <v>24</v>
      </c>
      <c r="D26">
        <v>534.7109375</v>
      </c>
      <c r="E26">
        <v>231.41059027777999</v>
      </c>
      <c r="F26">
        <v>132.54364736387001</v>
      </c>
      <c r="G26">
        <v>115.39585133967</v>
      </c>
      <c r="I26" s="9">
        <f t="shared" si="1"/>
        <v>116.01473893810999</v>
      </c>
      <c r="J26" s="9">
        <f t="shared" si="2"/>
        <v>402.16729013612996</v>
      </c>
      <c r="K26" s="9">
        <f t="shared" si="3"/>
        <v>116.01473893810999</v>
      </c>
      <c r="L26" s="10">
        <f t="shared" si="0"/>
        <v>0.2884738311234612</v>
      </c>
      <c r="M26" s="10">
        <f t="shared" si="4"/>
        <v>0.28875295370688486</v>
      </c>
      <c r="P26" s="8">
        <f t="shared" si="5"/>
        <v>-10.888808480484389</v>
      </c>
    </row>
    <row r="27" spans="1:16" x14ac:dyDescent="0.2">
      <c r="A27" s="8">
        <v>12.5</v>
      </c>
      <c r="B27" s="8">
        <v>25</v>
      </c>
      <c r="D27">
        <v>534.24479166667004</v>
      </c>
      <c r="E27">
        <v>232.41145833332999</v>
      </c>
      <c r="F27">
        <v>132.47450302506999</v>
      </c>
      <c r="G27">
        <v>115.09334485738999</v>
      </c>
      <c r="I27" s="9">
        <f t="shared" si="1"/>
        <v>117.31811347594</v>
      </c>
      <c r="J27" s="9">
        <f t="shared" si="2"/>
        <v>401.77028864160002</v>
      </c>
      <c r="K27" s="9">
        <f t="shared" si="3"/>
        <v>117.31811347594</v>
      </c>
      <c r="L27" s="10">
        <f t="shared" si="0"/>
        <v>0.29200295988186886</v>
      </c>
      <c r="M27" s="10">
        <f t="shared" si="4"/>
        <v>0.29229371257293518</v>
      </c>
      <c r="P27" s="8">
        <f t="shared" si="5"/>
        <v>-9.7961054019997942</v>
      </c>
    </row>
    <row r="28" spans="1:16" x14ac:dyDescent="0.2">
      <c r="A28" s="8">
        <v>13</v>
      </c>
      <c r="B28" s="8">
        <v>26</v>
      </c>
      <c r="D28">
        <v>530.97214969539004</v>
      </c>
      <c r="E28">
        <v>230.74412532637001</v>
      </c>
      <c r="F28">
        <v>132.19360414866</v>
      </c>
      <c r="G28">
        <v>115.47104580812</v>
      </c>
      <c r="I28" s="9">
        <f t="shared" si="1"/>
        <v>115.27307951825001</v>
      </c>
      <c r="J28" s="9">
        <f t="shared" si="2"/>
        <v>398.77854554673002</v>
      </c>
      <c r="K28" s="9">
        <f t="shared" si="3"/>
        <v>115.27307951825001</v>
      </c>
      <c r="L28" s="10">
        <f t="shared" si="0"/>
        <v>0.28906539934391223</v>
      </c>
      <c r="M28" s="10">
        <f t="shared" si="4"/>
        <v>0.28936778214262121</v>
      </c>
      <c r="P28" s="8">
        <f t="shared" si="5"/>
        <v>-10.699068102818291</v>
      </c>
    </row>
    <row r="29" spans="1:16" x14ac:dyDescent="0.2">
      <c r="A29" s="8">
        <v>13.5</v>
      </c>
      <c r="B29" s="8">
        <v>27</v>
      </c>
      <c r="D29">
        <v>534.18798955614</v>
      </c>
      <c r="E29">
        <v>233.34290687554</v>
      </c>
      <c r="F29">
        <v>132.44511668107</v>
      </c>
      <c r="G29">
        <v>115.25842696629</v>
      </c>
      <c r="I29" s="9">
        <f t="shared" si="1"/>
        <v>118.08447990924999</v>
      </c>
      <c r="J29" s="9">
        <f t="shared" si="2"/>
        <v>401.74287287507002</v>
      </c>
      <c r="K29" s="9">
        <f t="shared" si="3"/>
        <v>118.08447990924999</v>
      </c>
      <c r="L29" s="10">
        <f t="shared" si="0"/>
        <v>0.29393049107300712</v>
      </c>
      <c r="M29" s="10">
        <f t="shared" si="4"/>
        <v>0.29424450397935875</v>
      </c>
      <c r="P29" s="8">
        <f t="shared" si="5"/>
        <v>-9.1940774594253973</v>
      </c>
    </row>
    <row r="30" spans="1:16" x14ac:dyDescent="0.2">
      <c r="A30" s="8">
        <v>14</v>
      </c>
      <c r="B30" s="8">
        <v>28</v>
      </c>
      <c r="D30">
        <v>539.76936466492998</v>
      </c>
      <c r="E30">
        <v>233.87554395126</v>
      </c>
      <c r="F30">
        <v>132.29040622298999</v>
      </c>
      <c r="G30">
        <v>115.45721694036</v>
      </c>
      <c r="I30" s="9">
        <f t="shared" si="1"/>
        <v>118.4183270109</v>
      </c>
      <c r="J30" s="9">
        <f t="shared" si="2"/>
        <v>407.47895844193999</v>
      </c>
      <c r="K30" s="9">
        <f t="shared" si="3"/>
        <v>118.4183270109</v>
      </c>
      <c r="L30" s="10">
        <f t="shared" si="0"/>
        <v>0.290612127467124</v>
      </c>
      <c r="M30" s="10">
        <f t="shared" si="4"/>
        <v>0.29093777048111824</v>
      </c>
      <c r="P30" s="8">
        <f t="shared" si="5"/>
        <v>-10.214558664146947</v>
      </c>
    </row>
    <row r="31" spans="1:16" x14ac:dyDescent="0.2">
      <c r="A31" s="8">
        <v>14.5</v>
      </c>
      <c r="B31" s="8">
        <v>29</v>
      </c>
      <c r="D31">
        <v>540.47345517841995</v>
      </c>
      <c r="E31">
        <v>234.83202785031</v>
      </c>
      <c r="F31">
        <v>132.11495246326999</v>
      </c>
      <c r="G31">
        <v>115.20829732065999</v>
      </c>
      <c r="I31" s="9">
        <f t="shared" si="1"/>
        <v>119.62373052965</v>
      </c>
      <c r="J31" s="9">
        <f t="shared" si="2"/>
        <v>408.35850271514994</v>
      </c>
      <c r="K31" s="9">
        <f t="shared" si="3"/>
        <v>119.62373052965</v>
      </c>
      <c r="L31" s="10">
        <f t="shared" si="0"/>
        <v>0.29293801827139476</v>
      </c>
      <c r="M31" s="10">
        <f t="shared" si="4"/>
        <v>0.29327529139303166</v>
      </c>
      <c r="P31" s="8">
        <f t="shared" si="5"/>
        <v>-9.4931832773731202</v>
      </c>
    </row>
    <row r="32" spans="1:16" x14ac:dyDescent="0.2">
      <c r="A32" s="8">
        <v>15</v>
      </c>
      <c r="B32" s="8">
        <v>30</v>
      </c>
      <c r="D32">
        <v>532.82713915297995</v>
      </c>
      <c r="E32">
        <v>232.25410544511999</v>
      </c>
      <c r="F32">
        <v>131.63094209162</v>
      </c>
      <c r="G32">
        <v>115.67070008643</v>
      </c>
      <c r="I32" s="9">
        <f t="shared" si="1"/>
        <v>116.58340535868999</v>
      </c>
      <c r="J32" s="9">
        <f t="shared" si="2"/>
        <v>401.19619706135995</v>
      </c>
      <c r="K32" s="9">
        <f t="shared" si="3"/>
        <v>116.58340535868999</v>
      </c>
      <c r="L32" s="10">
        <f t="shared" si="0"/>
        <v>0.29058950760906499</v>
      </c>
      <c r="M32" s="10">
        <f t="shared" si="4"/>
        <v>0.29093841083834454</v>
      </c>
      <c r="P32" s="8">
        <f t="shared" si="5"/>
        <v>-10.214361045405038</v>
      </c>
    </row>
    <row r="33" spans="1:16" x14ac:dyDescent="0.2">
      <c r="A33" s="8">
        <v>15.5</v>
      </c>
      <c r="B33" s="8">
        <v>31</v>
      </c>
      <c r="D33">
        <v>537.12359550561996</v>
      </c>
      <c r="E33">
        <v>234.28176318064001</v>
      </c>
      <c r="F33">
        <v>131.81590319793</v>
      </c>
      <c r="G33">
        <v>115.48573898012</v>
      </c>
      <c r="I33" s="9">
        <f t="shared" si="1"/>
        <v>118.79602420052001</v>
      </c>
      <c r="J33" s="9">
        <f t="shared" si="2"/>
        <v>405.30769230768999</v>
      </c>
      <c r="K33" s="9">
        <f t="shared" si="3"/>
        <v>118.79602420052001</v>
      </c>
      <c r="L33" s="10">
        <f t="shared" si="0"/>
        <v>0.29310083784527785</v>
      </c>
      <c r="M33" s="10">
        <f t="shared" si="4"/>
        <v>0.29346137118220006</v>
      </c>
      <c r="P33" s="8">
        <f t="shared" si="5"/>
        <v>-9.4357577462482372</v>
      </c>
    </row>
    <row r="34" spans="1:16" x14ac:dyDescent="0.2">
      <c r="A34" s="8">
        <v>16</v>
      </c>
      <c r="B34" s="8">
        <v>32</v>
      </c>
      <c r="D34">
        <v>535.69576490924999</v>
      </c>
      <c r="E34">
        <v>233.84874675885999</v>
      </c>
      <c r="F34">
        <v>132.24719101124001</v>
      </c>
      <c r="G34">
        <v>115.13223854797</v>
      </c>
      <c r="I34" s="9">
        <f t="shared" si="1"/>
        <v>118.71650821088998</v>
      </c>
      <c r="J34" s="9">
        <f t="shared" si="2"/>
        <v>403.44857389800995</v>
      </c>
      <c r="K34" s="9">
        <f t="shared" si="3"/>
        <v>118.71650821088998</v>
      </c>
      <c r="L34" s="10">
        <f t="shared" si="0"/>
        <v>0.2942543756292989</v>
      </c>
      <c r="M34" s="10">
        <f t="shared" si="4"/>
        <v>0.29462653907386377</v>
      </c>
      <c r="P34" s="8">
        <f t="shared" si="5"/>
        <v>-9.0761787434587688</v>
      </c>
    </row>
    <row r="35" spans="1:16" x14ac:dyDescent="0.2">
      <c r="A35" s="8">
        <v>16.5</v>
      </c>
      <c r="B35" s="8">
        <v>33</v>
      </c>
      <c r="D35">
        <v>525.35975609755997</v>
      </c>
      <c r="E35">
        <v>232.48344947735001</v>
      </c>
      <c r="F35">
        <v>132.71564390666001</v>
      </c>
      <c r="G35">
        <v>115.25929127053</v>
      </c>
      <c r="I35" s="9">
        <f t="shared" si="1"/>
        <v>117.22415820682001</v>
      </c>
      <c r="J35" s="9">
        <f t="shared" si="2"/>
        <v>392.64411219089993</v>
      </c>
      <c r="K35" s="9">
        <f t="shared" si="3"/>
        <v>117.22415820682001</v>
      </c>
      <c r="L35" s="10">
        <f t="shared" si="0"/>
        <v>0.29855065838814032</v>
      </c>
      <c r="M35" s="10">
        <f t="shared" si="4"/>
        <v>0.29893445194034785</v>
      </c>
      <c r="P35" s="8">
        <f t="shared" si="5"/>
        <v>-7.7467265471555908</v>
      </c>
    </row>
    <row r="36" spans="1:16" x14ac:dyDescent="0.2">
      <c r="A36" s="8">
        <v>17</v>
      </c>
      <c r="B36" s="8">
        <v>34</v>
      </c>
      <c r="D36">
        <v>533.56271777003997</v>
      </c>
      <c r="E36">
        <v>233.5905923345</v>
      </c>
      <c r="F36">
        <v>132.53759723422999</v>
      </c>
      <c r="G36">
        <v>115.20570440794999</v>
      </c>
      <c r="I36" s="9">
        <f t="shared" si="1"/>
        <v>118.38488792655001</v>
      </c>
      <c r="J36" s="9">
        <f t="shared" si="2"/>
        <v>401.02512053580995</v>
      </c>
      <c r="K36" s="9">
        <f t="shared" si="3"/>
        <v>118.38488792655001</v>
      </c>
      <c r="L36" s="10">
        <f t="shared" si="0"/>
        <v>0.29520566633924544</v>
      </c>
      <c r="M36" s="10">
        <f t="shared" si="4"/>
        <v>0.29560108999909562</v>
      </c>
      <c r="P36" s="8">
        <f t="shared" si="5"/>
        <v>-8.7754254765951778</v>
      </c>
    </row>
    <row r="37" spans="1:16" x14ac:dyDescent="0.2">
      <c r="A37" s="8">
        <v>17.5</v>
      </c>
      <c r="B37" s="8">
        <v>35</v>
      </c>
      <c r="D37">
        <v>528</v>
      </c>
      <c r="E37">
        <v>231.88327526131999</v>
      </c>
      <c r="F37">
        <v>132.54969749352</v>
      </c>
      <c r="G37">
        <v>115.59118409680001</v>
      </c>
      <c r="I37" s="9">
        <f t="shared" si="1"/>
        <v>116.29209116451999</v>
      </c>
      <c r="J37" s="9">
        <f t="shared" si="2"/>
        <v>395.45030250648</v>
      </c>
      <c r="K37" s="9">
        <f t="shared" si="3"/>
        <v>116.29209116451999</v>
      </c>
      <c r="L37" s="10">
        <f t="shared" si="0"/>
        <v>0.29407510988720104</v>
      </c>
      <c r="M37" s="10">
        <f t="shared" si="4"/>
        <v>0.29448216365469387</v>
      </c>
      <c r="P37" s="8">
        <f t="shared" si="5"/>
        <v>-9.1207340128099492</v>
      </c>
    </row>
    <row r="38" spans="1:16" x14ac:dyDescent="0.2">
      <c r="A38" s="8">
        <v>18</v>
      </c>
      <c r="B38" s="8">
        <v>36</v>
      </c>
      <c r="D38">
        <v>526.15830449827001</v>
      </c>
      <c r="E38">
        <v>233.01124567474</v>
      </c>
      <c r="F38">
        <v>132.15557476231999</v>
      </c>
      <c r="G38">
        <v>115.16853932584</v>
      </c>
      <c r="I38" s="9">
        <f t="shared" si="1"/>
        <v>117.84270634889999</v>
      </c>
      <c r="J38" s="9">
        <f t="shared" si="2"/>
        <v>394.00272973595003</v>
      </c>
      <c r="K38" s="9">
        <f t="shared" si="3"/>
        <v>117.84270634889999</v>
      </c>
      <c r="L38" s="10">
        <f t="shared" si="0"/>
        <v>0.2990910911400918</v>
      </c>
      <c r="M38" s="10">
        <f t="shared" si="4"/>
        <v>0.2995097750152273</v>
      </c>
      <c r="P38" s="8">
        <f t="shared" si="5"/>
        <v>-7.5691778015825095</v>
      </c>
    </row>
    <row r="39" spans="1:16" x14ac:dyDescent="0.2">
      <c r="A39" s="8">
        <v>18.5</v>
      </c>
      <c r="B39" s="8">
        <v>37</v>
      </c>
      <c r="D39">
        <v>519.70155709342998</v>
      </c>
      <c r="E39">
        <v>232.79325259516</v>
      </c>
      <c r="F39">
        <v>132.80898876405001</v>
      </c>
      <c r="G39">
        <v>115.11149524632999</v>
      </c>
      <c r="I39" s="9">
        <f t="shared" si="1"/>
        <v>117.68175734883</v>
      </c>
      <c r="J39" s="9">
        <f t="shared" si="2"/>
        <v>386.89256832937997</v>
      </c>
      <c r="K39" s="9">
        <f t="shared" si="3"/>
        <v>117.68175734883</v>
      </c>
      <c r="L39" s="10">
        <f t="shared" si="0"/>
        <v>0.30417166671612555</v>
      </c>
      <c r="M39" s="10">
        <f t="shared" si="4"/>
        <v>0.30460198069890371</v>
      </c>
      <c r="P39" s="8">
        <f t="shared" si="5"/>
        <v>-5.9976873281188778</v>
      </c>
    </row>
    <row r="40" spans="1:16" x14ac:dyDescent="0.2">
      <c r="A40" s="8">
        <v>19</v>
      </c>
      <c r="B40" s="8">
        <v>38</v>
      </c>
      <c r="D40">
        <v>517.20790378006996</v>
      </c>
      <c r="E40">
        <v>231.79982817869001</v>
      </c>
      <c r="F40">
        <v>132.16767502160999</v>
      </c>
      <c r="G40">
        <v>115.18150388937001</v>
      </c>
      <c r="I40" s="9">
        <f t="shared" si="1"/>
        <v>116.61832428932</v>
      </c>
      <c r="J40" s="9">
        <f t="shared" si="2"/>
        <v>385.04022875845999</v>
      </c>
      <c r="K40" s="9">
        <f t="shared" si="3"/>
        <v>116.61832428932</v>
      </c>
      <c r="L40" s="10">
        <f t="shared" si="0"/>
        <v>0.30287309111920346</v>
      </c>
      <c r="M40" s="10">
        <f t="shared" si="4"/>
        <v>0.30331503520962427</v>
      </c>
      <c r="P40" s="8">
        <f t="shared" si="5"/>
        <v>-6.3948477536595645</v>
      </c>
    </row>
    <row r="41" spans="1:16" x14ac:dyDescent="0.2">
      <c r="A41" s="8">
        <v>19.5</v>
      </c>
      <c r="B41" s="8">
        <v>39</v>
      </c>
      <c r="D41">
        <v>521.33161512028005</v>
      </c>
      <c r="E41">
        <v>232.45274914089001</v>
      </c>
      <c r="F41">
        <v>131.90665514260999</v>
      </c>
      <c r="G41">
        <v>114.93258426966</v>
      </c>
      <c r="I41" s="9">
        <f t="shared" si="1"/>
        <v>117.52016487123001</v>
      </c>
      <c r="J41" s="9">
        <f t="shared" si="2"/>
        <v>389.42495997767003</v>
      </c>
      <c r="K41" s="9">
        <f t="shared" si="3"/>
        <v>117.52016487123001</v>
      </c>
      <c r="L41" s="10">
        <f t="shared" si="0"/>
        <v>0.30177871720900662</v>
      </c>
      <c r="M41" s="10">
        <f t="shared" si="4"/>
        <v>0.30223229140707003</v>
      </c>
      <c r="P41" s="8">
        <f t="shared" si="5"/>
        <v>-6.7289901030878649</v>
      </c>
    </row>
    <row r="42" spans="1:16" x14ac:dyDescent="0.2">
      <c r="A42" s="8">
        <v>20</v>
      </c>
      <c r="B42" s="8">
        <v>40</v>
      </c>
      <c r="D42">
        <v>507.33762886597998</v>
      </c>
      <c r="E42">
        <v>229.52920962198999</v>
      </c>
      <c r="F42">
        <v>131.63180639584999</v>
      </c>
      <c r="G42">
        <v>115.12532411409001</v>
      </c>
      <c r="I42" s="9">
        <f t="shared" si="1"/>
        <v>114.40388550789999</v>
      </c>
      <c r="J42" s="9">
        <f t="shared" si="2"/>
        <v>375.70582247012999</v>
      </c>
      <c r="K42" s="9">
        <f t="shared" si="3"/>
        <v>114.40388550789999</v>
      </c>
      <c r="L42" s="10">
        <f t="shared" si="0"/>
        <v>0.30450389284822843</v>
      </c>
      <c r="M42" s="10">
        <f t="shared" si="4"/>
        <v>0.3049690971539345</v>
      </c>
      <c r="P42" s="8">
        <f t="shared" si="5"/>
        <v>-5.8843926091757677</v>
      </c>
    </row>
    <row r="43" spans="1:16" x14ac:dyDescent="0.2">
      <c r="A43" s="8">
        <v>20.5</v>
      </c>
      <c r="B43" s="8">
        <v>41</v>
      </c>
      <c r="D43">
        <v>507.68298969071998</v>
      </c>
      <c r="E43">
        <v>230.76116838487999</v>
      </c>
      <c r="F43">
        <v>131.66378565254999</v>
      </c>
      <c r="G43">
        <v>115.18409680207</v>
      </c>
      <c r="I43" s="9">
        <f t="shared" si="1"/>
        <v>115.57707158280999</v>
      </c>
      <c r="J43" s="9">
        <f t="shared" si="2"/>
        <v>376.01920403816996</v>
      </c>
      <c r="K43" s="9">
        <f t="shared" si="3"/>
        <v>115.57707158280999</v>
      </c>
      <c r="L43" s="10">
        <f t="shared" si="0"/>
        <v>0.30737012988059431</v>
      </c>
      <c r="M43" s="10">
        <f t="shared" si="4"/>
        <v>0.30784696429394304</v>
      </c>
      <c r="P43" s="8">
        <f t="shared" si="5"/>
        <v>-4.9962625776424945</v>
      </c>
    </row>
    <row r="44" spans="1:16" x14ac:dyDescent="0.2">
      <c r="A44" s="8">
        <v>21</v>
      </c>
      <c r="B44" s="8">
        <v>42</v>
      </c>
      <c r="D44">
        <v>518.68470790378001</v>
      </c>
      <c r="E44">
        <v>233.54896907217</v>
      </c>
      <c r="F44">
        <v>131.85738980120999</v>
      </c>
      <c r="G44">
        <v>115.01296456353001</v>
      </c>
      <c r="I44" s="9">
        <f t="shared" si="1"/>
        <v>118.53600450863999</v>
      </c>
      <c r="J44" s="9">
        <f t="shared" si="2"/>
        <v>386.82731810257002</v>
      </c>
      <c r="K44" s="9">
        <f t="shared" si="3"/>
        <v>118.53600450863999</v>
      </c>
      <c r="L44" s="10">
        <f t="shared" si="0"/>
        <v>0.30643131692475073</v>
      </c>
      <c r="M44" s="10">
        <f t="shared" si="4"/>
        <v>0.30691978144574211</v>
      </c>
      <c r="P44" s="8">
        <f t="shared" si="5"/>
        <v>-5.2823977229248973</v>
      </c>
    </row>
    <row r="45" spans="1:16" x14ac:dyDescent="0.2">
      <c r="A45" s="8">
        <v>21.5</v>
      </c>
      <c r="B45" s="8">
        <v>43</v>
      </c>
      <c r="D45">
        <v>518.85137457045005</v>
      </c>
      <c r="E45">
        <v>233.48453608246999</v>
      </c>
      <c r="F45">
        <v>131.95851339672001</v>
      </c>
      <c r="G45">
        <v>114.86603284356001</v>
      </c>
      <c r="I45" s="9">
        <f t="shared" si="1"/>
        <v>118.61850323890998</v>
      </c>
      <c r="J45" s="9">
        <f t="shared" si="2"/>
        <v>386.89286117373001</v>
      </c>
      <c r="K45" s="9">
        <f t="shared" si="3"/>
        <v>118.61850323890998</v>
      </c>
      <c r="L45" s="10">
        <f t="shared" si="0"/>
        <v>0.30659263879683124</v>
      </c>
      <c r="M45" s="10">
        <f t="shared" si="4"/>
        <v>0.30709273342546528</v>
      </c>
      <c r="P45" s="8">
        <f t="shared" si="5"/>
        <v>-5.2290235260866016</v>
      </c>
    </row>
    <row r="46" spans="1:16" x14ac:dyDescent="0.2">
      <c r="A46" s="8">
        <v>22</v>
      </c>
      <c r="B46" s="8">
        <v>44</v>
      </c>
      <c r="D46">
        <v>520.65206185567001</v>
      </c>
      <c r="E46">
        <v>234.36254295533001</v>
      </c>
      <c r="F46">
        <v>132.67761452030999</v>
      </c>
      <c r="G46">
        <v>115.21089023336</v>
      </c>
      <c r="I46" s="9">
        <f t="shared" si="1"/>
        <v>119.15165272197001</v>
      </c>
      <c r="J46" s="9">
        <f t="shared" si="2"/>
        <v>387.97444733536003</v>
      </c>
      <c r="K46" s="9">
        <f t="shared" si="3"/>
        <v>119.15165272197001</v>
      </c>
      <c r="L46" s="10">
        <f t="shared" si="0"/>
        <v>0.3071121140588336</v>
      </c>
      <c r="M46" s="10">
        <f t="shared" si="4"/>
        <v>0.30762383879511029</v>
      </c>
      <c r="P46" s="8">
        <f t="shared" si="5"/>
        <v>-5.0651206752104088</v>
      </c>
    </row>
    <row r="47" spans="1:16" x14ac:dyDescent="0.2">
      <c r="A47" s="8">
        <v>22.5</v>
      </c>
      <c r="B47" s="8">
        <v>45</v>
      </c>
      <c r="D47">
        <v>521.23024054983</v>
      </c>
      <c r="E47">
        <v>233.9733676976</v>
      </c>
      <c r="F47">
        <v>132.08038029386</v>
      </c>
      <c r="G47">
        <v>114.91529818495999</v>
      </c>
      <c r="I47" s="9">
        <f t="shared" si="1"/>
        <v>119.05806951264</v>
      </c>
      <c r="J47" s="9">
        <f t="shared" si="2"/>
        <v>389.14986025597</v>
      </c>
      <c r="K47" s="9">
        <f t="shared" si="3"/>
        <v>119.05806951264</v>
      </c>
      <c r="L47" s="10">
        <f t="shared" si="0"/>
        <v>0.30594401199149224</v>
      </c>
      <c r="M47" s="10">
        <f t="shared" si="4"/>
        <v>0.30646736683541159</v>
      </c>
      <c r="P47" s="8">
        <f t="shared" si="5"/>
        <v>-5.4220160522608953</v>
      </c>
    </row>
    <row r="48" spans="1:16" x14ac:dyDescent="0.2">
      <c r="A48" s="8">
        <v>23</v>
      </c>
      <c r="B48" s="8">
        <v>46</v>
      </c>
      <c r="D48">
        <v>528.62726488351996</v>
      </c>
      <c r="E48">
        <v>237.55047454702</v>
      </c>
      <c r="F48">
        <v>132.03889369058001</v>
      </c>
      <c r="G48">
        <v>114.77009507347</v>
      </c>
      <c r="I48" s="9">
        <f t="shared" si="1"/>
        <v>122.78037947355</v>
      </c>
      <c r="J48" s="9">
        <f t="shared" si="2"/>
        <v>396.58837119293992</v>
      </c>
      <c r="K48" s="9">
        <f t="shared" si="3"/>
        <v>122.78037947355</v>
      </c>
      <c r="L48" s="10">
        <f t="shared" si="0"/>
        <v>0.30959147668456838</v>
      </c>
      <c r="M48" s="10">
        <f t="shared" si="4"/>
        <v>0.31012646163613039</v>
      </c>
      <c r="P48" s="8">
        <f t="shared" si="5"/>
        <v>-4.2927936724063542</v>
      </c>
    </row>
    <row r="49" spans="1:25" x14ac:dyDescent="0.2">
      <c r="A49" s="8">
        <v>23.5</v>
      </c>
      <c r="B49" s="8">
        <v>47</v>
      </c>
      <c r="D49">
        <v>516.66781708369001</v>
      </c>
      <c r="E49">
        <v>235.28213977567</v>
      </c>
      <c r="F49">
        <v>131.61538461539001</v>
      </c>
      <c r="G49">
        <v>115.0172860847</v>
      </c>
      <c r="I49" s="9">
        <f t="shared" si="1"/>
        <v>120.26485369097</v>
      </c>
      <c r="J49" s="9">
        <f t="shared" si="2"/>
        <v>385.05243246830003</v>
      </c>
      <c r="K49" s="9">
        <f t="shared" si="3"/>
        <v>120.26485369097</v>
      </c>
      <c r="L49" s="10">
        <f t="shared" si="0"/>
        <v>0.31233370717862163</v>
      </c>
      <c r="M49" s="10">
        <f t="shared" si="4"/>
        <v>0.3128803222378263</v>
      </c>
      <c r="P49" s="8">
        <f t="shared" si="5"/>
        <v>-3.4429329303933742</v>
      </c>
    </row>
    <row r="50" spans="1:25" x14ac:dyDescent="0.2">
      <c r="A50" s="8">
        <v>24</v>
      </c>
      <c r="B50" s="8">
        <v>48</v>
      </c>
      <c r="D50">
        <v>524.23468507333996</v>
      </c>
      <c r="E50">
        <v>235.33477135461999</v>
      </c>
      <c r="F50">
        <v>132.64995678478999</v>
      </c>
      <c r="G50">
        <v>115.00518582541</v>
      </c>
      <c r="I50" s="9">
        <f t="shared" si="1"/>
        <v>120.32958552920999</v>
      </c>
      <c r="J50" s="9">
        <f t="shared" si="2"/>
        <v>391.58472828854997</v>
      </c>
      <c r="K50" s="9">
        <f t="shared" si="3"/>
        <v>120.32958552920999</v>
      </c>
      <c r="L50" s="10">
        <f t="shared" si="0"/>
        <v>0.30728875984290643</v>
      </c>
      <c r="M50" s="10">
        <f t="shared" si="4"/>
        <v>0.30784700500975376</v>
      </c>
      <c r="P50" s="8">
        <f t="shared" si="5"/>
        <v>-4.9962500124570628</v>
      </c>
    </row>
    <row r="51" spans="1:25" x14ac:dyDescent="0.2">
      <c r="A51" s="8">
        <v>24.5</v>
      </c>
      <c r="B51" s="8">
        <v>49</v>
      </c>
      <c r="D51">
        <v>521.42881794650998</v>
      </c>
      <c r="E51">
        <v>236.57722174288</v>
      </c>
      <c r="F51">
        <v>132.16767502160999</v>
      </c>
      <c r="G51">
        <v>114.98098530682999</v>
      </c>
      <c r="I51" s="9">
        <f t="shared" si="1"/>
        <v>121.59623643605001</v>
      </c>
      <c r="J51" s="9">
        <f t="shared" si="2"/>
        <v>389.26114292490001</v>
      </c>
      <c r="K51" s="9">
        <f t="shared" si="3"/>
        <v>121.59623643605001</v>
      </c>
      <c r="L51" s="10">
        <f t="shared" si="0"/>
        <v>0.31237702156032954</v>
      </c>
      <c r="M51" s="10">
        <f t="shared" si="4"/>
        <v>0.31294689683481952</v>
      </c>
      <c r="P51" s="8">
        <f t="shared" si="5"/>
        <v>-3.422387541725179</v>
      </c>
    </row>
    <row r="52" spans="1:25" x14ac:dyDescent="0.2">
      <c r="A52" s="8">
        <v>25</v>
      </c>
      <c r="B52" s="8">
        <v>50</v>
      </c>
      <c r="D52">
        <v>521.82484900777001</v>
      </c>
      <c r="E52">
        <v>235.28127696289999</v>
      </c>
      <c r="F52">
        <v>132.0492653414</v>
      </c>
      <c r="G52">
        <v>114.83837510804</v>
      </c>
      <c r="I52" s="9">
        <f t="shared" si="1"/>
        <v>120.44290185486</v>
      </c>
      <c r="J52" s="9">
        <f t="shared" si="2"/>
        <v>389.77558366637004</v>
      </c>
      <c r="K52" s="9">
        <f t="shared" si="3"/>
        <v>120.44290185486</v>
      </c>
      <c r="L52" s="10">
        <f t="shared" si="0"/>
        <v>0.30900576357792997</v>
      </c>
      <c r="M52" s="10">
        <f t="shared" si="4"/>
        <v>0.30958726896006261</v>
      </c>
      <c r="P52" s="8">
        <f t="shared" si="5"/>
        <v>-4.4591923229004031</v>
      </c>
    </row>
    <row r="53" spans="1:25" x14ac:dyDescent="0.2">
      <c r="A53" s="8">
        <v>25.5</v>
      </c>
      <c r="B53" s="8">
        <v>51</v>
      </c>
      <c r="D53">
        <v>515.54702329595</v>
      </c>
      <c r="E53">
        <v>235.35030198447001</v>
      </c>
      <c r="F53">
        <v>131.94554883319</v>
      </c>
      <c r="G53">
        <v>115.19014693171999</v>
      </c>
      <c r="I53" s="9">
        <f t="shared" si="1"/>
        <v>120.16015505275001</v>
      </c>
      <c r="J53" s="9">
        <f t="shared" si="2"/>
        <v>383.60147446276</v>
      </c>
      <c r="K53" s="9">
        <f t="shared" si="3"/>
        <v>120.16015505275001</v>
      </c>
      <c r="L53" s="10">
        <f t="shared" si="0"/>
        <v>0.31324216159762219</v>
      </c>
      <c r="M53" s="10">
        <f t="shared" si="4"/>
        <v>0.31383529708739744</v>
      </c>
      <c r="P53" s="8">
        <f t="shared" si="5"/>
        <v>-3.1482209781033959</v>
      </c>
      <c r="S53" s="11"/>
      <c r="U53" s="12"/>
    </row>
    <row r="54" spans="1:25" x14ac:dyDescent="0.2">
      <c r="A54" s="8">
        <v>26</v>
      </c>
      <c r="B54" s="8">
        <v>52</v>
      </c>
      <c r="D54">
        <v>514.91975841242004</v>
      </c>
      <c r="E54">
        <v>235.22346850733001</v>
      </c>
      <c r="F54">
        <v>131.74675885912001</v>
      </c>
      <c r="G54">
        <v>115.50302506481999</v>
      </c>
      <c r="I54" s="9">
        <f t="shared" si="1"/>
        <v>119.72044344251002</v>
      </c>
      <c r="J54" s="9">
        <f t="shared" si="2"/>
        <v>383.17299955330003</v>
      </c>
      <c r="K54" s="9">
        <f t="shared" si="3"/>
        <v>119.72044344251002</v>
      </c>
      <c r="L54" s="10">
        <f t="shared" si="0"/>
        <v>0.31244488411782445</v>
      </c>
      <c r="M54" s="10">
        <f t="shared" si="4"/>
        <v>0.31304964971524235</v>
      </c>
      <c r="P54" s="8">
        <f t="shared" si="5"/>
        <v>-3.3906772804482141</v>
      </c>
      <c r="S54" s="11"/>
    </row>
    <row r="55" spans="1:25" x14ac:dyDescent="0.2">
      <c r="A55" s="8">
        <v>26.5</v>
      </c>
      <c r="B55" s="8">
        <v>53</v>
      </c>
      <c r="D55">
        <v>519.00173310225</v>
      </c>
      <c r="E55">
        <v>237.26776429808999</v>
      </c>
      <c r="F55">
        <v>131.98703543646999</v>
      </c>
      <c r="G55">
        <v>115.09248055316</v>
      </c>
      <c r="I55" s="9">
        <f t="shared" si="1"/>
        <v>122.17528374492998</v>
      </c>
      <c r="J55" s="9">
        <f t="shared" si="2"/>
        <v>387.01469766577998</v>
      </c>
      <c r="K55" s="9">
        <f t="shared" si="3"/>
        <v>122.17528374492998</v>
      </c>
      <c r="L55" s="10">
        <f t="shared" si="0"/>
        <v>0.3156864183241917</v>
      </c>
      <c r="M55" s="10">
        <f t="shared" si="4"/>
        <v>0.31630281402925225</v>
      </c>
      <c r="P55" s="8">
        <f t="shared" si="5"/>
        <v>-2.3867279025850086</v>
      </c>
      <c r="S55" s="11"/>
    </row>
    <row r="56" spans="1:25" x14ac:dyDescent="0.2">
      <c r="A56" s="8">
        <v>27</v>
      </c>
      <c r="B56" s="8">
        <v>54</v>
      </c>
      <c r="D56">
        <v>522.23223570190999</v>
      </c>
      <c r="E56">
        <v>237.79982668977999</v>
      </c>
      <c r="F56">
        <v>132.03889369058001</v>
      </c>
      <c r="G56">
        <v>115.05704407952</v>
      </c>
      <c r="I56" s="9">
        <f t="shared" si="1"/>
        <v>122.74278261025999</v>
      </c>
      <c r="J56" s="9">
        <f t="shared" si="2"/>
        <v>390.19334201132995</v>
      </c>
      <c r="K56" s="9">
        <f t="shared" si="3"/>
        <v>122.74278261025999</v>
      </c>
      <c r="L56" s="10">
        <f t="shared" si="0"/>
        <v>0.31456913636085554</v>
      </c>
      <c r="M56" s="10">
        <f t="shared" si="4"/>
        <v>0.31519716217355875</v>
      </c>
      <c r="P56" s="8">
        <f t="shared" si="5"/>
        <v>-2.7279398382614337</v>
      </c>
      <c r="S56" s="11"/>
    </row>
    <row r="57" spans="1:25" x14ac:dyDescent="0.2">
      <c r="A57" s="8">
        <v>27.5</v>
      </c>
      <c r="B57" s="8">
        <v>55</v>
      </c>
      <c r="D57">
        <v>524.09272097053997</v>
      </c>
      <c r="E57">
        <v>238.09012131716</v>
      </c>
      <c r="F57">
        <v>131.79083837511001</v>
      </c>
      <c r="G57">
        <v>114.768366465</v>
      </c>
      <c r="I57" s="9">
        <f t="shared" si="1"/>
        <v>123.32175485216</v>
      </c>
      <c r="J57" s="9">
        <f t="shared" si="2"/>
        <v>392.30188259542996</v>
      </c>
      <c r="K57" s="9">
        <f t="shared" si="3"/>
        <v>123.32175485216</v>
      </c>
      <c r="L57" s="10">
        <f t="shared" si="0"/>
        <v>0.31435422648567379</v>
      </c>
      <c r="M57" s="10">
        <f t="shared" si="4"/>
        <v>0.31499388240601967</v>
      </c>
      <c r="P57" s="8">
        <f t="shared" si="5"/>
        <v>-2.7906734036316654</v>
      </c>
      <c r="S57" s="11"/>
    </row>
    <row r="58" spans="1:25" x14ac:dyDescent="0.2">
      <c r="A58" s="8">
        <v>28</v>
      </c>
      <c r="B58" s="8">
        <v>56</v>
      </c>
      <c r="D58">
        <v>525.84142114384997</v>
      </c>
      <c r="E58">
        <v>238.94280762565</v>
      </c>
      <c r="F58">
        <v>132.08297320656999</v>
      </c>
      <c r="G58">
        <v>114.76750216076</v>
      </c>
      <c r="I58" s="9">
        <f t="shared" si="1"/>
        <v>124.17530546489</v>
      </c>
      <c r="J58" s="9">
        <f t="shared" si="2"/>
        <v>393.75844793727998</v>
      </c>
      <c r="K58" s="9">
        <f t="shared" si="3"/>
        <v>124.17530546489</v>
      </c>
      <c r="L58" s="10">
        <f t="shared" si="0"/>
        <v>0.31535908909481819</v>
      </c>
      <c r="M58" s="10">
        <f t="shared" si="4"/>
        <v>0.31601037512280672</v>
      </c>
      <c r="P58" s="8">
        <f t="shared" si="5"/>
        <v>-2.4769766050328426</v>
      </c>
      <c r="S58" s="11"/>
    </row>
    <row r="59" spans="1:25" x14ac:dyDescent="0.2">
      <c r="A59" s="8">
        <v>28.5</v>
      </c>
      <c r="B59" s="8">
        <v>57</v>
      </c>
      <c r="D59">
        <v>525.37001733101999</v>
      </c>
      <c r="E59">
        <v>239.25649913345001</v>
      </c>
      <c r="F59">
        <v>132.25151253241</v>
      </c>
      <c r="G59">
        <v>114.7709593777</v>
      </c>
      <c r="I59" s="9">
        <f t="shared" si="1"/>
        <v>124.48553975575001</v>
      </c>
      <c r="J59" s="9">
        <f t="shared" si="2"/>
        <v>393.11850479860999</v>
      </c>
      <c r="K59" s="9">
        <f t="shared" si="3"/>
        <v>124.48553975575001</v>
      </c>
      <c r="L59" s="10">
        <f t="shared" si="0"/>
        <v>0.31666161281194966</v>
      </c>
      <c r="M59" s="10">
        <f t="shared" si="4"/>
        <v>0.31732452894758084</v>
      </c>
      <c r="P59" s="8">
        <f t="shared" si="5"/>
        <v>-2.071419495877084</v>
      </c>
      <c r="R59" s="1"/>
      <c r="S59" s="11"/>
    </row>
    <row r="60" spans="1:25" x14ac:dyDescent="0.2">
      <c r="A60" s="8">
        <v>29</v>
      </c>
      <c r="B60" s="8">
        <v>58</v>
      </c>
      <c r="D60">
        <v>518.94280762564995</v>
      </c>
      <c r="E60">
        <v>237.43500866551</v>
      </c>
      <c r="F60">
        <v>132.16335350042999</v>
      </c>
      <c r="G60">
        <v>115.12705272255999</v>
      </c>
      <c r="I60" s="9">
        <f t="shared" si="1"/>
        <v>122.30795594295</v>
      </c>
      <c r="J60" s="9">
        <f t="shared" si="2"/>
        <v>386.77945412521996</v>
      </c>
      <c r="K60" s="9">
        <f t="shared" si="3"/>
        <v>122.30795594295</v>
      </c>
      <c r="L60" s="10">
        <f t="shared" si="0"/>
        <v>0.31622143999239621</v>
      </c>
      <c r="M60" s="10">
        <f t="shared" si="4"/>
        <v>0.31689598623567006</v>
      </c>
      <c r="P60" s="8">
        <f t="shared" si="5"/>
        <v>-2.2036707895353276</v>
      </c>
      <c r="S60" s="11"/>
    </row>
    <row r="61" spans="1:25" x14ac:dyDescent="0.2">
      <c r="A61" s="8">
        <v>29.5</v>
      </c>
      <c r="B61" s="8">
        <v>59</v>
      </c>
      <c r="C61" s="2"/>
      <c r="D61">
        <v>526.06412478335994</v>
      </c>
      <c r="E61">
        <v>240.27729636049</v>
      </c>
      <c r="F61">
        <v>131.93690579084</v>
      </c>
      <c r="G61">
        <v>115.03025064822999</v>
      </c>
      <c r="I61" s="9">
        <f t="shared" si="1"/>
        <v>125.24704571226</v>
      </c>
      <c r="J61" s="9">
        <f t="shared" si="2"/>
        <v>394.12721899251994</v>
      </c>
      <c r="K61" s="9">
        <f t="shared" si="3"/>
        <v>125.24704571226</v>
      </c>
      <c r="L61" s="10">
        <f t="shared" si="0"/>
        <v>0.31778329350715828</v>
      </c>
      <c r="M61" s="10">
        <f t="shared" si="4"/>
        <v>0.31846946985807478</v>
      </c>
      <c r="P61" s="8">
        <f t="shared" si="5"/>
        <v>-1.7180826816773491</v>
      </c>
      <c r="S61" s="11"/>
    </row>
    <row r="62" spans="1:25" x14ac:dyDescent="0.2">
      <c r="A62" s="8">
        <v>30</v>
      </c>
      <c r="B62" s="8">
        <v>60</v>
      </c>
      <c r="D62">
        <v>522.52512998267002</v>
      </c>
      <c r="E62">
        <v>238.87001733101999</v>
      </c>
      <c r="F62">
        <v>131.65687121867001</v>
      </c>
      <c r="G62">
        <v>114.60501296456</v>
      </c>
      <c r="I62" s="9">
        <f t="shared" si="1"/>
        <v>124.26500436645999</v>
      </c>
      <c r="J62" s="9">
        <f t="shared" si="2"/>
        <v>390.86825876400002</v>
      </c>
      <c r="K62" s="9">
        <f t="shared" si="3"/>
        <v>124.26500436645999</v>
      </c>
      <c r="L62" s="10">
        <f t="shared" si="0"/>
        <v>0.3179204286360055</v>
      </c>
      <c r="M62" s="10">
        <f t="shared" si="4"/>
        <v>0.31861823509456466</v>
      </c>
      <c r="P62" s="8">
        <f t="shared" si="5"/>
        <v>-1.672172683839708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528.71750433275997</v>
      </c>
      <c r="E63">
        <v>242.30155979202999</v>
      </c>
      <c r="F63">
        <v>131.55834053587</v>
      </c>
      <c r="G63">
        <v>114.80639585134</v>
      </c>
      <c r="I63" s="9">
        <f t="shared" si="1"/>
        <v>127.49516394068999</v>
      </c>
      <c r="J63" s="9">
        <f t="shared" si="2"/>
        <v>397.15916379688997</v>
      </c>
      <c r="K63" s="9">
        <f t="shared" si="3"/>
        <v>127.49516394068999</v>
      </c>
      <c r="L63" s="10">
        <f t="shared" si="0"/>
        <v>0.3210178073743048</v>
      </c>
      <c r="M63" s="10">
        <f t="shared" si="4"/>
        <v>0.32172724394050661</v>
      </c>
      <c r="P63" s="8">
        <f t="shared" si="5"/>
        <v>-0.71271069687131039</v>
      </c>
    </row>
    <row r="64" spans="1:25" x14ac:dyDescent="0.2">
      <c r="A64" s="8">
        <v>31</v>
      </c>
      <c r="B64" s="8">
        <v>62</v>
      </c>
      <c r="D64">
        <v>523.93327556326005</v>
      </c>
      <c r="E64">
        <v>239.65164644714</v>
      </c>
      <c r="F64">
        <v>132.06309420916</v>
      </c>
      <c r="G64">
        <v>114.85133967156</v>
      </c>
      <c r="I64" s="9">
        <f t="shared" si="1"/>
        <v>124.80030677558</v>
      </c>
      <c r="J64" s="9">
        <f t="shared" si="2"/>
        <v>391.87018135410005</v>
      </c>
      <c r="K64" s="9">
        <f t="shared" si="3"/>
        <v>124.80030677558</v>
      </c>
      <c r="L64" s="10">
        <f t="shared" si="0"/>
        <v>0.31847359843592815</v>
      </c>
      <c r="M64" s="10">
        <f t="shared" si="4"/>
        <v>0.31919466510977257</v>
      </c>
      <c r="P64" s="8">
        <f t="shared" si="5"/>
        <v>-1.4942823286991975</v>
      </c>
      <c r="U64" s="8">
        <v>30.5</v>
      </c>
      <c r="V64" s="10">
        <f>L62</f>
        <v>0.3179204286360055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525.00953206239001</v>
      </c>
      <c r="E65">
        <v>240.97746967071001</v>
      </c>
      <c r="F65">
        <v>131.75972342265001</v>
      </c>
      <c r="G65">
        <v>114.85998271392</v>
      </c>
      <c r="I65" s="9">
        <f t="shared" si="1"/>
        <v>126.11748695679</v>
      </c>
      <c r="J65" s="9">
        <f t="shared" si="2"/>
        <v>393.24980863973997</v>
      </c>
      <c r="K65" s="9">
        <f t="shared" si="3"/>
        <v>126.11748695679</v>
      </c>
      <c r="L65" s="10">
        <f t="shared" si="0"/>
        <v>0.3207057808700105</v>
      </c>
      <c r="M65" s="10">
        <f t="shared" si="4"/>
        <v>0.32143847765149758</v>
      </c>
      <c r="P65" s="8">
        <f t="shared" si="5"/>
        <v>-0.80182600375881996</v>
      </c>
      <c r="U65" s="8">
        <v>31</v>
      </c>
      <c r="V65" s="10">
        <f t="shared" ref="V65:V83" si="6">L63</f>
        <v>0.3210178073743048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522.37608318891</v>
      </c>
      <c r="E66">
        <v>240.13258232236001</v>
      </c>
      <c r="F66">
        <v>132.07951598963001</v>
      </c>
      <c r="G66">
        <v>114.51253241141001</v>
      </c>
      <c r="I66" s="9">
        <f t="shared" si="1"/>
        <v>125.62004991095</v>
      </c>
      <c r="J66" s="9">
        <f t="shared" si="2"/>
        <v>390.29656719927999</v>
      </c>
      <c r="K66" s="9">
        <f t="shared" si="3"/>
        <v>125.62004991095</v>
      </c>
      <c r="L66" s="10">
        <f t="shared" ref="L66:L129" si="7">K66/J66</f>
        <v>0.32185794205771262</v>
      </c>
      <c r="M66" s="10">
        <f t="shared" si="4"/>
        <v>0.32260226894684235</v>
      </c>
      <c r="P66" s="8">
        <f t="shared" si="5"/>
        <v>-0.44267182827119245</v>
      </c>
      <c r="U66" s="8">
        <v>31.5</v>
      </c>
      <c r="V66" s="10">
        <f t="shared" si="6"/>
        <v>0.31847359843592815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517.69678540400002</v>
      </c>
      <c r="E67">
        <v>240.02258905299999</v>
      </c>
      <c r="F67">
        <v>131.46585998270999</v>
      </c>
      <c r="G67">
        <v>114.86776145203</v>
      </c>
      <c r="I67" s="9">
        <f t="shared" ref="I67:I130" si="8">E67-G67</f>
        <v>125.15482760096999</v>
      </c>
      <c r="J67" s="9">
        <f t="shared" ref="J67:J130" si="9">D67-F67</f>
        <v>386.23092542129007</v>
      </c>
      <c r="K67" s="9">
        <f t="shared" ref="K67:K130" si="10">I67*1</f>
        <v>125.15482760096999</v>
      </c>
      <c r="L67" s="10">
        <f t="shared" si="7"/>
        <v>0.32404144609718799</v>
      </c>
      <c r="M67" s="10">
        <f t="shared" ref="M67:M130" si="11">L67+ABS($N$2)*A67</f>
        <v>0.32479740309396038</v>
      </c>
      <c r="P67" s="8">
        <f t="shared" ref="P67:P130" si="12">(M67-$O$2)/$O$2*100</f>
        <v>0.2347620018721667</v>
      </c>
      <c r="U67" s="8">
        <v>32</v>
      </c>
      <c r="V67" s="10">
        <f t="shared" si="6"/>
        <v>0.3207057808700105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516.58818418765998</v>
      </c>
      <c r="E68">
        <v>238.13727193745001</v>
      </c>
      <c r="F68">
        <v>132.34572169404001</v>
      </c>
      <c r="G68">
        <v>115.15557476232</v>
      </c>
      <c r="I68" s="9">
        <f t="shared" si="8"/>
        <v>122.98169717513001</v>
      </c>
      <c r="J68" s="9">
        <f t="shared" si="9"/>
        <v>384.24246249362</v>
      </c>
      <c r="K68" s="9">
        <f t="shared" si="10"/>
        <v>122.98169717513001</v>
      </c>
      <c r="L68" s="10">
        <f t="shared" si="7"/>
        <v>0.32006274469774931</v>
      </c>
      <c r="M68" s="10">
        <f t="shared" si="11"/>
        <v>0.32083033180216436</v>
      </c>
      <c r="P68" s="8">
        <f t="shared" si="12"/>
        <v>-0.9895040882806575</v>
      </c>
      <c r="U68" s="8">
        <v>32.5</v>
      </c>
      <c r="V68" s="10">
        <f t="shared" si="6"/>
        <v>0.32185794205771262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509.02345786273003</v>
      </c>
      <c r="E69">
        <v>238.48913987837</v>
      </c>
      <c r="F69">
        <v>131.50648228175999</v>
      </c>
      <c r="G69">
        <v>114.6871218669</v>
      </c>
      <c r="I69" s="9">
        <f t="shared" si="8"/>
        <v>123.80201801147</v>
      </c>
      <c r="J69" s="9">
        <f t="shared" si="9"/>
        <v>377.51697558097004</v>
      </c>
      <c r="K69" s="9">
        <f t="shared" si="10"/>
        <v>123.80201801147</v>
      </c>
      <c r="L69" s="10">
        <f t="shared" si="7"/>
        <v>0.32793761875462174</v>
      </c>
      <c r="M69" s="10">
        <f t="shared" si="11"/>
        <v>0.32871683596667944</v>
      </c>
      <c r="P69" s="8">
        <f t="shared" si="12"/>
        <v>1.444326540987827</v>
      </c>
      <c r="U69" s="8">
        <v>33</v>
      </c>
      <c r="V69" s="10">
        <f t="shared" si="6"/>
        <v>0.32404144609718799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513.20156385752</v>
      </c>
      <c r="E70">
        <v>239.15725456125</v>
      </c>
      <c r="F70">
        <v>131.56611927398001</v>
      </c>
      <c r="G70">
        <v>115.04235090752</v>
      </c>
      <c r="I70" s="9">
        <f t="shared" si="8"/>
        <v>124.11490365373</v>
      </c>
      <c r="J70" s="9">
        <f t="shared" si="9"/>
        <v>381.63544458353999</v>
      </c>
      <c r="K70" s="9">
        <f t="shared" si="10"/>
        <v>124.11490365373</v>
      </c>
      <c r="L70" s="10">
        <f t="shared" si="7"/>
        <v>0.325218491665968</v>
      </c>
      <c r="M70" s="10">
        <f t="shared" si="11"/>
        <v>0.32600933898566836</v>
      </c>
      <c r="P70" s="8">
        <f t="shared" si="12"/>
        <v>0.60877393826604864</v>
      </c>
      <c r="U70" s="8">
        <v>33.5</v>
      </c>
      <c r="V70" s="10">
        <f t="shared" si="6"/>
        <v>0.32006274469774931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526.96785403997001</v>
      </c>
      <c r="E71">
        <v>243.23197219809001</v>
      </c>
      <c r="F71">
        <v>132.44165946413</v>
      </c>
      <c r="G71">
        <v>114.92912705272001</v>
      </c>
      <c r="I71" s="9">
        <f t="shared" si="8"/>
        <v>128.30284514536999</v>
      </c>
      <c r="J71" s="9">
        <f t="shared" si="9"/>
        <v>394.52619457584001</v>
      </c>
      <c r="K71" s="9">
        <f t="shared" si="10"/>
        <v>128.30284514536999</v>
      </c>
      <c r="L71" s="10">
        <f t="shared" si="7"/>
        <v>0.32520741818755522</v>
      </c>
      <c r="M71" s="10">
        <f t="shared" si="11"/>
        <v>0.32600989561489824</v>
      </c>
      <c r="P71" s="8">
        <f t="shared" si="12"/>
        <v>0.60894571795963104</v>
      </c>
      <c r="U71" s="8">
        <v>34</v>
      </c>
      <c r="V71" s="10">
        <f t="shared" si="6"/>
        <v>0.32793761875462174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529.98696785404002</v>
      </c>
      <c r="E72">
        <v>244.45178105995001</v>
      </c>
      <c r="F72">
        <v>131.91097666379</v>
      </c>
      <c r="G72">
        <v>114.88764044944</v>
      </c>
      <c r="I72" s="9">
        <f t="shared" si="8"/>
        <v>129.56414061051001</v>
      </c>
      <c r="J72" s="9">
        <f t="shared" si="9"/>
        <v>398.07599119025002</v>
      </c>
      <c r="K72" s="9">
        <f t="shared" si="10"/>
        <v>129.56414061051001</v>
      </c>
      <c r="L72" s="10">
        <f t="shared" si="7"/>
        <v>0.32547589776291785</v>
      </c>
      <c r="M72" s="10">
        <f t="shared" si="11"/>
        <v>0.32629000529790353</v>
      </c>
      <c r="P72" s="8">
        <f t="shared" si="12"/>
        <v>0.69538953537627768</v>
      </c>
      <c r="U72" s="8">
        <v>34.5</v>
      </c>
      <c r="V72" s="10">
        <f t="shared" si="6"/>
        <v>0.325218491665968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520.33622936577001</v>
      </c>
      <c r="E73">
        <v>241.01563857515001</v>
      </c>
      <c r="F73">
        <v>131.88936905790999</v>
      </c>
      <c r="G73">
        <v>114.85738980121</v>
      </c>
      <c r="I73" s="9">
        <f t="shared" si="8"/>
        <v>126.15824877394</v>
      </c>
      <c r="J73" s="9">
        <f t="shared" si="9"/>
        <v>388.44686030785999</v>
      </c>
      <c r="K73" s="9">
        <f t="shared" si="10"/>
        <v>126.15824877394</v>
      </c>
      <c r="L73" s="10">
        <f t="shared" si="7"/>
        <v>0.32477608050160178</v>
      </c>
      <c r="M73" s="10">
        <f t="shared" si="11"/>
        <v>0.32560181814423012</v>
      </c>
      <c r="P73" s="8">
        <f t="shared" si="12"/>
        <v>0.4830101416246434</v>
      </c>
      <c r="U73" s="8">
        <v>35</v>
      </c>
      <c r="V73" s="10">
        <f t="shared" si="6"/>
        <v>0.32520741818755522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502.10947002606002</v>
      </c>
      <c r="E74">
        <v>236.07471763684001</v>
      </c>
      <c r="F74">
        <v>131.49092480553</v>
      </c>
      <c r="G74">
        <v>115.11063094209</v>
      </c>
      <c r="I74" s="9">
        <f t="shared" si="8"/>
        <v>120.96408669475001</v>
      </c>
      <c r="J74" s="9">
        <f t="shared" si="9"/>
        <v>370.61854522053</v>
      </c>
      <c r="K74" s="9">
        <f t="shared" si="10"/>
        <v>120.96408669475001</v>
      </c>
      <c r="L74" s="10">
        <f t="shared" si="7"/>
        <v>0.32638433304186781</v>
      </c>
      <c r="M74" s="10">
        <f t="shared" si="11"/>
        <v>0.3272217007921388</v>
      </c>
      <c r="P74" s="8">
        <f t="shared" si="12"/>
        <v>0.98291731494991286</v>
      </c>
      <c r="U74" s="8">
        <v>35.5</v>
      </c>
      <c r="V74" s="10">
        <f t="shared" si="6"/>
        <v>0.32547589776291785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509.51346655083</v>
      </c>
      <c r="E75">
        <v>237.05473501303001</v>
      </c>
      <c r="F75">
        <v>132.15557476231999</v>
      </c>
      <c r="G75">
        <v>114.79429559205001</v>
      </c>
      <c r="I75" s="9">
        <f t="shared" si="8"/>
        <v>122.26043942098001</v>
      </c>
      <c r="J75" s="9">
        <f t="shared" si="9"/>
        <v>377.35789178851002</v>
      </c>
      <c r="K75" s="9">
        <f t="shared" si="10"/>
        <v>122.26043942098001</v>
      </c>
      <c r="L75" s="10">
        <f t="shared" si="7"/>
        <v>0.3239906785611914</v>
      </c>
      <c r="M75" s="10">
        <f t="shared" si="11"/>
        <v>0.32483967641910499</v>
      </c>
      <c r="P75" s="8">
        <f t="shared" si="12"/>
        <v>0.24780784720385632</v>
      </c>
      <c r="U75" s="8">
        <v>36</v>
      </c>
      <c r="V75" s="10">
        <f t="shared" si="6"/>
        <v>0.32477608050160178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509.62033014769997</v>
      </c>
      <c r="E76">
        <v>236.46915725456</v>
      </c>
      <c r="F76">
        <v>131.92739844425</v>
      </c>
      <c r="G76">
        <v>114.76577355229</v>
      </c>
      <c r="I76" s="9">
        <f t="shared" si="8"/>
        <v>121.70338370227</v>
      </c>
      <c r="J76" s="9">
        <f t="shared" si="9"/>
        <v>377.69293170344997</v>
      </c>
      <c r="K76" s="9">
        <f t="shared" si="10"/>
        <v>121.70338370227</v>
      </c>
      <c r="L76" s="10">
        <f t="shared" si="7"/>
        <v>0.32222838577722401</v>
      </c>
      <c r="M76" s="10">
        <f t="shared" si="11"/>
        <v>0.32308901374278026</v>
      </c>
      <c r="P76" s="8">
        <f t="shared" si="12"/>
        <v>-0.29245896230695267</v>
      </c>
      <c r="U76" s="8">
        <v>36.5</v>
      </c>
      <c r="V76" s="10">
        <f t="shared" si="6"/>
        <v>0.32638433304186781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503.13130434783</v>
      </c>
      <c r="E77">
        <v>234.98434782608999</v>
      </c>
      <c r="F77">
        <v>131.67502160761001</v>
      </c>
      <c r="G77">
        <v>114.92048401037</v>
      </c>
      <c r="I77" s="9">
        <f t="shared" si="8"/>
        <v>120.06386381571998</v>
      </c>
      <c r="J77" s="9">
        <f t="shared" si="9"/>
        <v>371.45628274021999</v>
      </c>
      <c r="K77" s="9">
        <f t="shared" si="10"/>
        <v>120.06386381571998</v>
      </c>
      <c r="L77" s="10">
        <f t="shared" si="7"/>
        <v>0.32322474916836258</v>
      </c>
      <c r="M77" s="10">
        <f t="shared" si="11"/>
        <v>0.32409700724156149</v>
      </c>
      <c r="P77" s="8">
        <f t="shared" si="12"/>
        <v>1.8614917863640119E-2</v>
      </c>
      <c r="U77" s="8">
        <v>37</v>
      </c>
      <c r="V77" s="10">
        <f t="shared" si="6"/>
        <v>0.3239906785611914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513.21304347826003</v>
      </c>
      <c r="E78">
        <v>238.62956521739</v>
      </c>
      <c r="F78">
        <v>131.78997407086999</v>
      </c>
      <c r="G78">
        <v>114.78305963699</v>
      </c>
      <c r="I78" s="9">
        <f t="shared" si="8"/>
        <v>123.84650558039999</v>
      </c>
      <c r="J78" s="9">
        <f t="shared" si="9"/>
        <v>381.42306940739002</v>
      </c>
      <c r="K78" s="9">
        <f t="shared" si="10"/>
        <v>123.84650558039999</v>
      </c>
      <c r="L78" s="10">
        <f t="shared" si="7"/>
        <v>0.32469589679727034</v>
      </c>
      <c r="M78" s="10">
        <f t="shared" si="11"/>
        <v>0.32557978497811191</v>
      </c>
      <c r="P78" s="8">
        <f t="shared" si="12"/>
        <v>0.47621055166188953</v>
      </c>
      <c r="U78" s="8">
        <v>37.5</v>
      </c>
      <c r="V78" s="10">
        <f t="shared" si="6"/>
        <v>0.32222838577722401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512.58311800171998</v>
      </c>
      <c r="E79">
        <v>239.13092161929001</v>
      </c>
      <c r="F79">
        <v>131.62834917891001</v>
      </c>
      <c r="G79">
        <v>115.08038029386</v>
      </c>
      <c r="I79" s="9">
        <f t="shared" si="8"/>
        <v>124.05054132543</v>
      </c>
      <c r="J79" s="9">
        <f t="shared" si="9"/>
        <v>380.95476882280997</v>
      </c>
      <c r="K79" s="9">
        <f t="shared" si="10"/>
        <v>124.05054132543</v>
      </c>
      <c r="L79" s="10">
        <f t="shared" si="7"/>
        <v>0.32563062987440511</v>
      </c>
      <c r="M79" s="10">
        <f t="shared" si="11"/>
        <v>0.32652614816288933</v>
      </c>
      <c r="P79" s="8">
        <f t="shared" si="12"/>
        <v>0.76826488365436874</v>
      </c>
      <c r="U79" s="8">
        <v>38</v>
      </c>
      <c r="V79" s="10">
        <f t="shared" si="6"/>
        <v>0.32322474916836258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520.03703703704002</v>
      </c>
      <c r="E80">
        <v>239.79328165375</v>
      </c>
      <c r="F80">
        <v>131.92653414002001</v>
      </c>
      <c r="G80">
        <v>114.87121866897</v>
      </c>
      <c r="I80" s="9">
        <f t="shared" si="8"/>
        <v>124.92206298478</v>
      </c>
      <c r="J80" s="9">
        <f t="shared" si="9"/>
        <v>388.11050289702001</v>
      </c>
      <c r="K80" s="9">
        <f t="shared" si="10"/>
        <v>124.92206298478</v>
      </c>
      <c r="L80" s="10">
        <f t="shared" si="7"/>
        <v>0.32187241018294838</v>
      </c>
      <c r="M80" s="10">
        <f t="shared" si="11"/>
        <v>0.32277955857907525</v>
      </c>
      <c r="P80" s="8">
        <f t="shared" si="12"/>
        <v>-0.38795900137360939</v>
      </c>
      <c r="U80" s="8">
        <v>38.5</v>
      </c>
      <c r="V80" s="10">
        <f t="shared" si="6"/>
        <v>0.32469589679727034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514.44675324674995</v>
      </c>
      <c r="E81">
        <v>238.99393939394</v>
      </c>
      <c r="F81">
        <v>131.90319792567001</v>
      </c>
      <c r="G81">
        <v>115.10890233361999</v>
      </c>
      <c r="I81" s="9">
        <f t="shared" si="8"/>
        <v>123.88503706032</v>
      </c>
      <c r="J81" s="9">
        <f t="shared" si="9"/>
        <v>382.54355532107991</v>
      </c>
      <c r="K81" s="9">
        <f t="shared" si="10"/>
        <v>123.88503706032</v>
      </c>
      <c r="L81" s="10">
        <f t="shared" si="7"/>
        <v>0.32384557349643411</v>
      </c>
      <c r="M81" s="10">
        <f t="shared" si="11"/>
        <v>0.32476435200020365</v>
      </c>
      <c r="P81" s="8">
        <f t="shared" si="12"/>
        <v>0.22456220198137419</v>
      </c>
      <c r="U81" s="8">
        <v>39</v>
      </c>
      <c r="V81" s="10">
        <f t="shared" si="6"/>
        <v>0.32563062987440511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515.08917748917997</v>
      </c>
      <c r="E82">
        <v>238.57316017316001</v>
      </c>
      <c r="F82">
        <v>132.15125324114001</v>
      </c>
      <c r="G82">
        <v>114.80726015558</v>
      </c>
      <c r="H82" s="13"/>
      <c r="I82" s="14">
        <f t="shared" si="8"/>
        <v>123.76590001758001</v>
      </c>
      <c r="J82" s="14">
        <f t="shared" si="9"/>
        <v>382.93792424803996</v>
      </c>
      <c r="K82" s="9">
        <f t="shared" si="10"/>
        <v>123.76590001758001</v>
      </c>
      <c r="L82" s="15">
        <f t="shared" si="7"/>
        <v>0.32320094767478097</v>
      </c>
      <c r="M82" s="15">
        <f t="shared" si="11"/>
        <v>0.32413135628619316</v>
      </c>
      <c r="N82" s="13"/>
      <c r="O82" s="13"/>
      <c r="P82" s="13">
        <f t="shared" si="12"/>
        <v>2.9215274519360505E-2</v>
      </c>
      <c r="U82" s="8">
        <v>39.5</v>
      </c>
      <c r="V82" s="10">
        <f t="shared" si="6"/>
        <v>0.32187241018294838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533.68201563857997</v>
      </c>
      <c r="E83">
        <v>245.34926151172999</v>
      </c>
      <c r="F83">
        <v>131.77960242005</v>
      </c>
      <c r="G83">
        <v>115.22126188418</v>
      </c>
      <c r="I83" s="9">
        <f t="shared" si="8"/>
        <v>130.12799962755</v>
      </c>
      <c r="J83" s="9">
        <f t="shared" si="9"/>
        <v>401.90241321853</v>
      </c>
      <c r="K83" s="9">
        <f t="shared" si="10"/>
        <v>130.12799962755</v>
      </c>
      <c r="L83" s="10">
        <f t="shared" si="7"/>
        <v>0.32378009025985705</v>
      </c>
      <c r="M83" s="10">
        <f t="shared" si="11"/>
        <v>0.32472212897891189</v>
      </c>
      <c r="P83" s="8">
        <f t="shared" si="12"/>
        <v>0.21153188077232618</v>
      </c>
      <c r="U83" s="8">
        <v>40</v>
      </c>
      <c r="V83" s="10">
        <f t="shared" si="6"/>
        <v>0.32384557349643411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524.71850564726003</v>
      </c>
      <c r="E84">
        <v>241.83579496089999</v>
      </c>
      <c r="F84">
        <v>131.89369057907999</v>
      </c>
      <c r="G84">
        <v>114.76577355229</v>
      </c>
      <c r="I84" s="9">
        <f t="shared" si="8"/>
        <v>127.07002140860999</v>
      </c>
      <c r="J84" s="9">
        <f t="shared" si="9"/>
        <v>392.82481506818004</v>
      </c>
      <c r="K84" s="9">
        <f t="shared" si="10"/>
        <v>127.07002140860999</v>
      </c>
      <c r="L84" s="10">
        <f t="shared" si="7"/>
        <v>0.32347758220558259</v>
      </c>
      <c r="M84" s="10">
        <f t="shared" si="11"/>
        <v>0.3244312510322801</v>
      </c>
      <c r="P84" s="8">
        <f t="shared" si="12"/>
        <v>0.12176490149695071</v>
      </c>
      <c r="U84" s="8">
        <v>150.5</v>
      </c>
      <c r="V84" s="10">
        <f>L302</f>
        <v>0.32194870542539278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532.23979148567003</v>
      </c>
      <c r="E85">
        <v>244.47263249348001</v>
      </c>
      <c r="F85">
        <v>131.70872947276999</v>
      </c>
      <c r="G85">
        <v>115.22385479689</v>
      </c>
      <c r="I85" s="9">
        <f t="shared" si="8"/>
        <v>129.24877769659003</v>
      </c>
      <c r="J85" s="9">
        <f t="shared" si="9"/>
        <v>400.53106201290007</v>
      </c>
      <c r="K85" s="9">
        <f t="shared" si="10"/>
        <v>129.24877769659003</v>
      </c>
      <c r="L85" s="10">
        <f t="shared" si="7"/>
        <v>0.3226935185676742</v>
      </c>
      <c r="M85" s="10">
        <f t="shared" si="11"/>
        <v>0.32365881750201436</v>
      </c>
      <c r="P85" s="8">
        <f t="shared" si="12"/>
        <v>-0.11661351634419793</v>
      </c>
      <c r="U85" s="8">
        <v>151</v>
      </c>
      <c r="V85" s="10">
        <f t="shared" ref="V85:V103" si="13">L303</f>
        <v>0.32362891018559242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525.03301476977003</v>
      </c>
      <c r="E86">
        <v>242.18505647263001</v>
      </c>
      <c r="F86">
        <v>132.27139152981999</v>
      </c>
      <c r="G86">
        <v>114.67502160761001</v>
      </c>
      <c r="I86" s="9">
        <f t="shared" si="8"/>
        <v>127.51003486502</v>
      </c>
      <c r="J86" s="9">
        <f t="shared" si="9"/>
        <v>392.76162323995004</v>
      </c>
      <c r="K86" s="9">
        <f t="shared" si="10"/>
        <v>127.51003486502</v>
      </c>
      <c r="L86" s="10">
        <f t="shared" si="7"/>
        <v>0.32464993349699095</v>
      </c>
      <c r="M86" s="10">
        <f t="shared" si="11"/>
        <v>0.32562686253897372</v>
      </c>
      <c r="P86" s="8">
        <f t="shared" si="12"/>
        <v>0.49073901791088492</v>
      </c>
      <c r="U86" s="8">
        <v>151.5</v>
      </c>
      <c r="V86" s="10">
        <f t="shared" si="13"/>
        <v>0.32121150955079886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528.06168549088</v>
      </c>
      <c r="E87">
        <v>243.01390095568999</v>
      </c>
      <c r="F87">
        <v>131.72082973207</v>
      </c>
      <c r="G87">
        <v>114.9187554019</v>
      </c>
      <c r="I87" s="9">
        <f t="shared" si="8"/>
        <v>128.09514555378999</v>
      </c>
      <c r="J87" s="9">
        <f t="shared" si="9"/>
        <v>396.34085575880999</v>
      </c>
      <c r="K87" s="9">
        <f t="shared" si="10"/>
        <v>128.09514555378999</v>
      </c>
      <c r="L87" s="10">
        <f t="shared" si="7"/>
        <v>0.3231944012144467</v>
      </c>
      <c r="M87" s="10">
        <f t="shared" si="11"/>
        <v>0.32418296036407213</v>
      </c>
      <c r="P87" s="8">
        <f t="shared" si="12"/>
        <v>4.5140655742398401E-2</v>
      </c>
      <c r="U87" s="8">
        <v>152</v>
      </c>
      <c r="V87" s="10">
        <f t="shared" si="13"/>
        <v>0.32052148679032522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525.76715899218004</v>
      </c>
      <c r="E88">
        <v>242.81928757602</v>
      </c>
      <c r="F88">
        <v>132.21261884182999</v>
      </c>
      <c r="G88">
        <v>114.94209161625</v>
      </c>
      <c r="I88" s="9">
        <f t="shared" si="8"/>
        <v>127.87719595977001</v>
      </c>
      <c r="J88" s="9">
        <f t="shared" si="9"/>
        <v>393.55454015035002</v>
      </c>
      <c r="K88" s="9">
        <f t="shared" si="10"/>
        <v>127.87719595977001</v>
      </c>
      <c r="L88" s="10">
        <f t="shared" si="7"/>
        <v>0.32492877838715051</v>
      </c>
      <c r="M88" s="10">
        <f t="shared" si="11"/>
        <v>0.32592896764441859</v>
      </c>
      <c r="P88" s="8">
        <f t="shared" si="12"/>
        <v>0.58397077732571367</v>
      </c>
      <c r="U88" s="8">
        <v>152.5</v>
      </c>
      <c r="V88" s="10">
        <f t="shared" si="13"/>
        <v>0.31523611302100552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521.73588184187997</v>
      </c>
      <c r="E89">
        <v>241.78453518679001</v>
      </c>
      <c r="F89">
        <v>132.20829732065999</v>
      </c>
      <c r="G89">
        <v>115.2955920484</v>
      </c>
      <c r="I89" s="9">
        <f t="shared" si="8"/>
        <v>126.48894313839001</v>
      </c>
      <c r="J89" s="9">
        <f t="shared" si="9"/>
        <v>389.52758452121998</v>
      </c>
      <c r="K89" s="9">
        <f t="shared" si="10"/>
        <v>126.48894313839001</v>
      </c>
      <c r="L89" s="10">
        <f t="shared" si="7"/>
        <v>0.32472396863462538</v>
      </c>
      <c r="M89" s="10">
        <f t="shared" si="11"/>
        <v>0.32573578799953612</v>
      </c>
      <c r="P89" s="8">
        <f t="shared" si="12"/>
        <v>0.52435418081370644</v>
      </c>
      <c r="U89" s="8">
        <v>153</v>
      </c>
      <c r="V89" s="10">
        <f t="shared" si="13"/>
        <v>0.31450191024953378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515.88031222896996</v>
      </c>
      <c r="E90">
        <v>240.16565481353001</v>
      </c>
      <c r="F90">
        <v>131.71823681935999</v>
      </c>
      <c r="G90">
        <v>114.79170267934001</v>
      </c>
      <c r="I90" s="9">
        <f t="shared" si="8"/>
        <v>125.37395213419001</v>
      </c>
      <c r="J90" s="9">
        <f t="shared" si="9"/>
        <v>384.16207540961</v>
      </c>
      <c r="K90" s="9">
        <f t="shared" si="10"/>
        <v>125.37395213419001</v>
      </c>
      <c r="L90" s="10">
        <f t="shared" si="7"/>
        <v>0.32635692110032188</v>
      </c>
      <c r="M90" s="10">
        <f t="shared" si="11"/>
        <v>0.32738037057287528</v>
      </c>
      <c r="P90" s="8">
        <f t="shared" si="12"/>
        <v>1.0318839247734801</v>
      </c>
      <c r="U90" s="8">
        <v>153.5</v>
      </c>
      <c r="V90" s="10">
        <f t="shared" si="13"/>
        <v>0.31975832773465718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519.26626192541005</v>
      </c>
      <c r="E91">
        <v>243.46574154379999</v>
      </c>
      <c r="F91">
        <v>132.40363007779001</v>
      </c>
      <c r="G91">
        <v>114.92912705272001</v>
      </c>
      <c r="I91" s="9">
        <f t="shared" si="8"/>
        <v>128.53661449108</v>
      </c>
      <c r="J91" s="9">
        <f t="shared" si="9"/>
        <v>386.86263184762004</v>
      </c>
      <c r="K91" s="9">
        <f t="shared" si="10"/>
        <v>128.53661449108</v>
      </c>
      <c r="L91" s="10">
        <f t="shared" si="7"/>
        <v>0.33225389042410497</v>
      </c>
      <c r="M91" s="10">
        <f t="shared" si="11"/>
        <v>0.33328897000430102</v>
      </c>
      <c r="P91" s="8">
        <f t="shared" si="12"/>
        <v>2.8553192482450345</v>
      </c>
      <c r="U91" s="8">
        <v>154</v>
      </c>
      <c r="V91" s="10">
        <f t="shared" si="13"/>
        <v>0.31852237526242755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523.99479618386999</v>
      </c>
      <c r="E92">
        <v>267.37554206418002</v>
      </c>
      <c r="F92">
        <v>131.92480553154999</v>
      </c>
      <c r="G92">
        <v>114.81676750216</v>
      </c>
      <c r="I92" s="9">
        <f t="shared" si="8"/>
        <v>152.55877456202001</v>
      </c>
      <c r="J92" s="9">
        <f t="shared" si="9"/>
        <v>392.06999065232003</v>
      </c>
      <c r="K92" s="9">
        <f t="shared" si="10"/>
        <v>152.55877456202001</v>
      </c>
      <c r="L92" s="10">
        <f t="shared" si="7"/>
        <v>0.38911107251079091</v>
      </c>
      <c r="M92" s="10">
        <f t="shared" si="11"/>
        <v>0.39015778219862962</v>
      </c>
      <c r="P92" s="8">
        <f t="shared" si="12"/>
        <v>20.405434493405039</v>
      </c>
      <c r="U92" s="8">
        <v>154.5</v>
      </c>
      <c r="V92" s="10">
        <f t="shared" si="13"/>
        <v>0.31738663268013056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545.43365134431997</v>
      </c>
      <c r="E93">
        <v>344.23764093669001</v>
      </c>
      <c r="F93">
        <v>131.79688850475</v>
      </c>
      <c r="G93">
        <v>115.25410544512</v>
      </c>
      <c r="I93" s="9">
        <f t="shared" si="8"/>
        <v>228.98353549157002</v>
      </c>
      <c r="J93" s="9">
        <f t="shared" si="9"/>
        <v>413.63676283957</v>
      </c>
      <c r="K93" s="9">
        <f t="shared" si="10"/>
        <v>228.98353549157002</v>
      </c>
      <c r="L93" s="10">
        <f t="shared" si="7"/>
        <v>0.55358603505071391</v>
      </c>
      <c r="M93" s="10">
        <f t="shared" si="11"/>
        <v>0.55464437484619522</v>
      </c>
      <c r="P93" s="8">
        <f t="shared" si="12"/>
        <v>71.16715336637904</v>
      </c>
      <c r="U93" s="8">
        <v>155</v>
      </c>
      <c r="V93" s="10">
        <f t="shared" si="13"/>
        <v>0.32177118386303949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561.85949696444004</v>
      </c>
      <c r="E94">
        <v>418.18126626192998</v>
      </c>
      <c r="F94">
        <v>132.17891097666001</v>
      </c>
      <c r="G94">
        <v>115.18755401902</v>
      </c>
      <c r="I94" s="9">
        <f t="shared" si="8"/>
        <v>302.99371224290996</v>
      </c>
      <c r="J94" s="9">
        <f t="shared" si="9"/>
        <v>429.68058598778003</v>
      </c>
      <c r="K94" s="9">
        <f t="shared" si="10"/>
        <v>302.99371224290996</v>
      </c>
      <c r="L94" s="10">
        <f t="shared" si="7"/>
        <v>0.70516034962661078</v>
      </c>
      <c r="M94" s="10">
        <f t="shared" si="11"/>
        <v>0.70623031952973481</v>
      </c>
      <c r="P94" s="8">
        <f t="shared" si="12"/>
        <v>117.94764158286898</v>
      </c>
      <c r="U94" s="8">
        <v>155.5</v>
      </c>
      <c r="V94" s="10">
        <f t="shared" si="13"/>
        <v>0.32039684294517962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570.81699913269995</v>
      </c>
      <c r="E95">
        <v>480.64267129228</v>
      </c>
      <c r="F95">
        <v>132.36387208297</v>
      </c>
      <c r="G95">
        <v>114.98789974071001</v>
      </c>
      <c r="I95" s="9">
        <f t="shared" si="8"/>
        <v>365.65477155156998</v>
      </c>
      <c r="J95" s="9">
        <f t="shared" si="9"/>
        <v>438.45312704972991</v>
      </c>
      <c r="K95" s="9">
        <f t="shared" si="10"/>
        <v>365.65477155156998</v>
      </c>
      <c r="L95" s="10">
        <f t="shared" si="7"/>
        <v>0.83396547770566354</v>
      </c>
      <c r="M95" s="10">
        <f t="shared" si="11"/>
        <v>0.83504707771643016</v>
      </c>
      <c r="P95" s="8">
        <f t="shared" si="12"/>
        <v>157.70139877335015</v>
      </c>
      <c r="U95" s="8">
        <v>156</v>
      </c>
      <c r="V95" s="10">
        <f t="shared" si="13"/>
        <v>0.32739213810935736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574.77883781440005</v>
      </c>
      <c r="E96">
        <v>524.39028620988995</v>
      </c>
      <c r="F96">
        <v>132.03802938634001</v>
      </c>
      <c r="G96">
        <v>114.81071737252</v>
      </c>
      <c r="I96" s="9">
        <f t="shared" si="8"/>
        <v>409.57956883736995</v>
      </c>
      <c r="J96" s="9">
        <f t="shared" si="9"/>
        <v>442.74080842806006</v>
      </c>
      <c r="K96" s="9">
        <f t="shared" si="10"/>
        <v>409.57956883736995</v>
      </c>
      <c r="L96" s="10">
        <f t="shared" si="7"/>
        <v>0.92510010606786341</v>
      </c>
      <c r="M96" s="10">
        <f t="shared" si="11"/>
        <v>0.92619333618627275</v>
      </c>
      <c r="P96" s="8">
        <f t="shared" si="12"/>
        <v>185.82977491816445</v>
      </c>
      <c r="U96" s="8">
        <v>156.5</v>
      </c>
      <c r="V96" s="10">
        <f t="shared" si="13"/>
        <v>0.32204808490399117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584.08586296618</v>
      </c>
      <c r="E97">
        <v>557.85776235905996</v>
      </c>
      <c r="F97">
        <v>131.76836646500001</v>
      </c>
      <c r="G97">
        <v>114.93517718237</v>
      </c>
      <c r="I97" s="9">
        <f t="shared" si="8"/>
        <v>442.92258517668995</v>
      </c>
      <c r="J97" s="9">
        <f t="shared" si="9"/>
        <v>452.31749650118002</v>
      </c>
      <c r="K97" s="9">
        <f t="shared" si="10"/>
        <v>442.92258517668995</v>
      </c>
      <c r="L97" s="10">
        <f t="shared" si="7"/>
        <v>0.9792293877703987</v>
      </c>
      <c r="M97" s="10">
        <f t="shared" si="11"/>
        <v>0.98033424799645064</v>
      </c>
      <c r="P97" s="8">
        <f t="shared" si="12"/>
        <v>202.53804092695279</v>
      </c>
      <c r="U97" s="8">
        <v>157</v>
      </c>
      <c r="V97" s="10">
        <f t="shared" si="13"/>
        <v>0.32285490493934826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590.76756287945</v>
      </c>
      <c r="E98">
        <v>579.69644405897998</v>
      </c>
      <c r="F98">
        <v>132.28867761452</v>
      </c>
      <c r="G98">
        <v>114.79861711322</v>
      </c>
      <c r="I98" s="9">
        <f t="shared" si="8"/>
        <v>464.89782694575996</v>
      </c>
      <c r="J98" s="9">
        <f t="shared" si="9"/>
        <v>458.47888526493</v>
      </c>
      <c r="K98" s="9">
        <f t="shared" si="10"/>
        <v>464.89782694575996</v>
      </c>
      <c r="L98" s="10">
        <f t="shared" si="7"/>
        <v>1.0140005175529967</v>
      </c>
      <c r="M98" s="10">
        <f t="shared" si="11"/>
        <v>1.0151170078866913</v>
      </c>
      <c r="P98" s="8">
        <f t="shared" si="12"/>
        <v>213.27224516059297</v>
      </c>
      <c r="U98" s="8">
        <v>157.5</v>
      </c>
      <c r="V98" s="10">
        <f t="shared" si="13"/>
        <v>0.32269386885673057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580.50477016478999</v>
      </c>
      <c r="E99">
        <v>569.07545533390999</v>
      </c>
      <c r="F99">
        <v>132.14174589455999</v>
      </c>
      <c r="G99">
        <v>114.89628349179</v>
      </c>
      <c r="I99" s="9">
        <f t="shared" si="8"/>
        <v>454.17917184212001</v>
      </c>
      <c r="J99" s="9">
        <f t="shared" si="9"/>
        <v>448.36302427022997</v>
      </c>
      <c r="K99" s="9">
        <f t="shared" si="10"/>
        <v>454.17917184212001</v>
      </c>
      <c r="L99" s="10">
        <f t="shared" si="7"/>
        <v>1.0129719607930574</v>
      </c>
      <c r="M99" s="10">
        <f t="shared" si="11"/>
        <v>1.0141000812343948</v>
      </c>
      <c r="P99" s="8">
        <f t="shared" si="12"/>
        <v>212.95841444644523</v>
      </c>
      <c r="U99" s="8">
        <v>158</v>
      </c>
      <c r="V99" s="10">
        <f t="shared" si="13"/>
        <v>0.31700714680455233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580.64198606271998</v>
      </c>
      <c r="E100">
        <v>563.63850174215997</v>
      </c>
      <c r="F100">
        <v>132.54537597234</v>
      </c>
      <c r="G100">
        <v>114.91356957649</v>
      </c>
      <c r="I100" s="9">
        <f t="shared" si="8"/>
        <v>448.72493216567</v>
      </c>
      <c r="J100" s="9">
        <f t="shared" si="9"/>
        <v>448.09661009037995</v>
      </c>
      <c r="K100" s="9">
        <f t="shared" si="10"/>
        <v>448.72493216567</v>
      </c>
      <c r="L100" s="10">
        <f t="shared" si="7"/>
        <v>1.0014022022509015</v>
      </c>
      <c r="M100" s="10">
        <f t="shared" si="11"/>
        <v>1.0025419527998813</v>
      </c>
      <c r="P100" s="8">
        <f t="shared" si="12"/>
        <v>209.39149475501725</v>
      </c>
      <c r="U100" s="8">
        <v>158.5</v>
      </c>
      <c r="V100" s="10">
        <f t="shared" si="13"/>
        <v>0.31750522936630421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562.64044943819999</v>
      </c>
      <c r="E101">
        <v>535.33189282627995</v>
      </c>
      <c r="F101">
        <v>132.14866032844</v>
      </c>
      <c r="G101">
        <v>114.84788245462001</v>
      </c>
      <c r="I101" s="9">
        <f t="shared" si="8"/>
        <v>420.48401037165996</v>
      </c>
      <c r="J101" s="9">
        <f t="shared" si="9"/>
        <v>430.49178910976002</v>
      </c>
      <c r="K101" s="9">
        <f t="shared" si="10"/>
        <v>420.48401037165996</v>
      </c>
      <c r="L101" s="10">
        <f t="shared" si="7"/>
        <v>0.97675268381123892</v>
      </c>
      <c r="M101" s="10">
        <f t="shared" si="11"/>
        <v>0.97790406446786149</v>
      </c>
      <c r="P101" s="8">
        <f t="shared" si="12"/>
        <v>201.78806920523141</v>
      </c>
      <c r="U101" s="8">
        <v>159</v>
      </c>
      <c r="V101" s="10">
        <f t="shared" si="13"/>
        <v>0.32008491510887471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560.48919619705998</v>
      </c>
      <c r="E102">
        <v>518.55834053587</v>
      </c>
      <c r="F102">
        <v>132.28608470181999</v>
      </c>
      <c r="G102">
        <v>115.00950734659</v>
      </c>
      <c r="I102" s="9">
        <f t="shared" si="8"/>
        <v>403.54883318928</v>
      </c>
      <c r="J102" s="9">
        <f t="shared" si="9"/>
        <v>428.20311149524002</v>
      </c>
      <c r="K102" s="9">
        <f t="shared" si="10"/>
        <v>403.54883318928</v>
      </c>
      <c r="L102" s="10">
        <f t="shared" si="7"/>
        <v>0.94242386931783406</v>
      </c>
      <c r="M102" s="10">
        <f t="shared" si="11"/>
        <v>0.94358688008209934</v>
      </c>
      <c r="P102" s="8">
        <f t="shared" si="12"/>
        <v>191.19754484538564</v>
      </c>
      <c r="U102" s="8">
        <v>159.5</v>
      </c>
      <c r="V102" s="10">
        <f t="shared" si="13"/>
        <v>0.32264924404801548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556.05363321798995</v>
      </c>
      <c r="E103">
        <v>506.01384083045002</v>
      </c>
      <c r="F103">
        <v>131.66810717372999</v>
      </c>
      <c r="G103">
        <v>115.15038893691001</v>
      </c>
      <c r="I103" s="9">
        <f t="shared" si="8"/>
        <v>390.86345189354</v>
      </c>
      <c r="J103" s="9">
        <f t="shared" si="9"/>
        <v>424.38552604425996</v>
      </c>
      <c r="K103" s="9">
        <f t="shared" si="10"/>
        <v>390.86345189354</v>
      </c>
      <c r="L103" s="10">
        <f t="shared" si="7"/>
        <v>0.92101032647559267</v>
      </c>
      <c r="M103" s="10">
        <f t="shared" si="11"/>
        <v>0.92218496734750055</v>
      </c>
      <c r="P103" s="8">
        <f t="shared" si="12"/>
        <v>184.59276411468269</v>
      </c>
      <c r="U103" s="8">
        <v>160</v>
      </c>
      <c r="V103" s="10">
        <f t="shared" si="13"/>
        <v>0.32001430568038236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561.76124567474005</v>
      </c>
      <c r="E104">
        <v>498.62024221452998</v>
      </c>
      <c r="F104">
        <v>131.33448573897999</v>
      </c>
      <c r="G104">
        <v>115.27657735523</v>
      </c>
      <c r="I104" s="9">
        <f t="shared" si="8"/>
        <v>383.34366485929996</v>
      </c>
      <c r="J104" s="9">
        <f t="shared" si="9"/>
        <v>430.42675993576006</v>
      </c>
      <c r="K104" s="9">
        <f t="shared" si="10"/>
        <v>383.34366485929996</v>
      </c>
      <c r="L104" s="10">
        <f t="shared" si="7"/>
        <v>0.89061299282719519</v>
      </c>
      <c r="M104" s="10">
        <f t="shared" si="11"/>
        <v>0.89179926380674568</v>
      </c>
      <c r="P104" s="8">
        <f t="shared" si="12"/>
        <v>175.21552238290099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553.32958477508998</v>
      </c>
      <c r="E105">
        <v>481.57352941176998</v>
      </c>
      <c r="F105">
        <v>132.29818496111</v>
      </c>
      <c r="G105">
        <v>114.76058772688</v>
      </c>
      <c r="I105" s="9">
        <f t="shared" si="8"/>
        <v>366.81294168489001</v>
      </c>
      <c r="J105" s="9">
        <f t="shared" si="9"/>
        <v>421.03139981397999</v>
      </c>
      <c r="K105" s="9">
        <f t="shared" si="10"/>
        <v>366.81294168489001</v>
      </c>
      <c r="L105" s="10">
        <f t="shared" si="7"/>
        <v>0.87122466839042223</v>
      </c>
      <c r="M105" s="10">
        <f t="shared" si="11"/>
        <v>0.87242256947761543</v>
      </c>
      <c r="P105" s="8">
        <f t="shared" si="12"/>
        <v>169.23573828991815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559.68425605536004</v>
      </c>
      <c r="E106">
        <v>469.11418685120998</v>
      </c>
      <c r="F106">
        <v>132.41918755402</v>
      </c>
      <c r="G106">
        <v>114.91443388073</v>
      </c>
      <c r="I106" s="9">
        <f t="shared" si="8"/>
        <v>354.19975297047995</v>
      </c>
      <c r="J106" s="9">
        <f t="shared" si="9"/>
        <v>427.26506850134001</v>
      </c>
      <c r="K106" s="9">
        <f t="shared" si="10"/>
        <v>354.19975297047995</v>
      </c>
      <c r="L106" s="10">
        <f t="shared" si="7"/>
        <v>0.8289930047706886</v>
      </c>
      <c r="M106" s="10">
        <f t="shared" si="11"/>
        <v>0.8302025359655244</v>
      </c>
      <c r="P106" s="8">
        <f t="shared" si="12"/>
        <v>156.206339130679</v>
      </c>
      <c r="X106" s="8">
        <v>-13</v>
      </c>
    </row>
    <row r="107" spans="1:25" x14ac:dyDescent="0.2">
      <c r="A107" s="8">
        <v>52.5</v>
      </c>
      <c r="B107" s="8">
        <v>105</v>
      </c>
      <c r="D107">
        <v>551.38845822566998</v>
      </c>
      <c r="E107">
        <v>447.70284237726003</v>
      </c>
      <c r="F107">
        <v>132.44511668107</v>
      </c>
      <c r="G107">
        <v>114.9507346586</v>
      </c>
      <c r="I107" s="9">
        <f t="shared" si="8"/>
        <v>332.75210771866</v>
      </c>
      <c r="J107" s="9">
        <f t="shared" si="9"/>
        <v>418.9433415446</v>
      </c>
      <c r="K107" s="9">
        <f t="shared" si="10"/>
        <v>332.75210771866</v>
      </c>
      <c r="L107" s="10">
        <f t="shared" si="7"/>
        <v>0.7942651779399047</v>
      </c>
      <c r="M107" s="10">
        <f t="shared" si="11"/>
        <v>0.79548633924238321</v>
      </c>
      <c r="P107" s="8">
        <f t="shared" si="12"/>
        <v>145.4926767583614</v>
      </c>
      <c r="X107" s="8">
        <v>-13</v>
      </c>
    </row>
    <row r="108" spans="1:25" x14ac:dyDescent="0.2">
      <c r="A108" s="8">
        <v>53</v>
      </c>
      <c r="B108" s="8">
        <v>106</v>
      </c>
      <c r="D108">
        <v>544.84242424241995</v>
      </c>
      <c r="E108">
        <v>423.37489177488999</v>
      </c>
      <c r="F108">
        <v>132.17026793431</v>
      </c>
      <c r="G108">
        <v>114.768366465</v>
      </c>
      <c r="I108" s="9">
        <f t="shared" si="8"/>
        <v>308.60652530989</v>
      </c>
      <c r="J108" s="9">
        <f t="shared" si="9"/>
        <v>412.67215630810995</v>
      </c>
      <c r="K108" s="9">
        <f t="shared" si="10"/>
        <v>308.60652530989</v>
      </c>
      <c r="L108" s="10">
        <f t="shared" si="7"/>
        <v>0.74782492734856987</v>
      </c>
      <c r="M108" s="10">
        <f t="shared" si="11"/>
        <v>0.74905771875869098</v>
      </c>
      <c r="P108" s="8">
        <f t="shared" si="12"/>
        <v>131.16447807226581</v>
      </c>
      <c r="X108" s="8">
        <v>-13</v>
      </c>
    </row>
    <row r="109" spans="1:25" x14ac:dyDescent="0.2">
      <c r="A109" s="8">
        <v>53.5</v>
      </c>
      <c r="B109" s="8">
        <v>107</v>
      </c>
      <c r="D109">
        <v>546.17748917748997</v>
      </c>
      <c r="E109">
        <v>411.39653679653998</v>
      </c>
      <c r="F109">
        <v>131.8375108038</v>
      </c>
      <c r="G109">
        <v>115.01123595506</v>
      </c>
      <c r="I109" s="9">
        <f t="shared" si="8"/>
        <v>296.38530084147999</v>
      </c>
      <c r="J109" s="9">
        <f t="shared" si="9"/>
        <v>414.33997837368997</v>
      </c>
      <c r="K109" s="9">
        <f t="shared" si="10"/>
        <v>296.38530084147999</v>
      </c>
      <c r="L109" s="10">
        <f t="shared" si="7"/>
        <v>0.71531910100688478</v>
      </c>
      <c r="M109" s="10">
        <f t="shared" si="11"/>
        <v>0.71656352252464861</v>
      </c>
      <c r="P109" s="8">
        <f t="shared" si="12"/>
        <v>121.13654067210398</v>
      </c>
      <c r="X109" s="8">
        <v>-13</v>
      </c>
    </row>
    <row r="110" spans="1:25" x14ac:dyDescent="0.2">
      <c r="A110" s="8">
        <v>54</v>
      </c>
      <c r="B110" s="8">
        <v>108</v>
      </c>
      <c r="D110">
        <v>545.72072853426005</v>
      </c>
      <c r="E110">
        <v>392.96877710321002</v>
      </c>
      <c r="F110">
        <v>132.12186689715</v>
      </c>
      <c r="G110">
        <v>115.25929127053</v>
      </c>
      <c r="I110" s="9">
        <f t="shared" si="8"/>
        <v>277.70948583268</v>
      </c>
      <c r="J110" s="9">
        <f t="shared" si="9"/>
        <v>413.59886163711008</v>
      </c>
      <c r="K110" s="9">
        <f t="shared" si="10"/>
        <v>277.70948583268</v>
      </c>
      <c r="L110" s="10">
        <f t="shared" si="7"/>
        <v>0.67144644628239125</v>
      </c>
      <c r="M110" s="10">
        <f t="shared" si="11"/>
        <v>0.67270249790779768</v>
      </c>
      <c r="P110" s="8">
        <f t="shared" si="12"/>
        <v>107.60072012135753</v>
      </c>
      <c r="X110" s="8">
        <v>-13</v>
      </c>
    </row>
    <row r="111" spans="1:25" x14ac:dyDescent="0.2">
      <c r="A111" s="8">
        <v>54.5</v>
      </c>
      <c r="B111" s="8">
        <v>109</v>
      </c>
      <c r="D111">
        <v>537.22983521249</v>
      </c>
      <c r="E111">
        <v>378.01821335646002</v>
      </c>
      <c r="F111">
        <v>132.19187554019001</v>
      </c>
      <c r="G111">
        <v>114.88245462403</v>
      </c>
      <c r="I111" s="9">
        <f t="shared" si="8"/>
        <v>263.13575873243002</v>
      </c>
      <c r="J111" s="9">
        <f t="shared" si="9"/>
        <v>405.03795967229996</v>
      </c>
      <c r="K111" s="9">
        <f t="shared" si="10"/>
        <v>263.13575873243002</v>
      </c>
      <c r="L111" s="10">
        <f t="shared" si="7"/>
        <v>0.64965703201083336</v>
      </c>
      <c r="M111" s="10">
        <f t="shared" si="11"/>
        <v>0.6509247137438825</v>
      </c>
      <c r="P111" s="8">
        <f t="shared" si="12"/>
        <v>100.87994282509727</v>
      </c>
      <c r="X111" s="8">
        <v>-13</v>
      </c>
    </row>
    <row r="112" spans="1:25" x14ac:dyDescent="0.2">
      <c r="A112" s="8">
        <v>55</v>
      </c>
      <c r="B112" s="8">
        <v>110</v>
      </c>
      <c r="D112">
        <v>539.33564614049999</v>
      </c>
      <c r="E112">
        <v>371.26973113616998</v>
      </c>
      <c r="F112">
        <v>132.25929127053001</v>
      </c>
      <c r="G112">
        <v>114.75799481417999</v>
      </c>
      <c r="I112" s="9">
        <f t="shared" si="8"/>
        <v>256.51173632198999</v>
      </c>
      <c r="J112" s="9">
        <f t="shared" si="9"/>
        <v>407.07635486996998</v>
      </c>
      <c r="K112" s="9">
        <f t="shared" si="10"/>
        <v>256.51173632198999</v>
      </c>
      <c r="L112" s="10">
        <f t="shared" si="7"/>
        <v>0.63013175109108466</v>
      </c>
      <c r="M112" s="10">
        <f t="shared" si="11"/>
        <v>0.6314110629317764</v>
      </c>
      <c r="P112" s="8">
        <f t="shared" si="12"/>
        <v>94.857892998629723</v>
      </c>
      <c r="X112" s="8">
        <v>-13</v>
      </c>
    </row>
    <row r="113" spans="1:24" x14ac:dyDescent="0.2">
      <c r="A113" s="8">
        <v>55.5</v>
      </c>
      <c r="B113" s="8">
        <v>111</v>
      </c>
      <c r="D113">
        <v>535.91066782306996</v>
      </c>
      <c r="E113">
        <v>357.91066782307001</v>
      </c>
      <c r="F113">
        <v>132.13310285220001</v>
      </c>
      <c r="G113">
        <v>114.90492653414</v>
      </c>
      <c r="I113" s="9">
        <f t="shared" si="8"/>
        <v>243.00574128893001</v>
      </c>
      <c r="J113" s="9">
        <f t="shared" si="9"/>
        <v>403.77756497086995</v>
      </c>
      <c r="K113" s="9">
        <f t="shared" si="10"/>
        <v>243.00574128893001</v>
      </c>
      <c r="L113" s="10">
        <f t="shared" si="7"/>
        <v>0.60183071663840804</v>
      </c>
      <c r="M113" s="10">
        <f t="shared" si="11"/>
        <v>0.60312165858674249</v>
      </c>
      <c r="P113" s="8">
        <f t="shared" si="12"/>
        <v>86.127583936155787</v>
      </c>
      <c r="X113" s="8">
        <v>-13</v>
      </c>
    </row>
    <row r="114" spans="1:24" x14ac:dyDescent="0.2">
      <c r="A114" s="8">
        <v>56</v>
      </c>
      <c r="B114" s="8">
        <v>112</v>
      </c>
      <c r="D114">
        <v>529.29228100606997</v>
      </c>
      <c r="E114">
        <v>341.00086730268998</v>
      </c>
      <c r="F114">
        <v>131.78651685393001</v>
      </c>
      <c r="G114">
        <v>114.79688850475</v>
      </c>
      <c r="I114" s="9">
        <f t="shared" si="8"/>
        <v>226.20397879793998</v>
      </c>
      <c r="J114" s="9">
        <f t="shared" si="9"/>
        <v>397.50576415213993</v>
      </c>
      <c r="K114" s="9">
        <f t="shared" si="10"/>
        <v>226.20397879793998</v>
      </c>
      <c r="L114" s="10">
        <f t="shared" si="7"/>
        <v>0.56905836140620969</v>
      </c>
      <c r="M114" s="10">
        <f t="shared" si="11"/>
        <v>0.57036093346218675</v>
      </c>
      <c r="P114" s="8">
        <f t="shared" si="12"/>
        <v>76.01739384661667</v>
      </c>
      <c r="X114" s="8">
        <v>-13</v>
      </c>
    </row>
    <row r="115" spans="1:24" x14ac:dyDescent="0.2">
      <c r="A115" s="8">
        <v>56.5</v>
      </c>
      <c r="B115" s="8">
        <v>113</v>
      </c>
      <c r="D115">
        <v>525.60537727666997</v>
      </c>
      <c r="E115">
        <v>332.19774501300998</v>
      </c>
      <c r="F115">
        <v>132.49351771824001</v>
      </c>
      <c r="G115">
        <v>114.80639585134</v>
      </c>
      <c r="I115" s="9">
        <f t="shared" si="8"/>
        <v>217.39134916166998</v>
      </c>
      <c r="J115" s="9">
        <f t="shared" si="9"/>
        <v>393.11185955842996</v>
      </c>
      <c r="K115" s="9">
        <f t="shared" si="10"/>
        <v>217.39134916166998</v>
      </c>
      <c r="L115" s="10">
        <f t="shared" si="7"/>
        <v>0.5530012485653798</v>
      </c>
      <c r="M115" s="10">
        <f t="shared" si="11"/>
        <v>0.55431545072899946</v>
      </c>
      <c r="P115" s="8">
        <f t="shared" si="12"/>
        <v>71.065645071393519</v>
      </c>
      <c r="X115" s="8">
        <v>-13</v>
      </c>
    </row>
    <row r="116" spans="1:24" x14ac:dyDescent="0.2">
      <c r="A116" s="8">
        <v>57</v>
      </c>
      <c r="B116" s="8">
        <v>114</v>
      </c>
      <c r="D116">
        <v>528.00173460537997</v>
      </c>
      <c r="E116">
        <v>321.63399826540001</v>
      </c>
      <c r="F116">
        <v>132.0985306828</v>
      </c>
      <c r="G116">
        <v>115.04321521176</v>
      </c>
      <c r="I116" s="9">
        <f t="shared" si="8"/>
        <v>206.59078305364</v>
      </c>
      <c r="J116" s="9">
        <f t="shared" si="9"/>
        <v>395.90320392257996</v>
      </c>
      <c r="K116" s="9">
        <f t="shared" si="10"/>
        <v>206.59078305364</v>
      </c>
      <c r="L116" s="10">
        <f t="shared" si="7"/>
        <v>0.52182144778509909</v>
      </c>
      <c r="M116" s="10">
        <f t="shared" si="11"/>
        <v>0.52314728005636146</v>
      </c>
      <c r="P116" s="8">
        <f t="shared" si="12"/>
        <v>61.446928481772808</v>
      </c>
      <c r="X116" s="8">
        <v>-13</v>
      </c>
    </row>
    <row r="117" spans="1:24" x14ac:dyDescent="0.2">
      <c r="A117" s="8">
        <v>57.5</v>
      </c>
      <c r="B117" s="8">
        <v>115</v>
      </c>
      <c r="D117">
        <v>523.72072853426005</v>
      </c>
      <c r="E117">
        <v>313.02862098872998</v>
      </c>
      <c r="F117">
        <v>132.11063094209001</v>
      </c>
      <c r="G117">
        <v>114.59204840104</v>
      </c>
      <c r="I117" s="9">
        <f t="shared" si="8"/>
        <v>198.43657258768997</v>
      </c>
      <c r="J117" s="9">
        <f t="shared" si="9"/>
        <v>391.61009759217006</v>
      </c>
      <c r="K117" s="9">
        <f t="shared" si="10"/>
        <v>198.43657258768997</v>
      </c>
      <c r="L117" s="10">
        <f t="shared" si="7"/>
        <v>0.50671975469423536</v>
      </c>
      <c r="M117" s="10">
        <f t="shared" si="11"/>
        <v>0.50805721707314033</v>
      </c>
      <c r="P117" s="8">
        <f t="shared" si="12"/>
        <v>56.790028958229314</v>
      </c>
      <c r="X117" s="8">
        <v>-13</v>
      </c>
    </row>
    <row r="118" spans="1:24" x14ac:dyDescent="0.2">
      <c r="A118" s="8">
        <v>58</v>
      </c>
      <c r="B118" s="8">
        <v>116</v>
      </c>
      <c r="D118">
        <v>517.53339115351002</v>
      </c>
      <c r="E118">
        <v>300.88031222897001</v>
      </c>
      <c r="F118">
        <v>132.16767502160999</v>
      </c>
      <c r="G118">
        <v>115.03025064822999</v>
      </c>
      <c r="I118" s="9">
        <f t="shared" si="8"/>
        <v>185.85006158074003</v>
      </c>
      <c r="J118" s="9">
        <f t="shared" si="9"/>
        <v>385.36571613190006</v>
      </c>
      <c r="K118" s="9">
        <f t="shared" si="10"/>
        <v>185.85006158074003</v>
      </c>
      <c r="L118" s="10">
        <f t="shared" si="7"/>
        <v>0.48226931924875405</v>
      </c>
      <c r="M118" s="10">
        <f t="shared" si="11"/>
        <v>0.48361841173530173</v>
      </c>
      <c r="P118" s="8">
        <f t="shared" si="12"/>
        <v>49.248041820051093</v>
      </c>
      <c r="X118" s="8">
        <v>-13</v>
      </c>
    </row>
    <row r="119" spans="1:24" x14ac:dyDescent="0.2">
      <c r="A119" s="8">
        <v>58.5</v>
      </c>
      <c r="B119" s="8">
        <v>117</v>
      </c>
      <c r="D119">
        <v>509.97658282741003</v>
      </c>
      <c r="E119">
        <v>290.20121422376002</v>
      </c>
      <c r="F119">
        <v>132.00432152118</v>
      </c>
      <c r="G119">
        <v>114.80812445981</v>
      </c>
      <c r="I119" s="9">
        <f t="shared" si="8"/>
        <v>175.39308976395</v>
      </c>
      <c r="J119" s="9">
        <f t="shared" si="9"/>
        <v>377.97226130623005</v>
      </c>
      <c r="K119" s="9">
        <f t="shared" si="10"/>
        <v>175.39308976395</v>
      </c>
      <c r="L119" s="10">
        <f t="shared" si="7"/>
        <v>0.46403693529734436</v>
      </c>
      <c r="M119" s="10">
        <f t="shared" si="11"/>
        <v>0.46539765789153464</v>
      </c>
      <c r="P119" s="8">
        <f t="shared" si="12"/>
        <v>43.624989087402405</v>
      </c>
      <c r="X119" s="8">
        <v>-13</v>
      </c>
    </row>
    <row r="120" spans="1:24" x14ac:dyDescent="0.2">
      <c r="A120" s="8">
        <v>59</v>
      </c>
      <c r="B120" s="8">
        <v>118</v>
      </c>
      <c r="D120">
        <v>510.02428447528001</v>
      </c>
      <c r="E120">
        <v>285.98005203816001</v>
      </c>
      <c r="F120">
        <v>132.07173725151</v>
      </c>
      <c r="G120">
        <v>114.84528954192</v>
      </c>
      <c r="I120" s="9">
        <f t="shared" si="8"/>
        <v>171.13476249624</v>
      </c>
      <c r="J120" s="9">
        <f t="shared" si="9"/>
        <v>377.95254722377001</v>
      </c>
      <c r="K120" s="9">
        <f t="shared" si="10"/>
        <v>171.13476249624</v>
      </c>
      <c r="L120" s="10">
        <f t="shared" si="7"/>
        <v>0.45279430910917556</v>
      </c>
      <c r="M120" s="10">
        <f t="shared" si="11"/>
        <v>0.45416666181100851</v>
      </c>
      <c r="P120" s="8">
        <f t="shared" si="12"/>
        <v>40.15902474023725</v>
      </c>
      <c r="X120" s="8">
        <v>-13</v>
      </c>
    </row>
    <row r="121" spans="1:24" x14ac:dyDescent="0.2">
      <c r="A121" s="8">
        <v>59.5</v>
      </c>
      <c r="B121" s="8">
        <v>119</v>
      </c>
      <c r="D121">
        <v>511.90719861231997</v>
      </c>
      <c r="E121">
        <v>282.63573287077003</v>
      </c>
      <c r="F121">
        <v>132.28694900605001</v>
      </c>
      <c r="G121">
        <v>114.96110630942</v>
      </c>
      <c r="I121" s="9">
        <f t="shared" si="8"/>
        <v>167.67462656135001</v>
      </c>
      <c r="J121" s="9">
        <f t="shared" si="9"/>
        <v>379.62024960626997</v>
      </c>
      <c r="K121" s="9">
        <f t="shared" si="10"/>
        <v>167.67462656135001</v>
      </c>
      <c r="L121" s="10">
        <f t="shared" si="7"/>
        <v>0.4416904175561151</v>
      </c>
      <c r="M121" s="10">
        <f t="shared" si="11"/>
        <v>0.4430744003655907</v>
      </c>
      <c r="P121" s="8">
        <f t="shared" si="12"/>
        <v>36.735874876805745</v>
      </c>
      <c r="X121" s="8">
        <v>-13</v>
      </c>
    </row>
    <row r="122" spans="1:24" x14ac:dyDescent="0.2">
      <c r="A122" s="8">
        <v>60</v>
      </c>
      <c r="B122" s="8">
        <v>120</v>
      </c>
      <c r="D122">
        <v>509.06938421509</v>
      </c>
      <c r="E122">
        <v>276.61231569818</v>
      </c>
      <c r="F122">
        <v>132.15384615385</v>
      </c>
      <c r="G122">
        <v>114.95505617978</v>
      </c>
      <c r="I122" s="9">
        <f t="shared" si="8"/>
        <v>161.6572595184</v>
      </c>
      <c r="J122" s="9">
        <f t="shared" si="9"/>
        <v>376.91553806124</v>
      </c>
      <c r="K122" s="9">
        <f t="shared" si="10"/>
        <v>161.6572595184</v>
      </c>
      <c r="L122" s="10">
        <f t="shared" si="7"/>
        <v>0.42889518524474962</v>
      </c>
      <c r="M122" s="10">
        <f t="shared" si="11"/>
        <v>0.43029079816186788</v>
      </c>
      <c r="P122" s="8">
        <f t="shared" si="12"/>
        <v>32.790765364812266</v>
      </c>
      <c r="X122" s="8">
        <v>-13</v>
      </c>
    </row>
    <row r="123" spans="1:24" x14ac:dyDescent="0.2">
      <c r="A123" s="8">
        <v>60.5</v>
      </c>
      <c r="B123" s="8">
        <v>121</v>
      </c>
      <c r="D123">
        <v>505.60797918473997</v>
      </c>
      <c r="E123">
        <v>272.65568083261002</v>
      </c>
      <c r="F123">
        <v>131.95159896284</v>
      </c>
      <c r="G123">
        <v>114.90319792567</v>
      </c>
      <c r="I123" s="9">
        <f t="shared" si="8"/>
        <v>157.75248290694003</v>
      </c>
      <c r="J123" s="9">
        <f t="shared" si="9"/>
        <v>373.65638022190001</v>
      </c>
      <c r="K123" s="9">
        <f t="shared" si="10"/>
        <v>157.75248290694003</v>
      </c>
      <c r="L123" s="10">
        <f t="shared" si="7"/>
        <v>0.42218597421849713</v>
      </c>
      <c r="M123" s="10">
        <f t="shared" si="11"/>
        <v>0.42359321724325805</v>
      </c>
      <c r="P123" s="8">
        <f t="shared" si="12"/>
        <v>30.723844807658274</v>
      </c>
      <c r="X123" s="8">
        <v>-13</v>
      </c>
    </row>
    <row r="124" spans="1:24" x14ac:dyDescent="0.2">
      <c r="A124" s="8">
        <v>61</v>
      </c>
      <c r="B124" s="8">
        <v>122</v>
      </c>
      <c r="D124">
        <v>503.13963573286998</v>
      </c>
      <c r="E124">
        <v>265.41890719860999</v>
      </c>
      <c r="F124">
        <v>132.25669835782</v>
      </c>
      <c r="G124">
        <v>114.83232497839001</v>
      </c>
      <c r="I124" s="9">
        <f t="shared" si="8"/>
        <v>150.58658222021998</v>
      </c>
      <c r="J124" s="9">
        <f t="shared" si="9"/>
        <v>370.88293737505001</v>
      </c>
      <c r="K124" s="9">
        <f t="shared" si="10"/>
        <v>150.58658222021998</v>
      </c>
      <c r="L124" s="10">
        <f t="shared" si="7"/>
        <v>0.40602186578333066</v>
      </c>
      <c r="M124" s="10">
        <f t="shared" si="11"/>
        <v>0.40744073891573424</v>
      </c>
      <c r="P124" s="8">
        <f t="shared" si="12"/>
        <v>25.739076439817055</v>
      </c>
      <c r="X124" s="8">
        <v>-13</v>
      </c>
    </row>
    <row r="125" spans="1:24" x14ac:dyDescent="0.2">
      <c r="A125" s="8">
        <v>61.5</v>
      </c>
      <c r="B125" s="8">
        <v>123</v>
      </c>
      <c r="D125">
        <v>502.54813529922001</v>
      </c>
      <c r="E125">
        <v>262.71639202082002</v>
      </c>
      <c r="F125">
        <v>132.35263612791999</v>
      </c>
      <c r="G125">
        <v>114.78133102852</v>
      </c>
      <c r="I125" s="9">
        <f t="shared" si="8"/>
        <v>147.93506099230001</v>
      </c>
      <c r="J125" s="9">
        <f t="shared" si="9"/>
        <v>370.19549917130001</v>
      </c>
      <c r="K125" s="9">
        <f t="shared" si="10"/>
        <v>147.93506099230001</v>
      </c>
      <c r="L125" s="10">
        <f t="shared" si="7"/>
        <v>0.39961334301324458</v>
      </c>
      <c r="M125" s="10">
        <f t="shared" si="11"/>
        <v>0.40104384625329081</v>
      </c>
      <c r="P125" s="8">
        <f t="shared" si="12"/>
        <v>23.764950392429757</v>
      </c>
      <c r="X125" s="8">
        <v>-13</v>
      </c>
    </row>
    <row r="126" spans="1:24" x14ac:dyDescent="0.2">
      <c r="A126" s="8">
        <v>62</v>
      </c>
      <c r="B126" s="8">
        <v>124</v>
      </c>
      <c r="D126">
        <v>501.47241379309997</v>
      </c>
      <c r="E126">
        <v>258.09827586207001</v>
      </c>
      <c r="F126">
        <v>132.39757994813999</v>
      </c>
      <c r="G126">
        <v>114.84615384615</v>
      </c>
      <c r="I126" s="9">
        <f t="shared" si="8"/>
        <v>143.25212201592001</v>
      </c>
      <c r="J126" s="9">
        <f t="shared" si="9"/>
        <v>369.07483384495998</v>
      </c>
      <c r="K126" s="9">
        <f t="shared" si="10"/>
        <v>143.25212201592001</v>
      </c>
      <c r="L126" s="10">
        <f t="shared" si="7"/>
        <v>0.38813841768495383</v>
      </c>
      <c r="M126" s="10">
        <f t="shared" si="11"/>
        <v>0.38958055103264272</v>
      </c>
      <c r="P126" s="8">
        <f t="shared" si="12"/>
        <v>20.227296897501841</v>
      </c>
      <c r="X126" s="8">
        <v>-13</v>
      </c>
    </row>
    <row r="127" spans="1:24" x14ac:dyDescent="0.2">
      <c r="A127" s="8">
        <v>62.5</v>
      </c>
      <c r="B127" s="8">
        <v>125</v>
      </c>
      <c r="D127">
        <v>501.85</v>
      </c>
      <c r="E127">
        <v>254.91379310344999</v>
      </c>
      <c r="F127">
        <v>132.94554883319</v>
      </c>
      <c r="G127">
        <v>115.12791702679</v>
      </c>
      <c r="I127" s="9">
        <f t="shared" si="8"/>
        <v>139.78587607665997</v>
      </c>
      <c r="J127" s="9">
        <f t="shared" si="9"/>
        <v>368.90445116681002</v>
      </c>
      <c r="K127" s="9">
        <f t="shared" si="10"/>
        <v>139.78587607665997</v>
      </c>
      <c r="L127" s="10">
        <f t="shared" si="7"/>
        <v>0.37892163034230253</v>
      </c>
      <c r="M127" s="10">
        <f t="shared" si="11"/>
        <v>0.38037539379763408</v>
      </c>
      <c r="P127" s="8">
        <f t="shared" si="12"/>
        <v>17.386520660217755</v>
      </c>
      <c r="X127" s="8">
        <v>-13</v>
      </c>
    </row>
    <row r="128" spans="1:24" x14ac:dyDescent="0.2">
      <c r="A128" s="8">
        <v>63</v>
      </c>
      <c r="B128" s="8">
        <v>126</v>
      </c>
      <c r="D128">
        <v>501.41551724137997</v>
      </c>
      <c r="E128">
        <v>253.37327586206999</v>
      </c>
      <c r="F128">
        <v>132.55920484009999</v>
      </c>
      <c r="G128">
        <v>114.87121866897</v>
      </c>
      <c r="I128" s="9">
        <f t="shared" si="8"/>
        <v>138.50205719309997</v>
      </c>
      <c r="J128" s="9">
        <f t="shared" si="9"/>
        <v>368.85631240127998</v>
      </c>
      <c r="K128" s="9">
        <f t="shared" si="10"/>
        <v>138.50205719309997</v>
      </c>
      <c r="L128" s="10">
        <f t="shared" si="7"/>
        <v>0.37549054343530697</v>
      </c>
      <c r="M128" s="10">
        <f t="shared" si="11"/>
        <v>0.37695593699828117</v>
      </c>
      <c r="P128" s="8">
        <f t="shared" si="12"/>
        <v>16.331252252299887</v>
      </c>
      <c r="X128" s="8">
        <v>-13</v>
      </c>
    </row>
    <row r="129" spans="1:24" x14ac:dyDescent="0.2">
      <c r="A129" s="8">
        <v>63.5</v>
      </c>
      <c r="B129" s="8">
        <v>127</v>
      </c>
      <c r="D129">
        <v>495.29289428075998</v>
      </c>
      <c r="E129">
        <v>246.11958405546</v>
      </c>
      <c r="F129">
        <v>132.45808124460001</v>
      </c>
      <c r="G129">
        <v>114.85133967156</v>
      </c>
      <c r="I129" s="9">
        <f t="shared" si="8"/>
        <v>131.2682443839</v>
      </c>
      <c r="J129" s="9">
        <f t="shared" si="9"/>
        <v>362.83481303615997</v>
      </c>
      <c r="K129" s="9">
        <f t="shared" si="10"/>
        <v>131.2682443839</v>
      </c>
      <c r="L129" s="10">
        <f t="shared" si="7"/>
        <v>0.36178514207460533</v>
      </c>
      <c r="M129" s="10">
        <f t="shared" si="11"/>
        <v>0.36326216574522219</v>
      </c>
      <c r="P129" s="8">
        <f t="shared" si="12"/>
        <v>12.105258172964927</v>
      </c>
      <c r="X129" s="8">
        <v>-13</v>
      </c>
    </row>
    <row r="130" spans="1:24" x14ac:dyDescent="0.2">
      <c r="A130" s="8">
        <v>64</v>
      </c>
      <c r="B130" s="8">
        <v>128</v>
      </c>
      <c r="D130">
        <v>493.54939341420999</v>
      </c>
      <c r="E130">
        <v>245.01039861352001</v>
      </c>
      <c r="F130">
        <v>132.60328435609</v>
      </c>
      <c r="G130">
        <v>115.00864304235</v>
      </c>
      <c r="I130" s="9">
        <f t="shared" si="8"/>
        <v>130.00175557117001</v>
      </c>
      <c r="J130" s="9">
        <f t="shared" si="9"/>
        <v>360.94610905811999</v>
      </c>
      <c r="K130" s="9">
        <f t="shared" si="10"/>
        <v>130.00175557117001</v>
      </c>
      <c r="L130" s="10">
        <f t="shared" ref="L130:L193" si="14">K130/J130</f>
        <v>0.36016943335504126</v>
      </c>
      <c r="M130" s="10">
        <f t="shared" si="11"/>
        <v>0.36165808713330072</v>
      </c>
      <c r="P130" s="8">
        <f t="shared" si="12"/>
        <v>11.610228236251645</v>
      </c>
      <c r="X130" s="8">
        <v>-13</v>
      </c>
    </row>
    <row r="131" spans="1:24" x14ac:dyDescent="0.2">
      <c r="A131" s="8">
        <v>64.5</v>
      </c>
      <c r="B131" s="8">
        <v>129</v>
      </c>
      <c r="D131">
        <v>493.18717504333</v>
      </c>
      <c r="E131">
        <v>244.23223570191001</v>
      </c>
      <c r="F131">
        <v>132.41227312013999</v>
      </c>
      <c r="G131">
        <v>114.97666378565</v>
      </c>
      <c r="I131" s="9">
        <f t="shared" ref="I131:I194" si="15">E131-G131</f>
        <v>129.25557191626001</v>
      </c>
      <c r="J131" s="9">
        <f t="shared" ref="J131:J194" si="16">D131-F131</f>
        <v>360.77490192318999</v>
      </c>
      <c r="K131" s="9">
        <f t="shared" ref="K131:K194" si="17">I131*1</f>
        <v>129.25557191626001</v>
      </c>
      <c r="L131" s="10">
        <f t="shared" si="14"/>
        <v>0.35827207277234296</v>
      </c>
      <c r="M131" s="10">
        <f t="shared" ref="M131:M181" si="18">L131+ABS($N$2)*A131</f>
        <v>0.35977235665824508</v>
      </c>
      <c r="P131" s="8">
        <f t="shared" ref="P131:P194" si="19">(M131-$O$2)/$O$2*100</f>
        <v>11.028278554492033</v>
      </c>
      <c r="X131" s="8">
        <v>-13</v>
      </c>
    </row>
    <row r="132" spans="1:24" x14ac:dyDescent="0.2">
      <c r="A132" s="8">
        <v>65</v>
      </c>
      <c r="B132" s="8">
        <v>130</v>
      </c>
      <c r="D132">
        <v>488.32235701906001</v>
      </c>
      <c r="E132">
        <v>241.60745233969001</v>
      </c>
      <c r="F132">
        <v>132.27398444252</v>
      </c>
      <c r="G132">
        <v>115.38893690579</v>
      </c>
      <c r="I132" s="9">
        <f t="shared" si="15"/>
        <v>126.21851543390001</v>
      </c>
      <c r="J132" s="9">
        <f t="shared" si="16"/>
        <v>356.04837257654003</v>
      </c>
      <c r="K132" s="9">
        <f t="shared" si="17"/>
        <v>126.21851543390001</v>
      </c>
      <c r="L132" s="10">
        <f t="shared" si="14"/>
        <v>0.35449822315018925</v>
      </c>
      <c r="M132" s="10">
        <f t="shared" si="18"/>
        <v>0.35601013714373403</v>
      </c>
      <c r="P132" s="8">
        <f t="shared" si="19"/>
        <v>9.867231162968638</v>
      </c>
      <c r="X132" s="8">
        <v>-13</v>
      </c>
    </row>
    <row r="133" spans="1:24" x14ac:dyDescent="0.2">
      <c r="A133" s="8">
        <v>65.5</v>
      </c>
      <c r="B133" s="8">
        <v>131</v>
      </c>
      <c r="D133">
        <v>489.82149046794001</v>
      </c>
      <c r="E133">
        <v>239.78162911612</v>
      </c>
      <c r="F133">
        <v>132.63353500432001</v>
      </c>
      <c r="G133">
        <v>114.94382022472</v>
      </c>
      <c r="I133" s="9">
        <f t="shared" si="15"/>
        <v>124.8378088914</v>
      </c>
      <c r="J133" s="9">
        <f t="shared" si="16"/>
        <v>357.18795546362003</v>
      </c>
      <c r="K133" s="9">
        <f t="shared" si="17"/>
        <v>124.8378088914</v>
      </c>
      <c r="L133" s="10">
        <f t="shared" si="14"/>
        <v>0.34950173146058072</v>
      </c>
      <c r="M133" s="10">
        <f t="shared" si="18"/>
        <v>0.35102527556176816</v>
      </c>
      <c r="P133" s="8">
        <f t="shared" si="19"/>
        <v>8.3288678339487952</v>
      </c>
      <c r="X133" s="8">
        <v>-13</v>
      </c>
    </row>
    <row r="134" spans="1:24" x14ac:dyDescent="0.2">
      <c r="A134" s="8">
        <v>66</v>
      </c>
      <c r="B134" s="8">
        <v>132</v>
      </c>
      <c r="D134">
        <v>494.67590987867999</v>
      </c>
      <c r="E134">
        <v>239.72010398614</v>
      </c>
      <c r="F134">
        <v>132.30682800346</v>
      </c>
      <c r="G134">
        <v>115.10976663786001</v>
      </c>
      <c r="I134" s="9">
        <f t="shared" si="15"/>
        <v>124.61033734828</v>
      </c>
      <c r="J134" s="9">
        <f t="shared" si="16"/>
        <v>362.36908187521999</v>
      </c>
      <c r="K134" s="9">
        <f t="shared" si="17"/>
        <v>124.61033734828</v>
      </c>
      <c r="L134" s="10">
        <f t="shared" si="14"/>
        <v>0.34387684706276611</v>
      </c>
      <c r="M134" s="10">
        <f t="shared" si="18"/>
        <v>0.3454120212715962</v>
      </c>
      <c r="P134" s="8">
        <f t="shared" si="19"/>
        <v>6.59657809741846</v>
      </c>
      <c r="X134" s="8">
        <v>-13</v>
      </c>
    </row>
    <row r="135" spans="1:24" x14ac:dyDescent="0.2">
      <c r="A135" s="8">
        <v>66.5</v>
      </c>
      <c r="B135" s="8">
        <v>133</v>
      </c>
      <c r="D135">
        <v>499.35121107266002</v>
      </c>
      <c r="E135">
        <v>242.87110726643999</v>
      </c>
      <c r="F135">
        <v>132.37942955921</v>
      </c>
      <c r="G135">
        <v>115.21953327571001</v>
      </c>
      <c r="I135" s="9">
        <f t="shared" si="15"/>
        <v>127.65157399072999</v>
      </c>
      <c r="J135" s="9">
        <f t="shared" si="16"/>
        <v>366.97178151345003</v>
      </c>
      <c r="K135" s="9">
        <f t="shared" si="17"/>
        <v>127.65157399072999</v>
      </c>
      <c r="L135" s="10">
        <f t="shared" si="14"/>
        <v>0.34785119843349965</v>
      </c>
      <c r="M135" s="10">
        <f t="shared" si="18"/>
        <v>0.3493980027499724</v>
      </c>
      <c r="P135" s="8">
        <f t="shared" si="19"/>
        <v>7.8266800040932738</v>
      </c>
      <c r="X135" s="8">
        <v>-13</v>
      </c>
    </row>
    <row r="136" spans="1:24" x14ac:dyDescent="0.2">
      <c r="A136" s="8">
        <v>67</v>
      </c>
      <c r="B136" s="8">
        <v>134</v>
      </c>
      <c r="D136">
        <v>492.20155709342998</v>
      </c>
      <c r="E136">
        <v>238.61678200692</v>
      </c>
      <c r="F136">
        <v>132.27830596370001</v>
      </c>
      <c r="G136">
        <v>114.75799481417999</v>
      </c>
      <c r="I136" s="9">
        <f t="shared" si="15"/>
        <v>123.85878719274001</v>
      </c>
      <c r="J136" s="9">
        <f t="shared" si="16"/>
        <v>359.92325112972998</v>
      </c>
      <c r="K136" s="9">
        <f t="shared" si="17"/>
        <v>123.85878719274001</v>
      </c>
      <c r="L136" s="10">
        <f t="shared" si="14"/>
        <v>0.34412555122229826</v>
      </c>
      <c r="M136" s="10">
        <f t="shared" si="18"/>
        <v>0.34568398564641367</v>
      </c>
      <c r="P136" s="8">
        <f t="shared" si="19"/>
        <v>6.6805082154647879</v>
      </c>
      <c r="X136" s="8">
        <v>-13</v>
      </c>
    </row>
    <row r="137" spans="1:24" x14ac:dyDescent="0.2">
      <c r="A137" s="8">
        <v>67.5</v>
      </c>
      <c r="B137" s="8">
        <v>135</v>
      </c>
      <c r="D137">
        <v>495.55565142363997</v>
      </c>
      <c r="E137">
        <v>240.99568593615001</v>
      </c>
      <c r="F137">
        <v>132.31547104581</v>
      </c>
      <c r="G137">
        <v>115.10371650821</v>
      </c>
      <c r="I137" s="9">
        <f t="shared" si="15"/>
        <v>125.89196942794001</v>
      </c>
      <c r="J137" s="9">
        <f t="shared" si="16"/>
        <v>363.24018037782997</v>
      </c>
      <c r="K137" s="9">
        <f t="shared" si="17"/>
        <v>125.89196942794001</v>
      </c>
      <c r="L137" s="10">
        <f t="shared" si="14"/>
        <v>0.346580516772653</v>
      </c>
      <c r="M137" s="10">
        <f t="shared" si="18"/>
        <v>0.34815058130441107</v>
      </c>
      <c r="P137" s="8">
        <f t="shared" si="19"/>
        <v>7.4417169763079176</v>
      </c>
      <c r="X137" s="8">
        <v>-13</v>
      </c>
    </row>
    <row r="138" spans="1:24" x14ac:dyDescent="0.2">
      <c r="A138" s="8">
        <v>68</v>
      </c>
      <c r="B138" s="8">
        <v>136</v>
      </c>
      <c r="D138">
        <v>490.25194132873003</v>
      </c>
      <c r="E138">
        <v>237.49180327869001</v>
      </c>
      <c r="F138">
        <v>132.42350907519</v>
      </c>
      <c r="G138">
        <v>115.15903197926001</v>
      </c>
      <c r="I138" s="9">
        <f t="shared" si="15"/>
        <v>122.33277129943001</v>
      </c>
      <c r="J138" s="9">
        <f t="shared" si="16"/>
        <v>357.82843225354003</v>
      </c>
      <c r="K138" s="9">
        <f t="shared" si="17"/>
        <v>122.33277129943001</v>
      </c>
      <c r="L138" s="10">
        <f t="shared" si="14"/>
        <v>0.34187549191940925</v>
      </c>
      <c r="M138" s="10">
        <f t="shared" si="18"/>
        <v>0.34345718655880997</v>
      </c>
      <c r="P138" s="8">
        <f t="shared" si="19"/>
        <v>5.993302362075088</v>
      </c>
      <c r="X138" s="8">
        <v>-13</v>
      </c>
    </row>
    <row r="139" spans="1:24" x14ac:dyDescent="0.2">
      <c r="A139" s="8">
        <v>68.5</v>
      </c>
      <c r="B139" s="8">
        <v>137</v>
      </c>
      <c r="D139">
        <v>488.35695764909002</v>
      </c>
      <c r="E139">
        <v>233.99049265341</v>
      </c>
      <c r="F139">
        <v>132.25324114087999</v>
      </c>
      <c r="G139">
        <v>114.97579948142</v>
      </c>
      <c r="I139" s="9">
        <f t="shared" si="15"/>
        <v>119.01469317199</v>
      </c>
      <c r="J139" s="9">
        <f t="shared" si="16"/>
        <v>356.10371650821003</v>
      </c>
      <c r="K139" s="9">
        <f t="shared" si="17"/>
        <v>119.01469317199</v>
      </c>
      <c r="L139" s="10">
        <f t="shared" si="14"/>
        <v>0.33421356659513018</v>
      </c>
      <c r="M139" s="10">
        <f t="shared" si="18"/>
        <v>0.33580689134217356</v>
      </c>
      <c r="P139" s="8">
        <f t="shared" si="19"/>
        <v>3.6323674747300165</v>
      </c>
      <c r="X139" s="8">
        <v>-13</v>
      </c>
    </row>
    <row r="140" spans="1:24" x14ac:dyDescent="0.2">
      <c r="A140" s="8">
        <v>69</v>
      </c>
      <c r="B140" s="8">
        <v>138</v>
      </c>
      <c r="D140">
        <v>494.53993055555998</v>
      </c>
      <c r="E140">
        <v>233.56510416667001</v>
      </c>
      <c r="F140">
        <v>132.23336214347</v>
      </c>
      <c r="G140">
        <v>115.00950734659</v>
      </c>
      <c r="I140" s="9">
        <f t="shared" si="15"/>
        <v>118.55559682008001</v>
      </c>
      <c r="J140" s="9">
        <f t="shared" si="16"/>
        <v>362.30656841208997</v>
      </c>
      <c r="K140" s="9">
        <f t="shared" si="17"/>
        <v>118.55559682008001</v>
      </c>
      <c r="L140" s="10">
        <f t="shared" si="14"/>
        <v>0.32722453070526192</v>
      </c>
      <c r="M140" s="10">
        <f t="shared" si="18"/>
        <v>0.32882948555994795</v>
      </c>
      <c r="P140" s="8">
        <f t="shared" si="19"/>
        <v>1.4790909974253383</v>
      </c>
      <c r="X140" s="8">
        <v>-13</v>
      </c>
    </row>
    <row r="141" spans="1:24" x14ac:dyDescent="0.2">
      <c r="A141" s="8">
        <v>69.5</v>
      </c>
      <c r="B141" s="8">
        <v>139</v>
      </c>
      <c r="D141">
        <v>490.54774305555998</v>
      </c>
      <c r="E141">
        <v>230.79340277777999</v>
      </c>
      <c r="F141">
        <v>132.30423509075001</v>
      </c>
      <c r="G141">
        <v>114.82800345722001</v>
      </c>
      <c r="I141" s="9">
        <f t="shared" si="15"/>
        <v>115.96539932055998</v>
      </c>
      <c r="J141" s="9">
        <f t="shared" si="16"/>
        <v>358.24350796480996</v>
      </c>
      <c r="K141" s="9">
        <f t="shared" si="17"/>
        <v>115.96539932055998</v>
      </c>
      <c r="L141" s="10">
        <f t="shared" si="14"/>
        <v>0.3237055152216497</v>
      </c>
      <c r="M141" s="10">
        <f t="shared" si="18"/>
        <v>0.32532210018397839</v>
      </c>
      <c r="P141" s="8">
        <f t="shared" si="19"/>
        <v>0.3966872126036568</v>
      </c>
      <c r="X141" s="8">
        <v>-13</v>
      </c>
    </row>
    <row r="142" spans="1:24" x14ac:dyDescent="0.2">
      <c r="A142" s="8">
        <v>70</v>
      </c>
      <c r="B142" s="8">
        <v>140</v>
      </c>
      <c r="D142">
        <v>490.11979166666998</v>
      </c>
      <c r="E142">
        <v>230.08767361111001</v>
      </c>
      <c r="F142">
        <v>132.19533275712999</v>
      </c>
      <c r="G142">
        <v>115.27830596370001</v>
      </c>
      <c r="I142" s="9">
        <f t="shared" si="15"/>
        <v>114.80936764741</v>
      </c>
      <c r="J142" s="9">
        <f t="shared" si="16"/>
        <v>357.92445890954002</v>
      </c>
      <c r="K142" s="9">
        <f t="shared" si="17"/>
        <v>114.80936764741</v>
      </c>
      <c r="L142" s="10">
        <f t="shared" si="14"/>
        <v>0.32076424169834766</v>
      </c>
      <c r="M142" s="10">
        <f t="shared" si="18"/>
        <v>0.32239245676831896</v>
      </c>
      <c r="P142" s="8">
        <f t="shared" si="19"/>
        <v>-0.50742134159566576</v>
      </c>
      <c r="X142" s="8">
        <v>-13</v>
      </c>
    </row>
    <row r="143" spans="1:24" x14ac:dyDescent="0.2">
      <c r="A143" s="8">
        <v>70.5</v>
      </c>
      <c r="B143" s="8">
        <v>141</v>
      </c>
      <c r="D143">
        <v>486.59288194444002</v>
      </c>
      <c r="E143">
        <v>229.39583333332999</v>
      </c>
      <c r="F143">
        <v>132.18150388936999</v>
      </c>
      <c r="G143">
        <v>115.47882454624001</v>
      </c>
      <c r="I143" s="9">
        <f t="shared" si="15"/>
        <v>113.91700878708998</v>
      </c>
      <c r="J143" s="9">
        <f t="shared" si="16"/>
        <v>354.41137805507003</v>
      </c>
      <c r="K143" s="9">
        <f t="shared" si="17"/>
        <v>113.91700878708998</v>
      </c>
      <c r="L143" s="10">
        <f t="shared" si="14"/>
        <v>0.32142593562385302</v>
      </c>
      <c r="M143" s="10">
        <f t="shared" si="18"/>
        <v>0.32306578080146697</v>
      </c>
      <c r="P143" s="8">
        <f t="shared" si="19"/>
        <v>-0.29962881132962887</v>
      </c>
      <c r="X143" s="8">
        <v>-13</v>
      </c>
    </row>
    <row r="144" spans="1:24" x14ac:dyDescent="0.2">
      <c r="A144" s="8">
        <v>71</v>
      </c>
      <c r="B144" s="8">
        <v>142</v>
      </c>
      <c r="D144">
        <v>487.84956521739002</v>
      </c>
      <c r="E144">
        <v>225.85739130434999</v>
      </c>
      <c r="F144">
        <v>132.49178910977</v>
      </c>
      <c r="G144">
        <v>115.10630942092</v>
      </c>
      <c r="I144" s="9">
        <f t="shared" si="15"/>
        <v>110.75108188342999</v>
      </c>
      <c r="J144" s="9">
        <f t="shared" si="16"/>
        <v>355.35777610762</v>
      </c>
      <c r="K144" s="9">
        <f t="shared" si="17"/>
        <v>110.75108188342999</v>
      </c>
      <c r="L144" s="10">
        <f t="shared" si="14"/>
        <v>0.3116607805703091</v>
      </c>
      <c r="M144" s="10">
        <f t="shared" si="18"/>
        <v>0.31331225585556571</v>
      </c>
      <c r="P144" s="8">
        <f t="shared" si="19"/>
        <v>-3.3096351793574992</v>
      </c>
    </row>
    <row r="145" spans="1:16" x14ac:dyDescent="0.2">
      <c r="A145" s="8">
        <v>71.5</v>
      </c>
      <c r="B145" s="8">
        <v>143</v>
      </c>
      <c r="D145">
        <v>483.34521739130003</v>
      </c>
      <c r="E145">
        <v>224.28086956522</v>
      </c>
      <c r="F145">
        <v>132.42350907519</v>
      </c>
      <c r="G145">
        <v>114.92653414002</v>
      </c>
      <c r="I145" s="9">
        <f t="shared" si="15"/>
        <v>109.35433542520001</v>
      </c>
      <c r="J145" s="9">
        <f t="shared" si="16"/>
        <v>350.92170831611003</v>
      </c>
      <c r="K145" s="9">
        <f t="shared" si="17"/>
        <v>109.35433542520001</v>
      </c>
      <c r="L145" s="10">
        <f t="shared" si="14"/>
        <v>0.31162032109650423</v>
      </c>
      <c r="M145" s="10">
        <f t="shared" si="18"/>
        <v>0.31328342648940349</v>
      </c>
      <c r="P145" s="8">
        <f t="shared" si="19"/>
        <v>-3.3185321244328234</v>
      </c>
    </row>
    <row r="146" spans="1:16" x14ac:dyDescent="0.2">
      <c r="A146" s="8">
        <v>72</v>
      </c>
      <c r="B146" s="8">
        <v>144</v>
      </c>
      <c r="D146">
        <v>480.28782608696002</v>
      </c>
      <c r="E146">
        <v>222.09652173913</v>
      </c>
      <c r="F146">
        <v>132.41227312013999</v>
      </c>
      <c r="G146">
        <v>115.26879861710999</v>
      </c>
      <c r="I146" s="9">
        <f t="shared" si="15"/>
        <v>106.82772312202</v>
      </c>
      <c r="J146" s="9">
        <f t="shared" si="16"/>
        <v>347.87555296682001</v>
      </c>
      <c r="K146" s="9">
        <f t="shared" si="17"/>
        <v>106.82772312202</v>
      </c>
      <c r="L146" s="10">
        <f t="shared" si="14"/>
        <v>0.30708603180347405</v>
      </c>
      <c r="M146" s="10">
        <f t="shared" si="18"/>
        <v>0.30876076730401597</v>
      </c>
      <c r="P146" s="8">
        <f t="shared" si="19"/>
        <v>-4.7142565444700013</v>
      </c>
    </row>
    <row r="147" spans="1:16" x14ac:dyDescent="0.2">
      <c r="A147" s="8">
        <v>72.5</v>
      </c>
      <c r="B147" s="8">
        <v>145</v>
      </c>
      <c r="D147">
        <v>476.6852173913</v>
      </c>
      <c r="E147">
        <v>220.21913043478</v>
      </c>
      <c r="F147">
        <v>132.67156439067</v>
      </c>
      <c r="G147">
        <v>114.93949870354</v>
      </c>
      <c r="I147" s="9">
        <f t="shared" si="15"/>
        <v>105.27963173124</v>
      </c>
      <c r="J147" s="9">
        <f t="shared" si="16"/>
        <v>344.01365300063003</v>
      </c>
      <c r="K147" s="9">
        <f t="shared" si="17"/>
        <v>105.27963173124</v>
      </c>
      <c r="L147" s="10">
        <f t="shared" si="14"/>
        <v>0.30603329493741688</v>
      </c>
      <c r="M147" s="10">
        <f t="shared" si="18"/>
        <v>0.30771966054560146</v>
      </c>
      <c r="P147" s="8">
        <f t="shared" si="19"/>
        <v>-5.0355494093579338</v>
      </c>
    </row>
    <row r="148" spans="1:16" x14ac:dyDescent="0.2">
      <c r="A148" s="8">
        <v>73</v>
      </c>
      <c r="B148" s="8">
        <v>146</v>
      </c>
      <c r="D148">
        <v>479.65130434782998</v>
      </c>
      <c r="E148">
        <v>217.77304347826001</v>
      </c>
      <c r="F148">
        <v>132.54105445117</v>
      </c>
      <c r="G148">
        <v>115.17804667243</v>
      </c>
      <c r="I148" s="9">
        <f t="shared" si="15"/>
        <v>102.59499680583001</v>
      </c>
      <c r="J148" s="9">
        <f t="shared" si="16"/>
        <v>347.11024989665998</v>
      </c>
      <c r="K148" s="9">
        <f t="shared" si="17"/>
        <v>102.59499680583001</v>
      </c>
      <c r="L148" s="10">
        <f t="shared" si="14"/>
        <v>0.29556890594954804</v>
      </c>
      <c r="M148" s="10">
        <f t="shared" si="18"/>
        <v>0.29726690166537528</v>
      </c>
      <c r="P148" s="8">
        <f t="shared" si="19"/>
        <v>-8.2613442853081267</v>
      </c>
    </row>
    <row r="149" spans="1:16" x14ac:dyDescent="0.2">
      <c r="A149" s="8">
        <v>73.5</v>
      </c>
      <c r="B149" s="8">
        <v>147</v>
      </c>
      <c r="D149">
        <v>474.79304347826002</v>
      </c>
      <c r="E149">
        <v>215.78173913044</v>
      </c>
      <c r="F149">
        <v>132.65427830595999</v>
      </c>
      <c r="G149">
        <v>114.89628349179</v>
      </c>
      <c r="I149" s="9">
        <f t="shared" si="15"/>
        <v>100.88545563865</v>
      </c>
      <c r="J149" s="9">
        <f t="shared" si="16"/>
        <v>342.13876517230005</v>
      </c>
      <c r="K149" s="9">
        <f t="shared" si="17"/>
        <v>100.88545563865</v>
      </c>
      <c r="L149" s="10">
        <f t="shared" si="14"/>
        <v>0.2948670712242864</v>
      </c>
      <c r="M149" s="10">
        <f t="shared" si="18"/>
        <v>0.2965766970477563</v>
      </c>
      <c r="P149" s="8">
        <f t="shared" si="19"/>
        <v>-8.47434628261664</v>
      </c>
    </row>
    <row r="150" spans="1:16" x14ac:dyDescent="0.2">
      <c r="A150" s="8">
        <v>74</v>
      </c>
      <c r="B150" s="8">
        <v>148</v>
      </c>
      <c r="D150">
        <v>473.58782608695998</v>
      </c>
      <c r="E150">
        <v>213.51130434782999</v>
      </c>
      <c r="F150">
        <v>132.57821953327999</v>
      </c>
      <c r="G150">
        <v>115.16681071737</v>
      </c>
      <c r="I150" s="9">
        <f t="shared" si="15"/>
        <v>98.344493630459993</v>
      </c>
      <c r="J150" s="9">
        <f t="shared" si="16"/>
        <v>341.00960655367999</v>
      </c>
      <c r="K150" s="9">
        <f t="shared" si="17"/>
        <v>98.344493630459993</v>
      </c>
      <c r="L150" s="10">
        <f t="shared" si="14"/>
        <v>0.28839215007562874</v>
      </c>
      <c r="M150" s="10">
        <f t="shared" si="18"/>
        <v>0.29011340600674129</v>
      </c>
      <c r="P150" s="8">
        <f t="shared" si="19"/>
        <v>-10.468963336428356</v>
      </c>
    </row>
    <row r="151" spans="1:16" x14ac:dyDescent="0.2">
      <c r="A151" s="8">
        <v>74.5</v>
      </c>
      <c r="B151" s="8">
        <v>149</v>
      </c>
      <c r="D151">
        <v>471.18782608696</v>
      </c>
      <c r="E151">
        <v>212.28956521738999</v>
      </c>
      <c r="F151">
        <v>132.59809853068001</v>
      </c>
      <c r="G151">
        <v>115.03630077787</v>
      </c>
      <c r="I151" s="9">
        <f t="shared" si="15"/>
        <v>97.253264439519995</v>
      </c>
      <c r="J151" s="9">
        <f t="shared" si="16"/>
        <v>338.58972755627997</v>
      </c>
      <c r="K151" s="9">
        <f t="shared" si="17"/>
        <v>97.253264439519995</v>
      </c>
      <c r="L151" s="10">
        <f t="shared" si="14"/>
        <v>0.28723040460037191</v>
      </c>
      <c r="M151" s="10">
        <f t="shared" si="18"/>
        <v>0.28896329063912712</v>
      </c>
      <c r="P151" s="8">
        <f t="shared" si="19"/>
        <v>-10.823897024473125</v>
      </c>
    </row>
    <row r="152" spans="1:16" x14ac:dyDescent="0.2">
      <c r="A152" s="8">
        <v>75</v>
      </c>
      <c r="B152" s="8">
        <v>150</v>
      </c>
      <c r="D152">
        <v>475.74695652174</v>
      </c>
      <c r="E152">
        <v>212.08695652174001</v>
      </c>
      <c r="F152">
        <v>132.13396715644001</v>
      </c>
      <c r="G152">
        <v>115.05963699222001</v>
      </c>
      <c r="I152" s="9">
        <f t="shared" si="15"/>
        <v>97.02731952952</v>
      </c>
      <c r="J152" s="9">
        <f t="shared" si="16"/>
        <v>343.6129893653</v>
      </c>
      <c r="K152" s="9">
        <f t="shared" si="17"/>
        <v>97.02731952952</v>
      </c>
      <c r="L152" s="10">
        <f t="shared" si="14"/>
        <v>0.28237384072337507</v>
      </c>
      <c r="M152" s="10">
        <f t="shared" si="18"/>
        <v>0.28411835686977294</v>
      </c>
      <c r="P152" s="8">
        <f t="shared" si="19"/>
        <v>-12.31907764679344</v>
      </c>
    </row>
    <row r="153" spans="1:16" x14ac:dyDescent="0.2">
      <c r="A153" s="8">
        <v>75.5</v>
      </c>
      <c r="B153" s="8">
        <v>151</v>
      </c>
      <c r="D153">
        <v>476.31217391304</v>
      </c>
      <c r="E153">
        <v>212.00347826087</v>
      </c>
      <c r="F153">
        <v>132.28867761452</v>
      </c>
      <c r="G153">
        <v>115.19965427831001</v>
      </c>
      <c r="I153" s="9">
        <f t="shared" si="15"/>
        <v>96.80382398255999</v>
      </c>
      <c r="J153" s="9">
        <f t="shared" si="16"/>
        <v>344.02349629852</v>
      </c>
      <c r="K153" s="9">
        <f t="shared" si="17"/>
        <v>96.80382398255999</v>
      </c>
      <c r="L153" s="10">
        <f t="shared" si="14"/>
        <v>0.28138724541814514</v>
      </c>
      <c r="M153" s="10">
        <f t="shared" si="18"/>
        <v>0.28314339167218561</v>
      </c>
      <c r="P153" s="8">
        <f t="shared" si="19"/>
        <v>-12.619958761018369</v>
      </c>
    </row>
    <row r="154" spans="1:16" x14ac:dyDescent="0.2">
      <c r="A154" s="8">
        <v>76</v>
      </c>
      <c r="B154" s="8">
        <v>152</v>
      </c>
      <c r="D154">
        <v>474.94347826086999</v>
      </c>
      <c r="E154">
        <v>210.33043478261001</v>
      </c>
      <c r="F154">
        <v>132.53241140882</v>
      </c>
      <c r="G154">
        <v>115.26274848747001</v>
      </c>
      <c r="I154" s="9">
        <f t="shared" si="15"/>
        <v>95.067686295140007</v>
      </c>
      <c r="J154" s="9">
        <f t="shared" si="16"/>
        <v>342.41106685205</v>
      </c>
      <c r="K154" s="9">
        <f t="shared" si="17"/>
        <v>95.067686295140007</v>
      </c>
      <c r="L154" s="10">
        <f t="shared" si="14"/>
        <v>0.27764197918350908</v>
      </c>
      <c r="M154" s="10">
        <f t="shared" si="18"/>
        <v>0.27940975554519221</v>
      </c>
      <c r="P154" s="8">
        <f t="shared" si="19"/>
        <v>-13.77218511820544</v>
      </c>
    </row>
    <row r="155" spans="1:16" x14ac:dyDescent="0.2">
      <c r="A155" s="8">
        <v>76.5</v>
      </c>
      <c r="B155" s="8">
        <v>153</v>
      </c>
      <c r="D155">
        <v>469.42260869565001</v>
      </c>
      <c r="E155">
        <v>208.07130434782999</v>
      </c>
      <c r="F155">
        <v>132.51253241141001</v>
      </c>
      <c r="G155">
        <v>114.87467588590999</v>
      </c>
      <c r="I155" s="9">
        <f t="shared" si="15"/>
        <v>93.19662846192</v>
      </c>
      <c r="J155" s="9">
        <f t="shared" si="16"/>
        <v>336.91007628424001</v>
      </c>
      <c r="K155" s="9">
        <f t="shared" si="17"/>
        <v>93.19662846192</v>
      </c>
      <c r="L155" s="10">
        <f t="shared" si="14"/>
        <v>0.27662167154446593</v>
      </c>
      <c r="M155" s="10">
        <f t="shared" si="18"/>
        <v>0.27840107801379171</v>
      </c>
      <c r="P155" s="8">
        <f t="shared" si="19"/>
        <v>-14.083470095651263</v>
      </c>
    </row>
    <row r="156" spans="1:16" x14ac:dyDescent="0.2">
      <c r="A156" s="8">
        <v>77</v>
      </c>
      <c r="B156" s="8">
        <v>154</v>
      </c>
      <c r="D156">
        <v>464.39913419913</v>
      </c>
      <c r="E156">
        <v>208.00519480520001</v>
      </c>
      <c r="F156">
        <v>132.99135695765</v>
      </c>
      <c r="G156">
        <v>115.05531547104999</v>
      </c>
      <c r="I156" s="9">
        <f t="shared" si="15"/>
        <v>92.949879334150012</v>
      </c>
      <c r="J156" s="9">
        <f t="shared" si="16"/>
        <v>331.40777724148001</v>
      </c>
      <c r="K156" s="9">
        <f t="shared" si="17"/>
        <v>92.949879334150012</v>
      </c>
      <c r="L156" s="10">
        <f t="shared" si="14"/>
        <v>0.28046981910874758</v>
      </c>
      <c r="M156" s="10">
        <f t="shared" si="18"/>
        <v>0.28226085568571602</v>
      </c>
      <c r="P156" s="8">
        <f t="shared" si="19"/>
        <v>-12.892315570891865</v>
      </c>
    </row>
    <row r="157" spans="1:16" x14ac:dyDescent="0.2">
      <c r="A157" s="8">
        <v>77.5</v>
      </c>
      <c r="B157" s="8">
        <v>155</v>
      </c>
      <c r="D157">
        <v>459.71948051947999</v>
      </c>
      <c r="E157">
        <v>206.91861471862001</v>
      </c>
      <c r="F157">
        <v>132.89887640449001</v>
      </c>
      <c r="G157">
        <v>115.09248055316</v>
      </c>
      <c r="I157" s="9">
        <f t="shared" si="15"/>
        <v>91.826134165460005</v>
      </c>
      <c r="J157" s="9">
        <f t="shared" si="16"/>
        <v>326.82060411498998</v>
      </c>
      <c r="K157" s="9">
        <f t="shared" si="17"/>
        <v>91.826134165460005</v>
      </c>
      <c r="L157" s="10">
        <f t="shared" si="14"/>
        <v>0.28096800816496714</v>
      </c>
      <c r="M157" s="10">
        <f t="shared" si="18"/>
        <v>0.28277067484957824</v>
      </c>
      <c r="P157" s="8">
        <f t="shared" si="19"/>
        <v>-12.734981792767597</v>
      </c>
    </row>
    <row r="158" spans="1:16" x14ac:dyDescent="0.2">
      <c r="A158" s="8">
        <v>78</v>
      </c>
      <c r="B158" s="8">
        <v>156</v>
      </c>
      <c r="D158">
        <v>476.91082251082003</v>
      </c>
      <c r="E158">
        <v>209.60173160172999</v>
      </c>
      <c r="F158">
        <v>132.80380293863001</v>
      </c>
      <c r="G158">
        <v>115.26015557476001</v>
      </c>
      <c r="I158" s="9">
        <f t="shared" si="15"/>
        <v>94.341576026969989</v>
      </c>
      <c r="J158" s="9">
        <f t="shared" si="16"/>
        <v>344.10701957218998</v>
      </c>
      <c r="K158" s="9">
        <f t="shared" si="17"/>
        <v>94.341576026969989</v>
      </c>
      <c r="L158" s="10">
        <f t="shared" si="14"/>
        <v>0.27416347432917781</v>
      </c>
      <c r="M158" s="10">
        <f t="shared" si="18"/>
        <v>0.27597777112143157</v>
      </c>
      <c r="P158" s="8">
        <f t="shared" si="19"/>
        <v>-14.831319639087873</v>
      </c>
    </row>
    <row r="159" spans="1:16" x14ac:dyDescent="0.2">
      <c r="A159" s="8">
        <v>78.5</v>
      </c>
      <c r="B159" s="8">
        <v>157</v>
      </c>
      <c r="D159">
        <v>478.20432900433002</v>
      </c>
      <c r="E159">
        <v>210.27445887446001</v>
      </c>
      <c r="F159">
        <v>132.57821953327999</v>
      </c>
      <c r="G159">
        <v>115.14174589456</v>
      </c>
      <c r="I159" s="9">
        <f t="shared" si="15"/>
        <v>95.132712979900006</v>
      </c>
      <c r="J159" s="9">
        <f t="shared" si="16"/>
        <v>345.62610947105003</v>
      </c>
      <c r="K159" s="9">
        <f t="shared" si="17"/>
        <v>95.132712979900006</v>
      </c>
      <c r="L159" s="10">
        <f t="shared" si="14"/>
        <v>0.27524747226270652</v>
      </c>
      <c r="M159" s="10">
        <f t="shared" si="18"/>
        <v>0.27707339916260293</v>
      </c>
      <c r="P159" s="8">
        <f t="shared" si="19"/>
        <v>-14.493201123042907</v>
      </c>
    </row>
    <row r="160" spans="1:16" x14ac:dyDescent="0.2">
      <c r="A160" s="8">
        <v>79</v>
      </c>
      <c r="B160" s="8">
        <v>158</v>
      </c>
      <c r="D160">
        <v>483.64415584416003</v>
      </c>
      <c r="E160">
        <v>211.01212121212001</v>
      </c>
      <c r="F160">
        <v>132.50907519447</v>
      </c>
      <c r="G160">
        <v>115.06222990493001</v>
      </c>
      <c r="I160" s="9">
        <f t="shared" si="15"/>
        <v>95.949891307190001</v>
      </c>
      <c r="J160" s="9">
        <f t="shared" si="16"/>
        <v>351.13508064969005</v>
      </c>
      <c r="K160" s="9">
        <f t="shared" si="17"/>
        <v>95.949891307190001</v>
      </c>
      <c r="L160" s="10">
        <f t="shared" si="14"/>
        <v>0.27325635231221579</v>
      </c>
      <c r="M160" s="10">
        <f t="shared" si="18"/>
        <v>0.27509390931975486</v>
      </c>
      <c r="P160" s="8">
        <f t="shared" si="19"/>
        <v>-15.104085604855101</v>
      </c>
    </row>
    <row r="161" spans="1:16" x14ac:dyDescent="0.2">
      <c r="A161" s="8">
        <v>79.5</v>
      </c>
      <c r="B161" s="8">
        <v>159</v>
      </c>
      <c r="D161">
        <v>485.02943722944002</v>
      </c>
      <c r="E161">
        <v>210.67878787878999</v>
      </c>
      <c r="F161">
        <v>132.32238547969001</v>
      </c>
      <c r="G161">
        <v>115.2955920484</v>
      </c>
      <c r="I161" s="9">
        <f t="shared" si="15"/>
        <v>95.383195830389994</v>
      </c>
      <c r="J161" s="9">
        <f t="shared" si="16"/>
        <v>352.70705174975001</v>
      </c>
      <c r="K161" s="9">
        <f t="shared" si="17"/>
        <v>95.383195830389994</v>
      </c>
      <c r="L161" s="10">
        <f t="shared" si="14"/>
        <v>0.27043178002028023</v>
      </c>
      <c r="M161" s="10">
        <f t="shared" si="18"/>
        <v>0.27228096713546196</v>
      </c>
      <c r="P161" s="8">
        <f t="shared" si="19"/>
        <v>-15.972179338615829</v>
      </c>
    </row>
    <row r="162" spans="1:16" x14ac:dyDescent="0.2">
      <c r="A162" s="8">
        <v>80</v>
      </c>
      <c r="B162" s="4">
        <v>160</v>
      </c>
      <c r="C162" s="4" t="s">
        <v>6</v>
      </c>
      <c r="D162">
        <v>485.45887445887001</v>
      </c>
      <c r="E162">
        <v>210.35844155844001</v>
      </c>
      <c r="F162">
        <v>132.91529818495999</v>
      </c>
      <c r="G162">
        <v>115.09507346586</v>
      </c>
      <c r="H162" s="4"/>
      <c r="I162" s="5">
        <f t="shared" si="15"/>
        <v>95.263368092580009</v>
      </c>
      <c r="J162" s="5">
        <f t="shared" si="16"/>
        <v>352.54357627391005</v>
      </c>
      <c r="K162" s="9">
        <f t="shared" si="17"/>
        <v>95.263368092580009</v>
      </c>
      <c r="L162" s="6">
        <f t="shared" si="14"/>
        <v>0.27021728519190141</v>
      </c>
      <c r="M162" s="6">
        <f t="shared" si="18"/>
        <v>0.2720781024147258</v>
      </c>
      <c r="N162" s="4"/>
      <c r="O162" s="4"/>
      <c r="P162" s="4">
        <f t="shared" si="19"/>
        <v>-16.034784817624796</v>
      </c>
    </row>
    <row r="163" spans="1:16" x14ac:dyDescent="0.2">
      <c r="A163" s="8">
        <v>80.5</v>
      </c>
      <c r="B163" s="8">
        <v>161</v>
      </c>
      <c r="D163">
        <v>484.17748917748997</v>
      </c>
      <c r="E163">
        <v>211.61904761905001</v>
      </c>
      <c r="F163">
        <v>132.42350907519</v>
      </c>
      <c r="G163">
        <v>115.06136560069</v>
      </c>
      <c r="I163" s="9">
        <f t="shared" si="15"/>
        <v>96.557682018360012</v>
      </c>
      <c r="J163" s="9">
        <f t="shared" si="16"/>
        <v>351.75398010229998</v>
      </c>
      <c r="K163" s="9">
        <f t="shared" si="17"/>
        <v>96.557682018360012</v>
      </c>
      <c r="L163" s="10">
        <f t="shared" si="14"/>
        <v>0.27450345264118492</v>
      </c>
      <c r="M163" s="10">
        <f t="shared" si="18"/>
        <v>0.27637589997165196</v>
      </c>
      <c r="P163" s="8">
        <f t="shared" si="19"/>
        <v>-14.708454276964348</v>
      </c>
    </row>
    <row r="164" spans="1:16" x14ac:dyDescent="0.2">
      <c r="A164" s="8">
        <v>81</v>
      </c>
      <c r="B164" s="8">
        <v>162</v>
      </c>
      <c r="D164">
        <v>478.51948051948</v>
      </c>
      <c r="E164">
        <v>207.70216450216</v>
      </c>
      <c r="F164">
        <v>132.89541918755</v>
      </c>
      <c r="G164">
        <v>115.11408815903</v>
      </c>
      <c r="I164" s="9">
        <f t="shared" si="15"/>
        <v>92.588076343129998</v>
      </c>
      <c r="J164" s="9">
        <f t="shared" si="16"/>
        <v>345.62406133192997</v>
      </c>
      <c r="K164" s="9">
        <f t="shared" si="17"/>
        <v>92.588076343129998</v>
      </c>
      <c r="L164" s="10">
        <f t="shared" si="14"/>
        <v>0.26788666271186018</v>
      </c>
      <c r="M164" s="10">
        <f t="shared" si="18"/>
        <v>0.26977074014996982</v>
      </c>
      <c r="P164" s="8">
        <f t="shared" si="19"/>
        <v>-16.746853033862998</v>
      </c>
    </row>
    <row r="165" spans="1:16" x14ac:dyDescent="0.2">
      <c r="A165" s="8">
        <v>81.5</v>
      </c>
      <c r="B165" s="8">
        <v>163</v>
      </c>
      <c r="D165">
        <v>475.50216450215999</v>
      </c>
      <c r="E165">
        <v>202.99567099567</v>
      </c>
      <c r="F165">
        <v>132.79775280899</v>
      </c>
      <c r="G165">
        <v>115.41832324978</v>
      </c>
      <c r="I165" s="9">
        <f t="shared" si="15"/>
        <v>87.577347745889995</v>
      </c>
      <c r="J165" s="9">
        <f t="shared" si="16"/>
        <v>342.70441169316996</v>
      </c>
      <c r="K165" s="9">
        <f t="shared" si="17"/>
        <v>87.577347745889995</v>
      </c>
      <c r="L165" s="10">
        <f t="shared" si="14"/>
        <v>0.25554776874100976</v>
      </c>
      <c r="M165" s="10">
        <f t="shared" si="18"/>
        <v>0.25744347628676206</v>
      </c>
      <c r="P165" s="8">
        <f t="shared" si="19"/>
        <v>-20.551133325800727</v>
      </c>
    </row>
    <row r="166" spans="1:16" x14ac:dyDescent="0.2">
      <c r="A166" s="8">
        <v>82</v>
      </c>
      <c r="B166" s="8">
        <v>164</v>
      </c>
      <c r="D166">
        <v>484.81391304348</v>
      </c>
      <c r="E166">
        <v>203.13826086956999</v>
      </c>
      <c r="F166">
        <v>132.61192739844</v>
      </c>
      <c r="G166">
        <v>115.33448573898001</v>
      </c>
      <c r="I166" s="9">
        <f t="shared" si="15"/>
        <v>87.803775130589983</v>
      </c>
      <c r="J166" s="9">
        <f t="shared" si="16"/>
        <v>352.20198564504</v>
      </c>
      <c r="K166" s="9">
        <f t="shared" si="17"/>
        <v>87.803775130589983</v>
      </c>
      <c r="L166" s="10">
        <f t="shared" si="14"/>
        <v>0.2492994892399083</v>
      </c>
      <c r="M166" s="10">
        <f t="shared" si="18"/>
        <v>0.25120682689330326</v>
      </c>
      <c r="P166" s="8">
        <f t="shared" si="19"/>
        <v>-22.475807173829065</v>
      </c>
    </row>
    <row r="167" spans="1:16" x14ac:dyDescent="0.2">
      <c r="A167" s="8">
        <v>82.5</v>
      </c>
      <c r="B167" s="8">
        <v>165</v>
      </c>
      <c r="D167">
        <v>479.81391304348</v>
      </c>
      <c r="E167">
        <v>201.14</v>
      </c>
      <c r="F167">
        <v>132.83923941226999</v>
      </c>
      <c r="G167">
        <v>115.28608470182</v>
      </c>
      <c r="I167" s="9">
        <f t="shared" si="15"/>
        <v>85.853915298179984</v>
      </c>
      <c r="J167" s="9">
        <f t="shared" si="16"/>
        <v>346.97467363121001</v>
      </c>
      <c r="K167" s="9">
        <f t="shared" si="17"/>
        <v>85.853915298179984</v>
      </c>
      <c r="L167" s="10">
        <f t="shared" si="14"/>
        <v>0.24743568284015965</v>
      </c>
      <c r="M167" s="10">
        <f t="shared" si="18"/>
        <v>0.24935465060119727</v>
      </c>
      <c r="P167" s="8">
        <f t="shared" si="19"/>
        <v>-23.047401798836109</v>
      </c>
    </row>
    <row r="168" spans="1:16" x14ac:dyDescent="0.2">
      <c r="A168" s="8">
        <v>83</v>
      </c>
      <c r="B168" s="8">
        <v>166</v>
      </c>
      <c r="D168">
        <v>486.13062283737003</v>
      </c>
      <c r="E168">
        <v>200.14446366781999</v>
      </c>
      <c r="F168">
        <v>133.16594641314001</v>
      </c>
      <c r="G168">
        <v>115.31460674157</v>
      </c>
      <c r="I168" s="9">
        <f t="shared" si="15"/>
        <v>84.829856926249988</v>
      </c>
      <c r="J168" s="9">
        <f t="shared" si="16"/>
        <v>352.96467642422999</v>
      </c>
      <c r="K168" s="9">
        <f t="shared" si="17"/>
        <v>84.829856926249988</v>
      </c>
      <c r="L168" s="10">
        <f t="shared" si="14"/>
        <v>0.24033525899994754</v>
      </c>
      <c r="M168" s="10">
        <f t="shared" si="18"/>
        <v>0.24226585686862781</v>
      </c>
      <c r="P168" s="8">
        <f t="shared" si="19"/>
        <v>-25.235053380702084</v>
      </c>
    </row>
    <row r="169" spans="1:16" x14ac:dyDescent="0.2">
      <c r="A169" s="8">
        <v>83.5</v>
      </c>
      <c r="B169" s="8">
        <v>167</v>
      </c>
      <c r="D169">
        <v>488.47923875433003</v>
      </c>
      <c r="E169">
        <v>199.29411764706001</v>
      </c>
      <c r="F169">
        <v>132.87294727744001</v>
      </c>
      <c r="G169">
        <v>115.49870354365</v>
      </c>
      <c r="I169" s="9">
        <f t="shared" si="15"/>
        <v>83.79541410341001</v>
      </c>
      <c r="J169" s="9">
        <f t="shared" si="16"/>
        <v>355.60629147689002</v>
      </c>
      <c r="K169" s="9">
        <f t="shared" si="17"/>
        <v>83.79541410341001</v>
      </c>
      <c r="L169" s="10">
        <f t="shared" si="14"/>
        <v>0.23564097742870127</v>
      </c>
      <c r="M169" s="10">
        <f t="shared" si="18"/>
        <v>0.2375832054050242</v>
      </c>
      <c r="P169" s="8">
        <f t="shared" si="19"/>
        <v>-26.680152542582526</v>
      </c>
    </row>
    <row r="170" spans="1:16" x14ac:dyDescent="0.2">
      <c r="A170" s="8">
        <v>84</v>
      </c>
      <c r="B170" s="8">
        <v>168</v>
      </c>
      <c r="D170">
        <v>492.94809688581</v>
      </c>
      <c r="E170">
        <v>199.04757785467001</v>
      </c>
      <c r="F170">
        <v>133.29991356958001</v>
      </c>
      <c r="G170">
        <v>115.20743301642</v>
      </c>
      <c r="I170" s="9">
        <f t="shared" si="15"/>
        <v>83.840144838250012</v>
      </c>
      <c r="J170" s="9">
        <f t="shared" si="16"/>
        <v>359.64818331622996</v>
      </c>
      <c r="K170" s="9">
        <f t="shared" si="17"/>
        <v>83.840144838250012</v>
      </c>
      <c r="L170" s="10">
        <f t="shared" si="14"/>
        <v>0.23311710924042511</v>
      </c>
      <c r="M170" s="10">
        <f t="shared" si="18"/>
        <v>0.2350709673243907</v>
      </c>
      <c r="P170" s="8">
        <f t="shared" si="19"/>
        <v>-27.455446875928818</v>
      </c>
    </row>
    <row r="171" spans="1:16" x14ac:dyDescent="0.2">
      <c r="A171" s="8">
        <v>84.5</v>
      </c>
      <c r="B171" s="8">
        <v>169</v>
      </c>
      <c r="D171">
        <v>491.94377162630002</v>
      </c>
      <c r="E171">
        <v>198.50605536332</v>
      </c>
      <c r="F171">
        <v>133.34745030251</v>
      </c>
      <c r="G171">
        <v>115.31806395851</v>
      </c>
      <c r="I171" s="9">
        <f t="shared" si="15"/>
        <v>83.187991404810006</v>
      </c>
      <c r="J171" s="9">
        <f t="shared" si="16"/>
        <v>358.59632132378999</v>
      </c>
      <c r="K171" s="9">
        <f t="shared" si="17"/>
        <v>83.187991404810006</v>
      </c>
      <c r="L171" s="10">
        <f t="shared" si="14"/>
        <v>0.23198227772586788</v>
      </c>
      <c r="M171" s="10">
        <f t="shared" si="18"/>
        <v>0.23394776591747612</v>
      </c>
      <c r="P171" s="8">
        <f t="shared" si="19"/>
        <v>-27.802074726489806</v>
      </c>
    </row>
    <row r="172" spans="1:16" x14ac:dyDescent="0.2">
      <c r="A172" s="8">
        <v>85</v>
      </c>
      <c r="B172" s="8">
        <v>170</v>
      </c>
      <c r="D172">
        <v>494.93944636677998</v>
      </c>
      <c r="E172">
        <v>197.49134948097</v>
      </c>
      <c r="F172">
        <v>133.12791702678999</v>
      </c>
      <c r="G172">
        <v>115.55747623163001</v>
      </c>
      <c r="I172" s="9">
        <f t="shared" si="15"/>
        <v>81.933873249339996</v>
      </c>
      <c r="J172" s="9">
        <f t="shared" si="16"/>
        <v>361.81152933998999</v>
      </c>
      <c r="K172" s="9">
        <f t="shared" si="17"/>
        <v>81.933873249339996</v>
      </c>
      <c r="L172" s="10">
        <f t="shared" si="14"/>
        <v>0.22645456710238693</v>
      </c>
      <c r="M172" s="10">
        <f t="shared" si="18"/>
        <v>0.2284316854016378</v>
      </c>
      <c r="P172" s="8">
        <f t="shared" si="19"/>
        <v>-29.504375953104816</v>
      </c>
    </row>
    <row r="173" spans="1:16" x14ac:dyDescent="0.2">
      <c r="A173" s="8">
        <v>85.5</v>
      </c>
      <c r="B173" s="8">
        <v>171</v>
      </c>
      <c r="D173">
        <v>490.82179930796002</v>
      </c>
      <c r="E173">
        <v>197.01903114186999</v>
      </c>
      <c r="F173">
        <v>132.95419187554</v>
      </c>
      <c r="G173">
        <v>115.51685393258001</v>
      </c>
      <c r="I173" s="9">
        <f t="shared" si="15"/>
        <v>81.502177209289982</v>
      </c>
      <c r="J173" s="9">
        <f t="shared" si="16"/>
        <v>357.86760743242002</v>
      </c>
      <c r="K173" s="9">
        <f t="shared" si="17"/>
        <v>81.502177209289982</v>
      </c>
      <c r="L173" s="10">
        <f t="shared" si="14"/>
        <v>0.2277439352335931</v>
      </c>
      <c r="M173" s="10">
        <f t="shared" si="18"/>
        <v>0.22973268364048663</v>
      </c>
      <c r="P173" s="8">
        <f t="shared" si="19"/>
        <v>-29.102878750252664</v>
      </c>
    </row>
    <row r="174" spans="1:16" x14ac:dyDescent="0.2">
      <c r="A174" s="8">
        <v>86</v>
      </c>
      <c r="B174" s="8">
        <v>172</v>
      </c>
      <c r="D174">
        <v>490.05276816609</v>
      </c>
      <c r="E174">
        <v>196.09256055362999</v>
      </c>
      <c r="F174">
        <v>133.40363007779001</v>
      </c>
      <c r="G174">
        <v>115.28954191875999</v>
      </c>
      <c r="I174" s="9">
        <f t="shared" si="15"/>
        <v>80.80301863487</v>
      </c>
      <c r="J174" s="9">
        <f t="shared" si="16"/>
        <v>356.64913808829999</v>
      </c>
      <c r="K174" s="9">
        <f t="shared" si="17"/>
        <v>80.80301863487</v>
      </c>
      <c r="L174" s="10">
        <f t="shared" si="14"/>
        <v>0.22656165403339515</v>
      </c>
      <c r="M174" s="10">
        <f t="shared" si="18"/>
        <v>0.22856203254793134</v>
      </c>
      <c r="P174" s="8">
        <f t="shared" si="19"/>
        <v>-29.464149907385551</v>
      </c>
    </row>
    <row r="175" spans="1:16" x14ac:dyDescent="0.2">
      <c r="A175" s="8">
        <v>86.5</v>
      </c>
      <c r="B175" s="8">
        <v>173</v>
      </c>
      <c r="D175">
        <v>488.92695652174001</v>
      </c>
      <c r="E175">
        <v>196.08782608696001</v>
      </c>
      <c r="F175">
        <v>133.84788245461999</v>
      </c>
      <c r="G175">
        <v>115.51858254104999</v>
      </c>
      <c r="I175" s="9">
        <f t="shared" si="15"/>
        <v>80.569243545910012</v>
      </c>
      <c r="J175" s="9">
        <f t="shared" si="16"/>
        <v>355.07907406712002</v>
      </c>
      <c r="K175" s="9">
        <f t="shared" si="17"/>
        <v>80.569243545910012</v>
      </c>
      <c r="L175" s="10">
        <f t="shared" si="14"/>
        <v>0.22690507391229747</v>
      </c>
      <c r="M175" s="10">
        <f t="shared" si="18"/>
        <v>0.22891708253447632</v>
      </c>
      <c r="P175" s="8">
        <f t="shared" si="19"/>
        <v>-29.354578985447461</v>
      </c>
    </row>
    <row r="176" spans="1:16" x14ac:dyDescent="0.2">
      <c r="A176" s="8">
        <v>87</v>
      </c>
      <c r="B176" s="8">
        <v>174</v>
      </c>
      <c r="D176">
        <v>486.88695652173999</v>
      </c>
      <c r="E176">
        <v>195.99478260870001</v>
      </c>
      <c r="F176">
        <v>133.70613656007001</v>
      </c>
      <c r="G176">
        <v>115.38547968885</v>
      </c>
      <c r="I176" s="9">
        <f t="shared" si="15"/>
        <v>80.609302919850009</v>
      </c>
      <c r="J176" s="9">
        <f t="shared" si="16"/>
        <v>353.18081996166995</v>
      </c>
      <c r="K176" s="9">
        <f t="shared" si="17"/>
        <v>80.609302919850009</v>
      </c>
      <c r="L176" s="10">
        <f t="shared" si="14"/>
        <v>0.22823805360834257</v>
      </c>
      <c r="M176" s="10">
        <f t="shared" si="18"/>
        <v>0.23026169233816407</v>
      </c>
      <c r="P176" s="8">
        <f t="shared" si="19"/>
        <v>-28.939622947085798</v>
      </c>
    </row>
    <row r="177" spans="1:16" x14ac:dyDescent="0.2">
      <c r="A177" s="8">
        <v>87.5</v>
      </c>
      <c r="B177" s="8">
        <v>175</v>
      </c>
      <c r="D177">
        <v>486.18956521739</v>
      </c>
      <c r="E177">
        <v>195.76869565217001</v>
      </c>
      <c r="F177">
        <v>133.47882454623999</v>
      </c>
      <c r="G177">
        <v>115.35522904062</v>
      </c>
      <c r="I177" s="9">
        <f t="shared" si="15"/>
        <v>80.413466611550007</v>
      </c>
      <c r="J177" s="9">
        <f t="shared" si="16"/>
        <v>352.71074067115001</v>
      </c>
      <c r="K177" s="9">
        <f t="shared" si="17"/>
        <v>80.413466611550007</v>
      </c>
      <c r="L177" s="10">
        <f t="shared" si="14"/>
        <v>0.22798700844362302</v>
      </c>
      <c r="M177" s="10">
        <f t="shared" si="18"/>
        <v>0.23002227728108718</v>
      </c>
      <c r="P177" s="8">
        <f t="shared" si="19"/>
        <v>-29.013508116847525</v>
      </c>
    </row>
    <row r="178" spans="1:16" x14ac:dyDescent="0.2">
      <c r="A178" s="8">
        <v>88</v>
      </c>
      <c r="B178" s="8">
        <v>176</v>
      </c>
      <c r="D178">
        <v>485.83652173912998</v>
      </c>
      <c r="E178">
        <v>196.14782608696001</v>
      </c>
      <c r="F178">
        <v>133.22990492653</v>
      </c>
      <c r="G178">
        <v>115.42523768367001</v>
      </c>
      <c r="I178" s="9">
        <f t="shared" si="15"/>
        <v>80.722588403290004</v>
      </c>
      <c r="J178" s="9">
        <f t="shared" si="16"/>
        <v>352.60661681260001</v>
      </c>
      <c r="K178" s="9">
        <f t="shared" si="17"/>
        <v>80.722588403290004</v>
      </c>
      <c r="L178" s="10">
        <f t="shared" si="14"/>
        <v>0.22893100853575776</v>
      </c>
      <c r="M178" s="10">
        <f t="shared" si="18"/>
        <v>0.23097790748086455</v>
      </c>
      <c r="P178" s="8">
        <f t="shared" si="19"/>
        <v>-28.718593918876628</v>
      </c>
    </row>
    <row r="179" spans="1:16" x14ac:dyDescent="0.2">
      <c r="A179" s="8">
        <v>88.5</v>
      </c>
      <c r="B179" s="8">
        <v>177</v>
      </c>
      <c r="D179">
        <v>478.84956521739002</v>
      </c>
      <c r="E179">
        <v>195.28695652174</v>
      </c>
      <c r="F179">
        <v>133.77182368193999</v>
      </c>
      <c r="G179">
        <v>115.87726879861999</v>
      </c>
      <c r="I179" s="9">
        <f t="shared" si="15"/>
        <v>79.409687723120001</v>
      </c>
      <c r="J179" s="9">
        <f t="shared" si="16"/>
        <v>345.07774153545006</v>
      </c>
      <c r="K179" s="9">
        <f t="shared" si="17"/>
        <v>79.409687723120001</v>
      </c>
      <c r="L179" s="10">
        <f t="shared" si="14"/>
        <v>0.23012115290247487</v>
      </c>
      <c r="M179" s="10">
        <f t="shared" si="18"/>
        <v>0.23217968195522432</v>
      </c>
      <c r="P179" s="8">
        <f t="shared" si="19"/>
        <v>-28.347717867313715</v>
      </c>
    </row>
    <row r="180" spans="1:16" x14ac:dyDescent="0.2">
      <c r="A180" s="8">
        <v>89</v>
      </c>
      <c r="B180" s="8">
        <v>178</v>
      </c>
      <c r="D180">
        <v>492.84943429069</v>
      </c>
      <c r="E180">
        <v>195.65970409050999</v>
      </c>
      <c r="F180">
        <v>133.60328435609</v>
      </c>
      <c r="G180">
        <v>115.65082108902</v>
      </c>
      <c r="I180" s="9">
        <f t="shared" si="15"/>
        <v>80.008883001489991</v>
      </c>
      <c r="J180" s="9">
        <f t="shared" si="16"/>
        <v>359.2461499346</v>
      </c>
      <c r="K180" s="9">
        <f t="shared" si="17"/>
        <v>80.008883001489991</v>
      </c>
      <c r="L180" s="10">
        <f t="shared" si="14"/>
        <v>0.22271326503027364</v>
      </c>
      <c r="M180" s="10">
        <f t="shared" si="18"/>
        <v>0.22478342419066574</v>
      </c>
      <c r="P180" s="8">
        <f t="shared" si="19"/>
        <v>-30.630255011000664</v>
      </c>
    </row>
    <row r="181" spans="1:16" x14ac:dyDescent="0.2">
      <c r="A181" s="8">
        <v>89.5</v>
      </c>
      <c r="B181" s="8">
        <v>179</v>
      </c>
      <c r="D181">
        <v>490.39773716274999</v>
      </c>
      <c r="E181">
        <v>196.58746736291999</v>
      </c>
      <c r="F181">
        <v>133.79429559204999</v>
      </c>
      <c r="G181">
        <v>115.53154710458</v>
      </c>
      <c r="I181" s="9">
        <f t="shared" si="15"/>
        <v>81.055920258339995</v>
      </c>
      <c r="J181" s="9">
        <f t="shared" si="16"/>
        <v>356.6034415707</v>
      </c>
      <c r="K181" s="9">
        <f t="shared" si="17"/>
        <v>81.055920258339995</v>
      </c>
      <c r="L181" s="10">
        <f t="shared" si="14"/>
        <v>0.22729988219216302</v>
      </c>
      <c r="M181" s="10">
        <f t="shared" si="18"/>
        <v>0.22938167146019778</v>
      </c>
      <c r="P181" s="8">
        <f t="shared" si="19"/>
        <v>-29.211203576793331</v>
      </c>
    </row>
    <row r="182" spans="1:16" x14ac:dyDescent="0.2">
      <c r="A182" s="8">
        <v>90</v>
      </c>
      <c r="B182" s="8">
        <v>180</v>
      </c>
      <c r="D182">
        <v>490.53089643167999</v>
      </c>
      <c r="E182">
        <v>195.75543951262</v>
      </c>
      <c r="F182">
        <v>133.45548833189</v>
      </c>
      <c r="G182">
        <v>115.76318063959</v>
      </c>
      <c r="I182" s="9">
        <f t="shared" si="15"/>
        <v>79.992258873029996</v>
      </c>
      <c r="J182" s="9">
        <f t="shared" si="16"/>
        <v>357.07540809979002</v>
      </c>
      <c r="K182" s="9">
        <f t="shared" si="17"/>
        <v>79.992258873029996</v>
      </c>
      <c r="L182" s="10">
        <f t="shared" si="14"/>
        <v>0.22402063278094742</v>
      </c>
      <c r="M182" s="10">
        <f>L182+ABS($N$2)*A182</f>
        <v>0.22611405215662483</v>
      </c>
      <c r="P182" s="8">
        <f t="shared" si="19"/>
        <v>-30.219613866057887</v>
      </c>
    </row>
    <row r="183" spans="1:16" x14ac:dyDescent="0.2">
      <c r="A183" s="8">
        <v>90.5</v>
      </c>
      <c r="B183" s="8">
        <v>181</v>
      </c>
      <c r="D183">
        <v>494.66927763272002</v>
      </c>
      <c r="E183">
        <v>199.10095735421999</v>
      </c>
      <c r="F183">
        <v>133.89109766638001</v>
      </c>
      <c r="G183">
        <v>115.41573033708001</v>
      </c>
      <c r="I183" s="9">
        <f t="shared" si="15"/>
        <v>83.685227017139979</v>
      </c>
      <c r="J183" s="9">
        <f t="shared" si="16"/>
        <v>360.77817996634002</v>
      </c>
      <c r="K183" s="9">
        <f t="shared" si="17"/>
        <v>83.685227017139979</v>
      </c>
      <c r="L183" s="10">
        <f t="shared" si="14"/>
        <v>0.23195756191504616</v>
      </c>
      <c r="M183" s="10">
        <f t="shared" ref="M183:M241" si="20">L183+ABS($N$2)*A183</f>
        <v>0.2340626113983662</v>
      </c>
      <c r="P183" s="8">
        <f t="shared" si="19"/>
        <v>-27.766632603694635</v>
      </c>
    </row>
    <row r="184" spans="1:16" x14ac:dyDescent="0.2">
      <c r="A184" s="8">
        <v>91</v>
      </c>
      <c r="B184" s="8">
        <v>182</v>
      </c>
      <c r="D184">
        <v>492.125</v>
      </c>
      <c r="E184">
        <v>199.03793103448001</v>
      </c>
      <c r="F184">
        <v>134.47623163354001</v>
      </c>
      <c r="G184">
        <v>115.64477095938</v>
      </c>
      <c r="I184" s="9">
        <f t="shared" si="15"/>
        <v>83.393160075100013</v>
      </c>
      <c r="J184" s="9">
        <f t="shared" si="16"/>
        <v>357.64876836645999</v>
      </c>
      <c r="K184" s="9">
        <f t="shared" si="17"/>
        <v>83.393160075100013</v>
      </c>
      <c r="L184" s="10">
        <f t="shared" si="14"/>
        <v>0.23317055013496463</v>
      </c>
      <c r="M184" s="10">
        <f t="shared" si="20"/>
        <v>0.23528722972592733</v>
      </c>
      <c r="P184" s="8">
        <f t="shared" si="19"/>
        <v>-27.388706778435772</v>
      </c>
    </row>
    <row r="185" spans="1:16" x14ac:dyDescent="0.2">
      <c r="A185" s="8">
        <v>91.5</v>
      </c>
      <c r="B185" s="8">
        <v>183</v>
      </c>
      <c r="D185">
        <v>489.47155172414</v>
      </c>
      <c r="E185">
        <v>198.98534482759001</v>
      </c>
      <c r="F185">
        <v>133.88159031979001</v>
      </c>
      <c r="G185">
        <v>115.6871218669</v>
      </c>
      <c r="I185" s="9">
        <f t="shared" si="15"/>
        <v>83.298222960690012</v>
      </c>
      <c r="J185" s="9">
        <f t="shared" si="16"/>
        <v>355.58996140434999</v>
      </c>
      <c r="K185" s="9">
        <f t="shared" si="17"/>
        <v>83.298222960690012</v>
      </c>
      <c r="L185" s="10">
        <f t="shared" si="14"/>
        <v>0.23425358418926112</v>
      </c>
      <c r="M185" s="10">
        <f t="shared" si="20"/>
        <v>0.23638189388786648</v>
      </c>
      <c r="P185" s="8">
        <f t="shared" si="19"/>
        <v>-27.05088572229818</v>
      </c>
    </row>
    <row r="186" spans="1:16" x14ac:dyDescent="0.2">
      <c r="A186" s="8">
        <v>92</v>
      </c>
      <c r="B186" s="8">
        <v>184</v>
      </c>
      <c r="D186">
        <v>486.53362068965998</v>
      </c>
      <c r="E186">
        <v>198.49655172414001</v>
      </c>
      <c r="F186">
        <v>134.06828003456999</v>
      </c>
      <c r="G186">
        <v>115.88159031979001</v>
      </c>
      <c r="I186" s="9">
        <f t="shared" si="15"/>
        <v>82.614961404349998</v>
      </c>
      <c r="J186" s="9">
        <f t="shared" si="16"/>
        <v>352.46534065509002</v>
      </c>
      <c r="K186" s="9">
        <f t="shared" si="17"/>
        <v>82.614961404349998</v>
      </c>
      <c r="L186" s="10">
        <f t="shared" si="14"/>
        <v>0.23439173125732679</v>
      </c>
      <c r="M186" s="10">
        <f t="shared" si="20"/>
        <v>0.23653167106357481</v>
      </c>
      <c r="P186" s="8">
        <f t="shared" si="19"/>
        <v>-27.004663432903541</v>
      </c>
    </row>
    <row r="187" spans="1:16" x14ac:dyDescent="0.2">
      <c r="A187" s="8">
        <v>92.5</v>
      </c>
      <c r="B187" s="8">
        <v>185</v>
      </c>
      <c r="D187">
        <v>489.02931034482998</v>
      </c>
      <c r="E187">
        <v>200.50172413793001</v>
      </c>
      <c r="F187">
        <v>133.7562662057</v>
      </c>
      <c r="G187">
        <v>115.80293863439999</v>
      </c>
      <c r="I187" s="9">
        <f t="shared" si="15"/>
        <v>84.698785503530019</v>
      </c>
      <c r="J187" s="9">
        <f t="shared" si="16"/>
        <v>355.27304413912998</v>
      </c>
      <c r="K187" s="9">
        <f t="shared" si="17"/>
        <v>84.698785503530019</v>
      </c>
      <c r="L187" s="10">
        <f t="shared" si="14"/>
        <v>0.23840476191703633</v>
      </c>
      <c r="M187" s="10">
        <f t="shared" si="20"/>
        <v>0.24055633183092701</v>
      </c>
      <c r="P187" s="8">
        <f t="shared" si="19"/>
        <v>-25.762624825725648</v>
      </c>
    </row>
    <row r="188" spans="1:16" x14ac:dyDescent="0.2">
      <c r="A188" s="8">
        <v>93</v>
      </c>
      <c r="B188" s="8">
        <v>186</v>
      </c>
      <c r="D188">
        <v>494.58159722222001</v>
      </c>
      <c r="E188">
        <v>199.53125</v>
      </c>
      <c r="F188">
        <v>133.68539325843</v>
      </c>
      <c r="G188">
        <v>116.08038029386</v>
      </c>
      <c r="I188" s="9">
        <f t="shared" si="15"/>
        <v>83.450869706139997</v>
      </c>
      <c r="J188" s="9">
        <f t="shared" si="16"/>
        <v>360.89620396379001</v>
      </c>
      <c r="K188" s="9">
        <f t="shared" si="17"/>
        <v>83.450869706139997</v>
      </c>
      <c r="L188" s="10">
        <f t="shared" si="14"/>
        <v>0.2312323288235886</v>
      </c>
      <c r="M188" s="10">
        <f t="shared" si="20"/>
        <v>0.23339552884512194</v>
      </c>
      <c r="P188" s="8">
        <f t="shared" si="19"/>
        <v>-27.972498969383214</v>
      </c>
    </row>
    <row r="189" spans="1:16" x14ac:dyDescent="0.2">
      <c r="A189" s="8">
        <v>93.5</v>
      </c>
      <c r="B189" s="8">
        <v>187</v>
      </c>
      <c r="D189">
        <v>495.72395833333002</v>
      </c>
      <c r="E189">
        <v>201.63715277777999</v>
      </c>
      <c r="F189">
        <v>134.06914433880999</v>
      </c>
      <c r="G189">
        <v>115.90751944685</v>
      </c>
      <c r="I189" s="9">
        <f t="shared" si="15"/>
        <v>85.729633330929985</v>
      </c>
      <c r="J189" s="9">
        <f t="shared" si="16"/>
        <v>361.65481399452005</v>
      </c>
      <c r="K189" s="9">
        <f t="shared" si="17"/>
        <v>85.729633330929985</v>
      </c>
      <c r="L189" s="10">
        <f t="shared" si="14"/>
        <v>0.23704822945403678</v>
      </c>
      <c r="M189" s="10">
        <f t="shared" si="20"/>
        <v>0.23922305958321274</v>
      </c>
      <c r="P189" s="8">
        <f t="shared" si="19"/>
        <v>-26.174082014608036</v>
      </c>
    </row>
    <row r="190" spans="1:16" x14ac:dyDescent="0.2">
      <c r="A190" s="8">
        <v>94</v>
      </c>
      <c r="B190" s="8">
        <v>188</v>
      </c>
      <c r="D190">
        <v>496.53125</v>
      </c>
      <c r="E190">
        <v>201.96440972222001</v>
      </c>
      <c r="F190">
        <v>133.61711322386</v>
      </c>
      <c r="G190">
        <v>116.11063094209</v>
      </c>
      <c r="I190" s="9">
        <f t="shared" si="15"/>
        <v>85.853778780130014</v>
      </c>
      <c r="J190" s="9">
        <f t="shared" si="16"/>
        <v>362.91413677614003</v>
      </c>
      <c r="K190" s="9">
        <f t="shared" si="17"/>
        <v>85.853778780130014</v>
      </c>
      <c r="L190" s="10">
        <f t="shared" si="14"/>
        <v>0.23656774448852089</v>
      </c>
      <c r="M190" s="10">
        <f t="shared" si="20"/>
        <v>0.23875420472533951</v>
      </c>
      <c r="P190" s="8">
        <f t="shared" si="19"/>
        <v>-26.318773919914769</v>
      </c>
    </row>
    <row r="191" spans="1:16" x14ac:dyDescent="0.2">
      <c r="A191" s="8">
        <v>94.5</v>
      </c>
      <c r="B191" s="8">
        <v>189</v>
      </c>
      <c r="D191">
        <v>498.70527225582998</v>
      </c>
      <c r="E191">
        <v>203.20484010371999</v>
      </c>
      <c r="F191">
        <v>133.89541918755</v>
      </c>
      <c r="G191">
        <v>115.74416594641001</v>
      </c>
      <c r="I191" s="9">
        <f t="shared" si="15"/>
        <v>87.460674157309981</v>
      </c>
      <c r="J191" s="9">
        <f t="shared" si="16"/>
        <v>364.80985306827995</v>
      </c>
      <c r="K191" s="9">
        <f t="shared" si="17"/>
        <v>87.460674157309981</v>
      </c>
      <c r="L191" s="10">
        <f t="shared" si="14"/>
        <v>0.23974317969131259</v>
      </c>
      <c r="M191" s="10">
        <f t="shared" si="20"/>
        <v>0.24194127003577387</v>
      </c>
      <c r="P191" s="8">
        <f t="shared" si="19"/>
        <v>-25.335223159247523</v>
      </c>
    </row>
    <row r="192" spans="1:16" x14ac:dyDescent="0.2">
      <c r="A192" s="8">
        <v>95</v>
      </c>
      <c r="B192" s="8">
        <v>190</v>
      </c>
      <c r="D192">
        <v>497.43955094990997</v>
      </c>
      <c r="E192">
        <v>202.34887737477999</v>
      </c>
      <c r="F192">
        <v>134.11495246326999</v>
      </c>
      <c r="G192">
        <v>115.83318928263</v>
      </c>
      <c r="I192" s="9">
        <f t="shared" si="15"/>
        <v>86.515688092149986</v>
      </c>
      <c r="J192" s="9">
        <f t="shared" si="16"/>
        <v>363.32459848663996</v>
      </c>
      <c r="K192" s="9">
        <f t="shared" si="17"/>
        <v>86.515688092149986</v>
      </c>
      <c r="L192" s="10">
        <f t="shared" si="14"/>
        <v>0.23812229739608812</v>
      </c>
      <c r="M192" s="10">
        <f t="shared" si="20"/>
        <v>0.24033201784819205</v>
      </c>
      <c r="P192" s="8">
        <f t="shared" si="19"/>
        <v>-25.831849697781124</v>
      </c>
    </row>
    <row r="193" spans="1:16" x14ac:dyDescent="0.2">
      <c r="A193" s="8">
        <v>95.5</v>
      </c>
      <c r="B193" s="8">
        <v>191</v>
      </c>
      <c r="D193">
        <v>496.44991364421003</v>
      </c>
      <c r="E193">
        <v>202.27979274610999</v>
      </c>
      <c r="F193">
        <v>134.44165946413</v>
      </c>
      <c r="G193">
        <v>115.41054451167</v>
      </c>
      <c r="I193" s="9">
        <f t="shared" si="15"/>
        <v>86.869248234439993</v>
      </c>
      <c r="J193" s="9">
        <f t="shared" si="16"/>
        <v>362.00825418008003</v>
      </c>
      <c r="K193" s="9">
        <f t="shared" si="17"/>
        <v>86.869248234439993</v>
      </c>
      <c r="L193" s="10">
        <f t="shared" si="14"/>
        <v>0.23996482740757374</v>
      </c>
      <c r="M193" s="10">
        <f t="shared" si="20"/>
        <v>0.24218617796732034</v>
      </c>
      <c r="P193" s="8">
        <f t="shared" si="19"/>
        <v>-25.259642849808195</v>
      </c>
    </row>
    <row r="194" spans="1:16" x14ac:dyDescent="0.2">
      <c r="A194" s="8">
        <v>96</v>
      </c>
      <c r="B194" s="8">
        <v>192</v>
      </c>
      <c r="D194">
        <v>502.68652849740999</v>
      </c>
      <c r="E194">
        <v>204.54663212435</v>
      </c>
      <c r="F194">
        <v>134.04407951599001</v>
      </c>
      <c r="G194">
        <v>115.81676750216</v>
      </c>
      <c r="I194" s="9">
        <f t="shared" si="15"/>
        <v>88.729864622189993</v>
      </c>
      <c r="J194" s="9">
        <f t="shared" si="16"/>
        <v>368.64244898141999</v>
      </c>
      <c r="K194" s="9">
        <f t="shared" si="17"/>
        <v>88.729864622189993</v>
      </c>
      <c r="L194" s="10">
        <f t="shared" ref="L194:L257" si="21">K194/J194</f>
        <v>0.24069356328159072</v>
      </c>
      <c r="M194" s="10">
        <f t="shared" si="20"/>
        <v>0.24292654394897994</v>
      </c>
      <c r="P194" s="8">
        <f t="shared" si="19"/>
        <v>-25.031160702909798</v>
      </c>
    </row>
    <row r="195" spans="1:16" x14ac:dyDescent="0.2">
      <c r="A195" s="8">
        <v>96.5</v>
      </c>
      <c r="B195" s="8">
        <v>193</v>
      </c>
      <c r="D195">
        <v>500.29090909091002</v>
      </c>
      <c r="E195">
        <v>205.26233766234</v>
      </c>
      <c r="F195">
        <v>135.02160760588001</v>
      </c>
      <c r="G195">
        <v>116.05704407952</v>
      </c>
      <c r="I195" s="9">
        <f t="shared" ref="I195:I241" si="22">E195-G195</f>
        <v>89.205293582820005</v>
      </c>
      <c r="J195" s="9">
        <f t="shared" ref="J195:J241" si="23">D195-F195</f>
        <v>365.26930148503004</v>
      </c>
      <c r="K195" s="9">
        <f t="shared" ref="K195:K258" si="24">I195*1</f>
        <v>89.205293582820005</v>
      </c>
      <c r="L195" s="10">
        <f t="shared" si="21"/>
        <v>0.24421787765943953</v>
      </c>
      <c r="M195" s="10">
        <f t="shared" si="20"/>
        <v>0.24646248843447141</v>
      </c>
      <c r="P195" s="8">
        <f t="shared" ref="P195:P241" si="25">(M195-$O$2)/$O$2*100</f>
        <v>-23.939943376111966</v>
      </c>
    </row>
    <row r="196" spans="1:16" x14ac:dyDescent="0.2">
      <c r="A196" s="8">
        <v>97</v>
      </c>
      <c r="B196" s="8">
        <v>194</v>
      </c>
      <c r="D196">
        <v>501.08311688312</v>
      </c>
      <c r="E196">
        <v>205.24155844155999</v>
      </c>
      <c r="F196">
        <v>134.00086430424</v>
      </c>
      <c r="G196">
        <v>116.01642178047</v>
      </c>
      <c r="I196" s="9">
        <f t="shared" si="22"/>
        <v>89.225136661089991</v>
      </c>
      <c r="J196" s="9">
        <f t="shared" si="23"/>
        <v>367.08225257888</v>
      </c>
      <c r="K196" s="9">
        <f t="shared" si="24"/>
        <v>89.225136661089991</v>
      </c>
      <c r="L196" s="10">
        <f t="shared" si="21"/>
        <v>0.24306578712060442</v>
      </c>
      <c r="M196" s="10">
        <f t="shared" si="20"/>
        <v>0.24532202800327896</v>
      </c>
      <c r="P196" s="8">
        <f t="shared" si="25"/>
        <v>-24.291897482900367</v>
      </c>
    </row>
    <row r="197" spans="1:16" x14ac:dyDescent="0.2">
      <c r="A197" s="8">
        <v>97.5</v>
      </c>
      <c r="B197" s="8">
        <v>195</v>
      </c>
      <c r="D197">
        <v>495.40692640692998</v>
      </c>
      <c r="E197">
        <v>204.69090909091</v>
      </c>
      <c r="F197">
        <v>134.48314606741999</v>
      </c>
      <c r="G197">
        <v>116.06914433881001</v>
      </c>
      <c r="I197" s="9">
        <f t="shared" si="22"/>
        <v>88.621764752099992</v>
      </c>
      <c r="J197" s="9">
        <f t="shared" si="23"/>
        <v>360.92378033951002</v>
      </c>
      <c r="K197" s="9">
        <f t="shared" si="24"/>
        <v>88.621764752099992</v>
      </c>
      <c r="L197" s="10">
        <f t="shared" si="21"/>
        <v>0.24554149540586157</v>
      </c>
      <c r="M197" s="10">
        <f t="shared" si="20"/>
        <v>0.24780936639617876</v>
      </c>
      <c r="P197" s="8">
        <f t="shared" si="25"/>
        <v>-23.524287368239737</v>
      </c>
    </row>
    <row r="198" spans="1:16" x14ac:dyDescent="0.2">
      <c r="A198" s="8">
        <v>98</v>
      </c>
      <c r="B198" s="8">
        <v>196</v>
      </c>
      <c r="D198">
        <v>501.20173160172999</v>
      </c>
      <c r="E198">
        <v>205.63376623376999</v>
      </c>
      <c r="F198">
        <v>134.36387208297</v>
      </c>
      <c r="G198">
        <v>116.3422644771</v>
      </c>
      <c r="I198" s="9">
        <f t="shared" si="22"/>
        <v>89.291501756669987</v>
      </c>
      <c r="J198" s="9">
        <f t="shared" si="23"/>
        <v>366.83785951875996</v>
      </c>
      <c r="K198" s="9">
        <f t="shared" si="24"/>
        <v>89.291501756669987</v>
      </c>
      <c r="L198" s="10">
        <f t="shared" si="21"/>
        <v>0.24340863255992162</v>
      </c>
      <c r="M198" s="10">
        <f t="shared" si="20"/>
        <v>0.24568813365788147</v>
      </c>
      <c r="P198" s="8">
        <f t="shared" si="25"/>
        <v>-24.178914704075606</v>
      </c>
    </row>
    <row r="199" spans="1:16" x14ac:dyDescent="0.2">
      <c r="A199" s="8">
        <v>98.5</v>
      </c>
      <c r="B199" s="8">
        <v>197</v>
      </c>
      <c r="D199">
        <v>497.08311688312</v>
      </c>
      <c r="E199">
        <v>205.75411255411001</v>
      </c>
      <c r="F199">
        <v>135.09766637857001</v>
      </c>
      <c r="G199">
        <v>116.17458945548999</v>
      </c>
      <c r="I199" s="9">
        <f t="shared" si="22"/>
        <v>89.579523098620015</v>
      </c>
      <c r="J199" s="9">
        <f t="shared" si="23"/>
        <v>361.98545050454999</v>
      </c>
      <c r="K199" s="9">
        <f t="shared" si="24"/>
        <v>89.579523098620015</v>
      </c>
      <c r="L199" s="10">
        <f t="shared" si="21"/>
        <v>0.24746719232433362</v>
      </c>
      <c r="M199" s="10">
        <f t="shared" si="20"/>
        <v>0.24975832352993613</v>
      </c>
      <c r="P199" s="8">
        <f t="shared" si="25"/>
        <v>-22.922825495105524</v>
      </c>
    </row>
    <row r="200" spans="1:16" x14ac:dyDescent="0.2">
      <c r="A200" s="8">
        <v>99</v>
      </c>
      <c r="B200" s="8">
        <v>198</v>
      </c>
      <c r="D200">
        <v>498.78268398268</v>
      </c>
      <c r="E200">
        <v>207.38095238094999</v>
      </c>
      <c r="F200">
        <v>134.25929127053001</v>
      </c>
      <c r="G200">
        <v>116.01210025928999</v>
      </c>
      <c r="I200" s="9">
        <f t="shared" si="22"/>
        <v>91.368852121659998</v>
      </c>
      <c r="J200" s="9">
        <f t="shared" si="23"/>
        <v>364.52339271214998</v>
      </c>
      <c r="K200" s="9">
        <f t="shared" si="24"/>
        <v>91.368852121659998</v>
      </c>
      <c r="L200" s="10">
        <f t="shared" si="21"/>
        <v>0.25065291816212859</v>
      </c>
      <c r="M200" s="10">
        <f t="shared" si="20"/>
        <v>0.25295567947537373</v>
      </c>
      <c r="P200" s="8">
        <f t="shared" si="25"/>
        <v>-21.936098972130537</v>
      </c>
    </row>
    <row r="201" spans="1:16" x14ac:dyDescent="0.2">
      <c r="A201" s="8">
        <v>99.5</v>
      </c>
      <c r="B201" s="8">
        <v>199</v>
      </c>
      <c r="D201">
        <v>492.81991341990999</v>
      </c>
      <c r="E201">
        <v>206.16450216449999</v>
      </c>
      <c r="F201">
        <v>134.79948141745999</v>
      </c>
      <c r="G201">
        <v>116.05099394987</v>
      </c>
      <c r="I201" s="9">
        <f t="shared" si="22"/>
        <v>90.113508214629988</v>
      </c>
      <c r="J201" s="9">
        <f t="shared" si="23"/>
        <v>358.02043200244998</v>
      </c>
      <c r="K201" s="9">
        <f t="shared" si="24"/>
        <v>90.113508214629988</v>
      </c>
      <c r="L201" s="10">
        <f t="shared" si="21"/>
        <v>0.25169934495250629</v>
      </c>
      <c r="M201" s="10">
        <f t="shared" si="20"/>
        <v>0.25401373637339408</v>
      </c>
      <c r="P201" s="8">
        <f t="shared" si="25"/>
        <v>-21.609575174996515</v>
      </c>
    </row>
    <row r="202" spans="1:16" x14ac:dyDescent="0.2">
      <c r="A202" s="8">
        <v>100</v>
      </c>
      <c r="B202" s="8">
        <v>200</v>
      </c>
      <c r="D202">
        <v>489.96883116882998</v>
      </c>
      <c r="E202">
        <v>205.85627705627999</v>
      </c>
      <c r="F202">
        <v>134.04580812446</v>
      </c>
      <c r="G202">
        <v>115.89714779601999</v>
      </c>
      <c r="I202" s="9">
        <f t="shared" si="22"/>
        <v>89.959129260259999</v>
      </c>
      <c r="J202" s="9">
        <f t="shared" si="23"/>
        <v>355.92302304436998</v>
      </c>
      <c r="K202" s="9">
        <f t="shared" si="24"/>
        <v>89.959129260259999</v>
      </c>
      <c r="L202" s="10">
        <f t="shared" si="21"/>
        <v>0.25274883453955588</v>
      </c>
      <c r="M202" s="10">
        <f t="shared" si="20"/>
        <v>0.25507485606808633</v>
      </c>
      <c r="P202" s="8">
        <f t="shared" si="25"/>
        <v>-21.282106177277321</v>
      </c>
    </row>
    <row r="203" spans="1:16" x14ac:dyDescent="0.2">
      <c r="A203" s="8">
        <v>100.5</v>
      </c>
      <c r="B203" s="8">
        <v>201</v>
      </c>
      <c r="D203">
        <v>498.12173913044001</v>
      </c>
      <c r="E203">
        <v>205.72608695651999</v>
      </c>
      <c r="F203">
        <v>134.83318928263</v>
      </c>
      <c r="G203">
        <v>116.24200518583</v>
      </c>
      <c r="I203" s="9">
        <f t="shared" si="22"/>
        <v>89.484081770689997</v>
      </c>
      <c r="J203" s="9">
        <f t="shared" si="23"/>
        <v>363.28854984781003</v>
      </c>
      <c r="K203" s="9">
        <f t="shared" si="24"/>
        <v>89.484081770689997</v>
      </c>
      <c r="L203" s="10">
        <f t="shared" si="21"/>
        <v>0.24631682393562074</v>
      </c>
      <c r="M203" s="10">
        <f t="shared" si="20"/>
        <v>0.24865447557179385</v>
      </c>
      <c r="P203" s="8">
        <f t="shared" si="25"/>
        <v>-23.263480735315792</v>
      </c>
    </row>
    <row r="204" spans="1:16" x14ac:dyDescent="0.2">
      <c r="A204" s="8">
        <v>101</v>
      </c>
      <c r="B204" s="8">
        <v>202</v>
      </c>
      <c r="D204">
        <v>493.40173913043998</v>
      </c>
      <c r="E204">
        <v>206.12086956522</v>
      </c>
      <c r="F204">
        <v>134.23509075195</v>
      </c>
      <c r="G204">
        <v>116.14088159032001</v>
      </c>
      <c r="I204" s="9">
        <f t="shared" si="22"/>
        <v>89.979987974899998</v>
      </c>
      <c r="J204" s="9">
        <f t="shared" si="23"/>
        <v>359.16664837848998</v>
      </c>
      <c r="K204" s="9">
        <f t="shared" si="24"/>
        <v>89.979987974899998</v>
      </c>
      <c r="L204" s="10">
        <f t="shared" si="21"/>
        <v>0.25052434122468697</v>
      </c>
      <c r="M204" s="10">
        <f t="shared" si="20"/>
        <v>0.25287362296850274</v>
      </c>
      <c r="P204" s="8">
        <f t="shared" si="25"/>
        <v>-21.961422187028713</v>
      </c>
    </row>
    <row r="205" spans="1:16" x14ac:dyDescent="0.2">
      <c r="A205" s="8">
        <v>101.5</v>
      </c>
      <c r="B205" s="8">
        <v>203</v>
      </c>
      <c r="D205">
        <v>505.01304347825999</v>
      </c>
      <c r="E205">
        <v>210.30695652174001</v>
      </c>
      <c r="F205">
        <v>134.92739844425</v>
      </c>
      <c r="G205">
        <v>116.46499567847999</v>
      </c>
      <c r="I205" s="9">
        <f t="shared" si="22"/>
        <v>93.841960843260011</v>
      </c>
      <c r="J205" s="9">
        <f t="shared" si="23"/>
        <v>370.08564503400999</v>
      </c>
      <c r="K205" s="9">
        <f t="shared" si="24"/>
        <v>93.841960843260011</v>
      </c>
      <c r="L205" s="10">
        <f t="shared" si="21"/>
        <v>0.25356822698334103</v>
      </c>
      <c r="M205" s="10">
        <f t="shared" si="20"/>
        <v>0.25592913883479945</v>
      </c>
      <c r="P205" s="8">
        <f t="shared" si="25"/>
        <v>-21.018468509647882</v>
      </c>
    </row>
    <row r="206" spans="1:16" x14ac:dyDescent="0.2">
      <c r="A206" s="8">
        <v>102</v>
      </c>
      <c r="B206" s="8">
        <v>204</v>
      </c>
      <c r="D206">
        <v>494.35695764909002</v>
      </c>
      <c r="E206">
        <v>208.31460674157</v>
      </c>
      <c r="F206">
        <v>134.67070008643</v>
      </c>
      <c r="G206">
        <v>116.33448573898001</v>
      </c>
      <c r="I206" s="9">
        <f t="shared" si="22"/>
        <v>91.980121002589996</v>
      </c>
      <c r="J206" s="9">
        <f t="shared" si="23"/>
        <v>359.68625756265999</v>
      </c>
      <c r="K206" s="9">
        <f t="shared" si="24"/>
        <v>91.980121002589996</v>
      </c>
      <c r="L206" s="10">
        <f t="shared" si="21"/>
        <v>0.25572320061899051</v>
      </c>
      <c r="M206" s="10">
        <f t="shared" si="20"/>
        <v>0.25809574257809159</v>
      </c>
      <c r="P206" s="8">
        <f t="shared" si="25"/>
        <v>-20.349839362701076</v>
      </c>
    </row>
    <row r="207" spans="1:16" x14ac:dyDescent="0.2">
      <c r="A207" s="8">
        <v>102.5</v>
      </c>
      <c r="B207" s="8">
        <v>205</v>
      </c>
      <c r="D207">
        <v>489.70095073466001</v>
      </c>
      <c r="E207">
        <v>207.62834917891001</v>
      </c>
      <c r="F207">
        <v>134.85825410544999</v>
      </c>
      <c r="G207">
        <v>116.13569576491</v>
      </c>
      <c r="I207" s="9">
        <f t="shared" si="22"/>
        <v>91.492653414000017</v>
      </c>
      <c r="J207" s="9">
        <f t="shared" si="23"/>
        <v>354.84269662921002</v>
      </c>
      <c r="K207" s="9">
        <f t="shared" si="24"/>
        <v>91.492653414000017</v>
      </c>
      <c r="L207" s="10">
        <f t="shared" si="21"/>
        <v>0.25784003526950006</v>
      </c>
      <c r="M207" s="10">
        <f t="shared" si="20"/>
        <v>0.2602242073362438</v>
      </c>
      <c r="P207" s="8">
        <f t="shared" si="25"/>
        <v>-19.692980174695069</v>
      </c>
    </row>
    <row r="208" spans="1:16" x14ac:dyDescent="0.2">
      <c r="A208" s="8">
        <v>103</v>
      </c>
      <c r="B208" s="8">
        <v>206</v>
      </c>
      <c r="D208">
        <v>498.98962834918001</v>
      </c>
      <c r="E208">
        <v>209.60242005186001</v>
      </c>
      <c r="F208">
        <v>134.62229904927</v>
      </c>
      <c r="G208">
        <v>116.21607605877</v>
      </c>
      <c r="I208" s="9">
        <f t="shared" si="22"/>
        <v>93.386343993090009</v>
      </c>
      <c r="J208" s="9">
        <f t="shared" si="23"/>
        <v>364.36732929991001</v>
      </c>
      <c r="K208" s="9">
        <f t="shared" si="24"/>
        <v>93.386343993090009</v>
      </c>
      <c r="L208" s="10">
        <f t="shared" si="21"/>
        <v>0.25629724863785441</v>
      </c>
      <c r="M208" s="10">
        <f t="shared" si="20"/>
        <v>0.25869305081224075</v>
      </c>
      <c r="P208" s="8">
        <f t="shared" si="25"/>
        <v>-20.165505842416184</v>
      </c>
    </row>
    <row r="209" spans="1:16" x14ac:dyDescent="0.2">
      <c r="A209" s="8">
        <v>103.5</v>
      </c>
      <c r="B209" s="8">
        <v>207</v>
      </c>
      <c r="D209">
        <v>506.42571676802999</v>
      </c>
      <c r="E209">
        <v>211.31885317115999</v>
      </c>
      <c r="F209">
        <v>134.91356957649</v>
      </c>
      <c r="G209">
        <v>116.24200518583</v>
      </c>
      <c r="I209" s="9">
        <f t="shared" si="22"/>
        <v>95.076847985329991</v>
      </c>
      <c r="J209" s="9">
        <f t="shared" si="23"/>
        <v>371.51214719153995</v>
      </c>
      <c r="K209" s="9">
        <f t="shared" si="24"/>
        <v>95.076847985329991</v>
      </c>
      <c r="L209" s="10">
        <f t="shared" si="21"/>
        <v>0.255918544532304</v>
      </c>
      <c r="M209" s="10">
        <f t="shared" si="20"/>
        <v>0.258325976814333</v>
      </c>
      <c r="P209" s="8">
        <f t="shared" si="25"/>
        <v>-20.278787458792642</v>
      </c>
    </row>
    <row r="210" spans="1:16" x14ac:dyDescent="0.2">
      <c r="A210" s="8">
        <v>104</v>
      </c>
      <c r="B210" s="8">
        <v>208</v>
      </c>
      <c r="D210">
        <v>500.20156385752</v>
      </c>
      <c r="E210">
        <v>210.57602085143</v>
      </c>
      <c r="F210">
        <v>134.97407087294999</v>
      </c>
      <c r="G210">
        <v>116.44770959378</v>
      </c>
      <c r="I210" s="9">
        <f t="shared" si="22"/>
        <v>94.128311257649997</v>
      </c>
      <c r="J210" s="9">
        <f t="shared" si="23"/>
        <v>365.22749298457001</v>
      </c>
      <c r="K210" s="9">
        <f t="shared" si="24"/>
        <v>94.128311257649997</v>
      </c>
      <c r="L210" s="10">
        <f t="shared" si="21"/>
        <v>0.25772515231110132</v>
      </c>
      <c r="M210" s="10">
        <f t="shared" si="20"/>
        <v>0.26014421470077298</v>
      </c>
      <c r="P210" s="8">
        <f t="shared" si="25"/>
        <v>-19.717666464369618</v>
      </c>
    </row>
    <row r="211" spans="1:16" x14ac:dyDescent="0.2">
      <c r="A211" s="8">
        <v>104.5</v>
      </c>
      <c r="B211" s="8">
        <v>209</v>
      </c>
      <c r="D211">
        <v>506.23110338836</v>
      </c>
      <c r="E211">
        <v>211.41876629018</v>
      </c>
      <c r="F211">
        <v>134.95246326706999</v>
      </c>
      <c r="G211">
        <v>116.2290406223</v>
      </c>
      <c r="I211" s="9">
        <f t="shared" si="22"/>
        <v>95.189725667879998</v>
      </c>
      <c r="J211" s="9">
        <f t="shared" si="23"/>
        <v>371.27864012128998</v>
      </c>
      <c r="K211" s="9">
        <f t="shared" si="24"/>
        <v>95.189725667879998</v>
      </c>
      <c r="L211" s="10">
        <f t="shared" si="21"/>
        <v>0.25638352272779075</v>
      </c>
      <c r="M211" s="10">
        <f t="shared" si="20"/>
        <v>0.25881421522510506</v>
      </c>
      <c r="P211" s="8">
        <f t="shared" si="25"/>
        <v>-20.128113652790098</v>
      </c>
    </row>
    <row r="212" spans="1:16" x14ac:dyDescent="0.2">
      <c r="A212" s="8">
        <v>105</v>
      </c>
      <c r="B212" s="8">
        <v>210</v>
      </c>
      <c r="D212">
        <v>506.97827975672999</v>
      </c>
      <c r="E212">
        <v>211.37185056473001</v>
      </c>
      <c r="F212">
        <v>134.61279170268</v>
      </c>
      <c r="G212">
        <v>116.30164217805</v>
      </c>
      <c r="I212" s="9">
        <f t="shared" si="22"/>
        <v>95.070208386680008</v>
      </c>
      <c r="J212" s="9">
        <f t="shared" si="23"/>
        <v>372.36548805404999</v>
      </c>
      <c r="K212" s="9">
        <f t="shared" si="24"/>
        <v>95.070208386680008</v>
      </c>
      <c r="L212" s="10">
        <f t="shared" si="21"/>
        <v>0.25531423141147891</v>
      </c>
      <c r="M212" s="10">
        <f t="shared" si="20"/>
        <v>0.25775655401643588</v>
      </c>
      <c r="P212" s="8">
        <f t="shared" si="25"/>
        <v>-20.454515337408552</v>
      </c>
    </row>
    <row r="213" spans="1:16" x14ac:dyDescent="0.2">
      <c r="A213" s="8">
        <v>105.5</v>
      </c>
      <c r="B213" s="8">
        <v>211</v>
      </c>
      <c r="D213">
        <v>505.71676802780001</v>
      </c>
      <c r="E213">
        <v>211.67332754127</v>
      </c>
      <c r="F213">
        <v>135.10371650821</v>
      </c>
      <c r="G213">
        <v>116.06741573034</v>
      </c>
      <c r="I213" s="9">
        <f t="shared" si="22"/>
        <v>95.605911810929996</v>
      </c>
      <c r="J213" s="9">
        <f t="shared" si="23"/>
        <v>370.61305151959004</v>
      </c>
      <c r="K213" s="9">
        <f t="shared" si="24"/>
        <v>95.605911810929996</v>
      </c>
      <c r="L213" s="10">
        <f t="shared" si="21"/>
        <v>0.2579669318684974</v>
      </c>
      <c r="M213" s="10">
        <f t="shared" si="20"/>
        <v>0.26042088458109702</v>
      </c>
      <c r="P213" s="8">
        <f t="shared" si="25"/>
        <v>-19.632284194243081</v>
      </c>
    </row>
    <row r="214" spans="1:16" x14ac:dyDescent="0.2">
      <c r="A214" s="8">
        <v>106</v>
      </c>
      <c r="B214" s="8">
        <v>212</v>
      </c>
      <c r="D214">
        <v>499.06602953953001</v>
      </c>
      <c r="E214">
        <v>210.02606429191999</v>
      </c>
      <c r="F214">
        <v>134.89628349179</v>
      </c>
      <c r="G214">
        <v>116.27657735523</v>
      </c>
      <c r="I214" s="9">
        <f t="shared" si="22"/>
        <v>93.749486936689991</v>
      </c>
      <c r="J214" s="9">
        <f t="shared" si="23"/>
        <v>364.16974604773998</v>
      </c>
      <c r="K214" s="9">
        <f t="shared" si="24"/>
        <v>93.749486936689991</v>
      </c>
      <c r="L214" s="10">
        <f t="shared" si="21"/>
        <v>0.25743348521982967</v>
      </c>
      <c r="M214" s="10">
        <f t="shared" si="20"/>
        <v>0.25989906804007196</v>
      </c>
      <c r="P214" s="8">
        <f t="shared" si="25"/>
        <v>-19.793320447304367</v>
      </c>
    </row>
    <row r="215" spans="1:16" x14ac:dyDescent="0.2">
      <c r="A215" s="8">
        <v>106.5</v>
      </c>
      <c r="B215" s="8">
        <v>213</v>
      </c>
      <c r="D215">
        <v>495.91398783666</v>
      </c>
      <c r="E215">
        <v>211.21198957428001</v>
      </c>
      <c r="F215">
        <v>135.48228176318</v>
      </c>
      <c r="G215">
        <v>116.14866032844</v>
      </c>
      <c r="I215" s="9">
        <f t="shared" si="22"/>
        <v>95.063329245840009</v>
      </c>
      <c r="J215" s="9">
        <f t="shared" si="23"/>
        <v>360.43170607347997</v>
      </c>
      <c r="K215" s="9">
        <f t="shared" si="24"/>
        <v>95.063329245840009</v>
      </c>
      <c r="L215" s="10">
        <f t="shared" si="21"/>
        <v>0.26374852057676573</v>
      </c>
      <c r="M215" s="10">
        <f t="shared" si="20"/>
        <v>0.26622573350465067</v>
      </c>
      <c r="P215" s="8">
        <f t="shared" si="25"/>
        <v>-17.840867006892903</v>
      </c>
    </row>
    <row r="216" spans="1:16" x14ac:dyDescent="0.2">
      <c r="A216" s="8">
        <v>107</v>
      </c>
      <c r="B216" s="8">
        <v>214</v>
      </c>
      <c r="D216">
        <v>496.45264986967999</v>
      </c>
      <c r="E216">
        <v>210.42658557775999</v>
      </c>
      <c r="F216">
        <v>134.95332757131001</v>
      </c>
      <c r="G216">
        <v>116.14347450303001</v>
      </c>
      <c r="I216" s="9">
        <f t="shared" si="22"/>
        <v>94.283111074729987</v>
      </c>
      <c r="J216" s="9">
        <f t="shared" si="23"/>
        <v>361.49932229836998</v>
      </c>
      <c r="K216" s="9">
        <f t="shared" si="24"/>
        <v>94.283111074729987</v>
      </c>
      <c r="L216" s="10">
        <f t="shared" si="21"/>
        <v>0.26081130795844681</v>
      </c>
      <c r="M216" s="10">
        <f t="shared" si="20"/>
        <v>0.26330015099397441</v>
      </c>
      <c r="P216" s="8">
        <f t="shared" si="25"/>
        <v>-18.74372233726524</v>
      </c>
    </row>
    <row r="217" spans="1:16" x14ac:dyDescent="0.2">
      <c r="A217" s="8">
        <v>107.5</v>
      </c>
      <c r="B217" s="8">
        <v>215</v>
      </c>
      <c r="D217">
        <v>494.61511728930998</v>
      </c>
      <c r="E217">
        <v>210.91833188531999</v>
      </c>
      <c r="F217">
        <v>135.27398444252</v>
      </c>
      <c r="G217">
        <v>116.62057044079999</v>
      </c>
      <c r="I217" s="9">
        <f t="shared" si="22"/>
        <v>94.297761444519992</v>
      </c>
      <c r="J217" s="9">
        <f t="shared" si="23"/>
        <v>359.34113284678995</v>
      </c>
      <c r="K217" s="9">
        <f t="shared" si="24"/>
        <v>94.297761444519992</v>
      </c>
      <c r="L217" s="10">
        <f t="shared" si="21"/>
        <v>0.26241850104236508</v>
      </c>
      <c r="M217" s="10">
        <f t="shared" si="20"/>
        <v>0.26491897418553534</v>
      </c>
      <c r="P217" s="8">
        <f t="shared" si="25"/>
        <v>-18.244142119617134</v>
      </c>
    </row>
    <row r="218" spans="1:16" x14ac:dyDescent="0.2">
      <c r="A218" s="8">
        <v>108</v>
      </c>
      <c r="B218" s="8">
        <v>216</v>
      </c>
      <c r="D218">
        <v>494.81320590791</v>
      </c>
      <c r="E218">
        <v>211.20330147697999</v>
      </c>
      <c r="F218">
        <v>134.86343993086001</v>
      </c>
      <c r="G218">
        <v>116.42437337942999</v>
      </c>
      <c r="I218" s="9">
        <f t="shared" si="22"/>
        <v>94.778928097549993</v>
      </c>
      <c r="J218" s="9">
        <f t="shared" si="23"/>
        <v>359.94976597704999</v>
      </c>
      <c r="K218" s="9">
        <f t="shared" si="24"/>
        <v>94.778928097549993</v>
      </c>
      <c r="L218" s="10">
        <f t="shared" si="21"/>
        <v>0.26331154248782868</v>
      </c>
      <c r="M218" s="10">
        <f t="shared" si="20"/>
        <v>0.26582364573864159</v>
      </c>
      <c r="P218" s="8">
        <f t="shared" si="25"/>
        <v>-17.964954118260991</v>
      </c>
    </row>
    <row r="219" spans="1:16" x14ac:dyDescent="0.2">
      <c r="A219" s="8">
        <v>108.5</v>
      </c>
      <c r="B219" s="8">
        <v>217</v>
      </c>
      <c r="D219">
        <v>493.60469157255</v>
      </c>
      <c r="E219">
        <v>211.50390964379</v>
      </c>
      <c r="F219">
        <v>134.98962834918001</v>
      </c>
      <c r="G219">
        <v>116.40276577355</v>
      </c>
      <c r="I219" s="9">
        <f t="shared" si="22"/>
        <v>95.101143870239994</v>
      </c>
      <c r="J219" s="9">
        <f t="shared" si="23"/>
        <v>358.61506322336999</v>
      </c>
      <c r="K219" s="9">
        <f t="shared" si="24"/>
        <v>95.101143870239994</v>
      </c>
      <c r="L219" s="10">
        <f t="shared" si="21"/>
        <v>0.26519004253595591</v>
      </c>
      <c r="M219" s="10">
        <f t="shared" si="20"/>
        <v>0.26771377589441148</v>
      </c>
      <c r="P219" s="8">
        <f t="shared" si="25"/>
        <v>-17.381646664102103</v>
      </c>
    </row>
    <row r="220" spans="1:16" x14ac:dyDescent="0.2">
      <c r="A220" s="8">
        <v>109</v>
      </c>
      <c r="B220" s="8">
        <v>218</v>
      </c>
      <c r="D220">
        <v>492.00695047785001</v>
      </c>
      <c r="E220">
        <v>211.46741963509999</v>
      </c>
      <c r="F220">
        <v>135.42869490061</v>
      </c>
      <c r="G220">
        <v>116.23595505618</v>
      </c>
      <c r="I220" s="9">
        <f t="shared" si="22"/>
        <v>95.231464578919983</v>
      </c>
      <c r="J220" s="9">
        <f t="shared" si="23"/>
        <v>356.57825557724004</v>
      </c>
      <c r="K220" s="9">
        <f t="shared" si="24"/>
        <v>95.231464578919983</v>
      </c>
      <c r="L220" s="10">
        <f t="shared" si="21"/>
        <v>0.26707030810040927</v>
      </c>
      <c r="M220" s="10">
        <f t="shared" si="20"/>
        <v>0.26960567156650744</v>
      </c>
      <c r="P220" s="8">
        <f t="shared" si="25"/>
        <v>-16.797794359192963</v>
      </c>
    </row>
    <row r="221" spans="1:16" x14ac:dyDescent="0.2">
      <c r="A221" s="8">
        <v>109.5</v>
      </c>
      <c r="B221" s="8">
        <v>219</v>
      </c>
      <c r="D221">
        <v>493.65682015638998</v>
      </c>
      <c r="E221">
        <v>211.95655951347001</v>
      </c>
      <c r="F221">
        <v>135.67242869489999</v>
      </c>
      <c r="G221">
        <v>116.10371650821</v>
      </c>
      <c r="I221" s="9">
        <f t="shared" si="22"/>
        <v>95.852843005260013</v>
      </c>
      <c r="J221" s="9">
        <f t="shared" si="23"/>
        <v>357.98439146148996</v>
      </c>
      <c r="K221" s="9">
        <f t="shared" si="24"/>
        <v>95.852843005260013</v>
      </c>
      <c r="L221" s="10">
        <f t="shared" si="21"/>
        <v>0.26775704553468316</v>
      </c>
      <c r="M221" s="10">
        <f t="shared" si="20"/>
        <v>0.27030403910842399</v>
      </c>
      <c r="P221" s="8">
        <f t="shared" si="25"/>
        <v>-16.58227322605882</v>
      </c>
    </row>
    <row r="222" spans="1:16" x14ac:dyDescent="0.2">
      <c r="A222" s="8">
        <v>110</v>
      </c>
      <c r="B222" s="8">
        <v>220</v>
      </c>
      <c r="D222">
        <v>496.51259774110002</v>
      </c>
      <c r="E222">
        <v>213.14682884448001</v>
      </c>
      <c r="F222">
        <v>134.97666378565</v>
      </c>
      <c r="G222">
        <v>116.66205704408</v>
      </c>
      <c r="I222" s="9">
        <f t="shared" si="22"/>
        <v>96.484771800400011</v>
      </c>
      <c r="J222" s="9">
        <f t="shared" si="23"/>
        <v>361.53593395544999</v>
      </c>
      <c r="K222" s="9">
        <f t="shared" si="24"/>
        <v>96.484771800400011</v>
      </c>
      <c r="L222" s="10">
        <f t="shared" si="21"/>
        <v>0.26687463883545604</v>
      </c>
      <c r="M222" s="10">
        <f t="shared" si="20"/>
        <v>0.26943326251683952</v>
      </c>
      <c r="P222" s="8">
        <f t="shared" si="25"/>
        <v>-16.851001003999276</v>
      </c>
    </row>
    <row r="223" spans="1:16" x14ac:dyDescent="0.2">
      <c r="A223" s="8">
        <v>110.5</v>
      </c>
      <c r="B223" s="8">
        <v>221</v>
      </c>
      <c r="D223">
        <v>494.42347826087001</v>
      </c>
      <c r="E223">
        <v>212.46956521739</v>
      </c>
      <c r="F223">
        <v>135.37770095074001</v>
      </c>
      <c r="G223">
        <v>116.57735522903999</v>
      </c>
      <c r="I223" s="9">
        <f t="shared" si="22"/>
        <v>95.892209988350004</v>
      </c>
      <c r="J223" s="9">
        <f t="shared" si="23"/>
        <v>359.04577731013001</v>
      </c>
      <c r="K223" s="9">
        <f t="shared" si="24"/>
        <v>95.892209988350004</v>
      </c>
      <c r="L223" s="10">
        <f t="shared" si="21"/>
        <v>0.26707516436134543</v>
      </c>
      <c r="M223" s="10">
        <f t="shared" si="20"/>
        <v>0.26964541815037157</v>
      </c>
      <c r="P223" s="8">
        <f t="shared" si="25"/>
        <v>-16.785528283984057</v>
      </c>
    </row>
    <row r="224" spans="1:16" x14ac:dyDescent="0.2">
      <c r="A224" s="8">
        <v>111</v>
      </c>
      <c r="B224" s="8">
        <v>222</v>
      </c>
      <c r="D224">
        <v>496.58</v>
      </c>
      <c r="E224">
        <v>214.10347826086999</v>
      </c>
      <c r="F224">
        <v>135.34745030251</v>
      </c>
      <c r="G224">
        <v>116.82195332757</v>
      </c>
      <c r="I224" s="9">
        <f t="shared" si="22"/>
        <v>97.281524933299991</v>
      </c>
      <c r="J224" s="9">
        <f t="shared" si="23"/>
        <v>361.23254969748996</v>
      </c>
      <c r="K224" s="9">
        <f t="shared" si="24"/>
        <v>97.281524933299991</v>
      </c>
      <c r="L224" s="10">
        <f t="shared" si="21"/>
        <v>0.26930442734124399</v>
      </c>
      <c r="M224" s="10">
        <f t="shared" si="20"/>
        <v>0.27188631123791279</v>
      </c>
      <c r="P224" s="8">
        <f t="shared" si="25"/>
        <v>-16.093972923129289</v>
      </c>
    </row>
    <row r="225" spans="1:16" x14ac:dyDescent="0.2">
      <c r="A225" s="8">
        <v>111.5</v>
      </c>
      <c r="B225" s="8">
        <v>223</v>
      </c>
      <c r="D225">
        <v>498.69565217390999</v>
      </c>
      <c r="E225">
        <v>215.82173913043999</v>
      </c>
      <c r="F225">
        <v>135.56093344857001</v>
      </c>
      <c r="G225">
        <v>116.67761452031</v>
      </c>
      <c r="I225" s="9">
        <f t="shared" si="22"/>
        <v>99.144124610129992</v>
      </c>
      <c r="J225" s="9">
        <f t="shared" si="23"/>
        <v>363.13471872534001</v>
      </c>
      <c r="K225" s="9">
        <f t="shared" si="24"/>
        <v>99.144124610129992</v>
      </c>
      <c r="L225" s="10">
        <f t="shared" si="21"/>
        <v>0.27302298430219357</v>
      </c>
      <c r="M225" s="10">
        <f t="shared" si="20"/>
        <v>0.27561649830650503</v>
      </c>
      <c r="P225" s="8">
        <f t="shared" si="25"/>
        <v>-14.942810969612557</v>
      </c>
    </row>
    <row r="226" spans="1:16" x14ac:dyDescent="0.2">
      <c r="A226" s="8">
        <v>112</v>
      </c>
      <c r="B226" s="8">
        <v>224</v>
      </c>
      <c r="D226">
        <v>506.29217391304002</v>
      </c>
      <c r="E226">
        <v>218.62782608696</v>
      </c>
      <c r="F226">
        <v>135.39844425237999</v>
      </c>
      <c r="G226">
        <v>116.70181503889</v>
      </c>
      <c r="I226" s="9">
        <f t="shared" si="22"/>
        <v>101.92601104807</v>
      </c>
      <c r="J226" s="9">
        <f t="shared" si="23"/>
        <v>370.89372966066003</v>
      </c>
      <c r="K226" s="9">
        <f t="shared" si="24"/>
        <v>101.92601104807</v>
      </c>
      <c r="L226" s="10">
        <f t="shared" si="21"/>
        <v>0.27481190135331934</v>
      </c>
      <c r="M226" s="10">
        <f t="shared" si="20"/>
        <v>0.27741704546527346</v>
      </c>
      <c r="P226" s="8">
        <f t="shared" si="25"/>
        <v>-14.387149458119222</v>
      </c>
    </row>
    <row r="227" spans="1:16" x14ac:dyDescent="0.2">
      <c r="A227" s="8">
        <v>112.5</v>
      </c>
      <c r="B227" s="8">
        <v>225</v>
      </c>
      <c r="D227">
        <v>503.92347826087001</v>
      </c>
      <c r="E227">
        <v>217.52956521739</v>
      </c>
      <c r="F227">
        <v>135.16421780466999</v>
      </c>
      <c r="G227">
        <v>116.95505617978</v>
      </c>
      <c r="I227" s="9">
        <f t="shared" si="22"/>
        <v>100.57450903761</v>
      </c>
      <c r="J227" s="9">
        <f t="shared" si="23"/>
        <v>368.75926045620002</v>
      </c>
      <c r="K227" s="9">
        <f t="shared" si="24"/>
        <v>100.57450903761</v>
      </c>
      <c r="L227" s="10">
        <f t="shared" si="21"/>
        <v>0.27273758200183801</v>
      </c>
      <c r="M227" s="10">
        <f t="shared" si="20"/>
        <v>0.27535435622143478</v>
      </c>
      <c r="P227" s="8">
        <f t="shared" si="25"/>
        <v>-15.02370985998974</v>
      </c>
    </row>
    <row r="228" spans="1:16" x14ac:dyDescent="0.2">
      <c r="A228" s="8">
        <v>113</v>
      </c>
      <c r="B228" s="8">
        <v>226</v>
      </c>
      <c r="D228">
        <v>503.67826086957001</v>
      </c>
      <c r="E228">
        <v>217.70434782608999</v>
      </c>
      <c r="F228">
        <v>135.99913569577001</v>
      </c>
      <c r="G228">
        <v>116.40449438202</v>
      </c>
      <c r="I228" s="9">
        <f t="shared" si="22"/>
        <v>101.29985344406998</v>
      </c>
      <c r="J228" s="9">
        <f t="shared" si="23"/>
        <v>367.6791251738</v>
      </c>
      <c r="K228" s="9">
        <f t="shared" si="24"/>
        <v>101.29985344406998</v>
      </c>
      <c r="L228" s="10">
        <f t="shared" si="21"/>
        <v>0.27551157111839314</v>
      </c>
      <c r="M228" s="10">
        <f t="shared" si="20"/>
        <v>0.27813997544563257</v>
      </c>
      <c r="P228" s="8">
        <f t="shared" si="25"/>
        <v>-14.164048183801611</v>
      </c>
    </row>
    <row r="229" spans="1:16" x14ac:dyDescent="0.2">
      <c r="A229" s="8">
        <v>113.5</v>
      </c>
      <c r="B229" s="8">
        <v>227</v>
      </c>
      <c r="D229">
        <v>505.9347826087</v>
      </c>
      <c r="E229">
        <v>218.45652173913001</v>
      </c>
      <c r="F229">
        <v>135.63353500432001</v>
      </c>
      <c r="G229">
        <v>116.49524632671</v>
      </c>
      <c r="I229" s="9">
        <f t="shared" si="22"/>
        <v>101.96127541242001</v>
      </c>
      <c r="J229" s="9">
        <f t="shared" si="23"/>
        <v>370.30124760438002</v>
      </c>
      <c r="K229" s="9">
        <f t="shared" si="24"/>
        <v>101.96127541242001</v>
      </c>
      <c r="L229" s="10">
        <f t="shared" si="21"/>
        <v>0.27534683199704668</v>
      </c>
      <c r="M229" s="10">
        <f t="shared" si="20"/>
        <v>0.27798686643192877</v>
      </c>
      <c r="P229" s="8">
        <f t="shared" si="25"/>
        <v>-14.211298701825308</v>
      </c>
    </row>
    <row r="230" spans="1:16" x14ac:dyDescent="0.2">
      <c r="A230" s="8">
        <v>114</v>
      </c>
      <c r="B230" s="8">
        <v>228</v>
      </c>
      <c r="D230">
        <v>507.56</v>
      </c>
      <c r="E230">
        <v>219.46869565217</v>
      </c>
      <c r="F230">
        <v>135.62748487467999</v>
      </c>
      <c r="G230">
        <v>116.56611927397999</v>
      </c>
      <c r="I230" s="9">
        <f t="shared" si="22"/>
        <v>102.90257637819001</v>
      </c>
      <c r="J230" s="9">
        <f t="shared" si="23"/>
        <v>371.93251512532004</v>
      </c>
      <c r="K230" s="9">
        <f t="shared" si="24"/>
        <v>102.90257637819001</v>
      </c>
      <c r="L230" s="10">
        <f t="shared" si="21"/>
        <v>0.27667001994573587</v>
      </c>
      <c r="M230" s="10">
        <f t="shared" si="20"/>
        <v>0.27932168448826061</v>
      </c>
      <c r="P230" s="8">
        <f t="shared" si="25"/>
        <v>-13.799364465536115</v>
      </c>
    </row>
    <row r="231" spans="1:16" x14ac:dyDescent="0.2">
      <c r="A231" s="8">
        <v>114.5</v>
      </c>
      <c r="B231" s="8">
        <v>229</v>
      </c>
      <c r="D231">
        <v>508.78260869565003</v>
      </c>
      <c r="E231">
        <v>219.81043478261</v>
      </c>
      <c r="F231">
        <v>135.48573898012</v>
      </c>
      <c r="G231">
        <v>116.81244598099001</v>
      </c>
      <c r="I231" s="9">
        <f t="shared" si="22"/>
        <v>102.99798880162</v>
      </c>
      <c r="J231" s="9">
        <f t="shared" si="23"/>
        <v>373.29686971553002</v>
      </c>
      <c r="K231" s="9">
        <f t="shared" si="24"/>
        <v>102.99798880162</v>
      </c>
      <c r="L231" s="10">
        <f t="shared" si="21"/>
        <v>0.27591441867730998</v>
      </c>
      <c r="M231" s="10">
        <f t="shared" si="20"/>
        <v>0.27857771332747733</v>
      </c>
      <c r="P231" s="8">
        <f t="shared" si="25"/>
        <v>-14.028959196057395</v>
      </c>
    </row>
    <row r="232" spans="1:16" x14ac:dyDescent="0.2">
      <c r="A232" s="8">
        <v>115</v>
      </c>
      <c r="B232" s="8">
        <v>230</v>
      </c>
      <c r="D232">
        <v>501.23826086957001</v>
      </c>
      <c r="E232">
        <v>218.35739130434999</v>
      </c>
      <c r="F232">
        <v>135.70267934313</v>
      </c>
      <c r="G232">
        <v>116.05617977528</v>
      </c>
      <c r="I232" s="9">
        <f t="shared" si="22"/>
        <v>102.30121152906999</v>
      </c>
      <c r="J232" s="9">
        <f t="shared" si="23"/>
        <v>365.53558152644001</v>
      </c>
      <c r="K232" s="9">
        <f t="shared" si="24"/>
        <v>102.30121152906999</v>
      </c>
      <c r="L232" s="10">
        <f t="shared" si="21"/>
        <v>0.27986663049837818</v>
      </c>
      <c r="M232" s="10">
        <f t="shared" si="20"/>
        <v>0.28254155525618818</v>
      </c>
      <c r="P232" s="8">
        <f t="shared" si="25"/>
        <v>-12.805689710055884</v>
      </c>
    </row>
    <row r="233" spans="1:16" x14ac:dyDescent="0.2">
      <c r="A233" s="8">
        <v>115.5</v>
      </c>
      <c r="B233" s="8">
        <v>231</v>
      </c>
      <c r="D233">
        <v>497.55622837369998</v>
      </c>
      <c r="E233">
        <v>218.02249134947999</v>
      </c>
      <c r="F233">
        <v>135.21607605877</v>
      </c>
      <c r="G233">
        <v>116.54451166811</v>
      </c>
      <c r="I233" s="9">
        <f t="shared" si="22"/>
        <v>101.47797968136999</v>
      </c>
      <c r="J233" s="9">
        <f t="shared" si="23"/>
        <v>362.34015231492998</v>
      </c>
      <c r="K233" s="9">
        <f t="shared" si="24"/>
        <v>101.47797968136999</v>
      </c>
      <c r="L233" s="10">
        <f t="shared" si="21"/>
        <v>0.28006275052059321</v>
      </c>
      <c r="M233" s="10">
        <f t="shared" si="20"/>
        <v>0.28274930538604587</v>
      </c>
      <c r="P233" s="8">
        <f t="shared" si="25"/>
        <v>-12.741576559446365</v>
      </c>
    </row>
    <row r="234" spans="1:16" x14ac:dyDescent="0.2">
      <c r="A234" s="8">
        <v>116</v>
      </c>
      <c r="B234" s="8">
        <v>232</v>
      </c>
      <c r="D234">
        <v>491.68079584775001</v>
      </c>
      <c r="E234">
        <v>217.73442906573999</v>
      </c>
      <c r="F234">
        <v>135.23595505617999</v>
      </c>
      <c r="G234">
        <v>116.60069144339001</v>
      </c>
      <c r="I234" s="9">
        <f t="shared" si="22"/>
        <v>101.13373762234998</v>
      </c>
      <c r="J234" s="9">
        <f t="shared" si="23"/>
        <v>356.44484079157002</v>
      </c>
      <c r="K234" s="9">
        <f t="shared" si="24"/>
        <v>101.13373762234998</v>
      </c>
      <c r="L234" s="10">
        <f t="shared" si="21"/>
        <v>0.28372899828696807</v>
      </c>
      <c r="M234" s="10">
        <f t="shared" si="20"/>
        <v>0.28642718326006339</v>
      </c>
      <c r="P234" s="8">
        <f t="shared" si="25"/>
        <v>-11.606557591122131</v>
      </c>
    </row>
    <row r="235" spans="1:16" x14ac:dyDescent="0.2">
      <c r="A235" s="8">
        <v>116.5</v>
      </c>
      <c r="B235" s="8">
        <v>233</v>
      </c>
      <c r="D235">
        <v>485.43079584775001</v>
      </c>
      <c r="E235">
        <v>216.21799307959</v>
      </c>
      <c r="F235">
        <v>135.60328435609</v>
      </c>
      <c r="G235">
        <v>116.75885911841</v>
      </c>
      <c r="I235" s="9">
        <f t="shared" si="22"/>
        <v>99.459133961180001</v>
      </c>
      <c r="J235" s="9">
        <f t="shared" si="23"/>
        <v>349.82751149166</v>
      </c>
      <c r="K235" s="9">
        <f t="shared" si="24"/>
        <v>99.459133961180001</v>
      </c>
      <c r="L235" s="10">
        <f t="shared" si="21"/>
        <v>0.2843090685952272</v>
      </c>
      <c r="M235" s="10">
        <f t="shared" si="20"/>
        <v>0.28701888367596518</v>
      </c>
      <c r="P235" s="8">
        <f t="shared" si="25"/>
        <v>-11.423954682972749</v>
      </c>
    </row>
    <row r="236" spans="1:16" x14ac:dyDescent="0.2">
      <c r="A236" s="8">
        <v>117</v>
      </c>
      <c r="B236" s="8">
        <v>234</v>
      </c>
      <c r="D236">
        <v>500.40017286084998</v>
      </c>
      <c r="E236">
        <v>220.60587726879999</v>
      </c>
      <c r="F236">
        <v>135.45116681072</v>
      </c>
      <c r="G236">
        <v>116.58167675022</v>
      </c>
      <c r="I236" s="9">
        <f t="shared" si="22"/>
        <v>104.02420051857999</v>
      </c>
      <c r="J236" s="9">
        <f t="shared" si="23"/>
        <v>364.94900605012998</v>
      </c>
      <c r="K236" s="9">
        <f t="shared" si="24"/>
        <v>104.02420051857999</v>
      </c>
      <c r="L236" s="10">
        <f t="shared" si="21"/>
        <v>0.28503763209123811</v>
      </c>
      <c r="M236" s="10">
        <f t="shared" si="20"/>
        <v>0.28775907727961875</v>
      </c>
      <c r="P236" s="8">
        <f t="shared" si="25"/>
        <v>-11.195525733138872</v>
      </c>
    </row>
    <row r="237" spans="1:16" x14ac:dyDescent="0.2">
      <c r="A237" s="8">
        <v>117.5</v>
      </c>
      <c r="B237" s="8">
        <v>235</v>
      </c>
      <c r="D237">
        <v>499.58761987794003</v>
      </c>
      <c r="E237">
        <v>220.70357454227999</v>
      </c>
      <c r="F237">
        <v>135.86862575627001</v>
      </c>
      <c r="G237">
        <v>116.72687986171</v>
      </c>
      <c r="I237" s="9">
        <f t="shared" si="22"/>
        <v>103.97669468056999</v>
      </c>
      <c r="J237" s="9">
        <f t="shared" si="23"/>
        <v>363.71899412166999</v>
      </c>
      <c r="K237" s="9">
        <f t="shared" si="24"/>
        <v>103.97669468056999</v>
      </c>
      <c r="L237" s="10">
        <f t="shared" si="21"/>
        <v>0.28587095081921421</v>
      </c>
      <c r="M237" s="10">
        <f t="shared" si="20"/>
        <v>0.2886040261152375</v>
      </c>
      <c r="P237" s="8">
        <f t="shared" si="25"/>
        <v>-10.934768582265027</v>
      </c>
    </row>
    <row r="238" spans="1:16" x14ac:dyDescent="0.2">
      <c r="A238" s="8">
        <v>118</v>
      </c>
      <c r="B238" s="8">
        <v>236</v>
      </c>
      <c r="D238">
        <v>496.99137931035</v>
      </c>
      <c r="E238">
        <v>221.39310344827999</v>
      </c>
      <c r="F238">
        <v>135.76923076923001</v>
      </c>
      <c r="G238">
        <v>116.74330164218</v>
      </c>
      <c r="I238" s="9">
        <f t="shared" si="22"/>
        <v>104.64980180609999</v>
      </c>
      <c r="J238" s="9">
        <f t="shared" si="23"/>
        <v>361.22214854111996</v>
      </c>
      <c r="K238" s="9">
        <f t="shared" si="24"/>
        <v>104.64980180609999</v>
      </c>
      <c r="L238" s="10">
        <f t="shared" si="21"/>
        <v>0.28971036861596849</v>
      </c>
      <c r="M238" s="10">
        <f t="shared" si="20"/>
        <v>0.29245507401963444</v>
      </c>
      <c r="P238" s="8">
        <f t="shared" si="25"/>
        <v>-9.7463081251370252</v>
      </c>
    </row>
    <row r="239" spans="1:16" x14ac:dyDescent="0.2">
      <c r="A239" s="8">
        <v>118.5</v>
      </c>
      <c r="B239" s="8">
        <v>237</v>
      </c>
      <c r="D239">
        <v>500.17413793102997</v>
      </c>
      <c r="E239">
        <v>221.98534482759001</v>
      </c>
      <c r="F239">
        <v>135.74416594640999</v>
      </c>
      <c r="G239">
        <v>116.81244598099001</v>
      </c>
      <c r="I239" s="9">
        <f t="shared" si="22"/>
        <v>105.17289884660001</v>
      </c>
      <c r="J239" s="9">
        <f t="shared" si="23"/>
        <v>364.42997198462001</v>
      </c>
      <c r="K239" s="9">
        <f t="shared" si="24"/>
        <v>105.17289884660001</v>
      </c>
      <c r="L239" s="10">
        <f t="shared" si="21"/>
        <v>0.28859563409081679</v>
      </c>
      <c r="M239" s="10">
        <f t="shared" si="20"/>
        <v>0.29135196960212539</v>
      </c>
      <c r="P239" s="8">
        <f t="shared" si="25"/>
        <v>-10.086733903480601</v>
      </c>
    </row>
    <row r="240" spans="1:16" x14ac:dyDescent="0.2">
      <c r="A240" s="8">
        <v>119</v>
      </c>
      <c r="B240" s="8">
        <v>238</v>
      </c>
      <c r="D240">
        <v>494.35565217391002</v>
      </c>
      <c r="E240">
        <v>220.50869565216999</v>
      </c>
      <c r="F240">
        <v>135.32670700086001</v>
      </c>
      <c r="G240">
        <v>116.52981849611</v>
      </c>
      <c r="I240" s="9">
        <f t="shared" si="22"/>
        <v>103.97887715605999</v>
      </c>
      <c r="J240" s="9">
        <f t="shared" si="23"/>
        <v>359.02894517305003</v>
      </c>
      <c r="K240" s="9">
        <f t="shared" si="24"/>
        <v>103.97887715605999</v>
      </c>
      <c r="L240" s="10">
        <f t="shared" si="21"/>
        <v>0.28961140474605113</v>
      </c>
      <c r="M240" s="10">
        <f t="shared" si="20"/>
        <v>0.29237937036500239</v>
      </c>
      <c r="P240" s="8">
        <f t="shared" si="25"/>
        <v>-9.7696708051721259</v>
      </c>
    </row>
    <row r="241" spans="1:16" x14ac:dyDescent="0.2">
      <c r="A241" s="8">
        <v>119.5</v>
      </c>
      <c r="B241" s="8">
        <v>239</v>
      </c>
      <c r="D241">
        <v>486.50260869565</v>
      </c>
      <c r="E241">
        <v>218.98260869564999</v>
      </c>
      <c r="F241">
        <v>135.35695764908999</v>
      </c>
      <c r="G241">
        <v>117.00605012965001</v>
      </c>
      <c r="I241" s="9">
        <f t="shared" si="22"/>
        <v>101.97655856599998</v>
      </c>
      <c r="J241" s="9">
        <f t="shared" si="23"/>
        <v>351.14565104656003</v>
      </c>
      <c r="K241" s="9">
        <f t="shared" si="24"/>
        <v>101.97655856599998</v>
      </c>
      <c r="L241" s="10">
        <f t="shared" si="21"/>
        <v>0.29041099686716165</v>
      </c>
      <c r="M241" s="10">
        <f t="shared" si="20"/>
        <v>0.29319059259375557</v>
      </c>
      <c r="P241" s="8">
        <f t="shared" si="25"/>
        <v>-9.5193219222834884</v>
      </c>
    </row>
    <row r="242" spans="1:16" x14ac:dyDescent="0.2">
      <c r="A242" s="8">
        <v>120</v>
      </c>
      <c r="B242" s="8">
        <v>240</v>
      </c>
      <c r="D242">
        <v>489.50173913044</v>
      </c>
      <c r="E242">
        <v>218.44260869564999</v>
      </c>
      <c r="F242">
        <v>135.80121002593</v>
      </c>
      <c r="G242">
        <v>116.69144338807</v>
      </c>
      <c r="I242" s="9">
        <f>E242-G242</f>
        <v>101.75116530758</v>
      </c>
      <c r="J242" s="9">
        <f>D242-F242</f>
        <v>353.70052910451</v>
      </c>
      <c r="K242" s="9">
        <f t="shared" si="24"/>
        <v>101.75116530758</v>
      </c>
      <c r="L242" s="10">
        <f t="shared" si="21"/>
        <v>0.28767603363554761</v>
      </c>
      <c r="M242" s="10">
        <f>L242+ABS($N$2)*A242</f>
        <v>0.29046725946978413</v>
      </c>
      <c r="O242" s="11"/>
      <c r="P242" s="8">
        <f>(M242-$O$2)/$O$2*100</f>
        <v>-10.359761670054883</v>
      </c>
    </row>
    <row r="243" spans="1:16" x14ac:dyDescent="0.2">
      <c r="A243" s="8">
        <v>120.5</v>
      </c>
      <c r="B243" s="8">
        <v>241</v>
      </c>
      <c r="D243">
        <v>488.38173913044</v>
      </c>
      <c r="E243">
        <v>219.18956521739</v>
      </c>
      <c r="F243">
        <v>135.92912705271999</v>
      </c>
      <c r="G243">
        <v>116.46585998271</v>
      </c>
      <c r="I243" s="9">
        <f t="shared" ref="I243:I274" si="26">E243-G243</f>
        <v>102.72370523468</v>
      </c>
      <c r="J243" s="9">
        <f t="shared" ref="J243:J274" si="27">D243-F243</f>
        <v>352.45261207772</v>
      </c>
      <c r="K243" s="9">
        <f t="shared" si="24"/>
        <v>102.72370523468</v>
      </c>
      <c r="L243" s="10">
        <f t="shared" si="21"/>
        <v>0.29145394789137835</v>
      </c>
      <c r="M243" s="10">
        <f t="shared" ref="M243:M274" si="28">L243+ABS($N$2)*A243</f>
        <v>0.29425680383325753</v>
      </c>
      <c r="P243" s="8">
        <f t="shared" ref="P243:P274" si="29">(M243-$O$2)/$O$2*100</f>
        <v>-9.1902816380411814</v>
      </c>
    </row>
    <row r="244" spans="1:16" x14ac:dyDescent="0.2">
      <c r="A244" s="8">
        <v>121</v>
      </c>
      <c r="B244" s="8">
        <v>242</v>
      </c>
      <c r="D244">
        <v>488.07130434782999</v>
      </c>
      <c r="E244">
        <v>220.01739130435001</v>
      </c>
      <c r="F244">
        <v>135.7882454624</v>
      </c>
      <c r="G244">
        <v>116.68625756266</v>
      </c>
      <c r="I244" s="9">
        <f t="shared" si="26"/>
        <v>103.33113374169001</v>
      </c>
      <c r="J244" s="9">
        <f t="shared" si="27"/>
        <v>352.28305888543002</v>
      </c>
      <c r="K244" s="9">
        <f t="shared" si="24"/>
        <v>103.33113374169001</v>
      </c>
      <c r="L244" s="10">
        <f t="shared" si="21"/>
        <v>0.29331848675498046</v>
      </c>
      <c r="M244" s="10">
        <f t="shared" si="28"/>
        <v>0.29613297280450229</v>
      </c>
      <c r="N244" s="1"/>
      <c r="P244" s="8">
        <f t="shared" si="29"/>
        <v>-8.6112827035773698</v>
      </c>
    </row>
    <row r="245" spans="1:16" x14ac:dyDescent="0.2">
      <c r="A245" s="8">
        <v>121.5</v>
      </c>
      <c r="B245" s="8">
        <v>243</v>
      </c>
      <c r="D245">
        <v>487.46956521739003</v>
      </c>
      <c r="E245">
        <v>219.76695652174001</v>
      </c>
      <c r="F245">
        <v>135.59204840103999</v>
      </c>
      <c r="G245">
        <v>116.87121866897</v>
      </c>
      <c r="I245" s="9">
        <f t="shared" si="26"/>
        <v>102.89573785277001</v>
      </c>
      <c r="J245" s="9">
        <f t="shared" si="27"/>
        <v>351.87751681635007</v>
      </c>
      <c r="K245" s="9">
        <f t="shared" si="24"/>
        <v>102.89573785277001</v>
      </c>
      <c r="L245" s="10">
        <f t="shared" si="21"/>
        <v>0.29241918831225805</v>
      </c>
      <c r="M245" s="10">
        <f t="shared" si="28"/>
        <v>0.29524530446942254</v>
      </c>
      <c r="P245" s="8">
        <f t="shared" si="29"/>
        <v>-8.885223392313657</v>
      </c>
    </row>
    <row r="246" spans="1:16" x14ac:dyDescent="0.2">
      <c r="A246" s="8">
        <v>122</v>
      </c>
      <c r="B246" s="8">
        <v>244</v>
      </c>
      <c r="D246">
        <v>488.33130434782998</v>
      </c>
      <c r="E246">
        <v>220.88173913044</v>
      </c>
      <c r="F246">
        <v>135.63526361279</v>
      </c>
      <c r="G246">
        <v>116.85393258427</v>
      </c>
      <c r="I246" s="9">
        <f t="shared" si="26"/>
        <v>104.02780654617</v>
      </c>
      <c r="J246" s="9">
        <f t="shared" si="27"/>
        <v>352.69604073504001</v>
      </c>
      <c r="K246" s="9">
        <f t="shared" si="24"/>
        <v>104.02780654617</v>
      </c>
      <c r="L246" s="10">
        <f t="shared" si="21"/>
        <v>0.29495030998751709</v>
      </c>
      <c r="M246" s="10">
        <f t="shared" si="28"/>
        <v>0.29778805625232424</v>
      </c>
      <c r="P246" s="8">
        <f t="shared" si="29"/>
        <v>-8.1005123159284302</v>
      </c>
    </row>
    <row r="247" spans="1:16" x14ac:dyDescent="0.2">
      <c r="A247" s="8">
        <v>122.5</v>
      </c>
      <c r="B247" s="8">
        <v>245</v>
      </c>
      <c r="D247">
        <v>496.67705627705999</v>
      </c>
      <c r="E247">
        <v>221.95238095238</v>
      </c>
      <c r="F247">
        <v>135.68020743302</v>
      </c>
      <c r="G247">
        <v>116.50475367329</v>
      </c>
      <c r="I247" s="9">
        <f t="shared" si="26"/>
        <v>105.44762727909</v>
      </c>
      <c r="J247" s="9">
        <f t="shared" si="27"/>
        <v>360.99684884403996</v>
      </c>
      <c r="K247" s="9">
        <f t="shared" si="24"/>
        <v>105.44762727909</v>
      </c>
      <c r="L247" s="10">
        <f t="shared" si="21"/>
        <v>0.29210124026497009</v>
      </c>
      <c r="M247" s="10">
        <f t="shared" si="28"/>
        <v>0.29495061663741989</v>
      </c>
      <c r="P247" s="8">
        <f t="shared" si="29"/>
        <v>-8.9761661289989245</v>
      </c>
    </row>
    <row r="248" spans="1:16" x14ac:dyDescent="0.2">
      <c r="A248" s="8">
        <v>123</v>
      </c>
      <c r="B248" s="8">
        <v>246</v>
      </c>
      <c r="D248">
        <v>499.45627705627999</v>
      </c>
      <c r="E248">
        <v>224.06060606061001</v>
      </c>
      <c r="F248">
        <v>135.01037165081999</v>
      </c>
      <c r="G248">
        <v>116.17372515125</v>
      </c>
      <c r="I248" s="9">
        <f t="shared" si="26"/>
        <v>107.88688090936002</v>
      </c>
      <c r="J248" s="9">
        <f t="shared" si="27"/>
        <v>364.44590540546</v>
      </c>
      <c r="K248" s="9">
        <f t="shared" si="24"/>
        <v>107.88688090936002</v>
      </c>
      <c r="L248" s="10">
        <f t="shared" si="21"/>
        <v>0.29602988896069976</v>
      </c>
      <c r="M248" s="10">
        <f t="shared" si="28"/>
        <v>0.29889089544079223</v>
      </c>
      <c r="P248" s="8">
        <f t="shared" si="29"/>
        <v>-7.7601683891315538</v>
      </c>
    </row>
    <row r="249" spans="1:16" x14ac:dyDescent="0.2">
      <c r="A249" s="8">
        <v>123.5</v>
      </c>
      <c r="B249" s="8">
        <v>247</v>
      </c>
      <c r="D249">
        <v>504.12294372294002</v>
      </c>
      <c r="E249">
        <v>224.42424242423999</v>
      </c>
      <c r="F249">
        <v>136.43388072601999</v>
      </c>
      <c r="G249">
        <v>116.5419187554</v>
      </c>
      <c r="I249" s="9">
        <f t="shared" si="26"/>
        <v>107.88232366883999</v>
      </c>
      <c r="J249" s="9">
        <f t="shared" si="27"/>
        <v>367.68906299692003</v>
      </c>
      <c r="K249" s="9">
        <f t="shared" si="24"/>
        <v>107.88232366883999</v>
      </c>
      <c r="L249" s="10">
        <f t="shared" si="21"/>
        <v>0.2934063983016641</v>
      </c>
      <c r="M249" s="10">
        <f t="shared" si="28"/>
        <v>0.29627903488939922</v>
      </c>
      <c r="P249" s="8">
        <f t="shared" si="29"/>
        <v>-8.5662069173251467</v>
      </c>
    </row>
    <row r="250" spans="1:16" x14ac:dyDescent="0.2">
      <c r="A250" s="8">
        <v>124</v>
      </c>
      <c r="B250" s="8">
        <v>248</v>
      </c>
      <c r="D250">
        <v>505.52554112553997</v>
      </c>
      <c r="E250">
        <v>225.79220779221001</v>
      </c>
      <c r="F250">
        <v>135.52376836646999</v>
      </c>
      <c r="G250">
        <v>116.82368193604</v>
      </c>
      <c r="I250" s="9">
        <f t="shared" si="26"/>
        <v>108.96852585617</v>
      </c>
      <c r="J250" s="9">
        <f t="shared" si="27"/>
        <v>370.00177275906998</v>
      </c>
      <c r="K250" s="9">
        <f t="shared" si="24"/>
        <v>108.96852585617</v>
      </c>
      <c r="L250" s="10">
        <f t="shared" si="21"/>
        <v>0.29450811828170848</v>
      </c>
      <c r="M250" s="10">
        <f t="shared" si="28"/>
        <v>0.29739238497708625</v>
      </c>
      <c r="P250" s="8">
        <f t="shared" si="29"/>
        <v>-8.2226192531350168</v>
      </c>
    </row>
    <row r="251" spans="1:16" x14ac:dyDescent="0.2">
      <c r="A251" s="8">
        <v>124.5</v>
      </c>
      <c r="B251" s="8">
        <v>249</v>
      </c>
      <c r="D251">
        <v>508.05081826012002</v>
      </c>
      <c r="E251">
        <v>225.64857881136999</v>
      </c>
      <c r="F251">
        <v>135.84269662921</v>
      </c>
      <c r="G251">
        <v>116.98703543646999</v>
      </c>
      <c r="I251" s="9">
        <f t="shared" si="26"/>
        <v>108.66154337489999</v>
      </c>
      <c r="J251" s="9">
        <f t="shared" si="27"/>
        <v>372.20812163091</v>
      </c>
      <c r="K251" s="9">
        <f t="shared" si="24"/>
        <v>108.66154337489999</v>
      </c>
      <c r="L251" s="10">
        <f t="shared" si="21"/>
        <v>0.29193759367414135</v>
      </c>
      <c r="M251" s="10">
        <f t="shared" si="28"/>
        <v>0.29483349047716179</v>
      </c>
      <c r="P251" s="8">
        <f t="shared" si="29"/>
        <v>-9.0123120854808132</v>
      </c>
    </row>
    <row r="252" spans="1:16" x14ac:dyDescent="0.2">
      <c r="A252" s="8">
        <v>125</v>
      </c>
      <c r="B252" s="8">
        <v>250</v>
      </c>
      <c r="D252">
        <v>509.66236003444999</v>
      </c>
      <c r="E252">
        <v>226.10852713177999</v>
      </c>
      <c r="F252">
        <v>135.64044943819999</v>
      </c>
      <c r="G252">
        <v>116.56871218668999</v>
      </c>
      <c r="I252" s="9">
        <f t="shared" si="26"/>
        <v>109.53981494509</v>
      </c>
      <c r="J252" s="9">
        <f t="shared" si="27"/>
        <v>374.02191059625</v>
      </c>
      <c r="K252" s="9">
        <f t="shared" si="24"/>
        <v>109.53981494509</v>
      </c>
      <c r="L252" s="10">
        <f t="shared" si="21"/>
        <v>0.29287004809548789</v>
      </c>
      <c r="M252" s="10">
        <f t="shared" si="28"/>
        <v>0.29577757500615098</v>
      </c>
      <c r="P252" s="8">
        <f t="shared" si="29"/>
        <v>-8.7209609626841011</v>
      </c>
    </row>
    <row r="253" spans="1:16" x14ac:dyDescent="0.2">
      <c r="A253" s="8">
        <v>125.5</v>
      </c>
      <c r="B253" s="8">
        <v>251</v>
      </c>
      <c r="D253">
        <v>505.92937123169997</v>
      </c>
      <c r="E253">
        <v>226.38070628768</v>
      </c>
      <c r="F253">
        <v>136.20916162488999</v>
      </c>
      <c r="G253">
        <v>116.92999135696</v>
      </c>
      <c r="I253" s="9">
        <f t="shared" si="26"/>
        <v>109.45071493072</v>
      </c>
      <c r="J253" s="9">
        <f t="shared" si="27"/>
        <v>369.72020960680999</v>
      </c>
      <c r="K253" s="9">
        <f t="shared" si="24"/>
        <v>109.45071493072</v>
      </c>
      <c r="L253" s="10">
        <f t="shared" si="21"/>
        <v>0.29603660304942114</v>
      </c>
      <c r="M253" s="10">
        <f t="shared" si="28"/>
        <v>0.29895576006772684</v>
      </c>
      <c r="P253" s="8">
        <f t="shared" si="29"/>
        <v>-7.7401507092449622</v>
      </c>
    </row>
    <row r="254" spans="1:16" x14ac:dyDescent="0.2">
      <c r="A254" s="8">
        <v>126</v>
      </c>
      <c r="B254" s="8">
        <v>252</v>
      </c>
      <c r="D254">
        <v>507.49009474591003</v>
      </c>
      <c r="E254">
        <v>225.36434108527001</v>
      </c>
      <c r="F254">
        <v>135.51598962835001</v>
      </c>
      <c r="G254">
        <v>116.89196197061</v>
      </c>
      <c r="I254" s="9">
        <f t="shared" si="26"/>
        <v>108.47237911466001</v>
      </c>
      <c r="J254" s="9">
        <f t="shared" si="27"/>
        <v>371.97410511756004</v>
      </c>
      <c r="K254" s="9">
        <f t="shared" si="24"/>
        <v>108.47237911466001</v>
      </c>
      <c r="L254" s="10">
        <f t="shared" si="21"/>
        <v>0.29161271610661721</v>
      </c>
      <c r="M254" s="10">
        <f t="shared" si="28"/>
        <v>0.29454350323256556</v>
      </c>
      <c r="P254" s="8">
        <f t="shared" si="29"/>
        <v>-9.1018041878461542</v>
      </c>
    </row>
    <row r="255" spans="1:16" x14ac:dyDescent="0.2">
      <c r="A255" s="8">
        <v>126.5</v>
      </c>
      <c r="B255" s="8">
        <v>253</v>
      </c>
      <c r="D255">
        <v>504.12661498708002</v>
      </c>
      <c r="E255">
        <v>226.85443583118001</v>
      </c>
      <c r="F255">
        <v>135.70613656007001</v>
      </c>
      <c r="G255">
        <v>117.01469317199999</v>
      </c>
      <c r="I255" s="9">
        <f t="shared" si="26"/>
        <v>109.83974265918002</v>
      </c>
      <c r="J255" s="9">
        <f t="shared" si="27"/>
        <v>368.42047842701004</v>
      </c>
      <c r="K255" s="9">
        <f t="shared" si="24"/>
        <v>109.83974265918002</v>
      </c>
      <c r="L255" s="10">
        <f t="shared" si="21"/>
        <v>0.29813690902347878</v>
      </c>
      <c r="M255" s="10">
        <f t="shared" si="28"/>
        <v>0.30107932625706979</v>
      </c>
      <c r="P255" s="8">
        <f t="shared" si="29"/>
        <v>-7.0848032540116552</v>
      </c>
    </row>
    <row r="256" spans="1:16" x14ac:dyDescent="0.2">
      <c r="A256" s="8">
        <v>127</v>
      </c>
      <c r="B256" s="8">
        <v>254</v>
      </c>
      <c r="D256">
        <v>504.81567614125998</v>
      </c>
      <c r="E256">
        <v>225.85185185185</v>
      </c>
      <c r="F256">
        <v>136.00086430424</v>
      </c>
      <c r="G256">
        <v>116.53327571305</v>
      </c>
      <c r="I256" s="9">
        <f t="shared" si="26"/>
        <v>109.3185761388</v>
      </c>
      <c r="J256" s="9">
        <f t="shared" si="27"/>
        <v>368.81481183701999</v>
      </c>
      <c r="K256" s="9">
        <f t="shared" si="24"/>
        <v>109.3185761388</v>
      </c>
      <c r="L256" s="10">
        <f t="shared" si="21"/>
        <v>0.29640505920653776</v>
      </c>
      <c r="M256" s="10">
        <f t="shared" si="28"/>
        <v>0.29935910654777143</v>
      </c>
      <c r="P256" s="8">
        <f t="shared" si="29"/>
        <v>-7.6156751498764468</v>
      </c>
    </row>
    <row r="257" spans="1:16" x14ac:dyDescent="0.2">
      <c r="A257" s="8">
        <v>127.5</v>
      </c>
      <c r="B257" s="8">
        <v>255</v>
      </c>
      <c r="D257">
        <v>505.98440207971998</v>
      </c>
      <c r="E257">
        <v>226.63778162912001</v>
      </c>
      <c r="F257">
        <v>136.35263612791999</v>
      </c>
      <c r="G257">
        <v>116.72947277442</v>
      </c>
      <c r="I257" s="9">
        <f t="shared" si="26"/>
        <v>109.90830885470001</v>
      </c>
      <c r="J257" s="9">
        <f t="shared" si="27"/>
        <v>369.63176595179999</v>
      </c>
      <c r="K257" s="9">
        <f t="shared" si="24"/>
        <v>109.90830885470001</v>
      </c>
      <c r="L257" s="10">
        <f t="shared" si="21"/>
        <v>0.29734540961783046</v>
      </c>
      <c r="M257" s="10">
        <f t="shared" si="28"/>
        <v>0.30031108706670678</v>
      </c>
      <c r="P257" s="8">
        <f t="shared" si="29"/>
        <v>-7.3218872690715626</v>
      </c>
    </row>
    <row r="258" spans="1:16" x14ac:dyDescent="0.2">
      <c r="A258" s="8">
        <v>128</v>
      </c>
      <c r="B258" s="8">
        <v>256</v>
      </c>
      <c r="D258">
        <v>505.82409012132001</v>
      </c>
      <c r="E258">
        <v>226.89948006931999</v>
      </c>
      <c r="F258">
        <v>135.94382022472001</v>
      </c>
      <c r="G258">
        <v>116.48746758858999</v>
      </c>
      <c r="I258" s="9">
        <f t="shared" si="26"/>
        <v>110.41201248073</v>
      </c>
      <c r="J258" s="9">
        <f t="shared" si="27"/>
        <v>369.8802698966</v>
      </c>
      <c r="K258" s="9">
        <f t="shared" si="24"/>
        <v>110.41201248073</v>
      </c>
      <c r="L258" s="10">
        <f t="shared" ref="L258:L321" si="30">K258/J258</f>
        <v>0.29850744001997098</v>
      </c>
      <c r="M258" s="10">
        <f t="shared" si="28"/>
        <v>0.30148474757648996</v>
      </c>
      <c r="P258" s="8">
        <f t="shared" si="29"/>
        <v>-6.9596873846251937</v>
      </c>
    </row>
    <row r="259" spans="1:16" x14ac:dyDescent="0.2">
      <c r="A259" s="8">
        <v>128.5</v>
      </c>
      <c r="B259" s="8">
        <v>257</v>
      </c>
      <c r="D259">
        <v>505.72876949739998</v>
      </c>
      <c r="E259">
        <v>226.92720970536999</v>
      </c>
      <c r="F259">
        <v>135.68280034572001</v>
      </c>
      <c r="G259">
        <v>116.73725151252999</v>
      </c>
      <c r="I259" s="9">
        <f t="shared" si="26"/>
        <v>110.18995819284</v>
      </c>
      <c r="J259" s="9">
        <f t="shared" si="27"/>
        <v>370.04596915167997</v>
      </c>
      <c r="K259" s="9">
        <f t="shared" ref="K259:K322" si="31">I259*1</f>
        <v>110.18995819284</v>
      </c>
      <c r="L259" s="10">
        <f t="shared" si="30"/>
        <v>0.29777370213070392</v>
      </c>
      <c r="M259" s="10">
        <f t="shared" si="28"/>
        <v>0.30076263979486556</v>
      </c>
      <c r="P259" s="8">
        <f t="shared" si="29"/>
        <v>-7.1825349226330122</v>
      </c>
    </row>
    <row r="260" spans="1:16" x14ac:dyDescent="0.2">
      <c r="A260" s="8">
        <v>129</v>
      </c>
      <c r="B260" s="8">
        <v>258</v>
      </c>
      <c r="D260">
        <v>506.92894280762999</v>
      </c>
      <c r="E260">
        <v>227.47313691508</v>
      </c>
      <c r="F260">
        <v>135.44252376836999</v>
      </c>
      <c r="G260">
        <v>116.57821953328001</v>
      </c>
      <c r="I260" s="9">
        <f t="shared" si="26"/>
        <v>110.8949173818</v>
      </c>
      <c r="J260" s="9">
        <f t="shared" si="27"/>
        <v>371.48641903926</v>
      </c>
      <c r="K260" s="9">
        <f t="shared" si="31"/>
        <v>110.8949173818</v>
      </c>
      <c r="L260" s="10">
        <f t="shared" si="30"/>
        <v>0.29851674704178144</v>
      </c>
      <c r="M260" s="10">
        <f t="shared" si="28"/>
        <v>0.30151731481358574</v>
      </c>
      <c r="P260" s="8">
        <f t="shared" si="29"/>
        <v>-6.949636906301607</v>
      </c>
    </row>
    <row r="261" spans="1:16" x14ac:dyDescent="0.2">
      <c r="A261" s="8">
        <v>129.5</v>
      </c>
      <c r="B261" s="8">
        <v>259</v>
      </c>
      <c r="D261">
        <v>508.34748700172997</v>
      </c>
      <c r="E261">
        <v>228.05285961871999</v>
      </c>
      <c r="F261">
        <v>135.74589455488001</v>
      </c>
      <c r="G261">
        <v>117.21002592913</v>
      </c>
      <c r="I261" s="9">
        <f t="shared" si="26"/>
        <v>110.84283368958999</v>
      </c>
      <c r="J261" s="9">
        <f t="shared" si="27"/>
        <v>372.60159244684996</v>
      </c>
      <c r="K261" s="9">
        <f t="shared" si="31"/>
        <v>110.84283368958999</v>
      </c>
      <c r="L261" s="10">
        <f t="shared" si="30"/>
        <v>0.29748352110277482</v>
      </c>
      <c r="M261" s="10">
        <f t="shared" si="28"/>
        <v>0.30049571898222177</v>
      </c>
      <c r="P261" s="8">
        <f t="shared" si="29"/>
        <v>-7.2649085619350382</v>
      </c>
    </row>
    <row r="262" spans="1:16" x14ac:dyDescent="0.2">
      <c r="A262" s="8">
        <v>130</v>
      </c>
      <c r="B262" s="8">
        <v>260</v>
      </c>
      <c r="D262">
        <v>507.51299826690001</v>
      </c>
      <c r="E262">
        <v>227.75563258232</v>
      </c>
      <c r="F262">
        <v>136.29818496111</v>
      </c>
      <c r="G262">
        <v>117.03025064822999</v>
      </c>
      <c r="I262" s="9">
        <f t="shared" si="26"/>
        <v>110.72538193409001</v>
      </c>
      <c r="J262" s="9">
        <f t="shared" si="27"/>
        <v>371.21481330579002</v>
      </c>
      <c r="K262" s="9">
        <f t="shared" si="31"/>
        <v>110.72538193409001</v>
      </c>
      <c r="L262" s="10">
        <f t="shared" si="30"/>
        <v>0.29827845755411553</v>
      </c>
      <c r="M262" s="10">
        <f t="shared" si="28"/>
        <v>0.30130228554120514</v>
      </c>
      <c r="P262" s="8">
        <f t="shared" si="29"/>
        <v>-7.0159964514678892</v>
      </c>
    </row>
    <row r="263" spans="1:16" x14ac:dyDescent="0.2">
      <c r="A263" s="8">
        <v>130.5</v>
      </c>
      <c r="B263" s="8">
        <v>261</v>
      </c>
      <c r="D263">
        <v>507.52253032929002</v>
      </c>
      <c r="E263">
        <v>227.86655112651999</v>
      </c>
      <c r="F263">
        <v>136.51253241141001</v>
      </c>
      <c r="G263">
        <v>116.65082108902</v>
      </c>
      <c r="I263" s="9">
        <f t="shared" si="26"/>
        <v>111.21573003749999</v>
      </c>
      <c r="J263" s="9">
        <f t="shared" si="27"/>
        <v>371.00999791788001</v>
      </c>
      <c r="K263" s="9">
        <f t="shared" si="31"/>
        <v>111.21573003749999</v>
      </c>
      <c r="L263" s="10">
        <f t="shared" si="30"/>
        <v>0.29976477901308923</v>
      </c>
      <c r="M263" s="10">
        <f t="shared" si="28"/>
        <v>0.3028002371078215</v>
      </c>
      <c r="P263" s="8">
        <f t="shared" si="29"/>
        <v>-6.5537180670354651</v>
      </c>
    </row>
    <row r="264" spans="1:16" x14ac:dyDescent="0.2">
      <c r="A264" s="8">
        <v>131</v>
      </c>
      <c r="B264" s="8">
        <v>262</v>
      </c>
      <c r="D264">
        <v>505.60831889081999</v>
      </c>
      <c r="E264">
        <v>228.22357019064</v>
      </c>
      <c r="F264">
        <v>136.01296456353001</v>
      </c>
      <c r="G264">
        <v>116.95851339671999</v>
      </c>
      <c r="I264" s="9">
        <f t="shared" si="26"/>
        <v>111.26505679392001</v>
      </c>
      <c r="J264" s="9">
        <f t="shared" si="27"/>
        <v>369.59535432729001</v>
      </c>
      <c r="K264" s="9">
        <f t="shared" si="31"/>
        <v>111.26505679392001</v>
      </c>
      <c r="L264" s="10">
        <f t="shared" si="30"/>
        <v>0.30104560431079119</v>
      </c>
      <c r="M264" s="10">
        <f t="shared" si="28"/>
        <v>0.30409269251316606</v>
      </c>
      <c r="P264" s="8">
        <f t="shared" si="29"/>
        <v>-6.1548572426609915</v>
      </c>
    </row>
    <row r="265" spans="1:16" x14ac:dyDescent="0.2">
      <c r="A265" s="8">
        <v>131.5</v>
      </c>
      <c r="B265" s="8">
        <v>263</v>
      </c>
      <c r="D265">
        <v>506.92114384748999</v>
      </c>
      <c r="E265">
        <v>229.18804159445</v>
      </c>
      <c r="F265">
        <v>136.01555747622999</v>
      </c>
      <c r="G265">
        <v>116.97579948142</v>
      </c>
      <c r="I265" s="9">
        <f t="shared" si="26"/>
        <v>112.21224211303</v>
      </c>
      <c r="J265" s="9">
        <f t="shared" si="27"/>
        <v>370.90558637126003</v>
      </c>
      <c r="K265" s="9">
        <f t="shared" si="31"/>
        <v>112.21224211303</v>
      </c>
      <c r="L265" s="10">
        <f t="shared" si="30"/>
        <v>0.30253586420968737</v>
      </c>
      <c r="M265" s="10">
        <f t="shared" si="28"/>
        <v>0.30559458251970489</v>
      </c>
      <c r="P265" s="8">
        <f t="shared" si="29"/>
        <v>-5.6913634279802752</v>
      </c>
    </row>
    <row r="266" spans="1:16" x14ac:dyDescent="0.2">
      <c r="A266" s="8">
        <v>132</v>
      </c>
      <c r="B266" s="8">
        <v>264</v>
      </c>
      <c r="D266">
        <v>509.48613518197999</v>
      </c>
      <c r="E266">
        <v>230.18024263432</v>
      </c>
      <c r="F266">
        <v>136.14606741572999</v>
      </c>
      <c r="G266">
        <v>116.84961106308999</v>
      </c>
      <c r="I266" s="9">
        <f t="shared" si="26"/>
        <v>113.33063157123</v>
      </c>
      <c r="J266" s="9">
        <f t="shared" si="27"/>
        <v>373.34006776625</v>
      </c>
      <c r="K266" s="9">
        <f t="shared" si="31"/>
        <v>113.33063157123</v>
      </c>
      <c r="L266" s="10">
        <f t="shared" si="30"/>
        <v>0.30355871591630729</v>
      </c>
      <c r="M266" s="10">
        <f t="shared" si="28"/>
        <v>0.30662906433396747</v>
      </c>
      <c r="P266" s="8">
        <f t="shared" si="29"/>
        <v>-5.3721150674326461</v>
      </c>
    </row>
    <row r="267" spans="1:16" x14ac:dyDescent="0.2">
      <c r="A267" s="8">
        <v>132.5</v>
      </c>
      <c r="B267" s="8">
        <v>265</v>
      </c>
      <c r="D267">
        <v>510.71490467938003</v>
      </c>
      <c r="E267">
        <v>231.85528596187001</v>
      </c>
      <c r="F267">
        <v>136.14779602420001</v>
      </c>
      <c r="G267">
        <v>116.60414866033</v>
      </c>
      <c r="I267" s="9">
        <f t="shared" si="26"/>
        <v>115.25113730154001</v>
      </c>
      <c r="J267" s="9">
        <f t="shared" si="27"/>
        <v>374.56710865518005</v>
      </c>
      <c r="K267" s="9">
        <f t="shared" si="31"/>
        <v>115.25113730154001</v>
      </c>
      <c r="L267" s="10">
        <f t="shared" si="30"/>
        <v>0.30769155817052318</v>
      </c>
      <c r="M267" s="10">
        <f t="shared" si="28"/>
        <v>0.31077353669582602</v>
      </c>
      <c r="P267" s="8">
        <f t="shared" si="29"/>
        <v>-4.0931017598845783</v>
      </c>
    </row>
    <row r="268" spans="1:16" x14ac:dyDescent="0.2">
      <c r="A268" s="8">
        <v>133</v>
      </c>
      <c r="B268" s="8">
        <v>266</v>
      </c>
      <c r="D268">
        <v>513.20278503045995</v>
      </c>
      <c r="E268">
        <v>232.78851174934999</v>
      </c>
      <c r="F268">
        <v>135.92826274849</v>
      </c>
      <c r="G268">
        <v>116.46845289542</v>
      </c>
      <c r="I268" s="9">
        <f t="shared" si="26"/>
        <v>116.32005885392999</v>
      </c>
      <c r="J268" s="9">
        <f t="shared" si="27"/>
        <v>377.27452228196995</v>
      </c>
      <c r="K268" s="9">
        <f t="shared" si="31"/>
        <v>116.32005885392999</v>
      </c>
      <c r="L268" s="10">
        <f t="shared" si="30"/>
        <v>0.30831676136082664</v>
      </c>
      <c r="M268" s="10">
        <f t="shared" si="28"/>
        <v>0.31141036999377214</v>
      </c>
      <c r="P268" s="8">
        <f t="shared" si="29"/>
        <v>-3.8965705270408537</v>
      </c>
    </row>
    <row r="269" spans="1:16" x14ac:dyDescent="0.2">
      <c r="A269" s="8">
        <v>133.5</v>
      </c>
      <c r="B269" s="8">
        <v>267</v>
      </c>
      <c r="D269">
        <v>513.32811140121999</v>
      </c>
      <c r="E269">
        <v>233.20974760660999</v>
      </c>
      <c r="F269">
        <v>136.05012964564</v>
      </c>
      <c r="G269">
        <v>116.6058772688</v>
      </c>
      <c r="I269" s="9">
        <f t="shared" si="26"/>
        <v>116.60387033780999</v>
      </c>
      <c r="J269" s="9">
        <f t="shared" si="27"/>
        <v>377.27798175557996</v>
      </c>
      <c r="K269" s="9">
        <f t="shared" si="31"/>
        <v>116.60387033780999</v>
      </c>
      <c r="L269" s="10">
        <f t="shared" si="30"/>
        <v>0.30906619515726724</v>
      </c>
      <c r="M269" s="10">
        <f t="shared" si="28"/>
        <v>0.3121714338978554</v>
      </c>
      <c r="P269" s="8">
        <f t="shared" si="29"/>
        <v>-3.661700855770937</v>
      </c>
    </row>
    <row r="270" spans="1:16" x14ac:dyDescent="0.2">
      <c r="A270" s="8">
        <v>134</v>
      </c>
      <c r="B270" s="8">
        <v>268</v>
      </c>
      <c r="D270">
        <v>505.76675369886999</v>
      </c>
      <c r="E270">
        <v>231.82680591818999</v>
      </c>
      <c r="F270">
        <v>136.10803802939</v>
      </c>
      <c r="G270">
        <v>116.59031979257</v>
      </c>
      <c r="I270" s="9">
        <f t="shared" si="26"/>
        <v>115.23648612561999</v>
      </c>
      <c r="J270" s="9">
        <f t="shared" si="27"/>
        <v>369.65871566947999</v>
      </c>
      <c r="K270" s="9">
        <f t="shared" si="31"/>
        <v>115.23648612561999</v>
      </c>
      <c r="L270" s="10">
        <f t="shared" si="30"/>
        <v>0.31173750608562811</v>
      </c>
      <c r="M270" s="10">
        <f t="shared" si="28"/>
        <v>0.31485437493385893</v>
      </c>
      <c r="P270" s="8">
        <f t="shared" si="29"/>
        <v>-2.8337263903129322</v>
      </c>
    </row>
    <row r="271" spans="1:16" x14ac:dyDescent="0.2">
      <c r="A271" s="8">
        <v>134.5</v>
      </c>
      <c r="B271" s="8">
        <v>269</v>
      </c>
      <c r="D271">
        <v>505.73977371628001</v>
      </c>
      <c r="E271">
        <v>231.13489991297001</v>
      </c>
      <c r="F271">
        <v>136.38893690578999</v>
      </c>
      <c r="G271">
        <v>116.87467588590999</v>
      </c>
      <c r="I271" s="9">
        <f t="shared" si="26"/>
        <v>114.26022402706002</v>
      </c>
      <c r="J271" s="9">
        <f t="shared" si="27"/>
        <v>369.35083681049002</v>
      </c>
      <c r="K271" s="9">
        <f t="shared" si="31"/>
        <v>114.26022402706002</v>
      </c>
      <c r="L271" s="10">
        <f t="shared" si="30"/>
        <v>0.3093541766785971</v>
      </c>
      <c r="M271" s="10">
        <f t="shared" si="28"/>
        <v>0.31248267563447057</v>
      </c>
      <c r="P271" s="8">
        <f t="shared" si="29"/>
        <v>-3.5656494677441475</v>
      </c>
    </row>
    <row r="272" spans="1:16" x14ac:dyDescent="0.2">
      <c r="A272" s="8">
        <v>135</v>
      </c>
      <c r="B272" s="8">
        <v>270</v>
      </c>
      <c r="D272">
        <v>508.46921075454998</v>
      </c>
      <c r="E272">
        <v>233.31916738941999</v>
      </c>
      <c r="F272">
        <v>136.17545375972</v>
      </c>
      <c r="G272">
        <v>116.66205704408</v>
      </c>
      <c r="I272" s="9">
        <f t="shared" si="26"/>
        <v>116.65711034533999</v>
      </c>
      <c r="J272" s="9">
        <f t="shared" si="27"/>
        <v>372.29375699483001</v>
      </c>
      <c r="K272" s="9">
        <f t="shared" si="31"/>
        <v>116.65711034533999</v>
      </c>
      <c r="L272" s="10">
        <f t="shared" si="30"/>
        <v>0.31334694217544989</v>
      </c>
      <c r="M272" s="10">
        <f t="shared" si="28"/>
        <v>0.31648707123896602</v>
      </c>
      <c r="P272" s="8">
        <f t="shared" si="29"/>
        <v>-2.3298648322930156</v>
      </c>
    </row>
    <row r="273" spans="1:16" x14ac:dyDescent="0.2">
      <c r="A273" s="8">
        <v>135.5</v>
      </c>
      <c r="B273" s="8">
        <v>271</v>
      </c>
      <c r="D273">
        <v>502.62445793581998</v>
      </c>
      <c r="E273">
        <v>231.16825672159999</v>
      </c>
      <c r="F273">
        <v>136.37424373379</v>
      </c>
      <c r="G273">
        <v>116.85911840967999</v>
      </c>
      <c r="I273" s="9">
        <f t="shared" si="26"/>
        <v>114.30913831191999</v>
      </c>
      <c r="J273" s="9">
        <f t="shared" si="27"/>
        <v>366.25021420202995</v>
      </c>
      <c r="K273" s="9">
        <f t="shared" si="31"/>
        <v>114.30913831191999</v>
      </c>
      <c r="L273" s="10">
        <f t="shared" si="30"/>
        <v>0.31210667974890277</v>
      </c>
      <c r="M273" s="10">
        <f t="shared" si="28"/>
        <v>0.31525843892006156</v>
      </c>
      <c r="P273" s="8">
        <f t="shared" si="29"/>
        <v>-2.7090294034997964</v>
      </c>
    </row>
    <row r="274" spans="1:16" x14ac:dyDescent="0.2">
      <c r="A274" s="8">
        <v>136</v>
      </c>
      <c r="B274" s="8">
        <v>272</v>
      </c>
      <c r="D274">
        <v>503.86209887250999</v>
      </c>
      <c r="E274">
        <v>231.75281873374001</v>
      </c>
      <c r="F274">
        <v>136.53846153846001</v>
      </c>
      <c r="G274">
        <v>116.46153846154</v>
      </c>
      <c r="I274" s="9">
        <f t="shared" si="26"/>
        <v>115.29128027220001</v>
      </c>
      <c r="J274" s="9">
        <f t="shared" si="27"/>
        <v>367.32363733404998</v>
      </c>
      <c r="K274" s="9">
        <f t="shared" si="31"/>
        <v>115.29128027220001</v>
      </c>
      <c r="L274" s="10">
        <f t="shared" si="30"/>
        <v>0.31386839439181607</v>
      </c>
      <c r="M274" s="10">
        <f t="shared" si="28"/>
        <v>0.31703178367061752</v>
      </c>
      <c r="P274" s="8">
        <f t="shared" si="29"/>
        <v>-2.1617627464205689</v>
      </c>
    </row>
    <row r="275" spans="1:16" x14ac:dyDescent="0.2">
      <c r="A275" s="8">
        <v>136.5</v>
      </c>
      <c r="B275" s="8">
        <v>273</v>
      </c>
      <c r="D275">
        <v>501.36686903728997</v>
      </c>
      <c r="E275">
        <v>232.41283607979</v>
      </c>
      <c r="F275">
        <v>136.06136560069001</v>
      </c>
      <c r="G275">
        <v>116.56871218668999</v>
      </c>
      <c r="I275" s="9">
        <f>E275-G275</f>
        <v>115.8441238931</v>
      </c>
      <c r="J275" s="9">
        <f>D275-F275</f>
        <v>365.30550343659996</v>
      </c>
      <c r="K275" s="9">
        <f t="shared" si="31"/>
        <v>115.8441238931</v>
      </c>
      <c r="L275" s="10">
        <f t="shared" si="30"/>
        <v>0.31711573683752386</v>
      </c>
      <c r="M275" s="10">
        <f>L275+ABS($N$2)*A275</f>
        <v>0.32029075622396791</v>
      </c>
      <c r="O275" s="11"/>
      <c r="P275" s="8">
        <f>(M275-$O$2)/$O$2*100</f>
        <v>-1.1560209050635113</v>
      </c>
    </row>
    <row r="276" spans="1:16" x14ac:dyDescent="0.2">
      <c r="A276" s="8">
        <v>137</v>
      </c>
      <c r="B276" s="8">
        <v>274</v>
      </c>
      <c r="D276">
        <v>498.23110338836</v>
      </c>
      <c r="E276">
        <v>230.70721112077001</v>
      </c>
      <c r="F276">
        <v>136.11840968020999</v>
      </c>
      <c r="G276">
        <v>116.75194468453</v>
      </c>
      <c r="I276" s="9">
        <f t="shared" ref="I276:I291" si="32">E276-G276</f>
        <v>113.95526643624001</v>
      </c>
      <c r="J276" s="9">
        <f t="shared" ref="J276:J291" si="33">D276-F276</f>
        <v>362.11269370815</v>
      </c>
      <c r="K276" s="9">
        <f t="shared" si="31"/>
        <v>113.95526643624001</v>
      </c>
      <c r="L276" s="10">
        <f t="shared" si="30"/>
        <v>0.31469558625327815</v>
      </c>
      <c r="M276" s="10">
        <f t="shared" ref="M276:M291" si="34">L276+ABS($N$2)*A276</f>
        <v>0.31788223574736485</v>
      </c>
      <c r="P276" s="8">
        <f t="shared" ref="P276:P291" si="35">(M276-$O$2)/$O$2*100</f>
        <v>-1.8993072566452815</v>
      </c>
    </row>
    <row r="277" spans="1:16" x14ac:dyDescent="0.2">
      <c r="A277" s="8">
        <v>137.5</v>
      </c>
      <c r="B277" s="8">
        <v>275</v>
      </c>
      <c r="D277">
        <v>497.46741963509999</v>
      </c>
      <c r="E277">
        <v>232.21894005212999</v>
      </c>
      <c r="F277">
        <v>135.90060501297</v>
      </c>
      <c r="G277">
        <v>116.86343993086</v>
      </c>
      <c r="I277" s="9">
        <f t="shared" si="32"/>
        <v>115.35550012127</v>
      </c>
      <c r="J277" s="9">
        <f t="shared" si="33"/>
        <v>361.56681462212998</v>
      </c>
      <c r="K277" s="9">
        <f t="shared" si="31"/>
        <v>115.35550012127</v>
      </c>
      <c r="L277" s="10">
        <f t="shared" si="30"/>
        <v>0.31904338411650673</v>
      </c>
      <c r="M277" s="10">
        <f t="shared" si="34"/>
        <v>0.32224166371823609</v>
      </c>
      <c r="N277" s="1"/>
      <c r="P277" s="8">
        <f t="shared" si="35"/>
        <v>-0.55395713696413995</v>
      </c>
    </row>
    <row r="278" spans="1:16" x14ac:dyDescent="0.2">
      <c r="A278" s="8">
        <v>138</v>
      </c>
      <c r="B278" s="8">
        <v>276</v>
      </c>
      <c r="D278">
        <v>499.95134665507999</v>
      </c>
      <c r="E278">
        <v>231.18071242398</v>
      </c>
      <c r="F278">
        <v>135.50993949869999</v>
      </c>
      <c r="G278">
        <v>116.64390665514</v>
      </c>
      <c r="I278" s="9">
        <f t="shared" si="32"/>
        <v>114.53680576884</v>
      </c>
      <c r="J278" s="9">
        <f t="shared" si="33"/>
        <v>364.44140715638002</v>
      </c>
      <c r="K278" s="9">
        <f t="shared" si="31"/>
        <v>114.53680576884</v>
      </c>
      <c r="L278" s="10">
        <f t="shared" si="30"/>
        <v>0.31428043992732368</v>
      </c>
      <c r="M278" s="10">
        <f t="shared" si="34"/>
        <v>0.3174903496366957</v>
      </c>
      <c r="P278" s="8">
        <f t="shared" si="35"/>
        <v>-2.0202460654552707</v>
      </c>
    </row>
    <row r="279" spans="1:16" x14ac:dyDescent="0.2">
      <c r="A279" s="8">
        <v>138.5</v>
      </c>
      <c r="B279" s="8">
        <v>277</v>
      </c>
      <c r="D279">
        <v>500.71180555555998</v>
      </c>
      <c r="E279">
        <v>231.57986111111001</v>
      </c>
      <c r="F279">
        <v>136.261019879</v>
      </c>
      <c r="G279">
        <v>116.84096802073999</v>
      </c>
      <c r="I279" s="9">
        <f t="shared" si="32"/>
        <v>114.73889309037001</v>
      </c>
      <c r="J279" s="9">
        <f t="shared" si="33"/>
        <v>364.45078567655997</v>
      </c>
      <c r="K279" s="9">
        <f t="shared" si="31"/>
        <v>114.73889309037001</v>
      </c>
      <c r="L279" s="10">
        <f t="shared" si="30"/>
        <v>0.31482685070186023</v>
      </c>
      <c r="M279" s="10">
        <f t="shared" si="34"/>
        <v>0.3180483905188749</v>
      </c>
      <c r="P279" s="8">
        <f t="shared" si="35"/>
        <v>-1.8480307260476292</v>
      </c>
    </row>
    <row r="280" spans="1:16" x14ac:dyDescent="0.2">
      <c r="A280" s="8">
        <v>139</v>
      </c>
      <c r="B280" s="8">
        <v>278</v>
      </c>
      <c r="D280">
        <v>497.23263888888999</v>
      </c>
      <c r="E280">
        <v>231.64149305556001</v>
      </c>
      <c r="F280">
        <v>136.23509075195</v>
      </c>
      <c r="G280">
        <v>116.78219533276</v>
      </c>
      <c r="I280" s="9">
        <f t="shared" si="32"/>
        <v>114.85929772280001</v>
      </c>
      <c r="J280" s="9">
        <f t="shared" si="33"/>
        <v>360.99754813694</v>
      </c>
      <c r="K280" s="9">
        <f t="shared" si="31"/>
        <v>114.85929772280001</v>
      </c>
      <c r="L280" s="10">
        <f t="shared" si="30"/>
        <v>0.31817196076697324</v>
      </c>
      <c r="M280" s="10">
        <f t="shared" si="34"/>
        <v>0.32140513069163057</v>
      </c>
      <c r="P280" s="8">
        <f t="shared" si="35"/>
        <v>-0.81211711001125708</v>
      </c>
    </row>
    <row r="281" spans="1:16" x14ac:dyDescent="0.2">
      <c r="A281" s="8">
        <v>139.5</v>
      </c>
      <c r="B281" s="8">
        <v>279</v>
      </c>
      <c r="D281">
        <v>505.98263888888999</v>
      </c>
      <c r="E281">
        <v>233.29079861111001</v>
      </c>
      <c r="F281">
        <v>135.73033707865</v>
      </c>
      <c r="G281">
        <v>116.64390665514</v>
      </c>
      <c r="I281" s="9">
        <f t="shared" si="32"/>
        <v>116.64689195597001</v>
      </c>
      <c r="J281" s="9">
        <f t="shared" si="33"/>
        <v>370.25230181024</v>
      </c>
      <c r="K281" s="9">
        <f t="shared" si="31"/>
        <v>116.64689195597001</v>
      </c>
      <c r="L281" s="10">
        <f t="shared" si="30"/>
        <v>0.31504704058734884</v>
      </c>
      <c r="M281" s="10">
        <f t="shared" si="34"/>
        <v>0.31829184061964882</v>
      </c>
      <c r="P281" s="8">
        <f t="shared" si="35"/>
        <v>-1.7729003134336256</v>
      </c>
    </row>
    <row r="282" spans="1:16" x14ac:dyDescent="0.2">
      <c r="A282" s="8">
        <v>140</v>
      </c>
      <c r="B282" s="8">
        <v>280</v>
      </c>
      <c r="D282">
        <v>501.32118055555998</v>
      </c>
      <c r="E282">
        <v>232.79774305556001</v>
      </c>
      <c r="F282">
        <v>136.39325842696999</v>
      </c>
      <c r="G282">
        <v>116.10890233361999</v>
      </c>
      <c r="I282" s="9">
        <f t="shared" si="32"/>
        <v>116.68884072194001</v>
      </c>
      <c r="J282" s="9">
        <f t="shared" si="33"/>
        <v>364.92792212859001</v>
      </c>
      <c r="K282" s="9">
        <f t="shared" si="31"/>
        <v>116.68884072194001</v>
      </c>
      <c r="L282" s="10">
        <f t="shared" si="30"/>
        <v>0.31975859792066624</v>
      </c>
      <c r="M282" s="10">
        <f t="shared" si="34"/>
        <v>0.32301502806060889</v>
      </c>
      <c r="P282" s="8">
        <f t="shared" si="35"/>
        <v>-0.31529146396291091</v>
      </c>
    </row>
    <row r="283" spans="1:16" x14ac:dyDescent="0.2">
      <c r="A283" s="8">
        <v>140.5</v>
      </c>
      <c r="B283" s="8">
        <v>281</v>
      </c>
      <c r="D283">
        <v>500.34635416666998</v>
      </c>
      <c r="E283">
        <v>234.13541666667001</v>
      </c>
      <c r="F283">
        <v>136.05445116681</v>
      </c>
      <c r="G283">
        <v>116.9507346586</v>
      </c>
      <c r="I283" s="9">
        <f t="shared" si="32"/>
        <v>117.18468200807001</v>
      </c>
      <c r="J283" s="9">
        <f t="shared" si="33"/>
        <v>364.29190299985999</v>
      </c>
      <c r="K283" s="9">
        <f t="shared" si="31"/>
        <v>117.18468200807001</v>
      </c>
      <c r="L283" s="10">
        <f t="shared" si="30"/>
        <v>0.32167797593929792</v>
      </c>
      <c r="M283" s="10">
        <f t="shared" si="34"/>
        <v>0.32494603618688322</v>
      </c>
      <c r="P283" s="8">
        <f t="shared" si="35"/>
        <v>0.28063121927601908</v>
      </c>
    </row>
    <row r="284" spans="1:16" x14ac:dyDescent="0.2">
      <c r="A284" s="8">
        <v>141</v>
      </c>
      <c r="B284" s="8">
        <v>282</v>
      </c>
      <c r="D284">
        <v>498.32118055555998</v>
      </c>
      <c r="E284">
        <v>231.94965277777999</v>
      </c>
      <c r="F284">
        <v>136.01123595505999</v>
      </c>
      <c r="G284">
        <v>117.14174589456</v>
      </c>
      <c r="I284" s="9">
        <f t="shared" si="32"/>
        <v>114.80790688321999</v>
      </c>
      <c r="J284" s="9">
        <f t="shared" si="33"/>
        <v>362.30994460049999</v>
      </c>
      <c r="K284" s="9">
        <f t="shared" si="31"/>
        <v>114.80790688321999</v>
      </c>
      <c r="L284" s="10">
        <f t="shared" si="30"/>
        <v>0.31687760326262254</v>
      </c>
      <c r="M284" s="10">
        <f t="shared" si="34"/>
        <v>0.3201572936178505</v>
      </c>
      <c r="P284" s="8">
        <f t="shared" si="35"/>
        <v>-1.1972084035868844</v>
      </c>
    </row>
    <row r="285" spans="1:16" x14ac:dyDescent="0.2">
      <c r="A285" s="8">
        <v>141.5</v>
      </c>
      <c r="B285" s="8">
        <v>283</v>
      </c>
      <c r="D285">
        <v>497.40451388888999</v>
      </c>
      <c r="E285">
        <v>232.36805555556001</v>
      </c>
      <c r="F285">
        <v>136.18841832325</v>
      </c>
      <c r="G285">
        <v>116.57130509940001</v>
      </c>
      <c r="I285" s="9">
        <f t="shared" si="32"/>
        <v>115.79675045616</v>
      </c>
      <c r="J285" s="9">
        <f t="shared" si="33"/>
        <v>361.21609556563999</v>
      </c>
      <c r="K285" s="9">
        <f t="shared" si="31"/>
        <v>115.79675045616</v>
      </c>
      <c r="L285" s="10">
        <f t="shared" si="30"/>
        <v>0.32057472487439992</v>
      </c>
      <c r="M285" s="10">
        <f t="shared" si="34"/>
        <v>0.32386604533727054</v>
      </c>
      <c r="P285" s="8">
        <f t="shared" si="35"/>
        <v>-5.266154952056902E-2</v>
      </c>
    </row>
    <row r="286" spans="1:16" x14ac:dyDescent="0.2">
      <c r="A286" s="8">
        <v>142</v>
      </c>
      <c r="B286" s="8">
        <v>284</v>
      </c>
      <c r="D286">
        <v>500.1796875</v>
      </c>
      <c r="E286">
        <v>232.42881944443999</v>
      </c>
      <c r="F286">
        <v>136.03716508210999</v>
      </c>
      <c r="G286">
        <v>116.99654278305999</v>
      </c>
      <c r="I286" s="9">
        <f t="shared" si="32"/>
        <v>115.43227666138</v>
      </c>
      <c r="J286" s="9">
        <f t="shared" si="33"/>
        <v>364.14252241789001</v>
      </c>
      <c r="K286" s="9">
        <f t="shared" si="31"/>
        <v>115.43227666138</v>
      </c>
      <c r="L286" s="10">
        <f t="shared" si="30"/>
        <v>0.31699752035251161</v>
      </c>
      <c r="M286" s="10">
        <f t="shared" si="34"/>
        <v>0.32030047092302483</v>
      </c>
      <c r="P286" s="8">
        <f t="shared" si="35"/>
        <v>-1.1530228806377794</v>
      </c>
    </row>
    <row r="287" spans="1:16" x14ac:dyDescent="0.2">
      <c r="A287" s="8">
        <v>142.5</v>
      </c>
      <c r="B287" s="8">
        <v>285</v>
      </c>
      <c r="D287">
        <v>503.24565972222001</v>
      </c>
      <c r="E287">
        <v>233.65538194443999</v>
      </c>
      <c r="F287">
        <v>136.24546240276999</v>
      </c>
      <c r="G287">
        <v>117.27052722558</v>
      </c>
      <c r="I287" s="9">
        <f t="shared" si="32"/>
        <v>116.38485471886</v>
      </c>
      <c r="J287" s="9">
        <f t="shared" si="33"/>
        <v>367.00019731945002</v>
      </c>
      <c r="K287" s="9">
        <f t="shared" si="31"/>
        <v>116.38485471886</v>
      </c>
      <c r="L287" s="10">
        <f t="shared" si="30"/>
        <v>0.31712477423426144</v>
      </c>
      <c r="M287" s="10">
        <f t="shared" si="34"/>
        <v>0.32043935491241732</v>
      </c>
      <c r="P287" s="8">
        <f t="shared" si="35"/>
        <v>-1.1101623051220335</v>
      </c>
    </row>
    <row r="288" spans="1:16" x14ac:dyDescent="0.2">
      <c r="A288" s="8">
        <v>143</v>
      </c>
      <c r="B288" s="8">
        <v>286</v>
      </c>
      <c r="D288">
        <v>506.47482638888999</v>
      </c>
      <c r="E288">
        <v>233.78298611111001</v>
      </c>
      <c r="F288">
        <v>136.27139152981999</v>
      </c>
      <c r="G288">
        <v>116.48228176318</v>
      </c>
      <c r="I288" s="9">
        <f t="shared" si="32"/>
        <v>117.30070434793001</v>
      </c>
      <c r="J288" s="9">
        <f t="shared" si="33"/>
        <v>370.20343485907</v>
      </c>
      <c r="K288" s="9">
        <f t="shared" si="31"/>
        <v>117.30070434793001</v>
      </c>
      <c r="L288" s="10">
        <f t="shared" si="30"/>
        <v>0.31685471636043666</v>
      </c>
      <c r="M288" s="10">
        <f t="shared" si="34"/>
        <v>0.32018092714623519</v>
      </c>
      <c r="P288" s="8">
        <f t="shared" si="35"/>
        <v>-1.1899149305777457</v>
      </c>
    </row>
    <row r="289" spans="1:16" x14ac:dyDescent="0.2">
      <c r="A289" s="8">
        <v>143.5</v>
      </c>
      <c r="B289" s="8">
        <v>287</v>
      </c>
      <c r="D289">
        <v>505.62597402596998</v>
      </c>
      <c r="E289">
        <v>234.05887445887001</v>
      </c>
      <c r="F289">
        <v>136.22212618841999</v>
      </c>
      <c r="G289">
        <v>116.62402765774</v>
      </c>
      <c r="I289" s="9">
        <f t="shared" si="32"/>
        <v>117.43484680113001</v>
      </c>
      <c r="J289" s="9">
        <f t="shared" si="33"/>
        <v>369.40384783754996</v>
      </c>
      <c r="K289" s="9">
        <f t="shared" si="31"/>
        <v>117.43484680113001</v>
      </c>
      <c r="L289" s="10">
        <f t="shared" si="30"/>
        <v>0.31790369128145485</v>
      </c>
      <c r="M289" s="10">
        <f t="shared" si="34"/>
        <v>0.32124153217489604</v>
      </c>
      <c r="P289" s="8">
        <f t="shared" si="35"/>
        <v>-0.86260476241407269</v>
      </c>
    </row>
    <row r="290" spans="1:16" x14ac:dyDescent="0.2">
      <c r="A290" s="8">
        <v>144</v>
      </c>
      <c r="B290" s="8">
        <v>288</v>
      </c>
      <c r="D290">
        <v>504.82337662338</v>
      </c>
      <c r="E290">
        <v>234.57835497836001</v>
      </c>
      <c r="F290">
        <v>135.78305963699</v>
      </c>
      <c r="G290">
        <v>116.78910976664</v>
      </c>
      <c r="I290" s="9">
        <f t="shared" si="32"/>
        <v>117.78924521172002</v>
      </c>
      <c r="J290" s="9">
        <f t="shared" si="33"/>
        <v>369.04031698639</v>
      </c>
      <c r="K290" s="9">
        <f t="shared" si="31"/>
        <v>117.78924521172002</v>
      </c>
      <c r="L290" s="10">
        <f t="shared" si="30"/>
        <v>0.31917717330614587</v>
      </c>
      <c r="M290" s="10">
        <f t="shared" si="34"/>
        <v>0.32252664430722972</v>
      </c>
      <c r="P290" s="8">
        <f t="shared" si="35"/>
        <v>-0.46601012371580586</v>
      </c>
    </row>
    <row r="291" spans="1:16" x14ac:dyDescent="0.2">
      <c r="A291" s="8">
        <v>144.5</v>
      </c>
      <c r="B291" s="8">
        <v>289</v>
      </c>
      <c r="D291">
        <v>498.91515151515</v>
      </c>
      <c r="E291">
        <v>232.42597402596999</v>
      </c>
      <c r="F291">
        <v>135.67329299913999</v>
      </c>
      <c r="G291">
        <v>116.2929991357</v>
      </c>
      <c r="I291" s="9">
        <f t="shared" si="32"/>
        <v>116.13297489026999</v>
      </c>
      <c r="J291" s="9">
        <f t="shared" si="33"/>
        <v>363.24185851600998</v>
      </c>
      <c r="K291" s="9">
        <f t="shared" si="31"/>
        <v>116.13297489026999</v>
      </c>
      <c r="L291" s="10">
        <f t="shared" si="30"/>
        <v>0.31971253358497886</v>
      </c>
      <c r="M291" s="10">
        <f t="shared" si="34"/>
        <v>0.32307363469370537</v>
      </c>
      <c r="P291" s="8">
        <f t="shared" si="35"/>
        <v>-0.29720504497003059</v>
      </c>
    </row>
    <row r="292" spans="1:16" x14ac:dyDescent="0.2">
      <c r="A292" s="8">
        <v>145</v>
      </c>
      <c r="B292" s="8">
        <v>290</v>
      </c>
      <c r="D292">
        <v>508.07000864304001</v>
      </c>
      <c r="E292">
        <v>234.85825410544999</v>
      </c>
      <c r="F292">
        <v>135.61538461539001</v>
      </c>
      <c r="G292">
        <v>116.7562662057</v>
      </c>
      <c r="I292" s="9">
        <f>E292-G292</f>
        <v>118.10198789974999</v>
      </c>
      <c r="J292" s="9">
        <f>D292-F292</f>
        <v>372.45462402764997</v>
      </c>
      <c r="K292" s="9">
        <f t="shared" si="31"/>
        <v>118.10198789974999</v>
      </c>
      <c r="L292" s="10">
        <f t="shared" si="30"/>
        <v>0.31709094284457706</v>
      </c>
      <c r="M292" s="10">
        <f>L292+ABS($N$2)*A292</f>
        <v>0.32046367406094622</v>
      </c>
      <c r="O292" s="11"/>
      <c r="P292" s="8">
        <f>(M292-$O$2)/$O$2*100</f>
        <v>-1.1026572449163092</v>
      </c>
    </row>
    <row r="293" spans="1:16" x14ac:dyDescent="0.2">
      <c r="A293" s="8">
        <v>145.5</v>
      </c>
      <c r="B293" s="8">
        <v>291</v>
      </c>
      <c r="D293">
        <v>504.07087294728001</v>
      </c>
      <c r="E293">
        <v>234.07173725151</v>
      </c>
      <c r="F293">
        <v>135.77873811582</v>
      </c>
      <c r="G293">
        <v>116.51685393258001</v>
      </c>
      <c r="I293" s="9">
        <f t="shared" ref="I293:I301" si="36">E293-G293</f>
        <v>117.55488331893</v>
      </c>
      <c r="J293" s="9">
        <f t="shared" ref="J293:J301" si="37">D293-F293</f>
        <v>368.29213483145998</v>
      </c>
      <c r="K293" s="9">
        <f t="shared" si="31"/>
        <v>117.55488331893</v>
      </c>
      <c r="L293" s="10">
        <f t="shared" si="30"/>
        <v>0.31918923105085084</v>
      </c>
      <c r="M293" s="10">
        <f t="shared" ref="M293:M301" si="38">L293+ABS($N$2)*A293</f>
        <v>0.32257359237486266</v>
      </c>
      <c r="P293" s="8">
        <f t="shared" ref="P293:P301" si="39">(M293-$O$2)/$O$2*100</f>
        <v>-0.45152161998760704</v>
      </c>
    </row>
    <row r="294" spans="1:16" x14ac:dyDescent="0.2">
      <c r="A294" s="8">
        <v>146</v>
      </c>
      <c r="B294" s="8">
        <v>292</v>
      </c>
      <c r="D294">
        <v>505.71305099394999</v>
      </c>
      <c r="E294">
        <v>234.79256698358</v>
      </c>
      <c r="F294">
        <v>135.51771823682</v>
      </c>
      <c r="G294">
        <v>116.33880726016</v>
      </c>
      <c r="I294" s="9">
        <f t="shared" si="36"/>
        <v>118.45375972342001</v>
      </c>
      <c r="J294" s="9">
        <f t="shared" si="37"/>
        <v>370.19533275713002</v>
      </c>
      <c r="K294" s="9">
        <f t="shared" si="31"/>
        <v>118.45375972342001</v>
      </c>
      <c r="L294" s="10">
        <f t="shared" si="30"/>
        <v>0.31997637258472045</v>
      </c>
      <c r="M294" s="10">
        <f t="shared" si="38"/>
        <v>0.32337236401637492</v>
      </c>
      <c r="N294" s="1"/>
      <c r="P294" s="8">
        <f t="shared" si="39"/>
        <v>-0.20501507585226295</v>
      </c>
    </row>
    <row r="295" spans="1:16" x14ac:dyDescent="0.2">
      <c r="A295" s="8">
        <v>146.5</v>
      </c>
      <c r="B295" s="8">
        <v>293</v>
      </c>
      <c r="D295">
        <v>500.95592048400999</v>
      </c>
      <c r="E295">
        <v>232.56871218668999</v>
      </c>
      <c r="F295">
        <v>135.74589455488001</v>
      </c>
      <c r="G295">
        <v>116.47968885048</v>
      </c>
      <c r="I295" s="9">
        <f t="shared" si="36"/>
        <v>116.08902333620999</v>
      </c>
      <c r="J295" s="9">
        <f t="shared" si="37"/>
        <v>365.21002592912998</v>
      </c>
      <c r="K295" s="9">
        <f t="shared" si="31"/>
        <v>116.08902333620999</v>
      </c>
      <c r="L295" s="10">
        <f t="shared" si="30"/>
        <v>0.31786921249182076</v>
      </c>
      <c r="M295" s="10">
        <f t="shared" si="38"/>
        <v>0.3212768340311179</v>
      </c>
      <c r="P295" s="8">
        <f t="shared" si="39"/>
        <v>-0.85171036140311784</v>
      </c>
    </row>
    <row r="296" spans="1:16" x14ac:dyDescent="0.2">
      <c r="A296" s="8">
        <v>147</v>
      </c>
      <c r="B296" s="8">
        <v>294</v>
      </c>
      <c r="D296">
        <v>501.90838375108001</v>
      </c>
      <c r="E296">
        <v>233.42178046672001</v>
      </c>
      <c r="F296">
        <v>135.48141745895001</v>
      </c>
      <c r="G296">
        <v>116.73120138289001</v>
      </c>
      <c r="I296" s="9">
        <f t="shared" si="36"/>
        <v>116.69057908383</v>
      </c>
      <c r="J296" s="9">
        <f t="shared" si="37"/>
        <v>366.42696629213003</v>
      </c>
      <c r="K296" s="9">
        <f t="shared" si="31"/>
        <v>116.69057908383</v>
      </c>
      <c r="L296" s="10">
        <f t="shared" si="30"/>
        <v>0.3184552170508097</v>
      </c>
      <c r="M296" s="10">
        <f t="shared" si="38"/>
        <v>0.32187446869774949</v>
      </c>
      <c r="P296" s="8">
        <f t="shared" si="39"/>
        <v>-0.66727610175924745</v>
      </c>
    </row>
    <row r="297" spans="1:16" x14ac:dyDescent="0.2">
      <c r="A297" s="8">
        <v>147.5</v>
      </c>
      <c r="B297" s="8">
        <v>295</v>
      </c>
      <c r="D297">
        <v>499.36127917027</v>
      </c>
      <c r="E297">
        <v>232.06136560069001</v>
      </c>
      <c r="F297">
        <v>136.26447709594001</v>
      </c>
      <c r="G297">
        <v>116.5738980121</v>
      </c>
      <c r="I297" s="9">
        <f t="shared" si="36"/>
        <v>115.48746758859001</v>
      </c>
      <c r="J297" s="9">
        <f t="shared" si="37"/>
        <v>363.09680207432996</v>
      </c>
      <c r="K297" s="9">
        <f t="shared" si="31"/>
        <v>115.48746758859001</v>
      </c>
      <c r="L297" s="10">
        <f t="shared" si="30"/>
        <v>0.31806247515489944</v>
      </c>
      <c r="M297" s="10">
        <f t="shared" si="38"/>
        <v>0.32149335690948189</v>
      </c>
      <c r="P297" s="8">
        <f t="shared" si="39"/>
        <v>-0.78488987892993656</v>
      </c>
    </row>
    <row r="298" spans="1:16" x14ac:dyDescent="0.2">
      <c r="A298" s="8">
        <v>148</v>
      </c>
      <c r="B298" s="8">
        <v>296</v>
      </c>
      <c r="D298">
        <v>500.73984442523999</v>
      </c>
      <c r="E298">
        <v>233.29386343992999</v>
      </c>
      <c r="F298">
        <v>135.79343128780999</v>
      </c>
      <c r="G298">
        <v>116.07692307692</v>
      </c>
      <c r="I298" s="9">
        <f t="shared" si="36"/>
        <v>117.21694036301</v>
      </c>
      <c r="J298" s="9">
        <f t="shared" si="37"/>
        <v>364.94641313743</v>
      </c>
      <c r="K298" s="9">
        <f t="shared" si="31"/>
        <v>117.21694036301</v>
      </c>
      <c r="L298" s="10">
        <f t="shared" si="30"/>
        <v>0.32118945725565723</v>
      </c>
      <c r="M298" s="10">
        <f t="shared" si="38"/>
        <v>0.32463196911788228</v>
      </c>
      <c r="P298" s="8">
        <f t="shared" si="39"/>
        <v>0.1837079138121871</v>
      </c>
    </row>
    <row r="299" spans="1:16" x14ac:dyDescent="0.2">
      <c r="A299" s="8">
        <v>148.5</v>
      </c>
      <c r="B299" s="8">
        <v>297</v>
      </c>
      <c r="D299">
        <v>497.04407951599001</v>
      </c>
      <c r="E299">
        <v>232.39844425237999</v>
      </c>
      <c r="F299">
        <v>136.00605012964999</v>
      </c>
      <c r="G299">
        <v>116.33275713051</v>
      </c>
      <c r="I299" s="9">
        <f t="shared" si="36"/>
        <v>116.06568712186998</v>
      </c>
      <c r="J299" s="9">
        <f t="shared" si="37"/>
        <v>361.03802938633999</v>
      </c>
      <c r="K299" s="9">
        <f t="shared" si="31"/>
        <v>116.06568712186998</v>
      </c>
      <c r="L299" s="10">
        <f t="shared" si="30"/>
        <v>0.32147773274507402</v>
      </c>
      <c r="M299" s="10">
        <f t="shared" si="38"/>
        <v>0.32493187471494173</v>
      </c>
      <c r="P299" s="8">
        <f t="shared" si="39"/>
        <v>0.27626088947617872</v>
      </c>
    </row>
    <row r="300" spans="1:16" x14ac:dyDescent="0.2">
      <c r="A300" s="8">
        <v>149</v>
      </c>
      <c r="B300" s="8">
        <v>298</v>
      </c>
      <c r="D300">
        <v>493.58981001727</v>
      </c>
      <c r="E300">
        <v>234.05785837651001</v>
      </c>
      <c r="F300">
        <v>136.02333621435</v>
      </c>
      <c r="G300">
        <v>116.40708729473</v>
      </c>
      <c r="I300" s="9">
        <f t="shared" si="36"/>
        <v>117.65077108178001</v>
      </c>
      <c r="J300" s="9">
        <f t="shared" si="37"/>
        <v>357.56647380291997</v>
      </c>
      <c r="K300" s="9">
        <f t="shared" si="31"/>
        <v>117.65077108178001</v>
      </c>
      <c r="L300" s="10">
        <f t="shared" si="30"/>
        <v>0.32903188554144375</v>
      </c>
      <c r="M300" s="10">
        <f t="shared" si="38"/>
        <v>0.33249765761895411</v>
      </c>
      <c r="P300" s="8">
        <f t="shared" si="39"/>
        <v>2.6111146830027576</v>
      </c>
    </row>
    <row r="301" spans="1:16" x14ac:dyDescent="0.2">
      <c r="A301" s="8">
        <v>149.5</v>
      </c>
      <c r="B301" s="8">
        <v>299</v>
      </c>
      <c r="D301">
        <v>498.35924006908999</v>
      </c>
      <c r="E301">
        <v>233.76079447322999</v>
      </c>
      <c r="F301">
        <v>135.48833189282999</v>
      </c>
      <c r="G301">
        <v>116.74503025065</v>
      </c>
      <c r="I301" s="9">
        <f t="shared" si="36"/>
        <v>117.01576422257999</v>
      </c>
      <c r="J301" s="9">
        <f t="shared" si="37"/>
        <v>362.87090817626</v>
      </c>
      <c r="K301" s="9">
        <f t="shared" si="31"/>
        <v>117.01576422257999</v>
      </c>
      <c r="L301" s="10">
        <f t="shared" si="30"/>
        <v>0.32247215631224163</v>
      </c>
      <c r="M301" s="10">
        <f t="shared" si="38"/>
        <v>0.32594955849739465</v>
      </c>
      <c r="P301" s="8">
        <f t="shared" si="39"/>
        <v>0.59032525931298008</v>
      </c>
    </row>
    <row r="302" spans="1:16" x14ac:dyDescent="0.2">
      <c r="A302" s="8">
        <v>150</v>
      </c>
      <c r="B302" s="8">
        <v>300</v>
      </c>
      <c r="D302">
        <v>500.16666666666998</v>
      </c>
      <c r="E302">
        <v>233.89032815198999</v>
      </c>
      <c r="F302">
        <v>135.39066551426001</v>
      </c>
      <c r="G302">
        <v>116.45116681072</v>
      </c>
      <c r="I302" s="9">
        <f>E302-G302</f>
        <v>117.43916134126999</v>
      </c>
      <c r="J302" s="9">
        <f>D302-F302</f>
        <v>364.77600115241</v>
      </c>
      <c r="K302" s="9">
        <f t="shared" si="31"/>
        <v>117.43916134126999</v>
      </c>
      <c r="L302" s="10">
        <f t="shared" si="30"/>
        <v>0.32194870542539278</v>
      </c>
      <c r="M302" s="10">
        <f>L302+ABS($N$2)*A302</f>
        <v>0.32543773771818846</v>
      </c>
      <c r="O302" s="11"/>
      <c r="P302" s="8">
        <f>(M302-$O$2)/$O$2*100</f>
        <v>0.43237376862170562</v>
      </c>
    </row>
    <row r="303" spans="1:16" x14ac:dyDescent="0.2">
      <c r="A303" s="8">
        <v>150.5</v>
      </c>
      <c r="B303" s="8">
        <v>301</v>
      </c>
      <c r="D303">
        <v>500.02763385147</v>
      </c>
      <c r="E303">
        <v>234.56476683938001</v>
      </c>
      <c r="F303">
        <v>136.18582541055</v>
      </c>
      <c r="G303">
        <v>116.81503889369</v>
      </c>
      <c r="I303" s="9">
        <f t="shared" ref="I303:I309" si="40">E303-G303</f>
        <v>117.74972794569001</v>
      </c>
      <c r="J303" s="9">
        <f t="shared" ref="J303:J309" si="41">D303-F303</f>
        <v>363.84180844091998</v>
      </c>
      <c r="K303" s="9">
        <f t="shared" si="31"/>
        <v>117.74972794569001</v>
      </c>
      <c r="L303" s="10">
        <f t="shared" si="30"/>
        <v>0.32362891018559242</v>
      </c>
      <c r="M303" s="10">
        <f t="shared" ref="M303:M309" si="42">L303+ABS($N$2)*A303</f>
        <v>0.32712957258603076</v>
      </c>
      <c r="P303" s="8">
        <f t="shared" ref="P303:P309" si="43">(M303-$O$2)/$O$2*100</f>
        <v>0.95448590286061163</v>
      </c>
    </row>
    <row r="304" spans="1:16" x14ac:dyDescent="0.2">
      <c r="A304" s="8">
        <v>151</v>
      </c>
      <c r="B304" s="8">
        <v>302</v>
      </c>
      <c r="D304">
        <v>506.61658031088001</v>
      </c>
      <c r="E304">
        <v>235.62435233161</v>
      </c>
      <c r="F304">
        <v>135.46240276577001</v>
      </c>
      <c r="G304">
        <v>116.40535868626</v>
      </c>
      <c r="I304" s="9">
        <f t="shared" si="40"/>
        <v>119.21899364535</v>
      </c>
      <c r="J304" s="9">
        <f t="shared" si="41"/>
        <v>371.15417754510997</v>
      </c>
      <c r="K304" s="9">
        <f t="shared" si="31"/>
        <v>119.21899364535</v>
      </c>
      <c r="L304" s="10">
        <f t="shared" si="30"/>
        <v>0.32121150955079886</v>
      </c>
      <c r="M304" s="10">
        <f t="shared" si="42"/>
        <v>0.32472380205887985</v>
      </c>
      <c r="N304" s="1"/>
      <c r="P304" s="8">
        <f t="shared" si="43"/>
        <v>0.21204820501260868</v>
      </c>
    </row>
    <row r="305" spans="1:16" x14ac:dyDescent="0.2">
      <c r="A305" s="8">
        <v>151.5</v>
      </c>
      <c r="B305" s="8">
        <v>303</v>
      </c>
      <c r="D305">
        <v>503.73229706389998</v>
      </c>
      <c r="E305">
        <v>234.44300518135</v>
      </c>
      <c r="F305">
        <v>135.80726015558</v>
      </c>
      <c r="G305">
        <v>116.51512532411</v>
      </c>
      <c r="I305" s="9">
        <f t="shared" si="40"/>
        <v>117.92787985724</v>
      </c>
      <c r="J305" s="9">
        <f t="shared" si="41"/>
        <v>367.92503690831995</v>
      </c>
      <c r="K305" s="9">
        <f t="shared" si="31"/>
        <v>117.92787985724</v>
      </c>
      <c r="L305" s="10">
        <f t="shared" si="30"/>
        <v>0.32052148679032522</v>
      </c>
      <c r="M305" s="10">
        <f t="shared" si="42"/>
        <v>0.32404540940604887</v>
      </c>
      <c r="P305" s="8">
        <f t="shared" si="43"/>
        <v>2.6914630787420193E-3</v>
      </c>
    </row>
    <row r="306" spans="1:16" x14ac:dyDescent="0.2">
      <c r="A306" s="8">
        <v>152</v>
      </c>
      <c r="B306" s="8">
        <v>304</v>
      </c>
      <c r="D306">
        <v>507.18150388936999</v>
      </c>
      <c r="E306">
        <v>233.24719101124001</v>
      </c>
      <c r="F306">
        <v>136.34917891097999</v>
      </c>
      <c r="G306">
        <v>116.34745030251</v>
      </c>
      <c r="I306" s="9">
        <f t="shared" si="40"/>
        <v>116.89974070873001</v>
      </c>
      <c r="J306" s="9">
        <f t="shared" si="41"/>
        <v>370.83232497839003</v>
      </c>
      <c r="K306" s="9">
        <f t="shared" si="31"/>
        <v>116.89974070873001</v>
      </c>
      <c r="L306" s="10">
        <f t="shared" si="30"/>
        <v>0.31523611302100552</v>
      </c>
      <c r="M306" s="10">
        <f t="shared" si="42"/>
        <v>0.31877166574437182</v>
      </c>
      <c r="P306" s="8">
        <f t="shared" si="43"/>
        <v>-1.6248229066533288</v>
      </c>
    </row>
    <row r="307" spans="1:16" x14ac:dyDescent="0.2">
      <c r="A307" s="8">
        <v>152.5</v>
      </c>
      <c r="B307" s="8">
        <v>305</v>
      </c>
      <c r="D307">
        <v>509.11149524632998</v>
      </c>
      <c r="E307">
        <v>233.84615384615</v>
      </c>
      <c r="F307">
        <v>136.06136560069001</v>
      </c>
      <c r="G307">
        <v>116.52117545375999</v>
      </c>
      <c r="I307" s="9">
        <f t="shared" si="40"/>
        <v>117.32497839239001</v>
      </c>
      <c r="J307" s="9">
        <f t="shared" si="41"/>
        <v>373.05012964563997</v>
      </c>
      <c r="K307" s="9">
        <f t="shared" si="31"/>
        <v>117.32497839239001</v>
      </c>
      <c r="L307" s="10">
        <f t="shared" si="30"/>
        <v>0.31450191024953378</v>
      </c>
      <c r="M307" s="10">
        <f t="shared" si="42"/>
        <v>0.31804909308054274</v>
      </c>
      <c r="P307" s="8">
        <f t="shared" si="43"/>
        <v>-1.8478139105777485</v>
      </c>
    </row>
    <row r="308" spans="1:16" x14ac:dyDescent="0.2">
      <c r="A308" s="8">
        <v>153</v>
      </c>
      <c r="B308" s="8">
        <v>306</v>
      </c>
      <c r="D308">
        <v>498.64217804666998</v>
      </c>
      <c r="E308">
        <v>232.41054451167</v>
      </c>
      <c r="F308">
        <v>135.85738980120999</v>
      </c>
      <c r="G308">
        <v>116.40708729473</v>
      </c>
      <c r="I308" s="9">
        <f t="shared" si="40"/>
        <v>116.00345721693999</v>
      </c>
      <c r="J308" s="9">
        <f t="shared" si="41"/>
        <v>362.78478824545999</v>
      </c>
      <c r="K308" s="9">
        <f t="shared" si="31"/>
        <v>116.00345721693999</v>
      </c>
      <c r="L308" s="10">
        <f t="shared" si="30"/>
        <v>0.31975832773465718</v>
      </c>
      <c r="M308" s="10">
        <f t="shared" si="42"/>
        <v>0.3233171406733088</v>
      </c>
      <c r="P308" s="8">
        <f t="shared" si="43"/>
        <v>-0.22205738775639902</v>
      </c>
    </row>
    <row r="309" spans="1:16" x14ac:dyDescent="0.2">
      <c r="A309" s="8">
        <v>153.5</v>
      </c>
      <c r="B309" s="8">
        <v>307</v>
      </c>
      <c r="D309">
        <v>497.35522904061997</v>
      </c>
      <c r="E309">
        <v>232.19014693171999</v>
      </c>
      <c r="F309">
        <v>135.47191011236001</v>
      </c>
      <c r="G309">
        <v>116.92221261884001</v>
      </c>
      <c r="I309" s="9">
        <f t="shared" si="40"/>
        <v>115.26793431287999</v>
      </c>
      <c r="J309" s="9">
        <f t="shared" si="41"/>
        <v>361.88331892826</v>
      </c>
      <c r="K309" s="9">
        <f t="shared" si="31"/>
        <v>115.26793431287999</v>
      </c>
      <c r="L309" s="10">
        <f t="shared" si="30"/>
        <v>0.31852237526242755</v>
      </c>
      <c r="M309" s="10">
        <f t="shared" si="42"/>
        <v>0.32209281830872177</v>
      </c>
      <c r="P309" s="8">
        <f t="shared" si="43"/>
        <v>-0.59989187676076028</v>
      </c>
    </row>
    <row r="310" spans="1:16" x14ac:dyDescent="0.2">
      <c r="A310" s="8">
        <v>154</v>
      </c>
      <c r="B310" s="8">
        <v>308</v>
      </c>
      <c r="D310">
        <v>507.45462402765997</v>
      </c>
      <c r="E310">
        <v>234.50216076058999</v>
      </c>
      <c r="F310">
        <v>135.82627484874999</v>
      </c>
      <c r="G310">
        <v>116.55229040622</v>
      </c>
      <c r="I310" s="9">
        <f>E310-G310</f>
        <v>117.94987035436999</v>
      </c>
      <c r="J310" s="9">
        <f>D310-F310</f>
        <v>371.62834917890996</v>
      </c>
      <c r="K310" s="9">
        <f t="shared" si="31"/>
        <v>117.94987035436999</v>
      </c>
      <c r="L310" s="10">
        <f t="shared" si="30"/>
        <v>0.31738663268013056</v>
      </c>
      <c r="M310" s="10">
        <f>L310+ABS($N$2)*A310</f>
        <v>0.32096870583406745</v>
      </c>
      <c r="O310" s="11"/>
      <c r="P310" s="8">
        <f>(M310-$O$2)/$O$2*100</f>
        <v>-0.94680088923127015</v>
      </c>
    </row>
    <row r="311" spans="1:16" x14ac:dyDescent="0.2">
      <c r="A311" s="8">
        <v>154.5</v>
      </c>
      <c r="B311" s="8">
        <v>309</v>
      </c>
      <c r="D311">
        <v>494.25324114087999</v>
      </c>
      <c r="E311">
        <v>231.93863439930999</v>
      </c>
      <c r="F311">
        <v>136.2117545376</v>
      </c>
      <c r="G311">
        <v>116.73120138289001</v>
      </c>
      <c r="I311" s="9">
        <f t="shared" ref="I311:I319" si="44">E311-G311</f>
        <v>115.20743301641998</v>
      </c>
      <c r="J311" s="9">
        <f t="shared" ref="J311:J319" si="45">D311-F311</f>
        <v>358.04148660327996</v>
      </c>
      <c r="K311" s="9">
        <f t="shared" si="31"/>
        <v>115.20743301641998</v>
      </c>
      <c r="L311" s="10">
        <f t="shared" si="30"/>
        <v>0.32177118386303949</v>
      </c>
      <c r="M311" s="10">
        <f t="shared" ref="M311:M319" si="46">L311+ABS($N$2)*A311</f>
        <v>0.32536488712461903</v>
      </c>
      <c r="P311" s="8">
        <f t="shared" ref="P311:P319" si="47">(M311-$O$2)/$O$2*100</f>
        <v>0.40989156328826465</v>
      </c>
    </row>
    <row r="312" spans="1:16" x14ac:dyDescent="0.2">
      <c r="A312" s="8">
        <v>155</v>
      </c>
      <c r="B312" s="8">
        <v>310</v>
      </c>
      <c r="D312">
        <v>495.66551426102001</v>
      </c>
      <c r="E312">
        <v>232.0492653414</v>
      </c>
      <c r="F312">
        <v>136.04235090751999</v>
      </c>
      <c r="G312">
        <v>116.82713915298</v>
      </c>
      <c r="I312" s="9">
        <f t="shared" si="44"/>
        <v>115.22212618842001</v>
      </c>
      <c r="J312" s="9">
        <f t="shared" si="45"/>
        <v>359.62316335349999</v>
      </c>
      <c r="K312" s="9">
        <f t="shared" si="31"/>
        <v>115.22212618842001</v>
      </c>
      <c r="L312" s="10">
        <f t="shared" si="30"/>
        <v>0.32039684294517962</v>
      </c>
      <c r="M312" s="10">
        <f t="shared" si="46"/>
        <v>0.32400217631440181</v>
      </c>
      <c r="N312" s="1"/>
      <c r="P312" s="8">
        <f t="shared" si="47"/>
        <v>-1.0650572942999297E-2</v>
      </c>
    </row>
    <row r="313" spans="1:16" x14ac:dyDescent="0.2">
      <c r="A313" s="8">
        <v>155.5</v>
      </c>
      <c r="B313" s="8">
        <v>311</v>
      </c>
      <c r="D313">
        <v>496.19101123595999</v>
      </c>
      <c r="E313">
        <v>234.11668107174</v>
      </c>
      <c r="F313">
        <v>136.52463267069999</v>
      </c>
      <c r="G313">
        <v>116.36473638721</v>
      </c>
      <c r="I313" s="9">
        <f t="shared" si="44"/>
        <v>117.75194468453</v>
      </c>
      <c r="J313" s="9">
        <f t="shared" si="45"/>
        <v>359.66637856526</v>
      </c>
      <c r="K313" s="9">
        <f t="shared" si="31"/>
        <v>117.75194468453</v>
      </c>
      <c r="L313" s="10">
        <f t="shared" si="30"/>
        <v>0.32739213810935736</v>
      </c>
      <c r="M313" s="10">
        <f t="shared" si="46"/>
        <v>0.33100910158622221</v>
      </c>
      <c r="P313" s="8">
        <f t="shared" si="47"/>
        <v>2.1517358263800341</v>
      </c>
    </row>
    <row r="314" spans="1:16" x14ac:dyDescent="0.2">
      <c r="A314" s="8">
        <v>156</v>
      </c>
      <c r="B314" s="8">
        <v>312</v>
      </c>
      <c r="D314">
        <v>506.66724286949</v>
      </c>
      <c r="E314">
        <v>236.03457216940001</v>
      </c>
      <c r="F314">
        <v>135.96024200519</v>
      </c>
      <c r="G314">
        <v>116.64909248055</v>
      </c>
      <c r="I314" s="9">
        <f t="shared" si="44"/>
        <v>119.38547968885001</v>
      </c>
      <c r="J314" s="9">
        <f t="shared" si="45"/>
        <v>370.70700086429997</v>
      </c>
      <c r="K314" s="9">
        <f t="shared" si="31"/>
        <v>119.38547968885001</v>
      </c>
      <c r="L314" s="10">
        <f t="shared" si="30"/>
        <v>0.32204808490399117</v>
      </c>
      <c r="M314" s="10">
        <f t="shared" si="46"/>
        <v>0.32567667848849868</v>
      </c>
      <c r="P314" s="8">
        <f t="shared" si="47"/>
        <v>0.50611257015288946</v>
      </c>
    </row>
    <row r="315" spans="1:16" x14ac:dyDescent="0.2">
      <c r="A315" s="8">
        <v>156.5</v>
      </c>
      <c r="B315" s="8">
        <v>313</v>
      </c>
      <c r="D315">
        <v>500.01382886776003</v>
      </c>
      <c r="E315">
        <v>234.14433880726</v>
      </c>
      <c r="F315">
        <v>135.87381158168</v>
      </c>
      <c r="G315">
        <v>116.57994814174999</v>
      </c>
      <c r="I315" s="9">
        <f t="shared" si="44"/>
        <v>117.56439066551</v>
      </c>
      <c r="J315" s="9">
        <f t="shared" si="45"/>
        <v>364.14001728608002</v>
      </c>
      <c r="K315" s="9">
        <f t="shared" si="31"/>
        <v>117.56439066551</v>
      </c>
      <c r="L315" s="10">
        <f t="shared" si="30"/>
        <v>0.32285490493934826</v>
      </c>
      <c r="M315" s="10">
        <f t="shared" si="46"/>
        <v>0.32649512863149843</v>
      </c>
      <c r="P315" s="8">
        <f t="shared" si="47"/>
        <v>0.75869203819206477</v>
      </c>
    </row>
    <row r="316" spans="1:16" x14ac:dyDescent="0.2">
      <c r="A316" s="8">
        <v>157</v>
      </c>
      <c r="B316" s="8">
        <v>314</v>
      </c>
      <c r="D316">
        <v>500.65514261020002</v>
      </c>
      <c r="E316">
        <v>234.01296456353001</v>
      </c>
      <c r="F316">
        <v>135.47363872083</v>
      </c>
      <c r="G316">
        <v>116.17113223855</v>
      </c>
      <c r="I316" s="9">
        <f t="shared" si="44"/>
        <v>117.84183232498</v>
      </c>
      <c r="J316" s="9">
        <f t="shared" si="45"/>
        <v>365.18150388936999</v>
      </c>
      <c r="K316" s="9">
        <f t="shared" si="31"/>
        <v>117.84183232498</v>
      </c>
      <c r="L316" s="10">
        <f t="shared" si="30"/>
        <v>0.32269386885673057</v>
      </c>
      <c r="M316" s="10">
        <f t="shared" si="46"/>
        <v>0.3263457226565234</v>
      </c>
      <c r="P316" s="8">
        <f t="shared" si="47"/>
        <v>0.71258430395335182</v>
      </c>
    </row>
    <row r="317" spans="1:16" x14ac:dyDescent="0.2">
      <c r="A317" s="8">
        <v>157.5</v>
      </c>
      <c r="B317" s="8">
        <v>315</v>
      </c>
      <c r="D317">
        <v>504.91789109767001</v>
      </c>
      <c r="E317">
        <v>233.48141745895001</v>
      </c>
      <c r="F317">
        <v>135.82195332756999</v>
      </c>
      <c r="G317">
        <v>116.4753673293</v>
      </c>
      <c r="I317" s="9">
        <f t="shared" si="44"/>
        <v>117.00605012965001</v>
      </c>
      <c r="J317" s="9">
        <f t="shared" si="45"/>
        <v>369.09593777010002</v>
      </c>
      <c r="K317" s="9">
        <f t="shared" si="31"/>
        <v>117.00605012965001</v>
      </c>
      <c r="L317" s="10">
        <f t="shared" si="30"/>
        <v>0.31700714680455233</v>
      </c>
      <c r="M317" s="10">
        <f t="shared" si="46"/>
        <v>0.32067063071198781</v>
      </c>
      <c r="P317" s="8">
        <f t="shared" si="47"/>
        <v>-1.0387889674477937</v>
      </c>
    </row>
    <row r="318" spans="1:16" x14ac:dyDescent="0.2">
      <c r="A318" s="8">
        <v>158</v>
      </c>
      <c r="B318" s="8">
        <v>316</v>
      </c>
      <c r="D318">
        <v>499.23941227312002</v>
      </c>
      <c r="E318">
        <v>231.7070008643</v>
      </c>
      <c r="F318">
        <v>136.03889369058001</v>
      </c>
      <c r="G318">
        <v>116.38893690579</v>
      </c>
      <c r="I318" s="9">
        <f t="shared" si="44"/>
        <v>115.31806395851</v>
      </c>
      <c r="J318" s="9">
        <f t="shared" si="45"/>
        <v>363.20051858253998</v>
      </c>
      <c r="K318" s="9">
        <f t="shared" si="31"/>
        <v>115.31806395851</v>
      </c>
      <c r="L318" s="10">
        <f t="shared" si="30"/>
        <v>0.31750522936630421</v>
      </c>
      <c r="M318" s="10">
        <f t="shared" si="46"/>
        <v>0.32118034338138235</v>
      </c>
      <c r="P318" s="8">
        <f t="shared" si="47"/>
        <v>-0.8814880542649377</v>
      </c>
    </row>
    <row r="319" spans="1:16" x14ac:dyDescent="0.2">
      <c r="A319" s="8">
        <v>158.5</v>
      </c>
      <c r="B319" s="8">
        <v>317</v>
      </c>
      <c r="D319">
        <v>496.05445116681</v>
      </c>
      <c r="E319">
        <v>232.15211754538001</v>
      </c>
      <c r="F319">
        <v>135.33016421780999</v>
      </c>
      <c r="G319">
        <v>116.6897147796</v>
      </c>
      <c r="I319" s="9">
        <f t="shared" si="44"/>
        <v>115.46240276578001</v>
      </c>
      <c r="J319" s="9">
        <f t="shared" si="45"/>
        <v>360.72428694899997</v>
      </c>
      <c r="K319" s="9">
        <f t="shared" si="31"/>
        <v>115.46240276578001</v>
      </c>
      <c r="L319" s="10">
        <f t="shared" si="30"/>
        <v>0.32008491510887471</v>
      </c>
      <c r="M319" s="10">
        <f t="shared" si="46"/>
        <v>0.32377165923159551</v>
      </c>
      <c r="P319" s="8">
        <f t="shared" si="47"/>
        <v>-8.1789765289840125E-2</v>
      </c>
    </row>
    <row r="320" spans="1:16" x14ac:dyDescent="0.2">
      <c r="A320" s="8">
        <v>159</v>
      </c>
      <c r="B320" s="8">
        <v>318</v>
      </c>
      <c r="D320">
        <v>495.27830596370001</v>
      </c>
      <c r="E320">
        <v>233.00345721694001</v>
      </c>
      <c r="F320">
        <v>135.58599827139</v>
      </c>
      <c r="G320">
        <v>116.94900605013</v>
      </c>
      <c r="I320" s="9">
        <f>E320-G320</f>
        <v>116.05445116681001</v>
      </c>
      <c r="J320" s="9">
        <f>D320-F320</f>
        <v>359.69230769231001</v>
      </c>
      <c r="K320" s="9">
        <f t="shared" si="31"/>
        <v>116.05445116681001</v>
      </c>
      <c r="L320" s="10">
        <f t="shared" si="30"/>
        <v>0.32264924404801548</v>
      </c>
      <c r="M320" s="10">
        <f>L320+ABS($N$2)*A320</f>
        <v>0.32634761827837888</v>
      </c>
      <c r="O320" s="11"/>
      <c r="P320" s="8">
        <f>(M320-$O$2)/$O$2*100</f>
        <v>0.71316930618465091</v>
      </c>
    </row>
    <row r="321" spans="1:16" x14ac:dyDescent="0.2">
      <c r="A321" s="8">
        <v>159.5</v>
      </c>
      <c r="B321" s="8">
        <v>319</v>
      </c>
      <c r="D321">
        <v>503.06482281762999</v>
      </c>
      <c r="E321">
        <v>233.71650821089</v>
      </c>
      <c r="F321">
        <v>135.73033707865</v>
      </c>
      <c r="G321">
        <v>116.16421780467</v>
      </c>
      <c r="I321" s="9">
        <f t="shared" ref="I321:I322" si="48">E321-G321</f>
        <v>117.55229040622</v>
      </c>
      <c r="J321" s="9">
        <f t="shared" ref="J321:J322" si="49">D321-F321</f>
        <v>367.33448573897999</v>
      </c>
      <c r="K321" s="9">
        <f t="shared" si="31"/>
        <v>117.55229040622</v>
      </c>
      <c r="L321" s="10">
        <f t="shared" si="30"/>
        <v>0.32001430568038236</v>
      </c>
      <c r="M321" s="10">
        <f t="shared" ref="M321:M322" si="50">L321+ABS($N$2)*A321</f>
        <v>0.32372431001838842</v>
      </c>
      <c r="P321" s="8">
        <f t="shared" ref="P321:P322" si="51">(M321-$O$2)/$O$2*100</f>
        <v>-9.6402065362374528E-2</v>
      </c>
    </row>
    <row r="322" spans="1:16" x14ac:dyDescent="0.2">
      <c r="A322" s="8">
        <v>160</v>
      </c>
      <c r="B322" s="8">
        <v>320</v>
      </c>
      <c r="D322">
        <v>497.35782195333002</v>
      </c>
      <c r="E322">
        <v>232.40708729472999</v>
      </c>
      <c r="F322">
        <v>135.54105445117</v>
      </c>
      <c r="G322">
        <v>116.46499567847999</v>
      </c>
      <c r="I322" s="9">
        <f t="shared" si="48"/>
        <v>115.94209161625</v>
      </c>
      <c r="J322" s="9">
        <f t="shared" si="49"/>
        <v>361.81676750216002</v>
      </c>
      <c r="K322" s="9">
        <f t="shared" si="31"/>
        <v>115.94209161625</v>
      </c>
      <c r="L322" s="10">
        <f t="shared" ref="L322" si="52">K322/J322</f>
        <v>0.32044421936735651</v>
      </c>
      <c r="M322" s="10">
        <f t="shared" si="50"/>
        <v>0.32416585381300522</v>
      </c>
      <c r="P322" s="8">
        <f t="shared" si="51"/>
        <v>3.9861453819814409E-2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D5157-C1B6-B145-B668-E5B1681ABDC5}">
  <dimension ref="A1:Y798"/>
  <sheetViews>
    <sheetView zoomScale="44" zoomScaleNormal="70" workbookViewId="0">
      <selection activeCell="F2" sqref="F2:G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850.54733727811004</v>
      </c>
      <c r="E2">
        <v>377.33210059172001</v>
      </c>
      <c r="F2">
        <v>138.82989690721999</v>
      </c>
      <c r="G2">
        <v>117.94403534609999</v>
      </c>
      <c r="H2" s="4"/>
      <c r="I2" s="5">
        <f>E2-G2</f>
        <v>259.38806524562</v>
      </c>
      <c r="J2" s="5">
        <f>D2-F2</f>
        <v>711.71744037089002</v>
      </c>
      <c r="K2" s="9">
        <f>I2*1</f>
        <v>259.38806524562</v>
      </c>
      <c r="L2" s="6">
        <f t="shared" ref="L2:L65" si="0">K2/J2</f>
        <v>0.36445371510138597</v>
      </c>
      <c r="M2" s="6">
        <f>L2+ABS($N$2)*A2</f>
        <v>0.36445371510138597</v>
      </c>
      <c r="N2" s="4">
        <f>LINEST(V64:V103,U64:U103)</f>
        <v>1.6107725809067931E-4</v>
      </c>
      <c r="O2" s="7">
        <f>AVERAGE(M62:M81)</f>
        <v>0.23907469707898019</v>
      </c>
      <c r="P2" s="4">
        <f>(M2-$O$2)/$O$2*100</f>
        <v>52.443449496868276</v>
      </c>
    </row>
    <row r="3" spans="1:16" x14ac:dyDescent="0.2">
      <c r="A3" s="8">
        <v>0.5</v>
      </c>
      <c r="B3" s="8">
        <v>1</v>
      </c>
      <c r="D3">
        <v>783.26257396450001</v>
      </c>
      <c r="E3">
        <v>381.15754437869998</v>
      </c>
      <c r="F3">
        <v>139.03313696613</v>
      </c>
      <c r="G3">
        <v>117.37555228277</v>
      </c>
      <c r="I3" s="9">
        <f t="shared" ref="I3:I66" si="1">E3-G3</f>
        <v>263.78199209592998</v>
      </c>
      <c r="J3" s="9">
        <f t="shared" ref="J3:J66" si="2">D3-F3</f>
        <v>644.22943699837003</v>
      </c>
      <c r="K3" s="9">
        <f t="shared" ref="K3:K66" si="3">I3*1</f>
        <v>263.78199209592998</v>
      </c>
      <c r="L3" s="10">
        <f t="shared" si="0"/>
        <v>0.4094534911738244</v>
      </c>
      <c r="M3" s="10">
        <f t="shared" ref="M3:M66" si="4">L3+ABS($N$2)*A3</f>
        <v>0.40953402980286974</v>
      </c>
      <c r="P3" s="8">
        <f t="shared" ref="P3:P66" si="5">(M3-$O$2)/$O$2*100</f>
        <v>71.299612550623451</v>
      </c>
    </row>
    <row r="4" spans="1:16" ht="16" x14ac:dyDescent="0.2">
      <c r="A4" s="8">
        <v>1</v>
      </c>
      <c r="B4" s="8">
        <v>2</v>
      </c>
      <c r="D4">
        <v>756.09985207100999</v>
      </c>
      <c r="E4">
        <v>399.91346153846001</v>
      </c>
      <c r="F4">
        <v>138.75405007364</v>
      </c>
      <c r="G4">
        <v>117.93004418261999</v>
      </c>
      <c r="I4" s="9">
        <f t="shared" si="1"/>
        <v>281.98341735584</v>
      </c>
      <c r="J4" s="9">
        <f t="shared" si="2"/>
        <v>617.34580199737002</v>
      </c>
      <c r="K4" s="9">
        <f t="shared" si="3"/>
        <v>281.98341735584</v>
      </c>
      <c r="L4" s="10">
        <f t="shared" si="0"/>
        <v>0.4567673683752389</v>
      </c>
      <c r="M4" s="10">
        <f t="shared" si="4"/>
        <v>0.45692844563332957</v>
      </c>
      <c r="N4" s="1" t="s">
        <v>7</v>
      </c>
      <c r="P4" s="8">
        <f t="shared" si="5"/>
        <v>91.123716234336456</v>
      </c>
    </row>
    <row r="5" spans="1:16" x14ac:dyDescent="0.2">
      <c r="A5" s="8">
        <v>1.5</v>
      </c>
      <c r="B5" s="8">
        <v>3</v>
      </c>
      <c r="D5">
        <v>739.59763313609994</v>
      </c>
      <c r="E5">
        <v>410.98890532543999</v>
      </c>
      <c r="F5">
        <v>139.31075110456999</v>
      </c>
      <c r="G5">
        <v>118.08910162002999</v>
      </c>
      <c r="I5" s="9">
        <f t="shared" si="1"/>
        <v>292.89980370541002</v>
      </c>
      <c r="J5" s="9">
        <f t="shared" si="2"/>
        <v>600.28688203153001</v>
      </c>
      <c r="K5" s="9">
        <f t="shared" si="3"/>
        <v>292.89980370541002</v>
      </c>
      <c r="L5" s="10">
        <f t="shared" si="0"/>
        <v>0.48793304080568844</v>
      </c>
      <c r="M5" s="10">
        <f t="shared" si="4"/>
        <v>0.48817465669282445</v>
      </c>
      <c r="N5" s="8">
        <f>RSQ(V64:V83,U64:U83)</f>
        <v>0.53446742723410634</v>
      </c>
      <c r="P5" s="8">
        <f t="shared" si="5"/>
        <v>104.19335992363598</v>
      </c>
    </row>
    <row r="6" spans="1:16" x14ac:dyDescent="0.2">
      <c r="A6" s="8">
        <v>2</v>
      </c>
      <c r="B6" s="8">
        <v>4</v>
      </c>
      <c r="D6">
        <v>882.57216117216001</v>
      </c>
      <c r="E6">
        <v>421.29597069597003</v>
      </c>
      <c r="F6">
        <v>139.33946980854</v>
      </c>
      <c r="G6">
        <v>117.9941089838</v>
      </c>
      <c r="I6" s="9">
        <f t="shared" si="1"/>
        <v>303.30186171217002</v>
      </c>
      <c r="J6" s="9">
        <f t="shared" si="2"/>
        <v>743.23269136362001</v>
      </c>
      <c r="K6" s="9">
        <f t="shared" si="3"/>
        <v>303.30186171217002</v>
      </c>
      <c r="L6" s="10">
        <f t="shared" si="0"/>
        <v>0.40808466209377525</v>
      </c>
      <c r="M6" s="10">
        <f t="shared" si="4"/>
        <v>0.40840681660995659</v>
      </c>
      <c r="P6" s="8">
        <f t="shared" si="5"/>
        <v>70.828122590922376</v>
      </c>
    </row>
    <row r="7" spans="1:16" x14ac:dyDescent="0.2">
      <c r="A7" s="8">
        <v>2.5</v>
      </c>
      <c r="B7" s="8">
        <v>5</v>
      </c>
      <c r="D7">
        <v>898.34578754579002</v>
      </c>
      <c r="E7">
        <v>407.49597069597002</v>
      </c>
      <c r="F7">
        <v>139.56185567009999</v>
      </c>
      <c r="G7">
        <v>117.85272459498999</v>
      </c>
      <c r="I7" s="9">
        <f t="shared" si="1"/>
        <v>289.64324610098004</v>
      </c>
      <c r="J7" s="9">
        <f t="shared" si="2"/>
        <v>758.78393187569009</v>
      </c>
      <c r="K7" s="9">
        <f t="shared" si="3"/>
        <v>289.64324610098004</v>
      </c>
      <c r="L7" s="10">
        <f t="shared" si="0"/>
        <v>0.38172032107347215</v>
      </c>
      <c r="M7" s="10">
        <f t="shared" si="4"/>
        <v>0.38212301421869882</v>
      </c>
      <c r="P7" s="8">
        <f t="shared" si="5"/>
        <v>59.834151789162995</v>
      </c>
    </row>
    <row r="8" spans="1:16" x14ac:dyDescent="0.2">
      <c r="A8" s="8">
        <v>3</v>
      </c>
      <c r="B8" s="8">
        <v>6</v>
      </c>
      <c r="D8">
        <v>902.64102564102996</v>
      </c>
      <c r="E8">
        <v>392.97509157509</v>
      </c>
      <c r="F8">
        <v>139.35125184093999</v>
      </c>
      <c r="G8">
        <v>117.67157584683</v>
      </c>
      <c r="I8" s="9">
        <f t="shared" si="1"/>
        <v>275.30351572825998</v>
      </c>
      <c r="J8" s="9">
        <f t="shared" si="2"/>
        <v>763.28977380008996</v>
      </c>
      <c r="K8" s="9">
        <f t="shared" si="3"/>
        <v>275.30351572825998</v>
      </c>
      <c r="L8" s="10">
        <f t="shared" si="0"/>
        <v>0.36068020976835929</v>
      </c>
      <c r="M8" s="10">
        <f t="shared" si="4"/>
        <v>0.36116344154263136</v>
      </c>
      <c r="P8" s="8">
        <f t="shared" si="5"/>
        <v>51.067196133816793</v>
      </c>
    </row>
    <row r="9" spans="1:16" x14ac:dyDescent="0.2">
      <c r="A9" s="8">
        <v>3.5</v>
      </c>
      <c r="B9" s="8">
        <v>7</v>
      </c>
      <c r="D9">
        <v>658.78388278388002</v>
      </c>
      <c r="E9">
        <v>308.61318681319</v>
      </c>
      <c r="F9">
        <v>139.17820324005999</v>
      </c>
      <c r="G9">
        <v>117.75625920471001</v>
      </c>
      <c r="I9" s="9">
        <f t="shared" si="1"/>
        <v>190.85692760847999</v>
      </c>
      <c r="J9" s="9">
        <f t="shared" si="2"/>
        <v>519.60567954382009</v>
      </c>
      <c r="K9" s="9">
        <f t="shared" si="3"/>
        <v>190.85692760847999</v>
      </c>
      <c r="L9" s="10">
        <f t="shared" si="0"/>
        <v>0.36731108823914305</v>
      </c>
      <c r="M9" s="10">
        <f t="shared" si="4"/>
        <v>0.36787485864246044</v>
      </c>
      <c r="P9" s="8">
        <f t="shared" si="5"/>
        <v>53.874443066189528</v>
      </c>
    </row>
    <row r="10" spans="1:16" x14ac:dyDescent="0.2">
      <c r="A10" s="8">
        <v>4</v>
      </c>
      <c r="B10" s="8">
        <v>8</v>
      </c>
      <c r="D10">
        <v>969.31112737921001</v>
      </c>
      <c r="E10">
        <v>406.80307467057003</v>
      </c>
      <c r="F10">
        <v>138.83284241531999</v>
      </c>
      <c r="G10">
        <v>117.89175257732001</v>
      </c>
      <c r="I10" s="9">
        <f t="shared" si="1"/>
        <v>288.91132209325002</v>
      </c>
      <c r="J10" s="9">
        <f t="shared" si="2"/>
        <v>830.47828496389002</v>
      </c>
      <c r="K10" s="9">
        <f t="shared" si="3"/>
        <v>288.91132209325002</v>
      </c>
      <c r="L10" s="10">
        <f t="shared" si="0"/>
        <v>0.34788546229816492</v>
      </c>
      <c r="M10" s="10">
        <f t="shared" si="4"/>
        <v>0.34852977133052765</v>
      </c>
      <c r="P10" s="8">
        <f t="shared" si="5"/>
        <v>45.782793239465292</v>
      </c>
    </row>
    <row r="11" spans="1:16" x14ac:dyDescent="0.2">
      <c r="A11" s="8">
        <v>4.5</v>
      </c>
      <c r="B11" s="8">
        <v>9</v>
      </c>
      <c r="D11">
        <v>937.85871156661995</v>
      </c>
      <c r="E11">
        <v>402.69399707174</v>
      </c>
      <c r="F11">
        <v>138.87849779087</v>
      </c>
      <c r="G11">
        <v>117.87407952872</v>
      </c>
      <c r="I11" s="9">
        <f t="shared" si="1"/>
        <v>284.81991754301998</v>
      </c>
      <c r="J11" s="9">
        <f t="shared" si="2"/>
        <v>798.98021377574992</v>
      </c>
      <c r="K11" s="9">
        <f t="shared" si="3"/>
        <v>284.81991754301998</v>
      </c>
      <c r="L11" s="10">
        <f t="shared" si="0"/>
        <v>0.35647931279429718</v>
      </c>
      <c r="M11" s="10">
        <f t="shared" si="4"/>
        <v>0.35720416045570524</v>
      </c>
      <c r="P11" s="8">
        <f t="shared" si="5"/>
        <v>49.41111076162948</v>
      </c>
    </row>
    <row r="12" spans="1:16" x14ac:dyDescent="0.2">
      <c r="A12" s="8">
        <v>5</v>
      </c>
      <c r="B12" s="8">
        <v>10</v>
      </c>
      <c r="D12">
        <v>835.96925329428996</v>
      </c>
      <c r="E12">
        <v>358.74963396778998</v>
      </c>
      <c r="F12">
        <v>138.85714285713999</v>
      </c>
      <c r="G12">
        <v>118.16421207658</v>
      </c>
      <c r="I12" s="9">
        <f t="shared" si="1"/>
        <v>240.58542189120999</v>
      </c>
      <c r="J12" s="9">
        <f t="shared" si="2"/>
        <v>697.11211043715002</v>
      </c>
      <c r="K12" s="9">
        <f t="shared" si="3"/>
        <v>240.58542189120999</v>
      </c>
      <c r="L12" s="10">
        <f t="shared" si="0"/>
        <v>0.34511726060868742</v>
      </c>
      <c r="M12" s="10">
        <f t="shared" si="4"/>
        <v>0.34592264689914082</v>
      </c>
      <c r="P12" s="8">
        <f t="shared" si="5"/>
        <v>44.692287023943223</v>
      </c>
    </row>
    <row r="13" spans="1:16" x14ac:dyDescent="0.2">
      <c r="A13" s="8">
        <v>5.5</v>
      </c>
      <c r="B13" s="8">
        <v>11</v>
      </c>
      <c r="D13">
        <v>1047.3729689807999</v>
      </c>
      <c r="E13">
        <v>421.19276218611998</v>
      </c>
      <c r="F13">
        <v>139.03166421207999</v>
      </c>
      <c r="G13">
        <v>118.13917525773</v>
      </c>
      <c r="I13" s="9">
        <f t="shared" si="1"/>
        <v>303.05358692838996</v>
      </c>
      <c r="J13" s="9">
        <f t="shared" si="2"/>
        <v>908.34130476871997</v>
      </c>
      <c r="K13" s="9">
        <f t="shared" si="3"/>
        <v>303.05358692838996</v>
      </c>
      <c r="L13" s="10">
        <f t="shared" si="0"/>
        <v>0.33363404849849126</v>
      </c>
      <c r="M13" s="10">
        <f t="shared" si="4"/>
        <v>0.33451997341799</v>
      </c>
      <c r="P13" s="8">
        <f t="shared" si="5"/>
        <v>39.922784596263114</v>
      </c>
    </row>
    <row r="14" spans="1:16" x14ac:dyDescent="0.2">
      <c r="A14" s="8">
        <v>6</v>
      </c>
      <c r="B14" s="8">
        <v>12</v>
      </c>
      <c r="D14">
        <v>995.24470416361999</v>
      </c>
      <c r="E14">
        <v>393.39371804236998</v>
      </c>
      <c r="F14">
        <v>138.85346097202</v>
      </c>
      <c r="G14">
        <v>117.78571428571</v>
      </c>
      <c r="I14" s="9">
        <f t="shared" si="1"/>
        <v>275.60800375665997</v>
      </c>
      <c r="J14" s="9">
        <f t="shared" si="2"/>
        <v>856.39124319159998</v>
      </c>
      <c r="K14" s="9">
        <f t="shared" si="3"/>
        <v>275.60800375665997</v>
      </c>
      <c r="L14" s="10">
        <f t="shared" si="0"/>
        <v>0.3218248737919408</v>
      </c>
      <c r="M14" s="10">
        <f t="shared" si="4"/>
        <v>0.32279133734048487</v>
      </c>
      <c r="P14" s="8">
        <f t="shared" si="5"/>
        <v>35.016938757784246</v>
      </c>
    </row>
    <row r="15" spans="1:16" x14ac:dyDescent="0.2">
      <c r="A15" s="8">
        <v>6.5</v>
      </c>
      <c r="B15" s="8">
        <v>13</v>
      </c>
      <c r="D15">
        <v>1082.7224251278001</v>
      </c>
      <c r="E15">
        <v>409.71585098612002</v>
      </c>
      <c r="F15">
        <v>138.88217967598999</v>
      </c>
      <c r="G15">
        <v>118.37776141384001</v>
      </c>
      <c r="I15" s="9">
        <f t="shared" si="1"/>
        <v>291.33808957228001</v>
      </c>
      <c r="J15" s="9">
        <f t="shared" si="2"/>
        <v>943.84024545181012</v>
      </c>
      <c r="K15" s="9">
        <f t="shared" si="3"/>
        <v>291.33808957228001</v>
      </c>
      <c r="L15" s="10">
        <f t="shared" si="0"/>
        <v>0.30867309481258492</v>
      </c>
      <c r="M15" s="10">
        <f t="shared" si="4"/>
        <v>0.30972009699017433</v>
      </c>
      <c r="P15" s="8">
        <f t="shared" si="5"/>
        <v>29.549509326725566</v>
      </c>
    </row>
    <row r="16" spans="1:16" x14ac:dyDescent="0.2">
      <c r="A16" s="8">
        <v>7</v>
      </c>
      <c r="B16" s="8">
        <v>14</v>
      </c>
      <c r="D16">
        <v>1100.3440467495</v>
      </c>
      <c r="E16">
        <v>406.06647187727998</v>
      </c>
      <c r="F16">
        <v>138.81516936672</v>
      </c>
      <c r="G16">
        <v>118.32032400589</v>
      </c>
      <c r="I16" s="9">
        <f t="shared" si="1"/>
        <v>287.74614787139001</v>
      </c>
      <c r="J16" s="9">
        <f t="shared" si="2"/>
        <v>961.52887738277991</v>
      </c>
      <c r="K16" s="9">
        <f t="shared" si="3"/>
        <v>287.74614787139001</v>
      </c>
      <c r="L16" s="10">
        <f t="shared" si="0"/>
        <v>0.29925897665665185</v>
      </c>
      <c r="M16" s="10">
        <f t="shared" si="4"/>
        <v>0.3003865174632866</v>
      </c>
      <c r="P16" s="8">
        <f t="shared" si="5"/>
        <v>25.645466096335394</v>
      </c>
    </row>
    <row r="17" spans="1:16" x14ac:dyDescent="0.2">
      <c r="A17" s="8">
        <v>7.5</v>
      </c>
      <c r="B17" s="8">
        <v>15</v>
      </c>
      <c r="D17">
        <v>1044.5997078159</v>
      </c>
      <c r="E17">
        <v>387.869247626</v>
      </c>
      <c r="F17">
        <v>139.10530191458</v>
      </c>
      <c r="G17">
        <v>117.57511045654999</v>
      </c>
      <c r="I17" s="9">
        <f t="shared" si="1"/>
        <v>270.29413716944998</v>
      </c>
      <c r="J17" s="9">
        <f t="shared" si="2"/>
        <v>905.49440590132008</v>
      </c>
      <c r="K17" s="9">
        <f t="shared" si="3"/>
        <v>270.29413716944998</v>
      </c>
      <c r="L17" s="10">
        <f t="shared" si="0"/>
        <v>0.29850448043398115</v>
      </c>
      <c r="M17" s="10">
        <f t="shared" si="4"/>
        <v>0.29971255986966122</v>
      </c>
      <c r="P17" s="8">
        <f t="shared" si="5"/>
        <v>25.363563577223246</v>
      </c>
    </row>
    <row r="18" spans="1:16" x14ac:dyDescent="0.2">
      <c r="A18" s="8">
        <v>8</v>
      </c>
      <c r="B18" s="8">
        <v>16</v>
      </c>
      <c r="D18">
        <v>1032.0788897005</v>
      </c>
      <c r="E18">
        <v>375.24251278305002</v>
      </c>
      <c r="F18">
        <v>139.21649484535999</v>
      </c>
      <c r="G18">
        <v>117.83357879234001</v>
      </c>
      <c r="I18" s="9">
        <f t="shared" si="1"/>
        <v>257.40893399071001</v>
      </c>
      <c r="J18" s="9">
        <f t="shared" si="2"/>
        <v>892.86239485514</v>
      </c>
      <c r="K18" s="9">
        <f t="shared" si="3"/>
        <v>257.40893399071001</v>
      </c>
      <c r="L18" s="10">
        <f t="shared" si="0"/>
        <v>0.28829631024215396</v>
      </c>
      <c r="M18" s="10">
        <f t="shared" si="4"/>
        <v>0.28958492830687937</v>
      </c>
      <c r="P18" s="8">
        <f t="shared" si="5"/>
        <v>21.127384806938704</v>
      </c>
    </row>
    <row r="19" spans="1:16" x14ac:dyDescent="0.2">
      <c r="A19" s="8">
        <v>8.5</v>
      </c>
      <c r="B19" s="8">
        <v>17</v>
      </c>
      <c r="D19">
        <v>1045.8144631118</v>
      </c>
      <c r="E19">
        <v>372.79108838567998</v>
      </c>
      <c r="F19">
        <v>139.02282768777999</v>
      </c>
      <c r="G19">
        <v>118.03976435935</v>
      </c>
      <c r="I19" s="9">
        <f t="shared" si="1"/>
        <v>254.75132402633</v>
      </c>
      <c r="J19" s="9">
        <f t="shared" si="2"/>
        <v>906.79163542402</v>
      </c>
      <c r="K19" s="9">
        <f t="shared" si="3"/>
        <v>254.75132402633</v>
      </c>
      <c r="L19" s="10">
        <f t="shared" si="0"/>
        <v>0.28093700258627452</v>
      </c>
      <c r="M19" s="10">
        <f t="shared" si="4"/>
        <v>0.28230615928004532</v>
      </c>
      <c r="P19" s="8">
        <f t="shared" si="5"/>
        <v>18.08282630042747</v>
      </c>
    </row>
    <row r="20" spans="1:16" x14ac:dyDescent="0.2">
      <c r="A20" s="8">
        <v>9</v>
      </c>
      <c r="B20" s="8">
        <v>18</v>
      </c>
      <c r="D20">
        <v>1031.8450292397999</v>
      </c>
      <c r="E20">
        <v>363.41228070174998</v>
      </c>
      <c r="F20">
        <v>138.95434462444999</v>
      </c>
      <c r="G20">
        <v>118.08983799705</v>
      </c>
      <c r="I20" s="9">
        <f t="shared" si="1"/>
        <v>245.32244270469999</v>
      </c>
      <c r="J20" s="9">
        <f t="shared" si="2"/>
        <v>892.89068461534998</v>
      </c>
      <c r="K20" s="9">
        <f t="shared" si="3"/>
        <v>245.32244270469999</v>
      </c>
      <c r="L20" s="10">
        <f t="shared" si="0"/>
        <v>0.2747508143288368</v>
      </c>
      <c r="M20" s="10">
        <f t="shared" si="4"/>
        <v>0.27620050965165294</v>
      </c>
      <c r="P20" s="8">
        <f t="shared" si="5"/>
        <v>15.52895936971864</v>
      </c>
    </row>
    <row r="21" spans="1:16" x14ac:dyDescent="0.2">
      <c r="A21" s="8">
        <v>9.5</v>
      </c>
      <c r="B21" s="8">
        <v>19</v>
      </c>
      <c r="D21">
        <v>1027.0007315288999</v>
      </c>
      <c r="E21">
        <v>359.70738844184001</v>
      </c>
      <c r="F21">
        <v>138.94256259205</v>
      </c>
      <c r="G21">
        <v>118.01178203240001</v>
      </c>
      <c r="I21" s="9">
        <f t="shared" si="1"/>
        <v>241.69560640944002</v>
      </c>
      <c r="J21" s="9">
        <f t="shared" si="2"/>
        <v>888.05816893684994</v>
      </c>
      <c r="K21" s="9">
        <f t="shared" si="3"/>
        <v>241.69560640944002</v>
      </c>
      <c r="L21" s="10">
        <f t="shared" si="0"/>
        <v>0.27216190882945085</v>
      </c>
      <c r="M21" s="10">
        <f t="shared" si="4"/>
        <v>0.27369214278131232</v>
      </c>
      <c r="P21" s="8">
        <f t="shared" si="5"/>
        <v>14.479761398963936</v>
      </c>
    </row>
    <row r="22" spans="1:16" x14ac:dyDescent="0.2">
      <c r="A22" s="8">
        <v>10</v>
      </c>
      <c r="B22" s="8">
        <v>20</v>
      </c>
      <c r="D22">
        <v>978.00365764447997</v>
      </c>
      <c r="E22">
        <v>343.39209948793001</v>
      </c>
      <c r="F22">
        <v>138.93740795286999</v>
      </c>
      <c r="G22">
        <v>117.65095729012999</v>
      </c>
      <c r="I22" s="9">
        <f t="shared" si="1"/>
        <v>225.7411421978</v>
      </c>
      <c r="J22" s="9">
        <f t="shared" si="2"/>
        <v>839.06624969160998</v>
      </c>
      <c r="K22" s="9">
        <f t="shared" si="3"/>
        <v>225.7411421978</v>
      </c>
      <c r="L22" s="10">
        <f t="shared" si="0"/>
        <v>0.26903852023695246</v>
      </c>
      <c r="M22" s="10">
        <f t="shared" si="4"/>
        <v>0.27064929281785927</v>
      </c>
      <c r="P22" s="8">
        <f t="shared" si="5"/>
        <v>13.207000207323558</v>
      </c>
    </row>
    <row r="23" spans="1:16" x14ac:dyDescent="0.2">
      <c r="A23" s="8">
        <v>10.5</v>
      </c>
      <c r="B23" s="8">
        <v>21</v>
      </c>
      <c r="D23">
        <v>986.93185185184996</v>
      </c>
      <c r="E23">
        <v>342.74</v>
      </c>
      <c r="F23">
        <v>138.97569955816999</v>
      </c>
      <c r="G23">
        <v>118.10677466863</v>
      </c>
      <c r="I23" s="9">
        <f t="shared" si="1"/>
        <v>224.63322533137</v>
      </c>
      <c r="J23" s="9">
        <f t="shared" si="2"/>
        <v>847.95615229367991</v>
      </c>
      <c r="K23" s="9">
        <f t="shared" si="3"/>
        <v>224.63322533137</v>
      </c>
      <c r="L23" s="10">
        <f t="shared" si="0"/>
        <v>0.26491136920670733</v>
      </c>
      <c r="M23" s="10">
        <f t="shared" si="4"/>
        <v>0.26660268041665947</v>
      </c>
      <c r="P23" s="8">
        <f t="shared" si="5"/>
        <v>11.514385953016683</v>
      </c>
    </row>
    <row r="24" spans="1:16" x14ac:dyDescent="0.2">
      <c r="A24" s="8">
        <v>11</v>
      </c>
      <c r="B24" s="8">
        <v>22</v>
      </c>
      <c r="D24">
        <v>967.62740740741003</v>
      </c>
      <c r="E24">
        <v>334.92444444443998</v>
      </c>
      <c r="F24">
        <v>138.78645066274001</v>
      </c>
      <c r="G24">
        <v>117.67525773196</v>
      </c>
      <c r="I24" s="9">
        <f t="shared" si="1"/>
        <v>217.24918671247997</v>
      </c>
      <c r="J24" s="9">
        <f t="shared" si="2"/>
        <v>828.84095674467005</v>
      </c>
      <c r="K24" s="9">
        <f t="shared" si="3"/>
        <v>217.24918671247997</v>
      </c>
      <c r="L24" s="10">
        <f t="shared" si="0"/>
        <v>0.26211203119804927</v>
      </c>
      <c r="M24" s="10">
        <f t="shared" si="4"/>
        <v>0.26388388103704674</v>
      </c>
      <c r="P24" s="8">
        <f t="shared" si="5"/>
        <v>10.377168416894678</v>
      </c>
    </row>
    <row r="25" spans="1:16" x14ac:dyDescent="0.2">
      <c r="A25" s="8">
        <v>11.5</v>
      </c>
      <c r="B25" s="8">
        <v>23</v>
      </c>
      <c r="D25">
        <v>986.51575091575</v>
      </c>
      <c r="E25">
        <v>334.15677655678002</v>
      </c>
      <c r="F25">
        <v>139.49042709867999</v>
      </c>
      <c r="G25">
        <v>117.66273932253</v>
      </c>
      <c r="I25" s="9">
        <f t="shared" si="1"/>
        <v>216.49403723425002</v>
      </c>
      <c r="J25" s="9">
        <f t="shared" si="2"/>
        <v>847.02532381706999</v>
      </c>
      <c r="K25" s="9">
        <f t="shared" si="3"/>
        <v>216.49403723425002</v>
      </c>
      <c r="L25" s="10">
        <f t="shared" si="0"/>
        <v>0.25559334667661687</v>
      </c>
      <c r="M25" s="10">
        <f t="shared" si="4"/>
        <v>0.25744573514465968</v>
      </c>
      <c r="P25" s="8">
        <f t="shared" si="5"/>
        <v>7.684225177376458</v>
      </c>
    </row>
    <row r="26" spans="1:16" x14ac:dyDescent="0.2">
      <c r="A26" s="8">
        <v>12</v>
      </c>
      <c r="B26" s="8">
        <v>24</v>
      </c>
      <c r="D26">
        <v>1000.6402930403</v>
      </c>
      <c r="E26">
        <v>333.15091575091998</v>
      </c>
      <c r="F26">
        <v>139.23269513990999</v>
      </c>
      <c r="G26">
        <v>118.08321060383</v>
      </c>
      <c r="I26" s="9">
        <f t="shared" si="1"/>
        <v>215.06770514708998</v>
      </c>
      <c r="J26" s="9">
        <f t="shared" si="2"/>
        <v>861.40759790038999</v>
      </c>
      <c r="K26" s="9">
        <f t="shared" si="3"/>
        <v>215.06770514708998</v>
      </c>
      <c r="L26" s="10">
        <f t="shared" si="0"/>
        <v>0.24967008147049061</v>
      </c>
      <c r="M26" s="10">
        <f t="shared" si="4"/>
        <v>0.25160300856757878</v>
      </c>
      <c r="P26" s="8">
        <f t="shared" si="5"/>
        <v>5.2403335198872041</v>
      </c>
    </row>
    <row r="27" spans="1:16" x14ac:dyDescent="0.2">
      <c r="A27" s="8">
        <v>12.5</v>
      </c>
      <c r="B27" s="8">
        <v>25</v>
      </c>
      <c r="D27">
        <v>1005.8373626374</v>
      </c>
      <c r="E27">
        <v>330.64029304028998</v>
      </c>
      <c r="F27">
        <v>138.84756995582001</v>
      </c>
      <c r="G27">
        <v>118.30706921944</v>
      </c>
      <c r="I27" s="9">
        <f t="shared" si="1"/>
        <v>212.33322382084998</v>
      </c>
      <c r="J27" s="9">
        <f t="shared" si="2"/>
        <v>866.98979268157996</v>
      </c>
      <c r="K27" s="9">
        <f t="shared" si="3"/>
        <v>212.33322382084998</v>
      </c>
      <c r="L27" s="10">
        <f t="shared" si="0"/>
        <v>0.24490856249196208</v>
      </c>
      <c r="M27" s="10">
        <f t="shared" si="4"/>
        <v>0.24692202821809556</v>
      </c>
      <c r="P27" s="8">
        <f t="shared" si="5"/>
        <v>3.2823762761154702</v>
      </c>
    </row>
    <row r="28" spans="1:16" x14ac:dyDescent="0.2">
      <c r="A28" s="8">
        <v>13</v>
      </c>
      <c r="B28" s="8">
        <v>26</v>
      </c>
      <c r="D28">
        <v>1004.8244330651</v>
      </c>
      <c r="E28">
        <v>330.03438185808</v>
      </c>
      <c r="F28">
        <v>138.9175257732</v>
      </c>
      <c r="G28">
        <v>117.91605301915</v>
      </c>
      <c r="I28" s="9">
        <f t="shared" si="1"/>
        <v>212.11832883892998</v>
      </c>
      <c r="J28" s="9">
        <f t="shared" si="2"/>
        <v>865.9069072919001</v>
      </c>
      <c r="K28" s="9">
        <f t="shared" si="3"/>
        <v>212.11832883892998</v>
      </c>
      <c r="L28" s="10">
        <f t="shared" si="0"/>
        <v>0.24496666680061971</v>
      </c>
      <c r="M28" s="10">
        <f t="shared" si="4"/>
        <v>0.24706067115579855</v>
      </c>
      <c r="P28" s="8">
        <f t="shared" si="5"/>
        <v>3.3403677488212544</v>
      </c>
    </row>
    <row r="29" spans="1:16" x14ac:dyDescent="0.2">
      <c r="A29" s="8">
        <v>13.5</v>
      </c>
      <c r="B29" s="8">
        <v>27</v>
      </c>
      <c r="D29">
        <v>979.16301169590997</v>
      </c>
      <c r="E29">
        <v>326.18347953215999</v>
      </c>
      <c r="F29">
        <v>139.09425625921</v>
      </c>
      <c r="G29">
        <v>117.98011782032</v>
      </c>
      <c r="I29" s="9">
        <f t="shared" si="1"/>
        <v>208.20336171183999</v>
      </c>
      <c r="J29" s="9">
        <f t="shared" si="2"/>
        <v>840.06875543670003</v>
      </c>
      <c r="K29" s="9">
        <f t="shared" si="3"/>
        <v>208.20336171183999</v>
      </c>
      <c r="L29" s="10">
        <f t="shared" si="0"/>
        <v>0.24784085869686687</v>
      </c>
      <c r="M29" s="10">
        <f t="shared" si="4"/>
        <v>0.25001540168109104</v>
      </c>
      <c r="P29" s="8">
        <f t="shared" si="5"/>
        <v>4.5762704024242726</v>
      </c>
    </row>
    <row r="30" spans="1:16" x14ac:dyDescent="0.2">
      <c r="A30" s="8">
        <v>14</v>
      </c>
      <c r="B30" s="8">
        <v>28</v>
      </c>
      <c r="D30">
        <v>951.97297297296996</v>
      </c>
      <c r="E30">
        <v>320.07450693937</v>
      </c>
      <c r="F30">
        <v>138.60751104566</v>
      </c>
      <c r="G30">
        <v>117.92488954345001</v>
      </c>
      <c r="I30" s="9">
        <f t="shared" si="1"/>
        <v>202.14961739591999</v>
      </c>
      <c r="J30" s="9">
        <f t="shared" si="2"/>
        <v>813.36546192730998</v>
      </c>
      <c r="K30" s="9">
        <f t="shared" si="3"/>
        <v>202.14961739591999</v>
      </c>
      <c r="L30" s="10">
        <f t="shared" si="0"/>
        <v>0.24853479383906515</v>
      </c>
      <c r="M30" s="10">
        <f t="shared" si="4"/>
        <v>0.25078987545233467</v>
      </c>
      <c r="P30" s="8">
        <f t="shared" si="5"/>
        <v>4.9002167592349926</v>
      </c>
    </row>
    <row r="31" spans="1:16" x14ac:dyDescent="0.2">
      <c r="A31" s="8">
        <v>14.5</v>
      </c>
      <c r="B31" s="8">
        <v>29</v>
      </c>
      <c r="D31">
        <v>910.45945945946005</v>
      </c>
      <c r="E31">
        <v>310.38787436084999</v>
      </c>
      <c r="F31">
        <v>139.12150220913</v>
      </c>
      <c r="G31">
        <v>118.30559646539</v>
      </c>
      <c r="I31" s="9">
        <f t="shared" si="1"/>
        <v>192.08227789545998</v>
      </c>
      <c r="J31" s="9">
        <f t="shared" si="2"/>
        <v>771.33795725033008</v>
      </c>
      <c r="K31" s="9">
        <f t="shared" si="3"/>
        <v>192.08227789545998</v>
      </c>
      <c r="L31" s="10">
        <f t="shared" si="0"/>
        <v>0.24902479657580442</v>
      </c>
      <c r="M31" s="10">
        <f t="shared" si="4"/>
        <v>0.25136041681811927</v>
      </c>
      <c r="P31" s="8">
        <f t="shared" si="5"/>
        <v>5.1388624096344255</v>
      </c>
    </row>
    <row r="32" spans="1:16" x14ac:dyDescent="0.2">
      <c r="A32" s="8">
        <v>15</v>
      </c>
      <c r="B32" s="8">
        <v>30</v>
      </c>
      <c r="D32">
        <v>874.20014609203997</v>
      </c>
      <c r="E32">
        <v>303.58582907232</v>
      </c>
      <c r="F32">
        <v>138.86966126657001</v>
      </c>
      <c r="G32">
        <v>117.84388807069</v>
      </c>
      <c r="I32" s="9">
        <f t="shared" si="1"/>
        <v>185.74194100162998</v>
      </c>
      <c r="J32" s="9">
        <f t="shared" si="2"/>
        <v>735.33048482546997</v>
      </c>
      <c r="K32" s="9">
        <f t="shared" si="3"/>
        <v>185.74194100162998</v>
      </c>
      <c r="L32" s="10">
        <f t="shared" si="0"/>
        <v>0.25259654649802216</v>
      </c>
      <c r="M32" s="10">
        <f t="shared" si="4"/>
        <v>0.25501270536938236</v>
      </c>
      <c r="P32" s="8">
        <f t="shared" si="5"/>
        <v>6.6665391549725284</v>
      </c>
    </row>
    <row r="33" spans="1:16" x14ac:dyDescent="0.2">
      <c r="A33" s="8">
        <v>15.5</v>
      </c>
      <c r="B33" s="8">
        <v>31</v>
      </c>
      <c r="D33">
        <v>870.28853177502003</v>
      </c>
      <c r="E33">
        <v>300.14682249817002</v>
      </c>
      <c r="F33">
        <v>138.9558173785</v>
      </c>
      <c r="G33">
        <v>117.53608247423</v>
      </c>
      <c r="I33" s="9">
        <f t="shared" si="1"/>
        <v>182.61074002394002</v>
      </c>
      <c r="J33" s="9">
        <f t="shared" si="2"/>
        <v>731.33271439652003</v>
      </c>
      <c r="K33" s="9">
        <f t="shared" si="3"/>
        <v>182.61074002394002</v>
      </c>
      <c r="L33" s="10">
        <f t="shared" si="0"/>
        <v>0.24969584489957689</v>
      </c>
      <c r="M33" s="10">
        <f t="shared" si="4"/>
        <v>0.2521925423999824</v>
      </c>
      <c r="P33" s="8">
        <f t="shared" si="5"/>
        <v>5.4869233261722519</v>
      </c>
    </row>
    <row r="34" spans="1:16" x14ac:dyDescent="0.2">
      <c r="A34" s="8">
        <v>16</v>
      </c>
      <c r="B34" s="8">
        <v>32</v>
      </c>
      <c r="D34">
        <v>958.66936076414004</v>
      </c>
      <c r="E34">
        <v>309.75385745774997</v>
      </c>
      <c r="F34">
        <v>139.02724594993001</v>
      </c>
      <c r="G34">
        <v>117.9204712813</v>
      </c>
      <c r="I34" s="9">
        <f t="shared" si="1"/>
        <v>191.83338617644998</v>
      </c>
      <c r="J34" s="9">
        <f t="shared" si="2"/>
        <v>819.64211481421</v>
      </c>
      <c r="K34" s="9">
        <f t="shared" si="3"/>
        <v>191.83338617644998</v>
      </c>
      <c r="L34" s="10">
        <f t="shared" si="0"/>
        <v>0.23404530185705899</v>
      </c>
      <c r="M34" s="10">
        <f t="shared" si="4"/>
        <v>0.23662253798650987</v>
      </c>
      <c r="P34" s="8">
        <f t="shared" si="5"/>
        <v>-1.0256874200535864</v>
      </c>
    </row>
    <row r="35" spans="1:16" x14ac:dyDescent="0.2">
      <c r="A35" s="8">
        <v>16.5</v>
      </c>
      <c r="B35" s="8">
        <v>33</v>
      </c>
      <c r="D35">
        <v>1050.0125091979</v>
      </c>
      <c r="E35">
        <v>328.40323767476002</v>
      </c>
      <c r="F35">
        <v>139.47349042709999</v>
      </c>
      <c r="G35">
        <v>118.15463917526</v>
      </c>
      <c r="I35" s="9">
        <f t="shared" si="1"/>
        <v>210.24859849950002</v>
      </c>
      <c r="J35" s="9">
        <f t="shared" si="2"/>
        <v>910.53901877080011</v>
      </c>
      <c r="K35" s="9">
        <f t="shared" si="3"/>
        <v>210.24859849950002</v>
      </c>
      <c r="L35" s="10">
        <f t="shared" si="0"/>
        <v>0.23090564398143992</v>
      </c>
      <c r="M35" s="10">
        <f t="shared" si="4"/>
        <v>0.23356341873993614</v>
      </c>
      <c r="P35" s="8">
        <f t="shared" si="5"/>
        <v>-2.3052537162572908</v>
      </c>
    </row>
    <row r="36" spans="1:16" x14ac:dyDescent="0.2">
      <c r="A36" s="8">
        <v>17</v>
      </c>
      <c r="B36" s="8">
        <v>34</v>
      </c>
      <c r="D36">
        <v>1074.2140221402001</v>
      </c>
      <c r="E36">
        <v>335.51291512914997</v>
      </c>
      <c r="F36">
        <v>138.39543446245</v>
      </c>
      <c r="G36">
        <v>117.9764359352</v>
      </c>
      <c r="I36" s="9">
        <f t="shared" si="1"/>
        <v>217.53647919394996</v>
      </c>
      <c r="J36" s="9">
        <f t="shared" si="2"/>
        <v>935.81858767775009</v>
      </c>
      <c r="K36" s="9">
        <f t="shared" si="3"/>
        <v>217.53647919394996</v>
      </c>
      <c r="L36" s="10">
        <f t="shared" si="0"/>
        <v>0.23245582216289429</v>
      </c>
      <c r="M36" s="10">
        <f t="shared" si="4"/>
        <v>0.23519413555043583</v>
      </c>
      <c r="P36" s="8">
        <f t="shared" si="5"/>
        <v>-1.6231586094041472</v>
      </c>
    </row>
    <row r="37" spans="1:16" x14ac:dyDescent="0.2">
      <c r="A37" s="8">
        <v>17.5</v>
      </c>
      <c r="B37" s="8">
        <v>35</v>
      </c>
      <c r="D37">
        <v>1095.2201027146</v>
      </c>
      <c r="E37">
        <v>338.04475421863998</v>
      </c>
      <c r="F37">
        <v>139.14138438881</v>
      </c>
      <c r="G37">
        <v>117.9970544919</v>
      </c>
      <c r="I37" s="9">
        <f t="shared" si="1"/>
        <v>220.04769972673998</v>
      </c>
      <c r="J37" s="9">
        <f t="shared" si="2"/>
        <v>956.07871832578996</v>
      </c>
      <c r="K37" s="9">
        <f t="shared" si="3"/>
        <v>220.04769972673998</v>
      </c>
      <c r="L37" s="10">
        <f t="shared" si="0"/>
        <v>0.23015646673118115</v>
      </c>
      <c r="M37" s="10">
        <f t="shared" si="4"/>
        <v>0.23297531874776803</v>
      </c>
      <c r="P37" s="8">
        <f t="shared" si="5"/>
        <v>-2.5512437768339744</v>
      </c>
    </row>
    <row r="38" spans="1:16" x14ac:dyDescent="0.2">
      <c r="A38" s="8">
        <v>18</v>
      </c>
      <c r="B38" s="8">
        <v>36</v>
      </c>
      <c r="D38">
        <v>1101.9083577713</v>
      </c>
      <c r="E38">
        <v>339.77712609971002</v>
      </c>
      <c r="F38">
        <v>139.40058910162</v>
      </c>
      <c r="G38">
        <v>117.56995581738001</v>
      </c>
      <c r="I38" s="9">
        <f t="shared" si="1"/>
        <v>222.20717028233003</v>
      </c>
      <c r="J38" s="9">
        <f t="shared" si="2"/>
        <v>962.50776866967999</v>
      </c>
      <c r="K38" s="9">
        <f t="shared" si="3"/>
        <v>222.20717028233003</v>
      </c>
      <c r="L38" s="10">
        <f t="shared" si="0"/>
        <v>0.23086272912835948</v>
      </c>
      <c r="M38" s="10">
        <f t="shared" si="4"/>
        <v>0.23376211977399169</v>
      </c>
      <c r="P38" s="8">
        <f t="shared" si="5"/>
        <v>-2.2221411842815972</v>
      </c>
    </row>
    <row r="39" spans="1:16" x14ac:dyDescent="0.2">
      <c r="A39" s="8">
        <v>18.5</v>
      </c>
      <c r="B39" s="8">
        <v>37</v>
      </c>
      <c r="D39">
        <v>1076.2096774193999</v>
      </c>
      <c r="E39">
        <v>333.74780058650998</v>
      </c>
      <c r="F39">
        <v>138.87702503681999</v>
      </c>
      <c r="G39">
        <v>117.96023564065</v>
      </c>
      <c r="I39" s="9">
        <f t="shared" si="1"/>
        <v>215.78756494585997</v>
      </c>
      <c r="J39" s="9">
        <f t="shared" si="2"/>
        <v>937.33265238257991</v>
      </c>
      <c r="K39" s="9">
        <f t="shared" si="3"/>
        <v>215.78756494585997</v>
      </c>
      <c r="L39" s="10">
        <f t="shared" si="0"/>
        <v>0.23021449684629627</v>
      </c>
      <c r="M39" s="10">
        <f t="shared" si="4"/>
        <v>0.23319442612097385</v>
      </c>
      <c r="P39" s="8">
        <f t="shared" si="5"/>
        <v>-2.4595956953419211</v>
      </c>
    </row>
    <row r="40" spans="1:16" x14ac:dyDescent="0.2">
      <c r="A40" s="8">
        <v>19</v>
      </c>
      <c r="B40" s="8">
        <v>38</v>
      </c>
      <c r="D40">
        <v>1073.541727672</v>
      </c>
      <c r="E40">
        <v>332.15153733529002</v>
      </c>
      <c r="F40">
        <v>139.08983799705999</v>
      </c>
      <c r="G40">
        <v>117.86745213549</v>
      </c>
      <c r="I40" s="9">
        <f t="shared" si="1"/>
        <v>214.28408519980002</v>
      </c>
      <c r="J40" s="9">
        <f t="shared" si="2"/>
        <v>934.45188967494005</v>
      </c>
      <c r="K40" s="9">
        <f t="shared" si="3"/>
        <v>214.28408519980002</v>
      </c>
      <c r="L40" s="10">
        <f t="shared" si="0"/>
        <v>0.22931526766385077</v>
      </c>
      <c r="M40" s="10">
        <f t="shared" si="4"/>
        <v>0.23237573556757368</v>
      </c>
      <c r="P40" s="8">
        <f t="shared" si="5"/>
        <v>-2.8020370174069278</v>
      </c>
    </row>
    <row r="41" spans="1:16" x14ac:dyDescent="0.2">
      <c r="A41" s="8">
        <v>19.5</v>
      </c>
      <c r="B41" s="8">
        <v>39</v>
      </c>
      <c r="D41">
        <v>1061.7086383602</v>
      </c>
      <c r="E41">
        <v>329.16910688141002</v>
      </c>
      <c r="F41">
        <v>139.40132547864999</v>
      </c>
      <c r="G41">
        <v>117.75552282769</v>
      </c>
      <c r="I41" s="9">
        <f t="shared" si="1"/>
        <v>211.41358405372</v>
      </c>
      <c r="J41" s="9">
        <f t="shared" si="2"/>
        <v>922.30731288154993</v>
      </c>
      <c r="K41" s="9">
        <f t="shared" si="3"/>
        <v>211.41358405372</v>
      </c>
      <c r="L41" s="10">
        <f t="shared" si="0"/>
        <v>0.22922249569203126</v>
      </c>
      <c r="M41" s="10">
        <f t="shared" si="4"/>
        <v>0.23236350222479951</v>
      </c>
      <c r="P41" s="8">
        <f t="shared" si="5"/>
        <v>-2.8071539716156493</v>
      </c>
    </row>
    <row r="42" spans="1:16" x14ac:dyDescent="0.2">
      <c r="A42" s="8">
        <v>20</v>
      </c>
      <c r="B42" s="8">
        <v>40</v>
      </c>
      <c r="D42">
        <v>1036.3667642753001</v>
      </c>
      <c r="E42">
        <v>324.27525622255001</v>
      </c>
      <c r="F42">
        <v>139.15611192930999</v>
      </c>
      <c r="G42">
        <v>117.82474226804</v>
      </c>
      <c r="I42" s="9">
        <f t="shared" si="1"/>
        <v>206.45051395451003</v>
      </c>
      <c r="J42" s="9">
        <f t="shared" si="2"/>
        <v>897.21065234599007</v>
      </c>
      <c r="K42" s="9">
        <f t="shared" si="3"/>
        <v>206.45051395451003</v>
      </c>
      <c r="L42" s="10">
        <f t="shared" si="0"/>
        <v>0.23010261125934203</v>
      </c>
      <c r="M42" s="10">
        <f t="shared" si="4"/>
        <v>0.23332415642115562</v>
      </c>
      <c r="P42" s="8">
        <f t="shared" si="5"/>
        <v>-2.4053321945336754</v>
      </c>
    </row>
    <row r="43" spans="1:16" x14ac:dyDescent="0.2">
      <c r="A43" s="8">
        <v>20.5</v>
      </c>
      <c r="B43" s="8">
        <v>41</v>
      </c>
      <c r="D43">
        <v>1033.2079062958001</v>
      </c>
      <c r="E43">
        <v>323.22986822839999</v>
      </c>
      <c r="F43">
        <v>139.36892488954001</v>
      </c>
      <c r="G43">
        <v>117.66789396171001</v>
      </c>
      <c r="I43" s="9">
        <f t="shared" si="1"/>
        <v>205.56197426668999</v>
      </c>
      <c r="J43" s="9">
        <f t="shared" si="2"/>
        <v>893.83898140626002</v>
      </c>
      <c r="K43" s="9">
        <f t="shared" si="3"/>
        <v>205.56197426668999</v>
      </c>
      <c r="L43" s="10">
        <f t="shared" si="0"/>
        <v>0.22997651539350322</v>
      </c>
      <c r="M43" s="10">
        <f t="shared" si="4"/>
        <v>0.23327859918436214</v>
      </c>
      <c r="P43" s="8">
        <f t="shared" si="5"/>
        <v>-2.4243878442323239</v>
      </c>
    </row>
    <row r="44" spans="1:16" x14ac:dyDescent="0.2">
      <c r="A44" s="8">
        <v>21</v>
      </c>
      <c r="B44" s="8">
        <v>42</v>
      </c>
      <c r="D44">
        <v>1032.7035139092</v>
      </c>
      <c r="E44">
        <v>320.54612005857001</v>
      </c>
      <c r="F44">
        <v>139.0029455081</v>
      </c>
      <c r="G44">
        <v>118.37113402062</v>
      </c>
      <c r="I44" s="9">
        <f t="shared" si="1"/>
        <v>202.17498603795002</v>
      </c>
      <c r="J44" s="9">
        <f t="shared" si="2"/>
        <v>893.70056840109999</v>
      </c>
      <c r="K44" s="9">
        <f t="shared" si="3"/>
        <v>202.17498603795002</v>
      </c>
      <c r="L44" s="10">
        <f t="shared" si="0"/>
        <v>0.2262222865088436</v>
      </c>
      <c r="M44" s="10">
        <f t="shared" si="4"/>
        <v>0.22960490892874785</v>
      </c>
      <c r="P44" s="8">
        <f t="shared" si="5"/>
        <v>-3.9610164797590079</v>
      </c>
    </row>
    <row r="45" spans="1:16" x14ac:dyDescent="0.2">
      <c r="A45" s="8">
        <v>21.5</v>
      </c>
      <c r="B45" s="8">
        <v>43</v>
      </c>
      <c r="D45">
        <v>1070.3286969252999</v>
      </c>
      <c r="E45">
        <v>327.29502196192999</v>
      </c>
      <c r="F45">
        <v>138.67746686302999</v>
      </c>
      <c r="G45">
        <v>117.73564064801</v>
      </c>
      <c r="I45" s="9">
        <f t="shared" si="1"/>
        <v>209.55938131391997</v>
      </c>
      <c r="J45" s="9">
        <f t="shared" si="2"/>
        <v>931.65123006226997</v>
      </c>
      <c r="K45" s="9">
        <f t="shared" si="3"/>
        <v>209.55938131391997</v>
      </c>
      <c r="L45" s="10">
        <f t="shared" si="0"/>
        <v>0.22493329537053622</v>
      </c>
      <c r="M45" s="10">
        <f t="shared" si="4"/>
        <v>0.22839645641948583</v>
      </c>
      <c r="P45" s="8">
        <f t="shared" si="5"/>
        <v>-4.4664871648741284</v>
      </c>
    </row>
    <row r="46" spans="1:16" x14ac:dyDescent="0.2">
      <c r="A46" s="8">
        <v>22</v>
      </c>
      <c r="B46" s="8">
        <v>44</v>
      </c>
      <c r="D46">
        <v>1069.7525622255</v>
      </c>
      <c r="E46">
        <v>328.80527086384001</v>
      </c>
      <c r="F46">
        <v>138.90574374080001</v>
      </c>
      <c r="G46">
        <v>117.58026509573</v>
      </c>
      <c r="I46" s="9">
        <f t="shared" si="1"/>
        <v>211.22500576811001</v>
      </c>
      <c r="J46" s="9">
        <f t="shared" si="2"/>
        <v>930.84681848469995</v>
      </c>
      <c r="K46" s="9">
        <f t="shared" si="3"/>
        <v>211.22500576811001</v>
      </c>
      <c r="L46" s="10">
        <f t="shared" si="0"/>
        <v>0.22691704110022895</v>
      </c>
      <c r="M46" s="10">
        <f t="shared" si="4"/>
        <v>0.2304607407782239</v>
      </c>
      <c r="P46" s="8">
        <f t="shared" si="5"/>
        <v>-3.6030397218952031</v>
      </c>
    </row>
    <row r="47" spans="1:16" x14ac:dyDescent="0.2">
      <c r="A47" s="8">
        <v>22.5</v>
      </c>
      <c r="B47" s="8">
        <v>45</v>
      </c>
      <c r="D47">
        <v>1066.7569955817</v>
      </c>
      <c r="E47">
        <v>328.62812960235999</v>
      </c>
      <c r="F47">
        <v>138.98600883652</v>
      </c>
      <c r="G47">
        <v>117.99116347570001</v>
      </c>
      <c r="I47" s="9">
        <f t="shared" si="1"/>
        <v>210.63696612665998</v>
      </c>
      <c r="J47" s="9">
        <f t="shared" si="2"/>
        <v>927.77098674518004</v>
      </c>
      <c r="K47" s="9">
        <f t="shared" si="3"/>
        <v>210.63696612665998</v>
      </c>
      <c r="L47" s="10">
        <f t="shared" si="0"/>
        <v>0.22703551753177767</v>
      </c>
      <c r="M47" s="10">
        <f t="shared" si="4"/>
        <v>0.23065975583881795</v>
      </c>
      <c r="P47" s="8">
        <f t="shared" si="5"/>
        <v>-3.5197958391147899</v>
      </c>
    </row>
    <row r="48" spans="1:16" x14ac:dyDescent="0.2">
      <c r="A48" s="8">
        <v>23</v>
      </c>
      <c r="B48" s="8">
        <v>46</v>
      </c>
      <c r="D48">
        <v>1103.7798232695</v>
      </c>
      <c r="E48">
        <v>335.87628865979002</v>
      </c>
      <c r="F48">
        <v>138.95066273931999</v>
      </c>
      <c r="G48">
        <v>117.81296023564001</v>
      </c>
      <c r="I48" s="9">
        <f t="shared" si="1"/>
        <v>218.06332842415003</v>
      </c>
      <c r="J48" s="9">
        <f t="shared" si="2"/>
        <v>964.82916053017993</v>
      </c>
      <c r="K48" s="9">
        <f t="shared" si="3"/>
        <v>218.06332842415003</v>
      </c>
      <c r="L48" s="10">
        <f t="shared" si="0"/>
        <v>0.22601237332454049</v>
      </c>
      <c r="M48" s="10">
        <f t="shared" si="4"/>
        <v>0.22971715026062611</v>
      </c>
      <c r="P48" s="8">
        <f t="shared" si="5"/>
        <v>-3.9140682525941819</v>
      </c>
    </row>
    <row r="49" spans="1:25" x14ac:dyDescent="0.2">
      <c r="A49" s="8">
        <v>23.5</v>
      </c>
      <c r="B49" s="8">
        <v>47</v>
      </c>
      <c r="D49">
        <v>1105.3569343065999</v>
      </c>
      <c r="E49">
        <v>332.87007299269999</v>
      </c>
      <c r="F49">
        <v>139.28424153166</v>
      </c>
      <c r="G49">
        <v>117.50515463918001</v>
      </c>
      <c r="I49" s="9">
        <f t="shared" si="1"/>
        <v>215.36491835351998</v>
      </c>
      <c r="J49" s="9">
        <f t="shared" si="2"/>
        <v>966.07269277493992</v>
      </c>
      <c r="K49" s="9">
        <f t="shared" si="3"/>
        <v>215.36491835351998</v>
      </c>
      <c r="L49" s="10">
        <f t="shared" si="0"/>
        <v>0.22292827440853069</v>
      </c>
      <c r="M49" s="10">
        <f t="shared" si="4"/>
        <v>0.22671358997366164</v>
      </c>
      <c r="P49" s="8">
        <f t="shared" si="5"/>
        <v>-5.1703953853531202</v>
      </c>
    </row>
    <row r="50" spans="1:25" x14ac:dyDescent="0.2">
      <c r="A50" s="8">
        <v>24</v>
      </c>
      <c r="B50" s="8">
        <v>48</v>
      </c>
      <c r="D50">
        <v>1114.2102189781001</v>
      </c>
      <c r="E50">
        <v>333.98175182481998</v>
      </c>
      <c r="F50">
        <v>139.59425625921</v>
      </c>
      <c r="G50">
        <v>118.00957290133</v>
      </c>
      <c r="I50" s="9">
        <f t="shared" si="1"/>
        <v>215.97217892348999</v>
      </c>
      <c r="J50" s="9">
        <f t="shared" si="2"/>
        <v>974.61596271889016</v>
      </c>
      <c r="K50" s="9">
        <f t="shared" si="3"/>
        <v>215.97217892348999</v>
      </c>
      <c r="L50" s="10">
        <f t="shared" si="0"/>
        <v>0.22159721078340591</v>
      </c>
      <c r="M50" s="10">
        <f t="shared" si="4"/>
        <v>0.22546306497758223</v>
      </c>
      <c r="P50" s="8">
        <f t="shared" si="5"/>
        <v>-5.6934641213416448</v>
      </c>
    </row>
    <row r="51" spans="1:25" x14ac:dyDescent="0.2">
      <c r="A51" s="8">
        <v>24.5</v>
      </c>
      <c r="B51" s="8">
        <v>49</v>
      </c>
      <c r="D51">
        <v>1131.5430656934</v>
      </c>
      <c r="E51">
        <v>338.29635036496001</v>
      </c>
      <c r="F51">
        <v>139.51988217968</v>
      </c>
      <c r="G51">
        <v>117.67746686303001</v>
      </c>
      <c r="I51" s="9">
        <f t="shared" si="1"/>
        <v>220.61888350192999</v>
      </c>
      <c r="J51" s="9">
        <f t="shared" si="2"/>
        <v>992.02318351371991</v>
      </c>
      <c r="K51" s="9">
        <f t="shared" si="3"/>
        <v>220.61888350192999</v>
      </c>
      <c r="L51" s="10">
        <f t="shared" si="0"/>
        <v>0.22239287061871249</v>
      </c>
      <c r="M51" s="10">
        <f t="shared" si="4"/>
        <v>0.22633926344193414</v>
      </c>
      <c r="P51" s="8">
        <f t="shared" si="5"/>
        <v>-5.3269684298036761</v>
      </c>
    </row>
    <row r="52" spans="1:25" x14ac:dyDescent="0.2">
      <c r="A52" s="8">
        <v>25</v>
      </c>
      <c r="B52" s="8">
        <v>50</v>
      </c>
      <c r="D52">
        <v>1119.2708029196999</v>
      </c>
      <c r="E52">
        <v>337.70437956204</v>
      </c>
      <c r="F52">
        <v>139.28350515464001</v>
      </c>
      <c r="G52">
        <v>117.73343151694</v>
      </c>
      <c r="I52" s="9">
        <f t="shared" si="1"/>
        <v>219.97094804509999</v>
      </c>
      <c r="J52" s="9">
        <f t="shared" si="2"/>
        <v>979.98729776505991</v>
      </c>
      <c r="K52" s="9">
        <f t="shared" si="3"/>
        <v>219.97094804509999</v>
      </c>
      <c r="L52" s="10">
        <f t="shared" si="0"/>
        <v>0.22446306043635614</v>
      </c>
      <c r="M52" s="10">
        <f t="shared" si="4"/>
        <v>0.22848999188862312</v>
      </c>
      <c r="P52" s="8">
        <f t="shared" si="5"/>
        <v>-4.4273632131217644</v>
      </c>
    </row>
    <row r="53" spans="1:25" x14ac:dyDescent="0.2">
      <c r="A53" s="8">
        <v>25.5</v>
      </c>
      <c r="B53" s="8">
        <v>51</v>
      </c>
      <c r="D53">
        <v>1103.8883211678999</v>
      </c>
      <c r="E53">
        <v>334.56861313869001</v>
      </c>
      <c r="F53">
        <v>139.75920471281</v>
      </c>
      <c r="G53">
        <v>117.85640648012</v>
      </c>
      <c r="I53" s="9">
        <f t="shared" si="1"/>
        <v>216.71220665857001</v>
      </c>
      <c r="J53" s="9">
        <f t="shared" si="2"/>
        <v>964.12911645508984</v>
      </c>
      <c r="K53" s="9">
        <f t="shared" si="3"/>
        <v>216.71220665857001</v>
      </c>
      <c r="L53" s="10">
        <f t="shared" si="0"/>
        <v>0.22477508765151447</v>
      </c>
      <c r="M53" s="10">
        <f t="shared" si="4"/>
        <v>0.22888255773282679</v>
      </c>
      <c r="P53" s="8">
        <f t="shared" si="5"/>
        <v>-4.2631610415828938</v>
      </c>
      <c r="S53" s="11"/>
      <c r="U53" s="12"/>
    </row>
    <row r="54" spans="1:25" x14ac:dyDescent="0.2">
      <c r="A54" s="8">
        <v>26</v>
      </c>
      <c r="B54" s="8">
        <v>52</v>
      </c>
      <c r="D54">
        <v>1085.8313868613</v>
      </c>
      <c r="E54">
        <v>331.68321167882999</v>
      </c>
      <c r="F54">
        <v>139.27614138439</v>
      </c>
      <c r="G54">
        <v>118.06995581738001</v>
      </c>
      <c r="I54" s="9">
        <f t="shared" si="1"/>
        <v>213.61325586145</v>
      </c>
      <c r="J54" s="9">
        <f t="shared" si="2"/>
        <v>946.55524547690993</v>
      </c>
      <c r="K54" s="9">
        <f t="shared" si="3"/>
        <v>213.61325586145</v>
      </c>
      <c r="L54" s="10">
        <f t="shared" si="0"/>
        <v>0.22567436700836585</v>
      </c>
      <c r="M54" s="10">
        <f t="shared" si="4"/>
        <v>0.22986237571872351</v>
      </c>
      <c r="P54" s="8">
        <f t="shared" si="5"/>
        <v>-3.8533234477813934</v>
      </c>
      <c r="S54" s="11"/>
    </row>
    <row r="55" spans="1:25" x14ac:dyDescent="0.2">
      <c r="A55" s="8">
        <v>26.5</v>
      </c>
      <c r="B55" s="8">
        <v>53</v>
      </c>
      <c r="D55">
        <v>1080.6971935007</v>
      </c>
      <c r="E55">
        <v>331.79911373708001</v>
      </c>
      <c r="F55">
        <v>139.68409425626001</v>
      </c>
      <c r="G55">
        <v>117.91826215022</v>
      </c>
      <c r="I55" s="9">
        <f t="shared" si="1"/>
        <v>213.88085158685999</v>
      </c>
      <c r="J55" s="9">
        <f t="shared" si="2"/>
        <v>941.01309924444001</v>
      </c>
      <c r="K55" s="9">
        <f t="shared" si="3"/>
        <v>213.88085158685999</v>
      </c>
      <c r="L55" s="10">
        <f t="shared" si="0"/>
        <v>0.22728785790398626</v>
      </c>
      <c r="M55" s="10">
        <f t="shared" si="4"/>
        <v>0.23155640524338925</v>
      </c>
      <c r="P55" s="8">
        <f t="shared" si="5"/>
        <v>-3.1447459423559212</v>
      </c>
      <c r="S55" s="11"/>
    </row>
    <row r="56" spans="1:25" x14ac:dyDescent="0.2">
      <c r="A56" s="8">
        <v>27</v>
      </c>
      <c r="B56" s="8">
        <v>54</v>
      </c>
      <c r="D56">
        <v>1048.7116519174001</v>
      </c>
      <c r="E56">
        <v>327.37168141593003</v>
      </c>
      <c r="F56">
        <v>139.36966126657001</v>
      </c>
      <c r="G56">
        <v>118.06332842415</v>
      </c>
      <c r="I56" s="9">
        <f t="shared" si="1"/>
        <v>209.30835299178003</v>
      </c>
      <c r="J56" s="9">
        <f t="shared" si="2"/>
        <v>909.3419906508301</v>
      </c>
      <c r="K56" s="9">
        <f t="shared" si="3"/>
        <v>209.30835299178003</v>
      </c>
      <c r="L56" s="10">
        <f t="shared" si="0"/>
        <v>0.23017561615292262</v>
      </c>
      <c r="M56" s="10">
        <f t="shared" si="4"/>
        <v>0.23452470212137097</v>
      </c>
      <c r="P56" s="8">
        <f t="shared" si="5"/>
        <v>-1.9031687640729666</v>
      </c>
      <c r="S56" s="11"/>
    </row>
    <row r="57" spans="1:25" x14ac:dyDescent="0.2">
      <c r="A57" s="8">
        <v>27.5</v>
      </c>
      <c r="B57" s="8">
        <v>55</v>
      </c>
      <c r="D57">
        <v>1055.3407079645999</v>
      </c>
      <c r="E57">
        <v>329.52728613569002</v>
      </c>
      <c r="F57">
        <v>139.35787923417001</v>
      </c>
      <c r="G57">
        <v>118.17673048601</v>
      </c>
      <c r="I57" s="9">
        <f t="shared" si="1"/>
        <v>211.35055564968002</v>
      </c>
      <c r="J57" s="9">
        <f t="shared" si="2"/>
        <v>915.9828287304299</v>
      </c>
      <c r="K57" s="9">
        <f t="shared" si="3"/>
        <v>211.35055564968002</v>
      </c>
      <c r="L57" s="10">
        <f t="shared" si="0"/>
        <v>0.23073637301980432</v>
      </c>
      <c r="M57" s="10">
        <f t="shared" si="4"/>
        <v>0.23516599761729801</v>
      </c>
      <c r="P57" s="8">
        <f t="shared" si="5"/>
        <v>-1.6349281247404073</v>
      </c>
      <c r="S57" s="11"/>
    </row>
    <row r="58" spans="1:25" x14ac:dyDescent="0.2">
      <c r="A58" s="8">
        <v>28</v>
      </c>
      <c r="B58" s="8">
        <v>56</v>
      </c>
      <c r="D58">
        <v>1008.052359882</v>
      </c>
      <c r="E58">
        <v>320.87684365782002</v>
      </c>
      <c r="F58">
        <v>139.91384388807001</v>
      </c>
      <c r="G58">
        <v>117.65611192931</v>
      </c>
      <c r="I58" s="9">
        <f t="shared" si="1"/>
        <v>203.22073172851003</v>
      </c>
      <c r="J58" s="9">
        <f t="shared" si="2"/>
        <v>868.13851599393001</v>
      </c>
      <c r="K58" s="9">
        <f t="shared" si="3"/>
        <v>203.22073172851003</v>
      </c>
      <c r="L58" s="10">
        <f t="shared" si="0"/>
        <v>0.2340879110700935</v>
      </c>
      <c r="M58" s="10">
        <f t="shared" si="4"/>
        <v>0.23859807429663252</v>
      </c>
      <c r="P58" s="8">
        <f t="shared" si="5"/>
        <v>-0.19936144986109203</v>
      </c>
      <c r="S58" s="11"/>
    </row>
    <row r="59" spans="1:25" x14ac:dyDescent="0.2">
      <c r="A59" s="8">
        <v>28.5</v>
      </c>
      <c r="B59" s="8">
        <v>57</v>
      </c>
      <c r="D59">
        <v>1030.9151917403999</v>
      </c>
      <c r="E59">
        <v>326.29424778761</v>
      </c>
      <c r="F59">
        <v>140.06701030927999</v>
      </c>
      <c r="G59">
        <v>117.90206185567</v>
      </c>
      <c r="I59" s="9">
        <f t="shared" si="1"/>
        <v>208.39218593193999</v>
      </c>
      <c r="J59" s="9">
        <f t="shared" si="2"/>
        <v>890.84818143111988</v>
      </c>
      <c r="K59" s="9">
        <f t="shared" si="3"/>
        <v>208.39218593193999</v>
      </c>
      <c r="L59" s="10">
        <f t="shared" si="0"/>
        <v>0.2339255894277793</v>
      </c>
      <c r="M59" s="10">
        <f t="shared" si="4"/>
        <v>0.23851629128336366</v>
      </c>
      <c r="P59" s="8">
        <f t="shared" si="5"/>
        <v>-0.23356959244919809</v>
      </c>
      <c r="R59" s="1"/>
      <c r="S59" s="11"/>
    </row>
    <row r="60" spans="1:25" x14ac:dyDescent="0.2">
      <c r="A60" s="8">
        <v>29</v>
      </c>
      <c r="B60" s="8">
        <v>58</v>
      </c>
      <c r="D60">
        <v>1039.0258112094</v>
      </c>
      <c r="E60">
        <v>325.33702064897</v>
      </c>
      <c r="F60">
        <v>139.44624447717001</v>
      </c>
      <c r="G60">
        <v>117.84020618557</v>
      </c>
      <c r="I60" s="9">
        <f t="shared" si="1"/>
        <v>207.4968144634</v>
      </c>
      <c r="J60" s="9">
        <f t="shared" si="2"/>
        <v>899.57956673222998</v>
      </c>
      <c r="K60" s="9">
        <f t="shared" si="3"/>
        <v>207.4968144634</v>
      </c>
      <c r="L60" s="10">
        <f t="shared" si="0"/>
        <v>0.23065976833727236</v>
      </c>
      <c r="M60" s="10">
        <f t="shared" si="4"/>
        <v>0.23533100882190205</v>
      </c>
      <c r="P60" s="8">
        <f t="shared" si="5"/>
        <v>-1.5659073514757502</v>
      </c>
      <c r="S60" s="11"/>
    </row>
    <row r="61" spans="1:25" x14ac:dyDescent="0.2">
      <c r="A61" s="8">
        <v>29.5</v>
      </c>
      <c r="B61" s="8">
        <v>59</v>
      </c>
      <c r="C61" s="2"/>
      <c r="D61">
        <v>1043.1651917403999</v>
      </c>
      <c r="E61">
        <v>325.53023598819999</v>
      </c>
      <c r="F61">
        <v>139.91899852725001</v>
      </c>
      <c r="G61">
        <v>118.44845360825001</v>
      </c>
      <c r="I61" s="9">
        <f t="shared" si="1"/>
        <v>207.08178237994997</v>
      </c>
      <c r="J61" s="9">
        <f t="shared" si="2"/>
        <v>903.24619321314992</v>
      </c>
      <c r="K61" s="9">
        <f t="shared" si="3"/>
        <v>207.08178237994997</v>
      </c>
      <c r="L61" s="10">
        <f t="shared" si="0"/>
        <v>0.22926394147678669</v>
      </c>
      <c r="M61" s="10">
        <f t="shared" si="4"/>
        <v>0.23401572059046172</v>
      </c>
      <c r="P61" s="8">
        <f t="shared" si="5"/>
        <v>-2.1160652090451868</v>
      </c>
      <c r="S61" s="11"/>
    </row>
    <row r="62" spans="1:25" x14ac:dyDescent="0.2">
      <c r="A62" s="8">
        <v>30</v>
      </c>
      <c r="B62" s="8">
        <v>60</v>
      </c>
      <c r="D62">
        <v>1068.0840707965001</v>
      </c>
      <c r="E62">
        <v>332.68879056047001</v>
      </c>
      <c r="F62">
        <v>139.62150220913</v>
      </c>
      <c r="G62">
        <v>117.89764359352</v>
      </c>
      <c r="I62" s="9">
        <f t="shared" si="1"/>
        <v>214.79114696695001</v>
      </c>
      <c r="J62" s="9">
        <f t="shared" si="2"/>
        <v>928.46256858737013</v>
      </c>
      <c r="K62" s="9">
        <f t="shared" si="3"/>
        <v>214.79114696695001</v>
      </c>
      <c r="L62" s="10">
        <f t="shared" si="0"/>
        <v>0.23134066383930668</v>
      </c>
      <c r="M62" s="10">
        <f t="shared" si="4"/>
        <v>0.23617298158202707</v>
      </c>
      <c r="P62" s="8">
        <f t="shared" si="5"/>
        <v>-1.2137275639816087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1057.5913107511001</v>
      </c>
      <c r="E63">
        <v>331.21649484535999</v>
      </c>
      <c r="F63">
        <v>139.90648011782</v>
      </c>
      <c r="G63">
        <v>118.16936671576001</v>
      </c>
      <c r="I63" s="9">
        <f t="shared" si="1"/>
        <v>213.04712812959997</v>
      </c>
      <c r="J63" s="9">
        <f t="shared" si="2"/>
        <v>917.68483063328006</v>
      </c>
      <c r="K63" s="9">
        <f t="shared" si="3"/>
        <v>213.04712812959997</v>
      </c>
      <c r="L63" s="10">
        <f t="shared" si="0"/>
        <v>0.23215718623416653</v>
      </c>
      <c r="M63" s="10">
        <f t="shared" si="4"/>
        <v>0.23707004260593226</v>
      </c>
      <c r="P63" s="8">
        <f t="shared" si="5"/>
        <v>-0.83850549537062702</v>
      </c>
    </row>
    <row r="64" spans="1:25" x14ac:dyDescent="0.2">
      <c r="A64" s="8">
        <v>31</v>
      </c>
      <c r="B64" s="8">
        <v>62</v>
      </c>
      <c r="D64">
        <v>1057.7893961708</v>
      </c>
      <c r="E64">
        <v>332.44403534610001</v>
      </c>
      <c r="F64">
        <v>139.61855670103</v>
      </c>
      <c r="G64">
        <v>117.78129602356</v>
      </c>
      <c r="I64" s="9">
        <f t="shared" si="1"/>
        <v>214.66273932254001</v>
      </c>
      <c r="J64" s="9">
        <f t="shared" si="2"/>
        <v>918.17083946977004</v>
      </c>
      <c r="K64" s="9">
        <f t="shared" si="3"/>
        <v>214.66273932254001</v>
      </c>
      <c r="L64" s="10">
        <f t="shared" si="0"/>
        <v>0.233793897709172</v>
      </c>
      <c r="M64" s="10">
        <f t="shared" si="4"/>
        <v>0.23878729270998306</v>
      </c>
      <c r="P64" s="8">
        <f t="shared" si="5"/>
        <v>-0.12021530195735571</v>
      </c>
      <c r="U64" s="8">
        <v>30.5</v>
      </c>
      <c r="V64" s="10">
        <f>L62</f>
        <v>0.23134066383930668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1063.795287187</v>
      </c>
      <c r="E65">
        <v>334.08541973489997</v>
      </c>
      <c r="F65">
        <v>139.76067746685999</v>
      </c>
      <c r="G65">
        <v>118.18041237113</v>
      </c>
      <c r="I65" s="9">
        <f t="shared" si="1"/>
        <v>215.90500736376998</v>
      </c>
      <c r="J65" s="9">
        <f t="shared" si="2"/>
        <v>924.03460972014</v>
      </c>
      <c r="K65" s="9">
        <f t="shared" si="3"/>
        <v>215.90500736376998</v>
      </c>
      <c r="L65" s="10">
        <f t="shared" si="0"/>
        <v>0.23365467601820736</v>
      </c>
      <c r="M65" s="10">
        <f t="shared" si="4"/>
        <v>0.23872860964806375</v>
      </c>
      <c r="P65" s="8">
        <f t="shared" si="5"/>
        <v>-0.14476121276945658</v>
      </c>
      <c r="U65" s="8">
        <v>31</v>
      </c>
      <c r="V65" s="10">
        <f t="shared" ref="V65:V83" si="6">L63</f>
        <v>0.23215718623416653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1078.075</v>
      </c>
      <c r="E66">
        <v>335.21470588235002</v>
      </c>
      <c r="F66">
        <v>139.63033873342999</v>
      </c>
      <c r="G66">
        <v>117.94624447717</v>
      </c>
      <c r="I66" s="9">
        <f t="shared" si="1"/>
        <v>217.26846140518001</v>
      </c>
      <c r="J66" s="9">
        <f t="shared" si="2"/>
        <v>938.44466126657005</v>
      </c>
      <c r="K66" s="9">
        <f t="shared" si="3"/>
        <v>217.26846140518001</v>
      </c>
      <c r="L66" s="10">
        <f t="shared" ref="L66:L129" si="7">K66/J66</f>
        <v>0.23151973725541156</v>
      </c>
      <c r="M66" s="10">
        <f t="shared" si="4"/>
        <v>0.23667420951431328</v>
      </c>
      <c r="P66" s="8">
        <f t="shared" si="5"/>
        <v>-1.0040742889130938</v>
      </c>
      <c r="U66" s="8">
        <v>31.5</v>
      </c>
      <c r="V66" s="10">
        <f t="shared" si="6"/>
        <v>0.233793897709172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1109.9343173432001</v>
      </c>
      <c r="E67">
        <v>339.93579335792998</v>
      </c>
      <c r="F67">
        <v>140.21207658321001</v>
      </c>
      <c r="G67">
        <v>117.96465390279999</v>
      </c>
      <c r="I67" s="9">
        <f t="shared" ref="I67:I130" si="8">E67-G67</f>
        <v>221.97113945512999</v>
      </c>
      <c r="J67" s="9">
        <f t="shared" ref="J67:J130" si="9">D67-F67</f>
        <v>969.72224075999009</v>
      </c>
      <c r="K67" s="9">
        <f t="shared" ref="K67:K130" si="10">I67*1</f>
        <v>221.97113945512999</v>
      </c>
      <c r="L67" s="10">
        <f t="shared" si="7"/>
        <v>0.22890177220351976</v>
      </c>
      <c r="M67" s="10">
        <f t="shared" ref="M67:M130" si="11">L67+ABS($N$2)*A67</f>
        <v>0.23413678309146685</v>
      </c>
      <c r="P67" s="8">
        <f t="shared" ref="P67:P130" si="12">(M67-$O$2)/$O$2*100</f>
        <v>-2.0654272693199562</v>
      </c>
      <c r="U67" s="8">
        <v>32</v>
      </c>
      <c r="V67" s="10">
        <f t="shared" si="6"/>
        <v>0.23365467601820736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1105.8797047971</v>
      </c>
      <c r="E68">
        <v>339.21033210332001</v>
      </c>
      <c r="F68">
        <v>140.09572901326001</v>
      </c>
      <c r="G68">
        <v>118.23784977909</v>
      </c>
      <c r="I68" s="9">
        <f t="shared" si="8"/>
        <v>220.97248232423001</v>
      </c>
      <c r="J68" s="9">
        <f t="shared" si="9"/>
        <v>965.78397578383999</v>
      </c>
      <c r="K68" s="9">
        <f t="shared" si="10"/>
        <v>220.97248232423001</v>
      </c>
      <c r="L68" s="10">
        <f t="shared" si="7"/>
        <v>0.22880114794293052</v>
      </c>
      <c r="M68" s="10">
        <f t="shared" si="11"/>
        <v>0.23411669745992295</v>
      </c>
      <c r="P68" s="8">
        <f t="shared" si="12"/>
        <v>-2.0738286734791207</v>
      </c>
      <c r="U68" s="8">
        <v>32.5</v>
      </c>
      <c r="V68" s="10">
        <f t="shared" si="6"/>
        <v>0.23151973725541156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1092.5904059041</v>
      </c>
      <c r="E69">
        <v>337.86494464945002</v>
      </c>
      <c r="F69">
        <v>139.90721649484999</v>
      </c>
      <c r="G69">
        <v>117.70103092783999</v>
      </c>
      <c r="I69" s="9">
        <f t="shared" si="8"/>
        <v>220.16391372161002</v>
      </c>
      <c r="J69" s="9">
        <f t="shared" si="9"/>
        <v>952.68318940924996</v>
      </c>
      <c r="K69" s="9">
        <f t="shared" si="10"/>
        <v>220.16391372161002</v>
      </c>
      <c r="L69" s="10">
        <f t="shared" si="7"/>
        <v>0.23109877047177838</v>
      </c>
      <c r="M69" s="10">
        <f t="shared" si="11"/>
        <v>0.23649485861781613</v>
      </c>
      <c r="P69" s="8">
        <f t="shared" si="12"/>
        <v>-1.0790930586484369</v>
      </c>
      <c r="U69" s="8">
        <v>33</v>
      </c>
      <c r="V69" s="10">
        <f t="shared" si="6"/>
        <v>0.22890177220351976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1073.1871775976001</v>
      </c>
      <c r="E70">
        <v>333.13706705969003</v>
      </c>
      <c r="F70">
        <v>139.35051546392</v>
      </c>
      <c r="G70">
        <v>117.72680412371</v>
      </c>
      <c r="I70" s="9">
        <f t="shared" si="8"/>
        <v>215.41026293598003</v>
      </c>
      <c r="J70" s="9">
        <f t="shared" si="9"/>
        <v>933.83666213368008</v>
      </c>
      <c r="K70" s="9">
        <f t="shared" si="10"/>
        <v>215.41026293598003</v>
      </c>
      <c r="L70" s="10">
        <f t="shared" si="7"/>
        <v>0.23067231312572276</v>
      </c>
      <c r="M70" s="10">
        <f t="shared" si="11"/>
        <v>0.23614893990080585</v>
      </c>
      <c r="P70" s="8">
        <f t="shared" si="12"/>
        <v>-1.2237837018811701</v>
      </c>
      <c r="U70" s="8">
        <v>33.5</v>
      </c>
      <c r="V70" s="10">
        <f t="shared" si="6"/>
        <v>0.22880114794293052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1033.7973470892</v>
      </c>
      <c r="E71">
        <v>324.93146647015999</v>
      </c>
      <c r="F71">
        <v>140.32032400589</v>
      </c>
      <c r="G71">
        <v>117.65758468336</v>
      </c>
      <c r="I71" s="9">
        <f t="shared" si="8"/>
        <v>207.27388178679999</v>
      </c>
      <c r="J71" s="9">
        <f t="shared" si="9"/>
        <v>893.47702308330997</v>
      </c>
      <c r="K71" s="9">
        <f t="shared" si="10"/>
        <v>207.27388178679999</v>
      </c>
      <c r="L71" s="10">
        <f t="shared" si="7"/>
        <v>0.23198568785967905</v>
      </c>
      <c r="M71" s="10">
        <f t="shared" si="11"/>
        <v>0.23754285326380747</v>
      </c>
      <c r="P71" s="8">
        <f t="shared" si="12"/>
        <v>-0.64073857831414738</v>
      </c>
      <c r="U71" s="8">
        <v>34</v>
      </c>
      <c r="V71" s="10">
        <f t="shared" si="6"/>
        <v>0.23109877047177838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1092.7304283604001</v>
      </c>
      <c r="E72">
        <v>338</v>
      </c>
      <c r="F72">
        <v>140.08173784978001</v>
      </c>
      <c r="G72">
        <v>118.0500736377</v>
      </c>
      <c r="I72" s="9">
        <f t="shared" si="8"/>
        <v>219.9499263623</v>
      </c>
      <c r="J72" s="9">
        <f t="shared" si="9"/>
        <v>952.6486905106201</v>
      </c>
      <c r="K72" s="9">
        <f t="shared" si="10"/>
        <v>219.9499263623</v>
      </c>
      <c r="L72" s="10">
        <f t="shared" si="7"/>
        <v>0.23088251582480709</v>
      </c>
      <c r="M72" s="10">
        <f t="shared" si="11"/>
        <v>0.23652021985798086</v>
      </c>
      <c r="P72" s="8">
        <f t="shared" si="12"/>
        <v>-1.0684849765407998</v>
      </c>
      <c r="U72" s="8">
        <v>34.5</v>
      </c>
      <c r="V72" s="10">
        <f t="shared" si="6"/>
        <v>0.23067231312572276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1086.8793486305999</v>
      </c>
      <c r="E73">
        <v>338.62990377497999</v>
      </c>
      <c r="F73">
        <v>140.31958762887001</v>
      </c>
      <c r="G73">
        <v>117.96833578792</v>
      </c>
      <c r="I73" s="9">
        <f t="shared" si="8"/>
        <v>220.66156798705998</v>
      </c>
      <c r="J73" s="9">
        <f t="shared" si="9"/>
        <v>946.55976100172984</v>
      </c>
      <c r="K73" s="9">
        <f t="shared" si="10"/>
        <v>220.66156798705998</v>
      </c>
      <c r="L73" s="10">
        <f t="shared" si="7"/>
        <v>0.23311953146364175</v>
      </c>
      <c r="M73" s="10">
        <f t="shared" si="11"/>
        <v>0.23883777412586088</v>
      </c>
      <c r="P73" s="8">
        <f t="shared" si="12"/>
        <v>-9.9099970015244607E-2</v>
      </c>
      <c r="U73" s="8">
        <v>35</v>
      </c>
      <c r="V73" s="10">
        <f t="shared" si="6"/>
        <v>0.23198568785967905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1093.5321983716001</v>
      </c>
      <c r="E74">
        <v>338.85640266468999</v>
      </c>
      <c r="F74">
        <v>139.98674521354999</v>
      </c>
      <c r="G74">
        <v>118.03387334315001</v>
      </c>
      <c r="I74" s="9">
        <f t="shared" si="8"/>
        <v>220.82252932154</v>
      </c>
      <c r="J74" s="9">
        <f t="shared" si="9"/>
        <v>953.54545315805012</v>
      </c>
      <c r="K74" s="9">
        <f t="shared" si="10"/>
        <v>220.82252932154</v>
      </c>
      <c r="L74" s="10">
        <f t="shared" si="7"/>
        <v>0.2315804963362755</v>
      </c>
      <c r="M74" s="10">
        <f t="shared" si="11"/>
        <v>0.23737927762753996</v>
      </c>
      <c r="P74" s="8">
        <f t="shared" si="12"/>
        <v>-0.70915888304153196</v>
      </c>
      <c r="U74" s="8">
        <v>35.5</v>
      </c>
      <c r="V74" s="10">
        <f t="shared" si="6"/>
        <v>0.23088251582480709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1055.2301998519999</v>
      </c>
      <c r="E75">
        <v>334.69504071058998</v>
      </c>
      <c r="F75">
        <v>140.51030927835001</v>
      </c>
      <c r="G75">
        <v>117.9086892489</v>
      </c>
      <c r="I75" s="9">
        <f t="shared" si="8"/>
        <v>216.78635146168997</v>
      </c>
      <c r="J75" s="9">
        <f t="shared" si="9"/>
        <v>914.71989057364999</v>
      </c>
      <c r="K75" s="9">
        <f t="shared" si="10"/>
        <v>216.78635146168997</v>
      </c>
      <c r="L75" s="10">
        <f t="shared" si="7"/>
        <v>0.23699752645122471</v>
      </c>
      <c r="M75" s="10">
        <f t="shared" si="11"/>
        <v>0.2428768463715345</v>
      </c>
      <c r="P75" s="8">
        <f t="shared" si="12"/>
        <v>1.5903603932198016</v>
      </c>
      <c r="U75" s="8">
        <v>36</v>
      </c>
      <c r="V75" s="10">
        <f t="shared" si="6"/>
        <v>0.23311953146364175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1062.5225618632001</v>
      </c>
      <c r="E76">
        <v>336.15647743813997</v>
      </c>
      <c r="F76">
        <v>139.62297496318001</v>
      </c>
      <c r="G76">
        <v>117.96318114875</v>
      </c>
      <c r="I76" s="9">
        <f t="shared" si="8"/>
        <v>218.19329628938999</v>
      </c>
      <c r="J76" s="9">
        <f t="shared" si="9"/>
        <v>922.89958690002004</v>
      </c>
      <c r="K76" s="9">
        <f t="shared" si="10"/>
        <v>218.19329628938999</v>
      </c>
      <c r="L76" s="10">
        <f t="shared" si="7"/>
        <v>0.23642149090378498</v>
      </c>
      <c r="M76" s="10">
        <f t="shared" si="11"/>
        <v>0.2423813494531401</v>
      </c>
      <c r="P76" s="8">
        <f t="shared" si="12"/>
        <v>1.383104282703552</v>
      </c>
      <c r="U76" s="8">
        <v>36.5</v>
      </c>
      <c r="V76" s="10">
        <f t="shared" si="6"/>
        <v>0.2315804963362755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1067.6855895197</v>
      </c>
      <c r="E77">
        <v>336.85152838428002</v>
      </c>
      <c r="F77">
        <v>140.07290132547999</v>
      </c>
      <c r="G77">
        <v>117.86745213549</v>
      </c>
      <c r="I77" s="9">
        <f t="shared" si="8"/>
        <v>218.98407624879002</v>
      </c>
      <c r="J77" s="9">
        <f t="shared" si="9"/>
        <v>927.61268819422003</v>
      </c>
      <c r="K77" s="9">
        <f t="shared" si="10"/>
        <v>218.98407624879002</v>
      </c>
      <c r="L77" s="10">
        <f t="shared" si="7"/>
        <v>0.23607274785674337</v>
      </c>
      <c r="M77" s="10">
        <f t="shared" si="11"/>
        <v>0.24211314503514383</v>
      </c>
      <c r="P77" s="8">
        <f t="shared" si="12"/>
        <v>1.2709199230564634</v>
      </c>
      <c r="U77" s="8">
        <v>37</v>
      </c>
      <c r="V77" s="10">
        <f t="shared" si="6"/>
        <v>0.23699752645122471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1074.9898107715001</v>
      </c>
      <c r="E78">
        <v>340.27802037845998</v>
      </c>
      <c r="F78">
        <v>140.37776141384001</v>
      </c>
      <c r="G78">
        <v>117.75994108984</v>
      </c>
      <c r="I78" s="9">
        <f t="shared" si="8"/>
        <v>222.51807928861999</v>
      </c>
      <c r="J78" s="9">
        <f t="shared" si="9"/>
        <v>934.61204935766</v>
      </c>
      <c r="K78" s="9">
        <f t="shared" si="10"/>
        <v>222.51807928861999</v>
      </c>
      <c r="L78" s="10">
        <f t="shared" si="7"/>
        <v>0.23808603734731665</v>
      </c>
      <c r="M78" s="10">
        <f t="shared" si="11"/>
        <v>0.24420697315476247</v>
      </c>
      <c r="P78" s="8">
        <f t="shared" si="12"/>
        <v>2.1467249100337877</v>
      </c>
      <c r="U78" s="8">
        <v>37.5</v>
      </c>
      <c r="V78" s="10">
        <f t="shared" si="6"/>
        <v>0.23642149090378498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1077.7627365357</v>
      </c>
      <c r="E79">
        <v>341.00363901019</v>
      </c>
      <c r="F79">
        <v>139.73048600883999</v>
      </c>
      <c r="G79">
        <v>117.83210603828999</v>
      </c>
      <c r="I79" s="9">
        <f t="shared" si="8"/>
        <v>223.17153297190001</v>
      </c>
      <c r="J79" s="9">
        <f t="shared" si="9"/>
        <v>938.03225052686003</v>
      </c>
      <c r="K79" s="9">
        <f t="shared" si="10"/>
        <v>223.17153297190001</v>
      </c>
      <c r="L79" s="10">
        <f t="shared" si="7"/>
        <v>0.23791456300841718</v>
      </c>
      <c r="M79" s="10">
        <f t="shared" si="11"/>
        <v>0.24411603744490834</v>
      </c>
      <c r="P79" s="8">
        <f t="shared" si="12"/>
        <v>2.1086883838078054</v>
      </c>
      <c r="U79" s="8">
        <v>38</v>
      </c>
      <c r="V79" s="10">
        <f t="shared" si="6"/>
        <v>0.23607274785674337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1091.34643377</v>
      </c>
      <c r="E80">
        <v>343.89810771470002</v>
      </c>
      <c r="F80">
        <v>139.82106038292</v>
      </c>
      <c r="G80">
        <v>117.69661266569</v>
      </c>
      <c r="I80" s="9">
        <f t="shared" si="8"/>
        <v>226.20149504901002</v>
      </c>
      <c r="J80" s="9">
        <f t="shared" si="9"/>
        <v>951.52537338707998</v>
      </c>
      <c r="K80" s="9">
        <f t="shared" si="10"/>
        <v>226.20149504901002</v>
      </c>
      <c r="L80" s="10">
        <f t="shared" si="7"/>
        <v>0.23772513206223392</v>
      </c>
      <c r="M80" s="10">
        <f t="shared" si="11"/>
        <v>0.24400714512777041</v>
      </c>
      <c r="P80" s="8">
        <f t="shared" si="12"/>
        <v>2.0631409802270939</v>
      </c>
      <c r="U80" s="8">
        <v>38.5</v>
      </c>
      <c r="V80" s="10">
        <f t="shared" si="6"/>
        <v>0.23808603734731665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1085.1418020680001</v>
      </c>
      <c r="E81">
        <v>342.00147710486999</v>
      </c>
      <c r="F81">
        <v>139.83284241531999</v>
      </c>
      <c r="G81">
        <v>118.13402061856</v>
      </c>
      <c r="I81" s="9">
        <f t="shared" si="8"/>
        <v>223.86745648631</v>
      </c>
      <c r="J81" s="9">
        <f t="shared" si="9"/>
        <v>945.30895965268007</v>
      </c>
      <c r="K81" s="9">
        <f t="shared" si="10"/>
        <v>223.86745648631</v>
      </c>
      <c r="L81" s="10">
        <f t="shared" si="7"/>
        <v>0.23681935329224224</v>
      </c>
      <c r="M81" s="10">
        <f t="shared" si="11"/>
        <v>0.24318190498682407</v>
      </c>
      <c r="P81" s="8">
        <f t="shared" si="12"/>
        <v>1.7179601011842072</v>
      </c>
      <c r="U81" s="8">
        <v>39</v>
      </c>
      <c r="V81" s="10">
        <f t="shared" si="6"/>
        <v>0.23791456300841718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1083.1898079764001</v>
      </c>
      <c r="E82">
        <v>342.40251107828999</v>
      </c>
      <c r="F82">
        <v>140.05817378498</v>
      </c>
      <c r="G82">
        <v>117.78424153166</v>
      </c>
      <c r="H82" s="13"/>
      <c r="I82" s="14">
        <f t="shared" si="8"/>
        <v>224.61826954662999</v>
      </c>
      <c r="J82" s="14">
        <f t="shared" si="9"/>
        <v>943.13163419142006</v>
      </c>
      <c r="K82" s="9">
        <f t="shared" si="10"/>
        <v>224.61826954662999</v>
      </c>
      <c r="L82" s="15">
        <f t="shared" si="7"/>
        <v>0.23816216252697656</v>
      </c>
      <c r="M82" s="15">
        <f t="shared" si="11"/>
        <v>0.24460525285060372</v>
      </c>
      <c r="N82" s="13"/>
      <c r="O82" s="13"/>
      <c r="P82" s="13">
        <f t="shared" si="12"/>
        <v>2.3133170675090193</v>
      </c>
      <c r="U82" s="8">
        <v>39.5</v>
      </c>
      <c r="V82" s="10">
        <f t="shared" si="6"/>
        <v>0.23772513206223392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1046.2577548006</v>
      </c>
      <c r="E83">
        <v>334.11373707532999</v>
      </c>
      <c r="F83">
        <v>139.82179675994001</v>
      </c>
      <c r="G83">
        <v>117.52577319588001</v>
      </c>
      <c r="I83" s="9">
        <f t="shared" si="8"/>
        <v>216.58796387945</v>
      </c>
      <c r="J83" s="9">
        <f t="shared" si="9"/>
        <v>906.4359580406599</v>
      </c>
      <c r="K83" s="9">
        <f t="shared" si="10"/>
        <v>216.58796387945</v>
      </c>
      <c r="L83" s="10">
        <f t="shared" si="7"/>
        <v>0.23894458506216337</v>
      </c>
      <c r="M83" s="10">
        <f t="shared" si="11"/>
        <v>0.24546821401483587</v>
      </c>
      <c r="P83" s="8">
        <f t="shared" si="12"/>
        <v>2.6742758702496814</v>
      </c>
      <c r="U83" s="8">
        <v>40</v>
      </c>
      <c r="V83" s="10">
        <f t="shared" si="6"/>
        <v>0.23681935329224224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1020.4682422452</v>
      </c>
      <c r="E84">
        <v>329.08493353028001</v>
      </c>
      <c r="F84">
        <v>140.06332842415</v>
      </c>
      <c r="G84">
        <v>117.71354933726001</v>
      </c>
      <c r="I84" s="9">
        <f t="shared" si="8"/>
        <v>211.37138419301999</v>
      </c>
      <c r="J84" s="9">
        <f t="shared" si="9"/>
        <v>880.40491382105006</v>
      </c>
      <c r="K84" s="9">
        <f t="shared" si="10"/>
        <v>211.37138419301999</v>
      </c>
      <c r="L84" s="10">
        <f t="shared" si="7"/>
        <v>0.24008428494071657</v>
      </c>
      <c r="M84" s="10">
        <f t="shared" si="11"/>
        <v>0.24668845252243443</v>
      </c>
      <c r="P84" s="8">
        <f t="shared" si="12"/>
        <v>3.1846763946495695</v>
      </c>
      <c r="U84" s="8">
        <v>150.5</v>
      </c>
      <c r="V84" s="10">
        <f>L302</f>
        <v>0.24469921890235879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987.09601181684002</v>
      </c>
      <c r="E85">
        <v>321.79246676513998</v>
      </c>
      <c r="F85">
        <v>139.97422680412001</v>
      </c>
      <c r="G85">
        <v>118.11634756996</v>
      </c>
      <c r="I85" s="9">
        <f t="shared" si="8"/>
        <v>203.67611919517998</v>
      </c>
      <c r="J85" s="9">
        <f t="shared" si="9"/>
        <v>847.12178501272001</v>
      </c>
      <c r="K85" s="9">
        <f t="shared" si="10"/>
        <v>203.67611919517998</v>
      </c>
      <c r="L85" s="10">
        <f t="shared" si="7"/>
        <v>0.24043310277060301</v>
      </c>
      <c r="M85" s="10">
        <f t="shared" si="11"/>
        <v>0.2471178089813662</v>
      </c>
      <c r="P85" s="8">
        <f t="shared" si="12"/>
        <v>3.3642673192340862</v>
      </c>
      <c r="U85" s="8">
        <v>151</v>
      </c>
      <c r="V85" s="10">
        <f t="shared" ref="V85:V103" si="13">L303</f>
        <v>0.24594752434560704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957.77400295421</v>
      </c>
      <c r="E86">
        <v>315.75332348596999</v>
      </c>
      <c r="F86">
        <v>139.75036818851001</v>
      </c>
      <c r="G86">
        <v>118.21428571429</v>
      </c>
      <c r="I86" s="9">
        <f t="shared" si="8"/>
        <v>197.53903777168</v>
      </c>
      <c r="J86" s="9">
        <f t="shared" si="9"/>
        <v>818.02363476569997</v>
      </c>
      <c r="K86" s="9">
        <f t="shared" si="10"/>
        <v>197.53903777168</v>
      </c>
      <c r="L86" s="10">
        <f t="shared" si="7"/>
        <v>0.24148328896176641</v>
      </c>
      <c r="M86" s="10">
        <f t="shared" si="11"/>
        <v>0.24824853380157494</v>
      </c>
      <c r="P86" s="8">
        <f t="shared" si="12"/>
        <v>3.8372261199871369</v>
      </c>
      <c r="U86" s="8">
        <v>151.5</v>
      </c>
      <c r="V86" s="10">
        <f t="shared" si="13"/>
        <v>0.24684208523129847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872.47193500739002</v>
      </c>
      <c r="E87">
        <v>298.00738552437002</v>
      </c>
      <c r="F87">
        <v>140.16347569956</v>
      </c>
      <c r="G87">
        <v>117.85419734904001</v>
      </c>
      <c r="I87" s="9">
        <f t="shared" si="8"/>
        <v>180.15318817533</v>
      </c>
      <c r="J87" s="9">
        <f t="shared" si="9"/>
        <v>732.30845930783005</v>
      </c>
      <c r="K87" s="9">
        <f t="shared" si="10"/>
        <v>180.15318817533</v>
      </c>
      <c r="L87" s="10">
        <f t="shared" si="7"/>
        <v>0.24600724719964157</v>
      </c>
      <c r="M87" s="10">
        <f t="shared" si="11"/>
        <v>0.25285303066849546</v>
      </c>
      <c r="P87" s="8">
        <f t="shared" si="12"/>
        <v>5.7631919052326532</v>
      </c>
      <c r="U87" s="8">
        <v>152</v>
      </c>
      <c r="V87" s="10">
        <f t="shared" si="13"/>
        <v>0.24941205704116762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942.18833087149005</v>
      </c>
      <c r="E88">
        <v>318.32939438699998</v>
      </c>
      <c r="F88">
        <v>140.40279823270001</v>
      </c>
      <c r="G88">
        <v>118.22680412371</v>
      </c>
      <c r="I88" s="9">
        <f t="shared" si="8"/>
        <v>200.10259026328998</v>
      </c>
      <c r="J88" s="9">
        <f t="shared" si="9"/>
        <v>801.78553263879007</v>
      </c>
      <c r="K88" s="9">
        <f t="shared" si="10"/>
        <v>200.10259026328998</v>
      </c>
      <c r="L88" s="10">
        <f t="shared" si="7"/>
        <v>0.24957121588952089</v>
      </c>
      <c r="M88" s="10">
        <f t="shared" si="11"/>
        <v>0.25649753798742009</v>
      </c>
      <c r="P88" s="8">
        <f t="shared" si="12"/>
        <v>7.287613922055554</v>
      </c>
      <c r="U88" s="8">
        <v>152.5</v>
      </c>
      <c r="V88" s="10">
        <f t="shared" si="13"/>
        <v>0.24847786138445163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931.06499261448005</v>
      </c>
      <c r="E89">
        <v>313.92319054653001</v>
      </c>
      <c r="F89">
        <v>139.45729013255001</v>
      </c>
      <c r="G89">
        <v>117.91605301915</v>
      </c>
      <c r="I89" s="9">
        <f t="shared" si="8"/>
        <v>196.00713752738</v>
      </c>
      <c r="J89" s="9">
        <f t="shared" si="9"/>
        <v>791.60770248193</v>
      </c>
      <c r="K89" s="9">
        <f t="shared" si="10"/>
        <v>196.00713752738</v>
      </c>
      <c r="L89" s="10">
        <f t="shared" si="7"/>
        <v>0.24760640518382809</v>
      </c>
      <c r="M89" s="10">
        <f t="shared" si="11"/>
        <v>0.25461326591077266</v>
      </c>
      <c r="P89" s="8">
        <f t="shared" si="12"/>
        <v>6.4994618927235042</v>
      </c>
      <c r="U89" s="8">
        <v>153</v>
      </c>
      <c r="V89" s="10">
        <f t="shared" si="13"/>
        <v>0.24987975750215091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1077.5805022157001</v>
      </c>
      <c r="E90">
        <v>344.00590841949997</v>
      </c>
      <c r="F90">
        <v>140.39322533136999</v>
      </c>
      <c r="G90">
        <v>118.33431516937</v>
      </c>
      <c r="I90" s="9">
        <f t="shared" si="8"/>
        <v>225.67159325012997</v>
      </c>
      <c r="J90" s="9">
        <f t="shared" si="9"/>
        <v>937.18727688433012</v>
      </c>
      <c r="K90" s="9">
        <f t="shared" si="10"/>
        <v>225.67159325012997</v>
      </c>
      <c r="L90" s="10">
        <f t="shared" si="7"/>
        <v>0.24079668900368875</v>
      </c>
      <c r="M90" s="10">
        <f t="shared" si="11"/>
        <v>0.24788408835967865</v>
      </c>
      <c r="P90" s="8">
        <f t="shared" si="12"/>
        <v>3.684786131000811</v>
      </c>
      <c r="U90" s="8">
        <v>153.5</v>
      </c>
      <c r="V90" s="10">
        <f t="shared" si="13"/>
        <v>0.25092635656728046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1109.1056129985</v>
      </c>
      <c r="E91">
        <v>352.92097488922002</v>
      </c>
      <c r="F91">
        <v>140.09720176731</v>
      </c>
      <c r="G91">
        <v>118.20986745214</v>
      </c>
      <c r="I91" s="9">
        <f t="shared" si="8"/>
        <v>234.71110743708002</v>
      </c>
      <c r="J91" s="9">
        <f t="shared" si="9"/>
        <v>969.00841123118994</v>
      </c>
      <c r="K91" s="9">
        <f t="shared" si="10"/>
        <v>234.71110743708002</v>
      </c>
      <c r="L91" s="10">
        <f t="shared" si="7"/>
        <v>0.24221782258717844</v>
      </c>
      <c r="M91" s="10">
        <f t="shared" si="11"/>
        <v>0.24938576057221368</v>
      </c>
      <c r="P91" s="8">
        <f t="shared" si="12"/>
        <v>4.3129045520978533</v>
      </c>
      <c r="U91" s="8">
        <v>154</v>
      </c>
      <c r="V91" s="10">
        <f t="shared" si="13"/>
        <v>0.2523926277156317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1102.552437223</v>
      </c>
      <c r="E92">
        <v>351.79542097489002</v>
      </c>
      <c r="F92">
        <v>140.13402061855999</v>
      </c>
      <c r="G92">
        <v>118.13181148747999</v>
      </c>
      <c r="I92" s="9">
        <f t="shared" si="8"/>
        <v>233.66360948741004</v>
      </c>
      <c r="J92" s="9">
        <f t="shared" si="9"/>
        <v>962.41841660443993</v>
      </c>
      <c r="K92" s="9">
        <f t="shared" si="10"/>
        <v>233.66360948741004</v>
      </c>
      <c r="L92" s="10">
        <f t="shared" si="7"/>
        <v>0.2427879656665457</v>
      </c>
      <c r="M92" s="10">
        <f t="shared" si="11"/>
        <v>0.25003644228062627</v>
      </c>
      <c r="P92" s="8">
        <f t="shared" si="12"/>
        <v>4.5850712499385855</v>
      </c>
      <c r="U92" s="8">
        <v>154.5</v>
      </c>
      <c r="V92" s="10">
        <f t="shared" si="13"/>
        <v>0.24873890147896208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1107.4350073855001</v>
      </c>
      <c r="E93">
        <v>354.96011816839001</v>
      </c>
      <c r="F93">
        <v>140.09572901326001</v>
      </c>
      <c r="G93">
        <v>117.98674521354999</v>
      </c>
      <c r="I93" s="9">
        <f t="shared" si="8"/>
        <v>236.97337295484002</v>
      </c>
      <c r="J93" s="9">
        <f t="shared" si="9"/>
        <v>967.33927837224007</v>
      </c>
      <c r="K93" s="9">
        <f t="shared" si="10"/>
        <v>236.97337295484002</v>
      </c>
      <c r="L93" s="10">
        <f t="shared" si="7"/>
        <v>0.24497441409967302</v>
      </c>
      <c r="M93" s="10">
        <f t="shared" si="11"/>
        <v>0.25230342934279892</v>
      </c>
      <c r="P93" s="8">
        <f t="shared" si="12"/>
        <v>5.533305040411082</v>
      </c>
      <c r="U93" s="8">
        <v>155</v>
      </c>
      <c r="V93" s="10">
        <f t="shared" si="13"/>
        <v>0.25047078066241529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1119.5598227473999</v>
      </c>
      <c r="E94">
        <v>355.48892171343999</v>
      </c>
      <c r="F94">
        <v>139.82032400589</v>
      </c>
      <c r="G94">
        <v>117.69955817379</v>
      </c>
      <c r="I94" s="9">
        <f t="shared" si="8"/>
        <v>237.78936353965</v>
      </c>
      <c r="J94" s="9">
        <f t="shared" si="9"/>
        <v>979.73949874150992</v>
      </c>
      <c r="K94" s="9">
        <f t="shared" si="10"/>
        <v>237.78936353965</v>
      </c>
      <c r="L94" s="10">
        <f t="shared" si="7"/>
        <v>0.24270672341484037</v>
      </c>
      <c r="M94" s="10">
        <f t="shared" si="11"/>
        <v>0.25011627728701163</v>
      </c>
      <c r="P94" s="8">
        <f t="shared" si="12"/>
        <v>4.6184645815461502</v>
      </c>
      <c r="U94" s="8">
        <v>155.5</v>
      </c>
      <c r="V94" s="10">
        <f t="shared" si="13"/>
        <v>0.24949882236202073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1119.9660265878999</v>
      </c>
      <c r="E95">
        <v>358.69276218611998</v>
      </c>
      <c r="F95">
        <v>140.4145802651</v>
      </c>
      <c r="G95">
        <v>118.11561119293</v>
      </c>
      <c r="I95" s="9">
        <f t="shared" si="8"/>
        <v>240.57715099318997</v>
      </c>
      <c r="J95" s="9">
        <f t="shared" si="9"/>
        <v>979.55144632279996</v>
      </c>
      <c r="K95" s="9">
        <f t="shared" si="10"/>
        <v>240.57715099318997</v>
      </c>
      <c r="L95" s="10">
        <f t="shared" si="7"/>
        <v>0.24559930149284934</v>
      </c>
      <c r="M95" s="10">
        <f t="shared" si="11"/>
        <v>0.25308939399406594</v>
      </c>
      <c r="P95" s="8">
        <f t="shared" si="12"/>
        <v>5.8620577946213546</v>
      </c>
      <c r="U95" s="8">
        <v>156</v>
      </c>
      <c r="V95" s="10">
        <f t="shared" si="13"/>
        <v>0.25260792260865794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1113.9867060561</v>
      </c>
      <c r="E96">
        <v>356.79837518464001</v>
      </c>
      <c r="F96">
        <v>139.46833578792001</v>
      </c>
      <c r="G96">
        <v>117.96391752577</v>
      </c>
      <c r="I96" s="9">
        <f t="shared" si="8"/>
        <v>238.83445765887001</v>
      </c>
      <c r="J96" s="9">
        <f t="shared" si="9"/>
        <v>974.51837026817998</v>
      </c>
      <c r="K96" s="9">
        <f t="shared" si="10"/>
        <v>238.83445765887001</v>
      </c>
      <c r="L96" s="10">
        <f t="shared" si="7"/>
        <v>0.24507948228122636</v>
      </c>
      <c r="M96" s="10">
        <f t="shared" si="11"/>
        <v>0.2526501134114883</v>
      </c>
      <c r="P96" s="8">
        <f t="shared" si="12"/>
        <v>5.6783158144181893</v>
      </c>
      <c r="U96" s="8">
        <v>156.5</v>
      </c>
      <c r="V96" s="10">
        <f t="shared" si="13"/>
        <v>0.2554286428191066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1115.7872968981001</v>
      </c>
      <c r="E97">
        <v>360.69202363367998</v>
      </c>
      <c r="F97">
        <v>139.64359351988</v>
      </c>
      <c r="G97">
        <v>118.01620029455</v>
      </c>
      <c r="I97" s="9">
        <f t="shared" si="8"/>
        <v>242.67582333912998</v>
      </c>
      <c r="J97" s="9">
        <f t="shared" si="9"/>
        <v>976.14370337822004</v>
      </c>
      <c r="K97" s="9">
        <f t="shared" si="10"/>
        <v>242.67582333912998</v>
      </c>
      <c r="L97" s="10">
        <f t="shared" si="7"/>
        <v>0.24860665750266275</v>
      </c>
      <c r="M97" s="10">
        <f t="shared" si="11"/>
        <v>0.25625782726196999</v>
      </c>
      <c r="P97" s="8">
        <f t="shared" si="12"/>
        <v>7.1873478845455683</v>
      </c>
      <c r="U97" s="8">
        <v>157</v>
      </c>
      <c r="V97" s="10">
        <f t="shared" si="13"/>
        <v>0.25350713230094879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1102.3103448275999</v>
      </c>
      <c r="E98">
        <v>357.14159941306002</v>
      </c>
      <c r="F98">
        <v>140.18262150221</v>
      </c>
      <c r="G98">
        <v>117.88144329897</v>
      </c>
      <c r="I98" s="9">
        <f t="shared" si="8"/>
        <v>239.26015611409002</v>
      </c>
      <c r="J98" s="9">
        <f t="shared" si="9"/>
        <v>962.12772332538998</v>
      </c>
      <c r="K98" s="9">
        <f t="shared" si="10"/>
        <v>239.26015611409002</v>
      </c>
      <c r="L98" s="10">
        <f t="shared" si="7"/>
        <v>0.24867816435757423</v>
      </c>
      <c r="M98" s="10">
        <f t="shared" si="11"/>
        <v>0.25640987274592686</v>
      </c>
      <c r="P98" s="8">
        <f t="shared" si="12"/>
        <v>7.2509453650880769</v>
      </c>
      <c r="U98" s="8">
        <v>157.5</v>
      </c>
      <c r="V98" s="10">
        <f t="shared" si="13"/>
        <v>0.25738854701403657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1094.6404988995</v>
      </c>
      <c r="E99">
        <v>353.56052824651999</v>
      </c>
      <c r="F99">
        <v>139.32400589101999</v>
      </c>
      <c r="G99">
        <v>117.78424153166</v>
      </c>
      <c r="I99" s="9">
        <f t="shared" si="8"/>
        <v>235.77628671485999</v>
      </c>
      <c r="J99" s="9">
        <f t="shared" si="9"/>
        <v>955.31649300848005</v>
      </c>
      <c r="K99" s="9">
        <f t="shared" si="10"/>
        <v>235.77628671485999</v>
      </c>
      <c r="L99" s="10">
        <f t="shared" si="7"/>
        <v>0.24680437157779403</v>
      </c>
      <c r="M99" s="10">
        <f t="shared" si="11"/>
        <v>0.25461661859519197</v>
      </c>
      <c r="P99" s="8">
        <f t="shared" si="12"/>
        <v>6.5008642512584203</v>
      </c>
      <c r="U99" s="8">
        <v>158</v>
      </c>
      <c r="V99" s="10">
        <f t="shared" si="13"/>
        <v>0.25399182489094152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1090.4115920762999</v>
      </c>
      <c r="E100">
        <v>350.17608217167998</v>
      </c>
      <c r="F100">
        <v>139.84388807069001</v>
      </c>
      <c r="G100">
        <v>117.88217967599</v>
      </c>
      <c r="I100" s="9">
        <f t="shared" si="8"/>
        <v>232.29390249568996</v>
      </c>
      <c r="J100" s="9">
        <f t="shared" si="9"/>
        <v>950.56770400560993</v>
      </c>
      <c r="K100" s="9">
        <f t="shared" si="10"/>
        <v>232.29390249568996</v>
      </c>
      <c r="L100" s="10">
        <f t="shared" si="7"/>
        <v>0.24437386365728983</v>
      </c>
      <c r="M100" s="10">
        <f t="shared" si="11"/>
        <v>0.2522666493037331</v>
      </c>
      <c r="P100" s="8">
        <f t="shared" si="12"/>
        <v>5.5179207109461919</v>
      </c>
      <c r="U100" s="8">
        <v>158.5</v>
      </c>
      <c r="V100" s="10">
        <f t="shared" si="13"/>
        <v>0.26299276315418035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1058.0176082171999</v>
      </c>
      <c r="E101">
        <v>342.72707263389998</v>
      </c>
      <c r="F101">
        <v>139.93814432990001</v>
      </c>
      <c r="G101">
        <v>117.72385861561</v>
      </c>
      <c r="I101" s="9">
        <f t="shared" si="8"/>
        <v>225.00321401828998</v>
      </c>
      <c r="J101" s="9">
        <f t="shared" si="9"/>
        <v>918.07946388729988</v>
      </c>
      <c r="K101" s="9">
        <f t="shared" si="10"/>
        <v>225.00321401828998</v>
      </c>
      <c r="L101" s="10">
        <f t="shared" si="7"/>
        <v>0.24508032568944441</v>
      </c>
      <c r="M101" s="10">
        <f t="shared" si="11"/>
        <v>0.25305364996493301</v>
      </c>
      <c r="P101" s="8">
        <f t="shared" si="12"/>
        <v>5.8471068066792409</v>
      </c>
      <c r="U101" s="8">
        <v>159</v>
      </c>
      <c r="V101" s="10">
        <f t="shared" si="13"/>
        <v>0.26110603361530182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1117.6054572271</v>
      </c>
      <c r="E102">
        <v>360.65117994100001</v>
      </c>
      <c r="F102">
        <v>140.14064801178</v>
      </c>
      <c r="G102">
        <v>117.69513991164</v>
      </c>
      <c r="I102" s="9">
        <f t="shared" si="8"/>
        <v>242.95604002936</v>
      </c>
      <c r="J102" s="9">
        <f t="shared" si="9"/>
        <v>977.46480921531997</v>
      </c>
      <c r="K102" s="9">
        <f t="shared" si="10"/>
        <v>242.95604002936</v>
      </c>
      <c r="L102" s="10">
        <f t="shared" si="7"/>
        <v>0.24855732680995232</v>
      </c>
      <c r="M102" s="10">
        <f t="shared" si="11"/>
        <v>0.25661118971448627</v>
      </c>
      <c r="P102" s="8">
        <f t="shared" si="12"/>
        <v>7.3351520883503456</v>
      </c>
      <c r="U102" s="8">
        <v>159.5</v>
      </c>
      <c r="V102" s="10">
        <f t="shared" si="13"/>
        <v>0.25735203560740594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1137.0132743362999</v>
      </c>
      <c r="E103">
        <v>365.35619469027</v>
      </c>
      <c r="F103">
        <v>140.34683357879001</v>
      </c>
      <c r="G103">
        <v>118.05817378498</v>
      </c>
      <c r="I103" s="9">
        <f t="shared" si="8"/>
        <v>247.29802090529</v>
      </c>
      <c r="J103" s="9">
        <f t="shared" si="9"/>
        <v>996.66644075750992</v>
      </c>
      <c r="K103" s="9">
        <f t="shared" si="10"/>
        <v>247.29802090529</v>
      </c>
      <c r="L103" s="10">
        <f t="shared" si="7"/>
        <v>0.24812516082846406</v>
      </c>
      <c r="M103" s="10">
        <f t="shared" si="11"/>
        <v>0.25625956236204339</v>
      </c>
      <c r="P103" s="8">
        <f t="shared" si="12"/>
        <v>7.1880736410118926</v>
      </c>
      <c r="U103" s="8">
        <v>160</v>
      </c>
      <c r="V103" s="10">
        <f t="shared" si="13"/>
        <v>0.25898770053841008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1119.3877851361001</v>
      </c>
      <c r="E104">
        <v>361.37674760853997</v>
      </c>
      <c r="F104">
        <v>139.61266568483001</v>
      </c>
      <c r="G104">
        <v>117.61634756996</v>
      </c>
      <c r="I104" s="9">
        <f t="shared" si="8"/>
        <v>243.76040003857997</v>
      </c>
      <c r="J104" s="9">
        <f t="shared" si="9"/>
        <v>979.77511945127003</v>
      </c>
      <c r="K104" s="9">
        <f t="shared" si="10"/>
        <v>243.76040003857997</v>
      </c>
      <c r="L104" s="10">
        <f t="shared" si="7"/>
        <v>0.24879219241156042</v>
      </c>
      <c r="M104" s="10">
        <f t="shared" si="11"/>
        <v>0.25700713257418506</v>
      </c>
      <c r="P104" s="8">
        <f t="shared" si="12"/>
        <v>7.5007667956098061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1110.7542310522001</v>
      </c>
      <c r="E105">
        <v>357.39146431198998</v>
      </c>
      <c r="F105">
        <v>140.02650957290001</v>
      </c>
      <c r="G105">
        <v>117.98306332842</v>
      </c>
      <c r="I105" s="9">
        <f t="shared" si="8"/>
        <v>239.40840098356998</v>
      </c>
      <c r="J105" s="9">
        <f t="shared" si="9"/>
        <v>970.72772147930004</v>
      </c>
      <c r="K105" s="9">
        <f t="shared" si="10"/>
        <v>239.40840098356998</v>
      </c>
      <c r="L105" s="10">
        <f t="shared" si="7"/>
        <v>0.24662775738879025</v>
      </c>
      <c r="M105" s="10">
        <f t="shared" si="11"/>
        <v>0.25492323618046026</v>
      </c>
      <c r="P105" s="8">
        <f t="shared" si="12"/>
        <v>6.6291160441141876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1103.5835172920999</v>
      </c>
      <c r="E106">
        <v>354.98307579101998</v>
      </c>
      <c r="F106">
        <v>140.12002945507999</v>
      </c>
      <c r="G106">
        <v>117.78718703976</v>
      </c>
      <c r="I106" s="9">
        <f t="shared" si="8"/>
        <v>237.19588875125999</v>
      </c>
      <c r="J106" s="9">
        <f t="shared" si="9"/>
        <v>963.46348783702001</v>
      </c>
      <c r="K106" s="9">
        <f t="shared" si="10"/>
        <v>237.19588875125999</v>
      </c>
      <c r="L106" s="10">
        <f t="shared" si="7"/>
        <v>0.24619084349918216</v>
      </c>
      <c r="M106" s="10">
        <f t="shared" si="11"/>
        <v>0.2545668609198975</v>
      </c>
      <c r="P106" s="8">
        <f t="shared" si="12"/>
        <v>6.4800516450301533</v>
      </c>
      <c r="X106" s="8">
        <v>-13</v>
      </c>
    </row>
    <row r="107" spans="1:25" x14ac:dyDescent="0.2">
      <c r="A107" s="8">
        <v>52.5</v>
      </c>
      <c r="B107" s="8">
        <v>105</v>
      </c>
      <c r="D107">
        <v>1071.0397350993001</v>
      </c>
      <c r="E107">
        <v>348.57983811626002</v>
      </c>
      <c r="F107">
        <v>140.01399116348</v>
      </c>
      <c r="G107">
        <v>117.79749631812</v>
      </c>
      <c r="I107" s="9">
        <f t="shared" si="8"/>
        <v>230.78234179814001</v>
      </c>
      <c r="J107" s="9">
        <f t="shared" si="9"/>
        <v>931.02574393582006</v>
      </c>
      <c r="K107" s="9">
        <f t="shared" si="10"/>
        <v>230.78234179814001</v>
      </c>
      <c r="L107" s="10">
        <f t="shared" si="7"/>
        <v>0.24787965671339043</v>
      </c>
      <c r="M107" s="10">
        <f t="shared" si="11"/>
        <v>0.25633621276315111</v>
      </c>
      <c r="P107" s="8">
        <f t="shared" si="12"/>
        <v>7.2201349181124099</v>
      </c>
      <c r="X107" s="8">
        <v>-13</v>
      </c>
    </row>
    <row r="108" spans="1:25" x14ac:dyDescent="0.2">
      <c r="A108" s="8">
        <v>53</v>
      </c>
      <c r="B108" s="8">
        <v>106</v>
      </c>
      <c r="D108">
        <v>1057.8035320087999</v>
      </c>
      <c r="E108">
        <v>344.72479764533</v>
      </c>
      <c r="F108">
        <v>139.99852724594999</v>
      </c>
      <c r="G108">
        <v>117.62371134020999</v>
      </c>
      <c r="I108" s="9">
        <f t="shared" si="8"/>
        <v>227.10108630512002</v>
      </c>
      <c r="J108" s="9">
        <f t="shared" si="9"/>
        <v>917.80500476284999</v>
      </c>
      <c r="K108" s="9">
        <f t="shared" si="10"/>
        <v>227.10108630512002</v>
      </c>
      <c r="L108" s="10">
        <f t="shared" si="7"/>
        <v>0.24743936361929109</v>
      </c>
      <c r="M108" s="10">
        <f t="shared" si="11"/>
        <v>0.25597645829809706</v>
      </c>
      <c r="P108" s="8">
        <f t="shared" si="12"/>
        <v>7.0696570676959807</v>
      </c>
      <c r="X108" s="8">
        <v>-13</v>
      </c>
    </row>
    <row r="109" spans="1:25" x14ac:dyDescent="0.2">
      <c r="A109" s="8">
        <v>53.5</v>
      </c>
      <c r="B109" s="8">
        <v>107</v>
      </c>
      <c r="D109">
        <v>1073.9251297256999</v>
      </c>
      <c r="E109">
        <v>345.46775389176997</v>
      </c>
      <c r="F109">
        <v>139.66568483063</v>
      </c>
      <c r="G109">
        <v>117.54270986745</v>
      </c>
      <c r="I109" s="9">
        <f t="shared" si="8"/>
        <v>227.92504402431996</v>
      </c>
      <c r="J109" s="9">
        <f t="shared" si="9"/>
        <v>934.25944489506992</v>
      </c>
      <c r="K109" s="9">
        <f t="shared" si="10"/>
        <v>227.92504402431996</v>
      </c>
      <c r="L109" s="10">
        <f t="shared" si="7"/>
        <v>0.24396332867677784</v>
      </c>
      <c r="M109" s="10">
        <f t="shared" si="11"/>
        <v>0.2525809619846292</v>
      </c>
      <c r="P109" s="8">
        <f t="shared" si="12"/>
        <v>5.6493912031130247</v>
      </c>
      <c r="X109" s="8">
        <v>-13</v>
      </c>
    </row>
    <row r="110" spans="1:25" x14ac:dyDescent="0.2">
      <c r="A110" s="8">
        <v>54</v>
      </c>
      <c r="B110" s="8">
        <v>108</v>
      </c>
      <c r="D110">
        <v>1076.7308533917001</v>
      </c>
      <c r="E110">
        <v>344.13420860686</v>
      </c>
      <c r="F110">
        <v>139.83946980854</v>
      </c>
      <c r="G110">
        <v>117.65095729012999</v>
      </c>
      <c r="I110" s="9">
        <f t="shared" si="8"/>
        <v>226.48325131672999</v>
      </c>
      <c r="J110" s="9">
        <f t="shared" si="9"/>
        <v>936.89138358316006</v>
      </c>
      <c r="K110" s="9">
        <f t="shared" si="10"/>
        <v>226.48325131672999</v>
      </c>
      <c r="L110" s="10">
        <f t="shared" si="7"/>
        <v>0.24173906952857246</v>
      </c>
      <c r="M110" s="10">
        <f t="shared" si="11"/>
        <v>0.25043724146546914</v>
      </c>
      <c r="P110" s="8">
        <f t="shared" si="12"/>
        <v>4.7527172575420007</v>
      </c>
      <c r="X110" s="8">
        <v>-13</v>
      </c>
    </row>
    <row r="111" spans="1:25" x14ac:dyDescent="0.2">
      <c r="A111" s="8">
        <v>54.5</v>
      </c>
      <c r="B111" s="8">
        <v>109</v>
      </c>
      <c r="D111">
        <v>1075.5935672515</v>
      </c>
      <c r="E111">
        <v>344.50438596491</v>
      </c>
      <c r="F111">
        <v>140.12665684831001</v>
      </c>
      <c r="G111">
        <v>117.71134020619</v>
      </c>
      <c r="I111" s="9">
        <f t="shared" si="8"/>
        <v>226.79304575871998</v>
      </c>
      <c r="J111" s="9">
        <f t="shared" si="9"/>
        <v>935.46691040319001</v>
      </c>
      <c r="K111" s="9">
        <f t="shared" si="10"/>
        <v>226.79304575871998</v>
      </c>
      <c r="L111" s="10">
        <f t="shared" si="7"/>
        <v>0.24243834093604794</v>
      </c>
      <c r="M111" s="10">
        <f t="shared" si="11"/>
        <v>0.25121705150198997</v>
      </c>
      <c r="P111" s="8">
        <f t="shared" si="12"/>
        <v>5.0788956637257465</v>
      </c>
      <c r="X111" s="8">
        <v>-13</v>
      </c>
    </row>
    <row r="112" spans="1:25" x14ac:dyDescent="0.2">
      <c r="A112" s="8">
        <v>55</v>
      </c>
      <c r="B112" s="8">
        <v>110</v>
      </c>
      <c r="D112">
        <v>1071.1666666666999</v>
      </c>
      <c r="E112">
        <v>343.06432748537998</v>
      </c>
      <c r="F112">
        <v>139.72312223859001</v>
      </c>
      <c r="G112">
        <v>117.63622974963</v>
      </c>
      <c r="I112" s="9">
        <f t="shared" si="8"/>
        <v>225.42809773574999</v>
      </c>
      <c r="J112" s="9">
        <f t="shared" si="9"/>
        <v>931.44354442810993</v>
      </c>
      <c r="K112" s="9">
        <f t="shared" si="10"/>
        <v>225.42809773574999</v>
      </c>
      <c r="L112" s="10">
        <f t="shared" si="7"/>
        <v>0.24202014076350586</v>
      </c>
      <c r="M112" s="10">
        <f t="shared" si="11"/>
        <v>0.25087938995849324</v>
      </c>
      <c r="P112" s="8">
        <f t="shared" si="12"/>
        <v>4.9376588253558591</v>
      </c>
      <c r="X112" s="8">
        <v>-13</v>
      </c>
    </row>
    <row r="113" spans="1:24" x14ac:dyDescent="0.2">
      <c r="A113" s="8">
        <v>55.5</v>
      </c>
      <c r="B113" s="8">
        <v>111</v>
      </c>
      <c r="D113">
        <v>1053.6052631579</v>
      </c>
      <c r="E113">
        <v>339.55190058480002</v>
      </c>
      <c r="F113">
        <v>139.68483063328</v>
      </c>
      <c r="G113">
        <v>117.65979381443</v>
      </c>
      <c r="I113" s="9">
        <f t="shared" si="8"/>
        <v>221.89210677037002</v>
      </c>
      <c r="J113" s="9">
        <f t="shared" si="9"/>
        <v>913.92043252462008</v>
      </c>
      <c r="K113" s="9">
        <f t="shared" si="10"/>
        <v>221.89210677037002</v>
      </c>
      <c r="L113" s="10">
        <f t="shared" si="7"/>
        <v>0.24279149351920468</v>
      </c>
      <c r="M113" s="10">
        <f t="shared" si="11"/>
        <v>0.25173128134323736</v>
      </c>
      <c r="P113" s="8">
        <f t="shared" si="12"/>
        <v>5.2939873683395149</v>
      </c>
      <c r="X113" s="8">
        <v>-13</v>
      </c>
    </row>
    <row r="114" spans="1:24" x14ac:dyDescent="0.2">
      <c r="A114" s="8">
        <v>56</v>
      </c>
      <c r="B114" s="8">
        <v>112</v>
      </c>
      <c r="D114">
        <v>1047.5869883041</v>
      </c>
      <c r="E114">
        <v>337.74707602338998</v>
      </c>
      <c r="F114">
        <v>140.14138438881</v>
      </c>
      <c r="G114">
        <v>117.53387334315001</v>
      </c>
      <c r="I114" s="9">
        <f t="shared" si="8"/>
        <v>220.21320268023999</v>
      </c>
      <c r="J114" s="9">
        <f t="shared" si="9"/>
        <v>907.44560391529001</v>
      </c>
      <c r="K114" s="9">
        <f t="shared" si="10"/>
        <v>220.21320268023999</v>
      </c>
      <c r="L114" s="10">
        <f t="shared" si="7"/>
        <v>0.24267372251306524</v>
      </c>
      <c r="M114" s="10">
        <f t="shared" si="11"/>
        <v>0.25169404896614328</v>
      </c>
      <c r="P114" s="8">
        <f t="shared" si="12"/>
        <v>5.2784138352350158</v>
      </c>
      <c r="X114" s="8">
        <v>-13</v>
      </c>
    </row>
    <row r="115" spans="1:24" x14ac:dyDescent="0.2">
      <c r="A115" s="8">
        <v>56.5</v>
      </c>
      <c r="B115" s="8">
        <v>113</v>
      </c>
      <c r="D115">
        <v>1060.3684210526001</v>
      </c>
      <c r="E115">
        <v>341.55190058480002</v>
      </c>
      <c r="F115">
        <v>140.09941089838</v>
      </c>
      <c r="G115">
        <v>117.70324005891</v>
      </c>
      <c r="I115" s="9">
        <f t="shared" si="8"/>
        <v>223.84866052589001</v>
      </c>
      <c r="J115" s="9">
        <f t="shared" si="9"/>
        <v>920.26901015422004</v>
      </c>
      <c r="K115" s="9">
        <f t="shared" si="10"/>
        <v>223.84866052589001</v>
      </c>
      <c r="L115" s="10">
        <f t="shared" si="7"/>
        <v>0.2432426367246433</v>
      </c>
      <c r="M115" s="10">
        <f t="shared" si="11"/>
        <v>0.25234350180676668</v>
      </c>
      <c r="P115" s="8">
        <f t="shared" si="12"/>
        <v>5.5500665231013722</v>
      </c>
      <c r="X115" s="8">
        <v>-13</v>
      </c>
    </row>
    <row r="116" spans="1:24" x14ac:dyDescent="0.2">
      <c r="A116" s="8">
        <v>57</v>
      </c>
      <c r="B116" s="8">
        <v>114</v>
      </c>
      <c r="D116">
        <v>1048.4017660044001</v>
      </c>
      <c r="E116">
        <v>340.59234731420003</v>
      </c>
      <c r="F116">
        <v>139.76141384389001</v>
      </c>
      <c r="G116">
        <v>117.73711340206</v>
      </c>
      <c r="I116" s="9">
        <f t="shared" si="8"/>
        <v>222.85523391214002</v>
      </c>
      <c r="J116" s="9">
        <f t="shared" si="9"/>
        <v>908.64035216051002</v>
      </c>
      <c r="K116" s="9">
        <f t="shared" si="10"/>
        <v>222.85523391214002</v>
      </c>
      <c r="L116" s="10">
        <f t="shared" si="7"/>
        <v>0.24526231240143401</v>
      </c>
      <c r="M116" s="10">
        <f t="shared" si="11"/>
        <v>0.25444371611260275</v>
      </c>
      <c r="P116" s="8">
        <f t="shared" si="12"/>
        <v>6.4285427196610803</v>
      </c>
      <c r="X116" s="8">
        <v>-13</v>
      </c>
    </row>
    <row r="117" spans="1:24" x14ac:dyDescent="0.2">
      <c r="A117" s="8">
        <v>57.5</v>
      </c>
      <c r="B117" s="8">
        <v>115</v>
      </c>
      <c r="D117">
        <v>1092.5584988963001</v>
      </c>
      <c r="E117">
        <v>349.00956585724998</v>
      </c>
      <c r="F117">
        <v>139.44108983800001</v>
      </c>
      <c r="G117">
        <v>117.64580265095999</v>
      </c>
      <c r="I117" s="9">
        <f t="shared" si="8"/>
        <v>231.36376320629</v>
      </c>
      <c r="J117" s="9">
        <f t="shared" si="9"/>
        <v>953.11740905830004</v>
      </c>
      <c r="K117" s="9">
        <f t="shared" si="10"/>
        <v>231.36376320629</v>
      </c>
      <c r="L117" s="10">
        <f t="shared" si="7"/>
        <v>0.24274424221763219</v>
      </c>
      <c r="M117" s="10">
        <f t="shared" si="11"/>
        <v>0.25200618455784624</v>
      </c>
      <c r="P117" s="8">
        <f t="shared" si="12"/>
        <v>5.4089736960302544</v>
      </c>
      <c r="X117" s="8">
        <v>-13</v>
      </c>
    </row>
    <row r="118" spans="1:24" x14ac:dyDescent="0.2">
      <c r="A118" s="8">
        <v>58</v>
      </c>
      <c r="B118" s="8">
        <v>116</v>
      </c>
      <c r="D118">
        <v>1071.1442236938999</v>
      </c>
      <c r="E118">
        <v>344.62398822663999</v>
      </c>
      <c r="F118">
        <v>139.97643593519999</v>
      </c>
      <c r="G118">
        <v>117.42341678939999</v>
      </c>
      <c r="I118" s="9">
        <f t="shared" si="8"/>
        <v>227.20057143724</v>
      </c>
      <c r="J118" s="9">
        <f t="shared" si="9"/>
        <v>931.16778775869989</v>
      </c>
      <c r="K118" s="9">
        <f t="shared" si="10"/>
        <v>227.20057143724</v>
      </c>
      <c r="L118" s="10">
        <f t="shared" si="7"/>
        <v>0.24399530828284632</v>
      </c>
      <c r="M118" s="10">
        <f t="shared" si="11"/>
        <v>0.25333778925210571</v>
      </c>
      <c r="P118" s="8">
        <f t="shared" si="12"/>
        <v>5.9659563924548635</v>
      </c>
      <c r="X118" s="8">
        <v>-13</v>
      </c>
    </row>
    <row r="119" spans="1:24" x14ac:dyDescent="0.2">
      <c r="A119" s="8">
        <v>58.5</v>
      </c>
      <c r="B119" s="8">
        <v>117</v>
      </c>
      <c r="D119">
        <v>1046.3852941176999</v>
      </c>
      <c r="E119">
        <v>337.25</v>
      </c>
      <c r="F119">
        <v>139.80044182622001</v>
      </c>
      <c r="G119">
        <v>117.55449189985001</v>
      </c>
      <c r="I119" s="9">
        <f t="shared" si="8"/>
        <v>219.69550810014999</v>
      </c>
      <c r="J119" s="9">
        <f t="shared" si="9"/>
        <v>906.58485229147993</v>
      </c>
      <c r="K119" s="9">
        <f t="shared" si="10"/>
        <v>219.69550810014999</v>
      </c>
      <c r="L119" s="10">
        <f t="shared" si="7"/>
        <v>0.24233308944534931</v>
      </c>
      <c r="M119" s="10">
        <f t="shared" si="11"/>
        <v>0.25175610904365403</v>
      </c>
      <c r="P119" s="8">
        <f t="shared" si="12"/>
        <v>5.304372281807991</v>
      </c>
      <c r="X119" s="8">
        <v>-13</v>
      </c>
    </row>
    <row r="120" spans="1:24" x14ac:dyDescent="0.2">
      <c r="A120" s="8">
        <v>59</v>
      </c>
      <c r="B120" s="8">
        <v>118</v>
      </c>
      <c r="D120">
        <v>1084.3426470587999</v>
      </c>
      <c r="E120">
        <v>346.83382352940998</v>
      </c>
      <c r="F120">
        <v>139.20176730486</v>
      </c>
      <c r="G120">
        <v>117.34167893962</v>
      </c>
      <c r="I120" s="9">
        <f t="shared" si="8"/>
        <v>229.49214458978997</v>
      </c>
      <c r="J120" s="9">
        <f t="shared" si="9"/>
        <v>945.14087975393988</v>
      </c>
      <c r="K120" s="9">
        <f t="shared" si="10"/>
        <v>229.49214458978997</v>
      </c>
      <c r="L120" s="10">
        <f t="shared" si="7"/>
        <v>0.24281263196396338</v>
      </c>
      <c r="M120" s="10">
        <f t="shared" si="11"/>
        <v>0.25231619019131346</v>
      </c>
      <c r="P120" s="8">
        <f t="shared" si="12"/>
        <v>5.5386426393583781</v>
      </c>
      <c r="X120" s="8">
        <v>-13</v>
      </c>
    </row>
    <row r="121" spans="1:24" x14ac:dyDescent="0.2">
      <c r="A121" s="8">
        <v>59.5</v>
      </c>
      <c r="B121" s="8">
        <v>119</v>
      </c>
      <c r="D121">
        <v>1049.8816176471</v>
      </c>
      <c r="E121">
        <v>341.65147058823999</v>
      </c>
      <c r="F121">
        <v>139.57069219440001</v>
      </c>
      <c r="G121">
        <v>117.5618556701</v>
      </c>
      <c r="I121" s="9">
        <f t="shared" si="8"/>
        <v>224.08961491814</v>
      </c>
      <c r="J121" s="9">
        <f t="shared" si="9"/>
        <v>910.31092545270008</v>
      </c>
      <c r="K121" s="9">
        <f t="shared" si="10"/>
        <v>224.08961491814</v>
      </c>
      <c r="L121" s="10">
        <f t="shared" si="7"/>
        <v>0.24616821423592125</v>
      </c>
      <c r="M121" s="10">
        <f t="shared" si="11"/>
        <v>0.25575231109231666</v>
      </c>
      <c r="P121" s="8">
        <f t="shared" si="12"/>
        <v>6.9759009284980493</v>
      </c>
      <c r="X121" s="8">
        <v>-13</v>
      </c>
    </row>
    <row r="122" spans="1:24" x14ac:dyDescent="0.2">
      <c r="A122" s="8">
        <v>60</v>
      </c>
      <c r="B122" s="8">
        <v>120</v>
      </c>
      <c r="D122">
        <v>1062.1191176471</v>
      </c>
      <c r="E122">
        <v>354.71617647059003</v>
      </c>
      <c r="F122">
        <v>139.84683357879001</v>
      </c>
      <c r="G122">
        <v>117.32032400589</v>
      </c>
      <c r="I122" s="9">
        <f t="shared" si="8"/>
        <v>237.39585246470003</v>
      </c>
      <c r="J122" s="9">
        <f t="shared" si="9"/>
        <v>922.27228406831</v>
      </c>
      <c r="K122" s="9">
        <f t="shared" si="10"/>
        <v>237.39585246470003</v>
      </c>
      <c r="L122" s="10">
        <f t="shared" si="7"/>
        <v>0.25740321656149523</v>
      </c>
      <c r="M122" s="10">
        <f t="shared" si="11"/>
        <v>0.26706785204693601</v>
      </c>
      <c r="P122" s="8">
        <f t="shared" si="12"/>
        <v>11.708957622858792</v>
      </c>
      <c r="X122" s="8">
        <v>-13</v>
      </c>
    </row>
    <row r="123" spans="1:24" x14ac:dyDescent="0.2">
      <c r="A123" s="8">
        <v>60.5</v>
      </c>
      <c r="B123" s="8">
        <v>121</v>
      </c>
      <c r="D123">
        <v>1079.4272058823999</v>
      </c>
      <c r="E123">
        <v>385.85735294118001</v>
      </c>
      <c r="F123">
        <v>139.39617083946999</v>
      </c>
      <c r="G123">
        <v>117.77466863034</v>
      </c>
      <c r="I123" s="9">
        <f t="shared" si="8"/>
        <v>268.08268431084002</v>
      </c>
      <c r="J123" s="9">
        <f t="shared" si="9"/>
        <v>940.03103504292994</v>
      </c>
      <c r="K123" s="9">
        <f t="shared" si="10"/>
        <v>268.08268431084002</v>
      </c>
      <c r="L123" s="10">
        <f t="shared" si="7"/>
        <v>0.28518492934501577</v>
      </c>
      <c r="M123" s="10">
        <f t="shared" si="11"/>
        <v>0.29493010345950188</v>
      </c>
      <c r="P123" s="8">
        <f t="shared" si="12"/>
        <v>23.363160996527132</v>
      </c>
      <c r="X123" s="8">
        <v>-13</v>
      </c>
    </row>
    <row r="124" spans="1:24" x14ac:dyDescent="0.2">
      <c r="A124" s="8">
        <v>61</v>
      </c>
      <c r="B124" s="8">
        <v>122</v>
      </c>
      <c r="D124">
        <v>1077.9227941177001</v>
      </c>
      <c r="E124">
        <v>423.57794117647001</v>
      </c>
      <c r="F124">
        <v>139.26583210603999</v>
      </c>
      <c r="G124">
        <v>117.57142857143</v>
      </c>
      <c r="I124" s="9">
        <f t="shared" si="8"/>
        <v>306.00651260504003</v>
      </c>
      <c r="J124" s="9">
        <f t="shared" si="9"/>
        <v>938.65696201166008</v>
      </c>
      <c r="K124" s="9">
        <f t="shared" si="10"/>
        <v>306.00651260504003</v>
      </c>
      <c r="L124" s="10">
        <f t="shared" si="7"/>
        <v>0.32600462681193942</v>
      </c>
      <c r="M124" s="10">
        <f t="shared" si="11"/>
        <v>0.33583033955547087</v>
      </c>
      <c r="P124" s="8">
        <f t="shared" si="12"/>
        <v>40.470883643753695</v>
      </c>
      <c r="X124" s="8">
        <v>-13</v>
      </c>
    </row>
    <row r="125" spans="1:24" x14ac:dyDescent="0.2">
      <c r="A125" s="8">
        <v>61.5</v>
      </c>
      <c r="B125" s="8">
        <v>123</v>
      </c>
      <c r="D125">
        <v>1111.2752562226001</v>
      </c>
      <c r="E125">
        <v>496.33674963396999</v>
      </c>
      <c r="F125">
        <v>139.60898379970999</v>
      </c>
      <c r="G125">
        <v>117.69661266569</v>
      </c>
      <c r="I125" s="9">
        <f t="shared" si="8"/>
        <v>378.64013696827999</v>
      </c>
      <c r="J125" s="9">
        <f t="shared" si="9"/>
        <v>971.66627242289007</v>
      </c>
      <c r="K125" s="9">
        <f t="shared" si="10"/>
        <v>378.64013696827999</v>
      </c>
      <c r="L125" s="10">
        <f t="shared" si="7"/>
        <v>0.38968125962026562</v>
      </c>
      <c r="M125" s="10">
        <f t="shared" si="11"/>
        <v>0.3995875109928424</v>
      </c>
      <c r="P125" s="8">
        <f t="shared" si="12"/>
        <v>67.139189498098816</v>
      </c>
      <c r="X125" s="8">
        <v>-13</v>
      </c>
    </row>
    <row r="126" spans="1:24" x14ac:dyDescent="0.2">
      <c r="A126" s="8">
        <v>62</v>
      </c>
      <c r="B126" s="8">
        <v>124</v>
      </c>
      <c r="D126">
        <v>1176.7423133236</v>
      </c>
      <c r="E126">
        <v>610.47144948755999</v>
      </c>
      <c r="F126">
        <v>139.56553755523001</v>
      </c>
      <c r="G126">
        <v>117.54639175258001</v>
      </c>
      <c r="I126" s="9">
        <f t="shared" si="8"/>
        <v>492.92505773497999</v>
      </c>
      <c r="J126" s="9">
        <f t="shared" si="9"/>
        <v>1037.1767757683699</v>
      </c>
      <c r="K126" s="9">
        <f t="shared" si="10"/>
        <v>492.92505773497999</v>
      </c>
      <c r="L126" s="10">
        <f t="shared" si="7"/>
        <v>0.47525655148786683</v>
      </c>
      <c r="M126" s="10">
        <f t="shared" si="11"/>
        <v>0.48524334148948894</v>
      </c>
      <c r="P126" s="8">
        <f t="shared" si="12"/>
        <v>102.96725141480991</v>
      </c>
      <c r="X126" s="8">
        <v>-13</v>
      </c>
    </row>
    <row r="127" spans="1:24" x14ac:dyDescent="0.2">
      <c r="A127" s="8">
        <v>62.5</v>
      </c>
      <c r="B127" s="8">
        <v>125</v>
      </c>
      <c r="D127">
        <v>1206.3294289897999</v>
      </c>
      <c r="E127">
        <v>721.46559297218005</v>
      </c>
      <c r="F127">
        <v>139.34756995582001</v>
      </c>
      <c r="G127">
        <v>117.39617083947</v>
      </c>
      <c r="I127" s="9">
        <f t="shared" si="8"/>
        <v>604.06942213271009</v>
      </c>
      <c r="J127" s="9">
        <f t="shared" si="9"/>
        <v>1066.9818590339798</v>
      </c>
      <c r="K127" s="9">
        <f t="shared" si="10"/>
        <v>604.06942213271009</v>
      </c>
      <c r="L127" s="10">
        <f t="shared" si="7"/>
        <v>0.56614779062843701</v>
      </c>
      <c r="M127" s="10">
        <f t="shared" si="11"/>
        <v>0.57621511925910451</v>
      </c>
      <c r="P127" s="8">
        <f t="shared" si="12"/>
        <v>141.01886410369363</v>
      </c>
      <c r="X127" s="8">
        <v>-13</v>
      </c>
    </row>
    <row r="128" spans="1:24" x14ac:dyDescent="0.2">
      <c r="A128" s="8">
        <v>63</v>
      </c>
      <c r="B128" s="8">
        <v>126</v>
      </c>
      <c r="D128">
        <v>1255.0366032211</v>
      </c>
      <c r="E128">
        <v>859.44509516838002</v>
      </c>
      <c r="F128">
        <v>139.49337260678001</v>
      </c>
      <c r="G128">
        <v>117.39764359352</v>
      </c>
      <c r="I128" s="9">
        <f t="shared" si="8"/>
        <v>742.04745157486002</v>
      </c>
      <c r="J128" s="9">
        <f t="shared" si="9"/>
        <v>1115.54323061432</v>
      </c>
      <c r="K128" s="9">
        <f t="shared" si="10"/>
        <v>742.04745157486002</v>
      </c>
      <c r="L128" s="10">
        <f t="shared" si="7"/>
        <v>0.66518932768407457</v>
      </c>
      <c r="M128" s="10">
        <f t="shared" si="11"/>
        <v>0.67533719494378741</v>
      </c>
      <c r="P128" s="8">
        <f t="shared" si="12"/>
        <v>182.47957780353664</v>
      </c>
      <c r="X128" s="8">
        <v>-13</v>
      </c>
    </row>
    <row r="129" spans="1:24" x14ac:dyDescent="0.2">
      <c r="A129" s="8">
        <v>63.5</v>
      </c>
      <c r="B129" s="8">
        <v>127</v>
      </c>
      <c r="D129">
        <v>1253.7320644217</v>
      </c>
      <c r="E129">
        <v>927.20204978037998</v>
      </c>
      <c r="F129">
        <v>139.65022091310999</v>
      </c>
      <c r="G129">
        <v>117.49116347570001</v>
      </c>
      <c r="I129" s="9">
        <f t="shared" si="8"/>
        <v>809.71088630468</v>
      </c>
      <c r="J129" s="9">
        <f t="shared" si="9"/>
        <v>1114.0818435085901</v>
      </c>
      <c r="K129" s="9">
        <f t="shared" si="10"/>
        <v>809.71088630468</v>
      </c>
      <c r="L129" s="10">
        <f t="shared" si="7"/>
        <v>0.72679659131204288</v>
      </c>
      <c r="M129" s="10">
        <f t="shared" si="11"/>
        <v>0.73702499720080106</v>
      </c>
      <c r="P129" s="8">
        <f t="shared" si="12"/>
        <v>208.28230933921</v>
      </c>
      <c r="X129" s="8">
        <v>-13</v>
      </c>
    </row>
    <row r="130" spans="1:24" x14ac:dyDescent="0.2">
      <c r="A130" s="8">
        <v>64</v>
      </c>
      <c r="B130" s="8">
        <v>128</v>
      </c>
      <c r="D130">
        <v>1283.8579795021999</v>
      </c>
      <c r="E130">
        <v>1014.7510980966</v>
      </c>
      <c r="F130">
        <v>139.70618556701001</v>
      </c>
      <c r="G130">
        <v>117.72827687776</v>
      </c>
      <c r="I130" s="9">
        <f t="shared" si="8"/>
        <v>897.02282121884002</v>
      </c>
      <c r="J130" s="9">
        <f t="shared" si="9"/>
        <v>1144.15179393519</v>
      </c>
      <c r="K130" s="9">
        <f t="shared" si="10"/>
        <v>897.02282121884002</v>
      </c>
      <c r="L130" s="10">
        <f t="shared" ref="L130:L193" si="14">K130/J130</f>
        <v>0.7840068301895714</v>
      </c>
      <c r="M130" s="10">
        <f t="shared" si="11"/>
        <v>0.79431577470737491</v>
      </c>
      <c r="P130" s="8">
        <f t="shared" si="12"/>
        <v>232.24585638394282</v>
      </c>
      <c r="X130" s="8">
        <v>-13</v>
      </c>
    </row>
    <row r="131" spans="1:24" x14ac:dyDescent="0.2">
      <c r="A131" s="8">
        <v>64.5</v>
      </c>
      <c r="B131" s="8">
        <v>129</v>
      </c>
      <c r="D131">
        <v>1304.6778916544999</v>
      </c>
      <c r="E131">
        <v>1068.7906295754001</v>
      </c>
      <c r="F131">
        <v>139.54344624448001</v>
      </c>
      <c r="G131">
        <v>117.66053019146</v>
      </c>
      <c r="I131" s="9">
        <f t="shared" ref="I131:I194" si="15">E131-G131</f>
        <v>951.13009938394009</v>
      </c>
      <c r="J131" s="9">
        <f t="shared" ref="J131:J194" si="16">D131-F131</f>
        <v>1165.1344454100199</v>
      </c>
      <c r="K131" s="9">
        <f t="shared" ref="K131:K194" si="17">I131*1</f>
        <v>951.13009938394009</v>
      </c>
      <c r="L131" s="10">
        <f t="shared" si="14"/>
        <v>0.81632647900065303</v>
      </c>
      <c r="M131" s="10">
        <f t="shared" ref="M131:M181" si="18">L131+ABS($N$2)*A131</f>
        <v>0.82671596214750187</v>
      </c>
      <c r="P131" s="8">
        <f t="shared" ref="P131:P194" si="19">(M131-$O$2)/$O$2*100</f>
        <v>245.79818452071063</v>
      </c>
      <c r="X131" s="8">
        <v>-13</v>
      </c>
    </row>
    <row r="132" spans="1:24" x14ac:dyDescent="0.2">
      <c r="A132" s="8">
        <v>65</v>
      </c>
      <c r="B132" s="8">
        <v>130</v>
      </c>
      <c r="D132">
        <v>1292.6888726208001</v>
      </c>
      <c r="E132">
        <v>1100.4729136164001</v>
      </c>
      <c r="F132">
        <v>139.43667157585</v>
      </c>
      <c r="G132">
        <v>117.40132547864999</v>
      </c>
      <c r="I132" s="9">
        <f t="shared" si="15"/>
        <v>983.07158813775004</v>
      </c>
      <c r="J132" s="9">
        <f t="shared" si="16"/>
        <v>1153.2522010449502</v>
      </c>
      <c r="K132" s="9">
        <f t="shared" si="17"/>
        <v>983.07158813775004</v>
      </c>
      <c r="L132" s="10">
        <f t="shared" si="14"/>
        <v>0.85243417462979809</v>
      </c>
      <c r="M132" s="10">
        <f t="shared" si="18"/>
        <v>0.86290419640569227</v>
      </c>
      <c r="P132" s="8">
        <f t="shared" si="19"/>
        <v>260.93497427735952</v>
      </c>
      <c r="X132" s="8">
        <v>-13</v>
      </c>
    </row>
    <row r="133" spans="1:24" x14ac:dyDescent="0.2">
      <c r="A133" s="8">
        <v>65.5</v>
      </c>
      <c r="B133" s="8">
        <v>131</v>
      </c>
      <c r="D133">
        <v>1326.5856515373</v>
      </c>
      <c r="E133">
        <v>1134.2540263543001</v>
      </c>
      <c r="F133">
        <v>139.99116347570001</v>
      </c>
      <c r="G133">
        <v>117.24447717231</v>
      </c>
      <c r="I133" s="9">
        <f t="shared" si="15"/>
        <v>1017.0095491819901</v>
      </c>
      <c r="J133" s="9">
        <f t="shared" si="16"/>
        <v>1186.5944880616</v>
      </c>
      <c r="K133" s="9">
        <f t="shared" si="17"/>
        <v>1017.0095491819901</v>
      </c>
      <c r="L133" s="10">
        <f t="shared" si="14"/>
        <v>0.85708265074057366</v>
      </c>
      <c r="M133" s="10">
        <f t="shared" si="18"/>
        <v>0.86763321114551317</v>
      </c>
      <c r="P133" s="8">
        <f t="shared" si="19"/>
        <v>262.913023312912</v>
      </c>
      <c r="X133" s="8">
        <v>-13</v>
      </c>
    </row>
    <row r="134" spans="1:24" x14ac:dyDescent="0.2">
      <c r="A134" s="8">
        <v>66</v>
      </c>
      <c r="B134" s="8">
        <v>132</v>
      </c>
      <c r="D134">
        <v>1305.7081798084</v>
      </c>
      <c r="E134">
        <v>1114.1436993368</v>
      </c>
      <c r="F134">
        <v>138.60456553756001</v>
      </c>
      <c r="G134">
        <v>117.61487481591</v>
      </c>
      <c r="I134" s="9">
        <f t="shared" si="15"/>
        <v>996.52882452089</v>
      </c>
      <c r="J134" s="9">
        <f t="shared" si="16"/>
        <v>1167.1036142708399</v>
      </c>
      <c r="K134" s="9">
        <f t="shared" si="17"/>
        <v>996.52882452089</v>
      </c>
      <c r="L134" s="10">
        <f t="shared" si="14"/>
        <v>0.85384777524100264</v>
      </c>
      <c r="M134" s="10">
        <f t="shared" si="18"/>
        <v>0.86447887427498749</v>
      </c>
      <c r="P134" s="8">
        <f t="shared" si="19"/>
        <v>261.59362945439608</v>
      </c>
      <c r="X134" s="8">
        <v>-13</v>
      </c>
    </row>
    <row r="135" spans="1:24" x14ac:dyDescent="0.2">
      <c r="A135" s="8">
        <v>66.5</v>
      </c>
      <c r="B135" s="8">
        <v>133</v>
      </c>
      <c r="D135">
        <v>1266.809347181</v>
      </c>
      <c r="E135">
        <v>1055.9777448071</v>
      </c>
      <c r="F135">
        <v>138.87997054492001</v>
      </c>
      <c r="G135">
        <v>118.07658321060001</v>
      </c>
      <c r="I135" s="9">
        <f t="shared" si="15"/>
        <v>937.90116159649995</v>
      </c>
      <c r="J135" s="9">
        <f t="shared" si="16"/>
        <v>1127.92937663608</v>
      </c>
      <c r="K135" s="9">
        <f t="shared" si="17"/>
        <v>937.90116159649995</v>
      </c>
      <c r="L135" s="10">
        <f t="shared" si="14"/>
        <v>0.83152472222479268</v>
      </c>
      <c r="M135" s="10">
        <f t="shared" si="18"/>
        <v>0.84223635988782286</v>
      </c>
      <c r="P135" s="8">
        <f t="shared" si="19"/>
        <v>252.29004582178075</v>
      </c>
      <c r="X135" s="8">
        <v>-13</v>
      </c>
    </row>
    <row r="136" spans="1:24" x14ac:dyDescent="0.2">
      <c r="A136" s="8">
        <v>67</v>
      </c>
      <c r="B136" s="8">
        <v>134</v>
      </c>
      <c r="D136">
        <v>1230.3545994065</v>
      </c>
      <c r="E136">
        <v>1020.9057863501999</v>
      </c>
      <c r="F136">
        <v>139.06185567009999</v>
      </c>
      <c r="G136">
        <v>117.46686303387</v>
      </c>
      <c r="I136" s="9">
        <f t="shared" si="15"/>
        <v>903.43892331632992</v>
      </c>
      <c r="J136" s="9">
        <f t="shared" si="16"/>
        <v>1091.2927437364001</v>
      </c>
      <c r="K136" s="9">
        <f t="shared" si="17"/>
        <v>903.43892331632992</v>
      </c>
      <c r="L136" s="10">
        <f t="shared" si="14"/>
        <v>0.82786120268985686</v>
      </c>
      <c r="M136" s="10">
        <f t="shared" si="18"/>
        <v>0.83865337898193237</v>
      </c>
      <c r="P136" s="8">
        <f t="shared" si="19"/>
        <v>250.79135903072029</v>
      </c>
      <c r="X136" s="8">
        <v>-13</v>
      </c>
    </row>
    <row r="137" spans="1:24" x14ac:dyDescent="0.2">
      <c r="A137" s="8">
        <v>67.5</v>
      </c>
      <c r="B137" s="8">
        <v>135</v>
      </c>
      <c r="D137">
        <v>1224.0089020772</v>
      </c>
      <c r="E137">
        <v>998.90430267062004</v>
      </c>
      <c r="F137">
        <v>139.28865979381001</v>
      </c>
      <c r="G137">
        <v>117.36229749632</v>
      </c>
      <c r="I137" s="9">
        <f t="shared" si="15"/>
        <v>881.54200517430002</v>
      </c>
      <c r="J137" s="9">
        <f t="shared" si="16"/>
        <v>1084.72024228339</v>
      </c>
      <c r="K137" s="9">
        <f t="shared" si="17"/>
        <v>881.54200517430002</v>
      </c>
      <c r="L137" s="10">
        <f t="shared" si="14"/>
        <v>0.81269065590461398</v>
      </c>
      <c r="M137" s="10">
        <f t="shared" si="18"/>
        <v>0.82356337082573483</v>
      </c>
      <c r="P137" s="8">
        <f t="shared" si="19"/>
        <v>244.47952078912985</v>
      </c>
      <c r="X137" s="8">
        <v>-13</v>
      </c>
    </row>
    <row r="138" spans="1:24" x14ac:dyDescent="0.2">
      <c r="A138" s="8">
        <v>68</v>
      </c>
      <c r="B138" s="8">
        <v>136</v>
      </c>
      <c r="D138">
        <v>1274.1146216018001</v>
      </c>
      <c r="E138">
        <v>1040.0646583395001</v>
      </c>
      <c r="F138">
        <v>138.98527245950001</v>
      </c>
      <c r="G138">
        <v>117.38217967599</v>
      </c>
      <c r="I138" s="9">
        <f t="shared" si="15"/>
        <v>922.6824786635101</v>
      </c>
      <c r="J138" s="9">
        <f t="shared" si="16"/>
        <v>1135.1293491423</v>
      </c>
      <c r="K138" s="9">
        <f t="shared" si="17"/>
        <v>922.6824786635101</v>
      </c>
      <c r="L138" s="10">
        <f t="shared" si="14"/>
        <v>0.81284346965452514</v>
      </c>
      <c r="M138" s="10">
        <f t="shared" si="18"/>
        <v>0.82379672320469133</v>
      </c>
      <c r="P138" s="8">
        <f t="shared" si="19"/>
        <v>244.577127261838</v>
      </c>
      <c r="X138" s="8">
        <v>-13</v>
      </c>
    </row>
    <row r="139" spans="1:24" x14ac:dyDescent="0.2">
      <c r="A139" s="8">
        <v>68.5</v>
      </c>
      <c r="B139" s="8">
        <v>137</v>
      </c>
      <c r="D139">
        <v>1229.5767817781</v>
      </c>
      <c r="E139">
        <v>983.78471711976999</v>
      </c>
      <c r="F139">
        <v>139.62592047128001</v>
      </c>
      <c r="G139">
        <v>117.4587628866</v>
      </c>
      <c r="I139" s="9">
        <f t="shared" si="15"/>
        <v>866.32595423317002</v>
      </c>
      <c r="J139" s="9">
        <f t="shared" si="16"/>
        <v>1089.9508613068199</v>
      </c>
      <c r="K139" s="9">
        <f t="shared" si="17"/>
        <v>866.32595423317002</v>
      </c>
      <c r="L139" s="10">
        <f t="shared" si="14"/>
        <v>0.79483028546302537</v>
      </c>
      <c r="M139" s="10">
        <f t="shared" si="18"/>
        <v>0.80586407764223689</v>
      </c>
      <c r="P139" s="8">
        <f t="shared" si="19"/>
        <v>237.07627259944343</v>
      </c>
      <c r="X139" s="8">
        <v>-13</v>
      </c>
    </row>
    <row r="140" spans="1:24" x14ac:dyDescent="0.2">
      <c r="A140" s="8">
        <v>69</v>
      </c>
      <c r="B140" s="8">
        <v>138</v>
      </c>
      <c r="D140">
        <v>1217.4445260837999</v>
      </c>
      <c r="E140">
        <v>948.94489346068997</v>
      </c>
      <c r="F140">
        <v>138.98821796760001</v>
      </c>
      <c r="G140">
        <v>117.66347569956</v>
      </c>
      <c r="I140" s="9">
        <f t="shared" si="15"/>
        <v>831.28141776113</v>
      </c>
      <c r="J140" s="9">
        <f t="shared" si="16"/>
        <v>1078.4563081162</v>
      </c>
      <c r="K140" s="9">
        <f t="shared" si="17"/>
        <v>831.28141776113</v>
      </c>
      <c r="L140" s="10">
        <f t="shared" si="14"/>
        <v>0.77080676472946386</v>
      </c>
      <c r="M140" s="10">
        <f t="shared" si="18"/>
        <v>0.78192109553772071</v>
      </c>
      <c r="P140" s="8">
        <f t="shared" si="19"/>
        <v>227.0614184985904</v>
      </c>
      <c r="X140" s="8">
        <v>-13</v>
      </c>
    </row>
    <row r="141" spans="1:24" x14ac:dyDescent="0.2">
      <c r="A141" s="8">
        <v>69.5</v>
      </c>
      <c r="B141" s="8">
        <v>139</v>
      </c>
      <c r="D141">
        <v>1255.7956043956001</v>
      </c>
      <c r="E141">
        <v>952.21978021977998</v>
      </c>
      <c r="F141">
        <v>139.37849779087</v>
      </c>
      <c r="G141">
        <v>117.78129602356</v>
      </c>
      <c r="I141" s="9">
        <f t="shared" si="15"/>
        <v>834.43848419621997</v>
      </c>
      <c r="J141" s="9">
        <f t="shared" si="16"/>
        <v>1116.4171066047302</v>
      </c>
      <c r="K141" s="9">
        <f t="shared" si="17"/>
        <v>834.43848419621997</v>
      </c>
      <c r="L141" s="10">
        <f t="shared" si="14"/>
        <v>0.74742538363097177</v>
      </c>
      <c r="M141" s="10">
        <f t="shared" si="18"/>
        <v>0.75862025306827396</v>
      </c>
      <c r="P141" s="8">
        <f t="shared" si="19"/>
        <v>217.31515812301035</v>
      </c>
      <c r="X141" s="8">
        <v>-13</v>
      </c>
    </row>
    <row r="142" spans="1:24" x14ac:dyDescent="0.2">
      <c r="A142" s="8">
        <v>70</v>
      </c>
      <c r="B142" s="8">
        <v>140</v>
      </c>
      <c r="D142">
        <v>1256.3670329669999</v>
      </c>
      <c r="E142">
        <v>931.06886446886006</v>
      </c>
      <c r="F142">
        <v>139.46907216495001</v>
      </c>
      <c r="G142">
        <v>117.18041237113</v>
      </c>
      <c r="I142" s="9">
        <f t="shared" si="15"/>
        <v>813.88845209773001</v>
      </c>
      <c r="J142" s="9">
        <f t="shared" si="16"/>
        <v>1116.89796080205</v>
      </c>
      <c r="K142" s="9">
        <f t="shared" si="17"/>
        <v>813.88845209773001</v>
      </c>
      <c r="L142" s="10">
        <f t="shared" si="14"/>
        <v>0.72870439436855328</v>
      </c>
      <c r="M142" s="10">
        <f t="shared" si="18"/>
        <v>0.7399798024349008</v>
      </c>
      <c r="P142" s="8">
        <f t="shared" si="19"/>
        <v>209.51824324196161</v>
      </c>
      <c r="X142" s="8">
        <v>-13</v>
      </c>
    </row>
    <row r="143" spans="1:24" x14ac:dyDescent="0.2">
      <c r="A143" s="8">
        <v>70.5</v>
      </c>
      <c r="B143" s="8">
        <v>141</v>
      </c>
      <c r="D143">
        <v>1221.2227106227001</v>
      </c>
      <c r="E143">
        <v>879.00586080586004</v>
      </c>
      <c r="F143">
        <v>139.20324005891001</v>
      </c>
      <c r="G143">
        <v>117.74742268041</v>
      </c>
      <c r="I143" s="9">
        <f t="shared" si="15"/>
        <v>761.25843812545008</v>
      </c>
      <c r="J143" s="9">
        <f t="shared" si="16"/>
        <v>1082.01947056379</v>
      </c>
      <c r="K143" s="9">
        <f t="shared" si="17"/>
        <v>761.25843812545008</v>
      </c>
      <c r="L143" s="10">
        <f t="shared" si="14"/>
        <v>0.70355336371978017</v>
      </c>
      <c r="M143" s="10">
        <f t="shared" si="18"/>
        <v>0.71490931041517303</v>
      </c>
      <c r="P143" s="8">
        <f t="shared" si="19"/>
        <v>199.03177506860843</v>
      </c>
      <c r="X143" s="8">
        <v>-13</v>
      </c>
    </row>
    <row r="144" spans="1:24" x14ac:dyDescent="0.2">
      <c r="A144" s="8">
        <v>71</v>
      </c>
      <c r="B144" s="8">
        <v>142</v>
      </c>
      <c r="D144">
        <v>1271.9786607799999</v>
      </c>
      <c r="E144">
        <v>908.66225165563003</v>
      </c>
      <c r="F144">
        <v>139.66053019146</v>
      </c>
      <c r="G144">
        <v>117.10088365243</v>
      </c>
      <c r="I144" s="9">
        <f t="shared" si="15"/>
        <v>791.56136800320007</v>
      </c>
      <c r="J144" s="9">
        <f t="shared" si="16"/>
        <v>1132.31813058854</v>
      </c>
      <c r="K144" s="9">
        <f t="shared" si="17"/>
        <v>791.56136800320007</v>
      </c>
      <c r="L144" s="10">
        <f t="shared" si="14"/>
        <v>0.69906269856491099</v>
      </c>
      <c r="M144" s="10">
        <f t="shared" si="18"/>
        <v>0.71049918388934918</v>
      </c>
      <c r="P144" s="8">
        <f t="shared" si="19"/>
        <v>197.18711037606386</v>
      </c>
    </row>
    <row r="145" spans="1:16" x14ac:dyDescent="0.2">
      <c r="A145" s="8">
        <v>71.5</v>
      </c>
      <c r="B145" s="8">
        <v>143</v>
      </c>
      <c r="D145">
        <v>1194.8623988227</v>
      </c>
      <c r="E145">
        <v>829.10375275937997</v>
      </c>
      <c r="F145">
        <v>139.14580265096001</v>
      </c>
      <c r="G145">
        <v>117.69145802651001</v>
      </c>
      <c r="I145" s="9">
        <f t="shared" si="15"/>
        <v>711.41229473287001</v>
      </c>
      <c r="J145" s="9">
        <f t="shared" si="16"/>
        <v>1055.7165961717401</v>
      </c>
      <c r="K145" s="9">
        <f t="shared" si="17"/>
        <v>711.41229473287001</v>
      </c>
      <c r="L145" s="10">
        <f t="shared" si="14"/>
        <v>0.67386673403885755</v>
      </c>
      <c r="M145" s="10">
        <f t="shared" si="18"/>
        <v>0.68538375799234108</v>
      </c>
      <c r="P145" s="8">
        <f t="shared" si="19"/>
        <v>186.6818472914008</v>
      </c>
    </row>
    <row r="146" spans="1:16" x14ac:dyDescent="0.2">
      <c r="A146" s="8">
        <v>72</v>
      </c>
      <c r="B146" s="8">
        <v>144</v>
      </c>
      <c r="D146">
        <v>1186.24761205</v>
      </c>
      <c r="E146">
        <v>827.17854518735999</v>
      </c>
      <c r="F146">
        <v>139.24594992636</v>
      </c>
      <c r="G146">
        <v>117.63107511046</v>
      </c>
      <c r="I146" s="9">
        <f t="shared" si="15"/>
        <v>709.54747007690003</v>
      </c>
      <c r="J146" s="9">
        <f t="shared" si="16"/>
        <v>1047.00166212364</v>
      </c>
      <c r="K146" s="9">
        <f t="shared" si="17"/>
        <v>709.54747007690003</v>
      </c>
      <c r="L146" s="10">
        <f t="shared" si="14"/>
        <v>0.67769469308933139</v>
      </c>
      <c r="M146" s="10">
        <f t="shared" si="18"/>
        <v>0.68929225567186025</v>
      </c>
      <c r="P146" s="8">
        <f t="shared" si="19"/>
        <v>188.31669101483675</v>
      </c>
    </row>
    <row r="147" spans="1:16" x14ac:dyDescent="0.2">
      <c r="A147" s="8">
        <v>72.5</v>
      </c>
      <c r="B147" s="8">
        <v>145</v>
      </c>
      <c r="D147">
        <v>1180.1263776635001</v>
      </c>
      <c r="E147">
        <v>799.31594415870995</v>
      </c>
      <c r="F147">
        <v>139.30854197349001</v>
      </c>
      <c r="G147">
        <v>117.63917525773</v>
      </c>
      <c r="I147" s="9">
        <f t="shared" si="15"/>
        <v>681.67676890097994</v>
      </c>
      <c r="J147" s="9">
        <f t="shared" si="16"/>
        <v>1040.81783569001</v>
      </c>
      <c r="K147" s="9">
        <f t="shared" si="17"/>
        <v>681.67676890097994</v>
      </c>
      <c r="L147" s="10">
        <f t="shared" si="14"/>
        <v>0.65494339693848769</v>
      </c>
      <c r="M147" s="10">
        <f t="shared" si="18"/>
        <v>0.66662149815006189</v>
      </c>
      <c r="P147" s="8">
        <f t="shared" si="19"/>
        <v>178.83398213815923</v>
      </c>
    </row>
    <row r="148" spans="1:16" x14ac:dyDescent="0.2">
      <c r="A148" s="8">
        <v>73</v>
      </c>
      <c r="B148" s="8">
        <v>146</v>
      </c>
      <c r="D148">
        <v>1197.5481263777001</v>
      </c>
      <c r="E148">
        <v>778.02939015430002</v>
      </c>
      <c r="F148">
        <v>139.16494845361001</v>
      </c>
      <c r="G148">
        <v>117.31075110457</v>
      </c>
      <c r="I148" s="9">
        <f t="shared" si="15"/>
        <v>660.71863904972997</v>
      </c>
      <c r="J148" s="9">
        <f t="shared" si="16"/>
        <v>1058.38317792409</v>
      </c>
      <c r="K148" s="9">
        <f t="shared" si="17"/>
        <v>660.71863904972997</v>
      </c>
      <c r="L148" s="10">
        <f t="shared" si="14"/>
        <v>0.6242716747876339</v>
      </c>
      <c r="M148" s="10">
        <f t="shared" si="18"/>
        <v>0.63603031462825355</v>
      </c>
      <c r="P148" s="8">
        <f t="shared" si="19"/>
        <v>166.03832291718263</v>
      </c>
    </row>
    <row r="149" spans="1:16" x14ac:dyDescent="0.2">
      <c r="A149" s="8">
        <v>73.5</v>
      </c>
      <c r="B149" s="8">
        <v>147</v>
      </c>
      <c r="D149">
        <v>1201.9948491538</v>
      </c>
      <c r="E149">
        <v>748.15673289182996</v>
      </c>
      <c r="F149">
        <v>138.89911634756999</v>
      </c>
      <c r="G149">
        <v>117.44256259205</v>
      </c>
      <c r="I149" s="9">
        <f t="shared" si="15"/>
        <v>630.71417029977999</v>
      </c>
      <c r="J149" s="9">
        <f t="shared" si="16"/>
        <v>1063.09573280623</v>
      </c>
      <c r="K149" s="9">
        <f t="shared" si="17"/>
        <v>630.71417029977999</v>
      </c>
      <c r="L149" s="10">
        <f t="shared" si="14"/>
        <v>0.59328069038044007</v>
      </c>
      <c r="M149" s="10">
        <f t="shared" si="18"/>
        <v>0.60511986885010505</v>
      </c>
      <c r="P149" s="8">
        <f t="shared" si="19"/>
        <v>153.10912289902387</v>
      </c>
    </row>
    <row r="150" spans="1:16" x14ac:dyDescent="0.2">
      <c r="A150" s="8">
        <v>74</v>
      </c>
      <c r="B150" s="8">
        <v>148</v>
      </c>
      <c r="D150">
        <v>1145.6615158205</v>
      </c>
      <c r="E150">
        <v>691.42604856512003</v>
      </c>
      <c r="F150">
        <v>139.39837997055</v>
      </c>
      <c r="G150">
        <v>117.19366715759</v>
      </c>
      <c r="I150" s="9">
        <f t="shared" si="15"/>
        <v>574.23238140753006</v>
      </c>
      <c r="J150" s="9">
        <f t="shared" si="16"/>
        <v>1006.26313584995</v>
      </c>
      <c r="K150" s="9">
        <f t="shared" si="17"/>
        <v>574.23238140753006</v>
      </c>
      <c r="L150" s="10">
        <f t="shared" si="14"/>
        <v>0.57065827113153567</v>
      </c>
      <c r="M150" s="10">
        <f t="shared" si="18"/>
        <v>0.58257798823024598</v>
      </c>
      <c r="P150" s="8">
        <f t="shared" si="19"/>
        <v>143.68032056432421</v>
      </c>
    </row>
    <row r="151" spans="1:16" x14ac:dyDescent="0.2">
      <c r="A151" s="8">
        <v>74.5</v>
      </c>
      <c r="B151" s="8">
        <v>149</v>
      </c>
      <c r="D151">
        <v>1138.2774098601999</v>
      </c>
      <c r="E151">
        <v>672.37454010301997</v>
      </c>
      <c r="F151">
        <v>139.0471281296</v>
      </c>
      <c r="G151">
        <v>117.26067746686</v>
      </c>
      <c r="I151" s="9">
        <f t="shared" si="15"/>
        <v>555.11386263615998</v>
      </c>
      <c r="J151" s="9">
        <f t="shared" si="16"/>
        <v>999.23028173059993</v>
      </c>
      <c r="K151" s="9">
        <f t="shared" si="17"/>
        <v>555.11386263615998</v>
      </c>
      <c r="L151" s="10">
        <f t="shared" si="14"/>
        <v>0.55554147305738166</v>
      </c>
      <c r="M151" s="10">
        <f t="shared" si="18"/>
        <v>0.56754172878513731</v>
      </c>
      <c r="P151" s="8">
        <f t="shared" si="19"/>
        <v>137.39096429667146</v>
      </c>
    </row>
    <row r="152" spans="1:16" x14ac:dyDescent="0.2">
      <c r="A152" s="8">
        <v>75</v>
      </c>
      <c r="B152" s="8">
        <v>150</v>
      </c>
      <c r="D152">
        <v>1144.1925329429</v>
      </c>
      <c r="E152">
        <v>655.53074670571004</v>
      </c>
      <c r="F152">
        <v>139.64064801178</v>
      </c>
      <c r="G152">
        <v>117.08689248895</v>
      </c>
      <c r="I152" s="9">
        <f t="shared" si="15"/>
        <v>538.44385421676009</v>
      </c>
      <c r="J152" s="9">
        <f t="shared" si="16"/>
        <v>1004.55188493112</v>
      </c>
      <c r="K152" s="9">
        <f t="shared" si="17"/>
        <v>538.44385421676009</v>
      </c>
      <c r="L152" s="10">
        <f t="shared" si="14"/>
        <v>0.53600402556974946</v>
      </c>
      <c r="M152" s="10">
        <f t="shared" si="18"/>
        <v>0.54808481992655045</v>
      </c>
      <c r="P152" s="8">
        <f t="shared" si="19"/>
        <v>129.25254183025748</v>
      </c>
    </row>
    <row r="153" spans="1:16" x14ac:dyDescent="0.2">
      <c r="A153" s="8">
        <v>75.5</v>
      </c>
      <c r="B153" s="8">
        <v>151</v>
      </c>
      <c r="D153">
        <v>1143.4490095378001</v>
      </c>
      <c r="E153">
        <v>635.02934702861</v>
      </c>
      <c r="F153">
        <v>139.54270986744999</v>
      </c>
      <c r="G153">
        <v>117.03534609720001</v>
      </c>
      <c r="I153" s="9">
        <f t="shared" si="15"/>
        <v>517.99400093141003</v>
      </c>
      <c r="J153" s="9">
        <f t="shared" si="16"/>
        <v>1003.9062996703501</v>
      </c>
      <c r="K153" s="9">
        <f t="shared" si="17"/>
        <v>517.99400093141003</v>
      </c>
      <c r="L153" s="10">
        <f t="shared" si="14"/>
        <v>0.51597843454264836</v>
      </c>
      <c r="M153" s="10">
        <f t="shared" si="18"/>
        <v>0.52813976752849467</v>
      </c>
      <c r="P153" s="8">
        <f t="shared" si="19"/>
        <v>120.90993901961092</v>
      </c>
    </row>
    <row r="154" spans="1:16" x14ac:dyDescent="0.2">
      <c r="A154" s="8">
        <v>76</v>
      </c>
      <c r="B154" s="8">
        <v>152</v>
      </c>
      <c r="D154">
        <v>1080.7644900954001</v>
      </c>
      <c r="E154">
        <v>589.26705796038004</v>
      </c>
      <c r="F154">
        <v>138.57290132547999</v>
      </c>
      <c r="G154">
        <v>116.90942562591999</v>
      </c>
      <c r="I154" s="9">
        <f t="shared" si="15"/>
        <v>472.35763233446005</v>
      </c>
      <c r="J154" s="9">
        <f t="shared" si="16"/>
        <v>942.19158876992014</v>
      </c>
      <c r="K154" s="9">
        <f t="shared" si="17"/>
        <v>472.35763233446005</v>
      </c>
      <c r="L154" s="10">
        <f t="shared" si="14"/>
        <v>0.5013392583467523</v>
      </c>
      <c r="M154" s="10">
        <f t="shared" si="18"/>
        <v>0.51358112996164396</v>
      </c>
      <c r="P154" s="8">
        <f t="shared" si="19"/>
        <v>114.82036210297002</v>
      </c>
    </row>
    <row r="155" spans="1:16" x14ac:dyDescent="0.2">
      <c r="A155" s="8">
        <v>76.5</v>
      </c>
      <c r="B155" s="8">
        <v>153</v>
      </c>
      <c r="D155">
        <v>1078.4868035191</v>
      </c>
      <c r="E155">
        <v>583.05571847506997</v>
      </c>
      <c r="F155">
        <v>139.70471281296</v>
      </c>
      <c r="G155">
        <v>117.75184094255999</v>
      </c>
      <c r="I155" s="9">
        <f t="shared" si="15"/>
        <v>465.30387753251</v>
      </c>
      <c r="J155" s="9">
        <f t="shared" si="16"/>
        <v>938.78209070614002</v>
      </c>
      <c r="K155" s="9">
        <f t="shared" si="17"/>
        <v>465.30387753251</v>
      </c>
      <c r="L155" s="10">
        <f t="shared" si="14"/>
        <v>0.49564630827428152</v>
      </c>
      <c r="M155" s="10">
        <f t="shared" si="18"/>
        <v>0.50796871851821845</v>
      </c>
      <c r="P155" s="8">
        <f t="shared" si="19"/>
        <v>112.4728065013116</v>
      </c>
    </row>
    <row r="156" spans="1:16" x14ac:dyDescent="0.2">
      <c r="A156" s="8">
        <v>77</v>
      </c>
      <c r="B156" s="8">
        <v>154</v>
      </c>
      <c r="D156">
        <v>1076.4640762463</v>
      </c>
      <c r="E156">
        <v>569.94794721408005</v>
      </c>
      <c r="F156">
        <v>139.13549337261</v>
      </c>
      <c r="G156">
        <v>117.28129602356</v>
      </c>
      <c r="I156" s="9">
        <f t="shared" si="15"/>
        <v>452.66665119052004</v>
      </c>
      <c r="J156" s="9">
        <f t="shared" si="16"/>
        <v>937.32858287369004</v>
      </c>
      <c r="K156" s="9">
        <f t="shared" si="17"/>
        <v>452.66665119052004</v>
      </c>
      <c r="L156" s="10">
        <f t="shared" si="14"/>
        <v>0.48293272974000329</v>
      </c>
      <c r="M156" s="10">
        <f t="shared" si="18"/>
        <v>0.49533567861298561</v>
      </c>
      <c r="P156" s="8">
        <f t="shared" si="19"/>
        <v>107.18866725128491</v>
      </c>
    </row>
    <row r="157" spans="1:16" x14ac:dyDescent="0.2">
      <c r="A157" s="8">
        <v>77.5</v>
      </c>
      <c r="B157" s="8">
        <v>155</v>
      </c>
      <c r="D157">
        <v>1076.7829912023999</v>
      </c>
      <c r="E157">
        <v>552.60557184750996</v>
      </c>
      <c r="F157">
        <v>139.17010309278001</v>
      </c>
      <c r="G157">
        <v>116.90500736377</v>
      </c>
      <c r="I157" s="9">
        <f t="shared" si="15"/>
        <v>435.70056448373998</v>
      </c>
      <c r="J157" s="9">
        <f t="shared" si="16"/>
        <v>937.61288810961992</v>
      </c>
      <c r="K157" s="9">
        <f t="shared" si="17"/>
        <v>435.70056448373998</v>
      </c>
      <c r="L157" s="10">
        <f t="shared" si="14"/>
        <v>0.46469131345046161</v>
      </c>
      <c r="M157" s="10">
        <f t="shared" si="18"/>
        <v>0.47717480095248926</v>
      </c>
      <c r="P157" s="8">
        <f t="shared" si="19"/>
        <v>99.592347823764399</v>
      </c>
    </row>
    <row r="158" spans="1:16" x14ac:dyDescent="0.2">
      <c r="A158" s="8">
        <v>78</v>
      </c>
      <c r="B158" s="8">
        <v>156</v>
      </c>
      <c r="D158">
        <v>1051.3614369502</v>
      </c>
      <c r="E158">
        <v>529.88123167155004</v>
      </c>
      <c r="F158">
        <v>139</v>
      </c>
      <c r="G158">
        <v>117.02209131075</v>
      </c>
      <c r="I158" s="9">
        <f t="shared" si="15"/>
        <v>412.85914036080004</v>
      </c>
      <c r="J158" s="9">
        <f t="shared" si="16"/>
        <v>912.36143695019996</v>
      </c>
      <c r="K158" s="9">
        <f t="shared" si="17"/>
        <v>412.85914036080004</v>
      </c>
      <c r="L158" s="10">
        <f t="shared" si="14"/>
        <v>0.452517087680609</v>
      </c>
      <c r="M158" s="10">
        <f t="shared" si="18"/>
        <v>0.46508111381168199</v>
      </c>
      <c r="P158" s="8">
        <f t="shared" si="19"/>
        <v>94.53380867739375</v>
      </c>
    </row>
    <row r="159" spans="1:16" x14ac:dyDescent="0.2">
      <c r="A159" s="8">
        <v>78.5</v>
      </c>
      <c r="B159" s="8">
        <v>157</v>
      </c>
      <c r="D159">
        <v>1042.6363636363999</v>
      </c>
      <c r="E159">
        <v>512.96187683284995</v>
      </c>
      <c r="F159">
        <v>138.57069219440001</v>
      </c>
      <c r="G159">
        <v>116.82400589101999</v>
      </c>
      <c r="I159" s="9">
        <f t="shared" si="15"/>
        <v>396.13787094182999</v>
      </c>
      <c r="J159" s="9">
        <f t="shared" si="16"/>
        <v>904.06567144199994</v>
      </c>
      <c r="K159" s="9">
        <f t="shared" si="17"/>
        <v>396.13787094182999</v>
      </c>
      <c r="L159" s="10">
        <f t="shared" si="14"/>
        <v>0.43817377813935066</v>
      </c>
      <c r="M159" s="10">
        <f t="shared" si="18"/>
        <v>0.45081834289946898</v>
      </c>
      <c r="P159" s="8">
        <f t="shared" si="19"/>
        <v>88.567986661732604</v>
      </c>
    </row>
    <row r="160" spans="1:16" x14ac:dyDescent="0.2">
      <c r="A160" s="8">
        <v>79</v>
      </c>
      <c r="B160" s="8">
        <v>158</v>
      </c>
      <c r="D160">
        <v>1034.9633431085001</v>
      </c>
      <c r="E160">
        <v>504.11730205279002</v>
      </c>
      <c r="F160">
        <v>139.26362297495999</v>
      </c>
      <c r="G160">
        <v>116.99558173785</v>
      </c>
      <c r="I160" s="9">
        <f t="shared" si="15"/>
        <v>387.12172031494003</v>
      </c>
      <c r="J160" s="9">
        <f t="shared" si="16"/>
        <v>895.69972013354015</v>
      </c>
      <c r="K160" s="9">
        <f t="shared" si="17"/>
        <v>387.12172031494003</v>
      </c>
      <c r="L160" s="10">
        <f t="shared" si="14"/>
        <v>0.43220033635516147</v>
      </c>
      <c r="M160" s="10">
        <f t="shared" si="18"/>
        <v>0.44492543974432514</v>
      </c>
      <c r="P160" s="8">
        <f t="shared" si="19"/>
        <v>86.103107179652966</v>
      </c>
    </row>
    <row r="161" spans="1:16" x14ac:dyDescent="0.2">
      <c r="A161" s="8">
        <v>79.5</v>
      </c>
      <c r="B161" s="8">
        <v>159</v>
      </c>
      <c r="D161">
        <v>1036.5806451613</v>
      </c>
      <c r="E161">
        <v>497.50293255131999</v>
      </c>
      <c r="F161">
        <v>138.80854197349001</v>
      </c>
      <c r="G161">
        <v>116.87555228277</v>
      </c>
      <c r="I161" s="9">
        <f t="shared" si="15"/>
        <v>380.62738026854998</v>
      </c>
      <c r="J161" s="9">
        <f t="shared" si="16"/>
        <v>897.77210318780999</v>
      </c>
      <c r="K161" s="9">
        <f t="shared" si="17"/>
        <v>380.62738026854998</v>
      </c>
      <c r="L161" s="10">
        <f t="shared" si="14"/>
        <v>0.42396882117078261</v>
      </c>
      <c r="M161" s="10">
        <f t="shared" si="18"/>
        <v>0.4367744631889916</v>
      </c>
      <c r="P161" s="8">
        <f t="shared" si="19"/>
        <v>82.693722307509503</v>
      </c>
    </row>
    <row r="162" spans="1:16" x14ac:dyDescent="0.2">
      <c r="A162" s="8">
        <v>80</v>
      </c>
      <c r="B162" s="4">
        <v>160</v>
      </c>
      <c r="C162" s="4" t="s">
        <v>6</v>
      </c>
      <c r="D162">
        <v>987.14442815249004</v>
      </c>
      <c r="E162">
        <v>474.07111436949998</v>
      </c>
      <c r="F162">
        <v>139.0500736377</v>
      </c>
      <c r="G162">
        <v>117.51030927834999</v>
      </c>
      <c r="H162" s="4"/>
      <c r="I162" s="5">
        <f t="shared" si="15"/>
        <v>356.56080509114997</v>
      </c>
      <c r="J162" s="5">
        <f t="shared" si="16"/>
        <v>848.09435451478998</v>
      </c>
      <c r="K162" s="9">
        <f t="shared" si="17"/>
        <v>356.56080509114997</v>
      </c>
      <c r="L162" s="6">
        <f t="shared" si="14"/>
        <v>0.42042586793912196</v>
      </c>
      <c r="M162" s="6">
        <f t="shared" si="18"/>
        <v>0.43331204858637629</v>
      </c>
      <c r="N162" s="4"/>
      <c r="O162" s="4"/>
      <c r="P162" s="4">
        <f t="shared" si="19"/>
        <v>81.245465906928786</v>
      </c>
    </row>
    <row r="163" spans="1:16" x14ac:dyDescent="0.2">
      <c r="A163" s="8">
        <v>80.5</v>
      </c>
      <c r="B163" s="8">
        <v>161</v>
      </c>
      <c r="D163">
        <v>1009.5337243402</v>
      </c>
      <c r="E163">
        <v>480.47287390028998</v>
      </c>
      <c r="F163">
        <v>138.88438880707</v>
      </c>
      <c r="G163">
        <v>116.9793814433</v>
      </c>
      <c r="I163" s="9">
        <f t="shared" si="15"/>
        <v>363.49349245699</v>
      </c>
      <c r="J163" s="9">
        <f t="shared" si="16"/>
        <v>870.64933553313006</v>
      </c>
      <c r="K163" s="9">
        <f t="shared" si="17"/>
        <v>363.49349245699</v>
      </c>
      <c r="L163" s="10">
        <f t="shared" si="14"/>
        <v>0.41749700783313615</v>
      </c>
      <c r="M163" s="10">
        <f t="shared" si="18"/>
        <v>0.43046372710943581</v>
      </c>
      <c r="P163" s="8">
        <f t="shared" si="19"/>
        <v>80.054071956945222</v>
      </c>
    </row>
    <row r="164" spans="1:16" x14ac:dyDescent="0.2">
      <c r="A164" s="8">
        <v>81</v>
      </c>
      <c r="B164" s="8">
        <v>162</v>
      </c>
      <c r="D164">
        <v>1021.5599415205</v>
      </c>
      <c r="E164">
        <v>471.38888888888999</v>
      </c>
      <c r="F164">
        <v>138.60898379970999</v>
      </c>
      <c r="G164">
        <v>117.20692194404</v>
      </c>
      <c r="I164" s="9">
        <f t="shared" si="15"/>
        <v>354.18196694484999</v>
      </c>
      <c r="J164" s="9">
        <f t="shared" si="16"/>
        <v>882.95095772079003</v>
      </c>
      <c r="K164" s="9">
        <f t="shared" si="17"/>
        <v>354.18196694484999</v>
      </c>
      <c r="L164" s="10">
        <f t="shared" si="14"/>
        <v>0.40113435955618582</v>
      </c>
      <c r="M164" s="10">
        <f t="shared" si="18"/>
        <v>0.41418161746153082</v>
      </c>
      <c r="P164" s="8">
        <f t="shared" si="19"/>
        <v>73.243602322625847</v>
      </c>
    </row>
    <row r="165" spans="1:16" x14ac:dyDescent="0.2">
      <c r="A165" s="8">
        <v>81.5</v>
      </c>
      <c r="B165" s="8">
        <v>163</v>
      </c>
      <c r="D165">
        <v>1001.7302631579</v>
      </c>
      <c r="E165">
        <v>435.13450292397999</v>
      </c>
      <c r="F165">
        <v>138.75405007364</v>
      </c>
      <c r="G165">
        <v>116.84609720176999</v>
      </c>
      <c r="I165" s="9">
        <f t="shared" si="15"/>
        <v>318.28840572220997</v>
      </c>
      <c r="J165" s="9">
        <f t="shared" si="16"/>
        <v>862.97621308426005</v>
      </c>
      <c r="K165" s="9">
        <f t="shared" si="17"/>
        <v>318.28840572220997</v>
      </c>
      <c r="L165" s="10">
        <f t="shared" si="14"/>
        <v>0.36882639509222792</v>
      </c>
      <c r="M165" s="10">
        <f t="shared" si="18"/>
        <v>0.38195419162661831</v>
      </c>
      <c r="P165" s="8">
        <f t="shared" si="19"/>
        <v>59.763536791363904</v>
      </c>
    </row>
    <row r="166" spans="1:16" x14ac:dyDescent="0.2">
      <c r="A166" s="8">
        <v>82</v>
      </c>
      <c r="B166" s="8">
        <v>164</v>
      </c>
      <c r="D166">
        <v>978.67105263157998</v>
      </c>
      <c r="E166">
        <v>409.69078947368001</v>
      </c>
      <c r="F166">
        <v>139.44403534610001</v>
      </c>
      <c r="G166">
        <v>116.95655375552001</v>
      </c>
      <c r="I166" s="9">
        <f t="shared" si="15"/>
        <v>292.73423571815999</v>
      </c>
      <c r="J166" s="9">
        <f t="shared" si="16"/>
        <v>839.22701728547997</v>
      </c>
      <c r="K166" s="9">
        <f t="shared" si="17"/>
        <v>292.73423571815999</v>
      </c>
      <c r="L166" s="10">
        <f t="shared" si="14"/>
        <v>0.34881412262563105</v>
      </c>
      <c r="M166" s="10">
        <f t="shared" si="18"/>
        <v>0.36202245778906678</v>
      </c>
      <c r="P166" s="8">
        <f t="shared" si="19"/>
        <v>51.426504859052415</v>
      </c>
    </row>
    <row r="167" spans="1:16" x14ac:dyDescent="0.2">
      <c r="A167" s="8">
        <v>82.5</v>
      </c>
      <c r="B167" s="8">
        <v>165</v>
      </c>
      <c r="D167">
        <v>947.00512445095001</v>
      </c>
      <c r="E167">
        <v>384.91142020498</v>
      </c>
      <c r="F167">
        <v>139.30265095729001</v>
      </c>
      <c r="G167">
        <v>117.19955817379</v>
      </c>
      <c r="I167" s="9">
        <f t="shared" si="15"/>
        <v>267.71186203118998</v>
      </c>
      <c r="J167" s="9">
        <f t="shared" si="16"/>
        <v>807.70247349366002</v>
      </c>
      <c r="K167" s="9">
        <f t="shared" si="17"/>
        <v>267.71186203118998</v>
      </c>
      <c r="L167" s="10">
        <f t="shared" si="14"/>
        <v>0.33144860987390717</v>
      </c>
      <c r="M167" s="10">
        <f t="shared" si="18"/>
        <v>0.34473748366638823</v>
      </c>
      <c r="P167" s="8">
        <f t="shared" si="19"/>
        <v>44.196557761401877</v>
      </c>
    </row>
    <row r="168" spans="1:16" x14ac:dyDescent="0.2">
      <c r="A168" s="8">
        <v>83</v>
      </c>
      <c r="B168" s="8">
        <v>166</v>
      </c>
      <c r="D168">
        <v>963.96632503659998</v>
      </c>
      <c r="E168">
        <v>369.62225475842001</v>
      </c>
      <c r="F168">
        <v>139.49484536083</v>
      </c>
      <c r="G168">
        <v>116.92341678939999</v>
      </c>
      <c r="I168" s="9">
        <f t="shared" si="15"/>
        <v>252.69883796902002</v>
      </c>
      <c r="J168" s="9">
        <f t="shared" si="16"/>
        <v>824.47147967576996</v>
      </c>
      <c r="K168" s="9">
        <f t="shared" si="17"/>
        <v>252.69883796902002</v>
      </c>
      <c r="L168" s="10">
        <f t="shared" si="14"/>
        <v>0.30649797379091376</v>
      </c>
      <c r="M168" s="10">
        <f t="shared" si="18"/>
        <v>0.31986738621244015</v>
      </c>
      <c r="P168" s="8">
        <f t="shared" si="19"/>
        <v>33.793910489310157</v>
      </c>
    </row>
    <row r="169" spans="1:16" x14ac:dyDescent="0.2">
      <c r="A169" s="8">
        <v>83.5</v>
      </c>
      <c r="B169" s="8">
        <v>167</v>
      </c>
      <c r="D169">
        <v>979.63528539659001</v>
      </c>
      <c r="E169">
        <v>364.25055596738002</v>
      </c>
      <c r="F169">
        <v>139.39617083946999</v>
      </c>
      <c r="G169">
        <v>117.18703976435999</v>
      </c>
      <c r="I169" s="9">
        <f t="shared" si="15"/>
        <v>247.06351620302001</v>
      </c>
      <c r="J169" s="9">
        <f t="shared" si="16"/>
        <v>840.23911455712005</v>
      </c>
      <c r="K169" s="9">
        <f t="shared" si="17"/>
        <v>247.06351620302001</v>
      </c>
      <c r="L169" s="10">
        <f t="shared" si="14"/>
        <v>0.29403953222678075</v>
      </c>
      <c r="M169" s="10">
        <f t="shared" si="18"/>
        <v>0.30748948327735248</v>
      </c>
      <c r="P169" s="8">
        <f t="shared" si="19"/>
        <v>28.616489755823444</v>
      </c>
    </row>
    <row r="170" spans="1:16" x14ac:dyDescent="0.2">
      <c r="A170" s="8">
        <v>84</v>
      </c>
      <c r="B170" s="8">
        <v>168</v>
      </c>
      <c r="D170">
        <v>989.57375833951005</v>
      </c>
      <c r="E170">
        <v>353.20014825797</v>
      </c>
      <c r="F170">
        <v>139.12076583211001</v>
      </c>
      <c r="G170">
        <v>117.0058910162</v>
      </c>
      <c r="I170" s="9">
        <f t="shared" si="15"/>
        <v>236.19425724177</v>
      </c>
      <c r="J170" s="9">
        <f t="shared" si="16"/>
        <v>850.45299250740004</v>
      </c>
      <c r="K170" s="9">
        <f t="shared" si="17"/>
        <v>236.19425724177</v>
      </c>
      <c r="L170" s="10">
        <f t="shared" si="14"/>
        <v>0.27772758673632958</v>
      </c>
      <c r="M170" s="10">
        <f t="shared" si="18"/>
        <v>0.29125807641594664</v>
      </c>
      <c r="P170" s="8">
        <f t="shared" si="19"/>
        <v>21.827228048197536</v>
      </c>
    </row>
    <row r="171" spans="1:16" x14ac:dyDescent="0.2">
      <c r="A171" s="8">
        <v>84.5</v>
      </c>
      <c r="B171" s="8">
        <v>169</v>
      </c>
      <c r="D171">
        <v>1002.5063009637</v>
      </c>
      <c r="E171">
        <v>340.79392142327998</v>
      </c>
      <c r="F171">
        <v>138.80706921944</v>
      </c>
      <c r="G171">
        <v>116.9793814433</v>
      </c>
      <c r="I171" s="9">
        <f t="shared" si="15"/>
        <v>223.81453997998</v>
      </c>
      <c r="J171" s="9">
        <f t="shared" si="16"/>
        <v>863.69923174426003</v>
      </c>
      <c r="K171" s="9">
        <f t="shared" si="17"/>
        <v>223.81453997998</v>
      </c>
      <c r="L171" s="10">
        <f t="shared" si="14"/>
        <v>0.25913481424312662</v>
      </c>
      <c r="M171" s="10">
        <f t="shared" si="18"/>
        <v>0.27274584255178902</v>
      </c>
      <c r="P171" s="8">
        <f t="shared" si="19"/>
        <v>14.083943589264617</v>
      </c>
    </row>
    <row r="172" spans="1:16" x14ac:dyDescent="0.2">
      <c r="A172" s="8">
        <v>85</v>
      </c>
      <c r="B172" s="8">
        <v>170</v>
      </c>
      <c r="D172">
        <v>1000.4529280949</v>
      </c>
      <c r="E172">
        <v>332.71312083024998</v>
      </c>
      <c r="F172">
        <v>139.16273932253</v>
      </c>
      <c r="G172">
        <v>116.88954344624</v>
      </c>
      <c r="I172" s="9">
        <f t="shared" si="15"/>
        <v>215.82357738400998</v>
      </c>
      <c r="J172" s="9">
        <f t="shared" si="16"/>
        <v>861.29018877237002</v>
      </c>
      <c r="K172" s="9">
        <f t="shared" si="17"/>
        <v>215.82357738400998</v>
      </c>
      <c r="L172" s="10">
        <f t="shared" si="14"/>
        <v>0.25058172053675848</v>
      </c>
      <c r="M172" s="10">
        <f t="shared" si="18"/>
        <v>0.26427328747446621</v>
      </c>
      <c r="P172" s="8">
        <f t="shared" si="19"/>
        <v>10.540049073935029</v>
      </c>
    </row>
    <row r="173" spans="1:16" x14ac:dyDescent="0.2">
      <c r="A173" s="8">
        <v>85.5</v>
      </c>
      <c r="B173" s="8">
        <v>171</v>
      </c>
      <c r="D173">
        <v>992.14603409933</v>
      </c>
      <c r="E173">
        <v>323.64047442549997</v>
      </c>
      <c r="F173">
        <v>139.10751104566</v>
      </c>
      <c r="G173">
        <v>117.17231222386</v>
      </c>
      <c r="I173" s="9">
        <f t="shared" si="15"/>
        <v>206.46816220163998</v>
      </c>
      <c r="J173" s="9">
        <f t="shared" si="16"/>
        <v>853.03852305367002</v>
      </c>
      <c r="K173" s="9">
        <f t="shared" si="17"/>
        <v>206.46816220163998</v>
      </c>
      <c r="L173" s="10">
        <f t="shared" si="14"/>
        <v>0.24203849723284979</v>
      </c>
      <c r="M173" s="10">
        <f t="shared" si="18"/>
        <v>0.25581060279960288</v>
      </c>
      <c r="P173" s="8">
        <f t="shared" si="19"/>
        <v>7.0002831437631645</v>
      </c>
    </row>
    <row r="174" spans="1:16" x14ac:dyDescent="0.2">
      <c r="A174" s="8">
        <v>86</v>
      </c>
      <c r="B174" s="8">
        <v>172</v>
      </c>
      <c r="D174">
        <v>965.93402520385996</v>
      </c>
      <c r="E174">
        <v>311.51445515196002</v>
      </c>
      <c r="F174">
        <v>139.16715758468001</v>
      </c>
      <c r="G174">
        <v>117.40132547864999</v>
      </c>
      <c r="I174" s="9">
        <f t="shared" si="15"/>
        <v>194.11312967331003</v>
      </c>
      <c r="J174" s="9">
        <f t="shared" si="16"/>
        <v>826.76686761917995</v>
      </c>
      <c r="K174" s="9">
        <f t="shared" si="17"/>
        <v>194.11312967331003</v>
      </c>
      <c r="L174" s="10">
        <f t="shared" si="14"/>
        <v>0.23478581118313654</v>
      </c>
      <c r="M174" s="10">
        <f t="shared" si="18"/>
        <v>0.24863845537893497</v>
      </c>
      <c r="P174" s="8">
        <f t="shared" si="19"/>
        <v>4.0003222494078186</v>
      </c>
    </row>
    <row r="175" spans="1:16" x14ac:dyDescent="0.2">
      <c r="A175" s="8">
        <v>86.5</v>
      </c>
      <c r="B175" s="8">
        <v>173</v>
      </c>
      <c r="D175">
        <v>940.92883617493999</v>
      </c>
      <c r="E175">
        <v>301.94292068199002</v>
      </c>
      <c r="F175">
        <v>138.87113402061999</v>
      </c>
      <c r="G175">
        <v>116.80633284242001</v>
      </c>
      <c r="I175" s="9">
        <f t="shared" si="15"/>
        <v>185.13658783957001</v>
      </c>
      <c r="J175" s="9">
        <f t="shared" si="16"/>
        <v>802.05770215431994</v>
      </c>
      <c r="K175" s="9">
        <f t="shared" si="17"/>
        <v>185.13658783957001</v>
      </c>
      <c r="L175" s="10">
        <f t="shared" si="14"/>
        <v>0.23082701823359436</v>
      </c>
      <c r="M175" s="10">
        <f t="shared" si="18"/>
        <v>0.24476020105843813</v>
      </c>
      <c r="P175" s="8">
        <f t="shared" si="19"/>
        <v>2.378128697400248</v>
      </c>
    </row>
    <row r="176" spans="1:16" x14ac:dyDescent="0.2">
      <c r="A176" s="8">
        <v>87</v>
      </c>
      <c r="B176" s="8">
        <v>174</v>
      </c>
      <c r="D176">
        <v>958.94217939214002</v>
      </c>
      <c r="E176">
        <v>296.29725722758002</v>
      </c>
      <c r="F176">
        <v>138.92120765831999</v>
      </c>
      <c r="G176">
        <v>116.99042709868</v>
      </c>
      <c r="I176" s="9">
        <f t="shared" si="15"/>
        <v>179.3068301289</v>
      </c>
      <c r="J176" s="9">
        <f t="shared" si="16"/>
        <v>820.02097173382003</v>
      </c>
      <c r="K176" s="9">
        <f t="shared" si="17"/>
        <v>179.3068301289</v>
      </c>
      <c r="L176" s="10">
        <f t="shared" si="14"/>
        <v>0.21866127368642865</v>
      </c>
      <c r="M176" s="10">
        <f t="shared" si="18"/>
        <v>0.23267499514031775</v>
      </c>
      <c r="P176" s="8">
        <f t="shared" si="19"/>
        <v>-2.6768629289732999</v>
      </c>
    </row>
    <row r="177" spans="1:16" x14ac:dyDescent="0.2">
      <c r="A177" s="8">
        <v>87.5</v>
      </c>
      <c r="B177" s="8">
        <v>175</v>
      </c>
      <c r="D177">
        <v>952.50333580430004</v>
      </c>
      <c r="E177">
        <v>288.99481097108998</v>
      </c>
      <c r="F177">
        <v>139.37334315168999</v>
      </c>
      <c r="G177">
        <v>117.20544918999001</v>
      </c>
      <c r="I177" s="9">
        <f t="shared" si="15"/>
        <v>171.78936178109996</v>
      </c>
      <c r="J177" s="9">
        <f t="shared" si="16"/>
        <v>813.1299926526101</v>
      </c>
      <c r="K177" s="9">
        <f t="shared" si="17"/>
        <v>171.78936178109996</v>
      </c>
      <c r="L177" s="10">
        <f t="shared" si="14"/>
        <v>0.2112692476398331</v>
      </c>
      <c r="M177" s="10">
        <f t="shared" si="18"/>
        <v>0.22536350772276753</v>
      </c>
      <c r="P177" s="8">
        <f t="shared" si="19"/>
        <v>-5.7351068614689309</v>
      </c>
    </row>
    <row r="178" spans="1:16" x14ac:dyDescent="0.2">
      <c r="A178" s="8">
        <v>88</v>
      </c>
      <c r="B178" s="8">
        <v>176</v>
      </c>
      <c r="D178">
        <v>976.11816838996003</v>
      </c>
      <c r="E178">
        <v>286.79468242245002</v>
      </c>
      <c r="F178">
        <v>138.89911634756999</v>
      </c>
      <c r="G178">
        <v>116.49263622975</v>
      </c>
      <c r="I178" s="9">
        <f t="shared" si="15"/>
        <v>170.3020461927</v>
      </c>
      <c r="J178" s="9">
        <f t="shared" si="16"/>
        <v>837.2190520423901</v>
      </c>
      <c r="K178" s="9">
        <f t="shared" si="17"/>
        <v>170.3020461927</v>
      </c>
      <c r="L178" s="10">
        <f t="shared" si="14"/>
        <v>0.20341396409607418</v>
      </c>
      <c r="M178" s="10">
        <f t="shared" si="18"/>
        <v>0.21758876280805395</v>
      </c>
      <c r="P178" s="8">
        <f t="shared" si="19"/>
        <v>-8.9871218215235018</v>
      </c>
    </row>
    <row r="179" spans="1:16" x14ac:dyDescent="0.2">
      <c r="A179" s="8">
        <v>88.5</v>
      </c>
      <c r="B179" s="8">
        <v>177</v>
      </c>
      <c r="D179">
        <v>962.31019202362995</v>
      </c>
      <c r="E179">
        <v>279.94017725258999</v>
      </c>
      <c r="F179">
        <v>139.33136966127</v>
      </c>
      <c r="G179">
        <v>117.16936671576001</v>
      </c>
      <c r="I179" s="9">
        <f t="shared" si="15"/>
        <v>162.77081053682997</v>
      </c>
      <c r="J179" s="9">
        <f t="shared" si="16"/>
        <v>822.97882236236001</v>
      </c>
      <c r="K179" s="9">
        <f t="shared" si="17"/>
        <v>162.77081053682997</v>
      </c>
      <c r="L179" s="10">
        <f t="shared" si="14"/>
        <v>0.19778250194773725</v>
      </c>
      <c r="M179" s="10">
        <f t="shared" si="18"/>
        <v>0.21203783928876238</v>
      </c>
      <c r="P179" s="8">
        <f t="shared" si="19"/>
        <v>-11.308958296530214</v>
      </c>
    </row>
    <row r="180" spans="1:16" x14ac:dyDescent="0.2">
      <c r="A180" s="8">
        <v>89</v>
      </c>
      <c r="B180" s="8">
        <v>178</v>
      </c>
      <c r="D180">
        <v>967.59822747415001</v>
      </c>
      <c r="E180">
        <v>277.40694239291003</v>
      </c>
      <c r="F180">
        <v>139.14432989690999</v>
      </c>
      <c r="G180">
        <v>117.04786450663001</v>
      </c>
      <c r="I180" s="9">
        <f t="shared" si="15"/>
        <v>160.35907788628003</v>
      </c>
      <c r="J180" s="9">
        <f t="shared" si="16"/>
        <v>828.45389757724001</v>
      </c>
      <c r="K180" s="9">
        <f t="shared" si="17"/>
        <v>160.35907788628003</v>
      </c>
      <c r="L180" s="10">
        <f t="shared" si="14"/>
        <v>0.19356427479578503</v>
      </c>
      <c r="M180" s="10">
        <f t="shared" si="18"/>
        <v>0.2079001507658555</v>
      </c>
      <c r="P180" s="8">
        <f t="shared" si="19"/>
        <v>-13.03966780843643</v>
      </c>
    </row>
    <row r="181" spans="1:16" x14ac:dyDescent="0.2">
      <c r="A181" s="8">
        <v>89.5</v>
      </c>
      <c r="B181" s="8">
        <v>179</v>
      </c>
      <c r="D181">
        <v>922.89143279173004</v>
      </c>
      <c r="E181">
        <v>270.08788774003</v>
      </c>
      <c r="F181">
        <v>139.31001472753999</v>
      </c>
      <c r="G181">
        <v>116.92120765832</v>
      </c>
      <c r="I181" s="9">
        <f t="shared" si="15"/>
        <v>153.16668008171001</v>
      </c>
      <c r="J181" s="9">
        <f t="shared" si="16"/>
        <v>783.58141806419007</v>
      </c>
      <c r="K181" s="9">
        <f t="shared" si="17"/>
        <v>153.16668008171001</v>
      </c>
      <c r="L181" s="10">
        <f t="shared" si="14"/>
        <v>0.19547002589737622</v>
      </c>
      <c r="M181" s="10">
        <f t="shared" si="18"/>
        <v>0.20988644049649202</v>
      </c>
      <c r="P181" s="8">
        <f t="shared" si="19"/>
        <v>-12.208843904901236</v>
      </c>
    </row>
    <row r="182" spans="1:16" x14ac:dyDescent="0.2">
      <c r="A182" s="8">
        <v>90</v>
      </c>
      <c r="B182" s="8">
        <v>180</v>
      </c>
      <c r="D182">
        <v>897.46824224520003</v>
      </c>
      <c r="E182">
        <v>263.90915805022001</v>
      </c>
      <c r="F182">
        <v>139.27908689249</v>
      </c>
      <c r="G182">
        <v>117.0500736377</v>
      </c>
      <c r="I182" s="9">
        <f t="shared" si="15"/>
        <v>146.85908441252002</v>
      </c>
      <c r="J182" s="9">
        <f t="shared" si="16"/>
        <v>758.18915535271003</v>
      </c>
      <c r="K182" s="9">
        <f t="shared" si="17"/>
        <v>146.85908441252002</v>
      </c>
      <c r="L182" s="10">
        <f t="shared" si="14"/>
        <v>0.19369715772866877</v>
      </c>
      <c r="M182" s="10">
        <f>L182+ABS($N$2)*A182</f>
        <v>0.20819411095682991</v>
      </c>
      <c r="P182" s="8">
        <f t="shared" si="19"/>
        <v>-12.916710341767635</v>
      </c>
    </row>
    <row r="183" spans="1:16" x14ac:dyDescent="0.2">
      <c r="A183" s="8">
        <v>90.5</v>
      </c>
      <c r="B183" s="8">
        <v>181</v>
      </c>
      <c r="D183">
        <v>947.70321637427003</v>
      </c>
      <c r="E183">
        <v>266.15350877192998</v>
      </c>
      <c r="F183">
        <v>138.65684830633001</v>
      </c>
      <c r="G183">
        <v>117.04197349043</v>
      </c>
      <c r="I183" s="9">
        <f t="shared" si="15"/>
        <v>149.11153528149998</v>
      </c>
      <c r="J183" s="9">
        <f t="shared" si="16"/>
        <v>809.04636806793997</v>
      </c>
      <c r="K183" s="9">
        <f t="shared" si="17"/>
        <v>149.11153528149998</v>
      </c>
      <c r="L183" s="10">
        <f t="shared" si="14"/>
        <v>0.18430530210226256</v>
      </c>
      <c r="M183" s="10">
        <f t="shared" ref="M183:M241" si="20">L183+ABS($N$2)*A183</f>
        <v>0.19888279395946903</v>
      </c>
      <c r="P183" s="8">
        <f t="shared" si="19"/>
        <v>-16.811441616606313</v>
      </c>
    </row>
    <row r="184" spans="1:16" x14ac:dyDescent="0.2">
      <c r="A184" s="8">
        <v>91</v>
      </c>
      <c r="B184" s="8">
        <v>182</v>
      </c>
      <c r="D184">
        <v>951.19970845480998</v>
      </c>
      <c r="E184">
        <v>263.38775510203999</v>
      </c>
      <c r="F184">
        <v>139.03755522828001</v>
      </c>
      <c r="G184">
        <v>116.94477172312</v>
      </c>
      <c r="I184" s="9">
        <f t="shared" si="15"/>
        <v>146.44298337891999</v>
      </c>
      <c r="J184" s="9">
        <f t="shared" si="16"/>
        <v>812.16215322652999</v>
      </c>
      <c r="K184" s="9">
        <f t="shared" si="17"/>
        <v>146.44298337891999</v>
      </c>
      <c r="L184" s="10">
        <f t="shared" si="14"/>
        <v>0.18031249399782584</v>
      </c>
      <c r="M184" s="10">
        <f t="shared" si="20"/>
        <v>0.19497052448407765</v>
      </c>
      <c r="P184" s="8">
        <f t="shared" si="19"/>
        <v>-18.447863004227663</v>
      </c>
    </row>
    <row r="185" spans="1:16" x14ac:dyDescent="0.2">
      <c r="A185" s="8">
        <v>91.5</v>
      </c>
      <c r="B185" s="8">
        <v>183</v>
      </c>
      <c r="D185">
        <v>916.45626822156999</v>
      </c>
      <c r="E185">
        <v>258.16836734693999</v>
      </c>
      <c r="F185">
        <v>139.14653902798</v>
      </c>
      <c r="G185">
        <v>117.01546391753</v>
      </c>
      <c r="I185" s="9">
        <f t="shared" si="15"/>
        <v>141.15290342941</v>
      </c>
      <c r="J185" s="9">
        <f t="shared" si="16"/>
        <v>777.30972919358999</v>
      </c>
      <c r="K185" s="9">
        <f t="shared" si="17"/>
        <v>141.15290342941</v>
      </c>
      <c r="L185" s="10">
        <f t="shared" si="14"/>
        <v>0.18159158200148515</v>
      </c>
      <c r="M185" s="10">
        <f t="shared" si="20"/>
        <v>0.19633015111678231</v>
      </c>
      <c r="P185" s="8">
        <f t="shared" si="19"/>
        <v>-17.879159310647115</v>
      </c>
    </row>
    <row r="186" spans="1:16" x14ac:dyDescent="0.2">
      <c r="A186" s="8">
        <v>92</v>
      </c>
      <c r="B186" s="8">
        <v>184</v>
      </c>
      <c r="D186">
        <v>918.57956204380002</v>
      </c>
      <c r="E186">
        <v>257.74233576642001</v>
      </c>
      <c r="F186">
        <v>139.05891016199999</v>
      </c>
      <c r="G186">
        <v>116.80412371134</v>
      </c>
      <c r="I186" s="9">
        <f t="shared" si="15"/>
        <v>140.93821205508002</v>
      </c>
      <c r="J186" s="9">
        <f t="shared" si="16"/>
        <v>779.52065188180006</v>
      </c>
      <c r="K186" s="9">
        <f t="shared" si="17"/>
        <v>140.93821205508002</v>
      </c>
      <c r="L186" s="10">
        <f t="shared" si="14"/>
        <v>0.18080112658317446</v>
      </c>
      <c r="M186" s="10">
        <f t="shared" si="20"/>
        <v>0.19562023432751696</v>
      </c>
      <c r="P186" s="8">
        <f t="shared" si="19"/>
        <v>-18.176102817400082</v>
      </c>
    </row>
    <row r="187" spans="1:16" x14ac:dyDescent="0.2">
      <c r="A187" s="8">
        <v>92.5</v>
      </c>
      <c r="B187" s="8">
        <v>185</v>
      </c>
      <c r="D187">
        <v>871.00291970803005</v>
      </c>
      <c r="E187">
        <v>251.69489051094999</v>
      </c>
      <c r="F187">
        <v>139.21502209131</v>
      </c>
      <c r="G187">
        <v>116.73637702504</v>
      </c>
      <c r="I187" s="9">
        <f t="shared" si="15"/>
        <v>134.95851348590998</v>
      </c>
      <c r="J187" s="9">
        <f t="shared" si="16"/>
        <v>731.7878976167201</v>
      </c>
      <c r="K187" s="9">
        <f t="shared" si="17"/>
        <v>134.95851348590998</v>
      </c>
      <c r="L187" s="10">
        <f t="shared" si="14"/>
        <v>0.18442299186067654</v>
      </c>
      <c r="M187" s="10">
        <f t="shared" si="20"/>
        <v>0.19932263823406438</v>
      </c>
      <c r="P187" s="8">
        <f t="shared" si="19"/>
        <v>-16.627463855693357</v>
      </c>
    </row>
    <row r="188" spans="1:16" x14ac:dyDescent="0.2">
      <c r="A188" s="8">
        <v>93</v>
      </c>
      <c r="B188" s="8">
        <v>186</v>
      </c>
      <c r="D188">
        <v>957.70384047266998</v>
      </c>
      <c r="E188">
        <v>256.89217134416998</v>
      </c>
      <c r="F188">
        <v>139.07731958763</v>
      </c>
      <c r="G188">
        <v>116.89175257732001</v>
      </c>
      <c r="I188" s="9">
        <f t="shared" si="15"/>
        <v>140.00041876684998</v>
      </c>
      <c r="J188" s="9">
        <f t="shared" si="16"/>
        <v>818.62652088504001</v>
      </c>
      <c r="K188" s="9">
        <f t="shared" si="17"/>
        <v>140.00041876684998</v>
      </c>
      <c r="L188" s="10">
        <f t="shared" si="14"/>
        <v>0.17101866992470707</v>
      </c>
      <c r="M188" s="10">
        <f t="shared" si="20"/>
        <v>0.18599885492714024</v>
      </c>
      <c r="P188" s="8">
        <f t="shared" si="19"/>
        <v>-22.200526781094666</v>
      </c>
    </row>
    <row r="189" spans="1:16" x14ac:dyDescent="0.2">
      <c r="A189" s="8">
        <v>93.5</v>
      </c>
      <c r="B189" s="8">
        <v>187</v>
      </c>
      <c r="D189">
        <v>938.74150664697004</v>
      </c>
      <c r="E189">
        <v>255.08493353028001</v>
      </c>
      <c r="F189">
        <v>139.27982326950999</v>
      </c>
      <c r="G189">
        <v>116.83578792342</v>
      </c>
      <c r="I189" s="9">
        <f t="shared" si="15"/>
        <v>138.24914560686</v>
      </c>
      <c r="J189" s="9">
        <f t="shared" si="16"/>
        <v>799.46168337746008</v>
      </c>
      <c r="K189" s="9">
        <f t="shared" si="17"/>
        <v>138.24914560686</v>
      </c>
      <c r="L189" s="10">
        <f t="shared" si="14"/>
        <v>0.17292779439135003</v>
      </c>
      <c r="M189" s="10">
        <f t="shared" si="20"/>
        <v>0.18798851802282854</v>
      </c>
      <c r="P189" s="8">
        <f t="shared" si="19"/>
        <v>-21.368291868743821</v>
      </c>
    </row>
    <row r="190" spans="1:16" x14ac:dyDescent="0.2">
      <c r="A190" s="8">
        <v>94</v>
      </c>
      <c r="B190" s="8">
        <v>188</v>
      </c>
      <c r="D190">
        <v>937.89077490775003</v>
      </c>
      <c r="E190">
        <v>255.08044280442999</v>
      </c>
      <c r="F190">
        <v>139.34609720176999</v>
      </c>
      <c r="G190">
        <v>116.90058910162</v>
      </c>
      <c r="I190" s="9">
        <f t="shared" si="15"/>
        <v>138.17985370280999</v>
      </c>
      <c r="J190" s="9">
        <f t="shared" si="16"/>
        <v>798.54467770598001</v>
      </c>
      <c r="K190" s="9">
        <f t="shared" si="17"/>
        <v>138.17985370280999</v>
      </c>
      <c r="L190" s="10">
        <f t="shared" si="14"/>
        <v>0.17303960261781007</v>
      </c>
      <c r="M190" s="10">
        <f t="shared" si="20"/>
        <v>0.18818086487833391</v>
      </c>
      <c r="P190" s="8">
        <f t="shared" si="19"/>
        <v>-21.287837158205456</v>
      </c>
    </row>
    <row r="191" spans="1:16" x14ac:dyDescent="0.2">
      <c r="A191" s="8">
        <v>94.5</v>
      </c>
      <c r="B191" s="8">
        <v>189</v>
      </c>
      <c r="D191">
        <v>920.50847457627003</v>
      </c>
      <c r="E191">
        <v>253.65291083272001</v>
      </c>
      <c r="F191">
        <v>138.74594992636</v>
      </c>
      <c r="G191">
        <v>117.31811487482</v>
      </c>
      <c r="I191" s="9">
        <f t="shared" si="15"/>
        <v>136.33479595790001</v>
      </c>
      <c r="J191" s="9">
        <f t="shared" si="16"/>
        <v>781.76252464991001</v>
      </c>
      <c r="K191" s="9">
        <f t="shared" si="17"/>
        <v>136.33479595790001</v>
      </c>
      <c r="L191" s="10">
        <f t="shared" si="14"/>
        <v>0.17439413077386084</v>
      </c>
      <c r="M191" s="10">
        <f t="shared" si="20"/>
        <v>0.18961593166343005</v>
      </c>
      <c r="P191" s="8">
        <f t="shared" si="19"/>
        <v>-20.687578409525724</v>
      </c>
    </row>
    <row r="192" spans="1:16" x14ac:dyDescent="0.2">
      <c r="A192" s="8">
        <v>95</v>
      </c>
      <c r="B192" s="8">
        <v>190</v>
      </c>
      <c r="D192">
        <v>942.19749447310005</v>
      </c>
      <c r="E192">
        <v>254.86514369934</v>
      </c>
      <c r="F192">
        <v>138.70913107511001</v>
      </c>
      <c r="G192">
        <v>116.95949926362</v>
      </c>
      <c r="I192" s="9">
        <f t="shared" si="15"/>
        <v>137.90564443571998</v>
      </c>
      <c r="J192" s="9">
        <f t="shared" si="16"/>
        <v>803.48836339799004</v>
      </c>
      <c r="K192" s="9">
        <f t="shared" si="17"/>
        <v>137.90564443571998</v>
      </c>
      <c r="L192" s="10">
        <f t="shared" si="14"/>
        <v>0.17163365484536769</v>
      </c>
      <c r="M192" s="10">
        <f t="shared" si="20"/>
        <v>0.18693599436398223</v>
      </c>
      <c r="P192" s="8">
        <f t="shared" si="19"/>
        <v>-21.808540741462711</v>
      </c>
    </row>
    <row r="193" spans="1:16" x14ac:dyDescent="0.2">
      <c r="A193" s="8">
        <v>95.5</v>
      </c>
      <c r="B193" s="8">
        <v>191</v>
      </c>
      <c r="D193">
        <v>932.09211495947</v>
      </c>
      <c r="E193">
        <v>252.63154016211999</v>
      </c>
      <c r="F193">
        <v>138.80927835052</v>
      </c>
      <c r="G193">
        <v>117.06038291605</v>
      </c>
      <c r="I193" s="9">
        <f t="shared" si="15"/>
        <v>135.57115724606999</v>
      </c>
      <c r="J193" s="9">
        <f t="shared" si="16"/>
        <v>793.28283660894999</v>
      </c>
      <c r="K193" s="9">
        <f t="shared" si="17"/>
        <v>135.57115724606999</v>
      </c>
      <c r="L193" s="10">
        <f t="shared" si="14"/>
        <v>0.17089889127766419</v>
      </c>
      <c r="M193" s="10">
        <f t="shared" si="20"/>
        <v>0.18628176942532407</v>
      </c>
      <c r="P193" s="8">
        <f t="shared" si="19"/>
        <v>-22.08218949921562</v>
      </c>
    </row>
    <row r="194" spans="1:16" x14ac:dyDescent="0.2">
      <c r="A194" s="8">
        <v>96</v>
      </c>
      <c r="B194" s="8">
        <v>192</v>
      </c>
      <c r="D194">
        <v>948.33161385409005</v>
      </c>
      <c r="E194">
        <v>254.57037582903999</v>
      </c>
      <c r="F194">
        <v>138.83284241531999</v>
      </c>
      <c r="G194">
        <v>116.5648011782</v>
      </c>
      <c r="I194" s="9">
        <f t="shared" si="15"/>
        <v>138.00557465084</v>
      </c>
      <c r="J194" s="9">
        <f t="shared" si="16"/>
        <v>809.49877143877006</v>
      </c>
      <c r="K194" s="9">
        <f t="shared" si="17"/>
        <v>138.00557465084</v>
      </c>
      <c r="L194" s="10">
        <f t="shared" ref="L194:L257" si="21">K194/J194</f>
        <v>0.17048274749763304</v>
      </c>
      <c r="M194" s="10">
        <f t="shared" si="20"/>
        <v>0.18594616427433824</v>
      </c>
      <c r="P194" s="8">
        <f t="shared" si="19"/>
        <v>-22.222566191139215</v>
      </c>
    </row>
    <row r="195" spans="1:16" x14ac:dyDescent="0.2">
      <c r="A195" s="8">
        <v>96.5</v>
      </c>
      <c r="B195" s="8">
        <v>193</v>
      </c>
      <c r="D195">
        <v>931.86809137804005</v>
      </c>
      <c r="E195">
        <v>251.26529108327</v>
      </c>
      <c r="F195">
        <v>138.85714285713999</v>
      </c>
      <c r="G195">
        <v>117.0854197349</v>
      </c>
      <c r="I195" s="9">
        <f t="shared" ref="I195:I241" si="22">E195-G195</f>
        <v>134.17987134837</v>
      </c>
      <c r="J195" s="9">
        <f t="shared" ref="J195:J241" si="23">D195-F195</f>
        <v>793.0109485209</v>
      </c>
      <c r="K195" s="9">
        <f t="shared" ref="K195:K258" si="24">I195*1</f>
        <v>134.17987134837</v>
      </c>
      <c r="L195" s="10">
        <f t="shared" si="21"/>
        <v>0.16920305022098148</v>
      </c>
      <c r="M195" s="10">
        <f t="shared" si="20"/>
        <v>0.18474700562673202</v>
      </c>
      <c r="P195" s="8">
        <f t="shared" ref="P195:P241" si="25">(M195-$O$2)/$O$2*100</f>
        <v>-22.724149446187774</v>
      </c>
    </row>
    <row r="196" spans="1:16" x14ac:dyDescent="0.2">
      <c r="A196" s="8">
        <v>97</v>
      </c>
      <c r="B196" s="8">
        <v>194</v>
      </c>
      <c r="D196">
        <v>919.25497420781005</v>
      </c>
      <c r="E196">
        <v>249.19307295505001</v>
      </c>
      <c r="F196">
        <v>139.24447717231001</v>
      </c>
      <c r="G196">
        <v>116.85567010309001</v>
      </c>
      <c r="I196" s="9">
        <f t="shared" si="22"/>
        <v>132.33740285196001</v>
      </c>
      <c r="J196" s="9">
        <f t="shared" si="23"/>
        <v>780.01049703550007</v>
      </c>
      <c r="K196" s="9">
        <f t="shared" si="24"/>
        <v>132.33740285196001</v>
      </c>
      <c r="L196" s="10">
        <f t="shared" si="21"/>
        <v>0.16966105373571277</v>
      </c>
      <c r="M196" s="10">
        <f t="shared" si="20"/>
        <v>0.18528554777050868</v>
      </c>
      <c r="P196" s="8">
        <f t="shared" si="25"/>
        <v>-22.498888408379681</v>
      </c>
    </row>
    <row r="197" spans="1:16" x14ac:dyDescent="0.2">
      <c r="A197" s="8">
        <v>97.5</v>
      </c>
      <c r="B197" s="8">
        <v>195</v>
      </c>
      <c r="D197">
        <v>944.63609684518997</v>
      </c>
      <c r="E197">
        <v>254.13939838591</v>
      </c>
      <c r="F197">
        <v>138.88144329897</v>
      </c>
      <c r="G197">
        <v>117.11045655376</v>
      </c>
      <c r="I197" s="9">
        <f t="shared" si="22"/>
        <v>137.02894183215</v>
      </c>
      <c r="J197" s="9">
        <f t="shared" si="23"/>
        <v>805.75465354621997</v>
      </c>
      <c r="K197" s="9">
        <f t="shared" si="24"/>
        <v>137.02894183215</v>
      </c>
      <c r="L197" s="10">
        <f t="shared" si="21"/>
        <v>0.1700628612308594</v>
      </c>
      <c r="M197" s="10">
        <f t="shared" si="20"/>
        <v>0.18576789389470064</v>
      </c>
      <c r="P197" s="8">
        <f t="shared" si="25"/>
        <v>-22.297133003025088</v>
      </c>
    </row>
    <row r="198" spans="1:16" x14ac:dyDescent="0.2">
      <c r="A198" s="8">
        <v>98</v>
      </c>
      <c r="B198" s="8">
        <v>196</v>
      </c>
      <c r="D198">
        <v>958.99266324284997</v>
      </c>
      <c r="E198">
        <v>254.80117388114999</v>
      </c>
      <c r="F198">
        <v>138.94918998527001</v>
      </c>
      <c r="G198">
        <v>116.44477172312</v>
      </c>
      <c r="I198" s="9">
        <f t="shared" si="22"/>
        <v>138.35640215802999</v>
      </c>
      <c r="J198" s="9">
        <f t="shared" si="23"/>
        <v>820.04347325757999</v>
      </c>
      <c r="K198" s="9">
        <f t="shared" si="24"/>
        <v>138.35640215802999</v>
      </c>
      <c r="L198" s="10">
        <f t="shared" si="21"/>
        <v>0.1687183749032431</v>
      </c>
      <c r="M198" s="10">
        <f t="shared" si="20"/>
        <v>0.18450394619612967</v>
      </c>
      <c r="P198" s="8">
        <f t="shared" si="25"/>
        <v>-22.825816177787583</v>
      </c>
    </row>
    <row r="199" spans="1:16" x14ac:dyDescent="0.2">
      <c r="A199" s="8">
        <v>98.5</v>
      </c>
      <c r="B199" s="8">
        <v>197</v>
      </c>
      <c r="D199">
        <v>948.41892883345997</v>
      </c>
      <c r="E199">
        <v>253.7461482025</v>
      </c>
      <c r="F199">
        <v>138.88144329897</v>
      </c>
      <c r="G199">
        <v>116.81222385862</v>
      </c>
      <c r="I199" s="9">
        <f t="shared" si="22"/>
        <v>136.93392434387999</v>
      </c>
      <c r="J199" s="9">
        <f t="shared" si="23"/>
        <v>809.53748553448997</v>
      </c>
      <c r="K199" s="9">
        <f t="shared" si="24"/>
        <v>136.93392434387999</v>
      </c>
      <c r="L199" s="10">
        <f t="shared" si="21"/>
        <v>0.16915081363214524</v>
      </c>
      <c r="M199" s="10">
        <f t="shared" si="20"/>
        <v>0.18501692355407715</v>
      </c>
      <c r="P199" s="8">
        <f t="shared" si="25"/>
        <v>-22.61124836102778</v>
      </c>
    </row>
    <row r="200" spans="1:16" x14ac:dyDescent="0.2">
      <c r="A200" s="8">
        <v>99</v>
      </c>
      <c r="B200" s="8">
        <v>198</v>
      </c>
      <c r="D200">
        <v>977.57906295754003</v>
      </c>
      <c r="E200">
        <v>255.682284041</v>
      </c>
      <c r="F200">
        <v>138.43667157585</v>
      </c>
      <c r="G200">
        <v>116.44918998527</v>
      </c>
      <c r="I200" s="9">
        <f t="shared" si="22"/>
        <v>139.23309405573002</v>
      </c>
      <c r="J200" s="9">
        <f t="shared" si="23"/>
        <v>839.14239138169</v>
      </c>
      <c r="K200" s="9">
        <f t="shared" si="24"/>
        <v>139.23309405573002</v>
      </c>
      <c r="L200" s="10">
        <f t="shared" si="21"/>
        <v>0.16592308467038086</v>
      </c>
      <c r="M200" s="10">
        <f t="shared" si="20"/>
        <v>0.1818697332213581</v>
      </c>
      <c r="P200" s="8">
        <f t="shared" si="25"/>
        <v>-23.927652970621136</v>
      </c>
    </row>
    <row r="201" spans="1:16" x14ac:dyDescent="0.2">
      <c r="A201" s="8">
        <v>99.5</v>
      </c>
      <c r="B201" s="8">
        <v>199</v>
      </c>
      <c r="D201">
        <v>953.09948792977002</v>
      </c>
      <c r="E201">
        <v>257.30431602047997</v>
      </c>
      <c r="F201">
        <v>138.92415316642001</v>
      </c>
      <c r="G201">
        <v>116.72901325479</v>
      </c>
      <c r="I201" s="9">
        <f t="shared" si="22"/>
        <v>140.57530276568997</v>
      </c>
      <c r="J201" s="9">
        <f t="shared" si="23"/>
        <v>814.17533476335007</v>
      </c>
      <c r="K201" s="9">
        <f t="shared" si="24"/>
        <v>140.57530276568997</v>
      </c>
      <c r="L201" s="10">
        <f t="shared" si="21"/>
        <v>0.17265974141374582</v>
      </c>
      <c r="M201" s="10">
        <f t="shared" si="20"/>
        <v>0.1886869285937684</v>
      </c>
      <c r="P201" s="8">
        <f t="shared" si="25"/>
        <v>-21.07616117508487</v>
      </c>
    </row>
    <row r="202" spans="1:16" x14ac:dyDescent="0.2">
      <c r="A202" s="8">
        <v>100</v>
      </c>
      <c r="B202" s="8">
        <v>200</v>
      </c>
      <c r="D202">
        <v>973.38563049852996</v>
      </c>
      <c r="E202">
        <v>256.61070381232003</v>
      </c>
      <c r="F202">
        <v>138.62444771723</v>
      </c>
      <c r="G202">
        <v>116.911634757</v>
      </c>
      <c r="I202" s="9">
        <f t="shared" si="22"/>
        <v>139.69906905532002</v>
      </c>
      <c r="J202" s="9">
        <f t="shared" si="23"/>
        <v>834.76118278130002</v>
      </c>
      <c r="K202" s="9">
        <f t="shared" si="24"/>
        <v>139.69906905532002</v>
      </c>
      <c r="L202" s="10">
        <f t="shared" si="21"/>
        <v>0.167352138476137</v>
      </c>
      <c r="M202" s="10">
        <f t="shared" si="20"/>
        <v>0.18345986428520494</v>
      </c>
      <c r="P202" s="8">
        <f t="shared" si="25"/>
        <v>-23.262534041987074</v>
      </c>
    </row>
    <row r="203" spans="1:16" x14ac:dyDescent="0.2">
      <c r="A203" s="8">
        <v>100.5</v>
      </c>
      <c r="B203" s="8">
        <v>201</v>
      </c>
      <c r="D203">
        <v>978.72067448680002</v>
      </c>
      <c r="E203">
        <v>258.48826979472</v>
      </c>
      <c r="F203">
        <v>138.85861561119</v>
      </c>
      <c r="G203">
        <v>116.5058910162</v>
      </c>
      <c r="I203" s="9">
        <f t="shared" si="22"/>
        <v>141.98237877852</v>
      </c>
      <c r="J203" s="9">
        <f t="shared" si="23"/>
        <v>839.86205887561005</v>
      </c>
      <c r="K203" s="9">
        <f t="shared" si="24"/>
        <v>141.98237877852</v>
      </c>
      <c r="L203" s="10">
        <f t="shared" si="21"/>
        <v>0.16905440277728831</v>
      </c>
      <c r="M203" s="10">
        <f t="shared" si="20"/>
        <v>0.18524266721540159</v>
      </c>
      <c r="P203" s="8">
        <f t="shared" si="25"/>
        <v>-22.51682445750199</v>
      </c>
    </row>
    <row r="204" spans="1:16" x14ac:dyDescent="0.2">
      <c r="A204" s="8">
        <v>101</v>
      </c>
      <c r="B204" s="8">
        <v>202</v>
      </c>
      <c r="D204">
        <v>973.03350327750002</v>
      </c>
      <c r="E204">
        <v>257.02112163146001</v>
      </c>
      <c r="F204">
        <v>138.9558173785</v>
      </c>
      <c r="G204">
        <v>116.68262150221</v>
      </c>
      <c r="I204" s="9">
        <f t="shared" si="22"/>
        <v>140.33850012925001</v>
      </c>
      <c r="J204" s="9">
        <f t="shared" si="23"/>
        <v>834.07768589900002</v>
      </c>
      <c r="K204" s="9">
        <f t="shared" si="24"/>
        <v>140.33850012925001</v>
      </c>
      <c r="L204" s="10">
        <f t="shared" si="21"/>
        <v>0.16825591009306037</v>
      </c>
      <c r="M204" s="10">
        <f t="shared" si="20"/>
        <v>0.18452471316021898</v>
      </c>
      <c r="P204" s="8">
        <f t="shared" si="25"/>
        <v>-22.817129786319541</v>
      </c>
    </row>
    <row r="205" spans="1:16" x14ac:dyDescent="0.2">
      <c r="A205" s="8">
        <v>101.5</v>
      </c>
      <c r="B205" s="8">
        <v>203</v>
      </c>
      <c r="D205">
        <v>972.98013245032996</v>
      </c>
      <c r="E205">
        <v>260.00883002208002</v>
      </c>
      <c r="F205">
        <v>138.81369661266999</v>
      </c>
      <c r="G205">
        <v>116.41826215022</v>
      </c>
      <c r="I205" s="9">
        <f t="shared" si="22"/>
        <v>143.59056787186</v>
      </c>
      <c r="J205" s="9">
        <f t="shared" si="23"/>
        <v>834.16643583765995</v>
      </c>
      <c r="K205" s="9">
        <f t="shared" si="24"/>
        <v>143.59056787186</v>
      </c>
      <c r="L205" s="10">
        <f t="shared" si="21"/>
        <v>0.17213659253463978</v>
      </c>
      <c r="M205" s="10">
        <f t="shared" si="20"/>
        <v>0.18848593423084373</v>
      </c>
      <c r="P205" s="8">
        <f t="shared" si="25"/>
        <v>-21.160232959083942</v>
      </c>
    </row>
    <row r="206" spans="1:16" x14ac:dyDescent="0.2">
      <c r="A206" s="8">
        <v>102</v>
      </c>
      <c r="B206" s="8">
        <v>204</v>
      </c>
      <c r="D206">
        <v>960.96559297218005</v>
      </c>
      <c r="E206">
        <v>257.91727672035</v>
      </c>
      <c r="F206">
        <v>138.71944035345999</v>
      </c>
      <c r="G206">
        <v>116.73269513991001</v>
      </c>
      <c r="I206" s="9">
        <f t="shared" si="22"/>
        <v>141.18458158044001</v>
      </c>
      <c r="J206" s="9">
        <f t="shared" si="23"/>
        <v>822.24615261872009</v>
      </c>
      <c r="K206" s="9">
        <f t="shared" si="24"/>
        <v>141.18458158044001</v>
      </c>
      <c r="L206" s="10">
        <f t="shared" si="21"/>
        <v>0.17170598017490274</v>
      </c>
      <c r="M206" s="10">
        <f t="shared" si="20"/>
        <v>0.18813586050015202</v>
      </c>
      <c r="P206" s="8">
        <f t="shared" si="25"/>
        <v>-21.306661558583979</v>
      </c>
    </row>
    <row r="207" spans="1:16" x14ac:dyDescent="0.2">
      <c r="A207" s="8">
        <v>102.5</v>
      </c>
      <c r="B207" s="8">
        <v>205</v>
      </c>
      <c r="D207">
        <v>962.32942898975</v>
      </c>
      <c r="E207">
        <v>260.79575402634998</v>
      </c>
      <c r="F207">
        <v>138.77761413843999</v>
      </c>
      <c r="G207">
        <v>116.91899852725</v>
      </c>
      <c r="I207" s="9">
        <f t="shared" si="22"/>
        <v>143.8767554991</v>
      </c>
      <c r="J207" s="9">
        <f t="shared" si="23"/>
        <v>823.55181485131004</v>
      </c>
      <c r="K207" s="9">
        <f t="shared" si="24"/>
        <v>143.8767554991</v>
      </c>
      <c r="L207" s="10">
        <f t="shared" si="21"/>
        <v>0.17470273625112046</v>
      </c>
      <c r="M207" s="10">
        <f t="shared" si="20"/>
        <v>0.1912131552054151</v>
      </c>
      <c r="P207" s="8">
        <f t="shared" si="25"/>
        <v>-20.019492844010028</v>
      </c>
    </row>
    <row r="208" spans="1:16" x14ac:dyDescent="0.2">
      <c r="A208" s="8">
        <v>103</v>
      </c>
      <c r="B208" s="8">
        <v>206</v>
      </c>
      <c r="D208">
        <v>945.15739385066001</v>
      </c>
      <c r="E208">
        <v>258.33674963396999</v>
      </c>
      <c r="F208">
        <v>138.41310751104999</v>
      </c>
      <c r="G208">
        <v>116.60014727541</v>
      </c>
      <c r="I208" s="9">
        <f t="shared" si="22"/>
        <v>141.73660235855999</v>
      </c>
      <c r="J208" s="9">
        <f t="shared" si="23"/>
        <v>806.74428633960997</v>
      </c>
      <c r="K208" s="9">
        <f t="shared" si="24"/>
        <v>141.73660235855999</v>
      </c>
      <c r="L208" s="10">
        <f t="shared" si="21"/>
        <v>0.17568962651307088</v>
      </c>
      <c r="M208" s="10">
        <f t="shared" si="20"/>
        <v>0.19228058409641086</v>
      </c>
      <c r="P208" s="8">
        <f t="shared" si="25"/>
        <v>-19.573009421030672</v>
      </c>
    </row>
    <row r="209" spans="1:16" x14ac:dyDescent="0.2">
      <c r="A209" s="8">
        <v>103.5</v>
      </c>
      <c r="B209" s="8">
        <v>207</v>
      </c>
      <c r="D209">
        <v>965.86456808199</v>
      </c>
      <c r="E209">
        <v>262.00585651537</v>
      </c>
      <c r="F209">
        <v>138.76509572901</v>
      </c>
      <c r="G209">
        <v>116.79528718704</v>
      </c>
      <c r="I209" s="9">
        <f t="shared" si="22"/>
        <v>145.21056932833</v>
      </c>
      <c r="J209" s="9">
        <f t="shared" si="23"/>
        <v>827.09947235298</v>
      </c>
      <c r="K209" s="9">
        <f t="shared" si="24"/>
        <v>145.21056932833</v>
      </c>
      <c r="L209" s="10">
        <f t="shared" si="21"/>
        <v>0.17556602824957274</v>
      </c>
      <c r="M209" s="10">
        <f t="shared" si="20"/>
        <v>0.19223752446195805</v>
      </c>
      <c r="P209" s="8">
        <f t="shared" si="25"/>
        <v>-19.591020375338637</v>
      </c>
    </row>
    <row r="210" spans="1:16" x14ac:dyDescent="0.2">
      <c r="A210" s="8">
        <v>104</v>
      </c>
      <c r="B210" s="8">
        <v>208</v>
      </c>
      <c r="D210">
        <v>956.67642752562006</v>
      </c>
      <c r="E210">
        <v>259.86749633967997</v>
      </c>
      <c r="F210">
        <v>138.26730486009001</v>
      </c>
      <c r="G210">
        <v>116.78497790869</v>
      </c>
      <c r="I210" s="9">
        <f t="shared" si="22"/>
        <v>143.08251843098998</v>
      </c>
      <c r="J210" s="9">
        <f t="shared" si="23"/>
        <v>818.40912266553005</v>
      </c>
      <c r="K210" s="9">
        <f t="shared" si="24"/>
        <v>143.08251843098998</v>
      </c>
      <c r="L210" s="10">
        <f t="shared" si="21"/>
        <v>0.17483006294574918</v>
      </c>
      <c r="M210" s="10">
        <f t="shared" si="20"/>
        <v>0.19158209778717983</v>
      </c>
      <c r="P210" s="8">
        <f t="shared" si="25"/>
        <v>-19.865171794450003</v>
      </c>
    </row>
    <row r="211" spans="1:16" x14ac:dyDescent="0.2">
      <c r="A211" s="8">
        <v>104.5</v>
      </c>
      <c r="B211" s="8">
        <v>209</v>
      </c>
      <c r="D211">
        <v>953.65519765738998</v>
      </c>
      <c r="E211">
        <v>262.19838945827001</v>
      </c>
      <c r="F211">
        <v>138.61929307806</v>
      </c>
      <c r="G211">
        <v>116.23858615611</v>
      </c>
      <c r="I211" s="9">
        <f t="shared" si="22"/>
        <v>145.95980330216003</v>
      </c>
      <c r="J211" s="9">
        <f t="shared" si="23"/>
        <v>815.03590457933001</v>
      </c>
      <c r="K211" s="9">
        <f t="shared" si="24"/>
        <v>145.95980330216003</v>
      </c>
      <c r="L211" s="10">
        <f t="shared" si="21"/>
        <v>0.17908389370587943</v>
      </c>
      <c r="M211" s="10">
        <f t="shared" si="20"/>
        <v>0.19591646717635541</v>
      </c>
      <c r="P211" s="8">
        <f t="shared" si="25"/>
        <v>-18.052194744961703</v>
      </c>
    </row>
    <row r="212" spans="1:16" x14ac:dyDescent="0.2">
      <c r="A212" s="8">
        <v>105</v>
      </c>
      <c r="B212" s="8">
        <v>210</v>
      </c>
      <c r="D212">
        <v>951.86822840410002</v>
      </c>
      <c r="E212">
        <v>264.34407027818003</v>
      </c>
      <c r="F212">
        <v>138.72091310751</v>
      </c>
      <c r="G212">
        <v>116.66789396171001</v>
      </c>
      <c r="I212" s="9">
        <f t="shared" si="22"/>
        <v>147.67617631647002</v>
      </c>
      <c r="J212" s="9">
        <f t="shared" si="23"/>
        <v>813.14731529659002</v>
      </c>
      <c r="K212" s="9">
        <f t="shared" si="24"/>
        <v>147.67617631647002</v>
      </c>
      <c r="L212" s="10">
        <f t="shared" si="21"/>
        <v>0.18161060553044578</v>
      </c>
      <c r="M212" s="10">
        <f t="shared" si="20"/>
        <v>0.19852371762996709</v>
      </c>
      <c r="P212" s="8">
        <f t="shared" si="25"/>
        <v>-16.961635816950029</v>
      </c>
    </row>
    <row r="213" spans="1:16" x14ac:dyDescent="0.2">
      <c r="A213" s="8">
        <v>105.5</v>
      </c>
      <c r="B213" s="8">
        <v>211</v>
      </c>
      <c r="D213">
        <v>926.46778916544997</v>
      </c>
      <c r="E213">
        <v>262.32942898975</v>
      </c>
      <c r="F213">
        <v>138.78939617084001</v>
      </c>
      <c r="G213">
        <v>116.58689248895</v>
      </c>
      <c r="I213" s="9">
        <f t="shared" si="22"/>
        <v>145.74253650079999</v>
      </c>
      <c r="J213" s="9">
        <f t="shared" si="23"/>
        <v>787.67839299461002</v>
      </c>
      <c r="K213" s="9">
        <f t="shared" si="24"/>
        <v>145.74253650079999</v>
      </c>
      <c r="L213" s="10">
        <f t="shared" si="21"/>
        <v>0.18502797308773872</v>
      </c>
      <c r="M213" s="10">
        <f t="shared" si="20"/>
        <v>0.2020216238163054</v>
      </c>
      <c r="P213" s="8">
        <f t="shared" si="25"/>
        <v>-15.498534021119776</v>
      </c>
    </row>
    <row r="214" spans="1:16" x14ac:dyDescent="0.2">
      <c r="A214" s="8">
        <v>106</v>
      </c>
      <c r="B214" s="8">
        <v>212</v>
      </c>
      <c r="D214">
        <v>942.96187683284995</v>
      </c>
      <c r="E214">
        <v>265.83064516129002</v>
      </c>
      <c r="F214">
        <v>138.08910162002999</v>
      </c>
      <c r="G214">
        <v>116.47496318115</v>
      </c>
      <c r="I214" s="9">
        <f t="shared" si="22"/>
        <v>149.35568198014002</v>
      </c>
      <c r="J214" s="9">
        <f t="shared" si="23"/>
        <v>804.87277521281999</v>
      </c>
      <c r="K214" s="9">
        <f t="shared" si="24"/>
        <v>149.35568198014002</v>
      </c>
      <c r="L214" s="10">
        <f t="shared" si="21"/>
        <v>0.18556433585500295</v>
      </c>
      <c r="M214" s="10">
        <f t="shared" si="20"/>
        <v>0.20263852521261497</v>
      </c>
      <c r="P214" s="8">
        <f t="shared" si="25"/>
        <v>-15.240496929011375</v>
      </c>
    </row>
    <row r="215" spans="1:16" x14ac:dyDescent="0.2">
      <c r="A215" s="8">
        <v>106.5</v>
      </c>
      <c r="B215" s="8">
        <v>213</v>
      </c>
      <c r="D215">
        <v>937.19281524926998</v>
      </c>
      <c r="E215">
        <v>266.46994134897</v>
      </c>
      <c r="F215">
        <v>138.15758468336</v>
      </c>
      <c r="G215">
        <v>116.42120765832</v>
      </c>
      <c r="I215" s="9">
        <f t="shared" si="22"/>
        <v>150.04873369065001</v>
      </c>
      <c r="J215" s="9">
        <f t="shared" si="23"/>
        <v>799.03523056590996</v>
      </c>
      <c r="K215" s="9">
        <f t="shared" si="24"/>
        <v>150.04873369065001</v>
      </c>
      <c r="L215" s="10">
        <f t="shared" si="21"/>
        <v>0.18778738152056107</v>
      </c>
      <c r="M215" s="10">
        <f t="shared" si="20"/>
        <v>0.20494210950721842</v>
      </c>
      <c r="P215" s="8">
        <f t="shared" si="25"/>
        <v>-14.276955273307657</v>
      </c>
    </row>
    <row r="216" spans="1:16" x14ac:dyDescent="0.2">
      <c r="A216" s="8">
        <v>107</v>
      </c>
      <c r="B216" s="8">
        <v>214</v>
      </c>
      <c r="D216">
        <v>936.04618768327998</v>
      </c>
      <c r="E216">
        <v>269.49120234603998</v>
      </c>
      <c r="F216">
        <v>138.86818851251999</v>
      </c>
      <c r="G216">
        <v>116.08173784978</v>
      </c>
      <c r="I216" s="9">
        <f t="shared" si="22"/>
        <v>153.40946449626</v>
      </c>
      <c r="J216" s="9">
        <f t="shared" si="23"/>
        <v>797.17799917076002</v>
      </c>
      <c r="K216" s="9">
        <f t="shared" si="24"/>
        <v>153.40946449626</v>
      </c>
      <c r="L216" s="10">
        <f t="shared" si="21"/>
        <v>0.19244066526652703</v>
      </c>
      <c r="M216" s="10">
        <f t="shared" si="20"/>
        <v>0.20967593188222972</v>
      </c>
      <c r="P216" s="8">
        <f t="shared" si="25"/>
        <v>-12.296895303411535</v>
      </c>
    </row>
    <row r="217" spans="1:16" x14ac:dyDescent="0.2">
      <c r="A217" s="8">
        <v>107.5</v>
      </c>
      <c r="B217" s="8">
        <v>215</v>
      </c>
      <c r="D217">
        <v>951.76487876560998</v>
      </c>
      <c r="E217">
        <v>269.13372520206002</v>
      </c>
      <c r="F217">
        <v>138.73711340206</v>
      </c>
      <c r="G217">
        <v>116.64653902798</v>
      </c>
      <c r="I217" s="9">
        <f t="shared" si="22"/>
        <v>152.48718617408002</v>
      </c>
      <c r="J217" s="9">
        <f t="shared" si="23"/>
        <v>813.02776536354997</v>
      </c>
      <c r="K217" s="9">
        <f t="shared" si="24"/>
        <v>152.48718617408002</v>
      </c>
      <c r="L217" s="10">
        <f t="shared" si="21"/>
        <v>0.18755470928584403</v>
      </c>
      <c r="M217" s="10">
        <f t="shared" si="20"/>
        <v>0.20487051453059205</v>
      </c>
      <c r="P217" s="8">
        <f t="shared" si="25"/>
        <v>-14.30690197093025</v>
      </c>
    </row>
    <row r="218" spans="1:16" x14ac:dyDescent="0.2">
      <c r="A218" s="8">
        <v>108</v>
      </c>
      <c r="B218" s="8">
        <v>216</v>
      </c>
      <c r="D218">
        <v>948.65367647058997</v>
      </c>
      <c r="E218">
        <v>269.88382352940999</v>
      </c>
      <c r="F218">
        <v>138.61266568483001</v>
      </c>
      <c r="G218">
        <v>116.87997054492</v>
      </c>
      <c r="I218" s="9">
        <f t="shared" si="22"/>
        <v>153.00385298448998</v>
      </c>
      <c r="J218" s="9">
        <f t="shared" si="23"/>
        <v>810.04101078575991</v>
      </c>
      <c r="K218" s="9">
        <f t="shared" si="24"/>
        <v>153.00385298448998</v>
      </c>
      <c r="L218" s="10">
        <f t="shared" si="21"/>
        <v>0.18888408234550055</v>
      </c>
      <c r="M218" s="10">
        <f t="shared" si="20"/>
        <v>0.20628042621929393</v>
      </c>
      <c r="P218" s="8">
        <f t="shared" si="25"/>
        <v>-13.717165078683511</v>
      </c>
    </row>
    <row r="219" spans="1:16" x14ac:dyDescent="0.2">
      <c r="A219" s="8">
        <v>108.5</v>
      </c>
      <c r="B219" s="8">
        <v>217</v>
      </c>
      <c r="D219">
        <v>943.27578639356</v>
      </c>
      <c r="E219">
        <v>273.30724213605998</v>
      </c>
      <c r="F219">
        <v>138.80854197349001</v>
      </c>
      <c r="G219">
        <v>116.60677466863</v>
      </c>
      <c r="I219" s="9">
        <f t="shared" si="22"/>
        <v>156.70046746742997</v>
      </c>
      <c r="J219" s="9">
        <f t="shared" si="23"/>
        <v>804.46724442006996</v>
      </c>
      <c r="K219" s="9">
        <f t="shared" si="24"/>
        <v>156.70046746742997</v>
      </c>
      <c r="L219" s="10">
        <f t="shared" si="21"/>
        <v>0.19478787800787753</v>
      </c>
      <c r="M219" s="10">
        <f t="shared" si="20"/>
        <v>0.21226476051071624</v>
      </c>
      <c r="P219" s="8">
        <f t="shared" si="25"/>
        <v>-11.214041843753575</v>
      </c>
    </row>
    <row r="220" spans="1:16" x14ac:dyDescent="0.2">
      <c r="A220" s="8">
        <v>109</v>
      </c>
      <c r="B220" s="8">
        <v>218</v>
      </c>
      <c r="D220">
        <v>941.16752011705</v>
      </c>
      <c r="E220">
        <v>273.50914411118998</v>
      </c>
      <c r="F220">
        <v>138.59720176731</v>
      </c>
      <c r="G220">
        <v>116.5500736377</v>
      </c>
      <c r="I220" s="9">
        <f t="shared" si="22"/>
        <v>156.95907047348999</v>
      </c>
      <c r="J220" s="9">
        <f t="shared" si="23"/>
        <v>802.57031834973998</v>
      </c>
      <c r="K220" s="9">
        <f t="shared" si="24"/>
        <v>156.95907047348999</v>
      </c>
      <c r="L220" s="10">
        <f t="shared" si="21"/>
        <v>0.19557049006775151</v>
      </c>
      <c r="M220" s="10">
        <f t="shared" si="20"/>
        <v>0.21312791119963556</v>
      </c>
      <c r="P220" s="8">
        <f t="shared" si="25"/>
        <v>-10.853003766757007</v>
      </c>
    </row>
    <row r="221" spans="1:16" x14ac:dyDescent="0.2">
      <c r="A221" s="8">
        <v>109.5</v>
      </c>
      <c r="B221" s="8">
        <v>219</v>
      </c>
      <c r="D221">
        <v>889.18288222385002</v>
      </c>
      <c r="E221">
        <v>269.02414045354999</v>
      </c>
      <c r="F221">
        <v>138.78350515464001</v>
      </c>
      <c r="G221">
        <v>116.55154639174999</v>
      </c>
      <c r="I221" s="9">
        <f t="shared" si="22"/>
        <v>152.47259406180001</v>
      </c>
      <c r="J221" s="9">
        <f t="shared" si="23"/>
        <v>750.39937706921</v>
      </c>
      <c r="K221" s="9">
        <f t="shared" si="24"/>
        <v>152.47259406180001</v>
      </c>
      <c r="L221" s="10">
        <f t="shared" si="21"/>
        <v>0.2031885935957238</v>
      </c>
      <c r="M221" s="10">
        <f t="shared" si="20"/>
        <v>0.22082655335665319</v>
      </c>
      <c r="P221" s="8">
        <f t="shared" si="25"/>
        <v>-7.632821015893029</v>
      </c>
    </row>
    <row r="222" spans="1:16" x14ac:dyDescent="0.2">
      <c r="A222" s="8">
        <v>110</v>
      </c>
      <c r="B222" s="8">
        <v>220</v>
      </c>
      <c r="D222">
        <v>936.38427626744999</v>
      </c>
      <c r="E222">
        <v>271.21307861866001</v>
      </c>
      <c r="F222">
        <v>138.38365243004</v>
      </c>
      <c r="G222">
        <v>116.38291605302</v>
      </c>
      <c r="I222" s="9">
        <f t="shared" si="22"/>
        <v>154.83016256564002</v>
      </c>
      <c r="J222" s="9">
        <f t="shared" si="23"/>
        <v>798.00062383740999</v>
      </c>
      <c r="K222" s="9">
        <f t="shared" si="24"/>
        <v>154.83016256564002</v>
      </c>
      <c r="L222" s="10">
        <f t="shared" si="21"/>
        <v>0.19402260842992294</v>
      </c>
      <c r="M222" s="10">
        <f t="shared" si="20"/>
        <v>0.21174110681989766</v>
      </c>
      <c r="P222" s="8">
        <f t="shared" si="25"/>
        <v>-11.433075349689833</v>
      </c>
    </row>
    <row r="223" spans="1:16" x14ac:dyDescent="0.2">
      <c r="A223" s="8">
        <v>110.5</v>
      </c>
      <c r="B223" s="8">
        <v>221</v>
      </c>
      <c r="D223">
        <v>937.03382352941003</v>
      </c>
      <c r="E223">
        <v>272.02499999999998</v>
      </c>
      <c r="F223">
        <v>138.61119293077999</v>
      </c>
      <c r="G223">
        <v>116.44477172312</v>
      </c>
      <c r="I223" s="9">
        <f t="shared" si="22"/>
        <v>155.58022827687998</v>
      </c>
      <c r="J223" s="9">
        <f t="shared" si="23"/>
        <v>798.42263059863001</v>
      </c>
      <c r="K223" s="9">
        <f t="shared" si="24"/>
        <v>155.58022827687998</v>
      </c>
      <c r="L223" s="10">
        <f t="shared" si="21"/>
        <v>0.19485949209659956</v>
      </c>
      <c r="M223" s="10">
        <f t="shared" si="20"/>
        <v>0.21265852911561961</v>
      </c>
      <c r="P223" s="8">
        <f t="shared" si="25"/>
        <v>-11.04933658229578</v>
      </c>
    </row>
    <row r="224" spans="1:16" x14ac:dyDescent="0.2">
      <c r="A224" s="8">
        <v>111</v>
      </c>
      <c r="B224" s="8">
        <v>222</v>
      </c>
      <c r="D224">
        <v>929.36430678466002</v>
      </c>
      <c r="E224">
        <v>270.37241887905998</v>
      </c>
      <c r="F224">
        <v>138.15832106037999</v>
      </c>
      <c r="G224">
        <v>116.97790868925</v>
      </c>
      <c r="I224" s="9">
        <f t="shared" si="22"/>
        <v>153.39451018980998</v>
      </c>
      <c r="J224" s="9">
        <f t="shared" si="23"/>
        <v>791.20598572428003</v>
      </c>
      <c r="K224" s="9">
        <f t="shared" si="24"/>
        <v>153.39451018980998</v>
      </c>
      <c r="L224" s="10">
        <f t="shared" si="21"/>
        <v>0.19387430448897666</v>
      </c>
      <c r="M224" s="10">
        <f t="shared" si="20"/>
        <v>0.21175388013704208</v>
      </c>
      <c r="P224" s="8">
        <f t="shared" si="25"/>
        <v>-11.4277325353726</v>
      </c>
    </row>
    <row r="225" spans="1:16" x14ac:dyDescent="0.2">
      <c r="A225" s="8">
        <v>111.5</v>
      </c>
      <c r="B225" s="8">
        <v>223</v>
      </c>
      <c r="D225">
        <v>914.14233038348004</v>
      </c>
      <c r="E225">
        <v>269.70575221239</v>
      </c>
      <c r="F225">
        <v>138.71649484535999</v>
      </c>
      <c r="G225">
        <v>116.75552282769</v>
      </c>
      <c r="I225" s="9">
        <f t="shared" si="22"/>
        <v>152.95022938469998</v>
      </c>
      <c r="J225" s="9">
        <f t="shared" si="23"/>
        <v>775.42583553812005</v>
      </c>
      <c r="K225" s="9">
        <f t="shared" si="24"/>
        <v>152.95022938469998</v>
      </c>
      <c r="L225" s="10">
        <f t="shared" si="21"/>
        <v>0.19724675446047982</v>
      </c>
      <c r="M225" s="10">
        <f t="shared" si="20"/>
        <v>0.21520686873759057</v>
      </c>
      <c r="P225" s="8">
        <f t="shared" si="25"/>
        <v>-9.9834188364587551</v>
      </c>
    </row>
    <row r="226" spans="1:16" x14ac:dyDescent="0.2">
      <c r="A226" s="8">
        <v>112</v>
      </c>
      <c r="B226" s="8">
        <v>224</v>
      </c>
      <c r="D226">
        <v>917.71165191739999</v>
      </c>
      <c r="E226">
        <v>271.59144542772998</v>
      </c>
      <c r="F226">
        <v>138.30486008836999</v>
      </c>
      <c r="G226">
        <v>116.73784977909</v>
      </c>
      <c r="I226" s="9">
        <f t="shared" si="22"/>
        <v>154.85359564863998</v>
      </c>
      <c r="J226" s="9">
        <f t="shared" si="23"/>
        <v>779.40679182903</v>
      </c>
      <c r="K226" s="9">
        <f t="shared" si="24"/>
        <v>154.85359564863998</v>
      </c>
      <c r="L226" s="10">
        <f t="shared" si="21"/>
        <v>0.19868135262876763</v>
      </c>
      <c r="M226" s="10">
        <f t="shared" si="20"/>
        <v>0.21672200553492371</v>
      </c>
      <c r="P226" s="8">
        <f t="shared" si="25"/>
        <v>-9.3496684580853362</v>
      </c>
    </row>
    <row r="227" spans="1:16" x14ac:dyDescent="0.2">
      <c r="A227" s="8">
        <v>112.5</v>
      </c>
      <c r="B227" s="8">
        <v>225</v>
      </c>
      <c r="D227">
        <v>911.01618837379999</v>
      </c>
      <c r="E227">
        <v>273.44518027961999</v>
      </c>
      <c r="F227">
        <v>138.16642120765999</v>
      </c>
      <c r="G227">
        <v>116.34167893962</v>
      </c>
      <c r="I227" s="9">
        <f t="shared" si="22"/>
        <v>157.10350133999998</v>
      </c>
      <c r="J227" s="9">
        <f t="shared" si="23"/>
        <v>772.84976716614005</v>
      </c>
      <c r="K227" s="9">
        <f t="shared" si="24"/>
        <v>157.10350133999998</v>
      </c>
      <c r="L227" s="10">
        <f t="shared" si="21"/>
        <v>0.20327818938997924</v>
      </c>
      <c r="M227" s="10">
        <f t="shared" si="20"/>
        <v>0.22139938092518066</v>
      </c>
      <c r="P227" s="8">
        <f t="shared" si="25"/>
        <v>-7.3932190941814078</v>
      </c>
    </row>
    <row r="228" spans="1:16" x14ac:dyDescent="0.2">
      <c r="A228" s="8">
        <v>113</v>
      </c>
      <c r="B228" s="8">
        <v>226</v>
      </c>
      <c r="D228">
        <v>910.24208977189005</v>
      </c>
      <c r="E228">
        <v>273.32523914643002</v>
      </c>
      <c r="F228">
        <v>138.5058910162</v>
      </c>
      <c r="G228">
        <v>116.53976435935</v>
      </c>
      <c r="I228" s="9">
        <f t="shared" si="22"/>
        <v>156.78547478708003</v>
      </c>
      <c r="J228" s="9">
        <f t="shared" si="23"/>
        <v>771.73619875569011</v>
      </c>
      <c r="K228" s="9">
        <f t="shared" si="24"/>
        <v>156.78547478708003</v>
      </c>
      <c r="L228" s="10">
        <f t="shared" si="21"/>
        <v>0.20315941514713617</v>
      </c>
      <c r="M228" s="10">
        <f t="shared" si="20"/>
        <v>0.22136114531138293</v>
      </c>
      <c r="P228" s="8">
        <f t="shared" si="25"/>
        <v>-7.4092122604448809</v>
      </c>
    </row>
    <row r="229" spans="1:16" x14ac:dyDescent="0.2">
      <c r="A229" s="8">
        <v>113.5</v>
      </c>
      <c r="B229" s="8">
        <v>227</v>
      </c>
      <c r="D229">
        <v>880.16850625459995</v>
      </c>
      <c r="E229">
        <v>269.88594554820003</v>
      </c>
      <c r="F229">
        <v>138.44329896907001</v>
      </c>
      <c r="G229">
        <v>116.43593519882</v>
      </c>
      <c r="I229" s="9">
        <f t="shared" si="22"/>
        <v>153.45001034938002</v>
      </c>
      <c r="J229" s="9">
        <f t="shared" si="23"/>
        <v>741.7252072855299</v>
      </c>
      <c r="K229" s="9">
        <f t="shared" si="24"/>
        <v>153.45001034938002</v>
      </c>
      <c r="L229" s="10">
        <f t="shared" si="21"/>
        <v>0.20688256087582158</v>
      </c>
      <c r="M229" s="10">
        <f t="shared" si="20"/>
        <v>0.22516482966911366</v>
      </c>
      <c r="P229" s="8">
        <f t="shared" si="25"/>
        <v>-5.8182097812179974</v>
      </c>
    </row>
    <row r="230" spans="1:16" x14ac:dyDescent="0.2">
      <c r="A230" s="8">
        <v>114</v>
      </c>
      <c r="B230" s="8">
        <v>228</v>
      </c>
      <c r="D230">
        <v>913.64017660043999</v>
      </c>
      <c r="E230">
        <v>274.53495217071003</v>
      </c>
      <c r="F230">
        <v>138.39469808542</v>
      </c>
      <c r="G230">
        <v>116.91531664212</v>
      </c>
      <c r="I230" s="9">
        <f t="shared" si="22"/>
        <v>157.61963552859004</v>
      </c>
      <c r="J230" s="9">
        <f t="shared" si="23"/>
        <v>775.24547851501995</v>
      </c>
      <c r="K230" s="9">
        <f t="shared" si="24"/>
        <v>157.61963552859004</v>
      </c>
      <c r="L230" s="10">
        <f t="shared" si="21"/>
        <v>0.20331577532126974</v>
      </c>
      <c r="M230" s="10">
        <f t="shared" si="20"/>
        <v>0.22167858274360719</v>
      </c>
      <c r="P230" s="8">
        <f t="shared" si="25"/>
        <v>-7.2764347494398596</v>
      </c>
    </row>
    <row r="231" spans="1:16" x14ac:dyDescent="0.2">
      <c r="A231" s="8">
        <v>114.5</v>
      </c>
      <c r="B231" s="8">
        <v>229</v>
      </c>
      <c r="D231">
        <v>930.87049300957005</v>
      </c>
      <c r="E231">
        <v>277.04267844002999</v>
      </c>
      <c r="F231">
        <v>138.61708394697999</v>
      </c>
      <c r="G231">
        <v>116.74447717231</v>
      </c>
      <c r="I231" s="9">
        <f t="shared" si="22"/>
        <v>160.29820126772</v>
      </c>
      <c r="J231" s="9">
        <f t="shared" si="23"/>
        <v>792.25340906259009</v>
      </c>
      <c r="K231" s="9">
        <f t="shared" si="24"/>
        <v>160.29820126772</v>
      </c>
      <c r="L231" s="10">
        <f t="shared" si="21"/>
        <v>0.20233198044220221</v>
      </c>
      <c r="M231" s="10">
        <f t="shared" si="20"/>
        <v>0.220775326493585</v>
      </c>
      <c r="P231" s="8">
        <f t="shared" si="25"/>
        <v>-7.6542481529736488</v>
      </c>
    </row>
    <row r="232" spans="1:16" x14ac:dyDescent="0.2">
      <c r="A232" s="8">
        <v>115</v>
      </c>
      <c r="B232" s="8">
        <v>230</v>
      </c>
      <c r="D232">
        <v>937.70198675496999</v>
      </c>
      <c r="E232">
        <v>278.65562913907002</v>
      </c>
      <c r="F232">
        <v>138.21870397644</v>
      </c>
      <c r="G232">
        <v>116.72533136966</v>
      </c>
      <c r="I232" s="9">
        <f t="shared" si="22"/>
        <v>161.93029776941</v>
      </c>
      <c r="J232" s="9">
        <f t="shared" si="23"/>
        <v>799.48328277853</v>
      </c>
      <c r="K232" s="9">
        <f t="shared" si="24"/>
        <v>161.93029776941</v>
      </c>
      <c r="L232" s="10">
        <f t="shared" si="21"/>
        <v>0.20254369448056034</v>
      </c>
      <c r="M232" s="10">
        <f t="shared" si="20"/>
        <v>0.22106757916098846</v>
      </c>
      <c r="P232" s="8">
        <f t="shared" si="25"/>
        <v>-7.5320049080906868</v>
      </c>
    </row>
    <row r="233" spans="1:16" x14ac:dyDescent="0.2">
      <c r="A233" s="8">
        <v>115.5</v>
      </c>
      <c r="B233" s="8">
        <v>231</v>
      </c>
      <c r="D233">
        <v>938.04988994864004</v>
      </c>
      <c r="E233">
        <v>279.14306676449002</v>
      </c>
      <c r="F233">
        <v>138.82842415317</v>
      </c>
      <c r="G233">
        <v>116.57363770249999</v>
      </c>
      <c r="I233" s="9">
        <f t="shared" si="22"/>
        <v>162.56942906199004</v>
      </c>
      <c r="J233" s="9">
        <f t="shared" si="23"/>
        <v>799.22146579547007</v>
      </c>
      <c r="K233" s="9">
        <f t="shared" si="24"/>
        <v>162.56942906199004</v>
      </c>
      <c r="L233" s="10">
        <f t="shared" si="21"/>
        <v>0.20340973812581933</v>
      </c>
      <c r="M233" s="10">
        <f t="shared" si="20"/>
        <v>0.22201416143529279</v>
      </c>
      <c r="P233" s="8">
        <f t="shared" si="25"/>
        <v>-7.1360691248941812</v>
      </c>
    </row>
    <row r="234" spans="1:16" x14ac:dyDescent="0.2">
      <c r="A234" s="8">
        <v>116</v>
      </c>
      <c r="B234" s="8">
        <v>232</v>
      </c>
      <c r="D234">
        <v>969.79750550256995</v>
      </c>
      <c r="E234">
        <v>282.86353631694999</v>
      </c>
      <c r="F234">
        <v>137.93888070692</v>
      </c>
      <c r="G234">
        <v>116.71428571429</v>
      </c>
      <c r="I234" s="9">
        <f t="shared" si="22"/>
        <v>166.14925060266</v>
      </c>
      <c r="J234" s="9">
        <f t="shared" si="23"/>
        <v>831.85862479564992</v>
      </c>
      <c r="K234" s="9">
        <f t="shared" si="24"/>
        <v>166.14925060266</v>
      </c>
      <c r="L234" s="10">
        <f t="shared" si="21"/>
        <v>0.1997325574925371</v>
      </c>
      <c r="M234" s="10">
        <f t="shared" si="20"/>
        <v>0.21841751943105589</v>
      </c>
      <c r="P234" s="8">
        <f t="shared" si="25"/>
        <v>-8.6404700707829551</v>
      </c>
    </row>
    <row r="235" spans="1:16" x14ac:dyDescent="0.2">
      <c r="A235" s="8">
        <v>116.5</v>
      </c>
      <c r="B235" s="8">
        <v>233</v>
      </c>
      <c r="D235">
        <v>949.88921496699004</v>
      </c>
      <c r="E235">
        <v>281.93323550990999</v>
      </c>
      <c r="F235">
        <v>138.16789396171001</v>
      </c>
      <c r="G235">
        <v>116.5441826215</v>
      </c>
      <c r="I235" s="9">
        <f t="shared" si="22"/>
        <v>165.38905288840999</v>
      </c>
      <c r="J235" s="9">
        <f t="shared" si="23"/>
        <v>811.72132100528006</v>
      </c>
      <c r="K235" s="9">
        <f t="shared" si="24"/>
        <v>165.38905288840999</v>
      </c>
      <c r="L235" s="10">
        <f t="shared" si="21"/>
        <v>0.20375102711800541</v>
      </c>
      <c r="M235" s="10">
        <f t="shared" si="20"/>
        <v>0.22251652768556957</v>
      </c>
      <c r="P235" s="8">
        <f t="shared" si="25"/>
        <v>-6.9259397149588358</v>
      </c>
    </row>
    <row r="236" spans="1:16" x14ac:dyDescent="0.2">
      <c r="A236" s="8">
        <v>117</v>
      </c>
      <c r="B236" s="8">
        <v>234</v>
      </c>
      <c r="D236">
        <v>940.35593220339001</v>
      </c>
      <c r="E236">
        <v>281.74355195283999</v>
      </c>
      <c r="F236">
        <v>138.07069219440001</v>
      </c>
      <c r="G236">
        <v>116.68556701031</v>
      </c>
      <c r="I236" s="9">
        <f t="shared" si="22"/>
        <v>165.05798494253</v>
      </c>
      <c r="J236" s="9">
        <f t="shared" si="23"/>
        <v>802.28524000899006</v>
      </c>
      <c r="K236" s="9">
        <f t="shared" si="24"/>
        <v>165.05798494253</v>
      </c>
      <c r="L236" s="10">
        <f t="shared" si="21"/>
        <v>0.20573478946300996</v>
      </c>
      <c r="M236" s="10">
        <f t="shared" si="20"/>
        <v>0.22458082865961945</v>
      </c>
      <c r="P236" s="8">
        <f t="shared" si="25"/>
        <v>-6.0624853221387003</v>
      </c>
    </row>
    <row r="237" spans="1:16" x14ac:dyDescent="0.2">
      <c r="A237" s="8">
        <v>117.5</v>
      </c>
      <c r="B237" s="8">
        <v>235</v>
      </c>
      <c r="D237">
        <v>952.91893883567002</v>
      </c>
      <c r="E237">
        <v>283.71481208547999</v>
      </c>
      <c r="F237">
        <v>138.58689248895001</v>
      </c>
      <c r="G237">
        <v>116.45508100147001</v>
      </c>
      <c r="I237" s="9">
        <f t="shared" si="22"/>
        <v>167.25973108400999</v>
      </c>
      <c r="J237" s="9">
        <f t="shared" si="23"/>
        <v>814.33204634672006</v>
      </c>
      <c r="K237" s="9">
        <f t="shared" si="24"/>
        <v>167.25973108400999</v>
      </c>
      <c r="L237" s="10">
        <f t="shared" si="21"/>
        <v>0.20539500052144014</v>
      </c>
      <c r="M237" s="10">
        <f t="shared" si="20"/>
        <v>0.22432157834709496</v>
      </c>
      <c r="P237" s="8">
        <f t="shared" si="25"/>
        <v>-6.170924364702393</v>
      </c>
    </row>
    <row r="238" spans="1:16" x14ac:dyDescent="0.2">
      <c r="A238" s="8">
        <v>118</v>
      </c>
      <c r="B238" s="8">
        <v>236</v>
      </c>
      <c r="D238">
        <v>940.03463522476</v>
      </c>
      <c r="E238">
        <v>282.38909358879999</v>
      </c>
      <c r="F238">
        <v>138.4617083947</v>
      </c>
      <c r="G238">
        <v>116.05522827688</v>
      </c>
      <c r="I238" s="9">
        <f t="shared" si="22"/>
        <v>166.33386531191999</v>
      </c>
      <c r="J238" s="9">
        <f t="shared" si="23"/>
        <v>801.57292683005994</v>
      </c>
      <c r="K238" s="9">
        <f t="shared" si="24"/>
        <v>166.33386531191999</v>
      </c>
      <c r="L238" s="10">
        <f t="shared" si="21"/>
        <v>0.20750933538849939</v>
      </c>
      <c r="M238" s="10">
        <f t="shared" si="20"/>
        <v>0.22651645184319955</v>
      </c>
      <c r="P238" s="8">
        <f t="shared" si="25"/>
        <v>-5.252854187087781</v>
      </c>
    </row>
    <row r="239" spans="1:16" x14ac:dyDescent="0.2">
      <c r="A239" s="8">
        <v>118.5</v>
      </c>
      <c r="B239" s="8">
        <v>237</v>
      </c>
      <c r="D239">
        <v>918.49451353329005</v>
      </c>
      <c r="E239">
        <v>278.86027798098002</v>
      </c>
      <c r="F239">
        <v>138.10235640648</v>
      </c>
      <c r="G239">
        <v>116.16494845360999</v>
      </c>
      <c r="I239" s="9">
        <f t="shared" si="22"/>
        <v>162.69532952737001</v>
      </c>
      <c r="J239" s="9">
        <f t="shared" si="23"/>
        <v>780.39215712681005</v>
      </c>
      <c r="K239" s="9">
        <f t="shared" si="24"/>
        <v>162.69532952737001</v>
      </c>
      <c r="L239" s="10">
        <f t="shared" si="21"/>
        <v>0.20847893977608592</v>
      </c>
      <c r="M239" s="10">
        <f t="shared" si="20"/>
        <v>0.22756659485983141</v>
      </c>
      <c r="P239" s="8">
        <f t="shared" si="25"/>
        <v>-4.8136010877583519</v>
      </c>
    </row>
    <row r="240" spans="1:16" x14ac:dyDescent="0.2">
      <c r="A240" s="8">
        <v>119</v>
      </c>
      <c r="B240" s="8">
        <v>238</v>
      </c>
      <c r="D240">
        <v>923.90343818581005</v>
      </c>
      <c r="E240">
        <v>281.48500365763999</v>
      </c>
      <c r="F240">
        <v>137.9970544919</v>
      </c>
      <c r="G240">
        <v>116.02135493373</v>
      </c>
      <c r="I240" s="9">
        <f t="shared" si="22"/>
        <v>165.46364872391001</v>
      </c>
      <c r="J240" s="9">
        <f t="shared" si="23"/>
        <v>785.90638369391002</v>
      </c>
      <c r="K240" s="9">
        <f t="shared" si="24"/>
        <v>165.46364872391001</v>
      </c>
      <c r="L240" s="10">
        <f t="shared" si="21"/>
        <v>0.21053862413764765</v>
      </c>
      <c r="M240" s="10">
        <f t="shared" si="20"/>
        <v>0.22970681785043848</v>
      </c>
      <c r="P240" s="8">
        <f t="shared" si="25"/>
        <v>-3.9183900860269447</v>
      </c>
    </row>
    <row r="241" spans="1:16" x14ac:dyDescent="0.2">
      <c r="A241" s="8">
        <v>119.5</v>
      </c>
      <c r="B241" s="8">
        <v>239</v>
      </c>
      <c r="D241">
        <v>913.45866861741001</v>
      </c>
      <c r="E241">
        <v>280.32187271396998</v>
      </c>
      <c r="F241">
        <v>138.95508100147001</v>
      </c>
      <c r="G241">
        <v>116.88512518409</v>
      </c>
      <c r="I241" s="9">
        <f t="shared" si="22"/>
        <v>163.43674752987999</v>
      </c>
      <c r="J241" s="9">
        <f t="shared" si="23"/>
        <v>774.50358761593998</v>
      </c>
      <c r="K241" s="9">
        <f t="shared" si="24"/>
        <v>163.43674752987999</v>
      </c>
      <c r="L241" s="10">
        <f t="shared" si="21"/>
        <v>0.21102129175794707</v>
      </c>
      <c r="M241" s="10">
        <f t="shared" si="20"/>
        <v>0.23027002409978325</v>
      </c>
      <c r="P241" s="8">
        <f t="shared" si="25"/>
        <v>-3.6828125630912076</v>
      </c>
    </row>
    <row r="242" spans="1:16" x14ac:dyDescent="0.2">
      <c r="A242" s="8">
        <v>120</v>
      </c>
      <c r="B242" s="8">
        <v>240</v>
      </c>
      <c r="D242">
        <v>906.27651792246002</v>
      </c>
      <c r="E242">
        <v>280.36137527431998</v>
      </c>
      <c r="F242">
        <v>138.75920471281</v>
      </c>
      <c r="G242">
        <v>116.37481590573999</v>
      </c>
      <c r="I242" s="9">
        <f>E242-G242</f>
        <v>163.98655936858</v>
      </c>
      <c r="J242" s="9">
        <f>D242-F242</f>
        <v>767.51731320964996</v>
      </c>
      <c r="K242" s="9">
        <f t="shared" si="24"/>
        <v>163.98655936858</v>
      </c>
      <c r="L242" s="10">
        <f t="shared" si="21"/>
        <v>0.21365844984370602</v>
      </c>
      <c r="M242" s="10">
        <f>L242+ABS($N$2)*A242</f>
        <v>0.23298772081458755</v>
      </c>
      <c r="O242" s="11"/>
      <c r="P242" s="8">
        <f>(M242-$O$2)/$O$2*100</f>
        <v>-2.5460562488475142</v>
      </c>
    </row>
    <row r="243" spans="1:16" x14ac:dyDescent="0.2">
      <c r="A243" s="8">
        <v>120.5</v>
      </c>
      <c r="B243" s="8">
        <v>241</v>
      </c>
      <c r="D243">
        <v>907.91885964912001</v>
      </c>
      <c r="E243">
        <v>283.38596491227997</v>
      </c>
      <c r="F243">
        <v>138.25994108984</v>
      </c>
      <c r="G243">
        <v>116.23343151694</v>
      </c>
      <c r="I243" s="9">
        <f t="shared" ref="I243:I274" si="26">E243-G243</f>
        <v>167.15253339533996</v>
      </c>
      <c r="J243" s="9">
        <f t="shared" ref="J243:J274" si="27">D243-F243</f>
        <v>769.65891855927998</v>
      </c>
      <c r="K243" s="9">
        <f t="shared" si="24"/>
        <v>167.15253339533996</v>
      </c>
      <c r="L243" s="10">
        <f t="shared" si="21"/>
        <v>0.21717741374092281</v>
      </c>
      <c r="M243" s="10">
        <f t="shared" ref="M243:M274" si="28">L243+ABS($N$2)*A243</f>
        <v>0.23658722334084967</v>
      </c>
      <c r="P243" s="8">
        <f t="shared" ref="P243:P274" si="29">(M243-$O$2)/$O$2*100</f>
        <v>-1.0404588057718056</v>
      </c>
    </row>
    <row r="244" spans="1:16" x14ac:dyDescent="0.2">
      <c r="A244" s="8">
        <v>121</v>
      </c>
      <c r="B244" s="8">
        <v>242</v>
      </c>
      <c r="D244">
        <v>876.33382137627996</v>
      </c>
      <c r="E244">
        <v>276.54612005857001</v>
      </c>
      <c r="F244">
        <v>138.11782032401001</v>
      </c>
      <c r="G244">
        <v>116.15390279823001</v>
      </c>
      <c r="I244" s="9">
        <f t="shared" si="26"/>
        <v>160.39221726034</v>
      </c>
      <c r="J244" s="9">
        <f t="shared" si="27"/>
        <v>738.21600105226992</v>
      </c>
      <c r="K244" s="9">
        <f t="shared" si="24"/>
        <v>160.39221726034</v>
      </c>
      <c r="L244" s="10">
        <f t="shared" si="21"/>
        <v>0.21727003618414295</v>
      </c>
      <c r="M244" s="10">
        <f t="shared" si="28"/>
        <v>0.23676038441311514</v>
      </c>
      <c r="N244" s="1"/>
      <c r="P244" s="8">
        <f t="shared" si="29"/>
        <v>-0.96802911146238602</v>
      </c>
    </row>
    <row r="245" spans="1:16" x14ac:dyDescent="0.2">
      <c r="A245" s="8">
        <v>121.5</v>
      </c>
      <c r="B245" s="8">
        <v>243</v>
      </c>
      <c r="D245">
        <v>913.97263313609994</v>
      </c>
      <c r="E245">
        <v>284.05621301775</v>
      </c>
      <c r="F245">
        <v>138.46318114875001</v>
      </c>
      <c r="G245">
        <v>116.50441826215</v>
      </c>
      <c r="I245" s="9">
        <f t="shared" si="26"/>
        <v>167.55179475559999</v>
      </c>
      <c r="J245" s="9">
        <f t="shared" si="27"/>
        <v>775.50945198734996</v>
      </c>
      <c r="K245" s="9">
        <f t="shared" si="24"/>
        <v>167.55179475559999</v>
      </c>
      <c r="L245" s="10">
        <f t="shared" si="21"/>
        <v>0.21605383960985311</v>
      </c>
      <c r="M245" s="10">
        <f t="shared" si="28"/>
        <v>0.23562472646787064</v>
      </c>
      <c r="P245" s="8">
        <f t="shared" si="29"/>
        <v>-1.4430513363653135</v>
      </c>
    </row>
    <row r="246" spans="1:16" x14ac:dyDescent="0.2">
      <c r="A246" s="8">
        <v>122</v>
      </c>
      <c r="B246" s="8">
        <v>244</v>
      </c>
      <c r="D246">
        <v>904.83333333332996</v>
      </c>
      <c r="E246">
        <v>285.54751461988002</v>
      </c>
      <c r="F246">
        <v>138.72680412371</v>
      </c>
      <c r="G246">
        <v>116.0029455081</v>
      </c>
      <c r="I246" s="9">
        <f t="shared" si="26"/>
        <v>169.54456911178002</v>
      </c>
      <c r="J246" s="9">
        <f t="shared" si="27"/>
        <v>766.10652920962002</v>
      </c>
      <c r="K246" s="9">
        <f t="shared" si="24"/>
        <v>169.54456911178002</v>
      </c>
      <c r="L246" s="10">
        <f t="shared" si="21"/>
        <v>0.22130677999402573</v>
      </c>
      <c r="M246" s="10">
        <f t="shared" si="28"/>
        <v>0.24095820548108859</v>
      </c>
      <c r="P246" s="8">
        <f t="shared" si="29"/>
        <v>0.78783260007067013</v>
      </c>
    </row>
    <row r="247" spans="1:16" x14ac:dyDescent="0.2">
      <c r="A247" s="8">
        <v>122.5</v>
      </c>
      <c r="B247" s="8">
        <v>245</v>
      </c>
      <c r="D247">
        <v>907.90423976607997</v>
      </c>
      <c r="E247">
        <v>286.55409356724999</v>
      </c>
      <c r="F247">
        <v>138.32106038292</v>
      </c>
      <c r="G247">
        <v>116.13254786451</v>
      </c>
      <c r="I247" s="9">
        <f t="shared" si="26"/>
        <v>170.42154570273999</v>
      </c>
      <c r="J247" s="9">
        <f t="shared" si="27"/>
        <v>769.58317938315997</v>
      </c>
      <c r="K247" s="9">
        <f t="shared" si="24"/>
        <v>170.42154570273999</v>
      </c>
      <c r="L247" s="10">
        <f t="shared" si="21"/>
        <v>0.22144655739401306</v>
      </c>
      <c r="M247" s="10">
        <f t="shared" si="28"/>
        <v>0.24117852151012129</v>
      </c>
      <c r="P247" s="8">
        <f t="shared" si="29"/>
        <v>0.87998623729138703</v>
      </c>
    </row>
    <row r="248" spans="1:16" x14ac:dyDescent="0.2">
      <c r="A248" s="8">
        <v>123</v>
      </c>
      <c r="B248" s="8">
        <v>246</v>
      </c>
      <c r="D248">
        <v>920.00886262924996</v>
      </c>
      <c r="E248">
        <v>286.89069423928999</v>
      </c>
      <c r="F248">
        <v>138.20618556701001</v>
      </c>
      <c r="G248">
        <v>116.76435935199</v>
      </c>
      <c r="I248" s="9">
        <f t="shared" si="26"/>
        <v>170.1263348873</v>
      </c>
      <c r="J248" s="9">
        <f t="shared" si="27"/>
        <v>781.80267706223992</v>
      </c>
      <c r="K248" s="9">
        <f t="shared" si="24"/>
        <v>170.1263348873</v>
      </c>
      <c r="L248" s="10">
        <f t="shared" si="21"/>
        <v>0.21760776712428181</v>
      </c>
      <c r="M248" s="10">
        <f t="shared" si="28"/>
        <v>0.23742026986943537</v>
      </c>
      <c r="P248" s="8">
        <f t="shared" si="29"/>
        <v>-0.69201267627174246</v>
      </c>
    </row>
    <row r="249" spans="1:16" x14ac:dyDescent="0.2">
      <c r="A249" s="8">
        <v>123.5</v>
      </c>
      <c r="B249" s="8">
        <v>247</v>
      </c>
      <c r="D249">
        <v>912.87380777696001</v>
      </c>
      <c r="E249">
        <v>290.47395451211003</v>
      </c>
      <c r="F249">
        <v>138.10751104566</v>
      </c>
      <c r="G249">
        <v>116.58615611192999</v>
      </c>
      <c r="I249" s="9">
        <f t="shared" si="26"/>
        <v>173.88779840018003</v>
      </c>
      <c r="J249" s="9">
        <f t="shared" si="27"/>
        <v>774.76629673130003</v>
      </c>
      <c r="K249" s="9">
        <f t="shared" si="24"/>
        <v>173.88779840018003</v>
      </c>
      <c r="L249" s="10">
        <f t="shared" si="21"/>
        <v>0.22443903294942474</v>
      </c>
      <c r="M249" s="10">
        <f t="shared" si="28"/>
        <v>0.24433207432362364</v>
      </c>
      <c r="P249" s="8">
        <f t="shared" si="29"/>
        <v>2.1990521409744321</v>
      </c>
    </row>
    <row r="250" spans="1:16" x14ac:dyDescent="0.2">
      <c r="A250" s="8">
        <v>124</v>
      </c>
      <c r="B250" s="8">
        <v>248</v>
      </c>
      <c r="D250">
        <v>932.76561351946998</v>
      </c>
      <c r="E250">
        <v>292.85525349007997</v>
      </c>
      <c r="F250">
        <v>138.16863033873</v>
      </c>
      <c r="G250">
        <v>116.18630338733</v>
      </c>
      <c r="I250" s="9">
        <f t="shared" si="26"/>
        <v>176.66895010274999</v>
      </c>
      <c r="J250" s="9">
        <f t="shared" si="27"/>
        <v>794.59698318073993</v>
      </c>
      <c r="K250" s="9">
        <f t="shared" si="24"/>
        <v>176.66895010274999</v>
      </c>
      <c r="L250" s="10">
        <f t="shared" si="21"/>
        <v>0.2223378062619257</v>
      </c>
      <c r="M250" s="10">
        <f t="shared" si="28"/>
        <v>0.24231138626516993</v>
      </c>
      <c r="P250" s="8">
        <f t="shared" si="29"/>
        <v>1.3538401285186945</v>
      </c>
    </row>
    <row r="251" spans="1:16" x14ac:dyDescent="0.2">
      <c r="A251" s="8">
        <v>124.5</v>
      </c>
      <c r="B251" s="8">
        <v>249</v>
      </c>
      <c r="D251">
        <v>916.21013960323</v>
      </c>
      <c r="E251">
        <v>290.47465099191999</v>
      </c>
      <c r="F251">
        <v>138.23932253314001</v>
      </c>
      <c r="G251">
        <v>116.22680412371</v>
      </c>
      <c r="I251" s="9">
        <f t="shared" si="26"/>
        <v>174.24784686820999</v>
      </c>
      <c r="J251" s="9">
        <f t="shared" si="27"/>
        <v>777.97081707008999</v>
      </c>
      <c r="K251" s="9">
        <f t="shared" si="24"/>
        <v>174.24784686820999</v>
      </c>
      <c r="L251" s="10">
        <f t="shared" si="21"/>
        <v>0.22397735627724891</v>
      </c>
      <c r="M251" s="10">
        <f t="shared" si="28"/>
        <v>0.24403147490953847</v>
      </c>
      <c r="P251" s="8">
        <f t="shared" si="29"/>
        <v>2.073317624625401</v>
      </c>
    </row>
    <row r="252" spans="1:16" x14ac:dyDescent="0.2">
      <c r="A252" s="8">
        <v>125</v>
      </c>
      <c r="B252" s="8">
        <v>250</v>
      </c>
      <c r="D252">
        <v>946.09464416727997</v>
      </c>
      <c r="E252">
        <v>295.37564196624999</v>
      </c>
      <c r="F252">
        <v>137.85198821796999</v>
      </c>
      <c r="G252">
        <v>116.27393225330999</v>
      </c>
      <c r="I252" s="9">
        <f t="shared" si="26"/>
        <v>179.10170971293999</v>
      </c>
      <c r="J252" s="9">
        <f t="shared" si="27"/>
        <v>808.24265594931001</v>
      </c>
      <c r="K252" s="9">
        <f t="shared" si="24"/>
        <v>179.10170971293999</v>
      </c>
      <c r="L252" s="10">
        <f t="shared" si="21"/>
        <v>0.22159398343382236</v>
      </c>
      <c r="M252" s="10">
        <f t="shared" si="28"/>
        <v>0.24172864069515726</v>
      </c>
      <c r="P252" s="8">
        <f t="shared" si="29"/>
        <v>1.1100897119615811</v>
      </c>
    </row>
    <row r="253" spans="1:16" x14ac:dyDescent="0.2">
      <c r="A253" s="8">
        <v>125.5</v>
      </c>
      <c r="B253" s="8">
        <v>251</v>
      </c>
      <c r="D253">
        <v>972.24504768891995</v>
      </c>
      <c r="E253">
        <v>299.42920029346999</v>
      </c>
      <c r="F253">
        <v>138.61192930780999</v>
      </c>
      <c r="G253">
        <v>116.12371134020999</v>
      </c>
      <c r="I253" s="9">
        <f t="shared" si="26"/>
        <v>183.30548895326001</v>
      </c>
      <c r="J253" s="9">
        <f t="shared" si="27"/>
        <v>833.63311838110997</v>
      </c>
      <c r="K253" s="9">
        <f t="shared" si="24"/>
        <v>183.30548895326001</v>
      </c>
      <c r="L253" s="10">
        <f t="shared" si="21"/>
        <v>0.2198874839680478</v>
      </c>
      <c r="M253" s="10">
        <f t="shared" si="28"/>
        <v>0.24010267985842806</v>
      </c>
      <c r="P253" s="8">
        <f t="shared" si="29"/>
        <v>0.42998393054881751</v>
      </c>
    </row>
    <row r="254" spans="1:16" x14ac:dyDescent="0.2">
      <c r="A254" s="8">
        <v>126</v>
      </c>
      <c r="B254" s="8">
        <v>252</v>
      </c>
      <c r="D254">
        <v>963.58253851797997</v>
      </c>
      <c r="E254">
        <v>299.12325752018</v>
      </c>
      <c r="F254">
        <v>138.39985272460001</v>
      </c>
      <c r="G254">
        <v>115.94403534609999</v>
      </c>
      <c r="I254" s="9">
        <f t="shared" si="26"/>
        <v>183.17922217408</v>
      </c>
      <c r="J254" s="9">
        <f t="shared" si="27"/>
        <v>825.18268579337996</v>
      </c>
      <c r="K254" s="9">
        <f t="shared" si="24"/>
        <v>183.17922217408</v>
      </c>
      <c r="L254" s="10">
        <f t="shared" si="21"/>
        <v>0.22198626477234012</v>
      </c>
      <c r="M254" s="10">
        <f t="shared" si="28"/>
        <v>0.24228199929176572</v>
      </c>
      <c r="P254" s="8">
        <f t="shared" si="29"/>
        <v>1.3415481654781631</v>
      </c>
    </row>
    <row r="255" spans="1:16" x14ac:dyDescent="0.2">
      <c r="A255" s="8">
        <v>126.5</v>
      </c>
      <c r="B255" s="8">
        <v>253</v>
      </c>
      <c r="D255">
        <v>967.50183418928998</v>
      </c>
      <c r="E255">
        <v>301.80190755685999</v>
      </c>
      <c r="F255">
        <v>138.22901325479</v>
      </c>
      <c r="G255">
        <v>115.96539027982</v>
      </c>
      <c r="I255" s="9">
        <f t="shared" si="26"/>
        <v>185.83651727704</v>
      </c>
      <c r="J255" s="9">
        <f t="shared" si="27"/>
        <v>829.27282093450003</v>
      </c>
      <c r="K255" s="9">
        <f t="shared" si="24"/>
        <v>185.83651727704</v>
      </c>
      <c r="L255" s="10">
        <f t="shared" si="21"/>
        <v>0.22409575303290721</v>
      </c>
      <c r="M255" s="10">
        <f t="shared" si="28"/>
        <v>0.24447202618137814</v>
      </c>
      <c r="P255" s="8">
        <f t="shared" si="29"/>
        <v>2.2575911078598616</v>
      </c>
    </row>
    <row r="256" spans="1:16" x14ac:dyDescent="0.2">
      <c r="A256" s="8">
        <v>127</v>
      </c>
      <c r="B256" s="8">
        <v>254</v>
      </c>
      <c r="D256">
        <v>941.38467153285001</v>
      </c>
      <c r="E256">
        <v>297.43503649634999</v>
      </c>
      <c r="F256">
        <v>137.68924889543001</v>
      </c>
      <c r="G256">
        <v>116.46318114875</v>
      </c>
      <c r="I256" s="9">
        <f t="shared" si="26"/>
        <v>180.97185534760001</v>
      </c>
      <c r="J256" s="9">
        <f t="shared" si="27"/>
        <v>803.69542263742005</v>
      </c>
      <c r="K256" s="9">
        <f t="shared" si="24"/>
        <v>180.97185534760001</v>
      </c>
      <c r="L256" s="10">
        <f t="shared" si="21"/>
        <v>0.2251746746966902</v>
      </c>
      <c r="M256" s="10">
        <f t="shared" si="28"/>
        <v>0.24563148647420646</v>
      </c>
      <c r="P256" s="8">
        <f t="shared" si="29"/>
        <v>2.7425693623529677</v>
      </c>
    </row>
    <row r="257" spans="1:16" x14ac:dyDescent="0.2">
      <c r="A257" s="8">
        <v>127.5</v>
      </c>
      <c r="B257" s="8">
        <v>255</v>
      </c>
      <c r="D257">
        <v>926.63723325975002</v>
      </c>
      <c r="E257">
        <v>296.28403237675002</v>
      </c>
      <c r="F257">
        <v>137.84904270986999</v>
      </c>
      <c r="G257">
        <v>115.78645066273999</v>
      </c>
      <c r="I257" s="9">
        <f t="shared" si="26"/>
        <v>180.49758171401004</v>
      </c>
      <c r="J257" s="9">
        <f t="shared" si="27"/>
        <v>788.78819054988003</v>
      </c>
      <c r="K257" s="9">
        <f t="shared" si="24"/>
        <v>180.49758171401004</v>
      </c>
      <c r="L257" s="10">
        <f t="shared" si="21"/>
        <v>0.22882896052003715</v>
      </c>
      <c r="M257" s="10">
        <f t="shared" si="28"/>
        <v>0.24936631092659878</v>
      </c>
      <c r="P257" s="8">
        <f t="shared" si="29"/>
        <v>4.3047691676960183</v>
      </c>
    </row>
    <row r="258" spans="1:16" x14ac:dyDescent="0.2">
      <c r="A258" s="8">
        <v>128</v>
      </c>
      <c r="B258" s="8">
        <v>256</v>
      </c>
      <c r="D258">
        <v>922.38484179544002</v>
      </c>
      <c r="E258">
        <v>297.22148638704999</v>
      </c>
      <c r="F258">
        <v>137.69219440353999</v>
      </c>
      <c r="G258">
        <v>116.09131075111</v>
      </c>
      <c r="I258" s="9">
        <f t="shared" si="26"/>
        <v>181.13017563593999</v>
      </c>
      <c r="J258" s="9">
        <f t="shared" si="27"/>
        <v>784.69264739189998</v>
      </c>
      <c r="K258" s="9">
        <f t="shared" si="24"/>
        <v>181.13017563593999</v>
      </c>
      <c r="L258" s="10">
        <f t="shared" ref="L258:L321" si="30">K258/J258</f>
        <v>0.23082945435766003</v>
      </c>
      <c r="M258" s="10">
        <f t="shared" si="28"/>
        <v>0.25144734339326696</v>
      </c>
      <c r="P258" s="8">
        <f t="shared" si="29"/>
        <v>5.1752219977505103</v>
      </c>
    </row>
    <row r="259" spans="1:16" x14ac:dyDescent="0.2">
      <c r="A259" s="8">
        <v>128.5</v>
      </c>
      <c r="B259" s="8">
        <v>257</v>
      </c>
      <c r="D259">
        <v>924.00735835172998</v>
      </c>
      <c r="E259">
        <v>297.66298749079999</v>
      </c>
      <c r="F259">
        <v>137.79749631812001</v>
      </c>
      <c r="G259">
        <v>116.10751104566</v>
      </c>
      <c r="I259" s="9">
        <f t="shared" si="26"/>
        <v>181.55547644513999</v>
      </c>
      <c r="J259" s="9">
        <f t="shared" si="27"/>
        <v>786.20986203360997</v>
      </c>
      <c r="K259" s="9">
        <f t="shared" ref="K259:K322" si="31">I259*1</f>
        <v>181.55547644513999</v>
      </c>
      <c r="L259" s="10">
        <f t="shared" si="30"/>
        <v>0.23092495428069129</v>
      </c>
      <c r="M259" s="10">
        <f t="shared" si="28"/>
        <v>0.25162338194534356</v>
      </c>
      <c r="P259" s="8">
        <f t="shared" si="29"/>
        <v>5.248855282337896</v>
      </c>
    </row>
    <row r="260" spans="1:16" x14ac:dyDescent="0.2">
      <c r="A260" s="8">
        <v>129</v>
      </c>
      <c r="B260" s="8">
        <v>258</v>
      </c>
      <c r="D260">
        <v>894.50441176470997</v>
      </c>
      <c r="E260">
        <v>290.95367647058998</v>
      </c>
      <c r="F260">
        <v>138.09351988218</v>
      </c>
      <c r="G260">
        <v>116.25773195876</v>
      </c>
      <c r="I260" s="9">
        <f t="shared" si="26"/>
        <v>174.69594451182996</v>
      </c>
      <c r="J260" s="9">
        <f t="shared" si="27"/>
        <v>756.41089188253</v>
      </c>
      <c r="K260" s="9">
        <f t="shared" si="31"/>
        <v>174.69594451182996</v>
      </c>
      <c r="L260" s="10">
        <f t="shared" si="30"/>
        <v>0.2309537665131349</v>
      </c>
      <c r="M260" s="10">
        <f t="shared" si="28"/>
        <v>0.2517327328068325</v>
      </c>
      <c r="P260" s="8">
        <f t="shared" si="29"/>
        <v>5.2945944855346347</v>
      </c>
    </row>
    <row r="261" spans="1:16" x14ac:dyDescent="0.2">
      <c r="A261" s="8">
        <v>129.5</v>
      </c>
      <c r="B261" s="8">
        <v>259</v>
      </c>
      <c r="D261">
        <v>891.36617647058995</v>
      </c>
      <c r="E261">
        <v>291.47352941177002</v>
      </c>
      <c r="F261">
        <v>137.56627393225</v>
      </c>
      <c r="G261">
        <v>116.20618556701</v>
      </c>
      <c r="I261" s="9">
        <f t="shared" si="26"/>
        <v>175.26734384476003</v>
      </c>
      <c r="J261" s="9">
        <f t="shared" si="27"/>
        <v>753.79990253833989</v>
      </c>
      <c r="K261" s="9">
        <f t="shared" si="31"/>
        <v>175.26734384476003</v>
      </c>
      <c r="L261" s="10">
        <f t="shared" si="30"/>
        <v>0.23251176241143856</v>
      </c>
      <c r="M261" s="10">
        <f t="shared" si="28"/>
        <v>0.25337126733418153</v>
      </c>
      <c r="P261" s="8">
        <f t="shared" si="29"/>
        <v>5.9799595816191111</v>
      </c>
    </row>
    <row r="262" spans="1:16" x14ac:dyDescent="0.2">
      <c r="A262" s="8">
        <v>130</v>
      </c>
      <c r="B262" s="8">
        <v>260</v>
      </c>
      <c r="D262">
        <v>905.72720588234995</v>
      </c>
      <c r="E262">
        <v>294.06470588234998</v>
      </c>
      <c r="F262">
        <v>138.16568483063</v>
      </c>
      <c r="G262">
        <v>116.12665684831001</v>
      </c>
      <c r="I262" s="9">
        <f t="shared" si="26"/>
        <v>177.93804903403998</v>
      </c>
      <c r="J262" s="9">
        <f t="shared" si="27"/>
        <v>767.56152105171998</v>
      </c>
      <c r="K262" s="9">
        <f t="shared" si="31"/>
        <v>177.93804903403998</v>
      </c>
      <c r="L262" s="10">
        <f t="shared" si="30"/>
        <v>0.23182252386782964</v>
      </c>
      <c r="M262" s="10">
        <f t="shared" si="28"/>
        <v>0.25276256741961795</v>
      </c>
      <c r="P262" s="8">
        <f t="shared" si="29"/>
        <v>5.7253529996592922</v>
      </c>
    </row>
    <row r="263" spans="1:16" x14ac:dyDescent="0.2">
      <c r="A263" s="8">
        <v>130.5</v>
      </c>
      <c r="B263" s="8">
        <v>261</v>
      </c>
      <c r="D263">
        <v>896.74044117646997</v>
      </c>
      <c r="E263">
        <v>292</v>
      </c>
      <c r="F263">
        <v>138.17525773195999</v>
      </c>
      <c r="G263">
        <v>116.09425625921</v>
      </c>
      <c r="I263" s="9">
        <f t="shared" si="26"/>
        <v>175.90574374079</v>
      </c>
      <c r="J263" s="9">
        <f t="shared" si="27"/>
        <v>758.56518344451001</v>
      </c>
      <c r="K263" s="9">
        <f t="shared" si="31"/>
        <v>175.90574374079</v>
      </c>
      <c r="L263" s="10">
        <f t="shared" si="30"/>
        <v>0.23189272007190365</v>
      </c>
      <c r="M263" s="10">
        <f t="shared" si="28"/>
        <v>0.25291330225273728</v>
      </c>
      <c r="P263" s="8">
        <f t="shared" si="29"/>
        <v>5.7884022620701696</v>
      </c>
    </row>
    <row r="264" spans="1:16" x14ac:dyDescent="0.2">
      <c r="A264" s="8">
        <v>131</v>
      </c>
      <c r="B264" s="8">
        <v>262</v>
      </c>
      <c r="D264">
        <v>887.77205882352996</v>
      </c>
      <c r="E264">
        <v>290.31911764706001</v>
      </c>
      <c r="F264">
        <v>137.38365243004</v>
      </c>
      <c r="G264">
        <v>116.18041237113</v>
      </c>
      <c r="I264" s="9">
        <f t="shared" si="26"/>
        <v>174.13870527593002</v>
      </c>
      <c r="J264" s="9">
        <f t="shared" si="27"/>
        <v>750.38840639348996</v>
      </c>
      <c r="K264" s="9">
        <f t="shared" si="31"/>
        <v>174.13870527593002</v>
      </c>
      <c r="L264" s="10">
        <f t="shared" si="30"/>
        <v>0.23206475978603389</v>
      </c>
      <c r="M264" s="10">
        <f t="shared" si="28"/>
        <v>0.25316588059591288</v>
      </c>
      <c r="P264" s="8">
        <f t="shared" si="29"/>
        <v>5.8940505578796429</v>
      </c>
    </row>
    <row r="265" spans="1:16" x14ac:dyDescent="0.2">
      <c r="A265" s="8">
        <v>131.5</v>
      </c>
      <c r="B265" s="8">
        <v>263</v>
      </c>
      <c r="D265">
        <v>908.81495188749</v>
      </c>
      <c r="E265">
        <v>296.58327165063002</v>
      </c>
      <c r="F265">
        <v>138.14064801178</v>
      </c>
      <c r="G265">
        <v>116.15758468336</v>
      </c>
      <c r="I265" s="9">
        <f t="shared" si="26"/>
        <v>180.42568696727002</v>
      </c>
      <c r="J265" s="9">
        <f t="shared" si="27"/>
        <v>770.67430387570994</v>
      </c>
      <c r="K265" s="9">
        <f t="shared" si="31"/>
        <v>180.42568696727002</v>
      </c>
      <c r="L265" s="10">
        <f t="shared" si="30"/>
        <v>0.23411405578194558</v>
      </c>
      <c r="M265" s="10">
        <f t="shared" si="28"/>
        <v>0.25529571522086991</v>
      </c>
      <c r="P265" s="8">
        <f t="shared" si="29"/>
        <v>6.7849163211659267</v>
      </c>
    </row>
    <row r="266" spans="1:16" x14ac:dyDescent="0.2">
      <c r="A266" s="8">
        <v>132</v>
      </c>
      <c r="B266" s="8">
        <v>264</v>
      </c>
      <c r="D266">
        <v>924.07601476014997</v>
      </c>
      <c r="E266">
        <v>301.7483394834</v>
      </c>
      <c r="F266">
        <v>137.86008836523999</v>
      </c>
      <c r="G266">
        <v>116.04491899852999</v>
      </c>
      <c r="I266" s="9">
        <f t="shared" si="26"/>
        <v>185.70342048487001</v>
      </c>
      <c r="J266" s="9">
        <f t="shared" si="27"/>
        <v>786.21592639490996</v>
      </c>
      <c r="K266" s="9">
        <f t="shared" si="31"/>
        <v>185.70342048487001</v>
      </c>
      <c r="L266" s="10">
        <f t="shared" si="30"/>
        <v>0.23619900621498308</v>
      </c>
      <c r="M266" s="10">
        <f t="shared" si="28"/>
        <v>0.25746120428295272</v>
      </c>
      <c r="P266" s="8">
        <f t="shared" si="29"/>
        <v>7.6906955979111427</v>
      </c>
    </row>
    <row r="267" spans="1:16" x14ac:dyDescent="0.2">
      <c r="A267" s="8">
        <v>132.5</v>
      </c>
      <c r="B267" s="8">
        <v>265</v>
      </c>
      <c r="D267">
        <v>888.58505917160005</v>
      </c>
      <c r="E267">
        <v>292.68786982248997</v>
      </c>
      <c r="F267">
        <v>137.63770250368</v>
      </c>
      <c r="G267">
        <v>115.89543446245</v>
      </c>
      <c r="I267" s="9">
        <f t="shared" si="26"/>
        <v>176.79243536003997</v>
      </c>
      <c r="J267" s="9">
        <f t="shared" si="27"/>
        <v>750.94735666792008</v>
      </c>
      <c r="K267" s="9">
        <f t="shared" si="31"/>
        <v>176.79243536003997</v>
      </c>
      <c r="L267" s="10">
        <f t="shared" si="30"/>
        <v>0.23542587078872984</v>
      </c>
      <c r="M267" s="10">
        <f t="shared" si="28"/>
        <v>0.25676860748574487</v>
      </c>
      <c r="P267" s="8">
        <f t="shared" si="29"/>
        <v>7.4009966855335438</v>
      </c>
    </row>
    <row r="268" spans="1:16" x14ac:dyDescent="0.2">
      <c r="A268" s="8">
        <v>133</v>
      </c>
      <c r="B268" s="8">
        <v>266</v>
      </c>
      <c r="D268">
        <v>856.42381656805003</v>
      </c>
      <c r="E268">
        <v>287.90310650888</v>
      </c>
      <c r="F268">
        <v>137.37555228277</v>
      </c>
      <c r="G268">
        <v>116.16273932253</v>
      </c>
      <c r="I268" s="9">
        <f t="shared" si="26"/>
        <v>171.74036718635</v>
      </c>
      <c r="J268" s="9">
        <f t="shared" si="27"/>
        <v>719.04826428528008</v>
      </c>
      <c r="K268" s="9">
        <f t="shared" si="31"/>
        <v>171.74036718635</v>
      </c>
      <c r="L268" s="10">
        <f t="shared" si="30"/>
        <v>0.23884400493902391</v>
      </c>
      <c r="M268" s="10">
        <f t="shared" si="28"/>
        <v>0.26026728026508428</v>
      </c>
      <c r="P268" s="8">
        <f t="shared" si="29"/>
        <v>8.8644191313574936</v>
      </c>
    </row>
    <row r="269" spans="1:16" x14ac:dyDescent="0.2">
      <c r="A269" s="8">
        <v>133.5</v>
      </c>
      <c r="B269" s="8">
        <v>267</v>
      </c>
      <c r="D269">
        <v>901.62279411764996</v>
      </c>
      <c r="E269">
        <v>294.42573529411999</v>
      </c>
      <c r="F269">
        <v>137.64359351988</v>
      </c>
      <c r="G269">
        <v>116.02577319588001</v>
      </c>
      <c r="I269" s="9">
        <f t="shared" si="26"/>
        <v>178.39996209824</v>
      </c>
      <c r="J269" s="9">
        <f t="shared" si="27"/>
        <v>763.97920059776993</v>
      </c>
      <c r="K269" s="9">
        <f t="shared" si="31"/>
        <v>178.39996209824</v>
      </c>
      <c r="L269" s="10">
        <f t="shared" si="30"/>
        <v>0.23351416106440104</v>
      </c>
      <c r="M269" s="10">
        <f t="shared" si="28"/>
        <v>0.25501797501950674</v>
      </c>
      <c r="P269" s="8">
        <f t="shared" si="29"/>
        <v>6.6687433406052028</v>
      </c>
    </row>
    <row r="270" spans="1:16" x14ac:dyDescent="0.2">
      <c r="A270" s="8">
        <v>134</v>
      </c>
      <c r="B270" s="8">
        <v>268</v>
      </c>
      <c r="D270">
        <v>911.07426470587995</v>
      </c>
      <c r="E270">
        <v>297.61250000000001</v>
      </c>
      <c r="F270">
        <v>137.92930780559999</v>
      </c>
      <c r="G270">
        <v>116.0854197349</v>
      </c>
      <c r="I270" s="9">
        <f t="shared" si="26"/>
        <v>181.52708026510001</v>
      </c>
      <c r="J270" s="9">
        <f t="shared" si="27"/>
        <v>773.14495690028002</v>
      </c>
      <c r="K270" s="9">
        <f t="shared" si="31"/>
        <v>181.52708026510001</v>
      </c>
      <c r="L270" s="10">
        <f t="shared" si="30"/>
        <v>0.23479048611127823</v>
      </c>
      <c r="M270" s="10">
        <f t="shared" si="28"/>
        <v>0.25637483869542926</v>
      </c>
      <c r="P270" s="8">
        <f t="shared" si="29"/>
        <v>7.2362913465216439</v>
      </c>
    </row>
    <row r="271" spans="1:16" x14ac:dyDescent="0.2">
      <c r="A271" s="8">
        <v>134.5</v>
      </c>
      <c r="B271" s="8">
        <v>269</v>
      </c>
      <c r="D271">
        <v>961.44825072885999</v>
      </c>
      <c r="E271">
        <v>307.45626822156999</v>
      </c>
      <c r="F271">
        <v>138.14506627393001</v>
      </c>
      <c r="G271">
        <v>116.17378497791</v>
      </c>
      <c r="I271" s="9">
        <f t="shared" si="26"/>
        <v>191.28248324365998</v>
      </c>
      <c r="J271" s="9">
        <f t="shared" si="27"/>
        <v>823.30318445493003</v>
      </c>
      <c r="K271" s="9">
        <f t="shared" si="31"/>
        <v>191.28248324365998</v>
      </c>
      <c r="L271" s="10">
        <f t="shared" si="30"/>
        <v>0.23233541039963188</v>
      </c>
      <c r="M271" s="10">
        <f t="shared" si="28"/>
        <v>0.25400030161282827</v>
      </c>
      <c r="P271" s="8">
        <f t="shared" si="29"/>
        <v>6.2430716074136843</v>
      </c>
    </row>
    <row r="272" spans="1:16" x14ac:dyDescent="0.2">
      <c r="A272" s="8">
        <v>135</v>
      </c>
      <c r="B272" s="8">
        <v>270</v>
      </c>
      <c r="D272">
        <v>977.35131195334998</v>
      </c>
      <c r="E272">
        <v>309.57944606413997</v>
      </c>
      <c r="F272">
        <v>137.70544918998999</v>
      </c>
      <c r="G272">
        <v>115.73711340206</v>
      </c>
      <c r="I272" s="9">
        <f t="shared" si="26"/>
        <v>193.84233266207997</v>
      </c>
      <c r="J272" s="9">
        <f t="shared" si="27"/>
        <v>839.64586276336001</v>
      </c>
      <c r="K272" s="9">
        <f t="shared" si="31"/>
        <v>193.84233266207997</v>
      </c>
      <c r="L272" s="10">
        <f t="shared" si="30"/>
        <v>0.23086201130572492</v>
      </c>
      <c r="M272" s="10">
        <f t="shared" si="28"/>
        <v>0.25260744114796663</v>
      </c>
      <c r="P272" s="8">
        <f t="shared" si="29"/>
        <v>5.6604668893570924</v>
      </c>
    </row>
    <row r="273" spans="1:16" x14ac:dyDescent="0.2">
      <c r="A273" s="8">
        <v>135.5</v>
      </c>
      <c r="B273" s="8">
        <v>271</v>
      </c>
      <c r="D273">
        <v>979.26061493410998</v>
      </c>
      <c r="E273">
        <v>313.79282576867001</v>
      </c>
      <c r="F273">
        <v>137.91973490427</v>
      </c>
      <c r="G273">
        <v>115.96023564065</v>
      </c>
      <c r="I273" s="9">
        <f t="shared" si="26"/>
        <v>197.83259012802</v>
      </c>
      <c r="J273" s="9">
        <f t="shared" si="27"/>
        <v>841.34088002984004</v>
      </c>
      <c r="K273" s="9">
        <f t="shared" si="31"/>
        <v>197.83259012802</v>
      </c>
      <c r="L273" s="10">
        <f t="shared" si="30"/>
        <v>0.23513963819397843</v>
      </c>
      <c r="M273" s="10">
        <f t="shared" si="28"/>
        <v>0.25696560666526547</v>
      </c>
      <c r="P273" s="8">
        <f t="shared" si="29"/>
        <v>7.4833973669638825</v>
      </c>
    </row>
    <row r="274" spans="1:16" x14ac:dyDescent="0.2">
      <c r="A274" s="8">
        <v>136</v>
      </c>
      <c r="B274" s="8">
        <v>272</v>
      </c>
      <c r="D274">
        <v>965.63323572473996</v>
      </c>
      <c r="E274">
        <v>311.23718887261998</v>
      </c>
      <c r="F274">
        <v>137.60014727541</v>
      </c>
      <c r="G274">
        <v>115.69145802651001</v>
      </c>
      <c r="I274" s="9">
        <f t="shared" si="26"/>
        <v>195.54573084610996</v>
      </c>
      <c r="J274" s="9">
        <f t="shared" si="27"/>
        <v>828.03308844932997</v>
      </c>
      <c r="K274" s="9">
        <f t="shared" si="31"/>
        <v>195.54573084610996</v>
      </c>
      <c r="L274" s="10">
        <f t="shared" si="30"/>
        <v>0.23615690432409095</v>
      </c>
      <c r="M274" s="10">
        <f t="shared" si="28"/>
        <v>0.25806341142442335</v>
      </c>
      <c r="P274" s="8">
        <f t="shared" si="29"/>
        <v>7.9425863872035336</v>
      </c>
    </row>
    <row r="275" spans="1:16" x14ac:dyDescent="0.2">
      <c r="A275" s="8">
        <v>136.5</v>
      </c>
      <c r="B275" s="8">
        <v>273</v>
      </c>
      <c r="D275">
        <v>950.55580029369003</v>
      </c>
      <c r="E275">
        <v>307.42290748899001</v>
      </c>
      <c r="F275">
        <v>138.32916053018999</v>
      </c>
      <c r="G275">
        <v>115.9823269514</v>
      </c>
      <c r="I275" s="9">
        <f>E275-G275</f>
        <v>191.44058053758999</v>
      </c>
      <c r="J275" s="9">
        <f>D275-F275</f>
        <v>812.22663976350009</v>
      </c>
      <c r="K275" s="9">
        <f t="shared" si="31"/>
        <v>191.44058053758999</v>
      </c>
      <c r="L275" s="10">
        <f t="shared" si="30"/>
        <v>0.23569847523510515</v>
      </c>
      <c r="M275" s="10">
        <f>L275+ABS($N$2)*A275</f>
        <v>0.25768552096448288</v>
      </c>
      <c r="O275" s="11"/>
      <c r="P275" s="8">
        <f>(M275-$O$2)/$O$2*100</f>
        <v>7.7845226253092221</v>
      </c>
    </row>
    <row r="276" spans="1:16" x14ac:dyDescent="0.2">
      <c r="A276" s="8">
        <v>137</v>
      </c>
      <c r="B276" s="8">
        <v>274</v>
      </c>
      <c r="D276">
        <v>949.59838472833997</v>
      </c>
      <c r="E276">
        <v>308.20558002937003</v>
      </c>
      <c r="F276">
        <v>137.93519882179999</v>
      </c>
      <c r="G276">
        <v>115.88365243004</v>
      </c>
      <c r="I276" s="9">
        <f t="shared" ref="I276:I291" si="32">E276-G276</f>
        <v>192.32192759933002</v>
      </c>
      <c r="J276" s="9">
        <f t="shared" ref="J276:J291" si="33">D276-F276</f>
        <v>811.66318590653998</v>
      </c>
      <c r="K276" s="9">
        <f t="shared" si="31"/>
        <v>192.32192759933002</v>
      </c>
      <c r="L276" s="10">
        <f t="shared" si="30"/>
        <v>0.23694794951741865</v>
      </c>
      <c r="M276" s="10">
        <f t="shared" ref="M276:M291" si="34">L276+ABS($N$2)*A276</f>
        <v>0.2590155338758417</v>
      </c>
      <c r="P276" s="8">
        <f t="shared" ref="P276:P291" si="35">(M276-$O$2)/$O$2*100</f>
        <v>8.3408395118760303</v>
      </c>
    </row>
    <row r="277" spans="1:16" x14ac:dyDescent="0.2">
      <c r="A277" s="8">
        <v>137.5</v>
      </c>
      <c r="B277" s="8">
        <v>275</v>
      </c>
      <c r="D277">
        <v>939.88029197080004</v>
      </c>
      <c r="E277">
        <v>311.08321167883003</v>
      </c>
      <c r="F277">
        <v>137.40500736377001</v>
      </c>
      <c r="G277">
        <v>115.92415316642</v>
      </c>
      <c r="I277" s="9">
        <f t="shared" si="32"/>
        <v>195.15905851241001</v>
      </c>
      <c r="J277" s="9">
        <f t="shared" si="33"/>
        <v>802.47528460703006</v>
      </c>
      <c r="K277" s="9">
        <f t="shared" si="31"/>
        <v>195.15905851241001</v>
      </c>
      <c r="L277" s="10">
        <f t="shared" si="30"/>
        <v>0.24319634791989744</v>
      </c>
      <c r="M277" s="10">
        <f t="shared" si="34"/>
        <v>0.26534447090736585</v>
      </c>
      <c r="N277" s="1"/>
      <c r="P277" s="8">
        <f t="shared" si="35"/>
        <v>10.988102944121787</v>
      </c>
    </row>
    <row r="278" spans="1:16" x14ac:dyDescent="0.2">
      <c r="A278" s="8">
        <v>138</v>
      </c>
      <c r="B278" s="8">
        <v>276</v>
      </c>
      <c r="D278">
        <v>919.83381924198</v>
      </c>
      <c r="E278">
        <v>308.8556851312</v>
      </c>
      <c r="F278">
        <v>137.96759941089999</v>
      </c>
      <c r="G278">
        <v>115.90279823269999</v>
      </c>
      <c r="I278" s="9">
        <f t="shared" si="32"/>
        <v>192.95288689850003</v>
      </c>
      <c r="J278" s="9">
        <f t="shared" si="33"/>
        <v>781.86621983108</v>
      </c>
      <c r="K278" s="9">
        <f t="shared" si="31"/>
        <v>192.95288689850003</v>
      </c>
      <c r="L278" s="10">
        <f t="shared" si="30"/>
        <v>0.24678504071986504</v>
      </c>
      <c r="M278" s="10">
        <f t="shared" si="34"/>
        <v>0.26901370233637878</v>
      </c>
      <c r="P278" s="8">
        <f t="shared" si="35"/>
        <v>12.522866544721797</v>
      </c>
    </row>
    <row r="279" spans="1:16" x14ac:dyDescent="0.2">
      <c r="A279" s="8">
        <v>138.5</v>
      </c>
      <c r="B279" s="8">
        <v>277</v>
      </c>
      <c r="D279">
        <v>945.91399416909996</v>
      </c>
      <c r="E279">
        <v>310.64067055394003</v>
      </c>
      <c r="F279">
        <v>137.63181148748001</v>
      </c>
      <c r="G279">
        <v>116.07658321060001</v>
      </c>
      <c r="I279" s="9">
        <f t="shared" si="32"/>
        <v>194.56408734334002</v>
      </c>
      <c r="J279" s="9">
        <f t="shared" si="33"/>
        <v>808.28218268161993</v>
      </c>
      <c r="K279" s="9">
        <f t="shared" si="31"/>
        <v>194.56408734334002</v>
      </c>
      <c r="L279" s="10">
        <f t="shared" si="30"/>
        <v>0.24071307213260479</v>
      </c>
      <c r="M279" s="10">
        <f t="shared" si="34"/>
        <v>0.26302227237816389</v>
      </c>
      <c r="P279" s="8">
        <f t="shared" si="35"/>
        <v>10.016775339162068</v>
      </c>
    </row>
    <row r="280" spans="1:16" x14ac:dyDescent="0.2">
      <c r="A280" s="8">
        <v>139</v>
      </c>
      <c r="B280" s="8">
        <v>278</v>
      </c>
      <c r="D280">
        <v>962.90139808683</v>
      </c>
      <c r="E280">
        <v>311.01692420898002</v>
      </c>
      <c r="F280">
        <v>137.48306332842</v>
      </c>
      <c r="G280">
        <v>115.63843888071</v>
      </c>
      <c r="I280" s="9">
        <f t="shared" si="32"/>
        <v>195.37848532827002</v>
      </c>
      <c r="J280" s="9">
        <f t="shared" si="33"/>
        <v>825.41833475840997</v>
      </c>
      <c r="K280" s="9">
        <f t="shared" si="31"/>
        <v>195.37848532827002</v>
      </c>
      <c r="L280" s="10">
        <f t="shared" si="30"/>
        <v>0.2367023812058342</v>
      </c>
      <c r="M280" s="10">
        <f t="shared" si="34"/>
        <v>0.25909212008043864</v>
      </c>
      <c r="P280" s="8">
        <f t="shared" si="35"/>
        <v>8.3728739369041385</v>
      </c>
    </row>
    <row r="281" spans="1:16" x14ac:dyDescent="0.2">
      <c r="A281" s="8">
        <v>139.5</v>
      </c>
      <c r="B281" s="8">
        <v>279</v>
      </c>
      <c r="D281">
        <v>940.73068432671005</v>
      </c>
      <c r="E281">
        <v>307.48197203825998</v>
      </c>
      <c r="F281">
        <v>137.75846833579001</v>
      </c>
      <c r="G281">
        <v>115.80191458026999</v>
      </c>
      <c r="I281" s="9">
        <f t="shared" si="32"/>
        <v>191.68005745798999</v>
      </c>
      <c r="J281" s="9">
        <f t="shared" si="33"/>
        <v>802.97221599092006</v>
      </c>
      <c r="K281" s="9">
        <f t="shared" si="31"/>
        <v>191.68005745798999</v>
      </c>
      <c r="L281" s="10">
        <f t="shared" si="30"/>
        <v>0.2387131878796632</v>
      </c>
      <c r="M281" s="10">
        <f t="shared" si="34"/>
        <v>0.26118346538331294</v>
      </c>
      <c r="P281" s="8">
        <f t="shared" si="35"/>
        <v>9.2476404129998535</v>
      </c>
    </row>
    <row r="282" spans="1:16" x14ac:dyDescent="0.2">
      <c r="A282" s="8">
        <v>140</v>
      </c>
      <c r="B282" s="8">
        <v>280</v>
      </c>
      <c r="D282">
        <v>957.26490066225006</v>
      </c>
      <c r="E282">
        <v>311.37306843266998</v>
      </c>
      <c r="F282">
        <v>137.14359351988</v>
      </c>
      <c r="G282">
        <v>115.85787923417</v>
      </c>
      <c r="I282" s="9">
        <f t="shared" si="32"/>
        <v>195.51518919849997</v>
      </c>
      <c r="J282" s="9">
        <f t="shared" si="33"/>
        <v>820.12130714237003</v>
      </c>
      <c r="K282" s="9">
        <f t="shared" si="31"/>
        <v>195.51518919849997</v>
      </c>
      <c r="L282" s="10">
        <f t="shared" si="30"/>
        <v>0.23839789003867357</v>
      </c>
      <c r="M282" s="10">
        <f t="shared" si="34"/>
        <v>0.26094870617136867</v>
      </c>
      <c r="P282" s="8">
        <f t="shared" si="35"/>
        <v>9.1494454911563636</v>
      </c>
    </row>
    <row r="283" spans="1:16" x14ac:dyDescent="0.2">
      <c r="A283" s="8">
        <v>140.5</v>
      </c>
      <c r="B283" s="8">
        <v>281</v>
      </c>
      <c r="D283">
        <v>968.51214128034997</v>
      </c>
      <c r="E283">
        <v>315.47608535687999</v>
      </c>
      <c r="F283">
        <v>137.20324005891001</v>
      </c>
      <c r="G283">
        <v>115.55301914579999</v>
      </c>
      <c r="I283" s="9">
        <f t="shared" si="32"/>
        <v>199.92306621108</v>
      </c>
      <c r="J283" s="9">
        <f t="shared" si="33"/>
        <v>831.30890122144001</v>
      </c>
      <c r="K283" s="9">
        <f t="shared" si="31"/>
        <v>199.92306621108</v>
      </c>
      <c r="L283" s="10">
        <f t="shared" si="30"/>
        <v>0.2404919109098117</v>
      </c>
      <c r="M283" s="10">
        <f t="shared" si="34"/>
        <v>0.26312326567155214</v>
      </c>
      <c r="P283" s="8">
        <f t="shared" si="35"/>
        <v>10.059018744517042</v>
      </c>
    </row>
    <row r="284" spans="1:16" x14ac:dyDescent="0.2">
      <c r="A284" s="8">
        <v>141</v>
      </c>
      <c r="B284" s="8">
        <v>282</v>
      </c>
      <c r="D284">
        <v>959.36718175128999</v>
      </c>
      <c r="E284">
        <v>313.00220750552</v>
      </c>
      <c r="F284">
        <v>137.52724594993001</v>
      </c>
      <c r="G284">
        <v>116.08026509573</v>
      </c>
      <c r="I284" s="9">
        <f t="shared" si="32"/>
        <v>196.92194240979001</v>
      </c>
      <c r="J284" s="9">
        <f t="shared" si="33"/>
        <v>821.83993580135996</v>
      </c>
      <c r="K284" s="9">
        <f t="shared" si="31"/>
        <v>196.92194240979001</v>
      </c>
      <c r="L284" s="10">
        <f t="shared" si="30"/>
        <v>0.23961106516170366</v>
      </c>
      <c r="M284" s="10">
        <f t="shared" si="34"/>
        <v>0.26232295855248944</v>
      </c>
      <c r="P284" s="8">
        <f t="shared" si="35"/>
        <v>9.7242668327334574</v>
      </c>
    </row>
    <row r="285" spans="1:16" x14ac:dyDescent="0.2">
      <c r="A285" s="8">
        <v>141.5</v>
      </c>
      <c r="B285" s="8">
        <v>283</v>
      </c>
      <c r="D285">
        <v>951.07562408222998</v>
      </c>
      <c r="E285">
        <v>312.55653450808001</v>
      </c>
      <c r="F285">
        <v>137.97790868925</v>
      </c>
      <c r="G285">
        <v>115.68998527246001</v>
      </c>
      <c r="I285" s="9">
        <f t="shared" si="32"/>
        <v>196.86654923562</v>
      </c>
      <c r="J285" s="9">
        <f t="shared" si="33"/>
        <v>813.09771539298004</v>
      </c>
      <c r="K285" s="9">
        <f t="shared" si="31"/>
        <v>196.86654923562</v>
      </c>
      <c r="L285" s="10">
        <f t="shared" si="30"/>
        <v>0.24211917646389156</v>
      </c>
      <c r="M285" s="10">
        <f t="shared" si="34"/>
        <v>0.26491160848372269</v>
      </c>
      <c r="P285" s="8">
        <f t="shared" si="35"/>
        <v>10.807045547027121</v>
      </c>
    </row>
    <row r="286" spans="1:16" x14ac:dyDescent="0.2">
      <c r="A286" s="8">
        <v>142</v>
      </c>
      <c r="B286" s="8">
        <v>284</v>
      </c>
      <c r="D286">
        <v>946.71868131867996</v>
      </c>
      <c r="E286">
        <v>310.16043956044001</v>
      </c>
      <c r="F286">
        <v>137.11782032401001</v>
      </c>
      <c r="G286">
        <v>115.82474226804</v>
      </c>
      <c r="I286" s="9">
        <f t="shared" si="32"/>
        <v>194.33569729240003</v>
      </c>
      <c r="J286" s="9">
        <f t="shared" si="33"/>
        <v>809.60086099466992</v>
      </c>
      <c r="K286" s="9">
        <f t="shared" si="31"/>
        <v>194.33569729240003</v>
      </c>
      <c r="L286" s="10">
        <f t="shared" si="30"/>
        <v>0.24003889651703256</v>
      </c>
      <c r="M286" s="10">
        <f t="shared" si="34"/>
        <v>0.26291186716590903</v>
      </c>
      <c r="P286" s="8">
        <f t="shared" si="35"/>
        <v>9.9705951228515186</v>
      </c>
    </row>
    <row r="287" spans="1:16" x14ac:dyDescent="0.2">
      <c r="A287" s="8">
        <v>142.5</v>
      </c>
      <c r="B287" s="8">
        <v>285</v>
      </c>
      <c r="D287">
        <v>930.06886446886006</v>
      </c>
      <c r="E287">
        <v>307.97216117215999</v>
      </c>
      <c r="F287">
        <v>137.59204712812999</v>
      </c>
      <c r="G287">
        <v>115.99852724595</v>
      </c>
      <c r="I287" s="9">
        <f t="shared" si="32"/>
        <v>191.97363392620997</v>
      </c>
      <c r="J287" s="9">
        <f t="shared" si="33"/>
        <v>792.47681734073012</v>
      </c>
      <c r="K287" s="9">
        <f t="shared" si="31"/>
        <v>191.97363392620997</v>
      </c>
      <c r="L287" s="10">
        <f t="shared" si="30"/>
        <v>0.24224511017294498</v>
      </c>
      <c r="M287" s="10">
        <f t="shared" si="34"/>
        <v>0.26519861945086676</v>
      </c>
      <c r="P287" s="8">
        <f t="shared" si="35"/>
        <v>10.927096297127726</v>
      </c>
    </row>
    <row r="288" spans="1:16" x14ac:dyDescent="0.2">
      <c r="A288" s="8">
        <v>143</v>
      </c>
      <c r="B288" s="8">
        <v>286</v>
      </c>
      <c r="D288">
        <v>910.08278388277995</v>
      </c>
      <c r="E288">
        <v>303.26373626373999</v>
      </c>
      <c r="F288">
        <v>137.30927835052</v>
      </c>
      <c r="G288">
        <v>115.51693667158</v>
      </c>
      <c r="I288" s="9">
        <f t="shared" si="32"/>
        <v>187.74679959215999</v>
      </c>
      <c r="J288" s="9">
        <f t="shared" si="33"/>
        <v>772.77350553225995</v>
      </c>
      <c r="K288" s="9">
        <f t="shared" si="31"/>
        <v>187.74679959215999</v>
      </c>
      <c r="L288" s="10">
        <f t="shared" si="30"/>
        <v>0.24295191055087534</v>
      </c>
      <c r="M288" s="10">
        <f t="shared" si="34"/>
        <v>0.26598595845784245</v>
      </c>
      <c r="P288" s="8">
        <f t="shared" si="35"/>
        <v>11.256423915899356</v>
      </c>
    </row>
    <row r="289" spans="1:16" x14ac:dyDescent="0.2">
      <c r="A289" s="8">
        <v>143.5</v>
      </c>
      <c r="B289" s="8">
        <v>287</v>
      </c>
      <c r="D289">
        <v>937.86573734409001</v>
      </c>
      <c r="E289">
        <v>307.04181951576999</v>
      </c>
      <c r="F289">
        <v>137.17967599411</v>
      </c>
      <c r="G289">
        <v>115.94403534609999</v>
      </c>
      <c r="I289" s="9">
        <f t="shared" si="32"/>
        <v>191.09778416966998</v>
      </c>
      <c r="J289" s="9">
        <f t="shared" si="33"/>
        <v>800.68606134998004</v>
      </c>
      <c r="K289" s="9">
        <f t="shared" si="31"/>
        <v>191.09778416966998</v>
      </c>
      <c r="L289" s="10">
        <f t="shared" si="30"/>
        <v>0.23866755448130764</v>
      </c>
      <c r="M289" s="10">
        <f t="shared" si="34"/>
        <v>0.26178214101732011</v>
      </c>
      <c r="P289" s="8">
        <f t="shared" si="35"/>
        <v>9.4980540457773106</v>
      </c>
    </row>
    <row r="290" spans="1:16" x14ac:dyDescent="0.2">
      <c r="A290" s="8">
        <v>144</v>
      </c>
      <c r="B290" s="8">
        <v>288</v>
      </c>
      <c r="D290">
        <v>959.10931768159003</v>
      </c>
      <c r="E290">
        <v>311.55319148936002</v>
      </c>
      <c r="F290">
        <v>137.07437407953</v>
      </c>
      <c r="G290">
        <v>115.79013254787</v>
      </c>
      <c r="I290" s="9">
        <f t="shared" si="32"/>
        <v>195.76305894149002</v>
      </c>
      <c r="J290" s="9">
        <f t="shared" si="33"/>
        <v>822.03494360206003</v>
      </c>
      <c r="K290" s="9">
        <f t="shared" si="31"/>
        <v>195.76305894149002</v>
      </c>
      <c r="L290" s="10">
        <f t="shared" si="30"/>
        <v>0.23814444929029344</v>
      </c>
      <c r="M290" s="10">
        <f t="shared" si="34"/>
        <v>0.26133957445535128</v>
      </c>
      <c r="P290" s="8">
        <f t="shared" si="35"/>
        <v>9.3129376083725468</v>
      </c>
    </row>
    <row r="291" spans="1:16" x14ac:dyDescent="0.2">
      <c r="A291" s="8">
        <v>144.5</v>
      </c>
      <c r="B291" s="8">
        <v>289</v>
      </c>
      <c r="D291">
        <v>947.05869405723001</v>
      </c>
      <c r="E291">
        <v>310.05942773293998</v>
      </c>
      <c r="F291">
        <v>137.18335787922999</v>
      </c>
      <c r="G291">
        <v>115.68777614138</v>
      </c>
      <c r="I291" s="9">
        <f t="shared" si="32"/>
        <v>194.37165159155998</v>
      </c>
      <c r="J291" s="9">
        <f t="shared" si="33"/>
        <v>809.875336178</v>
      </c>
      <c r="K291" s="9">
        <f t="shared" si="31"/>
        <v>194.37165159155998</v>
      </c>
      <c r="L291" s="10">
        <f t="shared" si="30"/>
        <v>0.24000193969215977</v>
      </c>
      <c r="M291" s="10">
        <f t="shared" si="34"/>
        <v>0.26327760348626295</v>
      </c>
      <c r="P291" s="8">
        <f t="shared" si="35"/>
        <v>10.123575059592</v>
      </c>
    </row>
    <row r="292" spans="1:16" x14ac:dyDescent="0.2">
      <c r="A292" s="8">
        <v>145</v>
      </c>
      <c r="B292" s="8">
        <v>290</v>
      </c>
      <c r="D292">
        <v>951.92883345560995</v>
      </c>
      <c r="E292">
        <v>311.98899486427001</v>
      </c>
      <c r="F292">
        <v>137.27245949926001</v>
      </c>
      <c r="G292">
        <v>115.88880706921999</v>
      </c>
      <c r="I292" s="9">
        <f>E292-G292</f>
        <v>196.10018779505003</v>
      </c>
      <c r="J292" s="9">
        <f>D292-F292</f>
        <v>814.65637395634997</v>
      </c>
      <c r="K292" s="9">
        <f t="shared" si="31"/>
        <v>196.10018779505003</v>
      </c>
      <c r="L292" s="10">
        <f t="shared" si="30"/>
        <v>0.24071521940311641</v>
      </c>
      <c r="M292" s="10">
        <f>L292+ABS($N$2)*A292</f>
        <v>0.26407142182626492</v>
      </c>
      <c r="O292" s="11"/>
      <c r="P292" s="8">
        <f>(M292-$O$2)/$O$2*100</f>
        <v>10.455612849329206</v>
      </c>
    </row>
    <row r="293" spans="1:16" x14ac:dyDescent="0.2">
      <c r="A293" s="8">
        <v>145.5</v>
      </c>
      <c r="B293" s="8">
        <v>291</v>
      </c>
      <c r="D293">
        <v>933.03316138541004</v>
      </c>
      <c r="E293">
        <v>304.90051584376999</v>
      </c>
      <c r="F293">
        <v>137.38512518408999</v>
      </c>
      <c r="G293">
        <v>115.67967599411</v>
      </c>
      <c r="I293" s="9">
        <f t="shared" ref="I293:I301" si="36">E293-G293</f>
        <v>189.22083984966</v>
      </c>
      <c r="J293" s="9">
        <f t="shared" ref="J293:J301" si="37">D293-F293</f>
        <v>795.64803620132011</v>
      </c>
      <c r="K293" s="9">
        <f t="shared" si="31"/>
        <v>189.22083984966</v>
      </c>
      <c r="L293" s="10">
        <f t="shared" si="30"/>
        <v>0.23781977864617276</v>
      </c>
      <c r="M293" s="10">
        <f t="shared" ref="M293:M301" si="38">L293+ABS($N$2)*A293</f>
        <v>0.26125651969836661</v>
      </c>
      <c r="P293" s="8">
        <f t="shared" ref="P293:P301" si="39">(M293-$O$2)/$O$2*100</f>
        <v>9.2781975216969457</v>
      </c>
    </row>
    <row r="294" spans="1:16" x14ac:dyDescent="0.2">
      <c r="A294" s="8">
        <v>146</v>
      </c>
      <c r="B294" s="8">
        <v>292</v>
      </c>
      <c r="D294">
        <v>921.03369963370005</v>
      </c>
      <c r="E294">
        <v>303.53113553114002</v>
      </c>
      <c r="F294">
        <v>137.17599410898001</v>
      </c>
      <c r="G294">
        <v>115.73195876289</v>
      </c>
      <c r="I294" s="9">
        <f t="shared" si="36"/>
        <v>187.79917676825002</v>
      </c>
      <c r="J294" s="9">
        <f t="shared" si="37"/>
        <v>783.85770552472002</v>
      </c>
      <c r="K294" s="9">
        <f t="shared" si="31"/>
        <v>187.79917676825002</v>
      </c>
      <c r="L294" s="10">
        <f t="shared" si="30"/>
        <v>0.23958325018000032</v>
      </c>
      <c r="M294" s="10">
        <f t="shared" si="38"/>
        <v>0.2631005298612395</v>
      </c>
      <c r="N294" s="1"/>
      <c r="P294" s="8">
        <f t="shared" si="39"/>
        <v>10.049508825403715</v>
      </c>
    </row>
    <row r="295" spans="1:16" x14ac:dyDescent="0.2">
      <c r="A295" s="8">
        <v>146.5</v>
      </c>
      <c r="B295" s="8">
        <v>293</v>
      </c>
      <c r="D295">
        <v>932.57948717949</v>
      </c>
      <c r="E295">
        <v>306.30402930403</v>
      </c>
      <c r="F295">
        <v>137.31958762887001</v>
      </c>
      <c r="G295">
        <v>115.45213549336999</v>
      </c>
      <c r="I295" s="9">
        <f t="shared" si="36"/>
        <v>190.85189381065999</v>
      </c>
      <c r="J295" s="9">
        <f t="shared" si="37"/>
        <v>795.25989955062005</v>
      </c>
      <c r="K295" s="9">
        <f t="shared" si="31"/>
        <v>190.85189381065999</v>
      </c>
      <c r="L295" s="10">
        <f t="shared" si="30"/>
        <v>0.23998681930084145</v>
      </c>
      <c r="M295" s="10">
        <f t="shared" si="38"/>
        <v>0.26358463761112599</v>
      </c>
      <c r="P295" s="8">
        <f t="shared" si="39"/>
        <v>10.252001082343213</v>
      </c>
    </row>
    <row r="296" spans="1:16" x14ac:dyDescent="0.2">
      <c r="A296" s="8">
        <v>147</v>
      </c>
      <c r="B296" s="8">
        <v>294</v>
      </c>
      <c r="D296">
        <v>925.99560439560003</v>
      </c>
      <c r="E296">
        <v>304.93919413919002</v>
      </c>
      <c r="F296">
        <v>136.63254786451</v>
      </c>
      <c r="G296">
        <v>115.63033873342999</v>
      </c>
      <c r="I296" s="9">
        <f t="shared" si="36"/>
        <v>189.30885540576003</v>
      </c>
      <c r="J296" s="9">
        <f t="shared" si="37"/>
        <v>789.36305653109002</v>
      </c>
      <c r="K296" s="9">
        <f t="shared" si="31"/>
        <v>189.30885540576003</v>
      </c>
      <c r="L296" s="10">
        <f t="shared" si="30"/>
        <v>0.23982482311458905</v>
      </c>
      <c r="M296" s="10">
        <f t="shared" si="38"/>
        <v>0.26350318005391893</v>
      </c>
      <c r="P296" s="8">
        <f t="shared" si="39"/>
        <v>10.217929071292978</v>
      </c>
    </row>
    <row r="297" spans="1:16" x14ac:dyDescent="0.2">
      <c r="A297" s="8">
        <v>147.5</v>
      </c>
      <c r="B297" s="8">
        <v>295</v>
      </c>
      <c r="D297">
        <v>919.17362637362999</v>
      </c>
      <c r="E297">
        <v>304.28498168497998</v>
      </c>
      <c r="F297">
        <v>137.12739322533</v>
      </c>
      <c r="G297">
        <v>115.84609720176999</v>
      </c>
      <c r="I297" s="9">
        <f t="shared" si="36"/>
        <v>188.43888448320999</v>
      </c>
      <c r="J297" s="9">
        <f t="shared" si="37"/>
        <v>782.04623314829996</v>
      </c>
      <c r="K297" s="9">
        <f t="shared" si="31"/>
        <v>188.43888448320999</v>
      </c>
      <c r="L297" s="10">
        <f t="shared" si="30"/>
        <v>0.24095619478225425</v>
      </c>
      <c r="M297" s="10">
        <f t="shared" si="38"/>
        <v>0.26471509035062946</v>
      </c>
      <c r="P297" s="8">
        <f t="shared" si="39"/>
        <v>10.724846077365839</v>
      </c>
    </row>
    <row r="298" spans="1:16" x14ac:dyDescent="0.2">
      <c r="A298" s="8">
        <v>148</v>
      </c>
      <c r="B298" s="8">
        <v>296</v>
      </c>
      <c r="D298">
        <v>907.82647058824</v>
      </c>
      <c r="E298">
        <v>301.70955882353002</v>
      </c>
      <c r="F298">
        <v>136.89396170840001</v>
      </c>
      <c r="G298">
        <v>115.83578792342</v>
      </c>
      <c r="I298" s="9">
        <f t="shared" si="36"/>
        <v>185.87377090011</v>
      </c>
      <c r="J298" s="9">
        <f t="shared" si="37"/>
        <v>770.93250887984004</v>
      </c>
      <c r="K298" s="9">
        <f t="shared" si="31"/>
        <v>185.87377090011</v>
      </c>
      <c r="L298" s="10">
        <f t="shared" si="30"/>
        <v>0.24110252033629168</v>
      </c>
      <c r="M298" s="10">
        <f t="shared" si="38"/>
        <v>0.26494195453371222</v>
      </c>
      <c r="P298" s="8">
        <f t="shared" si="39"/>
        <v>10.819738671962673</v>
      </c>
    </row>
    <row r="299" spans="1:16" x14ac:dyDescent="0.2">
      <c r="A299" s="8">
        <v>148.5</v>
      </c>
      <c r="B299" s="8">
        <v>297</v>
      </c>
      <c r="D299">
        <v>870.01617647059004</v>
      </c>
      <c r="E299">
        <v>294.25661764706001</v>
      </c>
      <c r="F299">
        <v>137.81001472753999</v>
      </c>
      <c r="G299">
        <v>115.60824742267999</v>
      </c>
      <c r="I299" s="9">
        <f t="shared" si="36"/>
        <v>178.64837022438002</v>
      </c>
      <c r="J299" s="9">
        <f t="shared" si="37"/>
        <v>732.20616174305007</v>
      </c>
      <c r="K299" s="9">
        <f t="shared" si="31"/>
        <v>178.64837022438002</v>
      </c>
      <c r="L299" s="10">
        <f t="shared" si="30"/>
        <v>0.24398643381953991</v>
      </c>
      <c r="M299" s="10">
        <f t="shared" si="38"/>
        <v>0.26790640664600579</v>
      </c>
      <c r="P299" s="8">
        <f t="shared" si="39"/>
        <v>12.059707664295743</v>
      </c>
    </row>
    <row r="300" spans="1:16" x14ac:dyDescent="0.2">
      <c r="A300" s="8">
        <v>149</v>
      </c>
      <c r="B300" s="8">
        <v>298</v>
      </c>
      <c r="D300">
        <v>894.46465390280002</v>
      </c>
      <c r="E300">
        <v>302.02135493372998</v>
      </c>
      <c r="F300">
        <v>137.33357879234001</v>
      </c>
      <c r="G300">
        <v>115.47717231222001</v>
      </c>
      <c r="I300" s="9">
        <f t="shared" si="36"/>
        <v>186.54418262150998</v>
      </c>
      <c r="J300" s="9">
        <f t="shared" si="37"/>
        <v>757.13107511045996</v>
      </c>
      <c r="K300" s="9">
        <f t="shared" si="31"/>
        <v>186.54418262150998</v>
      </c>
      <c r="L300" s="10">
        <f t="shared" si="30"/>
        <v>0.24638294313081063</v>
      </c>
      <c r="M300" s="10">
        <f t="shared" si="38"/>
        <v>0.27038345458632185</v>
      </c>
      <c r="P300" s="8">
        <f t="shared" si="39"/>
        <v>13.095805574522416</v>
      </c>
    </row>
    <row r="301" spans="1:16" x14ac:dyDescent="0.2">
      <c r="A301" s="8">
        <v>149.5</v>
      </c>
      <c r="B301" s="8">
        <v>299</v>
      </c>
      <c r="D301">
        <v>905.74226804123998</v>
      </c>
      <c r="E301">
        <v>304.04344624447998</v>
      </c>
      <c r="F301">
        <v>137.33726067747</v>
      </c>
      <c r="G301">
        <v>115.32326951399</v>
      </c>
      <c r="I301" s="9">
        <f t="shared" si="36"/>
        <v>188.72017673048998</v>
      </c>
      <c r="J301" s="9">
        <f t="shared" si="37"/>
        <v>768.40500736376998</v>
      </c>
      <c r="K301" s="9">
        <f t="shared" si="31"/>
        <v>188.72017673048998</v>
      </c>
      <c r="L301" s="10">
        <f t="shared" si="30"/>
        <v>0.24559987886849899</v>
      </c>
      <c r="M301" s="10">
        <f t="shared" si="38"/>
        <v>0.26968092895305557</v>
      </c>
      <c r="P301" s="8">
        <f t="shared" si="39"/>
        <v>12.801953635421473</v>
      </c>
    </row>
    <row r="302" spans="1:16" x14ac:dyDescent="0.2">
      <c r="A302" s="8">
        <v>150</v>
      </c>
      <c r="B302" s="8">
        <v>300</v>
      </c>
      <c r="D302">
        <v>911.19072164949</v>
      </c>
      <c r="E302">
        <v>304.98969072164999</v>
      </c>
      <c r="F302">
        <v>137.10162002946001</v>
      </c>
      <c r="G302">
        <v>115.5706921944</v>
      </c>
      <c r="I302" s="9">
        <f>E302-G302</f>
        <v>189.41899852724998</v>
      </c>
      <c r="J302" s="9">
        <f>D302-F302</f>
        <v>774.08910162002996</v>
      </c>
      <c r="K302" s="9">
        <f t="shared" si="31"/>
        <v>189.41899852724998</v>
      </c>
      <c r="L302" s="10">
        <f t="shared" si="30"/>
        <v>0.24469921890235879</v>
      </c>
      <c r="M302" s="10">
        <f>L302+ABS($N$2)*A302</f>
        <v>0.26886080761596071</v>
      </c>
      <c r="O302" s="11"/>
      <c r="P302" s="8">
        <f>(M302-$O$2)/$O$2*100</f>
        <v>12.4589138461359</v>
      </c>
    </row>
    <row r="303" spans="1:16" x14ac:dyDescent="0.2">
      <c r="A303" s="8">
        <v>150.5</v>
      </c>
      <c r="B303" s="8">
        <v>301</v>
      </c>
      <c r="D303">
        <v>890.21617647058997</v>
      </c>
      <c r="E303">
        <v>300.76397058824</v>
      </c>
      <c r="F303">
        <v>137.4499263623</v>
      </c>
      <c r="G303">
        <v>115.62297496318</v>
      </c>
      <c r="I303" s="9">
        <f t="shared" ref="I303:I309" si="40">E303-G303</f>
        <v>185.14099562505999</v>
      </c>
      <c r="J303" s="9">
        <f t="shared" ref="J303:J309" si="41">D303-F303</f>
        <v>752.76625010829002</v>
      </c>
      <c r="K303" s="9">
        <f t="shared" si="31"/>
        <v>185.14099562505999</v>
      </c>
      <c r="L303" s="10">
        <f t="shared" si="30"/>
        <v>0.24594752434560704</v>
      </c>
      <c r="M303" s="10">
        <f t="shared" ref="M303:M309" si="42">L303+ABS($N$2)*A303</f>
        <v>0.27018965168825426</v>
      </c>
      <c r="P303" s="8">
        <f t="shared" ref="P303:P309" si="43">(M303-$O$2)/$O$2*100</f>
        <v>13.014741831501727</v>
      </c>
    </row>
    <row r="304" spans="1:16" x14ac:dyDescent="0.2">
      <c r="A304" s="8">
        <v>151</v>
      </c>
      <c r="B304" s="8">
        <v>302</v>
      </c>
      <c r="D304">
        <v>882.87132352941001</v>
      </c>
      <c r="E304">
        <v>299.32205882353003</v>
      </c>
      <c r="F304">
        <v>137.56480117820001</v>
      </c>
      <c r="G304">
        <v>115.34904270987001</v>
      </c>
      <c r="I304" s="9">
        <f t="shared" si="40"/>
        <v>183.97301611366004</v>
      </c>
      <c r="J304" s="9">
        <f t="shared" si="41"/>
        <v>745.30652235120999</v>
      </c>
      <c r="K304" s="9">
        <f t="shared" si="31"/>
        <v>183.97301611366004</v>
      </c>
      <c r="L304" s="10">
        <f t="shared" si="30"/>
        <v>0.24684208523129847</v>
      </c>
      <c r="M304" s="10">
        <f t="shared" si="42"/>
        <v>0.27116475120299105</v>
      </c>
      <c r="N304" s="1"/>
      <c r="P304" s="8">
        <f t="shared" si="43"/>
        <v>13.422605786429029</v>
      </c>
    </row>
    <row r="305" spans="1:16" x14ac:dyDescent="0.2">
      <c r="A305" s="8">
        <v>151.5</v>
      </c>
      <c r="B305" s="8">
        <v>303</v>
      </c>
      <c r="D305">
        <v>886.33260073259999</v>
      </c>
      <c r="E305">
        <v>302.58901098900998</v>
      </c>
      <c r="F305">
        <v>136.68188512518</v>
      </c>
      <c r="G305">
        <v>115.61708394698</v>
      </c>
      <c r="I305" s="9">
        <f t="shared" si="40"/>
        <v>186.97192704202996</v>
      </c>
      <c r="J305" s="9">
        <f t="shared" si="41"/>
        <v>749.65071560742001</v>
      </c>
      <c r="K305" s="9">
        <f t="shared" si="31"/>
        <v>186.97192704202996</v>
      </c>
      <c r="L305" s="10">
        <f t="shared" si="30"/>
        <v>0.24941205704116762</v>
      </c>
      <c r="M305" s="10">
        <f t="shared" si="42"/>
        <v>0.27381526164190551</v>
      </c>
      <c r="P305" s="8">
        <f t="shared" si="43"/>
        <v>14.53125947136451</v>
      </c>
    </row>
    <row r="306" spans="1:16" x14ac:dyDescent="0.2">
      <c r="A306" s="8">
        <v>152</v>
      </c>
      <c r="B306" s="8">
        <v>304</v>
      </c>
      <c r="D306">
        <v>877.02197802197998</v>
      </c>
      <c r="E306">
        <v>299.23589743589997</v>
      </c>
      <c r="F306">
        <v>137.27098674521</v>
      </c>
      <c r="G306">
        <v>115.42415316642</v>
      </c>
      <c r="I306" s="9">
        <f t="shared" si="40"/>
        <v>183.81174426947996</v>
      </c>
      <c r="J306" s="9">
        <f t="shared" si="41"/>
        <v>739.75099127677004</v>
      </c>
      <c r="K306" s="9">
        <f t="shared" si="31"/>
        <v>183.81174426947996</v>
      </c>
      <c r="L306" s="10">
        <f t="shared" si="30"/>
        <v>0.24847786138445163</v>
      </c>
      <c r="M306" s="10">
        <f t="shared" si="42"/>
        <v>0.27296160461423491</v>
      </c>
      <c r="P306" s="8">
        <f t="shared" si="43"/>
        <v>14.174192396470934</v>
      </c>
    </row>
    <row r="307" spans="1:16" x14ac:dyDescent="0.2">
      <c r="A307" s="8">
        <v>152.5</v>
      </c>
      <c r="B307" s="8">
        <v>305</v>
      </c>
      <c r="D307">
        <v>874.14022140221005</v>
      </c>
      <c r="E307">
        <v>299.59778597785998</v>
      </c>
      <c r="F307">
        <v>137.33873343152001</v>
      </c>
      <c r="G307">
        <v>115.48600883652</v>
      </c>
      <c r="I307" s="9">
        <f t="shared" si="40"/>
        <v>184.11177714133999</v>
      </c>
      <c r="J307" s="9">
        <f t="shared" si="41"/>
        <v>736.80148797069</v>
      </c>
      <c r="K307" s="9">
        <f t="shared" si="31"/>
        <v>184.11177714133999</v>
      </c>
      <c r="L307" s="10">
        <f t="shared" si="30"/>
        <v>0.24987975750215091</v>
      </c>
      <c r="M307" s="10">
        <f t="shared" si="42"/>
        <v>0.2744440393609795</v>
      </c>
      <c r="P307" s="8">
        <f t="shared" si="43"/>
        <v>14.794264183597303</v>
      </c>
    </row>
    <row r="308" spans="1:16" x14ac:dyDescent="0.2">
      <c r="A308" s="8">
        <v>153</v>
      </c>
      <c r="B308" s="8">
        <v>306</v>
      </c>
      <c r="D308">
        <v>837.21623616236002</v>
      </c>
      <c r="E308">
        <v>291.26568265682999</v>
      </c>
      <c r="F308">
        <v>137.38291605302001</v>
      </c>
      <c r="G308">
        <v>115.65905743741</v>
      </c>
      <c r="I308" s="9">
        <f t="shared" si="40"/>
        <v>175.60662521941998</v>
      </c>
      <c r="J308" s="9">
        <f t="shared" si="41"/>
        <v>699.83332010933998</v>
      </c>
      <c r="K308" s="9">
        <f t="shared" si="31"/>
        <v>175.60662521941998</v>
      </c>
      <c r="L308" s="10">
        <f t="shared" si="30"/>
        <v>0.25092635656728046</v>
      </c>
      <c r="M308" s="10">
        <f t="shared" si="42"/>
        <v>0.27557117705515438</v>
      </c>
      <c r="P308" s="8">
        <f t="shared" si="43"/>
        <v>15.265722563738018</v>
      </c>
    </row>
    <row r="309" spans="1:16" x14ac:dyDescent="0.2">
      <c r="A309" s="8">
        <v>153.5</v>
      </c>
      <c r="B309" s="8">
        <v>307</v>
      </c>
      <c r="D309">
        <v>837.84428044280003</v>
      </c>
      <c r="E309">
        <v>292.10110701106998</v>
      </c>
      <c r="F309">
        <v>137.61708394697999</v>
      </c>
      <c r="G309">
        <v>115.36892488954</v>
      </c>
      <c r="I309" s="9">
        <f t="shared" si="40"/>
        <v>176.73218212153</v>
      </c>
      <c r="J309" s="9">
        <f t="shared" si="41"/>
        <v>700.22719649582007</v>
      </c>
      <c r="K309" s="9">
        <f t="shared" si="31"/>
        <v>176.73218212153</v>
      </c>
      <c r="L309" s="10">
        <f t="shared" si="30"/>
        <v>0.2523926277156317</v>
      </c>
      <c r="M309" s="10">
        <f t="shared" si="42"/>
        <v>0.27711798683255096</v>
      </c>
      <c r="P309" s="8">
        <f t="shared" si="43"/>
        <v>15.912721094446425</v>
      </c>
    </row>
    <row r="310" spans="1:16" x14ac:dyDescent="0.2">
      <c r="A310" s="8">
        <v>154</v>
      </c>
      <c r="B310" s="8">
        <v>308</v>
      </c>
      <c r="D310">
        <v>890.87232472325002</v>
      </c>
      <c r="E310">
        <v>303.01476014759999</v>
      </c>
      <c r="F310">
        <v>137.11708394697999</v>
      </c>
      <c r="G310">
        <v>115.5265095729</v>
      </c>
      <c r="I310" s="9">
        <f>E310-G310</f>
        <v>187.48825057469998</v>
      </c>
      <c r="J310" s="9">
        <f>D310-F310</f>
        <v>753.75524077627006</v>
      </c>
      <c r="K310" s="9">
        <f t="shared" si="31"/>
        <v>187.48825057469998</v>
      </c>
      <c r="L310" s="10">
        <f t="shared" si="30"/>
        <v>0.24873890147896208</v>
      </c>
      <c r="M310" s="10">
        <f>L310+ABS($N$2)*A310</f>
        <v>0.27354479922492669</v>
      </c>
      <c r="O310" s="11"/>
      <c r="P310" s="8">
        <f>(M310-$O$2)/$O$2*100</f>
        <v>14.418130637454722</v>
      </c>
    </row>
    <row r="311" spans="1:16" x14ac:dyDescent="0.2">
      <c r="A311" s="8">
        <v>154.5</v>
      </c>
      <c r="B311" s="8">
        <v>309</v>
      </c>
      <c r="D311">
        <v>887.77047970479998</v>
      </c>
      <c r="E311">
        <v>303.73800738006997</v>
      </c>
      <c r="F311">
        <v>136.75994108984</v>
      </c>
      <c r="G311">
        <v>115.63181148747999</v>
      </c>
      <c r="I311" s="9">
        <f t="shared" ref="I311:I319" si="44">E311-G311</f>
        <v>188.10619589258999</v>
      </c>
      <c r="J311" s="9">
        <f t="shared" ref="J311:J319" si="45">D311-F311</f>
        <v>751.01053861495996</v>
      </c>
      <c r="K311" s="9">
        <f t="shared" si="31"/>
        <v>188.10619589258999</v>
      </c>
      <c r="L311" s="10">
        <f t="shared" si="30"/>
        <v>0.25047078066241529</v>
      </c>
      <c r="M311" s="10">
        <f t="shared" ref="M311:M319" si="46">L311+ABS($N$2)*A311</f>
        <v>0.27535721703742527</v>
      </c>
      <c r="P311" s="8">
        <f t="shared" ref="P311:P319" si="47">(M311-$O$2)/$O$2*100</f>
        <v>15.176227514557459</v>
      </c>
    </row>
    <row r="312" spans="1:16" x14ac:dyDescent="0.2">
      <c r="A312" s="8">
        <v>155</v>
      </c>
      <c r="B312" s="8">
        <v>310</v>
      </c>
      <c r="D312">
        <v>907.72472324723003</v>
      </c>
      <c r="E312">
        <v>307.70405904058998</v>
      </c>
      <c r="F312">
        <v>137.18114874816001</v>
      </c>
      <c r="G312">
        <v>115.45434462445</v>
      </c>
      <c r="I312" s="9">
        <f t="shared" si="44"/>
        <v>192.24971441613997</v>
      </c>
      <c r="J312" s="9">
        <f t="shared" si="45"/>
        <v>770.54357449907002</v>
      </c>
      <c r="K312" s="9">
        <f t="shared" si="31"/>
        <v>192.24971441613997</v>
      </c>
      <c r="L312" s="10">
        <f t="shared" si="30"/>
        <v>0.24949882236202073</v>
      </c>
      <c r="M312" s="10">
        <f t="shared" si="46"/>
        <v>0.27446579736607601</v>
      </c>
      <c r="N312" s="1"/>
      <c r="P312" s="8">
        <f t="shared" si="47"/>
        <v>14.803365107016782</v>
      </c>
    </row>
    <row r="313" spans="1:16" x14ac:dyDescent="0.2">
      <c r="A313" s="8">
        <v>155.5</v>
      </c>
      <c r="B313" s="8">
        <v>311</v>
      </c>
      <c r="D313">
        <v>881.49520295203001</v>
      </c>
      <c r="E313">
        <v>303.97933579336001</v>
      </c>
      <c r="F313">
        <v>136.53608247423</v>
      </c>
      <c r="G313">
        <v>115.79675994109</v>
      </c>
      <c r="I313" s="9">
        <f t="shared" si="44"/>
        <v>188.18257585227002</v>
      </c>
      <c r="J313" s="9">
        <f t="shared" si="45"/>
        <v>744.95912047780007</v>
      </c>
      <c r="K313" s="9">
        <f t="shared" si="31"/>
        <v>188.18257585227002</v>
      </c>
      <c r="L313" s="10">
        <f t="shared" si="30"/>
        <v>0.25260792260865794</v>
      </c>
      <c r="M313" s="10">
        <f t="shared" si="46"/>
        <v>0.27765543624175859</v>
      </c>
      <c r="P313" s="8">
        <f t="shared" si="47"/>
        <v>16.137525063989919</v>
      </c>
    </row>
    <row r="314" spans="1:16" x14ac:dyDescent="0.2">
      <c r="A314" s="8">
        <v>156</v>
      </c>
      <c r="B314" s="8">
        <v>312</v>
      </c>
      <c r="D314">
        <v>875.35498154981997</v>
      </c>
      <c r="E314">
        <v>303.98671586716</v>
      </c>
      <c r="F314">
        <v>137.24153166420999</v>
      </c>
      <c r="G314">
        <v>115.45139911635</v>
      </c>
      <c r="I314" s="9">
        <f t="shared" si="44"/>
        <v>188.53531675081001</v>
      </c>
      <c r="J314" s="9">
        <f t="shared" si="45"/>
        <v>738.11344988560995</v>
      </c>
      <c r="K314" s="9">
        <f t="shared" si="31"/>
        <v>188.53531675081001</v>
      </c>
      <c r="L314" s="10">
        <f t="shared" si="30"/>
        <v>0.2554286428191066</v>
      </c>
      <c r="M314" s="10">
        <f t="shared" si="46"/>
        <v>0.28055669508125258</v>
      </c>
      <c r="P314" s="8">
        <f t="shared" si="47"/>
        <v>17.351061617603346</v>
      </c>
    </row>
    <row r="315" spans="1:16" x14ac:dyDescent="0.2">
      <c r="A315" s="8">
        <v>156.5</v>
      </c>
      <c r="B315" s="8">
        <v>313</v>
      </c>
      <c r="D315">
        <v>892.78168498168998</v>
      </c>
      <c r="E315">
        <v>307.36190476191001</v>
      </c>
      <c r="F315">
        <v>137.30780559646999</v>
      </c>
      <c r="G315">
        <v>115.84388807069</v>
      </c>
      <c r="I315" s="9">
        <f t="shared" si="44"/>
        <v>191.51801669122</v>
      </c>
      <c r="J315" s="9">
        <f t="shared" si="45"/>
        <v>755.47387938522002</v>
      </c>
      <c r="K315" s="9">
        <f t="shared" si="31"/>
        <v>191.51801669122</v>
      </c>
      <c r="L315" s="10">
        <f t="shared" si="30"/>
        <v>0.25350713230094879</v>
      </c>
      <c r="M315" s="10">
        <f t="shared" si="46"/>
        <v>0.27871572319214011</v>
      </c>
      <c r="P315" s="8">
        <f t="shared" si="47"/>
        <v>16.581021160957153</v>
      </c>
    </row>
    <row r="316" spans="1:16" x14ac:dyDescent="0.2">
      <c r="A316" s="8">
        <v>157</v>
      </c>
      <c r="B316" s="8">
        <v>314</v>
      </c>
      <c r="D316">
        <v>887.54432234431999</v>
      </c>
      <c r="E316">
        <v>308.42783882783999</v>
      </c>
      <c r="F316">
        <v>136.92415316642001</v>
      </c>
      <c r="G316">
        <v>115.22680412371</v>
      </c>
      <c r="I316" s="9">
        <f t="shared" si="44"/>
        <v>193.20103470413</v>
      </c>
      <c r="J316" s="9">
        <f t="shared" si="45"/>
        <v>750.62016917789992</v>
      </c>
      <c r="K316" s="9">
        <f t="shared" si="31"/>
        <v>193.20103470413</v>
      </c>
      <c r="L316" s="10">
        <f t="shared" si="30"/>
        <v>0.25738854701403657</v>
      </c>
      <c r="M316" s="10">
        <f t="shared" si="46"/>
        <v>0.28267767653427323</v>
      </c>
      <c r="P316" s="8">
        <f t="shared" si="47"/>
        <v>18.238224282216052</v>
      </c>
    </row>
    <row r="317" spans="1:16" x14ac:dyDescent="0.2">
      <c r="A317" s="8">
        <v>157.5</v>
      </c>
      <c r="B317" s="8">
        <v>315</v>
      </c>
      <c r="D317">
        <v>898.63076923077006</v>
      </c>
      <c r="E317">
        <v>309.03003663004</v>
      </c>
      <c r="F317">
        <v>137.24521354934001</v>
      </c>
      <c r="G317">
        <v>115.64432989690999</v>
      </c>
      <c r="I317" s="9">
        <f t="shared" si="44"/>
        <v>193.38570673313001</v>
      </c>
      <c r="J317" s="9">
        <f t="shared" si="45"/>
        <v>761.38555568143011</v>
      </c>
      <c r="K317" s="9">
        <f t="shared" si="31"/>
        <v>193.38570673313001</v>
      </c>
      <c r="L317" s="10">
        <f t="shared" si="30"/>
        <v>0.25399182489094152</v>
      </c>
      <c r="M317" s="10">
        <f t="shared" si="46"/>
        <v>0.27936149304022351</v>
      </c>
      <c r="P317" s="8">
        <f t="shared" si="47"/>
        <v>16.851133329234866</v>
      </c>
    </row>
    <row r="318" spans="1:16" x14ac:dyDescent="0.2">
      <c r="A318" s="8">
        <v>158</v>
      </c>
      <c r="B318" s="8">
        <v>316</v>
      </c>
      <c r="D318">
        <v>869.84992679356003</v>
      </c>
      <c r="E318">
        <v>308.06295754026002</v>
      </c>
      <c r="F318">
        <v>136.97643593519999</v>
      </c>
      <c r="G318">
        <v>115.32253313696999</v>
      </c>
      <c r="I318" s="9">
        <f t="shared" si="44"/>
        <v>192.74042440329004</v>
      </c>
      <c r="J318" s="9">
        <f t="shared" si="45"/>
        <v>732.87349085836001</v>
      </c>
      <c r="K318" s="9">
        <f t="shared" si="31"/>
        <v>192.74042440329004</v>
      </c>
      <c r="L318" s="10">
        <f t="shared" si="30"/>
        <v>0.26299276315418035</v>
      </c>
      <c r="M318" s="10">
        <f t="shared" si="46"/>
        <v>0.28844296993250768</v>
      </c>
      <c r="P318" s="8">
        <f t="shared" si="47"/>
        <v>20.649727242870163</v>
      </c>
    </row>
    <row r="319" spans="1:16" x14ac:dyDescent="0.2">
      <c r="A319" s="8">
        <v>158.5</v>
      </c>
      <c r="B319" s="8">
        <v>317</v>
      </c>
      <c r="D319">
        <v>885.52507374631</v>
      </c>
      <c r="E319">
        <v>310.86209439528</v>
      </c>
      <c r="F319">
        <v>137.01914580265</v>
      </c>
      <c r="G319">
        <v>115.42268041237</v>
      </c>
      <c r="I319" s="9">
        <f t="shared" si="44"/>
        <v>195.43941398291</v>
      </c>
      <c r="J319" s="9">
        <f t="shared" si="45"/>
        <v>748.50592794366003</v>
      </c>
      <c r="K319" s="9">
        <f t="shared" si="31"/>
        <v>195.43941398291</v>
      </c>
      <c r="L319" s="10">
        <f t="shared" si="30"/>
        <v>0.26110603361530182</v>
      </c>
      <c r="M319" s="10">
        <f t="shared" si="46"/>
        <v>0.28663677902267448</v>
      </c>
      <c r="P319" s="8">
        <f t="shared" si="47"/>
        <v>19.894234950335122</v>
      </c>
    </row>
    <row r="320" spans="1:16" x14ac:dyDescent="0.2">
      <c r="A320" s="8">
        <v>159</v>
      </c>
      <c r="B320" s="8">
        <v>318</v>
      </c>
      <c r="D320">
        <v>895.16297935103</v>
      </c>
      <c r="E320">
        <v>310.78171091445</v>
      </c>
      <c r="F320">
        <v>137.10677466863001</v>
      </c>
      <c r="G320">
        <v>115.69440353461</v>
      </c>
      <c r="I320" s="9">
        <f>E320-G320</f>
        <v>195.08730737984001</v>
      </c>
      <c r="J320" s="9">
        <f>D320-F320</f>
        <v>758.05620468239999</v>
      </c>
      <c r="K320" s="9">
        <f t="shared" si="31"/>
        <v>195.08730737984001</v>
      </c>
      <c r="L320" s="10">
        <f t="shared" si="30"/>
        <v>0.25735203560740594</v>
      </c>
      <c r="M320" s="10">
        <f>L320+ABS($N$2)*A320</f>
        <v>0.28296331964382393</v>
      </c>
      <c r="O320" s="11"/>
      <c r="P320" s="8">
        <f>(M320-$O$2)/$O$2*100</f>
        <v>18.357702885782512</v>
      </c>
    </row>
    <row r="321" spans="1:16" x14ac:dyDescent="0.2">
      <c r="A321" s="8">
        <v>159.5</v>
      </c>
      <c r="B321" s="8">
        <v>319</v>
      </c>
      <c r="D321">
        <v>884.59678597515995</v>
      </c>
      <c r="E321">
        <v>308.98831263696002</v>
      </c>
      <c r="F321">
        <v>136.62076583211001</v>
      </c>
      <c r="G321">
        <v>115.27172312224</v>
      </c>
      <c r="I321" s="9">
        <f t="shared" ref="I321:I322" si="48">E321-G321</f>
        <v>193.71658951472</v>
      </c>
      <c r="J321" s="9">
        <f t="shared" ref="J321:J322" si="49">D321-F321</f>
        <v>747.97602014304994</v>
      </c>
      <c r="K321" s="9">
        <f t="shared" si="31"/>
        <v>193.71658951472</v>
      </c>
      <c r="L321" s="10">
        <f t="shared" si="30"/>
        <v>0.25898770053841008</v>
      </c>
      <c r="M321" s="10">
        <f t="shared" ref="M321:M322" si="50">L321+ABS($N$2)*A321</f>
        <v>0.28467952320387341</v>
      </c>
      <c r="P321" s="8">
        <f t="shared" ref="P321:P322" si="51">(M321-$O$2)/$O$2*100</f>
        <v>19.075555331490104</v>
      </c>
    </row>
    <row r="322" spans="1:16" x14ac:dyDescent="0.2">
      <c r="A322" s="8">
        <v>160</v>
      </c>
      <c r="B322" s="8">
        <v>320</v>
      </c>
      <c r="D322">
        <v>885.16216216216003</v>
      </c>
      <c r="E322">
        <v>309.48137326516002</v>
      </c>
      <c r="F322">
        <v>137.06480117820001</v>
      </c>
      <c r="G322">
        <v>115.47717231222001</v>
      </c>
      <c r="I322" s="9">
        <f t="shared" si="48"/>
        <v>194.00420095294001</v>
      </c>
      <c r="J322" s="9">
        <f t="shared" si="49"/>
        <v>748.09736098396002</v>
      </c>
      <c r="K322" s="9">
        <f t="shared" si="31"/>
        <v>194.00420095294001</v>
      </c>
      <c r="L322" s="10">
        <f t="shared" ref="L322" si="52">K322/J322</f>
        <v>0.25933015015287519</v>
      </c>
      <c r="M322" s="10">
        <f t="shared" si="50"/>
        <v>0.28510251144738386</v>
      </c>
      <c r="P322" s="8">
        <f t="shared" si="51"/>
        <v>19.252482563304483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29B9-751D-423C-B44D-F20CD410FAF0}">
  <dimension ref="A1:Y798"/>
  <sheetViews>
    <sheetView zoomScale="44" zoomScaleNormal="70" workbookViewId="0">
      <selection activeCell="F2" sqref="F2:G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6436.5923961095996</v>
      </c>
      <c r="E2">
        <v>1384.5260831123001</v>
      </c>
      <c r="F2">
        <v>116.16270888303001</v>
      </c>
      <c r="G2">
        <v>106.96921723835</v>
      </c>
      <c r="H2" s="4"/>
      <c r="I2" s="5">
        <f>E2-G2</f>
        <v>1277.5568658739501</v>
      </c>
      <c r="J2" s="5">
        <f>D2-F2</f>
        <v>6320.4296872265695</v>
      </c>
      <c r="K2" s="9">
        <f>I2*1</f>
        <v>1277.5568658739501</v>
      </c>
      <c r="L2" s="6">
        <f t="shared" ref="L2:L65" si="0">K2/J2</f>
        <v>0.20213133111121553</v>
      </c>
      <c r="M2" s="6">
        <f>L2+ABS($N$2)*A2</f>
        <v>0.20213133111121553</v>
      </c>
      <c r="N2" s="4">
        <f>LINEST(V64:V103,U64:U103)</f>
        <v>-9.2220415874765324E-6</v>
      </c>
      <c r="O2" s="7">
        <f>AVERAGE(M62:M81)</f>
        <v>0.14925299189629038</v>
      </c>
      <c r="P2" s="4">
        <f>(M2-$O$2)/$O$2*100</f>
        <v>35.428662798041657</v>
      </c>
    </row>
    <row r="3" spans="1:16" x14ac:dyDescent="0.2">
      <c r="A3" s="8">
        <v>0.5</v>
      </c>
      <c r="B3" s="8">
        <v>1</v>
      </c>
      <c r="D3">
        <v>6313.6852343058999</v>
      </c>
      <c r="E3">
        <v>1378.6878868258</v>
      </c>
      <c r="F3">
        <v>115.89621811785</v>
      </c>
      <c r="G3">
        <v>106.73262972735</v>
      </c>
      <c r="I3" s="9">
        <f t="shared" ref="I3:I66" si="1">E3-G3</f>
        <v>1271.9552570984499</v>
      </c>
      <c r="J3" s="9">
        <f t="shared" ref="J3:J66" si="2">D3-F3</f>
        <v>6197.7890161880496</v>
      </c>
      <c r="K3" s="9">
        <f t="shared" ref="K3:K66" si="3">I3*1</f>
        <v>1271.9552570984499</v>
      </c>
      <c r="L3" s="10">
        <f t="shared" si="0"/>
        <v>0.20522725987867946</v>
      </c>
      <c r="M3" s="10">
        <f t="shared" ref="M3:M66" si="4">L3+ABS($N$2)*A3</f>
        <v>0.2052318708994732</v>
      </c>
      <c r="P3" s="8">
        <f t="shared" ref="P3:P66" si="5">(M3-$O$2)/$O$2*100</f>
        <v>37.506034748087458</v>
      </c>
    </row>
    <row r="4" spans="1:16" ht="16" x14ac:dyDescent="0.2">
      <c r="A4" s="8">
        <v>1</v>
      </c>
      <c r="B4" s="8">
        <v>2</v>
      </c>
      <c r="D4">
        <v>6210.0733863837004</v>
      </c>
      <c r="E4">
        <v>1394.4668435013</v>
      </c>
      <c r="F4">
        <v>116.28583992964001</v>
      </c>
      <c r="G4">
        <v>107.19613016711</v>
      </c>
      <c r="I4" s="9">
        <f t="shared" si="1"/>
        <v>1287.2707133341901</v>
      </c>
      <c r="J4" s="9">
        <f t="shared" si="2"/>
        <v>6093.7875464540602</v>
      </c>
      <c r="K4" s="9">
        <f t="shared" si="3"/>
        <v>1287.2707133341901</v>
      </c>
      <c r="L4" s="10">
        <f t="shared" si="0"/>
        <v>0.21124312318424121</v>
      </c>
      <c r="M4" s="10">
        <f t="shared" si="4"/>
        <v>0.2112523452258287</v>
      </c>
      <c r="N4" s="1" t="s">
        <v>7</v>
      </c>
      <c r="P4" s="8">
        <f t="shared" si="5"/>
        <v>41.539772531071982</v>
      </c>
    </row>
    <row r="5" spans="1:16" x14ac:dyDescent="0.2">
      <c r="A5" s="8">
        <v>1.5</v>
      </c>
      <c r="B5" s="8">
        <v>3</v>
      </c>
      <c r="D5">
        <v>3246.3227232538002</v>
      </c>
      <c r="E5">
        <v>866.07692307692002</v>
      </c>
      <c r="F5">
        <v>116.27088830255001</v>
      </c>
      <c r="G5">
        <v>106.96833773087</v>
      </c>
      <c r="I5" s="9">
        <f t="shared" si="1"/>
        <v>759.10858534605006</v>
      </c>
      <c r="J5" s="9">
        <f t="shared" si="2"/>
        <v>3130.0518349512504</v>
      </c>
      <c r="K5" s="9">
        <f t="shared" si="3"/>
        <v>759.10858534605006</v>
      </c>
      <c r="L5" s="10">
        <f t="shared" si="0"/>
        <v>0.24252268824099935</v>
      </c>
      <c r="M5" s="10">
        <f t="shared" si="4"/>
        <v>0.24253652130338055</v>
      </c>
      <c r="N5" s="8">
        <f>RSQ(V64:V83,U64:U83)</f>
        <v>0.14109443655717388</v>
      </c>
      <c r="P5" s="8">
        <f t="shared" si="5"/>
        <v>62.500274347538024</v>
      </c>
    </row>
    <row r="6" spans="1:16" x14ac:dyDescent="0.2">
      <c r="A6" s="8">
        <v>2</v>
      </c>
      <c r="B6" s="8">
        <v>4</v>
      </c>
      <c r="D6">
        <v>5891.1560846560997</v>
      </c>
      <c r="E6">
        <v>1339.6208112874999</v>
      </c>
      <c r="F6">
        <v>115.94986807388</v>
      </c>
      <c r="G6">
        <v>106.65963060686001</v>
      </c>
      <c r="I6" s="9">
        <f t="shared" si="1"/>
        <v>1232.9611806806399</v>
      </c>
      <c r="J6" s="9">
        <f t="shared" si="2"/>
        <v>5775.2062165822199</v>
      </c>
      <c r="K6" s="9">
        <f t="shared" si="3"/>
        <v>1232.9611806806399</v>
      </c>
      <c r="L6" s="10">
        <f t="shared" si="0"/>
        <v>0.21349214806225728</v>
      </c>
      <c r="M6" s="10">
        <f t="shared" si="4"/>
        <v>0.21351059214543222</v>
      </c>
      <c r="P6" s="8">
        <f t="shared" si="5"/>
        <v>43.052805463217616</v>
      </c>
    </row>
    <row r="7" spans="1:16" x14ac:dyDescent="0.2">
      <c r="A7" s="8">
        <v>2.5</v>
      </c>
      <c r="B7" s="8">
        <v>5</v>
      </c>
      <c r="D7">
        <v>5891.9266784452002</v>
      </c>
      <c r="E7">
        <v>1309.5017667845</v>
      </c>
      <c r="F7">
        <v>116.06860158311</v>
      </c>
      <c r="G7">
        <v>106.74670184697</v>
      </c>
      <c r="I7" s="9">
        <f t="shared" si="1"/>
        <v>1202.7550649375301</v>
      </c>
      <c r="J7" s="9">
        <f t="shared" si="2"/>
        <v>5775.8580768620905</v>
      </c>
      <c r="K7" s="9">
        <f t="shared" si="3"/>
        <v>1202.7550649375301</v>
      </c>
      <c r="L7" s="10">
        <f t="shared" si="0"/>
        <v>0.20823833427551308</v>
      </c>
      <c r="M7" s="10">
        <f t="shared" si="4"/>
        <v>0.20826138937948177</v>
      </c>
      <c r="P7" s="8">
        <f t="shared" si="5"/>
        <v>39.535822185858656</v>
      </c>
    </row>
    <row r="8" spans="1:16" x14ac:dyDescent="0.2">
      <c r="A8" s="8">
        <v>3</v>
      </c>
      <c r="B8" s="8">
        <v>6</v>
      </c>
      <c r="D8">
        <v>5061.871024735</v>
      </c>
      <c r="E8">
        <v>1160.2058303887</v>
      </c>
      <c r="F8">
        <v>115.90941072999</v>
      </c>
      <c r="G8">
        <v>106.83113456464</v>
      </c>
      <c r="I8" s="9">
        <f t="shared" si="1"/>
        <v>1053.3746958240599</v>
      </c>
      <c r="J8" s="9">
        <f t="shared" si="2"/>
        <v>4945.9616140050102</v>
      </c>
      <c r="K8" s="9">
        <f t="shared" si="3"/>
        <v>1053.3746958240599</v>
      </c>
      <c r="L8" s="10">
        <f t="shared" si="0"/>
        <v>0.21297672283612529</v>
      </c>
      <c r="M8" s="10">
        <f t="shared" si="4"/>
        <v>0.21300438896088772</v>
      </c>
      <c r="P8" s="8">
        <f t="shared" si="5"/>
        <v>42.713647649284987</v>
      </c>
    </row>
    <row r="9" spans="1:16" x14ac:dyDescent="0.2">
      <c r="A9" s="8">
        <v>3.5</v>
      </c>
      <c r="B9" s="8">
        <v>7</v>
      </c>
      <c r="D9">
        <v>5025.5653710246997</v>
      </c>
      <c r="E9">
        <v>1136.906360424</v>
      </c>
      <c r="F9">
        <v>116.17678100264</v>
      </c>
      <c r="G9">
        <v>106.85664028143999</v>
      </c>
      <c r="I9" s="9">
        <f t="shared" si="1"/>
        <v>1030.0497201425601</v>
      </c>
      <c r="J9" s="9">
        <f t="shared" si="2"/>
        <v>4909.3885900220594</v>
      </c>
      <c r="K9" s="9">
        <f t="shared" si="3"/>
        <v>1030.0497201425601</v>
      </c>
      <c r="L9" s="10">
        <f t="shared" si="0"/>
        <v>0.20981222025000301</v>
      </c>
      <c r="M9" s="10">
        <f t="shared" si="4"/>
        <v>0.20984449739555919</v>
      </c>
      <c r="P9" s="8">
        <f t="shared" si="5"/>
        <v>40.596509811589769</v>
      </c>
    </row>
    <row r="10" spans="1:16" x14ac:dyDescent="0.2">
      <c r="A10" s="8">
        <v>4</v>
      </c>
      <c r="B10" s="8">
        <v>8</v>
      </c>
      <c r="D10">
        <v>5359.7296819787998</v>
      </c>
      <c r="E10">
        <v>1180.7659010601001</v>
      </c>
      <c r="F10">
        <v>116.49604221636</v>
      </c>
      <c r="G10">
        <v>107.07475813544001</v>
      </c>
      <c r="I10" s="9">
        <f t="shared" si="1"/>
        <v>1073.69114292466</v>
      </c>
      <c r="J10" s="9">
        <f t="shared" si="2"/>
        <v>5243.2336397624395</v>
      </c>
      <c r="K10" s="9">
        <f t="shared" si="3"/>
        <v>1073.69114292466</v>
      </c>
      <c r="L10" s="10">
        <f t="shared" si="0"/>
        <v>0.20477652088250387</v>
      </c>
      <c r="M10" s="10">
        <f t="shared" si="4"/>
        <v>0.20481340904885378</v>
      </c>
      <c r="P10" s="8">
        <f t="shared" si="5"/>
        <v>37.225663919132693</v>
      </c>
    </row>
    <row r="11" spans="1:16" x14ac:dyDescent="0.2">
      <c r="A11" s="8">
        <v>4.5</v>
      </c>
      <c r="B11" s="8">
        <v>9</v>
      </c>
      <c r="D11">
        <v>4604.0088339223003</v>
      </c>
      <c r="E11">
        <v>1047.4416961131001</v>
      </c>
      <c r="F11">
        <v>116.48284960421999</v>
      </c>
      <c r="G11">
        <v>106.44063324538</v>
      </c>
      <c r="I11" s="9">
        <f t="shared" si="1"/>
        <v>941.00106286772007</v>
      </c>
      <c r="J11" s="9">
        <f t="shared" si="2"/>
        <v>4487.5259843180802</v>
      </c>
      <c r="K11" s="9">
        <f t="shared" si="3"/>
        <v>941.00106286772007</v>
      </c>
      <c r="L11" s="10">
        <f t="shared" si="0"/>
        <v>0.20969261596614769</v>
      </c>
      <c r="M11" s="10">
        <f t="shared" si="4"/>
        <v>0.20973411515329132</v>
      </c>
      <c r="P11" s="8">
        <f t="shared" si="5"/>
        <v>40.52255334286815</v>
      </c>
    </row>
    <row r="12" spans="1:16" x14ac:dyDescent="0.2">
      <c r="A12" s="8">
        <v>5</v>
      </c>
      <c r="B12" s="8">
        <v>10</v>
      </c>
      <c r="D12">
        <v>5381.2137809186997</v>
      </c>
      <c r="E12">
        <v>1167.9328621908001</v>
      </c>
      <c r="F12">
        <v>116.37291116975</v>
      </c>
      <c r="G12">
        <v>106.74230430959</v>
      </c>
      <c r="I12" s="9">
        <f t="shared" si="1"/>
        <v>1061.19055788121</v>
      </c>
      <c r="J12" s="9">
        <f t="shared" si="2"/>
        <v>5264.8408697489494</v>
      </c>
      <c r="K12" s="9">
        <f t="shared" si="3"/>
        <v>1061.19055788121</v>
      </c>
      <c r="L12" s="10">
        <f t="shared" si="0"/>
        <v>0.2015617535524511</v>
      </c>
      <c r="M12" s="10">
        <f t="shared" si="4"/>
        <v>0.20160786376038847</v>
      </c>
      <c r="P12" s="8">
        <f t="shared" si="5"/>
        <v>35.077937935393145</v>
      </c>
    </row>
    <row r="13" spans="1:16" x14ac:dyDescent="0.2">
      <c r="A13" s="8">
        <v>5.5</v>
      </c>
      <c r="B13" s="8">
        <v>11</v>
      </c>
      <c r="D13">
        <v>6456.1669611306997</v>
      </c>
      <c r="E13">
        <v>1291.9584805653999</v>
      </c>
      <c r="F13">
        <v>116.6218117854</v>
      </c>
      <c r="G13">
        <v>107.0545294635</v>
      </c>
      <c r="I13" s="9">
        <f t="shared" si="1"/>
        <v>1184.9039511018998</v>
      </c>
      <c r="J13" s="9">
        <f t="shared" si="2"/>
        <v>6339.5451493453002</v>
      </c>
      <c r="K13" s="9">
        <f t="shared" si="3"/>
        <v>1184.9039511018998</v>
      </c>
      <c r="L13" s="10">
        <f t="shared" si="0"/>
        <v>0.18690677693560834</v>
      </c>
      <c r="M13" s="10">
        <f t="shared" si="4"/>
        <v>0.18695749816433946</v>
      </c>
      <c r="P13" s="8">
        <f t="shared" si="5"/>
        <v>25.262144355704681</v>
      </c>
    </row>
    <row r="14" spans="1:16" x14ac:dyDescent="0.2">
      <c r="A14" s="8">
        <v>6</v>
      </c>
      <c r="B14" s="8">
        <v>12</v>
      </c>
      <c r="D14">
        <v>7144.1996466431001</v>
      </c>
      <c r="E14">
        <v>1328.5450530035</v>
      </c>
      <c r="F14">
        <v>116.0800351803</v>
      </c>
      <c r="G14">
        <v>106.68161829376</v>
      </c>
      <c r="I14" s="9">
        <f t="shared" si="1"/>
        <v>1221.86343470974</v>
      </c>
      <c r="J14" s="9">
        <f t="shared" si="2"/>
        <v>7028.1196114628001</v>
      </c>
      <c r="K14" s="9">
        <f t="shared" si="3"/>
        <v>1221.86343470974</v>
      </c>
      <c r="L14" s="10">
        <f t="shared" si="0"/>
        <v>0.17385353441009907</v>
      </c>
      <c r="M14" s="10">
        <f t="shared" si="4"/>
        <v>0.17390886665962393</v>
      </c>
      <c r="P14" s="8">
        <f t="shared" si="5"/>
        <v>16.519517933996184</v>
      </c>
    </row>
    <row r="15" spans="1:16" x14ac:dyDescent="0.2">
      <c r="A15" s="8">
        <v>6.5</v>
      </c>
      <c r="B15" s="8">
        <v>13</v>
      </c>
      <c r="D15">
        <v>6502.8445229682002</v>
      </c>
      <c r="E15">
        <v>1231.613074205</v>
      </c>
      <c r="F15">
        <v>116.63852242743999</v>
      </c>
      <c r="G15">
        <v>106.95690413369</v>
      </c>
      <c r="I15" s="9">
        <f t="shared" si="1"/>
        <v>1124.65617007131</v>
      </c>
      <c r="J15" s="9">
        <f t="shared" si="2"/>
        <v>6386.2060005407602</v>
      </c>
      <c r="K15" s="9">
        <f t="shared" si="3"/>
        <v>1124.65617007131</v>
      </c>
      <c r="L15" s="10">
        <f t="shared" si="0"/>
        <v>0.17610709237629954</v>
      </c>
      <c r="M15" s="10">
        <f t="shared" si="4"/>
        <v>0.17616703564661815</v>
      </c>
      <c r="P15" s="8">
        <f t="shared" si="5"/>
        <v>18.032498651034885</v>
      </c>
    </row>
    <row r="16" spans="1:16" x14ac:dyDescent="0.2">
      <c r="A16" s="8">
        <v>7</v>
      </c>
      <c r="B16" s="8">
        <v>14</v>
      </c>
      <c r="D16">
        <v>6113.4469964664004</v>
      </c>
      <c r="E16">
        <v>1181.3692579505</v>
      </c>
      <c r="F16">
        <v>116.44942832014</v>
      </c>
      <c r="G16">
        <v>106.59542656113</v>
      </c>
      <c r="I16" s="9">
        <f t="shared" si="1"/>
        <v>1074.7738313893701</v>
      </c>
      <c r="J16" s="9">
        <f t="shared" si="2"/>
        <v>5996.9975681462602</v>
      </c>
      <c r="K16" s="9">
        <f t="shared" si="3"/>
        <v>1074.7738313893701</v>
      </c>
      <c r="L16" s="10">
        <f t="shared" si="0"/>
        <v>0.179218653864086</v>
      </c>
      <c r="M16" s="10">
        <f t="shared" si="4"/>
        <v>0.17928320815519833</v>
      </c>
      <c r="P16" s="8">
        <f t="shared" si="5"/>
        <v>20.120344575587925</v>
      </c>
    </row>
    <row r="17" spans="1:16" x14ac:dyDescent="0.2">
      <c r="A17" s="8">
        <v>7.5</v>
      </c>
      <c r="B17" s="8">
        <v>15</v>
      </c>
      <c r="D17">
        <v>6353.7570671377998</v>
      </c>
      <c r="E17">
        <v>1129.4514134276001</v>
      </c>
      <c r="F17">
        <v>116.55584872471</v>
      </c>
      <c r="G17">
        <v>107.04485488127</v>
      </c>
      <c r="I17" s="9">
        <f t="shared" si="1"/>
        <v>1022.4065585463301</v>
      </c>
      <c r="J17" s="9">
        <f t="shared" si="2"/>
        <v>6237.2012184130899</v>
      </c>
      <c r="K17" s="9">
        <f t="shared" si="3"/>
        <v>1022.4065585463301</v>
      </c>
      <c r="L17" s="10">
        <f t="shared" si="0"/>
        <v>0.16392072706072766</v>
      </c>
      <c r="M17" s="10">
        <f t="shared" si="4"/>
        <v>0.16398989237263373</v>
      </c>
      <c r="P17" s="8">
        <f t="shared" si="5"/>
        <v>9.8737722367290317</v>
      </c>
    </row>
    <row r="18" spans="1:16" x14ac:dyDescent="0.2">
      <c r="A18" s="8">
        <v>8</v>
      </c>
      <c r="B18" s="8">
        <v>16</v>
      </c>
      <c r="D18">
        <v>6184.9673144875997</v>
      </c>
      <c r="E18">
        <v>1107.5892226148001</v>
      </c>
      <c r="F18">
        <v>116.27440633245</v>
      </c>
      <c r="G18">
        <v>106.46965699208</v>
      </c>
      <c r="I18" s="9">
        <f t="shared" si="1"/>
        <v>1001.1195656227201</v>
      </c>
      <c r="J18" s="9">
        <f t="shared" si="2"/>
        <v>6068.6929081551498</v>
      </c>
      <c r="K18" s="9">
        <f t="shared" si="3"/>
        <v>1001.1195656227201</v>
      </c>
      <c r="L18" s="10">
        <f t="shared" si="0"/>
        <v>0.16496461112365876</v>
      </c>
      <c r="M18" s="10">
        <f t="shared" si="4"/>
        <v>0.16503838745635857</v>
      </c>
      <c r="P18" s="8">
        <f t="shared" si="5"/>
        <v>10.576267423192965</v>
      </c>
    </row>
    <row r="19" spans="1:16" x14ac:dyDescent="0.2">
      <c r="A19" s="8">
        <v>8.5</v>
      </c>
      <c r="B19" s="8">
        <v>17</v>
      </c>
      <c r="D19">
        <v>6276.574204947</v>
      </c>
      <c r="E19">
        <v>1108.703180212</v>
      </c>
      <c r="F19">
        <v>115.84168865434999</v>
      </c>
      <c r="G19">
        <v>106.86367634125</v>
      </c>
      <c r="I19" s="9">
        <f t="shared" si="1"/>
        <v>1001.83950387075</v>
      </c>
      <c r="J19" s="9">
        <f t="shared" si="2"/>
        <v>6160.73251629265</v>
      </c>
      <c r="K19" s="9">
        <f t="shared" si="3"/>
        <v>1001.83950387075</v>
      </c>
      <c r="L19" s="10">
        <f t="shared" si="0"/>
        <v>0.16261694550466022</v>
      </c>
      <c r="M19" s="10">
        <f t="shared" si="4"/>
        <v>0.16269533285815377</v>
      </c>
      <c r="P19" s="8">
        <f t="shared" si="5"/>
        <v>9.0064130648743781</v>
      </c>
    </row>
    <row r="20" spans="1:16" x14ac:dyDescent="0.2">
      <c r="A20" s="8">
        <v>9</v>
      </c>
      <c r="B20" s="8">
        <v>18</v>
      </c>
      <c r="D20">
        <v>6197.8021201413003</v>
      </c>
      <c r="E20">
        <v>1059.8825088338999</v>
      </c>
      <c r="F20">
        <v>116.50571679859</v>
      </c>
      <c r="G20">
        <v>106.60334212841001</v>
      </c>
      <c r="I20" s="9">
        <f t="shared" si="1"/>
        <v>953.27916670548996</v>
      </c>
      <c r="J20" s="9">
        <f t="shared" si="2"/>
        <v>6081.2964033427106</v>
      </c>
      <c r="K20" s="9">
        <f t="shared" si="3"/>
        <v>953.27916670548996</v>
      </c>
      <c r="L20" s="10">
        <f t="shared" si="0"/>
        <v>0.15675591246983131</v>
      </c>
      <c r="M20" s="10">
        <f t="shared" si="4"/>
        <v>0.15683891084411861</v>
      </c>
      <c r="P20" s="8">
        <f t="shared" si="5"/>
        <v>5.0825908756987364</v>
      </c>
    </row>
    <row r="21" spans="1:16" x14ac:dyDescent="0.2">
      <c r="A21" s="8">
        <v>9.5</v>
      </c>
      <c r="B21" s="8">
        <v>19</v>
      </c>
      <c r="D21">
        <v>6110.4480000000003</v>
      </c>
      <c r="E21">
        <v>1034.1671111111</v>
      </c>
      <c r="F21">
        <v>116.41512752858</v>
      </c>
      <c r="G21">
        <v>106.24802110818</v>
      </c>
      <c r="I21" s="9">
        <f t="shared" si="1"/>
        <v>927.91909000292003</v>
      </c>
      <c r="J21" s="9">
        <f t="shared" si="2"/>
        <v>5994.03287247142</v>
      </c>
      <c r="K21" s="9">
        <f t="shared" si="3"/>
        <v>927.91909000292003</v>
      </c>
      <c r="L21" s="10">
        <f t="shared" si="0"/>
        <v>0.15480714065892778</v>
      </c>
      <c r="M21" s="10">
        <f t="shared" si="4"/>
        <v>0.15489475005400882</v>
      </c>
      <c r="P21" s="8">
        <f t="shared" si="5"/>
        <v>3.7799966928895241</v>
      </c>
    </row>
    <row r="22" spans="1:16" x14ac:dyDescent="0.2">
      <c r="A22" s="8">
        <v>10</v>
      </c>
      <c r="B22" s="8">
        <v>20</v>
      </c>
      <c r="D22">
        <v>6252.5301418440004</v>
      </c>
      <c r="E22">
        <v>1074.9893617021</v>
      </c>
      <c r="F22">
        <v>116.36499560246</v>
      </c>
      <c r="G22">
        <v>106.43711521548001</v>
      </c>
      <c r="I22" s="9">
        <f t="shared" si="1"/>
        <v>968.55224648661999</v>
      </c>
      <c r="J22" s="9">
        <f t="shared" si="2"/>
        <v>6136.1651462415402</v>
      </c>
      <c r="K22" s="9">
        <f t="shared" si="3"/>
        <v>968.55224648661999</v>
      </c>
      <c r="L22" s="10">
        <f t="shared" si="0"/>
        <v>0.157843249554629</v>
      </c>
      <c r="M22" s="10">
        <f t="shared" si="4"/>
        <v>0.15793546997050376</v>
      </c>
      <c r="P22" s="8">
        <f t="shared" si="5"/>
        <v>5.817289130288569</v>
      </c>
    </row>
    <row r="23" spans="1:16" x14ac:dyDescent="0.2">
      <c r="A23" s="8">
        <v>10.5</v>
      </c>
      <c r="B23" s="8">
        <v>21</v>
      </c>
      <c r="D23">
        <v>6077.3671668138004</v>
      </c>
      <c r="E23">
        <v>1080.6081200353001</v>
      </c>
      <c r="F23">
        <v>116.16534740545001</v>
      </c>
      <c r="G23">
        <v>106.58047493404</v>
      </c>
      <c r="I23" s="9">
        <f t="shared" si="1"/>
        <v>974.02764510126008</v>
      </c>
      <c r="J23" s="9">
        <f t="shared" si="2"/>
        <v>5961.2018194083503</v>
      </c>
      <c r="K23" s="9">
        <f t="shared" si="3"/>
        <v>974.02764510126008</v>
      </c>
      <c r="L23" s="10">
        <f t="shared" si="0"/>
        <v>0.16339450912902198</v>
      </c>
      <c r="M23" s="10">
        <f t="shared" si="4"/>
        <v>0.16349134056569048</v>
      </c>
      <c r="P23" s="8">
        <f t="shared" si="5"/>
        <v>9.5397408711871794</v>
      </c>
    </row>
    <row r="24" spans="1:16" x14ac:dyDescent="0.2">
      <c r="A24" s="8">
        <v>11</v>
      </c>
      <c r="B24" s="8">
        <v>22</v>
      </c>
      <c r="D24">
        <v>5893.0476610768001</v>
      </c>
      <c r="E24">
        <v>1045.9867608120001</v>
      </c>
      <c r="F24">
        <v>116.80474934036999</v>
      </c>
      <c r="G24">
        <v>106.5347405453</v>
      </c>
      <c r="I24" s="9">
        <f t="shared" si="1"/>
        <v>939.45202026670006</v>
      </c>
      <c r="J24" s="9">
        <f t="shared" si="2"/>
        <v>5776.24291173643</v>
      </c>
      <c r="K24" s="9">
        <f t="shared" si="3"/>
        <v>939.45202026670006</v>
      </c>
      <c r="L24" s="10">
        <f t="shared" si="0"/>
        <v>0.16264067052268166</v>
      </c>
      <c r="M24" s="10">
        <f t="shared" si="4"/>
        <v>0.1627421129801439</v>
      </c>
      <c r="P24" s="8">
        <f t="shared" si="5"/>
        <v>9.0377559018894242</v>
      </c>
    </row>
    <row r="25" spans="1:16" x14ac:dyDescent="0.2">
      <c r="A25" s="8">
        <v>11.5</v>
      </c>
      <c r="B25" s="8">
        <v>23</v>
      </c>
      <c r="D25">
        <v>5771.8870255958</v>
      </c>
      <c r="E25">
        <v>1006.1350397176</v>
      </c>
      <c r="F25">
        <v>116.84256816183</v>
      </c>
      <c r="G25">
        <v>106.50835532102001</v>
      </c>
      <c r="I25" s="9">
        <f t="shared" si="1"/>
        <v>899.62668439658</v>
      </c>
      <c r="J25" s="9">
        <f t="shared" si="2"/>
        <v>5655.0444574339699</v>
      </c>
      <c r="K25" s="9">
        <f t="shared" si="3"/>
        <v>899.62668439658</v>
      </c>
      <c r="L25" s="10">
        <f t="shared" si="0"/>
        <v>0.15908392783967504</v>
      </c>
      <c r="M25" s="10">
        <f t="shared" si="4"/>
        <v>0.15918998131793102</v>
      </c>
      <c r="P25" s="8">
        <f t="shared" si="5"/>
        <v>6.6578158972822754</v>
      </c>
    </row>
    <row r="26" spans="1:16" x14ac:dyDescent="0.2">
      <c r="A26" s="8">
        <v>12</v>
      </c>
      <c r="B26" s="8">
        <v>24</v>
      </c>
      <c r="D26">
        <v>6505.6804942629997</v>
      </c>
      <c r="E26">
        <v>1138.4960282436</v>
      </c>
      <c r="F26">
        <v>116.70360598065</v>
      </c>
      <c r="G26">
        <v>106.51011433597</v>
      </c>
      <c r="I26" s="9">
        <f t="shared" si="1"/>
        <v>1031.98591390763</v>
      </c>
      <c r="J26" s="9">
        <f t="shared" si="2"/>
        <v>6388.97688828235</v>
      </c>
      <c r="K26" s="9">
        <f t="shared" si="3"/>
        <v>1031.98591390763</v>
      </c>
      <c r="L26" s="10">
        <f t="shared" si="0"/>
        <v>0.1615260051731186</v>
      </c>
      <c r="M26" s="10">
        <f t="shared" si="4"/>
        <v>0.16163666967216833</v>
      </c>
      <c r="P26" s="8">
        <f t="shared" si="5"/>
        <v>8.2971052161439083</v>
      </c>
    </row>
    <row r="27" spans="1:16" x14ac:dyDescent="0.2">
      <c r="A27" s="8">
        <v>12.5</v>
      </c>
      <c r="B27" s="8">
        <v>25</v>
      </c>
      <c r="D27">
        <v>6344.2925531914998</v>
      </c>
      <c r="E27">
        <v>1106.6666666666999</v>
      </c>
      <c r="F27">
        <v>116.80386983289</v>
      </c>
      <c r="G27">
        <v>106.53737906772</v>
      </c>
      <c r="I27" s="9">
        <f t="shared" si="1"/>
        <v>1000.12928759898</v>
      </c>
      <c r="J27" s="9">
        <f t="shared" si="2"/>
        <v>6227.4886833586097</v>
      </c>
      <c r="K27" s="9">
        <f t="shared" si="3"/>
        <v>1000.12928759898</v>
      </c>
      <c r="L27" s="10">
        <f t="shared" si="0"/>
        <v>0.16059913368796203</v>
      </c>
      <c r="M27" s="10">
        <f t="shared" si="4"/>
        <v>0.16071440920780547</v>
      </c>
      <c r="P27" s="8">
        <f t="shared" si="5"/>
        <v>7.6791876436749424</v>
      </c>
    </row>
    <row r="28" spans="1:16" x14ac:dyDescent="0.2">
      <c r="A28" s="8">
        <v>13</v>
      </c>
      <c r="B28" s="8">
        <v>26</v>
      </c>
      <c r="D28">
        <v>6600.3510167992999</v>
      </c>
      <c r="E28">
        <v>1137.4164456233</v>
      </c>
      <c r="F28">
        <v>116.26033421283999</v>
      </c>
      <c r="G28">
        <v>106.81178540018</v>
      </c>
      <c r="I28" s="9">
        <f t="shared" si="1"/>
        <v>1030.6046602231199</v>
      </c>
      <c r="J28" s="9">
        <f t="shared" si="2"/>
        <v>6484.0906825864604</v>
      </c>
      <c r="K28" s="9">
        <f t="shared" si="3"/>
        <v>1030.6046602231199</v>
      </c>
      <c r="L28" s="10">
        <f t="shared" si="0"/>
        <v>0.15894359142614869</v>
      </c>
      <c r="M28" s="10">
        <f t="shared" si="4"/>
        <v>0.15906347796678588</v>
      </c>
      <c r="P28" s="8">
        <f t="shared" si="5"/>
        <v>6.5730582321005659</v>
      </c>
    </row>
    <row r="29" spans="1:16" x14ac:dyDescent="0.2">
      <c r="A29" s="8">
        <v>13.5</v>
      </c>
      <c r="B29" s="8">
        <v>27</v>
      </c>
      <c r="D29">
        <v>6489.1503094606996</v>
      </c>
      <c r="E29">
        <v>1145.9239610964</v>
      </c>
      <c r="F29">
        <v>116.55233069481</v>
      </c>
      <c r="G29">
        <v>106.40193491645</v>
      </c>
      <c r="I29" s="9">
        <f t="shared" si="1"/>
        <v>1039.52202617995</v>
      </c>
      <c r="J29" s="9">
        <f t="shared" si="2"/>
        <v>6372.5979787658898</v>
      </c>
      <c r="K29" s="9">
        <f t="shared" si="3"/>
        <v>1039.52202617995</v>
      </c>
      <c r="L29" s="10">
        <f t="shared" si="0"/>
        <v>0.16312374162684318</v>
      </c>
      <c r="M29" s="10">
        <f t="shared" si="4"/>
        <v>0.16324823918827411</v>
      </c>
      <c r="P29" s="8">
        <f t="shared" si="5"/>
        <v>9.3768621413689583</v>
      </c>
    </row>
    <row r="30" spans="1:16" x14ac:dyDescent="0.2">
      <c r="A30" s="8">
        <v>14</v>
      </c>
      <c r="B30" s="8">
        <v>28</v>
      </c>
      <c r="D30">
        <v>6184.3678160919999</v>
      </c>
      <c r="E30">
        <v>1075.3536693192</v>
      </c>
      <c r="F30">
        <v>116.36499560246</v>
      </c>
      <c r="G30">
        <v>106.41072999121</v>
      </c>
      <c r="I30" s="9">
        <f t="shared" si="1"/>
        <v>968.94293932798996</v>
      </c>
      <c r="J30" s="9">
        <f t="shared" si="2"/>
        <v>6068.0028204895398</v>
      </c>
      <c r="K30" s="9">
        <f t="shared" si="3"/>
        <v>968.94293932798996</v>
      </c>
      <c r="L30" s="10">
        <f t="shared" si="0"/>
        <v>0.15968070022251898</v>
      </c>
      <c r="M30" s="10">
        <f t="shared" si="4"/>
        <v>0.15980980880474366</v>
      </c>
      <c r="P30" s="8">
        <f t="shared" si="5"/>
        <v>7.0731023708983791</v>
      </c>
    </row>
    <row r="31" spans="1:16" x14ac:dyDescent="0.2">
      <c r="A31" s="8">
        <v>14.5</v>
      </c>
      <c r="B31" s="8">
        <v>29</v>
      </c>
      <c r="D31">
        <v>6218.8770999116005</v>
      </c>
      <c r="E31">
        <v>1069.8735632184</v>
      </c>
      <c r="F31">
        <v>116.84080914688001</v>
      </c>
      <c r="G31">
        <v>106.94107299912</v>
      </c>
      <c r="I31" s="9">
        <f t="shared" si="1"/>
        <v>962.93249021928</v>
      </c>
      <c r="J31" s="9">
        <f t="shared" si="2"/>
        <v>6102.0362907647204</v>
      </c>
      <c r="K31" s="9">
        <f t="shared" si="3"/>
        <v>962.93249021928</v>
      </c>
      <c r="L31" s="10">
        <f t="shared" si="0"/>
        <v>0.15780510707165971</v>
      </c>
      <c r="M31" s="10">
        <f t="shared" si="4"/>
        <v>0.15793882667467812</v>
      </c>
      <c r="P31" s="8">
        <f t="shared" si="5"/>
        <v>5.8195381332276188</v>
      </c>
    </row>
    <row r="32" spans="1:16" x14ac:dyDescent="0.2">
      <c r="A32" s="8">
        <v>15</v>
      </c>
      <c r="B32" s="8">
        <v>30</v>
      </c>
      <c r="D32">
        <v>5705.3545534924997</v>
      </c>
      <c r="E32">
        <v>987.54288240494998</v>
      </c>
      <c r="F32">
        <v>116.04221635883999</v>
      </c>
      <c r="G32">
        <v>106.51539138083</v>
      </c>
      <c r="I32" s="9">
        <f t="shared" si="1"/>
        <v>881.02749102411997</v>
      </c>
      <c r="J32" s="9">
        <f t="shared" si="2"/>
        <v>5589.3123371336596</v>
      </c>
      <c r="K32" s="9">
        <f t="shared" si="3"/>
        <v>881.02749102411997</v>
      </c>
      <c r="L32" s="10">
        <f t="shared" si="0"/>
        <v>0.15762717090810013</v>
      </c>
      <c r="M32" s="10">
        <f t="shared" si="4"/>
        <v>0.15776550153191229</v>
      </c>
      <c r="P32" s="8">
        <f t="shared" si="5"/>
        <v>5.7034097122400746</v>
      </c>
    </row>
    <row r="33" spans="1:16" x14ac:dyDescent="0.2">
      <c r="A33" s="8">
        <v>15.5</v>
      </c>
      <c r="B33" s="8">
        <v>31</v>
      </c>
      <c r="D33">
        <v>5594.3207381371003</v>
      </c>
      <c r="E33">
        <v>975.48154657294003</v>
      </c>
      <c r="F33">
        <v>116.12576956904</v>
      </c>
      <c r="G33">
        <v>106.63940193492</v>
      </c>
      <c r="I33" s="9">
        <f t="shared" si="1"/>
        <v>868.84214463802005</v>
      </c>
      <c r="J33" s="9">
        <f t="shared" si="2"/>
        <v>5478.1949685680602</v>
      </c>
      <c r="K33" s="9">
        <f t="shared" si="3"/>
        <v>868.84214463802005</v>
      </c>
      <c r="L33" s="10">
        <f t="shared" si="0"/>
        <v>0.15860007714641924</v>
      </c>
      <c r="M33" s="10">
        <f t="shared" si="4"/>
        <v>0.15874301879102512</v>
      </c>
      <c r="P33" s="8">
        <f t="shared" si="5"/>
        <v>6.3583495206105916</v>
      </c>
    </row>
    <row r="34" spans="1:16" x14ac:dyDescent="0.2">
      <c r="A34" s="8">
        <v>16</v>
      </c>
      <c r="B34" s="8">
        <v>32</v>
      </c>
      <c r="D34">
        <v>5803.6827768014</v>
      </c>
      <c r="E34">
        <v>1006.4182776801</v>
      </c>
      <c r="F34">
        <v>116.35356200528</v>
      </c>
      <c r="G34">
        <v>106.52418645559</v>
      </c>
      <c r="I34" s="9">
        <f t="shared" si="1"/>
        <v>899.89409122451002</v>
      </c>
      <c r="J34" s="9">
        <f t="shared" si="2"/>
        <v>5687.3292147961201</v>
      </c>
      <c r="K34" s="9">
        <f t="shared" si="3"/>
        <v>899.89409122451002</v>
      </c>
      <c r="L34" s="10">
        <f t="shared" si="0"/>
        <v>0.15822788821215961</v>
      </c>
      <c r="M34" s="10">
        <f t="shared" si="4"/>
        <v>0.15837544087755923</v>
      </c>
      <c r="P34" s="8">
        <f t="shared" si="5"/>
        <v>6.1120710984525219</v>
      </c>
    </row>
    <row r="35" spans="1:16" x14ac:dyDescent="0.2">
      <c r="A35" s="8">
        <v>16.5</v>
      </c>
      <c r="B35" s="8">
        <v>33</v>
      </c>
      <c r="D35">
        <v>5967.934973638</v>
      </c>
      <c r="E35">
        <v>1027.6142355008999</v>
      </c>
      <c r="F35">
        <v>116.50307827617</v>
      </c>
      <c r="G35">
        <v>106.62269129288001</v>
      </c>
      <c r="I35" s="9">
        <f t="shared" si="1"/>
        <v>920.99154420801983</v>
      </c>
      <c r="J35" s="9">
        <f t="shared" si="2"/>
        <v>5851.4318953618304</v>
      </c>
      <c r="K35" s="9">
        <f t="shared" si="3"/>
        <v>920.99154420801983</v>
      </c>
      <c r="L35" s="10">
        <f t="shared" si="0"/>
        <v>0.15739592644631972</v>
      </c>
      <c r="M35" s="10">
        <f t="shared" si="4"/>
        <v>0.15754809013251309</v>
      </c>
      <c r="P35" s="8">
        <f t="shared" si="5"/>
        <v>5.5577433529685107</v>
      </c>
    </row>
    <row r="36" spans="1:16" x14ac:dyDescent="0.2">
      <c r="A36" s="8">
        <v>17</v>
      </c>
      <c r="B36" s="8">
        <v>34</v>
      </c>
      <c r="D36">
        <v>5903.6968365554003</v>
      </c>
      <c r="E36">
        <v>1018.9007029877</v>
      </c>
      <c r="F36">
        <v>116.26385224274</v>
      </c>
      <c r="G36">
        <v>106.55496921724</v>
      </c>
      <c r="I36" s="9">
        <f t="shared" si="1"/>
        <v>912.34573377046001</v>
      </c>
      <c r="J36" s="9">
        <f t="shared" si="2"/>
        <v>5787.4329843126607</v>
      </c>
      <c r="K36" s="9">
        <f t="shared" si="3"/>
        <v>912.34573377046001</v>
      </c>
      <c r="L36" s="10">
        <f t="shared" si="0"/>
        <v>0.15764255694078053</v>
      </c>
      <c r="M36" s="10">
        <f t="shared" si="4"/>
        <v>0.15779933164776763</v>
      </c>
      <c r="P36" s="8">
        <f t="shared" si="5"/>
        <v>5.726076002158635</v>
      </c>
    </row>
    <row r="37" spans="1:16" x14ac:dyDescent="0.2">
      <c r="A37" s="8">
        <v>17.5</v>
      </c>
      <c r="B37" s="8">
        <v>35</v>
      </c>
      <c r="D37">
        <v>5868.2311072056</v>
      </c>
      <c r="E37">
        <v>1006.4964850615</v>
      </c>
      <c r="F37">
        <v>116.60246262093</v>
      </c>
      <c r="G37">
        <v>106.5963060686</v>
      </c>
      <c r="I37" s="9">
        <f t="shared" si="1"/>
        <v>899.90017899290001</v>
      </c>
      <c r="J37" s="9">
        <f t="shared" si="2"/>
        <v>5751.6286445846699</v>
      </c>
      <c r="K37" s="9">
        <f t="shared" si="3"/>
        <v>899.90017899290001</v>
      </c>
      <c r="L37" s="10">
        <f t="shared" si="0"/>
        <v>0.15646006281024122</v>
      </c>
      <c r="M37" s="10">
        <f t="shared" si="4"/>
        <v>0.15662144853802207</v>
      </c>
      <c r="P37" s="8">
        <f t="shared" si="5"/>
        <v>4.9368904087709824</v>
      </c>
    </row>
    <row r="38" spans="1:16" x14ac:dyDescent="0.2">
      <c r="A38" s="8">
        <v>18</v>
      </c>
      <c r="B38" s="8">
        <v>36</v>
      </c>
      <c r="D38">
        <v>5899.8769771528996</v>
      </c>
      <c r="E38">
        <v>1009.6933216169</v>
      </c>
      <c r="F38">
        <v>116.33948988566</v>
      </c>
      <c r="G38">
        <v>106.58487247142</v>
      </c>
      <c r="I38" s="9">
        <f t="shared" si="1"/>
        <v>903.10844914547999</v>
      </c>
      <c r="J38" s="9">
        <f t="shared" si="2"/>
        <v>5783.5374872672392</v>
      </c>
      <c r="K38" s="9">
        <f t="shared" si="3"/>
        <v>903.10844914547999</v>
      </c>
      <c r="L38" s="10">
        <f t="shared" si="0"/>
        <v>0.15615156833230884</v>
      </c>
      <c r="M38" s="10">
        <f t="shared" si="4"/>
        <v>0.1563175650808834</v>
      </c>
      <c r="P38" s="8">
        <f t="shared" si="5"/>
        <v>4.7332874837791525</v>
      </c>
    </row>
    <row r="39" spans="1:16" x14ac:dyDescent="0.2">
      <c r="A39" s="8">
        <v>18.5</v>
      </c>
      <c r="B39" s="8">
        <v>37</v>
      </c>
      <c r="D39">
        <v>5817.4850615114001</v>
      </c>
      <c r="E39">
        <v>991.21704745167006</v>
      </c>
      <c r="F39">
        <v>116.32893579595</v>
      </c>
      <c r="G39">
        <v>106.35532102022999</v>
      </c>
      <c r="I39" s="9">
        <f t="shared" si="1"/>
        <v>884.86172643144005</v>
      </c>
      <c r="J39" s="9">
        <f t="shared" si="2"/>
        <v>5701.1561257154499</v>
      </c>
      <c r="K39" s="9">
        <f t="shared" si="3"/>
        <v>884.86172643144005</v>
      </c>
      <c r="L39" s="10">
        <f t="shared" si="0"/>
        <v>0.15520741879707722</v>
      </c>
      <c r="M39" s="10">
        <f t="shared" si="4"/>
        <v>0.15537802656644553</v>
      </c>
      <c r="P39" s="8">
        <f t="shared" si="5"/>
        <v>4.1037935604072739</v>
      </c>
    </row>
    <row r="40" spans="1:16" x14ac:dyDescent="0.2">
      <c r="A40" s="8">
        <v>19</v>
      </c>
      <c r="B40" s="8">
        <v>38</v>
      </c>
      <c r="D40">
        <v>6130.0878734622002</v>
      </c>
      <c r="E40">
        <v>1051.8980667838</v>
      </c>
      <c r="F40">
        <v>116.40633245383</v>
      </c>
      <c r="G40">
        <v>106.35356200528</v>
      </c>
      <c r="I40" s="9">
        <f t="shared" si="1"/>
        <v>945.54450477852004</v>
      </c>
      <c r="J40" s="9">
        <f t="shared" si="2"/>
        <v>6013.68154100837</v>
      </c>
      <c r="K40" s="9">
        <f t="shared" si="3"/>
        <v>945.54450477852004</v>
      </c>
      <c r="L40" s="10">
        <f t="shared" si="0"/>
        <v>0.15723222094995934</v>
      </c>
      <c r="M40" s="10">
        <f t="shared" si="4"/>
        <v>0.15740743974012139</v>
      </c>
      <c r="P40" s="8">
        <f t="shared" si="5"/>
        <v>5.4635071231920076</v>
      </c>
    </row>
    <row r="41" spans="1:16" x14ac:dyDescent="0.2">
      <c r="A41" s="8">
        <v>19.5</v>
      </c>
      <c r="B41" s="8">
        <v>39</v>
      </c>
      <c r="D41">
        <v>6118.3049209138999</v>
      </c>
      <c r="E41">
        <v>1048.7311072056</v>
      </c>
      <c r="F41">
        <v>116.14775725593999</v>
      </c>
      <c r="G41">
        <v>106.38786279683001</v>
      </c>
      <c r="I41" s="9">
        <f t="shared" si="1"/>
        <v>942.34324440877003</v>
      </c>
      <c r="J41" s="9">
        <f t="shared" si="2"/>
        <v>6002.1571636579602</v>
      </c>
      <c r="K41" s="9">
        <f t="shared" si="3"/>
        <v>942.34324440877003</v>
      </c>
      <c r="L41" s="10">
        <f t="shared" si="0"/>
        <v>0.15700076134535396</v>
      </c>
      <c r="M41" s="10">
        <f t="shared" si="4"/>
        <v>0.15718059115630975</v>
      </c>
      <c r="P41" s="8">
        <f t="shared" si="5"/>
        <v>5.3115178190383814</v>
      </c>
    </row>
    <row r="42" spans="1:16" x14ac:dyDescent="0.2">
      <c r="A42" s="8">
        <v>20</v>
      </c>
      <c r="B42" s="8">
        <v>40</v>
      </c>
      <c r="D42">
        <v>5380.5131810192997</v>
      </c>
      <c r="E42">
        <v>911.66783831282999</v>
      </c>
      <c r="F42">
        <v>116.98856640280999</v>
      </c>
      <c r="G42">
        <v>106.30870712401</v>
      </c>
      <c r="I42" s="9">
        <f t="shared" si="1"/>
        <v>805.35913118882002</v>
      </c>
      <c r="J42" s="9">
        <f t="shared" si="2"/>
        <v>5263.52461461649</v>
      </c>
      <c r="K42" s="9">
        <f t="shared" si="3"/>
        <v>805.35913118882002</v>
      </c>
      <c r="L42" s="10">
        <f t="shared" si="0"/>
        <v>0.15300757385125288</v>
      </c>
      <c r="M42" s="10">
        <f t="shared" si="4"/>
        <v>0.15319201468300242</v>
      </c>
      <c r="P42" s="8">
        <f t="shared" si="5"/>
        <v>2.6391583422656644</v>
      </c>
    </row>
    <row r="43" spans="1:16" x14ac:dyDescent="0.2">
      <c r="A43" s="8">
        <v>20.5</v>
      </c>
      <c r="B43" s="8">
        <v>41</v>
      </c>
      <c r="D43">
        <v>5404.5509666080998</v>
      </c>
      <c r="E43">
        <v>911.22056239016001</v>
      </c>
      <c r="F43">
        <v>116.79067722076</v>
      </c>
      <c r="G43">
        <v>106.45910290238</v>
      </c>
      <c r="I43" s="9">
        <f t="shared" si="1"/>
        <v>804.76145948778003</v>
      </c>
      <c r="J43" s="9">
        <f t="shared" si="2"/>
        <v>5287.76028938734</v>
      </c>
      <c r="K43" s="9">
        <f t="shared" si="3"/>
        <v>804.76145948778003</v>
      </c>
      <c r="L43" s="10">
        <f t="shared" si="0"/>
        <v>0.15219325677507645</v>
      </c>
      <c r="M43" s="10">
        <f t="shared" si="4"/>
        <v>0.15238230862761973</v>
      </c>
      <c r="P43" s="8">
        <f t="shared" si="5"/>
        <v>2.0966525974258401</v>
      </c>
    </row>
    <row r="44" spans="1:16" x14ac:dyDescent="0.2">
      <c r="A44" s="8">
        <v>21</v>
      </c>
      <c r="B44" s="8">
        <v>42</v>
      </c>
      <c r="D44">
        <v>5437.7891036907004</v>
      </c>
      <c r="E44">
        <v>912.50087873461996</v>
      </c>
      <c r="F44">
        <v>116.37291116975</v>
      </c>
      <c r="G44">
        <v>106.55672823219</v>
      </c>
      <c r="I44" s="9">
        <f t="shared" si="1"/>
        <v>805.94415050242992</v>
      </c>
      <c r="J44" s="9">
        <f t="shared" si="2"/>
        <v>5321.4161925209501</v>
      </c>
      <c r="K44" s="9">
        <f t="shared" si="3"/>
        <v>805.94415050242992</v>
      </c>
      <c r="L44" s="10">
        <f t="shared" si="0"/>
        <v>0.15145294435627005</v>
      </c>
      <c r="M44" s="10">
        <f t="shared" si="4"/>
        <v>0.15164660722960704</v>
      </c>
      <c r="P44" s="8">
        <f t="shared" si="5"/>
        <v>1.6037302186745377</v>
      </c>
    </row>
    <row r="45" spans="1:16" x14ac:dyDescent="0.2">
      <c r="A45" s="8">
        <v>21.5</v>
      </c>
      <c r="B45" s="8">
        <v>43</v>
      </c>
      <c r="D45">
        <v>5299.6010544815999</v>
      </c>
      <c r="E45">
        <v>893.76801405975004</v>
      </c>
      <c r="F45">
        <v>116.5347405453</v>
      </c>
      <c r="G45">
        <v>106.1380826737</v>
      </c>
      <c r="I45" s="9">
        <f t="shared" si="1"/>
        <v>787.62993138605009</v>
      </c>
      <c r="J45" s="9">
        <f t="shared" si="2"/>
        <v>5183.0663139362996</v>
      </c>
      <c r="K45" s="9">
        <f t="shared" si="3"/>
        <v>787.62993138605009</v>
      </c>
      <c r="L45" s="10">
        <f t="shared" si="0"/>
        <v>0.15196215592848195</v>
      </c>
      <c r="M45" s="10">
        <f t="shared" si="4"/>
        <v>0.15216042982261269</v>
      </c>
      <c r="P45" s="8">
        <f t="shared" si="5"/>
        <v>1.9479930615679486</v>
      </c>
    </row>
    <row r="46" spans="1:16" x14ac:dyDescent="0.2">
      <c r="A46" s="8">
        <v>22</v>
      </c>
      <c r="B46" s="8">
        <v>44</v>
      </c>
      <c r="D46">
        <v>5327.0202108963003</v>
      </c>
      <c r="E46">
        <v>895.10456942003998</v>
      </c>
      <c r="F46">
        <v>116.30079155673</v>
      </c>
      <c r="G46">
        <v>106.42128408092</v>
      </c>
      <c r="I46" s="9">
        <f t="shared" si="1"/>
        <v>788.68328533911995</v>
      </c>
      <c r="J46" s="9">
        <f t="shared" si="2"/>
        <v>5210.7194193395708</v>
      </c>
      <c r="K46" s="9">
        <f t="shared" si="3"/>
        <v>788.68328533911995</v>
      </c>
      <c r="L46" s="10">
        <f t="shared" si="0"/>
        <v>0.15135784943858693</v>
      </c>
      <c r="M46" s="10">
        <f t="shared" si="4"/>
        <v>0.15156073435351142</v>
      </c>
      <c r="P46" s="8">
        <f t="shared" si="5"/>
        <v>1.5461951066445578</v>
      </c>
    </row>
    <row r="47" spans="1:16" x14ac:dyDescent="0.2">
      <c r="A47" s="8">
        <v>22.5</v>
      </c>
      <c r="B47" s="8">
        <v>45</v>
      </c>
      <c r="D47">
        <v>5370.9806678383002</v>
      </c>
      <c r="E47">
        <v>902.47363796134005</v>
      </c>
      <c r="F47">
        <v>117.10290237466999</v>
      </c>
      <c r="G47">
        <v>106.46350043975001</v>
      </c>
      <c r="I47" s="9">
        <f t="shared" si="1"/>
        <v>796.01013752159008</v>
      </c>
      <c r="J47" s="9">
        <f t="shared" si="2"/>
        <v>5253.8777654636306</v>
      </c>
      <c r="K47" s="9">
        <f t="shared" si="3"/>
        <v>796.01013752159008</v>
      </c>
      <c r="L47" s="10">
        <f t="shared" si="0"/>
        <v>0.15150907064381347</v>
      </c>
      <c r="M47" s="10">
        <f t="shared" si="4"/>
        <v>0.1517165665795317</v>
      </c>
      <c r="P47" s="8">
        <f t="shared" si="5"/>
        <v>1.6506032153467014</v>
      </c>
    </row>
    <row r="48" spans="1:16" x14ac:dyDescent="0.2">
      <c r="A48" s="8">
        <v>23</v>
      </c>
      <c r="B48" s="8">
        <v>46</v>
      </c>
      <c r="D48">
        <v>5299.5087873461998</v>
      </c>
      <c r="E48">
        <v>890.13268892793997</v>
      </c>
      <c r="F48">
        <v>116.57959542656</v>
      </c>
      <c r="G48">
        <v>106.55233069481</v>
      </c>
      <c r="I48" s="9">
        <f t="shared" si="1"/>
        <v>783.58035823313003</v>
      </c>
      <c r="J48" s="9">
        <f t="shared" si="2"/>
        <v>5182.9291919196394</v>
      </c>
      <c r="K48" s="9">
        <f t="shared" si="3"/>
        <v>783.58035823313003</v>
      </c>
      <c r="L48" s="10">
        <f t="shared" si="0"/>
        <v>0.15118484725871967</v>
      </c>
      <c r="M48" s="10">
        <f t="shared" si="4"/>
        <v>0.15139695421523164</v>
      </c>
      <c r="P48" s="8">
        <f t="shared" si="5"/>
        <v>1.4364618703462981</v>
      </c>
    </row>
    <row r="49" spans="1:25" x14ac:dyDescent="0.2">
      <c r="A49" s="8">
        <v>23.5</v>
      </c>
      <c r="B49" s="8">
        <v>47</v>
      </c>
      <c r="D49">
        <v>5304.5325131809996</v>
      </c>
      <c r="E49">
        <v>893.04130052723997</v>
      </c>
      <c r="F49">
        <v>116.8874230431</v>
      </c>
      <c r="G49">
        <v>106.47053649956</v>
      </c>
      <c r="I49" s="9">
        <f t="shared" si="1"/>
        <v>786.57076402767996</v>
      </c>
      <c r="J49" s="9">
        <f t="shared" si="2"/>
        <v>5187.6450901378994</v>
      </c>
      <c r="K49" s="9">
        <f t="shared" si="3"/>
        <v>786.57076402767996</v>
      </c>
      <c r="L49" s="10">
        <f t="shared" si="0"/>
        <v>0.15162385829420169</v>
      </c>
      <c r="M49" s="10">
        <f t="shared" si="4"/>
        <v>0.15184057627150738</v>
      </c>
      <c r="P49" s="8">
        <f t="shared" si="5"/>
        <v>1.733690120607434</v>
      </c>
    </row>
    <row r="50" spans="1:25" x14ac:dyDescent="0.2">
      <c r="A50" s="8">
        <v>24</v>
      </c>
      <c r="B50" s="8">
        <v>48</v>
      </c>
      <c r="D50">
        <v>5340.9270650263998</v>
      </c>
      <c r="E50">
        <v>892.65817223198997</v>
      </c>
      <c r="F50">
        <v>116.89621811785</v>
      </c>
      <c r="G50">
        <v>106.38258575198</v>
      </c>
      <c r="I50" s="9">
        <f t="shared" si="1"/>
        <v>786.27558648000991</v>
      </c>
      <c r="J50" s="9">
        <f t="shared" si="2"/>
        <v>5224.0308469085494</v>
      </c>
      <c r="K50" s="9">
        <f t="shared" si="3"/>
        <v>786.27558648000991</v>
      </c>
      <c r="L50" s="10">
        <f t="shared" si="0"/>
        <v>0.15051128324506508</v>
      </c>
      <c r="M50" s="10">
        <f t="shared" si="4"/>
        <v>0.1507326122431645</v>
      </c>
      <c r="P50" s="8">
        <f t="shared" si="5"/>
        <v>0.9913505438485638</v>
      </c>
    </row>
    <row r="51" spans="1:25" x14ac:dyDescent="0.2">
      <c r="A51" s="8">
        <v>24.5</v>
      </c>
      <c r="B51" s="8">
        <v>49</v>
      </c>
      <c r="D51">
        <v>5254.9639718805001</v>
      </c>
      <c r="E51">
        <v>880.06766256591004</v>
      </c>
      <c r="F51">
        <v>116.8328935796</v>
      </c>
      <c r="G51">
        <v>106.47405452946001</v>
      </c>
      <c r="I51" s="9">
        <f t="shared" si="1"/>
        <v>773.59360803645006</v>
      </c>
      <c r="J51" s="9">
        <f t="shared" si="2"/>
        <v>5138.1310783009003</v>
      </c>
      <c r="K51" s="9">
        <f t="shared" si="3"/>
        <v>773.59360803645006</v>
      </c>
      <c r="L51" s="10">
        <f t="shared" si="0"/>
        <v>0.1505593368965327</v>
      </c>
      <c r="M51" s="10">
        <f t="shared" si="4"/>
        <v>0.15078527691542587</v>
      </c>
      <c r="P51" s="8">
        <f t="shared" si="5"/>
        <v>1.0266360490784756</v>
      </c>
    </row>
    <row r="52" spans="1:25" x14ac:dyDescent="0.2">
      <c r="A52" s="8">
        <v>25</v>
      </c>
      <c r="B52" s="8">
        <v>50</v>
      </c>
      <c r="D52">
        <v>5322.9507908612004</v>
      </c>
      <c r="E52">
        <v>890.10544815466005</v>
      </c>
      <c r="F52">
        <v>117.23834652595001</v>
      </c>
      <c r="G52">
        <v>106.79419525066</v>
      </c>
      <c r="I52" s="9">
        <f t="shared" si="1"/>
        <v>783.31125290400007</v>
      </c>
      <c r="J52" s="9">
        <f t="shared" si="2"/>
        <v>5205.7124443352504</v>
      </c>
      <c r="K52" s="9">
        <f t="shared" si="3"/>
        <v>783.31125290400007</v>
      </c>
      <c r="L52" s="10">
        <f t="shared" si="0"/>
        <v>0.15047147941419303</v>
      </c>
      <c r="M52" s="10">
        <f t="shared" si="4"/>
        <v>0.15070203045387995</v>
      </c>
      <c r="P52" s="8">
        <f t="shared" si="5"/>
        <v>0.97086064351490342</v>
      </c>
    </row>
    <row r="53" spans="1:25" x14ac:dyDescent="0.2">
      <c r="A53" s="8">
        <v>25.5</v>
      </c>
      <c r="B53" s="8">
        <v>51</v>
      </c>
      <c r="D53">
        <v>5243.4402460457004</v>
      </c>
      <c r="E53">
        <v>876.27855887522003</v>
      </c>
      <c r="F53">
        <v>117.10466138962001</v>
      </c>
      <c r="G53">
        <v>106.25593667546001</v>
      </c>
      <c r="I53" s="9">
        <f t="shared" si="1"/>
        <v>770.02262219976001</v>
      </c>
      <c r="J53" s="9">
        <f t="shared" si="2"/>
        <v>5126.3355846560808</v>
      </c>
      <c r="K53" s="9">
        <f t="shared" si="3"/>
        <v>770.02262219976001</v>
      </c>
      <c r="L53" s="10">
        <f t="shared" si="0"/>
        <v>0.15020917173361756</v>
      </c>
      <c r="M53" s="10">
        <f t="shared" si="4"/>
        <v>0.15044433379409822</v>
      </c>
      <c r="P53" s="8">
        <f t="shared" si="5"/>
        <v>0.79820302606439797</v>
      </c>
      <c r="S53" s="11"/>
      <c r="U53" s="12"/>
    </row>
    <row r="54" spans="1:25" x14ac:dyDescent="0.2">
      <c r="A54" s="8">
        <v>26</v>
      </c>
      <c r="B54" s="8">
        <v>52</v>
      </c>
      <c r="D54">
        <v>5305.0395430580002</v>
      </c>
      <c r="E54">
        <v>879.05711775044006</v>
      </c>
      <c r="F54">
        <v>116.82321899736</v>
      </c>
      <c r="G54">
        <v>106.18381706245</v>
      </c>
      <c r="I54" s="9">
        <f t="shared" si="1"/>
        <v>772.87330068799008</v>
      </c>
      <c r="J54" s="9">
        <f t="shared" si="2"/>
        <v>5188.2163240606405</v>
      </c>
      <c r="K54" s="9">
        <f t="shared" si="3"/>
        <v>772.87330068799008</v>
      </c>
      <c r="L54" s="10">
        <f t="shared" si="0"/>
        <v>0.14896705388010661</v>
      </c>
      <c r="M54" s="10">
        <f t="shared" si="4"/>
        <v>0.14920682696138102</v>
      </c>
      <c r="P54" s="8">
        <f t="shared" si="5"/>
        <v>-3.0930659628878764E-2</v>
      </c>
      <c r="S54" s="11"/>
    </row>
    <row r="55" spans="1:25" x14ac:dyDescent="0.2">
      <c r="A55" s="8">
        <v>26.5</v>
      </c>
      <c r="B55" s="8">
        <v>53</v>
      </c>
      <c r="D55">
        <v>5244.8444639719</v>
      </c>
      <c r="E55">
        <v>870.54569420035</v>
      </c>
      <c r="F55">
        <v>117.01934916447</v>
      </c>
      <c r="G55">
        <v>106.57607739666</v>
      </c>
      <c r="I55" s="9">
        <f t="shared" si="1"/>
        <v>763.96961680368997</v>
      </c>
      <c r="J55" s="9">
        <f t="shared" si="2"/>
        <v>5127.8251148074296</v>
      </c>
      <c r="K55" s="9">
        <f t="shared" si="3"/>
        <v>763.96961680368997</v>
      </c>
      <c r="L55" s="10">
        <f t="shared" si="0"/>
        <v>0.14898511546300661</v>
      </c>
      <c r="M55" s="10">
        <f t="shared" si="4"/>
        <v>0.14922949956507472</v>
      </c>
      <c r="P55" s="8">
        <f t="shared" si="5"/>
        <v>-1.5739939894790125E-2</v>
      </c>
      <c r="S55" s="11"/>
    </row>
    <row r="56" spans="1:25" x14ac:dyDescent="0.2">
      <c r="A56" s="8">
        <v>27</v>
      </c>
      <c r="B56" s="8">
        <v>54</v>
      </c>
      <c r="D56">
        <v>5318.5984182777001</v>
      </c>
      <c r="E56">
        <v>884.52196836555004</v>
      </c>
      <c r="F56">
        <v>116.65963060686001</v>
      </c>
      <c r="G56">
        <v>106.58311345646</v>
      </c>
      <c r="I56" s="9">
        <f t="shared" si="1"/>
        <v>777.93885490909008</v>
      </c>
      <c r="J56" s="9">
        <f t="shared" si="2"/>
        <v>5201.9387876708397</v>
      </c>
      <c r="K56" s="9">
        <f t="shared" si="3"/>
        <v>777.93885490909008</v>
      </c>
      <c r="L56" s="10">
        <f t="shared" si="0"/>
        <v>0.14954786795125113</v>
      </c>
      <c r="M56" s="10">
        <f t="shared" si="4"/>
        <v>0.149796863074113</v>
      </c>
      <c r="P56" s="8">
        <f t="shared" si="5"/>
        <v>0.36439549446387798</v>
      </c>
      <c r="S56" s="11"/>
    </row>
    <row r="57" spans="1:25" x14ac:dyDescent="0.2">
      <c r="A57" s="8">
        <v>27.5</v>
      </c>
      <c r="B57" s="8">
        <v>55</v>
      </c>
      <c r="D57">
        <v>5249.4578207381001</v>
      </c>
      <c r="E57">
        <v>873.03427065026005</v>
      </c>
      <c r="F57">
        <v>116.71767810026</v>
      </c>
      <c r="G57">
        <v>106.23834652595001</v>
      </c>
      <c r="I57" s="9">
        <f t="shared" si="1"/>
        <v>766.79592412431009</v>
      </c>
      <c r="J57" s="9">
        <f t="shared" si="2"/>
        <v>5132.7401426378401</v>
      </c>
      <c r="K57" s="9">
        <f t="shared" si="3"/>
        <v>766.79592412431009</v>
      </c>
      <c r="L57" s="10">
        <f t="shared" si="0"/>
        <v>0.149393092737057</v>
      </c>
      <c r="M57" s="10">
        <f t="shared" si="4"/>
        <v>0.14964669888071261</v>
      </c>
      <c r="P57" s="8">
        <f t="shared" si="5"/>
        <v>0.26378498643149634</v>
      </c>
      <c r="S57" s="11"/>
    </row>
    <row r="58" spans="1:25" x14ac:dyDescent="0.2">
      <c r="A58" s="8">
        <v>28</v>
      </c>
      <c r="B58" s="8">
        <v>56</v>
      </c>
      <c r="D58">
        <v>5282.1994727592</v>
      </c>
      <c r="E58">
        <v>875.27592267135003</v>
      </c>
      <c r="F58">
        <v>116.98592788038999</v>
      </c>
      <c r="G58">
        <v>106.1855760774</v>
      </c>
      <c r="I58" s="9">
        <f t="shared" si="1"/>
        <v>769.09034659395002</v>
      </c>
      <c r="J58" s="9">
        <f t="shared" si="2"/>
        <v>5165.2135448788104</v>
      </c>
      <c r="K58" s="9">
        <f t="shared" si="3"/>
        <v>769.09034659395002</v>
      </c>
      <c r="L58" s="10">
        <f t="shared" si="0"/>
        <v>0.14889807360558893</v>
      </c>
      <c r="M58" s="10">
        <f t="shared" si="4"/>
        <v>0.14915629077003828</v>
      </c>
      <c r="P58" s="8">
        <f t="shared" si="5"/>
        <v>-6.4790075578042838E-2</v>
      </c>
      <c r="S58" s="11"/>
    </row>
    <row r="59" spans="1:25" x14ac:dyDescent="0.2">
      <c r="A59" s="8">
        <v>28.5</v>
      </c>
      <c r="B59" s="8">
        <v>57</v>
      </c>
      <c r="D59">
        <v>5211.6265377855998</v>
      </c>
      <c r="E59">
        <v>861.28295254832994</v>
      </c>
      <c r="F59">
        <v>116.34828496042</v>
      </c>
      <c r="G59">
        <v>106.57167985928</v>
      </c>
      <c r="I59" s="9">
        <f t="shared" si="1"/>
        <v>754.71127268904991</v>
      </c>
      <c r="J59" s="9">
        <f t="shared" si="2"/>
        <v>5095.2782528251801</v>
      </c>
      <c r="K59" s="9">
        <f t="shared" si="3"/>
        <v>754.71127268904991</v>
      </c>
      <c r="L59" s="10">
        <f t="shared" si="0"/>
        <v>0.14811973659546168</v>
      </c>
      <c r="M59" s="10">
        <f t="shared" si="4"/>
        <v>0.14838256478070477</v>
      </c>
      <c r="P59" s="8">
        <f t="shared" si="5"/>
        <v>-0.58318905673289734</v>
      </c>
      <c r="R59" s="1"/>
      <c r="S59" s="11"/>
    </row>
    <row r="60" spans="1:25" x14ac:dyDescent="0.2">
      <c r="A60" s="8">
        <v>29</v>
      </c>
      <c r="B60" s="8">
        <v>58</v>
      </c>
      <c r="D60">
        <v>5190.4710017574998</v>
      </c>
      <c r="E60">
        <v>857.23462214410995</v>
      </c>
      <c r="F60">
        <v>116.21635883905</v>
      </c>
      <c r="G60">
        <v>106.21547933156999</v>
      </c>
      <c r="I60" s="9">
        <f t="shared" si="1"/>
        <v>751.01914281253994</v>
      </c>
      <c r="J60" s="9">
        <f t="shared" si="2"/>
        <v>5074.2546429184495</v>
      </c>
      <c r="K60" s="9">
        <f t="shared" si="3"/>
        <v>751.01914281253994</v>
      </c>
      <c r="L60" s="10">
        <f t="shared" si="0"/>
        <v>0.14800580492361584</v>
      </c>
      <c r="M60" s="10">
        <f t="shared" si="4"/>
        <v>0.14827324412965265</v>
      </c>
      <c r="P60" s="8">
        <f t="shared" si="5"/>
        <v>-0.65643425581613402</v>
      </c>
      <c r="S60" s="11"/>
    </row>
    <row r="61" spans="1:25" x14ac:dyDescent="0.2">
      <c r="A61" s="8">
        <v>29.5</v>
      </c>
      <c r="B61" s="8">
        <v>59</v>
      </c>
      <c r="C61" s="2"/>
      <c r="D61">
        <v>5258.4701230229002</v>
      </c>
      <c r="E61">
        <v>866.17926186292004</v>
      </c>
      <c r="F61">
        <v>116.44415127529</v>
      </c>
      <c r="G61">
        <v>106.15567282322</v>
      </c>
      <c r="I61" s="9">
        <f t="shared" si="1"/>
        <v>760.02358903970003</v>
      </c>
      <c r="J61" s="9">
        <f t="shared" si="2"/>
        <v>5142.0259717476101</v>
      </c>
      <c r="K61" s="9">
        <f t="shared" si="3"/>
        <v>760.02358903970003</v>
      </c>
      <c r="L61" s="10">
        <f t="shared" si="0"/>
        <v>0.14780625248016635</v>
      </c>
      <c r="M61" s="10">
        <f t="shared" si="4"/>
        <v>0.1480783027069969</v>
      </c>
      <c r="P61" s="8">
        <f t="shared" si="5"/>
        <v>-0.78704565608287336</v>
      </c>
      <c r="S61" s="11"/>
    </row>
    <row r="62" spans="1:25" x14ac:dyDescent="0.2">
      <c r="A62" s="8">
        <v>30</v>
      </c>
      <c r="B62" s="8">
        <v>60</v>
      </c>
      <c r="D62">
        <v>5151.5746924429004</v>
      </c>
      <c r="E62">
        <v>849.39279437610003</v>
      </c>
      <c r="F62">
        <v>116.59190853122</v>
      </c>
      <c r="G62">
        <v>106.41776605101001</v>
      </c>
      <c r="I62" s="9">
        <f t="shared" si="1"/>
        <v>742.97502832509008</v>
      </c>
      <c r="J62" s="9">
        <f t="shared" si="2"/>
        <v>5034.9827839116806</v>
      </c>
      <c r="K62" s="9">
        <f t="shared" si="3"/>
        <v>742.97502832509008</v>
      </c>
      <c r="L62" s="10">
        <f t="shared" si="0"/>
        <v>0.14756257572501022</v>
      </c>
      <c r="M62" s="10">
        <f t="shared" si="4"/>
        <v>0.14783923697263451</v>
      </c>
      <c r="P62" s="8">
        <f t="shared" si="5"/>
        <v>-0.94722049165903621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5097.1247803162996</v>
      </c>
      <c r="E63">
        <v>827.83831282952997</v>
      </c>
      <c r="F63">
        <v>116.60334212841001</v>
      </c>
      <c r="G63">
        <v>106.36939313984</v>
      </c>
      <c r="I63" s="9">
        <f t="shared" si="1"/>
        <v>721.46891968968998</v>
      </c>
      <c r="J63" s="9">
        <f t="shared" si="2"/>
        <v>4980.5214381878895</v>
      </c>
      <c r="K63" s="9">
        <f t="shared" si="3"/>
        <v>721.46891968968998</v>
      </c>
      <c r="L63" s="10">
        <f t="shared" si="0"/>
        <v>0.14485810946578093</v>
      </c>
      <c r="M63" s="10">
        <f t="shared" si="4"/>
        <v>0.14513938173419896</v>
      </c>
      <c r="P63" s="8">
        <f t="shared" si="5"/>
        <v>-2.756132463294128</v>
      </c>
    </row>
    <row r="64" spans="1:25" x14ac:dyDescent="0.2">
      <c r="A64" s="8">
        <v>31</v>
      </c>
      <c r="B64" s="8">
        <v>62</v>
      </c>
      <c r="D64">
        <v>5278.1526919682001</v>
      </c>
      <c r="E64">
        <v>861.32215357458006</v>
      </c>
      <c r="F64">
        <v>116.27792436236</v>
      </c>
      <c r="G64">
        <v>106.21899736148001</v>
      </c>
      <c r="I64" s="9">
        <f t="shared" si="1"/>
        <v>755.10315621310008</v>
      </c>
      <c r="J64" s="9">
        <f t="shared" si="2"/>
        <v>5161.8747676058401</v>
      </c>
      <c r="K64" s="9">
        <f t="shared" si="3"/>
        <v>755.10315621310008</v>
      </c>
      <c r="L64" s="10">
        <f t="shared" si="0"/>
        <v>0.14628467179247917</v>
      </c>
      <c r="M64" s="10">
        <f t="shared" si="4"/>
        <v>0.14657055508169095</v>
      </c>
      <c r="P64" s="8">
        <f t="shared" si="5"/>
        <v>-1.7972415698462771</v>
      </c>
      <c r="U64" s="8">
        <v>30.5</v>
      </c>
      <c r="V64" s="10">
        <f>L62</f>
        <v>0.14756257572501022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5145.0610619468998</v>
      </c>
      <c r="E65">
        <v>851.1</v>
      </c>
      <c r="F65">
        <v>116.47229551450999</v>
      </c>
      <c r="G65">
        <v>106.24450307828</v>
      </c>
      <c r="I65" s="9">
        <f t="shared" si="1"/>
        <v>744.85549692172003</v>
      </c>
      <c r="J65" s="9">
        <f t="shared" si="2"/>
        <v>5028.58876643239</v>
      </c>
      <c r="K65" s="9">
        <f t="shared" si="3"/>
        <v>744.85549692172003</v>
      </c>
      <c r="L65" s="10">
        <f t="shared" si="0"/>
        <v>0.14812416197043077</v>
      </c>
      <c r="M65" s="10">
        <f t="shared" si="4"/>
        <v>0.14841465628043629</v>
      </c>
      <c r="P65" s="8">
        <f t="shared" si="5"/>
        <v>-0.56168764538844873</v>
      </c>
      <c r="U65" s="8">
        <v>31</v>
      </c>
      <c r="V65" s="10">
        <f t="shared" ref="V65:V83" si="6">L63</f>
        <v>0.14485810946578093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5034.5902654867004</v>
      </c>
      <c r="E66">
        <v>845.15840707965003</v>
      </c>
      <c r="F66">
        <v>116.43007915567</v>
      </c>
      <c r="G66">
        <v>106.1345646438</v>
      </c>
      <c r="I66" s="9">
        <f t="shared" si="1"/>
        <v>739.02384243585004</v>
      </c>
      <c r="J66" s="9">
        <f t="shared" si="2"/>
        <v>4918.1601863310307</v>
      </c>
      <c r="K66" s="9">
        <f t="shared" si="3"/>
        <v>739.02384243585004</v>
      </c>
      <c r="L66" s="10">
        <f t="shared" ref="L66:L129" si="7">K66/J66</f>
        <v>0.15026428876591047</v>
      </c>
      <c r="M66" s="10">
        <f t="shared" si="4"/>
        <v>0.15055939409670971</v>
      </c>
      <c r="P66" s="8">
        <f t="shared" si="5"/>
        <v>0.87529381074457524</v>
      </c>
      <c r="U66" s="8">
        <v>31.5</v>
      </c>
      <c r="V66" s="10">
        <f t="shared" si="6"/>
        <v>0.14628467179247917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5185.3017699114998</v>
      </c>
      <c r="E67">
        <v>869.89292035398</v>
      </c>
      <c r="F67">
        <v>116.50835532102001</v>
      </c>
      <c r="G67">
        <v>106.57255936676</v>
      </c>
      <c r="I67" s="9">
        <f t="shared" ref="I67:I130" si="8">E67-G67</f>
        <v>763.32036098722006</v>
      </c>
      <c r="J67" s="9">
        <f t="shared" ref="J67:J130" si="9">D67-F67</f>
        <v>5068.7934145904801</v>
      </c>
      <c r="K67" s="9">
        <f t="shared" ref="K67:K130" si="10">I67*1</f>
        <v>763.32036098722006</v>
      </c>
      <c r="L67" s="10">
        <f t="shared" si="7"/>
        <v>0.15059212292811316</v>
      </c>
      <c r="M67" s="10">
        <f t="shared" ref="M67:M130" si="11">L67+ABS($N$2)*A67</f>
        <v>0.15089183927970615</v>
      </c>
      <c r="P67" s="8">
        <f t="shared" ref="P67:P130" si="12">(M67-$O$2)/$O$2*100</f>
        <v>1.0980331868687339</v>
      </c>
      <c r="U67" s="8">
        <v>32</v>
      </c>
      <c r="V67" s="10">
        <f t="shared" si="6"/>
        <v>0.14812416197043077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5221.4522123894003</v>
      </c>
      <c r="E68">
        <v>868.81415929204002</v>
      </c>
      <c r="F68">
        <v>116.23922603342</v>
      </c>
      <c r="G68">
        <v>106.17062445031</v>
      </c>
      <c r="I68" s="9">
        <f t="shared" si="8"/>
        <v>762.64353484173</v>
      </c>
      <c r="J68" s="9">
        <f t="shared" si="9"/>
        <v>5105.2129863559803</v>
      </c>
      <c r="K68" s="9">
        <f t="shared" si="10"/>
        <v>762.64353484173</v>
      </c>
      <c r="L68" s="10">
        <f t="shared" si="7"/>
        <v>0.14938525324603408</v>
      </c>
      <c r="M68" s="10">
        <f t="shared" si="11"/>
        <v>0.1496895806184208</v>
      </c>
      <c r="P68" s="8">
        <f t="shared" si="12"/>
        <v>0.29251589303736947</v>
      </c>
      <c r="U68" s="8">
        <v>32.5</v>
      </c>
      <c r="V68" s="10">
        <f t="shared" si="6"/>
        <v>0.15026428876591047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5124.6407079645996</v>
      </c>
      <c r="E69">
        <v>859.17699115044002</v>
      </c>
      <c r="F69">
        <v>116.61477572558999</v>
      </c>
      <c r="G69">
        <v>106.36059806508</v>
      </c>
      <c r="I69" s="9">
        <f t="shared" si="8"/>
        <v>752.81639308536</v>
      </c>
      <c r="J69" s="9">
        <f t="shared" si="9"/>
        <v>5008.0259322390093</v>
      </c>
      <c r="K69" s="9">
        <f t="shared" si="10"/>
        <v>752.81639308536</v>
      </c>
      <c r="L69" s="10">
        <f t="shared" si="7"/>
        <v>0.15032198380586015</v>
      </c>
      <c r="M69" s="10">
        <f t="shared" si="11"/>
        <v>0.15063092219904062</v>
      </c>
      <c r="P69" s="8">
        <f t="shared" si="12"/>
        <v>0.92321787673623779</v>
      </c>
      <c r="U69" s="8">
        <v>33</v>
      </c>
      <c r="V69" s="10">
        <f t="shared" si="6"/>
        <v>0.15059212292811316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5104.1000000000004</v>
      </c>
      <c r="E70">
        <v>855.86637168141999</v>
      </c>
      <c r="F70">
        <v>116.57431838171</v>
      </c>
      <c r="G70">
        <v>106.16886543536</v>
      </c>
      <c r="I70" s="9">
        <f t="shared" si="8"/>
        <v>749.69750624606002</v>
      </c>
      <c r="J70" s="9">
        <f t="shared" si="9"/>
        <v>4987.52568161829</v>
      </c>
      <c r="K70" s="9">
        <f t="shared" si="10"/>
        <v>749.69750624606002</v>
      </c>
      <c r="L70" s="10">
        <f t="shared" si="7"/>
        <v>0.15031451547389477</v>
      </c>
      <c r="M70" s="10">
        <f t="shared" si="11"/>
        <v>0.15062806488786898</v>
      </c>
      <c r="P70" s="8">
        <f t="shared" si="12"/>
        <v>0.92130346876669811</v>
      </c>
      <c r="U70" s="8">
        <v>33.5</v>
      </c>
      <c r="V70" s="10">
        <f t="shared" si="6"/>
        <v>0.14938525324603408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5052.4265486725999</v>
      </c>
      <c r="E71">
        <v>849.29911504425002</v>
      </c>
      <c r="F71">
        <v>116.45294635003999</v>
      </c>
      <c r="G71">
        <v>106.24802110818</v>
      </c>
      <c r="I71" s="9">
        <f t="shared" si="8"/>
        <v>743.05109393607006</v>
      </c>
      <c r="J71" s="9">
        <f t="shared" si="9"/>
        <v>4935.9736023225596</v>
      </c>
      <c r="K71" s="9">
        <f t="shared" si="10"/>
        <v>743.05109393607006</v>
      </c>
      <c r="L71" s="10">
        <f t="shared" si="7"/>
        <v>0.15053789866024342</v>
      </c>
      <c r="M71" s="10">
        <f t="shared" si="11"/>
        <v>0.15085605909501135</v>
      </c>
      <c r="P71" s="8">
        <f t="shared" si="12"/>
        <v>1.0740603443546872</v>
      </c>
      <c r="U71" s="8">
        <v>34</v>
      </c>
      <c r="V71" s="10">
        <f t="shared" si="6"/>
        <v>0.15032198380586015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5111.8456078083</v>
      </c>
      <c r="E72">
        <v>848.54658385093001</v>
      </c>
      <c r="F72">
        <v>116.01407211961001</v>
      </c>
      <c r="G72">
        <v>106.42304309587</v>
      </c>
      <c r="I72" s="9">
        <f t="shared" si="8"/>
        <v>742.12354075506005</v>
      </c>
      <c r="J72" s="9">
        <f t="shared" si="9"/>
        <v>4995.8315356886897</v>
      </c>
      <c r="K72" s="9">
        <f t="shared" si="10"/>
        <v>742.12354075506005</v>
      </c>
      <c r="L72" s="10">
        <f t="shared" si="7"/>
        <v>0.14854855201852923</v>
      </c>
      <c r="M72" s="10">
        <f t="shared" si="11"/>
        <v>0.14887132347409091</v>
      </c>
      <c r="P72" s="8">
        <f t="shared" si="12"/>
        <v>-0.25571910978151569</v>
      </c>
      <c r="U72" s="8">
        <v>34.5</v>
      </c>
      <c r="V72" s="10">
        <f t="shared" si="6"/>
        <v>0.15031451547389477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5098.5394853593998</v>
      </c>
      <c r="E73">
        <v>846.48269742679997</v>
      </c>
      <c r="F73">
        <v>116.50483729112</v>
      </c>
      <c r="G73">
        <v>106.40281442392001</v>
      </c>
      <c r="I73" s="9">
        <f t="shared" si="8"/>
        <v>740.07988300288002</v>
      </c>
      <c r="J73" s="9">
        <f t="shared" si="9"/>
        <v>4982.0346480682801</v>
      </c>
      <c r="K73" s="9">
        <f t="shared" si="10"/>
        <v>740.07988300288002</v>
      </c>
      <c r="L73" s="10">
        <f t="shared" si="7"/>
        <v>0.14854972622276652</v>
      </c>
      <c r="M73" s="10">
        <f t="shared" si="11"/>
        <v>0.14887710869912194</v>
      </c>
      <c r="P73" s="8">
        <f t="shared" si="12"/>
        <v>-0.25184298980728453</v>
      </c>
      <c r="U73" s="8">
        <v>35</v>
      </c>
      <c r="V73" s="10">
        <f t="shared" si="6"/>
        <v>0.15053789866024342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5056.5820763088004</v>
      </c>
      <c r="E74">
        <v>842.11535048802</v>
      </c>
      <c r="F74">
        <v>116.88302550572</v>
      </c>
      <c r="G74">
        <v>106.31662269128999</v>
      </c>
      <c r="I74" s="9">
        <f t="shared" si="8"/>
        <v>735.79872779672996</v>
      </c>
      <c r="J74" s="9">
        <f t="shared" si="9"/>
        <v>4939.6990508030804</v>
      </c>
      <c r="K74" s="9">
        <f t="shared" si="10"/>
        <v>735.79872779672996</v>
      </c>
      <c r="L74" s="10">
        <f t="shared" si="7"/>
        <v>0.14895618543342357</v>
      </c>
      <c r="M74" s="10">
        <f t="shared" si="11"/>
        <v>0.14928817893057272</v>
      </c>
      <c r="P74" s="8">
        <f t="shared" si="12"/>
        <v>2.3575429768802766E-2</v>
      </c>
      <c r="U74" s="8">
        <v>35.5</v>
      </c>
      <c r="V74" s="10">
        <f t="shared" si="6"/>
        <v>0.14854855201852923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4970.0567879325999</v>
      </c>
      <c r="E75">
        <v>831.50221827862003</v>
      </c>
      <c r="F75">
        <v>116.53122251539</v>
      </c>
      <c r="G75">
        <v>106.19613016711</v>
      </c>
      <c r="I75" s="9">
        <f t="shared" si="8"/>
        <v>725.30608811151001</v>
      </c>
      <c r="J75" s="9">
        <f t="shared" si="9"/>
        <v>4853.5255654172097</v>
      </c>
      <c r="K75" s="9">
        <f t="shared" si="10"/>
        <v>725.30608811151001</v>
      </c>
      <c r="L75" s="10">
        <f t="shared" si="7"/>
        <v>0.14943901671797677</v>
      </c>
      <c r="M75" s="10">
        <f t="shared" si="11"/>
        <v>0.14977562123591967</v>
      </c>
      <c r="P75" s="8">
        <f t="shared" si="12"/>
        <v>0.3501633923643197</v>
      </c>
      <c r="U75" s="8">
        <v>36</v>
      </c>
      <c r="V75" s="10">
        <f t="shared" si="6"/>
        <v>0.14854972622276652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4996.7054125998002</v>
      </c>
      <c r="E76">
        <v>835.69831410824997</v>
      </c>
      <c r="F76">
        <v>116.17238346526</v>
      </c>
      <c r="G76">
        <v>106.14599824099</v>
      </c>
      <c r="I76" s="9">
        <f t="shared" si="8"/>
        <v>729.55231586725995</v>
      </c>
      <c r="J76" s="9">
        <f t="shared" si="9"/>
        <v>4880.5330291345399</v>
      </c>
      <c r="K76" s="9">
        <f t="shared" si="10"/>
        <v>729.55231586725995</v>
      </c>
      <c r="L76" s="10">
        <f t="shared" si="7"/>
        <v>0.14948209785942801</v>
      </c>
      <c r="M76" s="10">
        <f t="shared" si="11"/>
        <v>0.14982331339816465</v>
      </c>
      <c r="P76" s="8">
        <f t="shared" si="12"/>
        <v>0.38211729937753564</v>
      </c>
      <c r="U76" s="8">
        <v>36.5</v>
      </c>
      <c r="V76" s="10">
        <f t="shared" si="6"/>
        <v>0.14895618543342357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5029.4693877550999</v>
      </c>
      <c r="E77">
        <v>838.13220940550002</v>
      </c>
      <c r="F77">
        <v>116.71328056289001</v>
      </c>
      <c r="G77">
        <v>106.37115215479</v>
      </c>
      <c r="I77" s="9">
        <f t="shared" si="8"/>
        <v>731.76105725071</v>
      </c>
      <c r="J77" s="9">
        <f t="shared" si="9"/>
        <v>4912.75610719221</v>
      </c>
      <c r="K77" s="9">
        <f t="shared" si="10"/>
        <v>731.76105725071</v>
      </c>
      <c r="L77" s="10">
        <f t="shared" si="7"/>
        <v>0.14895122845187073</v>
      </c>
      <c r="M77" s="10">
        <f t="shared" si="11"/>
        <v>0.14929705501140109</v>
      </c>
      <c r="P77" s="8">
        <f t="shared" si="12"/>
        <v>2.9522433387015247E-2</v>
      </c>
      <c r="U77" s="8">
        <v>37</v>
      </c>
      <c r="V77" s="10">
        <f t="shared" si="6"/>
        <v>0.14943901671797677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5016.4463176575</v>
      </c>
      <c r="E78">
        <v>837.01242236024996</v>
      </c>
      <c r="F78">
        <v>115.99120492524</v>
      </c>
      <c r="G78">
        <v>106.1380826737</v>
      </c>
      <c r="I78" s="9">
        <f t="shared" si="8"/>
        <v>730.87433968655</v>
      </c>
      <c r="J78" s="9">
        <f t="shared" si="9"/>
        <v>4900.4551127322602</v>
      </c>
      <c r="K78" s="9">
        <f t="shared" si="10"/>
        <v>730.87433968655</v>
      </c>
      <c r="L78" s="10">
        <f t="shared" si="7"/>
        <v>0.14914417597410648</v>
      </c>
      <c r="M78" s="10">
        <f t="shared" si="11"/>
        <v>0.14949461355443058</v>
      </c>
      <c r="P78" s="8">
        <f t="shared" si="12"/>
        <v>0.16188731299142006</v>
      </c>
      <c r="U78" s="8">
        <v>37.5</v>
      </c>
      <c r="V78" s="10">
        <f t="shared" si="6"/>
        <v>0.14948209785942801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5023.2369121561997</v>
      </c>
      <c r="E79">
        <v>837.29458740018003</v>
      </c>
      <c r="F79">
        <v>116.59014951627</v>
      </c>
      <c r="G79">
        <v>106.3201407212</v>
      </c>
      <c r="I79" s="9">
        <f t="shared" si="8"/>
        <v>730.97444667898003</v>
      </c>
      <c r="J79" s="9">
        <f t="shared" si="9"/>
        <v>4906.6467626399299</v>
      </c>
      <c r="K79" s="9">
        <f t="shared" si="10"/>
        <v>730.97444667898003</v>
      </c>
      <c r="L79" s="10">
        <f t="shared" si="7"/>
        <v>0.14897637470965872</v>
      </c>
      <c r="M79" s="10">
        <f t="shared" si="11"/>
        <v>0.14933142331077656</v>
      </c>
      <c r="P79" s="8">
        <f t="shared" si="12"/>
        <v>5.2549308050510633E-2</v>
      </c>
      <c r="U79" s="8">
        <v>38</v>
      </c>
      <c r="V79" s="10">
        <f t="shared" si="6"/>
        <v>0.14895122845187073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4954.892635315</v>
      </c>
      <c r="E80">
        <v>825.85891748003996</v>
      </c>
      <c r="F80">
        <v>116.65259454705</v>
      </c>
      <c r="G80">
        <v>106.11785400175999</v>
      </c>
      <c r="I80" s="9">
        <f t="shared" si="8"/>
        <v>719.74106347828001</v>
      </c>
      <c r="J80" s="9">
        <f t="shared" si="9"/>
        <v>4838.2400407679497</v>
      </c>
      <c r="K80" s="9">
        <f t="shared" si="10"/>
        <v>719.74106347828001</v>
      </c>
      <c r="L80" s="10">
        <f t="shared" si="7"/>
        <v>0.14876092492592391</v>
      </c>
      <c r="M80" s="10">
        <f t="shared" si="11"/>
        <v>0.1491205845478355</v>
      </c>
      <c r="P80" s="8">
        <f t="shared" si="12"/>
        <v>-8.8713362976925392E-2</v>
      </c>
      <c r="U80" s="8">
        <v>38.5</v>
      </c>
      <c r="V80" s="10">
        <f t="shared" si="6"/>
        <v>0.14914417597410648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5067.7808340727997</v>
      </c>
      <c r="E81">
        <v>846.83939662822002</v>
      </c>
      <c r="F81">
        <v>116.49340369393001</v>
      </c>
      <c r="G81">
        <v>106.14335971856001</v>
      </c>
      <c r="I81" s="9">
        <f t="shared" si="8"/>
        <v>740.69603690966005</v>
      </c>
      <c r="J81" s="9">
        <f t="shared" si="9"/>
        <v>4951.2874303788694</v>
      </c>
      <c r="K81" s="9">
        <f t="shared" si="10"/>
        <v>740.69603690966005</v>
      </c>
      <c r="L81" s="10">
        <f t="shared" si="7"/>
        <v>0.14959665487507004</v>
      </c>
      <c r="M81" s="10">
        <f t="shared" si="11"/>
        <v>0.14996092551777537</v>
      </c>
      <c r="P81" s="8">
        <f t="shared" si="12"/>
        <v>0.47431787630556149</v>
      </c>
      <c r="U81" s="8">
        <v>39</v>
      </c>
      <c r="V81" s="10">
        <f t="shared" si="6"/>
        <v>0.14897637470965872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5349.9476486247004</v>
      </c>
      <c r="E82">
        <v>887.92102928127997</v>
      </c>
      <c r="F82">
        <v>116.35971855760999</v>
      </c>
      <c r="G82">
        <v>106.3201407212</v>
      </c>
      <c r="H82" s="13"/>
      <c r="I82" s="14">
        <f t="shared" si="8"/>
        <v>781.60088856007997</v>
      </c>
      <c r="J82" s="14">
        <f t="shared" si="9"/>
        <v>5233.5879300670904</v>
      </c>
      <c r="K82" s="9">
        <f t="shared" si="10"/>
        <v>781.60088856007997</v>
      </c>
      <c r="L82" s="15">
        <f t="shared" si="7"/>
        <v>0.14934322285286616</v>
      </c>
      <c r="M82" s="15">
        <f t="shared" si="11"/>
        <v>0.14971210451636521</v>
      </c>
      <c r="N82" s="13"/>
      <c r="O82" s="13"/>
      <c r="P82" s="13">
        <f t="shared" si="12"/>
        <v>0.30760697942581572</v>
      </c>
      <c r="U82" s="8">
        <v>39.5</v>
      </c>
      <c r="V82" s="10">
        <f t="shared" si="6"/>
        <v>0.14876092492592391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5047.0692102927997</v>
      </c>
      <c r="E83">
        <v>843.54480922803998</v>
      </c>
      <c r="F83">
        <v>116.32102022866999</v>
      </c>
      <c r="G83">
        <v>106.29727352683</v>
      </c>
      <c r="I83" s="9">
        <f t="shared" si="8"/>
        <v>737.24753570120993</v>
      </c>
      <c r="J83" s="9">
        <f t="shared" si="9"/>
        <v>4930.7481900641296</v>
      </c>
      <c r="K83" s="9">
        <f t="shared" si="10"/>
        <v>737.24753570120993</v>
      </c>
      <c r="L83" s="10">
        <f t="shared" si="7"/>
        <v>0.1495204190688191</v>
      </c>
      <c r="M83" s="10">
        <f t="shared" si="11"/>
        <v>0.1498939117531119</v>
      </c>
      <c r="P83" s="8">
        <f t="shared" si="12"/>
        <v>0.42941843153594428</v>
      </c>
      <c r="U83" s="8">
        <v>40</v>
      </c>
      <c r="V83" s="10">
        <f t="shared" si="6"/>
        <v>0.14959665487507004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5074.4250221827997</v>
      </c>
      <c r="E84">
        <v>848.27417923690996</v>
      </c>
      <c r="F84">
        <v>116.28583992964001</v>
      </c>
      <c r="G84">
        <v>106.06244503078</v>
      </c>
      <c r="I84" s="9">
        <f t="shared" si="8"/>
        <v>742.2117342061299</v>
      </c>
      <c r="J84" s="9">
        <f t="shared" si="9"/>
        <v>4958.1391822531596</v>
      </c>
      <c r="K84" s="9">
        <f t="shared" si="10"/>
        <v>742.2117342061299</v>
      </c>
      <c r="L84" s="10">
        <f t="shared" si="7"/>
        <v>0.14969562308027864</v>
      </c>
      <c r="M84" s="10">
        <f t="shared" si="11"/>
        <v>0.15007372678536518</v>
      </c>
      <c r="P84" s="8">
        <f t="shared" si="12"/>
        <v>0.54989510002258279</v>
      </c>
      <c r="U84" s="8">
        <v>150.5</v>
      </c>
      <c r="V84" s="10">
        <f>L302</f>
        <v>0.14282758052486752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5261.4889086068997</v>
      </c>
      <c r="E85">
        <v>1023.4968944099001</v>
      </c>
      <c r="F85">
        <v>116.50659630606999</v>
      </c>
      <c r="G85">
        <v>106.41776605101001</v>
      </c>
      <c r="I85" s="9">
        <f t="shared" si="8"/>
        <v>917.0791283588901</v>
      </c>
      <c r="J85" s="9">
        <f t="shared" si="9"/>
        <v>5144.98231230083</v>
      </c>
      <c r="K85" s="9">
        <f t="shared" si="10"/>
        <v>917.0791283588901</v>
      </c>
      <c r="L85" s="10">
        <f t="shared" si="7"/>
        <v>0.17824728496467335</v>
      </c>
      <c r="M85" s="10">
        <f t="shared" si="11"/>
        <v>0.17862999969055363</v>
      </c>
      <c r="P85" s="8">
        <f t="shared" si="12"/>
        <v>19.682692736019721</v>
      </c>
      <c r="U85" s="8">
        <v>151</v>
      </c>
      <c r="V85" s="10">
        <f t="shared" ref="V85:V103" si="13">L303</f>
        <v>0.14554266380678843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5140.6326530611996</v>
      </c>
      <c r="E86">
        <v>1040.3886424135001</v>
      </c>
      <c r="F86">
        <v>116.55496921724</v>
      </c>
      <c r="G86">
        <v>106.27352682498</v>
      </c>
      <c r="I86" s="9">
        <f t="shared" si="8"/>
        <v>934.1151155885201</v>
      </c>
      <c r="J86" s="9">
        <f t="shared" si="9"/>
        <v>5024.0776838439597</v>
      </c>
      <c r="K86" s="9">
        <f t="shared" si="10"/>
        <v>934.1151155885201</v>
      </c>
      <c r="L86" s="10">
        <f t="shared" si="7"/>
        <v>0.18592768153095546</v>
      </c>
      <c r="M86" s="10">
        <f t="shared" si="11"/>
        <v>0.18631500727762948</v>
      </c>
      <c r="P86" s="8">
        <f t="shared" si="12"/>
        <v>24.831673328928598</v>
      </c>
      <c r="U86" s="8">
        <v>151.5</v>
      </c>
      <c r="V86" s="10">
        <f t="shared" si="13"/>
        <v>0.14238421637139478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5010.5616681455003</v>
      </c>
      <c r="E87">
        <v>1010.8864241349</v>
      </c>
      <c r="F87">
        <v>116.60334212841001</v>
      </c>
      <c r="G87">
        <v>106.18821459982</v>
      </c>
      <c r="I87" s="9">
        <f t="shared" si="8"/>
        <v>904.69820953508008</v>
      </c>
      <c r="J87" s="9">
        <f t="shared" si="9"/>
        <v>4893.9583260170903</v>
      </c>
      <c r="K87" s="9">
        <f t="shared" si="10"/>
        <v>904.69820953508008</v>
      </c>
      <c r="L87" s="10">
        <f t="shared" si="7"/>
        <v>0.1848602193291175</v>
      </c>
      <c r="M87" s="10">
        <f t="shared" si="11"/>
        <v>0.18525215609658527</v>
      </c>
      <c r="P87" s="8">
        <f t="shared" si="12"/>
        <v>24.119559509607146</v>
      </c>
      <c r="U87" s="8">
        <v>152</v>
      </c>
      <c r="V87" s="10">
        <f t="shared" si="13"/>
        <v>0.14898025806366172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5119.3762200532001</v>
      </c>
      <c r="E88">
        <v>1044.0053238687001</v>
      </c>
      <c r="F88">
        <v>116.16974494282999</v>
      </c>
      <c r="G88">
        <v>106.29111697449</v>
      </c>
      <c r="I88" s="9">
        <f t="shared" si="8"/>
        <v>937.71420689421007</v>
      </c>
      <c r="J88" s="9">
        <f t="shared" si="9"/>
        <v>5003.2064751103699</v>
      </c>
      <c r="K88" s="9">
        <f t="shared" si="10"/>
        <v>937.71420689421007</v>
      </c>
      <c r="L88" s="10">
        <f t="shared" si="7"/>
        <v>0.18742264816754825</v>
      </c>
      <c r="M88" s="10">
        <f t="shared" si="11"/>
        <v>0.18781919595580973</v>
      </c>
      <c r="P88" s="8">
        <f t="shared" si="12"/>
        <v>25.839484736304243</v>
      </c>
      <c r="U88" s="8">
        <v>152.5</v>
      </c>
      <c r="V88" s="10">
        <f t="shared" si="13"/>
        <v>0.1499042955971375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5179.7657497782002</v>
      </c>
      <c r="E89">
        <v>1073.9636202306999</v>
      </c>
      <c r="F89">
        <v>116.18997361478</v>
      </c>
      <c r="G89">
        <v>106.18029903254001</v>
      </c>
      <c r="I89" s="9">
        <f t="shared" si="8"/>
        <v>967.78332119815991</v>
      </c>
      <c r="J89" s="9">
        <f t="shared" si="9"/>
        <v>5063.5757761634204</v>
      </c>
      <c r="K89" s="9">
        <f t="shared" si="10"/>
        <v>967.78332119815991</v>
      </c>
      <c r="L89" s="10">
        <f t="shared" si="7"/>
        <v>0.1911264616111723</v>
      </c>
      <c r="M89" s="10">
        <f t="shared" si="11"/>
        <v>0.19152762042022753</v>
      </c>
      <c r="P89" s="8">
        <f t="shared" si="12"/>
        <v>28.324141437186075</v>
      </c>
      <c r="U89" s="8">
        <v>153</v>
      </c>
      <c r="V89" s="10">
        <f t="shared" si="13"/>
        <v>0.15155059632391357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5396.1938053097001</v>
      </c>
      <c r="E90">
        <v>1152.5548672565999</v>
      </c>
      <c r="F90">
        <v>116.11081794195</v>
      </c>
      <c r="G90">
        <v>106.18381706245</v>
      </c>
      <c r="I90" s="9">
        <f t="shared" si="8"/>
        <v>1046.3710501941498</v>
      </c>
      <c r="J90" s="9">
        <f t="shared" si="9"/>
        <v>5280.0829873677503</v>
      </c>
      <c r="K90" s="9">
        <f t="shared" si="10"/>
        <v>1046.3710501941498</v>
      </c>
      <c r="L90" s="10">
        <f t="shared" si="7"/>
        <v>0.19817322051519332</v>
      </c>
      <c r="M90" s="10">
        <f t="shared" si="11"/>
        <v>0.19857899034504228</v>
      </c>
      <c r="P90" s="8">
        <f t="shared" si="12"/>
        <v>33.048582693086964</v>
      </c>
      <c r="U90" s="8">
        <v>153.5</v>
      </c>
      <c r="V90" s="10">
        <f t="shared" si="13"/>
        <v>0.14772322552382156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5398.6704946996997</v>
      </c>
      <c r="E91">
        <v>1183.0371024735</v>
      </c>
      <c r="F91">
        <v>116.09850483728999</v>
      </c>
      <c r="G91">
        <v>106.4582233949</v>
      </c>
      <c r="I91" s="9">
        <f t="shared" si="8"/>
        <v>1076.5788790786</v>
      </c>
      <c r="J91" s="9">
        <f t="shared" si="9"/>
        <v>5282.5719898624093</v>
      </c>
      <c r="K91" s="9">
        <f t="shared" si="10"/>
        <v>1076.5788790786</v>
      </c>
      <c r="L91" s="10">
        <f t="shared" si="7"/>
        <v>0.20379824092215368</v>
      </c>
      <c r="M91" s="10">
        <f t="shared" si="11"/>
        <v>0.20420862177279639</v>
      </c>
      <c r="P91" s="8">
        <f t="shared" si="12"/>
        <v>36.820454436646983</v>
      </c>
      <c r="U91" s="8">
        <v>154</v>
      </c>
      <c r="V91" s="10">
        <f t="shared" si="13"/>
        <v>0.14896238471194037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5456.2906360424004</v>
      </c>
      <c r="E92">
        <v>1171.9681978798999</v>
      </c>
      <c r="F92">
        <v>116.26297273527</v>
      </c>
      <c r="G92">
        <v>106.26121372032</v>
      </c>
      <c r="I92" s="9">
        <f t="shared" si="8"/>
        <v>1065.7069841595799</v>
      </c>
      <c r="J92" s="9">
        <f t="shared" si="9"/>
        <v>5340.0276633071308</v>
      </c>
      <c r="K92" s="9">
        <f t="shared" si="10"/>
        <v>1065.7069841595799</v>
      </c>
      <c r="L92" s="10">
        <f t="shared" si="7"/>
        <v>0.19956956243548318</v>
      </c>
      <c r="M92" s="10">
        <f t="shared" si="11"/>
        <v>0.19998455430691964</v>
      </c>
      <c r="P92" s="8">
        <f t="shared" si="12"/>
        <v>33.990315213165367</v>
      </c>
      <c r="U92" s="8">
        <v>154.5</v>
      </c>
      <c r="V92" s="10">
        <f t="shared" si="13"/>
        <v>0.14815307555398172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5440.5247787610997</v>
      </c>
      <c r="E93">
        <v>1201.4876106194999</v>
      </c>
      <c r="F93">
        <v>116.22691292876</v>
      </c>
      <c r="G93">
        <v>106.31662269128999</v>
      </c>
      <c r="I93" s="9">
        <f t="shared" si="8"/>
        <v>1095.17098792821</v>
      </c>
      <c r="J93" s="9">
        <f t="shared" si="9"/>
        <v>5324.29786583234</v>
      </c>
      <c r="K93" s="9">
        <f t="shared" si="10"/>
        <v>1095.17098792821</v>
      </c>
      <c r="L93" s="10">
        <f t="shared" si="7"/>
        <v>0.20569303512417283</v>
      </c>
      <c r="M93" s="10">
        <f t="shared" si="11"/>
        <v>0.206112638016403</v>
      </c>
      <c r="P93" s="8">
        <f t="shared" si="12"/>
        <v>38.096151640043509</v>
      </c>
      <c r="U93" s="8">
        <v>155</v>
      </c>
      <c r="V93" s="10">
        <f t="shared" si="13"/>
        <v>0.1477337220780871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5347.7575221239003</v>
      </c>
      <c r="E94">
        <v>1171.4026548673</v>
      </c>
      <c r="F94">
        <v>115.94635004398</v>
      </c>
      <c r="G94">
        <v>106.30782761654</v>
      </c>
      <c r="I94" s="9">
        <f t="shared" si="8"/>
        <v>1065.0948272507601</v>
      </c>
      <c r="J94" s="9">
        <f t="shared" si="9"/>
        <v>5231.8111720799207</v>
      </c>
      <c r="K94" s="9">
        <f t="shared" si="10"/>
        <v>1065.0948272507601</v>
      </c>
      <c r="L94" s="10">
        <f t="shared" si="7"/>
        <v>0.20358051776309213</v>
      </c>
      <c r="M94" s="10">
        <f t="shared" si="11"/>
        <v>0.20400473167611605</v>
      </c>
      <c r="P94" s="8">
        <f t="shared" si="12"/>
        <v>36.683847395079589</v>
      </c>
      <c r="U94" s="8">
        <v>155.5</v>
      </c>
      <c r="V94" s="10">
        <f t="shared" si="13"/>
        <v>0.15080117197079526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5312.9469026549004</v>
      </c>
      <c r="E95">
        <v>1157.4637168142001</v>
      </c>
      <c r="F95">
        <v>115.83465259454999</v>
      </c>
      <c r="G95">
        <v>106.35532102022999</v>
      </c>
      <c r="I95" s="9">
        <f t="shared" si="8"/>
        <v>1051.1083957939702</v>
      </c>
      <c r="J95" s="9">
        <f t="shared" si="9"/>
        <v>5197.1122500603506</v>
      </c>
      <c r="K95" s="9">
        <f t="shared" si="10"/>
        <v>1051.1083957939702</v>
      </c>
      <c r="L95" s="10">
        <f t="shared" si="7"/>
        <v>0.20224854596545694</v>
      </c>
      <c r="M95" s="10">
        <f t="shared" si="11"/>
        <v>0.20267737089927459</v>
      </c>
      <c r="P95" s="8">
        <f t="shared" si="12"/>
        <v>35.794511268562424</v>
      </c>
      <c r="U95" s="8">
        <v>156</v>
      </c>
      <c r="V95" s="10">
        <f t="shared" si="13"/>
        <v>0.14493853320763386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4923.2515555556001</v>
      </c>
      <c r="E96">
        <v>1106.0862222221999</v>
      </c>
      <c r="F96">
        <v>115.90149516271001</v>
      </c>
      <c r="G96">
        <v>106.16974494282999</v>
      </c>
      <c r="I96" s="9">
        <f t="shared" si="8"/>
        <v>999.91647727936993</v>
      </c>
      <c r="J96" s="9">
        <f t="shared" si="9"/>
        <v>4807.3500603928906</v>
      </c>
      <c r="K96" s="9">
        <f t="shared" si="10"/>
        <v>999.91647727936993</v>
      </c>
      <c r="L96" s="10">
        <f t="shared" si="7"/>
        <v>0.20799743407860954</v>
      </c>
      <c r="M96" s="10">
        <f t="shared" si="11"/>
        <v>0.20843087003322094</v>
      </c>
      <c r="P96" s="8">
        <f t="shared" si="12"/>
        <v>39.649374786436972</v>
      </c>
      <c r="U96" s="8">
        <v>156.5</v>
      </c>
      <c r="V96" s="10">
        <f t="shared" si="13"/>
        <v>0.14731573326688249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5072.3283318622998</v>
      </c>
      <c r="E97">
        <v>1133.4969108560999</v>
      </c>
      <c r="F97">
        <v>116.09322779244</v>
      </c>
      <c r="G97">
        <v>106.03254177661</v>
      </c>
      <c r="I97" s="9">
        <f t="shared" si="8"/>
        <v>1027.4643690794899</v>
      </c>
      <c r="J97" s="9">
        <f t="shared" si="9"/>
        <v>4956.2351040698595</v>
      </c>
      <c r="K97" s="9">
        <f t="shared" si="10"/>
        <v>1027.4643690794899</v>
      </c>
      <c r="L97" s="10">
        <f t="shared" si="7"/>
        <v>0.20730743144847544</v>
      </c>
      <c r="M97" s="10">
        <f t="shared" si="11"/>
        <v>0.20774547842388058</v>
      </c>
      <c r="P97" s="8">
        <f t="shared" si="12"/>
        <v>39.190160133094132</v>
      </c>
      <c r="U97" s="8">
        <v>157</v>
      </c>
      <c r="V97" s="10">
        <f t="shared" si="13"/>
        <v>0.14492290019059154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4923.6169461605996</v>
      </c>
      <c r="E98">
        <v>1069.2974404237</v>
      </c>
      <c r="F98">
        <v>115.99560246262</v>
      </c>
      <c r="G98">
        <v>106.47141600704001</v>
      </c>
      <c r="I98" s="9">
        <f t="shared" si="8"/>
        <v>962.82602441665995</v>
      </c>
      <c r="J98" s="9">
        <f t="shared" si="9"/>
        <v>4807.6213436979797</v>
      </c>
      <c r="K98" s="9">
        <f t="shared" si="10"/>
        <v>962.82602441665995</v>
      </c>
      <c r="L98" s="10">
        <f t="shared" si="7"/>
        <v>0.20027076917752068</v>
      </c>
      <c r="M98" s="10">
        <f t="shared" si="11"/>
        <v>0.20071342717371957</v>
      </c>
      <c r="P98" s="8">
        <f t="shared" si="12"/>
        <v>34.478662453337542</v>
      </c>
      <c r="U98" s="8">
        <v>157.5</v>
      </c>
      <c r="V98" s="10">
        <f t="shared" si="13"/>
        <v>0.1477864282717205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5107.1791703442004</v>
      </c>
      <c r="E99">
        <v>1108.0264783759999</v>
      </c>
      <c r="F99">
        <v>115.91820580475</v>
      </c>
      <c r="G99">
        <v>106.41512752858</v>
      </c>
      <c r="I99" s="9">
        <f t="shared" si="8"/>
        <v>1001.6113508474199</v>
      </c>
      <c r="J99" s="9">
        <f t="shared" si="9"/>
        <v>4991.2609645394505</v>
      </c>
      <c r="K99" s="9">
        <f t="shared" si="10"/>
        <v>1001.6113508474199</v>
      </c>
      <c r="L99" s="10">
        <f t="shared" si="7"/>
        <v>0.20067300787584441</v>
      </c>
      <c r="M99" s="10">
        <f t="shared" si="11"/>
        <v>0.20112027689283701</v>
      </c>
      <c r="P99" s="8">
        <f t="shared" si="12"/>
        <v>34.751253115640743</v>
      </c>
      <c r="U99" s="8">
        <v>158</v>
      </c>
      <c r="V99" s="10">
        <f t="shared" si="13"/>
        <v>0.15213887546232921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5324.1451327433997</v>
      </c>
      <c r="E100">
        <v>1211.2318584070999</v>
      </c>
      <c r="F100">
        <v>115.90501319261</v>
      </c>
      <c r="G100">
        <v>105.97009674582</v>
      </c>
      <c r="I100" s="9">
        <f t="shared" si="8"/>
        <v>1105.2617616612799</v>
      </c>
      <c r="J100" s="9">
        <f t="shared" si="9"/>
        <v>5208.24011955079</v>
      </c>
      <c r="K100" s="9">
        <f t="shared" si="10"/>
        <v>1105.2617616612799</v>
      </c>
      <c r="L100" s="10">
        <f t="shared" si="7"/>
        <v>0.21221405624374487</v>
      </c>
      <c r="M100" s="10">
        <f t="shared" si="11"/>
        <v>0.21266593628153121</v>
      </c>
      <c r="P100" s="8">
        <f t="shared" si="12"/>
        <v>42.486883230658336</v>
      </c>
      <c r="U100" s="8">
        <v>158.5</v>
      </c>
      <c r="V100" s="10">
        <f t="shared" si="13"/>
        <v>0.15055327975482596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5699.5350488021004</v>
      </c>
      <c r="E101">
        <v>1281.6007098492</v>
      </c>
      <c r="F101">
        <v>116.33421284081</v>
      </c>
      <c r="G101">
        <v>106.33861037819</v>
      </c>
      <c r="I101" s="9">
        <f t="shared" si="8"/>
        <v>1175.2620994710101</v>
      </c>
      <c r="J101" s="9">
        <f t="shared" si="9"/>
        <v>5583.2008359612901</v>
      </c>
      <c r="K101" s="9">
        <f t="shared" si="10"/>
        <v>1175.2620994710101</v>
      </c>
      <c r="L101" s="10">
        <f t="shared" si="7"/>
        <v>0.21049969972442498</v>
      </c>
      <c r="M101" s="10">
        <f t="shared" si="11"/>
        <v>0.21095619078300507</v>
      </c>
      <c r="P101" s="8">
        <f t="shared" si="12"/>
        <v>41.34134807132687</v>
      </c>
      <c r="U101" s="8">
        <v>159</v>
      </c>
      <c r="V101" s="10">
        <f t="shared" si="13"/>
        <v>0.14556535242671506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5806.7746228925998</v>
      </c>
      <c r="E102">
        <v>1285.2590949423</v>
      </c>
      <c r="F102">
        <v>115.8144239226</v>
      </c>
      <c r="G102">
        <v>106.30606860157999</v>
      </c>
      <c r="I102" s="9">
        <f t="shared" si="8"/>
        <v>1178.95302634072</v>
      </c>
      <c r="J102" s="9">
        <f t="shared" si="9"/>
        <v>5690.9601989699995</v>
      </c>
      <c r="K102" s="9">
        <f t="shared" si="10"/>
        <v>1178.95302634072</v>
      </c>
      <c r="L102" s="10">
        <f t="shared" si="7"/>
        <v>0.20716240935125455</v>
      </c>
      <c r="M102" s="10">
        <f t="shared" si="11"/>
        <v>0.20762351143062838</v>
      </c>
      <c r="P102" s="8">
        <f t="shared" si="12"/>
        <v>39.108441842758644</v>
      </c>
      <c r="U102" s="8">
        <v>159.5</v>
      </c>
      <c r="V102" s="10">
        <f t="shared" si="13"/>
        <v>0.14748726076529953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5567.3292035397999</v>
      </c>
      <c r="E103">
        <v>1235.0699115043999</v>
      </c>
      <c r="F103">
        <v>116.16446789798</v>
      </c>
      <c r="G103">
        <v>105.98240985048</v>
      </c>
      <c r="I103" s="9">
        <f t="shared" si="8"/>
        <v>1129.0875016539198</v>
      </c>
      <c r="J103" s="9">
        <f t="shared" si="9"/>
        <v>5451.1647356418198</v>
      </c>
      <c r="K103" s="9">
        <f t="shared" si="10"/>
        <v>1129.0875016539198</v>
      </c>
      <c r="L103" s="10">
        <f t="shared" si="7"/>
        <v>0.2071277527665803</v>
      </c>
      <c r="M103" s="10">
        <f t="shared" si="11"/>
        <v>0.20759346586674787</v>
      </c>
      <c r="P103" s="8">
        <f t="shared" si="12"/>
        <v>39.088311215225644</v>
      </c>
      <c r="U103" s="8">
        <v>160</v>
      </c>
      <c r="V103" s="10">
        <f t="shared" si="13"/>
        <v>0.14989396883937742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5375.5061946902997</v>
      </c>
      <c r="E104">
        <v>1206.1566371680999</v>
      </c>
      <c r="F104">
        <v>116.03078276165</v>
      </c>
      <c r="G104">
        <v>106.24098504837001</v>
      </c>
      <c r="I104" s="9">
        <f t="shared" si="8"/>
        <v>1099.9156521197299</v>
      </c>
      <c r="J104" s="9">
        <f t="shared" si="9"/>
        <v>5259.4754119286499</v>
      </c>
      <c r="K104" s="9">
        <f t="shared" si="10"/>
        <v>1099.9156521197299</v>
      </c>
      <c r="L104" s="10">
        <f t="shared" si="7"/>
        <v>0.2091302964598119</v>
      </c>
      <c r="M104" s="10">
        <f t="shared" si="11"/>
        <v>0.20960062058077319</v>
      </c>
      <c r="P104" s="8">
        <f t="shared" si="12"/>
        <v>40.43311153615992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5536.8608156028004</v>
      </c>
      <c r="E105">
        <v>1218.2429078014</v>
      </c>
      <c r="F105">
        <v>116.02726473174999</v>
      </c>
      <c r="G105">
        <v>106.20756376429</v>
      </c>
      <c r="I105" s="9">
        <f t="shared" si="8"/>
        <v>1112.03534403711</v>
      </c>
      <c r="J105" s="9">
        <f t="shared" si="9"/>
        <v>5420.8335508710506</v>
      </c>
      <c r="K105" s="9">
        <f t="shared" si="10"/>
        <v>1112.03534403711</v>
      </c>
      <c r="L105" s="10">
        <f t="shared" si="7"/>
        <v>0.20514102371920676</v>
      </c>
      <c r="M105" s="10">
        <f t="shared" si="11"/>
        <v>0.20561595886096179</v>
      </c>
      <c r="P105" s="8">
        <f t="shared" si="12"/>
        <v>37.76337495722408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5493.3812056737997</v>
      </c>
      <c r="E106">
        <v>1222.0443262411</v>
      </c>
      <c r="F106">
        <v>115.8874230431</v>
      </c>
      <c r="G106">
        <v>106.17502198769</v>
      </c>
      <c r="I106" s="9">
        <f t="shared" si="8"/>
        <v>1115.8693042534101</v>
      </c>
      <c r="J106" s="9">
        <f t="shared" si="9"/>
        <v>5377.4937826306996</v>
      </c>
      <c r="K106" s="9">
        <f t="shared" si="10"/>
        <v>1115.8693042534101</v>
      </c>
      <c r="L106" s="10">
        <f t="shared" si="7"/>
        <v>0.20750731648591897</v>
      </c>
      <c r="M106" s="10">
        <f t="shared" si="11"/>
        <v>0.20798686264846775</v>
      </c>
      <c r="P106" s="8">
        <f t="shared" si="12"/>
        <v>39.35188836481688</v>
      </c>
      <c r="X106" s="8">
        <v>-13</v>
      </c>
    </row>
    <row r="107" spans="1:25" x14ac:dyDescent="0.2">
      <c r="A107" s="8">
        <v>52.5</v>
      </c>
      <c r="B107" s="8">
        <v>105</v>
      </c>
      <c r="D107">
        <v>5295.1143617020998</v>
      </c>
      <c r="E107">
        <v>1192.2455673759</v>
      </c>
      <c r="F107">
        <v>116.27176781003</v>
      </c>
      <c r="G107">
        <v>106.09498680739</v>
      </c>
      <c r="I107" s="9">
        <f t="shared" si="8"/>
        <v>1086.1505805685101</v>
      </c>
      <c r="J107" s="9">
        <f t="shared" si="9"/>
        <v>5178.84259389207</v>
      </c>
      <c r="K107" s="9">
        <f t="shared" si="10"/>
        <v>1086.1505805685101</v>
      </c>
      <c r="L107" s="10">
        <f t="shared" si="7"/>
        <v>0.20972844045299172</v>
      </c>
      <c r="M107" s="10">
        <f t="shared" si="11"/>
        <v>0.21021259763633424</v>
      </c>
      <c r="P107" s="8">
        <f t="shared" si="12"/>
        <v>40.843138194778781</v>
      </c>
      <c r="X107" s="8">
        <v>-13</v>
      </c>
    </row>
    <row r="108" spans="1:25" x14ac:dyDescent="0.2">
      <c r="A108" s="8">
        <v>53</v>
      </c>
      <c r="B108" s="8">
        <v>106</v>
      </c>
      <c r="D108">
        <v>5297.6817375887003</v>
      </c>
      <c r="E108">
        <v>1164.7039007092001</v>
      </c>
      <c r="F108">
        <v>116.36323658751</v>
      </c>
      <c r="G108">
        <v>106.20844327176999</v>
      </c>
      <c r="I108" s="9">
        <f t="shared" si="8"/>
        <v>1058.4954574374301</v>
      </c>
      <c r="J108" s="9">
        <f t="shared" si="9"/>
        <v>5181.3185010011903</v>
      </c>
      <c r="K108" s="9">
        <f t="shared" si="10"/>
        <v>1058.4954574374301</v>
      </c>
      <c r="L108" s="10">
        <f t="shared" si="7"/>
        <v>0.20429075287166698</v>
      </c>
      <c r="M108" s="10">
        <f t="shared" si="11"/>
        <v>0.20477952107580324</v>
      </c>
      <c r="P108" s="8">
        <f t="shared" si="12"/>
        <v>37.202958864701294</v>
      </c>
      <c r="X108" s="8">
        <v>-13</v>
      </c>
    </row>
    <row r="109" spans="1:25" x14ac:dyDescent="0.2">
      <c r="A109" s="8">
        <v>53.5</v>
      </c>
      <c r="B109" s="8">
        <v>107</v>
      </c>
      <c r="D109">
        <v>5450.9538598048002</v>
      </c>
      <c r="E109">
        <v>1240.6850044365999</v>
      </c>
      <c r="F109">
        <v>115.80914687775</v>
      </c>
      <c r="G109">
        <v>106.16182937555</v>
      </c>
      <c r="I109" s="9">
        <f t="shared" si="8"/>
        <v>1134.5231750610499</v>
      </c>
      <c r="J109" s="9">
        <f t="shared" si="9"/>
        <v>5335.14471292705</v>
      </c>
      <c r="K109" s="9">
        <f t="shared" si="10"/>
        <v>1134.5231750610499</v>
      </c>
      <c r="L109" s="10">
        <f t="shared" si="7"/>
        <v>0.21265087192707283</v>
      </c>
      <c r="M109" s="10">
        <f t="shared" si="11"/>
        <v>0.21314425115200283</v>
      </c>
      <c r="P109" s="8">
        <f t="shared" si="12"/>
        <v>42.807355781589827</v>
      </c>
      <c r="X109" s="8">
        <v>-13</v>
      </c>
    </row>
    <row r="110" spans="1:25" x14ac:dyDescent="0.2">
      <c r="A110" s="8">
        <v>54</v>
      </c>
      <c r="B110" s="8">
        <v>108</v>
      </c>
      <c r="D110">
        <v>5530.5897435897004</v>
      </c>
      <c r="E110">
        <v>1244.8178603005999</v>
      </c>
      <c r="F110">
        <v>115.80211081794</v>
      </c>
      <c r="G110">
        <v>106.05540897098</v>
      </c>
      <c r="I110" s="9">
        <f t="shared" si="8"/>
        <v>1138.76245132962</v>
      </c>
      <c r="J110" s="9">
        <f t="shared" si="9"/>
        <v>5414.7876327717604</v>
      </c>
      <c r="K110" s="9">
        <f t="shared" si="10"/>
        <v>1138.76245132962</v>
      </c>
      <c r="L110" s="10">
        <f t="shared" si="7"/>
        <v>0.21030602279533947</v>
      </c>
      <c r="M110" s="10">
        <f t="shared" si="11"/>
        <v>0.21080401304106319</v>
      </c>
      <c r="P110" s="8">
        <f t="shared" si="12"/>
        <v>41.239388479087928</v>
      </c>
      <c r="X110" s="8">
        <v>-13</v>
      </c>
    </row>
    <row r="111" spans="1:25" x14ac:dyDescent="0.2">
      <c r="A111" s="8">
        <v>54.5</v>
      </c>
      <c r="B111" s="8">
        <v>109</v>
      </c>
      <c r="D111">
        <v>5745.0176834659997</v>
      </c>
      <c r="E111">
        <v>1272.0335985853001</v>
      </c>
      <c r="F111">
        <v>116.27352682498</v>
      </c>
      <c r="G111">
        <v>106.1125769569</v>
      </c>
      <c r="I111" s="9">
        <f t="shared" si="8"/>
        <v>1165.9210216284</v>
      </c>
      <c r="J111" s="9">
        <f t="shared" si="9"/>
        <v>5628.7441566410198</v>
      </c>
      <c r="K111" s="9">
        <f t="shared" si="10"/>
        <v>1165.9210216284</v>
      </c>
      <c r="L111" s="10">
        <f t="shared" si="7"/>
        <v>0.20713697215262472</v>
      </c>
      <c r="M111" s="10">
        <f t="shared" si="11"/>
        <v>0.20763957341914219</v>
      </c>
      <c r="P111" s="8">
        <f t="shared" si="12"/>
        <v>39.119203428378967</v>
      </c>
      <c r="X111" s="8">
        <v>-13</v>
      </c>
    </row>
    <row r="112" spans="1:25" x14ac:dyDescent="0.2">
      <c r="A112" s="8">
        <v>55</v>
      </c>
      <c r="B112" s="8">
        <v>110</v>
      </c>
      <c r="D112">
        <v>5546.5587975242997</v>
      </c>
      <c r="E112">
        <v>1210.5685234306</v>
      </c>
      <c r="F112">
        <v>115.8144239226</v>
      </c>
      <c r="G112">
        <v>106.0219876869</v>
      </c>
      <c r="I112" s="9">
        <f t="shared" si="8"/>
        <v>1104.5465357436999</v>
      </c>
      <c r="J112" s="9">
        <f t="shared" si="9"/>
        <v>5430.7443736016994</v>
      </c>
      <c r="K112" s="9">
        <f t="shared" si="10"/>
        <v>1104.5465357436999</v>
      </c>
      <c r="L112" s="10">
        <f t="shared" si="7"/>
        <v>0.20338768679903058</v>
      </c>
      <c r="M112" s="10">
        <f t="shared" si="11"/>
        <v>0.20389489908634179</v>
      </c>
      <c r="P112" s="8">
        <f t="shared" si="12"/>
        <v>36.610259195353194</v>
      </c>
      <c r="X112" s="8">
        <v>-13</v>
      </c>
    </row>
    <row r="113" spans="1:24" x14ac:dyDescent="0.2">
      <c r="A113" s="8">
        <v>55.5</v>
      </c>
      <c r="B113" s="8">
        <v>111</v>
      </c>
      <c r="D113">
        <v>5665.1246684349999</v>
      </c>
      <c r="E113">
        <v>1267.8479221928001</v>
      </c>
      <c r="F113">
        <v>115.91204925242</v>
      </c>
      <c r="G113">
        <v>105.97889182058</v>
      </c>
      <c r="I113" s="9">
        <f t="shared" si="8"/>
        <v>1161.8690303722201</v>
      </c>
      <c r="J113" s="9">
        <f t="shared" si="9"/>
        <v>5549.2126191825801</v>
      </c>
      <c r="K113" s="9">
        <f t="shared" si="10"/>
        <v>1161.8690303722201</v>
      </c>
      <c r="L113" s="10">
        <f t="shared" si="7"/>
        <v>0.20937547542436169</v>
      </c>
      <c r="M113" s="10">
        <f t="shared" si="11"/>
        <v>0.20988729873246664</v>
      </c>
      <c r="P113" s="8">
        <f t="shared" si="12"/>
        <v>40.625186849392271</v>
      </c>
      <c r="X113" s="8">
        <v>-13</v>
      </c>
    </row>
    <row r="114" spans="1:24" x14ac:dyDescent="0.2">
      <c r="A114" s="8">
        <v>56</v>
      </c>
      <c r="B114" s="8">
        <v>112</v>
      </c>
      <c r="D114">
        <v>5562.8965517241004</v>
      </c>
      <c r="E114">
        <v>1248.6277630416</v>
      </c>
      <c r="F114">
        <v>115.79331574318</v>
      </c>
      <c r="G114">
        <v>106.21284080914999</v>
      </c>
      <c r="I114" s="9">
        <f t="shared" si="8"/>
        <v>1142.41492223245</v>
      </c>
      <c r="J114" s="9">
        <f t="shared" si="9"/>
        <v>5447.1032359809205</v>
      </c>
      <c r="K114" s="9">
        <f t="shared" si="10"/>
        <v>1142.41492223245</v>
      </c>
      <c r="L114" s="10">
        <f t="shared" si="7"/>
        <v>0.20972889125475194</v>
      </c>
      <c r="M114" s="10">
        <f t="shared" si="11"/>
        <v>0.21024532558365064</v>
      </c>
      <c r="P114" s="8">
        <f t="shared" si="12"/>
        <v>40.865066028117724</v>
      </c>
      <c r="X114" s="8">
        <v>-13</v>
      </c>
    </row>
    <row r="115" spans="1:24" x14ac:dyDescent="0.2">
      <c r="A115" s="8">
        <v>56.5</v>
      </c>
      <c r="B115" s="8">
        <v>113</v>
      </c>
      <c r="D115">
        <v>5265.4500442087001</v>
      </c>
      <c r="E115">
        <v>1193.2732095491001</v>
      </c>
      <c r="F115">
        <v>115.90765171504</v>
      </c>
      <c r="G115">
        <v>106.21196130167</v>
      </c>
      <c r="I115" s="9">
        <f t="shared" si="8"/>
        <v>1087.0612482474301</v>
      </c>
      <c r="J115" s="9">
        <f t="shared" si="9"/>
        <v>5149.5423924936604</v>
      </c>
      <c r="K115" s="9">
        <f t="shared" si="10"/>
        <v>1087.0612482474301</v>
      </c>
      <c r="L115" s="10">
        <f t="shared" si="7"/>
        <v>0.21109861137020794</v>
      </c>
      <c r="M115" s="10">
        <f t="shared" si="11"/>
        <v>0.21161965671990035</v>
      </c>
      <c r="P115" s="8">
        <f t="shared" si="12"/>
        <v>41.785872451351558</v>
      </c>
      <c r="X115" s="8">
        <v>-13</v>
      </c>
    </row>
    <row r="116" spans="1:24" x14ac:dyDescent="0.2">
      <c r="A116" s="8">
        <v>57</v>
      </c>
      <c r="B116" s="8">
        <v>114</v>
      </c>
      <c r="D116">
        <v>5166.0784140968999</v>
      </c>
      <c r="E116">
        <v>1200.0960352423001</v>
      </c>
      <c r="F116">
        <v>115.52154793315999</v>
      </c>
      <c r="G116">
        <v>106.10378188215</v>
      </c>
      <c r="I116" s="9">
        <f t="shared" si="8"/>
        <v>1093.99225336015</v>
      </c>
      <c r="J116" s="9">
        <f t="shared" si="9"/>
        <v>5050.5568661637399</v>
      </c>
      <c r="K116" s="9">
        <f t="shared" si="10"/>
        <v>1093.99225336015</v>
      </c>
      <c r="L116" s="10">
        <f t="shared" si="7"/>
        <v>0.21660824387294061</v>
      </c>
      <c r="M116" s="10">
        <f t="shared" si="11"/>
        <v>0.21713390024342677</v>
      </c>
      <c r="P116" s="8">
        <f t="shared" si="12"/>
        <v>45.480433916061116</v>
      </c>
      <c r="X116" s="8">
        <v>-13</v>
      </c>
    </row>
    <row r="117" spans="1:24" x14ac:dyDescent="0.2">
      <c r="A117" s="8">
        <v>57.5</v>
      </c>
      <c r="B117" s="8">
        <v>115</v>
      </c>
      <c r="D117">
        <v>5175.6599118943004</v>
      </c>
      <c r="E117">
        <v>1192.1259911894001</v>
      </c>
      <c r="F117">
        <v>115.88654353562001</v>
      </c>
      <c r="G117">
        <v>106.44503078276</v>
      </c>
      <c r="I117" s="9">
        <f t="shared" si="8"/>
        <v>1085.6809604066402</v>
      </c>
      <c r="J117" s="9">
        <f t="shared" si="9"/>
        <v>5059.7733683586803</v>
      </c>
      <c r="K117" s="9">
        <f t="shared" si="10"/>
        <v>1085.6809604066402</v>
      </c>
      <c r="L117" s="10">
        <f t="shared" si="7"/>
        <v>0.21457106501962162</v>
      </c>
      <c r="M117" s="10">
        <f t="shared" si="11"/>
        <v>0.21510133241090151</v>
      </c>
      <c r="P117" s="8">
        <f t="shared" si="12"/>
        <v>44.118606721375727</v>
      </c>
      <c r="X117" s="8">
        <v>-13</v>
      </c>
    </row>
    <row r="118" spans="1:24" x14ac:dyDescent="0.2">
      <c r="A118" s="8">
        <v>58</v>
      </c>
      <c r="B118" s="8">
        <v>116</v>
      </c>
      <c r="D118">
        <v>5036.1920704845998</v>
      </c>
      <c r="E118">
        <v>1177.3850220264001</v>
      </c>
      <c r="F118">
        <v>115.81266490765</v>
      </c>
      <c r="G118">
        <v>106.14072119613</v>
      </c>
      <c r="I118" s="9">
        <f t="shared" si="8"/>
        <v>1071.24430083027</v>
      </c>
      <c r="J118" s="9">
        <f t="shared" si="9"/>
        <v>4920.3794055769495</v>
      </c>
      <c r="K118" s="9">
        <f t="shared" si="10"/>
        <v>1071.24430083027</v>
      </c>
      <c r="L118" s="10">
        <f t="shared" si="7"/>
        <v>0.2177157923261121</v>
      </c>
      <c r="M118" s="10">
        <f t="shared" si="11"/>
        <v>0.21825067073818574</v>
      </c>
      <c r="P118" s="8">
        <f t="shared" si="12"/>
        <v>46.228673854550898</v>
      </c>
      <c r="X118" s="8">
        <v>-13</v>
      </c>
    </row>
    <row r="119" spans="1:24" x14ac:dyDescent="0.2">
      <c r="A119" s="8">
        <v>58.5</v>
      </c>
      <c r="B119" s="8">
        <v>117</v>
      </c>
      <c r="D119">
        <v>5719.3056537103002</v>
      </c>
      <c r="E119">
        <v>1326.0379858657</v>
      </c>
      <c r="F119">
        <v>115.87598944590999</v>
      </c>
      <c r="G119">
        <v>105.87686895339</v>
      </c>
      <c r="I119" s="9">
        <f t="shared" si="8"/>
        <v>1220.16111691231</v>
      </c>
      <c r="J119" s="9">
        <f t="shared" si="9"/>
        <v>5603.4296642643903</v>
      </c>
      <c r="K119" s="9">
        <f t="shared" si="10"/>
        <v>1220.16111691231</v>
      </c>
      <c r="L119" s="10">
        <f t="shared" si="7"/>
        <v>0.21775255335028657</v>
      </c>
      <c r="M119" s="10">
        <f t="shared" si="11"/>
        <v>0.21829204278315395</v>
      </c>
      <c r="P119" s="8">
        <f t="shared" si="12"/>
        <v>46.256393262009723</v>
      </c>
      <c r="X119" s="8">
        <v>-13</v>
      </c>
    </row>
    <row r="120" spans="1:24" x14ac:dyDescent="0.2">
      <c r="A120" s="8">
        <v>59</v>
      </c>
      <c r="B120" s="8">
        <v>118</v>
      </c>
      <c r="D120">
        <v>6254.0462222222004</v>
      </c>
      <c r="E120">
        <v>1381.0053333333001</v>
      </c>
      <c r="F120">
        <v>116.06508355321</v>
      </c>
      <c r="G120">
        <v>106.07387862797</v>
      </c>
      <c r="I120" s="9">
        <f t="shared" si="8"/>
        <v>1274.93145470533</v>
      </c>
      <c r="J120" s="9">
        <f t="shared" si="9"/>
        <v>6137.9811386689908</v>
      </c>
      <c r="K120" s="9">
        <f t="shared" si="10"/>
        <v>1274.93145470533</v>
      </c>
      <c r="L120" s="10">
        <f t="shared" si="7"/>
        <v>0.20771185604877834</v>
      </c>
      <c r="M120" s="10">
        <f t="shared" si="11"/>
        <v>0.20825595650243947</v>
      </c>
      <c r="P120" s="8">
        <f t="shared" si="12"/>
        <v>39.532182140206459</v>
      </c>
      <c r="X120" s="8">
        <v>-13</v>
      </c>
    </row>
    <row r="121" spans="1:24" x14ac:dyDescent="0.2">
      <c r="A121" s="8">
        <v>59.5</v>
      </c>
      <c r="B121" s="8">
        <v>119</v>
      </c>
      <c r="D121">
        <v>6172.6557522124003</v>
      </c>
      <c r="E121">
        <v>1371.8035398229999</v>
      </c>
      <c r="F121">
        <v>115.94635004398</v>
      </c>
      <c r="G121">
        <v>106.25681618294</v>
      </c>
      <c r="I121" s="9">
        <f t="shared" si="8"/>
        <v>1265.54672364006</v>
      </c>
      <c r="J121" s="9">
        <f t="shared" si="9"/>
        <v>6056.7094021684206</v>
      </c>
      <c r="K121" s="9">
        <f t="shared" si="10"/>
        <v>1265.54672364006</v>
      </c>
      <c r="L121" s="10">
        <f t="shared" si="7"/>
        <v>0.20894955323215103</v>
      </c>
      <c r="M121" s="10">
        <f t="shared" si="11"/>
        <v>0.20949826470660587</v>
      </c>
      <c r="P121" s="8">
        <f t="shared" si="12"/>
        <v>40.364532760708343</v>
      </c>
      <c r="X121" s="8">
        <v>-13</v>
      </c>
    </row>
    <row r="122" spans="1:24" x14ac:dyDescent="0.2">
      <c r="A122" s="8">
        <v>60</v>
      </c>
      <c r="B122" s="8">
        <v>120</v>
      </c>
      <c r="D122">
        <v>6043.9725663716999</v>
      </c>
      <c r="E122">
        <v>1349.3610619469</v>
      </c>
      <c r="F122">
        <v>115.5892700088</v>
      </c>
      <c r="G122">
        <v>106.48812664908</v>
      </c>
      <c r="I122" s="9">
        <f t="shared" si="8"/>
        <v>1242.87293529782</v>
      </c>
      <c r="J122" s="9">
        <f t="shared" si="9"/>
        <v>5928.3832963629002</v>
      </c>
      <c r="K122" s="9">
        <f t="shared" si="10"/>
        <v>1242.87293529782</v>
      </c>
      <c r="L122" s="10">
        <f t="shared" si="7"/>
        <v>0.2096478707880326</v>
      </c>
      <c r="M122" s="10">
        <f t="shared" si="11"/>
        <v>0.21020119328328118</v>
      </c>
      <c r="P122" s="8">
        <f t="shared" si="12"/>
        <v>40.835497240377698</v>
      </c>
      <c r="X122" s="8">
        <v>-13</v>
      </c>
    </row>
    <row r="123" spans="1:24" x14ac:dyDescent="0.2">
      <c r="A123" s="8">
        <v>60.5</v>
      </c>
      <c r="B123" s="8">
        <v>121</v>
      </c>
      <c r="D123">
        <v>5899.6836555359996</v>
      </c>
      <c r="E123">
        <v>1309.9956063269001</v>
      </c>
      <c r="F123">
        <v>115.82321899736</v>
      </c>
      <c r="G123">
        <v>106.5417766051</v>
      </c>
      <c r="I123" s="9">
        <f t="shared" si="8"/>
        <v>1203.4538297218</v>
      </c>
      <c r="J123" s="9">
        <f t="shared" si="9"/>
        <v>5783.86043653864</v>
      </c>
      <c r="K123" s="9">
        <f t="shared" si="10"/>
        <v>1203.4538297218</v>
      </c>
      <c r="L123" s="10">
        <f t="shared" si="7"/>
        <v>0.20807103541419628</v>
      </c>
      <c r="M123" s="10">
        <f t="shared" si="11"/>
        <v>0.20862896893023861</v>
      </c>
      <c r="P123" s="8">
        <f t="shared" si="12"/>
        <v>39.782101705007086</v>
      </c>
      <c r="X123" s="8">
        <v>-13</v>
      </c>
    </row>
    <row r="124" spans="1:24" x14ac:dyDescent="0.2">
      <c r="A124" s="8">
        <v>61</v>
      </c>
      <c r="B124" s="8">
        <v>122</v>
      </c>
      <c r="D124">
        <v>5776.4753954305997</v>
      </c>
      <c r="E124">
        <v>1293.7161687170999</v>
      </c>
      <c r="F124">
        <v>115.78540017589999</v>
      </c>
      <c r="G124">
        <v>106.60070360598</v>
      </c>
      <c r="I124" s="9">
        <f t="shared" si="8"/>
        <v>1187.1154651111199</v>
      </c>
      <c r="J124" s="9">
        <f t="shared" si="9"/>
        <v>5660.6899952547001</v>
      </c>
      <c r="K124" s="9">
        <f t="shared" si="10"/>
        <v>1187.1154651111199</v>
      </c>
      <c r="L124" s="10">
        <f t="shared" si="7"/>
        <v>0.20971214924439721</v>
      </c>
      <c r="M124" s="10">
        <f t="shared" si="11"/>
        <v>0.21027469378123329</v>
      </c>
      <c r="P124" s="8">
        <f t="shared" si="12"/>
        <v>40.884742817982719</v>
      </c>
      <c r="X124" s="8">
        <v>-13</v>
      </c>
    </row>
    <row r="125" spans="1:24" x14ac:dyDescent="0.2">
      <c r="A125" s="8">
        <v>61.5</v>
      </c>
      <c r="B125" s="8">
        <v>123</v>
      </c>
      <c r="D125">
        <v>5880.8752196837004</v>
      </c>
      <c r="E125">
        <v>1300.8717047452001</v>
      </c>
      <c r="F125">
        <v>115.71591908531001</v>
      </c>
      <c r="G125">
        <v>106.59806508355</v>
      </c>
      <c r="I125" s="9">
        <f t="shared" si="8"/>
        <v>1194.2736396616501</v>
      </c>
      <c r="J125" s="9">
        <f t="shared" si="9"/>
        <v>5765.1593005983905</v>
      </c>
      <c r="K125" s="9">
        <f t="shared" si="10"/>
        <v>1194.2736396616501</v>
      </c>
      <c r="L125" s="10">
        <f t="shared" si="7"/>
        <v>0.20715362358464082</v>
      </c>
      <c r="M125" s="10">
        <f t="shared" si="11"/>
        <v>0.20772077914227063</v>
      </c>
      <c r="P125" s="8">
        <f t="shared" si="12"/>
        <v>39.173611532428822</v>
      </c>
      <c r="X125" s="8">
        <v>-13</v>
      </c>
    </row>
    <row r="126" spans="1:24" x14ac:dyDescent="0.2">
      <c r="A126" s="8">
        <v>62</v>
      </c>
      <c r="B126" s="8">
        <v>124</v>
      </c>
      <c r="D126">
        <v>5770.1616871705</v>
      </c>
      <c r="E126">
        <v>1271.4736379613</v>
      </c>
      <c r="F126">
        <v>115.58575197889</v>
      </c>
      <c r="G126">
        <v>106.42656112576999</v>
      </c>
      <c r="I126" s="9">
        <f t="shared" si="8"/>
        <v>1165.0470768355301</v>
      </c>
      <c r="J126" s="9">
        <f t="shared" si="9"/>
        <v>5654.5759351916104</v>
      </c>
      <c r="K126" s="9">
        <f t="shared" si="10"/>
        <v>1165.0470768355301</v>
      </c>
      <c r="L126" s="10">
        <f t="shared" si="7"/>
        <v>0.20603615376084811</v>
      </c>
      <c r="M126" s="10">
        <f t="shared" si="11"/>
        <v>0.20660792033927164</v>
      </c>
      <c r="P126" s="8">
        <f t="shared" si="12"/>
        <v>38.427992440402662</v>
      </c>
      <c r="X126" s="8">
        <v>-13</v>
      </c>
    </row>
    <row r="127" spans="1:24" x14ac:dyDescent="0.2">
      <c r="A127" s="8">
        <v>62.5</v>
      </c>
      <c r="B127" s="8">
        <v>125</v>
      </c>
      <c r="D127">
        <v>5720.0325131809996</v>
      </c>
      <c r="E127">
        <v>1256.2425307557</v>
      </c>
      <c r="F127">
        <v>115.65259454705</v>
      </c>
      <c r="G127">
        <v>106.11785400175999</v>
      </c>
      <c r="I127" s="9">
        <f t="shared" si="8"/>
        <v>1150.1246767539401</v>
      </c>
      <c r="J127" s="9">
        <f t="shared" si="9"/>
        <v>5604.3799186339493</v>
      </c>
      <c r="K127" s="9">
        <f t="shared" si="10"/>
        <v>1150.1246767539401</v>
      </c>
      <c r="L127" s="10">
        <f t="shared" si="7"/>
        <v>0.20521889904892093</v>
      </c>
      <c r="M127" s="10">
        <f t="shared" si="11"/>
        <v>0.20579527664813821</v>
      </c>
      <c r="P127" s="8">
        <f t="shared" si="12"/>
        <v>37.883518469858672</v>
      </c>
      <c r="X127" s="8">
        <v>-13</v>
      </c>
    </row>
    <row r="128" spans="1:24" x14ac:dyDescent="0.2">
      <c r="A128" s="8">
        <v>63</v>
      </c>
      <c r="B128" s="8">
        <v>126</v>
      </c>
      <c r="D128">
        <v>5809.934973638</v>
      </c>
      <c r="E128">
        <v>1255.3462214410999</v>
      </c>
      <c r="F128">
        <v>115.7238346526</v>
      </c>
      <c r="G128">
        <v>106.12049252419</v>
      </c>
      <c r="I128" s="9">
        <f t="shared" si="8"/>
        <v>1149.2257289169099</v>
      </c>
      <c r="J128" s="9">
        <f t="shared" si="9"/>
        <v>5694.2111389853999</v>
      </c>
      <c r="K128" s="9">
        <f t="shared" si="10"/>
        <v>1149.2257289169099</v>
      </c>
      <c r="L128" s="10">
        <f t="shared" si="7"/>
        <v>0.20182351880996111</v>
      </c>
      <c r="M128" s="10">
        <f t="shared" si="11"/>
        <v>0.20240450742997212</v>
      </c>
      <c r="P128" s="8">
        <f t="shared" si="12"/>
        <v>35.611691838388403</v>
      </c>
      <c r="X128" s="8">
        <v>-13</v>
      </c>
    </row>
    <row r="129" spans="1:24" x14ac:dyDescent="0.2">
      <c r="A129" s="8">
        <v>63.5</v>
      </c>
      <c r="B129" s="8">
        <v>127</v>
      </c>
      <c r="D129">
        <v>5886.1203866431997</v>
      </c>
      <c r="E129">
        <v>1256.9428822496</v>
      </c>
      <c r="F129">
        <v>115.69129287599</v>
      </c>
      <c r="G129">
        <v>106.21284080914999</v>
      </c>
      <c r="I129" s="9">
        <f t="shared" si="8"/>
        <v>1150.7300414404499</v>
      </c>
      <c r="J129" s="9">
        <f t="shared" si="9"/>
        <v>5770.4290937672095</v>
      </c>
      <c r="K129" s="9">
        <f t="shared" si="10"/>
        <v>1150.7300414404499</v>
      </c>
      <c r="L129" s="10">
        <f t="shared" si="7"/>
        <v>0.19941845272535855</v>
      </c>
      <c r="M129" s="10">
        <f t="shared" si="11"/>
        <v>0.20000405236616331</v>
      </c>
      <c r="P129" s="8">
        <f t="shared" si="12"/>
        <v>34.003378977580368</v>
      </c>
      <c r="X129" s="8">
        <v>-13</v>
      </c>
    </row>
    <row r="130" spans="1:24" x14ac:dyDescent="0.2">
      <c r="A130" s="8">
        <v>64</v>
      </c>
      <c r="B130" s="8">
        <v>128</v>
      </c>
      <c r="D130">
        <v>5931.0439367311001</v>
      </c>
      <c r="E130">
        <v>1248.1836555360001</v>
      </c>
      <c r="F130">
        <v>115.31398416886999</v>
      </c>
      <c r="G130">
        <v>106.10466138962001</v>
      </c>
      <c r="I130" s="9">
        <f t="shared" si="8"/>
        <v>1142.07899414638</v>
      </c>
      <c r="J130" s="9">
        <f t="shared" si="9"/>
        <v>5815.7299525622302</v>
      </c>
      <c r="K130" s="9">
        <f t="shared" si="10"/>
        <v>1142.07899414638</v>
      </c>
      <c r="L130" s="10">
        <f t="shared" ref="L130:L193" si="14">K130/J130</f>
        <v>0.19637758346107789</v>
      </c>
      <c r="M130" s="10">
        <f t="shared" si="11"/>
        <v>0.1969677941226764</v>
      </c>
      <c r="P130" s="8">
        <f t="shared" si="12"/>
        <v>31.96907587590675</v>
      </c>
      <c r="X130" s="8">
        <v>-13</v>
      </c>
    </row>
    <row r="131" spans="1:24" x14ac:dyDescent="0.2">
      <c r="A131" s="8">
        <v>64.5</v>
      </c>
      <c r="B131" s="8">
        <v>129</v>
      </c>
      <c r="D131">
        <v>5891.3699472758999</v>
      </c>
      <c r="E131">
        <v>1232.4103690684999</v>
      </c>
      <c r="F131">
        <v>116.00879507476</v>
      </c>
      <c r="G131">
        <v>106.19525065963001</v>
      </c>
      <c r="I131" s="9">
        <f t="shared" ref="I131:I194" si="15">E131-G131</f>
        <v>1126.2151184088698</v>
      </c>
      <c r="J131" s="9">
        <f t="shared" ref="J131:J194" si="16">D131-F131</f>
        <v>5775.3611522011397</v>
      </c>
      <c r="K131" s="9">
        <f t="shared" ref="K131:K194" si="17">I131*1</f>
        <v>1126.2151184088698</v>
      </c>
      <c r="L131" s="10">
        <f t="shared" si="14"/>
        <v>0.1950034099563869</v>
      </c>
      <c r="M131" s="10">
        <f t="shared" ref="M131:M181" si="18">L131+ABS($N$2)*A131</f>
        <v>0.19559823163877915</v>
      </c>
      <c r="P131" s="8">
        <f t="shared" ref="P131:P194" si="19">(M131-$O$2)/$O$2*100</f>
        <v>31.051464465578103</v>
      </c>
      <c r="X131" s="8">
        <v>-13</v>
      </c>
    </row>
    <row r="132" spans="1:24" x14ac:dyDescent="0.2">
      <c r="A132" s="8">
        <v>65</v>
      </c>
      <c r="B132" s="8">
        <v>130</v>
      </c>
      <c r="D132">
        <v>5939.7135325132003</v>
      </c>
      <c r="E132">
        <v>1228.1379613357001</v>
      </c>
      <c r="F132">
        <v>115.69569041337</v>
      </c>
      <c r="G132">
        <v>106.06508355321</v>
      </c>
      <c r="I132" s="9">
        <f t="shared" si="15"/>
        <v>1122.0728777824902</v>
      </c>
      <c r="J132" s="9">
        <f t="shared" si="16"/>
        <v>5824.01784209983</v>
      </c>
      <c r="K132" s="9">
        <f t="shared" si="17"/>
        <v>1122.0728777824902</v>
      </c>
      <c r="L132" s="10">
        <f t="shared" si="14"/>
        <v>0.19266302202431623</v>
      </c>
      <c r="M132" s="10">
        <f t="shared" si="18"/>
        <v>0.1932624547275022</v>
      </c>
      <c r="P132" s="8">
        <f t="shared" si="19"/>
        <v>29.486486181658687</v>
      </c>
      <c r="X132" s="8">
        <v>-13</v>
      </c>
    </row>
    <row r="133" spans="1:24" x14ac:dyDescent="0.2">
      <c r="A133" s="8">
        <v>65.5</v>
      </c>
      <c r="B133" s="8">
        <v>131</v>
      </c>
      <c r="D133">
        <v>5901.4376098417997</v>
      </c>
      <c r="E133">
        <v>1211.5852372584</v>
      </c>
      <c r="F133">
        <v>115.71767810026</v>
      </c>
      <c r="G133">
        <v>106.15831134565001</v>
      </c>
      <c r="I133" s="9">
        <f t="shared" si="15"/>
        <v>1105.42692591275</v>
      </c>
      <c r="J133" s="9">
        <f t="shared" si="16"/>
        <v>5785.7199317415398</v>
      </c>
      <c r="K133" s="9">
        <f t="shared" si="17"/>
        <v>1105.42692591275</v>
      </c>
      <c r="L133" s="10">
        <f t="shared" si="14"/>
        <v>0.19106125753653777</v>
      </c>
      <c r="M133" s="10">
        <f t="shared" si="18"/>
        <v>0.19166530126051748</v>
      </c>
      <c r="P133" s="8">
        <f t="shared" si="19"/>
        <v>28.416388057197295</v>
      </c>
      <c r="X133" s="8">
        <v>-13</v>
      </c>
    </row>
    <row r="134" spans="1:24" x14ac:dyDescent="0.2">
      <c r="A134" s="8">
        <v>66</v>
      </c>
      <c r="B134" s="8">
        <v>132</v>
      </c>
      <c r="D134">
        <v>5906.0202108963003</v>
      </c>
      <c r="E134">
        <v>1208.6221441125001</v>
      </c>
      <c r="F134">
        <v>115.24626209323</v>
      </c>
      <c r="G134">
        <v>106.14335971856001</v>
      </c>
      <c r="I134" s="9">
        <f t="shared" si="15"/>
        <v>1102.47878439394</v>
      </c>
      <c r="J134" s="9">
        <f t="shared" si="16"/>
        <v>5790.7739488030702</v>
      </c>
      <c r="K134" s="9">
        <f t="shared" si="17"/>
        <v>1102.47878439394</v>
      </c>
      <c r="L134" s="10">
        <f t="shared" si="14"/>
        <v>0.19038539479197214</v>
      </c>
      <c r="M134" s="10">
        <f t="shared" si="18"/>
        <v>0.19099404953674559</v>
      </c>
      <c r="P134" s="8">
        <f t="shared" si="19"/>
        <v>27.966647174121185</v>
      </c>
      <c r="X134" s="8">
        <v>-13</v>
      </c>
    </row>
    <row r="135" spans="1:24" x14ac:dyDescent="0.2">
      <c r="A135" s="8">
        <v>66.5</v>
      </c>
      <c r="B135" s="8">
        <v>133</v>
      </c>
      <c r="D135">
        <v>5883.7231985939998</v>
      </c>
      <c r="E135">
        <v>1204.5404217926</v>
      </c>
      <c r="F135">
        <v>115.78627968338</v>
      </c>
      <c r="G135">
        <v>106.04485488127</v>
      </c>
      <c r="I135" s="9">
        <f t="shared" si="15"/>
        <v>1098.4955669113301</v>
      </c>
      <c r="J135" s="9">
        <f t="shared" si="16"/>
        <v>5767.9369189106201</v>
      </c>
      <c r="K135" s="9">
        <f t="shared" si="17"/>
        <v>1098.4955669113301</v>
      </c>
      <c r="L135" s="10">
        <f t="shared" si="14"/>
        <v>0.19044860967702834</v>
      </c>
      <c r="M135" s="10">
        <f t="shared" si="18"/>
        <v>0.19106187544259554</v>
      </c>
      <c r="P135" s="8">
        <f t="shared" si="19"/>
        <v>28.01209075618155</v>
      </c>
      <c r="X135" s="8">
        <v>-13</v>
      </c>
    </row>
    <row r="136" spans="1:24" x14ac:dyDescent="0.2">
      <c r="A136" s="8">
        <v>67</v>
      </c>
      <c r="B136" s="8">
        <v>134</v>
      </c>
      <c r="D136">
        <v>5906.7469244288004</v>
      </c>
      <c r="E136">
        <v>1195.7293497364001</v>
      </c>
      <c r="F136">
        <v>115.57431838171</v>
      </c>
      <c r="G136">
        <v>106.32277924362</v>
      </c>
      <c r="I136" s="9">
        <f t="shared" si="15"/>
        <v>1089.40657049278</v>
      </c>
      <c r="J136" s="9">
        <f t="shared" si="16"/>
        <v>5791.1726060470901</v>
      </c>
      <c r="K136" s="9">
        <f t="shared" si="17"/>
        <v>1089.40657049278</v>
      </c>
      <c r="L136" s="10">
        <f t="shared" si="14"/>
        <v>0.18811502343329078</v>
      </c>
      <c r="M136" s="10">
        <f t="shared" si="18"/>
        <v>0.18873290021965172</v>
      </c>
      <c r="P136" s="8">
        <f t="shared" si="19"/>
        <v>26.451669626022824</v>
      </c>
      <c r="X136" s="8">
        <v>-13</v>
      </c>
    </row>
    <row r="137" spans="1:24" x14ac:dyDescent="0.2">
      <c r="A137" s="8">
        <v>67.5</v>
      </c>
      <c r="B137" s="8">
        <v>135</v>
      </c>
      <c r="D137">
        <v>5844.3312829526003</v>
      </c>
      <c r="E137">
        <v>1184.9420035149001</v>
      </c>
      <c r="F137">
        <v>115.77484608619</v>
      </c>
      <c r="G137">
        <v>106.28847845207</v>
      </c>
      <c r="I137" s="9">
        <f t="shared" si="15"/>
        <v>1078.6535250628301</v>
      </c>
      <c r="J137" s="9">
        <f t="shared" si="16"/>
        <v>5728.55643686641</v>
      </c>
      <c r="K137" s="9">
        <f t="shared" si="17"/>
        <v>1078.6535250628301</v>
      </c>
      <c r="L137" s="10">
        <f t="shared" si="14"/>
        <v>0.18829412557081601</v>
      </c>
      <c r="M137" s="10">
        <f t="shared" si="18"/>
        <v>0.18891661337797067</v>
      </c>
      <c r="P137" s="8">
        <f t="shared" si="19"/>
        <v>26.574758051912866</v>
      </c>
      <c r="X137" s="8">
        <v>-13</v>
      </c>
    </row>
    <row r="138" spans="1:24" x14ac:dyDescent="0.2">
      <c r="A138" s="8">
        <v>68</v>
      </c>
      <c r="B138" s="8">
        <v>136</v>
      </c>
      <c r="D138">
        <v>5810.8391915641996</v>
      </c>
      <c r="E138">
        <v>1169.0307557118001</v>
      </c>
      <c r="F138">
        <v>115.97097625329999</v>
      </c>
      <c r="G138">
        <v>106.51187335092</v>
      </c>
      <c r="I138" s="9">
        <f t="shared" si="15"/>
        <v>1062.5188823608801</v>
      </c>
      <c r="J138" s="9">
        <f t="shared" si="16"/>
        <v>5694.8682153108994</v>
      </c>
      <c r="K138" s="9">
        <f t="shared" si="17"/>
        <v>1062.5188823608801</v>
      </c>
      <c r="L138" s="10">
        <f t="shared" si="14"/>
        <v>0.18657479720149664</v>
      </c>
      <c r="M138" s="10">
        <f t="shared" si="18"/>
        <v>0.18720189602944504</v>
      </c>
      <c r="P138" s="8">
        <f t="shared" si="19"/>
        <v>25.425891736578222</v>
      </c>
      <c r="X138" s="8">
        <v>-13</v>
      </c>
    </row>
    <row r="139" spans="1:24" x14ac:dyDescent="0.2">
      <c r="A139" s="8">
        <v>68.5</v>
      </c>
      <c r="B139" s="8">
        <v>137</v>
      </c>
      <c r="D139">
        <v>5797.0808435851995</v>
      </c>
      <c r="E139">
        <v>1164.1151142355</v>
      </c>
      <c r="F139">
        <v>115.57255936676</v>
      </c>
      <c r="G139">
        <v>106.00527704485999</v>
      </c>
      <c r="I139" s="9">
        <f t="shared" si="15"/>
        <v>1058.1098371906401</v>
      </c>
      <c r="J139" s="9">
        <f t="shared" si="16"/>
        <v>5681.5082842184393</v>
      </c>
      <c r="K139" s="9">
        <f t="shared" si="17"/>
        <v>1058.1098371906401</v>
      </c>
      <c r="L139" s="10">
        <f t="shared" si="14"/>
        <v>0.18623748910650334</v>
      </c>
      <c r="M139" s="10">
        <f t="shared" si="18"/>
        <v>0.18686919895524548</v>
      </c>
      <c r="P139" s="8">
        <f t="shared" si="19"/>
        <v>25.202983592511853</v>
      </c>
      <c r="X139" s="8">
        <v>-13</v>
      </c>
    </row>
    <row r="140" spans="1:24" x14ac:dyDescent="0.2">
      <c r="A140" s="8">
        <v>69</v>
      </c>
      <c r="B140" s="8">
        <v>138</v>
      </c>
      <c r="D140">
        <v>5642.0922671353001</v>
      </c>
      <c r="E140">
        <v>1129.3541300526999</v>
      </c>
      <c r="F140">
        <v>115.436235708</v>
      </c>
      <c r="G140">
        <v>106.18997361478</v>
      </c>
      <c r="I140" s="9">
        <f t="shared" si="15"/>
        <v>1023.1641564379199</v>
      </c>
      <c r="J140" s="9">
        <f t="shared" si="16"/>
        <v>5526.6560314273001</v>
      </c>
      <c r="K140" s="9">
        <f t="shared" si="17"/>
        <v>1023.1641564379199</v>
      </c>
      <c r="L140" s="10">
        <f t="shared" si="14"/>
        <v>0.18513259204475588</v>
      </c>
      <c r="M140" s="10">
        <f t="shared" si="18"/>
        <v>0.18576891291429176</v>
      </c>
      <c r="P140" s="8">
        <f t="shared" si="19"/>
        <v>24.465788292789977</v>
      </c>
      <c r="X140" s="8">
        <v>-13</v>
      </c>
    </row>
    <row r="141" spans="1:24" x14ac:dyDescent="0.2">
      <c r="A141" s="8">
        <v>69.5</v>
      </c>
      <c r="B141" s="8">
        <v>139</v>
      </c>
      <c r="D141">
        <v>5856.9261862917001</v>
      </c>
      <c r="E141">
        <v>1138.5685413005001</v>
      </c>
      <c r="F141">
        <v>115.23482849604</v>
      </c>
      <c r="G141">
        <v>105.90941072999</v>
      </c>
      <c r="I141" s="9">
        <f t="shared" si="15"/>
        <v>1032.6591305705101</v>
      </c>
      <c r="J141" s="9">
        <f t="shared" si="16"/>
        <v>5741.6913577956602</v>
      </c>
      <c r="K141" s="9">
        <f t="shared" si="17"/>
        <v>1032.6591305705101</v>
      </c>
      <c r="L141" s="10">
        <f t="shared" si="14"/>
        <v>0.17985277616297488</v>
      </c>
      <c r="M141" s="10">
        <f t="shared" si="18"/>
        <v>0.1804937080533045</v>
      </c>
      <c r="P141" s="8">
        <f t="shared" si="19"/>
        <v>20.93138352544516</v>
      </c>
      <c r="X141" s="8">
        <v>-13</v>
      </c>
    </row>
    <row r="142" spans="1:24" x14ac:dyDescent="0.2">
      <c r="A142" s="8">
        <v>70</v>
      </c>
      <c r="B142" s="8">
        <v>140</v>
      </c>
      <c r="D142">
        <v>5884.0017574692001</v>
      </c>
      <c r="E142">
        <v>1136.2908611599</v>
      </c>
      <c r="F142">
        <v>115.50835532102001</v>
      </c>
      <c r="G142">
        <v>106.09762532982</v>
      </c>
      <c r="I142" s="9">
        <f t="shared" si="15"/>
        <v>1030.1932358300801</v>
      </c>
      <c r="J142" s="9">
        <f t="shared" si="16"/>
        <v>5768.4934021481804</v>
      </c>
      <c r="K142" s="9">
        <f t="shared" si="17"/>
        <v>1030.1932358300801</v>
      </c>
      <c r="L142" s="10">
        <f t="shared" si="14"/>
        <v>0.17858965314001005</v>
      </c>
      <c r="M142" s="10">
        <f t="shared" si="18"/>
        <v>0.17923519605113342</v>
      </c>
      <c r="P142" s="8">
        <f t="shared" si="19"/>
        <v>20.088176306493345</v>
      </c>
      <c r="X142" s="8">
        <v>-13</v>
      </c>
    </row>
    <row r="143" spans="1:24" x14ac:dyDescent="0.2">
      <c r="A143" s="8">
        <v>70.5</v>
      </c>
      <c r="B143" s="8">
        <v>141</v>
      </c>
      <c r="D143">
        <v>5721.8427065025999</v>
      </c>
      <c r="E143">
        <v>1098.5184534271</v>
      </c>
      <c r="F143">
        <v>115.82409850483999</v>
      </c>
      <c r="G143">
        <v>106.22251539138</v>
      </c>
      <c r="I143" s="9">
        <f t="shared" si="15"/>
        <v>992.29593803571993</v>
      </c>
      <c r="J143" s="9">
        <f t="shared" si="16"/>
        <v>5606.0186079977602</v>
      </c>
      <c r="K143" s="9">
        <f t="shared" si="17"/>
        <v>992.29593803571993</v>
      </c>
      <c r="L143" s="10">
        <f t="shared" si="14"/>
        <v>0.17700546634291806</v>
      </c>
      <c r="M143" s="10">
        <f t="shared" si="18"/>
        <v>0.17765562027483514</v>
      </c>
      <c r="P143" s="8">
        <f t="shared" si="19"/>
        <v>19.029855293139153</v>
      </c>
      <c r="X143" s="8">
        <v>-13</v>
      </c>
    </row>
    <row r="144" spans="1:24" x14ac:dyDescent="0.2">
      <c r="A144" s="8">
        <v>71</v>
      </c>
      <c r="B144" s="8">
        <v>142</v>
      </c>
      <c r="D144">
        <v>5575.5606326889001</v>
      </c>
      <c r="E144">
        <v>1049.9516695958</v>
      </c>
      <c r="F144">
        <v>115.25417766051</v>
      </c>
      <c r="G144">
        <v>105.97097625329999</v>
      </c>
      <c r="I144" s="9">
        <f t="shared" si="15"/>
        <v>943.98069334249999</v>
      </c>
      <c r="J144" s="9">
        <f t="shared" si="16"/>
        <v>5460.3064550283898</v>
      </c>
      <c r="K144" s="9">
        <f t="shared" si="17"/>
        <v>943.98069334249999</v>
      </c>
      <c r="L144" s="10">
        <f t="shared" si="14"/>
        <v>0.17288053355928207</v>
      </c>
      <c r="M144" s="10">
        <f t="shared" si="18"/>
        <v>0.1735352985119929</v>
      </c>
      <c r="P144" s="8">
        <f t="shared" si="19"/>
        <v>16.269226035063518</v>
      </c>
    </row>
    <row r="145" spans="1:16" x14ac:dyDescent="0.2">
      <c r="A145" s="8">
        <v>71.5</v>
      </c>
      <c r="B145" s="8">
        <v>143</v>
      </c>
      <c r="D145">
        <v>5621.2750439367001</v>
      </c>
      <c r="E145">
        <v>1058.2504393673</v>
      </c>
      <c r="F145">
        <v>115.29375549692</v>
      </c>
      <c r="G145">
        <v>106.00087950747999</v>
      </c>
      <c r="I145" s="9">
        <f t="shared" si="15"/>
        <v>952.24955985982001</v>
      </c>
      <c r="J145" s="9">
        <f t="shared" si="16"/>
        <v>5505.9812884397797</v>
      </c>
      <c r="K145" s="9">
        <f t="shared" si="17"/>
        <v>952.24955985982001</v>
      </c>
      <c r="L145" s="10">
        <f t="shared" si="14"/>
        <v>0.17294820123329138</v>
      </c>
      <c r="M145" s="10">
        <f t="shared" si="18"/>
        <v>0.17360757720679595</v>
      </c>
      <c r="P145" s="8">
        <f t="shared" si="19"/>
        <v>16.317653000503036</v>
      </c>
    </row>
    <row r="146" spans="1:16" x14ac:dyDescent="0.2">
      <c r="A146" s="8">
        <v>72</v>
      </c>
      <c r="B146" s="8">
        <v>144</v>
      </c>
      <c r="D146">
        <v>5661.1045694200002</v>
      </c>
      <c r="E146">
        <v>1058.3637961336001</v>
      </c>
      <c r="F146">
        <v>115.41160949867999</v>
      </c>
      <c r="G146">
        <v>106.05364995603</v>
      </c>
      <c r="I146" s="9">
        <f t="shared" si="15"/>
        <v>952.31014617757012</v>
      </c>
      <c r="J146" s="9">
        <f t="shared" si="16"/>
        <v>5545.6929599213199</v>
      </c>
      <c r="K146" s="9">
        <f t="shared" si="17"/>
        <v>952.31014617757012</v>
      </c>
      <c r="L146" s="10">
        <f t="shared" si="14"/>
        <v>0.17172067639876715</v>
      </c>
      <c r="M146" s="10">
        <f t="shared" si="18"/>
        <v>0.17238466339306546</v>
      </c>
      <c r="P146" s="8">
        <f t="shared" si="19"/>
        <v>15.498296685970834</v>
      </c>
    </row>
    <row r="147" spans="1:16" x14ac:dyDescent="0.2">
      <c r="A147" s="8">
        <v>72.5</v>
      </c>
      <c r="B147" s="8">
        <v>145</v>
      </c>
      <c r="D147">
        <v>5676.2442882249998</v>
      </c>
      <c r="E147">
        <v>1059.8910369068999</v>
      </c>
      <c r="F147">
        <v>115.43359718558</v>
      </c>
      <c r="G147">
        <v>106.18645558487</v>
      </c>
      <c r="I147" s="9">
        <f t="shared" si="15"/>
        <v>953.70458132202987</v>
      </c>
      <c r="J147" s="9">
        <f t="shared" si="16"/>
        <v>5560.8106910394199</v>
      </c>
      <c r="K147" s="9">
        <f t="shared" si="17"/>
        <v>953.70458132202987</v>
      </c>
      <c r="L147" s="10">
        <f t="shared" si="14"/>
        <v>0.17150459425975614</v>
      </c>
      <c r="M147" s="10">
        <f t="shared" si="18"/>
        <v>0.1721731922748482</v>
      </c>
      <c r="P147" s="8">
        <f t="shared" si="19"/>
        <v>15.356610334809307</v>
      </c>
    </row>
    <row r="148" spans="1:16" x14ac:dyDescent="0.2">
      <c r="A148" s="8">
        <v>73</v>
      </c>
      <c r="B148" s="8">
        <v>146</v>
      </c>
      <c r="D148">
        <v>5715.6695957821003</v>
      </c>
      <c r="E148">
        <v>1059.4947275923</v>
      </c>
      <c r="F148">
        <v>115.41776605101001</v>
      </c>
      <c r="G148">
        <v>106.18205804749</v>
      </c>
      <c r="I148" s="9">
        <f t="shared" si="15"/>
        <v>953.31266954480998</v>
      </c>
      <c r="J148" s="9">
        <f t="shared" si="16"/>
        <v>5600.2518297310899</v>
      </c>
      <c r="K148" s="9">
        <f t="shared" si="17"/>
        <v>953.31266954480998</v>
      </c>
      <c r="L148" s="10">
        <f t="shared" si="14"/>
        <v>0.17022675024786979</v>
      </c>
      <c r="M148" s="10">
        <f t="shared" si="18"/>
        <v>0.17089995928375556</v>
      </c>
      <c r="P148" s="8">
        <f t="shared" si="19"/>
        <v>14.50354000441529</v>
      </c>
    </row>
    <row r="149" spans="1:16" x14ac:dyDescent="0.2">
      <c r="A149" s="8">
        <v>73.5</v>
      </c>
      <c r="B149" s="8">
        <v>147</v>
      </c>
      <c r="D149">
        <v>5653.7144112477999</v>
      </c>
      <c r="E149">
        <v>1044.9604569420001</v>
      </c>
      <c r="F149">
        <v>115.50219876868999</v>
      </c>
      <c r="G149">
        <v>105.88830255057</v>
      </c>
      <c r="I149" s="9">
        <f t="shared" si="15"/>
        <v>939.0721543914301</v>
      </c>
      <c r="J149" s="9">
        <f t="shared" si="16"/>
        <v>5538.2122124791103</v>
      </c>
      <c r="K149" s="9">
        <f t="shared" si="17"/>
        <v>939.0721543914301</v>
      </c>
      <c r="L149" s="10">
        <f t="shared" si="14"/>
        <v>0.16956232776263847</v>
      </c>
      <c r="M149" s="10">
        <f t="shared" si="18"/>
        <v>0.17024014781931798</v>
      </c>
      <c r="P149" s="8">
        <f t="shared" si="19"/>
        <v>14.061464133067897</v>
      </c>
    </row>
    <row r="150" spans="1:16" x14ac:dyDescent="0.2">
      <c r="A150" s="8">
        <v>74</v>
      </c>
      <c r="B150" s="8">
        <v>148</v>
      </c>
      <c r="D150">
        <v>5664.9332161686998</v>
      </c>
      <c r="E150">
        <v>1038.2803163445001</v>
      </c>
      <c r="F150">
        <v>115.76077396658</v>
      </c>
      <c r="G150">
        <v>106.06420404572999</v>
      </c>
      <c r="I150" s="9">
        <f t="shared" si="15"/>
        <v>932.2161122987701</v>
      </c>
      <c r="J150" s="9">
        <f t="shared" si="16"/>
        <v>5549.1724422021198</v>
      </c>
      <c r="K150" s="9">
        <f t="shared" si="17"/>
        <v>932.2161122987701</v>
      </c>
      <c r="L150" s="10">
        <f t="shared" si="14"/>
        <v>0.16799191627370508</v>
      </c>
      <c r="M150" s="10">
        <f t="shared" si="18"/>
        <v>0.16867434735117834</v>
      </c>
      <c r="P150" s="8">
        <f t="shared" si="19"/>
        <v>13.01237262190566</v>
      </c>
    </row>
    <row r="151" spans="1:16" x14ac:dyDescent="0.2">
      <c r="A151" s="8">
        <v>74.5</v>
      </c>
      <c r="B151" s="8">
        <v>149</v>
      </c>
      <c r="D151">
        <v>5632.4507908612004</v>
      </c>
      <c r="E151">
        <v>1034.5984182776999</v>
      </c>
      <c r="F151">
        <v>115.60773966579001</v>
      </c>
      <c r="G151">
        <v>106.03166226913</v>
      </c>
      <c r="I151" s="9">
        <f t="shared" si="15"/>
        <v>928.56675600856988</v>
      </c>
      <c r="J151" s="9">
        <f t="shared" si="16"/>
        <v>5516.8430511954102</v>
      </c>
      <c r="K151" s="9">
        <f t="shared" si="17"/>
        <v>928.56675600856988</v>
      </c>
      <c r="L151" s="10">
        <f t="shared" si="14"/>
        <v>0.16831487635077177</v>
      </c>
      <c r="M151" s="10">
        <f t="shared" si="18"/>
        <v>0.16900191844903878</v>
      </c>
      <c r="P151" s="8">
        <f t="shared" si="19"/>
        <v>13.231846344809691</v>
      </c>
    </row>
    <row r="152" spans="1:16" x14ac:dyDescent="0.2">
      <c r="A152" s="8">
        <v>75</v>
      </c>
      <c r="B152" s="8">
        <v>150</v>
      </c>
      <c r="D152">
        <v>5527.5325131809996</v>
      </c>
      <c r="E152">
        <v>1006.2539543058</v>
      </c>
      <c r="F152">
        <v>115.45206684257001</v>
      </c>
      <c r="G152">
        <v>106.01934916447</v>
      </c>
      <c r="I152" s="9">
        <f t="shared" si="15"/>
        <v>900.23460514133001</v>
      </c>
      <c r="J152" s="9">
        <f t="shared" si="16"/>
        <v>5412.0804463384293</v>
      </c>
      <c r="K152" s="9">
        <f t="shared" si="17"/>
        <v>900.23460514133001</v>
      </c>
      <c r="L152" s="10">
        <f t="shared" si="14"/>
        <v>0.16633799406111716</v>
      </c>
      <c r="M152" s="10">
        <f t="shared" si="18"/>
        <v>0.1670296471801779</v>
      </c>
      <c r="P152" s="8">
        <f t="shared" si="19"/>
        <v>11.910418047927493</v>
      </c>
    </row>
    <row r="153" spans="1:16" x14ac:dyDescent="0.2">
      <c r="A153" s="8">
        <v>75.5</v>
      </c>
      <c r="B153" s="8">
        <v>151</v>
      </c>
      <c r="D153">
        <v>5461.7126537785998</v>
      </c>
      <c r="E153">
        <v>984.27065026362004</v>
      </c>
      <c r="F153">
        <v>115.59894459103</v>
      </c>
      <c r="G153">
        <v>105.55233069481</v>
      </c>
      <c r="I153" s="9">
        <f t="shared" si="15"/>
        <v>878.7183195688101</v>
      </c>
      <c r="J153" s="9">
        <f t="shared" si="16"/>
        <v>5346.1137091875698</v>
      </c>
      <c r="K153" s="9">
        <f t="shared" si="17"/>
        <v>878.7183195688101</v>
      </c>
      <c r="L153" s="10">
        <f t="shared" si="14"/>
        <v>0.16436581175942586</v>
      </c>
      <c r="M153" s="10">
        <f t="shared" si="18"/>
        <v>0.16506207589928035</v>
      </c>
      <c r="P153" s="8">
        <f t="shared" si="19"/>
        <v>10.592138758581831</v>
      </c>
    </row>
    <row r="154" spans="1:16" x14ac:dyDescent="0.2">
      <c r="A154" s="8">
        <v>76</v>
      </c>
      <c r="B154" s="8">
        <v>152</v>
      </c>
      <c r="D154">
        <v>5294.9288224955999</v>
      </c>
      <c r="E154">
        <v>956.06942003514996</v>
      </c>
      <c r="F154">
        <v>115.39313984169</v>
      </c>
      <c r="G154">
        <v>106.1380826737</v>
      </c>
      <c r="I154" s="9">
        <f t="shared" si="15"/>
        <v>849.93133736145001</v>
      </c>
      <c r="J154" s="9">
        <f t="shared" si="16"/>
        <v>5179.53568265391</v>
      </c>
      <c r="K154" s="9">
        <f t="shared" si="17"/>
        <v>849.93133736145001</v>
      </c>
      <c r="L154" s="10">
        <f t="shared" si="14"/>
        <v>0.16409411758815395</v>
      </c>
      <c r="M154" s="10">
        <f t="shared" si="18"/>
        <v>0.16479499274880216</v>
      </c>
      <c r="P154" s="8">
        <f t="shared" si="19"/>
        <v>10.413192161207238</v>
      </c>
    </row>
    <row r="155" spans="1:16" x14ac:dyDescent="0.2">
      <c r="A155" s="8">
        <v>76.5</v>
      </c>
      <c r="B155" s="8">
        <v>153</v>
      </c>
      <c r="D155">
        <v>5746.2517730497002</v>
      </c>
      <c r="E155">
        <v>1076.7384751773</v>
      </c>
      <c r="F155">
        <v>115.6473175022</v>
      </c>
      <c r="G155">
        <v>105.96657871591999</v>
      </c>
      <c r="I155" s="9">
        <f t="shared" si="15"/>
        <v>970.77189646137992</v>
      </c>
      <c r="J155" s="9">
        <f t="shared" si="16"/>
        <v>5630.6044555475</v>
      </c>
      <c r="K155" s="9">
        <f t="shared" si="17"/>
        <v>970.77189646137992</v>
      </c>
      <c r="L155" s="10">
        <f t="shared" si="14"/>
        <v>0.17240989029249534</v>
      </c>
      <c r="M155" s="10">
        <f t="shared" si="18"/>
        <v>0.17311537647393729</v>
      </c>
      <c r="P155" s="8">
        <f t="shared" si="19"/>
        <v>15.987876875679575</v>
      </c>
    </row>
    <row r="156" spans="1:16" x14ac:dyDescent="0.2">
      <c r="A156" s="8">
        <v>77</v>
      </c>
      <c r="B156" s="8">
        <v>154</v>
      </c>
      <c r="D156">
        <v>5672.7446808511004</v>
      </c>
      <c r="E156">
        <v>1060.1861702128001</v>
      </c>
      <c r="F156">
        <v>115.67282321899999</v>
      </c>
      <c r="G156">
        <v>105.64643799472</v>
      </c>
      <c r="I156" s="9">
        <f t="shared" si="15"/>
        <v>954.53973221808008</v>
      </c>
      <c r="J156" s="9">
        <f t="shared" si="16"/>
        <v>5557.0718576321005</v>
      </c>
      <c r="K156" s="9">
        <f t="shared" si="17"/>
        <v>954.53973221808008</v>
      </c>
      <c r="L156" s="10">
        <f t="shared" si="14"/>
        <v>0.17177026978823606</v>
      </c>
      <c r="M156" s="10">
        <f t="shared" si="18"/>
        <v>0.17248036699047176</v>
      </c>
      <c r="P156" s="8">
        <f t="shared" si="19"/>
        <v>15.562418413910994</v>
      </c>
    </row>
    <row r="157" spans="1:16" x14ac:dyDescent="0.2">
      <c r="A157" s="8">
        <v>77.5</v>
      </c>
      <c r="B157" s="8">
        <v>155</v>
      </c>
      <c r="D157">
        <v>5555.0354609929</v>
      </c>
      <c r="E157">
        <v>1024.7180851063999</v>
      </c>
      <c r="F157">
        <v>115.63940193492</v>
      </c>
      <c r="G157">
        <v>106.16886543536</v>
      </c>
      <c r="I157" s="9">
        <f t="shared" si="15"/>
        <v>918.54921967103996</v>
      </c>
      <c r="J157" s="9">
        <f t="shared" si="16"/>
        <v>5439.39605905798</v>
      </c>
      <c r="K157" s="9">
        <f t="shared" si="17"/>
        <v>918.54921967103996</v>
      </c>
      <c r="L157" s="10">
        <f t="shared" si="14"/>
        <v>0.16886970716931368</v>
      </c>
      <c r="M157" s="10">
        <f t="shared" si="18"/>
        <v>0.16958441539234312</v>
      </c>
      <c r="P157" s="8">
        <f t="shared" si="19"/>
        <v>13.622121230360456</v>
      </c>
    </row>
    <row r="158" spans="1:16" x14ac:dyDescent="0.2">
      <c r="A158" s="8">
        <v>78</v>
      </c>
      <c r="B158" s="8">
        <v>156</v>
      </c>
      <c r="D158">
        <v>5519.5957446808998</v>
      </c>
      <c r="E158">
        <v>1017.3528368794</v>
      </c>
      <c r="F158">
        <v>115.26385224274</v>
      </c>
      <c r="G158">
        <v>106.0255057168</v>
      </c>
      <c r="I158" s="9">
        <f t="shared" si="15"/>
        <v>911.32733116259999</v>
      </c>
      <c r="J158" s="9">
        <f t="shared" si="16"/>
        <v>5404.3318924381601</v>
      </c>
      <c r="K158" s="9">
        <f t="shared" si="17"/>
        <v>911.32733116259999</v>
      </c>
      <c r="L158" s="10">
        <f t="shared" si="14"/>
        <v>0.16862904597657036</v>
      </c>
      <c r="M158" s="10">
        <f t="shared" si="18"/>
        <v>0.16934836522039354</v>
      </c>
      <c r="P158" s="8">
        <f t="shared" si="19"/>
        <v>13.463966831610714</v>
      </c>
    </row>
    <row r="159" spans="1:16" x14ac:dyDescent="0.2">
      <c r="A159" s="8">
        <v>78.5</v>
      </c>
      <c r="B159" s="8">
        <v>157</v>
      </c>
      <c r="D159">
        <v>5447.0961199294998</v>
      </c>
      <c r="E159">
        <v>1017.1322751323</v>
      </c>
      <c r="F159">
        <v>115.1855760774</v>
      </c>
      <c r="G159">
        <v>105.90413368514</v>
      </c>
      <c r="I159" s="9">
        <f t="shared" si="15"/>
        <v>911.22814144716006</v>
      </c>
      <c r="J159" s="9">
        <f t="shared" si="16"/>
        <v>5331.9105438521001</v>
      </c>
      <c r="K159" s="9">
        <f t="shared" si="17"/>
        <v>911.22814144716006</v>
      </c>
      <c r="L159" s="10">
        <f t="shared" si="14"/>
        <v>0.17090086826341103</v>
      </c>
      <c r="M159" s="10">
        <f t="shared" si="18"/>
        <v>0.17162479852802792</v>
      </c>
      <c r="P159" s="8">
        <f t="shared" si="19"/>
        <v>14.989184704104808</v>
      </c>
    </row>
    <row r="160" spans="1:16" x14ac:dyDescent="0.2">
      <c r="A160" s="8">
        <v>79</v>
      </c>
      <c r="B160" s="8">
        <v>158</v>
      </c>
      <c r="D160">
        <v>5563.1119929452998</v>
      </c>
      <c r="E160">
        <v>1049.328042328</v>
      </c>
      <c r="F160">
        <v>115.58575197889</v>
      </c>
      <c r="G160">
        <v>105.97801231311</v>
      </c>
      <c r="I160" s="9">
        <f t="shared" si="15"/>
        <v>943.35003001489008</v>
      </c>
      <c r="J160" s="9">
        <f t="shared" si="16"/>
        <v>5447.5262409664101</v>
      </c>
      <c r="K160" s="9">
        <f t="shared" si="17"/>
        <v>943.35003001489008</v>
      </c>
      <c r="L160" s="10">
        <f t="shared" si="14"/>
        <v>0.1731703507769678</v>
      </c>
      <c r="M160" s="10">
        <f t="shared" si="18"/>
        <v>0.17389889206237844</v>
      </c>
      <c r="P160" s="8">
        <f t="shared" si="19"/>
        <v>16.512834920732082</v>
      </c>
    </row>
    <row r="161" spans="1:16" x14ac:dyDescent="0.2">
      <c r="A161" s="8">
        <v>79.5</v>
      </c>
      <c r="B161" s="8">
        <v>159</v>
      </c>
      <c r="D161">
        <v>5859.6143617020998</v>
      </c>
      <c r="E161">
        <v>1092.3085106383</v>
      </c>
      <c r="F161">
        <v>115.08619173263</v>
      </c>
      <c r="G161">
        <v>106.27176781003</v>
      </c>
      <c r="I161" s="9">
        <f t="shared" si="15"/>
        <v>986.03674282827001</v>
      </c>
      <c r="J161" s="9">
        <f t="shared" si="16"/>
        <v>5744.5281699694697</v>
      </c>
      <c r="K161" s="9">
        <f t="shared" si="17"/>
        <v>986.03674282827001</v>
      </c>
      <c r="L161" s="10">
        <f t="shared" si="14"/>
        <v>0.17164799504038475</v>
      </c>
      <c r="M161" s="10">
        <f t="shared" si="18"/>
        <v>0.17238114734658913</v>
      </c>
      <c r="P161" s="8">
        <f t="shared" si="19"/>
        <v>15.495940923160545</v>
      </c>
    </row>
    <row r="162" spans="1:16" x14ac:dyDescent="0.2">
      <c r="A162" s="8">
        <v>80</v>
      </c>
      <c r="B162" s="4">
        <v>160</v>
      </c>
      <c r="C162" s="4" t="s">
        <v>6</v>
      </c>
      <c r="D162">
        <v>5616.0390070922003</v>
      </c>
      <c r="E162">
        <v>1060.960106383</v>
      </c>
      <c r="F162">
        <v>115.29551451187</v>
      </c>
      <c r="G162">
        <v>106.33069481091</v>
      </c>
      <c r="H162" s="4"/>
      <c r="I162" s="5">
        <f t="shared" si="15"/>
        <v>954.62941157209002</v>
      </c>
      <c r="J162" s="5">
        <f t="shared" si="16"/>
        <v>5500.74349258033</v>
      </c>
      <c r="K162" s="9">
        <f t="shared" si="17"/>
        <v>954.62941157209002</v>
      </c>
      <c r="L162" s="6">
        <f t="shared" si="14"/>
        <v>0.17354552395685066</v>
      </c>
      <c r="M162" s="6">
        <f t="shared" si="18"/>
        <v>0.17428328728384879</v>
      </c>
      <c r="N162" s="4"/>
      <c r="O162" s="4"/>
      <c r="P162" s="4">
        <f t="shared" si="19"/>
        <v>16.770380995076405</v>
      </c>
    </row>
    <row r="163" spans="1:16" x14ac:dyDescent="0.2">
      <c r="A163" s="8">
        <v>80.5</v>
      </c>
      <c r="B163" s="8">
        <v>161</v>
      </c>
      <c r="D163">
        <v>6070.0468611848</v>
      </c>
      <c r="E163">
        <v>1110.9098143235999</v>
      </c>
      <c r="F163">
        <v>115.33685136324</v>
      </c>
      <c r="G163">
        <v>105.9199648197</v>
      </c>
      <c r="I163" s="9">
        <f t="shared" si="15"/>
        <v>1004.9898495038999</v>
      </c>
      <c r="J163" s="9">
        <f t="shared" si="16"/>
        <v>5954.7100098215597</v>
      </c>
      <c r="K163" s="9">
        <f t="shared" si="17"/>
        <v>1004.9898495038999</v>
      </c>
      <c r="L163" s="10">
        <f t="shared" si="14"/>
        <v>0.16877225722936853</v>
      </c>
      <c r="M163" s="10">
        <f t="shared" si="18"/>
        <v>0.1695146315771604</v>
      </c>
      <c r="P163" s="8">
        <f t="shared" si="19"/>
        <v>13.575365842548059</v>
      </c>
    </row>
    <row r="164" spans="1:16" x14ac:dyDescent="0.2">
      <c r="A164" s="8">
        <v>81</v>
      </c>
      <c r="B164" s="8">
        <v>162</v>
      </c>
      <c r="D164">
        <v>6190.1167108752998</v>
      </c>
      <c r="E164">
        <v>1103.75066313</v>
      </c>
      <c r="F164">
        <v>115.62445030783</v>
      </c>
      <c r="G164">
        <v>105.84608619173</v>
      </c>
      <c r="I164" s="9">
        <f t="shared" si="15"/>
        <v>997.90457693827</v>
      </c>
      <c r="J164" s="9">
        <f t="shared" si="16"/>
        <v>6074.4922605674701</v>
      </c>
      <c r="K164" s="9">
        <f t="shared" si="17"/>
        <v>997.90457693827</v>
      </c>
      <c r="L164" s="10">
        <f t="shared" si="14"/>
        <v>0.16427785798924488</v>
      </c>
      <c r="M164" s="10">
        <f t="shared" si="18"/>
        <v>0.16502484335783049</v>
      </c>
      <c r="P164" s="8">
        <f t="shared" si="19"/>
        <v>10.567192832220952</v>
      </c>
    </row>
    <row r="165" spans="1:16" x14ac:dyDescent="0.2">
      <c r="A165" s="8">
        <v>81.5</v>
      </c>
      <c r="B165" s="8">
        <v>163</v>
      </c>
      <c r="D165">
        <v>6074.2369584439002</v>
      </c>
      <c r="E165">
        <v>1098.0477453581</v>
      </c>
      <c r="F165">
        <v>115.49252418646</v>
      </c>
      <c r="G165">
        <v>105.79771328056</v>
      </c>
      <c r="I165" s="9">
        <f t="shared" si="15"/>
        <v>992.25003207754003</v>
      </c>
      <c r="J165" s="9">
        <f t="shared" si="16"/>
        <v>5958.7444342574399</v>
      </c>
      <c r="K165" s="9">
        <f t="shared" si="17"/>
        <v>992.25003207754003</v>
      </c>
      <c r="L165" s="10">
        <f t="shared" si="14"/>
        <v>0.16651998470902554</v>
      </c>
      <c r="M165" s="10">
        <f t="shared" si="18"/>
        <v>0.16727158109840487</v>
      </c>
      <c r="P165" s="8">
        <f t="shared" si="19"/>
        <v>12.072514576213555</v>
      </c>
    </row>
    <row r="166" spans="1:16" x14ac:dyDescent="0.2">
      <c r="A166" s="8">
        <v>82</v>
      </c>
      <c r="B166" s="8">
        <v>164</v>
      </c>
      <c r="D166">
        <v>6217.3589743590001</v>
      </c>
      <c r="E166">
        <v>1105.0442086649</v>
      </c>
      <c r="F166">
        <v>115.53737906772</v>
      </c>
      <c r="G166">
        <v>105.64907651714999</v>
      </c>
      <c r="I166" s="9">
        <f t="shared" si="15"/>
        <v>999.39513214775002</v>
      </c>
      <c r="J166" s="9">
        <f t="shared" si="16"/>
        <v>6101.8215952912797</v>
      </c>
      <c r="K166" s="9">
        <f t="shared" si="17"/>
        <v>999.39513214775002</v>
      </c>
      <c r="L166" s="10">
        <f t="shared" si="14"/>
        <v>0.16378635732630634</v>
      </c>
      <c r="M166" s="10">
        <f t="shared" si="18"/>
        <v>0.16454256473647941</v>
      </c>
      <c r="P166" s="8">
        <f t="shared" si="19"/>
        <v>10.244064555042964</v>
      </c>
    </row>
    <row r="167" spans="1:16" x14ac:dyDescent="0.2">
      <c r="A167" s="8">
        <v>82.5</v>
      </c>
      <c r="B167" s="8">
        <v>165</v>
      </c>
      <c r="D167">
        <v>6101.2724046140002</v>
      </c>
      <c r="E167">
        <v>1116.6264418810999</v>
      </c>
      <c r="F167">
        <v>115.72471416006999</v>
      </c>
      <c r="G167">
        <v>106.06332453826001</v>
      </c>
      <c r="I167" s="9">
        <f t="shared" si="15"/>
        <v>1010.56311734284</v>
      </c>
      <c r="J167" s="9">
        <f t="shared" si="16"/>
        <v>5985.54769045393</v>
      </c>
      <c r="K167" s="9">
        <f t="shared" si="17"/>
        <v>1010.56311734284</v>
      </c>
      <c r="L167" s="10">
        <f t="shared" si="14"/>
        <v>0.16883385942351437</v>
      </c>
      <c r="M167" s="10">
        <f t="shared" si="18"/>
        <v>0.16959467785448118</v>
      </c>
      <c r="P167" s="8">
        <f t="shared" si="19"/>
        <v>13.628997114058111</v>
      </c>
    </row>
    <row r="168" spans="1:16" x14ac:dyDescent="0.2">
      <c r="A168" s="8">
        <v>83</v>
      </c>
      <c r="B168" s="8">
        <v>166</v>
      </c>
      <c r="D168">
        <v>5920.6202307009999</v>
      </c>
      <c r="E168">
        <v>1105.7701863354</v>
      </c>
      <c r="F168">
        <v>115.33509234829</v>
      </c>
      <c r="G168">
        <v>106.09938434477</v>
      </c>
      <c r="I168" s="9">
        <f t="shared" si="15"/>
        <v>999.67080199063003</v>
      </c>
      <c r="J168" s="9">
        <f t="shared" si="16"/>
        <v>5805.2851383527095</v>
      </c>
      <c r="K168" s="9">
        <f t="shared" si="17"/>
        <v>999.67080199063003</v>
      </c>
      <c r="L168" s="10">
        <f t="shared" si="14"/>
        <v>0.17220012078068117</v>
      </c>
      <c r="M168" s="10">
        <f t="shared" si="18"/>
        <v>0.17296555023244173</v>
      </c>
      <c r="P168" s="8">
        <f t="shared" si="19"/>
        <v>15.887492796545219</v>
      </c>
    </row>
    <row r="169" spans="1:16" x14ac:dyDescent="0.2">
      <c r="A169" s="8">
        <v>83.5</v>
      </c>
      <c r="B169" s="8">
        <v>167</v>
      </c>
      <c r="D169">
        <v>6030.8704525288003</v>
      </c>
      <c r="E169">
        <v>1123.8837622005001</v>
      </c>
      <c r="F169">
        <v>115.60422163587999</v>
      </c>
      <c r="G169">
        <v>106.1125769569</v>
      </c>
      <c r="I169" s="9">
        <f t="shared" si="15"/>
        <v>1017.7711852436</v>
      </c>
      <c r="J169" s="9">
        <f t="shared" si="16"/>
        <v>5915.2662308929202</v>
      </c>
      <c r="K169" s="9">
        <f t="shared" si="17"/>
        <v>1017.7711852436</v>
      </c>
      <c r="L169" s="10">
        <f t="shared" si="14"/>
        <v>0.17205839019184191</v>
      </c>
      <c r="M169" s="10">
        <f t="shared" si="18"/>
        <v>0.17282843066439621</v>
      </c>
      <c r="P169" s="8">
        <f t="shared" si="19"/>
        <v>15.795622230800848</v>
      </c>
    </row>
    <row r="170" spans="1:16" x14ac:dyDescent="0.2">
      <c r="A170" s="8">
        <v>84</v>
      </c>
      <c r="B170" s="8">
        <v>168</v>
      </c>
      <c r="D170">
        <v>5930.4463176575</v>
      </c>
      <c r="E170">
        <v>1113.9050576751999</v>
      </c>
      <c r="F170">
        <v>115.4327176781</v>
      </c>
      <c r="G170">
        <v>106.13280562884999</v>
      </c>
      <c r="I170" s="9">
        <f t="shared" si="15"/>
        <v>1007.77225204635</v>
      </c>
      <c r="J170" s="9">
        <f t="shared" si="16"/>
        <v>5815.0135999794002</v>
      </c>
      <c r="K170" s="9">
        <f t="shared" si="17"/>
        <v>1007.77225204635</v>
      </c>
      <c r="L170" s="10">
        <f t="shared" si="14"/>
        <v>0.17330522701613632</v>
      </c>
      <c r="M170" s="10">
        <f t="shared" si="18"/>
        <v>0.17407987850948434</v>
      </c>
      <c r="P170" s="8">
        <f t="shared" si="19"/>
        <v>16.634096441058361</v>
      </c>
    </row>
    <row r="171" spans="1:16" x14ac:dyDescent="0.2">
      <c r="A171" s="8">
        <v>84.5</v>
      </c>
      <c r="B171" s="8">
        <v>169</v>
      </c>
      <c r="D171">
        <v>5771.1513274336003</v>
      </c>
      <c r="E171">
        <v>1083.6893805310001</v>
      </c>
      <c r="F171">
        <v>115.54617414248</v>
      </c>
      <c r="G171">
        <v>106.26121372032</v>
      </c>
      <c r="I171" s="9">
        <f t="shared" si="15"/>
        <v>977.42816681068007</v>
      </c>
      <c r="J171" s="9">
        <f t="shared" si="16"/>
        <v>5655.6051532911206</v>
      </c>
      <c r="K171" s="9">
        <f t="shared" si="17"/>
        <v>977.42816681068007</v>
      </c>
      <c r="L171" s="10">
        <f t="shared" si="14"/>
        <v>0.17282468282671629</v>
      </c>
      <c r="M171" s="10">
        <f t="shared" si="18"/>
        <v>0.17360394534085805</v>
      </c>
      <c r="P171" s="8">
        <f t="shared" si="19"/>
        <v>16.315219638269042</v>
      </c>
    </row>
    <row r="172" spans="1:16" x14ac:dyDescent="0.2">
      <c r="A172" s="8">
        <v>85</v>
      </c>
      <c r="B172" s="8">
        <v>170</v>
      </c>
      <c r="D172">
        <v>5757.3902654866997</v>
      </c>
      <c r="E172">
        <v>1077.5008849558001</v>
      </c>
      <c r="F172">
        <v>115.33597185575999</v>
      </c>
      <c r="G172">
        <v>106.18821459982</v>
      </c>
      <c r="I172" s="9">
        <f t="shared" si="15"/>
        <v>971.31267035598012</v>
      </c>
      <c r="J172" s="9">
        <f t="shared" si="16"/>
        <v>5642.0542936309394</v>
      </c>
      <c r="K172" s="9">
        <f t="shared" si="17"/>
        <v>971.31267035598012</v>
      </c>
      <c r="L172" s="10">
        <f t="shared" si="14"/>
        <v>0.17215585313534668</v>
      </c>
      <c r="M172" s="10">
        <f t="shared" si="18"/>
        <v>0.17293972667028218</v>
      </c>
      <c r="P172" s="8">
        <f t="shared" si="19"/>
        <v>15.870190924179742</v>
      </c>
    </row>
    <row r="173" spans="1:16" x14ac:dyDescent="0.2">
      <c r="A173" s="8">
        <v>85.5</v>
      </c>
      <c r="B173" s="8">
        <v>171</v>
      </c>
      <c r="D173">
        <v>5896.5557522124</v>
      </c>
      <c r="E173">
        <v>1087.1495575220999</v>
      </c>
      <c r="F173">
        <v>115.50131926121</v>
      </c>
      <c r="G173">
        <v>106.12401055409001</v>
      </c>
      <c r="I173" s="9">
        <f t="shared" si="15"/>
        <v>981.02554696800996</v>
      </c>
      <c r="J173" s="9">
        <f t="shared" si="16"/>
        <v>5781.0544329511904</v>
      </c>
      <c r="K173" s="9">
        <f t="shared" si="17"/>
        <v>981.02554696800996</v>
      </c>
      <c r="L173" s="10">
        <f t="shared" si="14"/>
        <v>0.16969664588804137</v>
      </c>
      <c r="M173" s="10">
        <f t="shared" si="18"/>
        <v>0.17048513044377062</v>
      </c>
      <c r="P173" s="8">
        <f t="shared" si="19"/>
        <v>14.225603304645015</v>
      </c>
    </row>
    <row r="174" spans="1:16" x14ac:dyDescent="0.2">
      <c r="A174" s="8">
        <v>86</v>
      </c>
      <c r="B174" s="8">
        <v>172</v>
      </c>
      <c r="D174">
        <v>6128.7777777778001</v>
      </c>
      <c r="E174">
        <v>1135.9635555555999</v>
      </c>
      <c r="F174">
        <v>115.39401934916</v>
      </c>
      <c r="G174">
        <v>106.00527704485999</v>
      </c>
      <c r="I174" s="9">
        <f t="shared" si="15"/>
        <v>1029.95827851074</v>
      </c>
      <c r="J174" s="9">
        <f t="shared" si="16"/>
        <v>6013.3837584286402</v>
      </c>
      <c r="K174" s="9">
        <f t="shared" si="17"/>
        <v>1029.95827851074</v>
      </c>
      <c r="L174" s="10">
        <f t="shared" si="14"/>
        <v>0.17127765662171524</v>
      </c>
      <c r="M174" s="10">
        <f t="shared" si="18"/>
        <v>0.17207075219823822</v>
      </c>
      <c r="P174" s="8">
        <f t="shared" si="19"/>
        <v>15.287975143441646</v>
      </c>
    </row>
    <row r="175" spans="1:16" x14ac:dyDescent="0.2">
      <c r="A175" s="8">
        <v>86.5</v>
      </c>
      <c r="B175" s="8">
        <v>173</v>
      </c>
      <c r="D175">
        <v>6162.4017777777999</v>
      </c>
      <c r="E175">
        <v>1129.3093333332999</v>
      </c>
      <c r="F175">
        <v>115.781882146</v>
      </c>
      <c r="G175">
        <v>106.18029903254001</v>
      </c>
      <c r="I175" s="9">
        <f t="shared" si="15"/>
        <v>1023.1290343007599</v>
      </c>
      <c r="J175" s="9">
        <f t="shared" si="16"/>
        <v>6046.6198956318003</v>
      </c>
      <c r="K175" s="9">
        <f t="shared" si="17"/>
        <v>1023.1290343007599</v>
      </c>
      <c r="L175" s="10">
        <f t="shared" si="14"/>
        <v>0.16920677204133319</v>
      </c>
      <c r="M175" s="10">
        <f t="shared" si="18"/>
        <v>0.17000447863864993</v>
      </c>
      <c r="P175" s="8">
        <f t="shared" si="19"/>
        <v>13.903564999741436</v>
      </c>
    </row>
    <row r="176" spans="1:16" x14ac:dyDescent="0.2">
      <c r="A176" s="8">
        <v>87</v>
      </c>
      <c r="B176" s="8">
        <v>174</v>
      </c>
      <c r="D176">
        <v>5870.3564444444</v>
      </c>
      <c r="E176">
        <v>1076.3662222221999</v>
      </c>
      <c r="F176">
        <v>115.55848724713999</v>
      </c>
      <c r="G176">
        <v>105.89094107299999</v>
      </c>
      <c r="I176" s="9">
        <f t="shared" si="15"/>
        <v>970.47528114919987</v>
      </c>
      <c r="J176" s="9">
        <f t="shared" si="16"/>
        <v>5754.7979571972601</v>
      </c>
      <c r="K176" s="9">
        <f t="shared" si="17"/>
        <v>970.47528114919987</v>
      </c>
      <c r="L176" s="10">
        <f t="shared" si="14"/>
        <v>0.16863759394636457</v>
      </c>
      <c r="M176" s="10">
        <f t="shared" si="18"/>
        <v>0.16943991156447502</v>
      </c>
      <c r="P176" s="8">
        <f t="shared" si="19"/>
        <v>13.52530318602369</v>
      </c>
    </row>
    <row r="177" spans="1:16" x14ac:dyDescent="0.2">
      <c r="A177" s="8">
        <v>87.5</v>
      </c>
      <c r="B177" s="8">
        <v>175</v>
      </c>
      <c r="D177">
        <v>6057.4318381705998</v>
      </c>
      <c r="E177">
        <v>1120.1952506596001</v>
      </c>
      <c r="F177">
        <v>115.83817062445</v>
      </c>
      <c r="G177">
        <v>105.80386983289</v>
      </c>
      <c r="I177" s="9">
        <f t="shared" si="15"/>
        <v>1014.3913808267101</v>
      </c>
      <c r="J177" s="9">
        <f t="shared" si="16"/>
        <v>5941.5936675461498</v>
      </c>
      <c r="K177" s="9">
        <f t="shared" si="17"/>
        <v>1014.3913808267101</v>
      </c>
      <c r="L177" s="10">
        <f t="shared" si="14"/>
        <v>0.17072715462981988</v>
      </c>
      <c r="M177" s="10">
        <f t="shared" si="18"/>
        <v>0.17153408326872407</v>
      </c>
      <c r="P177" s="8">
        <f t="shared" si="19"/>
        <v>14.928405179251541</v>
      </c>
    </row>
    <row r="178" spans="1:16" x14ac:dyDescent="0.2">
      <c r="A178" s="8">
        <v>88</v>
      </c>
      <c r="B178" s="8">
        <v>176</v>
      </c>
      <c r="D178">
        <v>6074.2953138815001</v>
      </c>
      <c r="E178">
        <v>1130.3386383730999</v>
      </c>
      <c r="F178">
        <v>115.61389621812</v>
      </c>
      <c r="G178">
        <v>105.59454705365</v>
      </c>
      <c r="I178" s="9">
        <f t="shared" si="15"/>
        <v>1024.7440913194498</v>
      </c>
      <c r="J178" s="9">
        <f t="shared" si="16"/>
        <v>5958.6814176633798</v>
      </c>
      <c r="K178" s="9">
        <f t="shared" si="17"/>
        <v>1024.7440913194498</v>
      </c>
      <c r="L178" s="10">
        <f t="shared" si="14"/>
        <v>0.17197497558466382</v>
      </c>
      <c r="M178" s="10">
        <f t="shared" si="18"/>
        <v>0.17278651524436175</v>
      </c>
      <c r="P178" s="8">
        <f t="shared" si="19"/>
        <v>15.767538760243971</v>
      </c>
    </row>
    <row r="179" spans="1:16" x14ac:dyDescent="0.2">
      <c r="A179" s="8">
        <v>88.5</v>
      </c>
      <c r="B179" s="8">
        <v>177</v>
      </c>
      <c r="D179">
        <v>6165.0873015873003</v>
      </c>
      <c r="E179">
        <v>1173.4038800706001</v>
      </c>
      <c r="F179">
        <v>115.60158311345999</v>
      </c>
      <c r="G179">
        <v>105.93667546173999</v>
      </c>
      <c r="I179" s="9">
        <f t="shared" si="15"/>
        <v>1067.4672046088601</v>
      </c>
      <c r="J179" s="9">
        <f t="shared" si="16"/>
        <v>6049.4857184738403</v>
      </c>
      <c r="K179" s="9">
        <f t="shared" si="17"/>
        <v>1067.4672046088601</v>
      </c>
      <c r="L179" s="10">
        <f t="shared" si="14"/>
        <v>0.17645585993352175</v>
      </c>
      <c r="M179" s="10">
        <f t="shared" si="18"/>
        <v>0.17727201061401343</v>
      </c>
      <c r="P179" s="8">
        <f t="shared" si="19"/>
        <v>18.772835547037001</v>
      </c>
    </row>
    <row r="180" spans="1:16" x14ac:dyDescent="0.2">
      <c r="A180" s="8">
        <v>89</v>
      </c>
      <c r="B180" s="8">
        <v>178</v>
      </c>
      <c r="D180">
        <v>6213.9329805997004</v>
      </c>
      <c r="E180">
        <v>1152.2186948854001</v>
      </c>
      <c r="F180">
        <v>115.27968337730999</v>
      </c>
      <c r="G180">
        <v>105.98768689534</v>
      </c>
      <c r="I180" s="9">
        <f t="shared" si="15"/>
        <v>1046.2310079900601</v>
      </c>
      <c r="J180" s="9">
        <f t="shared" si="16"/>
        <v>6098.6532972223904</v>
      </c>
      <c r="K180" s="9">
        <f t="shared" si="17"/>
        <v>1046.2310079900601</v>
      </c>
      <c r="L180" s="10">
        <f t="shared" si="14"/>
        <v>0.17155115350901523</v>
      </c>
      <c r="M180" s="10">
        <f t="shared" si="18"/>
        <v>0.17237191521030065</v>
      </c>
      <c r="P180" s="8">
        <f t="shared" si="19"/>
        <v>15.489755361202167</v>
      </c>
    </row>
    <row r="181" spans="1:16" x14ac:dyDescent="0.2">
      <c r="A181" s="8">
        <v>89.5</v>
      </c>
      <c r="B181" s="8">
        <v>179</v>
      </c>
      <c r="D181">
        <v>6082.6495575220997</v>
      </c>
      <c r="E181">
        <v>1164.3654867257001</v>
      </c>
      <c r="F181">
        <v>115.41336851363</v>
      </c>
      <c r="G181">
        <v>105.89182058048</v>
      </c>
      <c r="I181" s="9">
        <f t="shared" si="15"/>
        <v>1058.47366614522</v>
      </c>
      <c r="J181" s="9">
        <f t="shared" si="16"/>
        <v>5967.2361890084694</v>
      </c>
      <c r="K181" s="9">
        <f t="shared" si="17"/>
        <v>1058.47366614522</v>
      </c>
      <c r="L181" s="10">
        <f t="shared" si="14"/>
        <v>0.17738089001653856</v>
      </c>
      <c r="M181" s="10">
        <f t="shared" si="18"/>
        <v>0.1782062627386177</v>
      </c>
      <c r="P181" s="8">
        <f t="shared" si="19"/>
        <v>19.398787571672756</v>
      </c>
    </row>
    <row r="182" spans="1:16" x14ac:dyDescent="0.2">
      <c r="A182" s="8">
        <v>90</v>
      </c>
      <c r="B182" s="8">
        <v>180</v>
      </c>
      <c r="D182">
        <v>6195.0973451327</v>
      </c>
      <c r="E182">
        <v>1154.4584070797</v>
      </c>
      <c r="F182">
        <v>115.97801231311</v>
      </c>
      <c r="G182">
        <v>106.00263852243</v>
      </c>
      <c r="I182" s="9">
        <f t="shared" si="15"/>
        <v>1048.4557685572699</v>
      </c>
      <c r="J182" s="9">
        <f t="shared" si="16"/>
        <v>6079.1193328195895</v>
      </c>
      <c r="K182" s="9">
        <f t="shared" si="17"/>
        <v>1048.4557685572699</v>
      </c>
      <c r="L182" s="10">
        <f t="shared" si="14"/>
        <v>0.17246836443840294</v>
      </c>
      <c r="M182" s="10">
        <f>L182+ABS($N$2)*A182</f>
        <v>0.17329834818127582</v>
      </c>
      <c r="P182" s="8">
        <f t="shared" si="19"/>
        <v>16.110468526951571</v>
      </c>
    </row>
    <row r="183" spans="1:16" x14ac:dyDescent="0.2">
      <c r="A183" s="8">
        <v>90.5</v>
      </c>
      <c r="B183" s="8">
        <v>181</v>
      </c>
      <c r="D183">
        <v>6246.6327433628003</v>
      </c>
      <c r="E183">
        <v>1139.2911504425001</v>
      </c>
      <c r="F183">
        <v>116.01846965699001</v>
      </c>
      <c r="G183">
        <v>105.84520668426001</v>
      </c>
      <c r="I183" s="9">
        <f t="shared" si="15"/>
        <v>1033.44594375824</v>
      </c>
      <c r="J183" s="9">
        <f t="shared" si="16"/>
        <v>6130.6142737058099</v>
      </c>
      <c r="K183" s="9">
        <f t="shared" si="17"/>
        <v>1033.44594375824</v>
      </c>
      <c r="L183" s="10">
        <f t="shared" si="14"/>
        <v>0.16857135314982827</v>
      </c>
      <c r="M183" s="10">
        <f t="shared" ref="M183:M241" si="20">L183+ABS($N$2)*A183</f>
        <v>0.16940594791349489</v>
      </c>
      <c r="P183" s="8">
        <f t="shared" si="19"/>
        <v>13.502547427128267</v>
      </c>
    </row>
    <row r="184" spans="1:16" x14ac:dyDescent="0.2">
      <c r="A184" s="8">
        <v>91</v>
      </c>
      <c r="B184" s="8">
        <v>182</v>
      </c>
      <c r="D184">
        <v>6269.7190812721001</v>
      </c>
      <c r="E184">
        <v>1141.4973498233001</v>
      </c>
      <c r="F184">
        <v>115.19349164467999</v>
      </c>
      <c r="G184">
        <v>105.88302550572</v>
      </c>
      <c r="I184" s="9">
        <f t="shared" si="15"/>
        <v>1035.61432431758</v>
      </c>
      <c r="J184" s="9">
        <f t="shared" si="16"/>
        <v>6154.5255896274202</v>
      </c>
      <c r="K184" s="9">
        <f t="shared" si="17"/>
        <v>1035.61432431758</v>
      </c>
      <c r="L184" s="10">
        <f t="shared" si="14"/>
        <v>0.16826874943260631</v>
      </c>
      <c r="M184" s="10">
        <f t="shared" si="20"/>
        <v>0.16910795521706667</v>
      </c>
      <c r="P184" s="8">
        <f t="shared" si="19"/>
        <v>13.302891331366192</v>
      </c>
    </row>
    <row r="185" spans="1:16" x14ac:dyDescent="0.2">
      <c r="A185" s="8">
        <v>91.5</v>
      </c>
      <c r="B185" s="8">
        <v>183</v>
      </c>
      <c r="D185">
        <v>6212.9161518093997</v>
      </c>
      <c r="E185">
        <v>1124.240070609</v>
      </c>
      <c r="F185">
        <v>115.42656112576999</v>
      </c>
      <c r="G185">
        <v>105.93227792435999</v>
      </c>
      <c r="I185" s="9">
        <f t="shared" si="15"/>
        <v>1018.3077926846399</v>
      </c>
      <c r="J185" s="9">
        <f t="shared" si="16"/>
        <v>6097.48959068363</v>
      </c>
      <c r="K185" s="9">
        <f t="shared" si="17"/>
        <v>1018.3077926846399</v>
      </c>
      <c r="L185" s="10">
        <f t="shared" si="14"/>
        <v>0.16700443314253705</v>
      </c>
      <c r="M185" s="10">
        <f t="shared" si="20"/>
        <v>0.16784824994779116</v>
      </c>
      <c r="P185" s="8">
        <f t="shared" si="19"/>
        <v>12.458884619493485</v>
      </c>
    </row>
    <row r="186" spans="1:16" x14ac:dyDescent="0.2">
      <c r="A186" s="8">
        <v>92</v>
      </c>
      <c r="B186" s="8">
        <v>184</v>
      </c>
      <c r="D186">
        <v>5929.7246891652003</v>
      </c>
      <c r="E186">
        <v>1090.920071048</v>
      </c>
      <c r="F186">
        <v>115.71855760774</v>
      </c>
      <c r="G186">
        <v>105.65171503958</v>
      </c>
      <c r="I186" s="9">
        <f t="shared" si="15"/>
        <v>985.26835600841991</v>
      </c>
      <c r="J186" s="9">
        <f t="shared" si="16"/>
        <v>5814.0061315574603</v>
      </c>
      <c r="K186" s="9">
        <f t="shared" si="17"/>
        <v>985.26835600841991</v>
      </c>
      <c r="L186" s="10">
        <f t="shared" si="14"/>
        <v>0.16946462279434946</v>
      </c>
      <c r="M186" s="10">
        <f t="shared" si="20"/>
        <v>0.17031305062039731</v>
      </c>
      <c r="P186" s="8">
        <f t="shared" si="19"/>
        <v>14.110309251784168</v>
      </c>
    </row>
    <row r="187" spans="1:16" x14ac:dyDescent="0.2">
      <c r="A187" s="8">
        <v>92.5</v>
      </c>
      <c r="B187" s="8">
        <v>185</v>
      </c>
      <c r="D187">
        <v>6096.1801242235997</v>
      </c>
      <c r="E187">
        <v>1106.7843833185</v>
      </c>
      <c r="F187">
        <v>115.93843447669001</v>
      </c>
      <c r="G187">
        <v>105.92788038697999</v>
      </c>
      <c r="I187" s="9">
        <f t="shared" si="15"/>
        <v>1000.85650293152</v>
      </c>
      <c r="J187" s="9">
        <f t="shared" si="16"/>
        <v>5980.2416897469093</v>
      </c>
      <c r="K187" s="9">
        <f t="shared" si="17"/>
        <v>1000.85650293152</v>
      </c>
      <c r="L187" s="10">
        <f t="shared" si="14"/>
        <v>0.16736054408093287</v>
      </c>
      <c r="M187" s="10">
        <f t="shared" si="20"/>
        <v>0.16821358292777444</v>
      </c>
      <c r="P187" s="8">
        <f t="shared" si="19"/>
        <v>12.703658928766387</v>
      </c>
    </row>
    <row r="188" spans="1:16" x14ac:dyDescent="0.2">
      <c r="A188" s="8">
        <v>93</v>
      </c>
      <c r="B188" s="8">
        <v>186</v>
      </c>
      <c r="D188">
        <v>6174.9050576751997</v>
      </c>
      <c r="E188">
        <v>1109.6583850932</v>
      </c>
      <c r="F188">
        <v>115.89621811785</v>
      </c>
      <c r="G188">
        <v>105.78715919085001</v>
      </c>
      <c r="I188" s="9">
        <f t="shared" si="15"/>
        <v>1003.8712259023499</v>
      </c>
      <c r="J188" s="9">
        <f t="shared" si="16"/>
        <v>6059.0088395573493</v>
      </c>
      <c r="K188" s="9">
        <f t="shared" si="17"/>
        <v>1003.8712259023499</v>
      </c>
      <c r="L188" s="10">
        <f t="shared" si="14"/>
        <v>0.16568241646197851</v>
      </c>
      <c r="M188" s="10">
        <f t="shared" si="20"/>
        <v>0.16654006632961382</v>
      </c>
      <c r="P188" s="8">
        <f t="shared" si="19"/>
        <v>11.582397252937822</v>
      </c>
    </row>
    <row r="189" spans="1:16" x14ac:dyDescent="0.2">
      <c r="A189" s="8">
        <v>93.5</v>
      </c>
      <c r="B189" s="8">
        <v>187</v>
      </c>
      <c r="D189">
        <v>6044.3265306122003</v>
      </c>
      <c r="E189">
        <v>1106.8917480036</v>
      </c>
      <c r="F189">
        <v>115.17414248020999</v>
      </c>
      <c r="G189">
        <v>105.79859278804</v>
      </c>
      <c r="I189" s="9">
        <f t="shared" si="15"/>
        <v>1001.09315521556</v>
      </c>
      <c r="J189" s="9">
        <f t="shared" si="16"/>
        <v>5929.1523881319899</v>
      </c>
      <c r="K189" s="9">
        <f t="shared" si="17"/>
        <v>1001.09315521556</v>
      </c>
      <c r="L189" s="10">
        <f t="shared" si="14"/>
        <v>0.16884254100457682</v>
      </c>
      <c r="M189" s="10">
        <f t="shared" si="20"/>
        <v>0.16970480189300588</v>
      </c>
      <c r="P189" s="8">
        <f t="shared" si="19"/>
        <v>13.702780585414734</v>
      </c>
    </row>
    <row r="190" spans="1:16" x14ac:dyDescent="0.2">
      <c r="A190" s="8">
        <v>94</v>
      </c>
      <c r="B190" s="8">
        <v>188</v>
      </c>
      <c r="D190">
        <v>5989.9556344276998</v>
      </c>
      <c r="E190">
        <v>1093.2129547471</v>
      </c>
      <c r="F190">
        <v>115.27352682498</v>
      </c>
      <c r="G190">
        <v>105.88126649077</v>
      </c>
      <c r="I190" s="9">
        <f t="shared" si="15"/>
        <v>987.33168825632993</v>
      </c>
      <c r="J190" s="9">
        <f t="shared" si="16"/>
        <v>5874.68210760272</v>
      </c>
      <c r="K190" s="9">
        <f t="shared" si="17"/>
        <v>987.33168825632993</v>
      </c>
      <c r="L190" s="10">
        <f t="shared" si="14"/>
        <v>0.16806555149232238</v>
      </c>
      <c r="M190" s="10">
        <f t="shared" si="20"/>
        <v>0.16893242340154518</v>
      </c>
      <c r="P190" s="8">
        <f t="shared" si="19"/>
        <v>13.18528443230754</v>
      </c>
    </row>
    <row r="191" spans="1:16" x14ac:dyDescent="0.2">
      <c r="A191" s="8">
        <v>94.5</v>
      </c>
      <c r="B191" s="8">
        <v>189</v>
      </c>
      <c r="D191">
        <v>6175.8509700176</v>
      </c>
      <c r="E191">
        <v>1093.3527336861</v>
      </c>
      <c r="F191">
        <v>115.39138082674</v>
      </c>
      <c r="G191">
        <v>105.90677220756</v>
      </c>
      <c r="I191" s="9">
        <f t="shared" si="15"/>
        <v>987.44596147853997</v>
      </c>
      <c r="J191" s="9">
        <f t="shared" si="16"/>
        <v>6060.4595891908602</v>
      </c>
      <c r="K191" s="9">
        <f t="shared" si="17"/>
        <v>987.44596147853997</v>
      </c>
      <c r="L191" s="10">
        <f t="shared" si="14"/>
        <v>0.16293252136186179</v>
      </c>
      <c r="M191" s="10">
        <f t="shared" si="20"/>
        <v>0.16380400429187833</v>
      </c>
      <c r="P191" s="8">
        <f t="shared" si="19"/>
        <v>9.7492266055871362</v>
      </c>
    </row>
    <row r="192" spans="1:16" x14ac:dyDescent="0.2">
      <c r="A192" s="8">
        <v>95</v>
      </c>
      <c r="B192" s="8">
        <v>190</v>
      </c>
      <c r="D192">
        <v>5881.3643617020998</v>
      </c>
      <c r="E192">
        <v>1070.5540780142001</v>
      </c>
      <c r="F192">
        <v>115.43095866314999</v>
      </c>
      <c r="G192">
        <v>105.86719437115001</v>
      </c>
      <c r="I192" s="9">
        <f t="shared" si="15"/>
        <v>964.68688364305001</v>
      </c>
      <c r="J192" s="9">
        <f t="shared" si="16"/>
        <v>5765.93340303895</v>
      </c>
      <c r="K192" s="9">
        <f t="shared" si="17"/>
        <v>964.68688364305001</v>
      </c>
      <c r="L192" s="10">
        <f t="shared" si="14"/>
        <v>0.16730801696991668</v>
      </c>
      <c r="M192" s="10">
        <f t="shared" si="20"/>
        <v>0.16818411092072694</v>
      </c>
      <c r="P192" s="8">
        <f t="shared" si="19"/>
        <v>12.683912586215357</v>
      </c>
    </row>
    <row r="193" spans="1:16" x14ac:dyDescent="0.2">
      <c r="A193" s="8">
        <v>95.5</v>
      </c>
      <c r="B193" s="8">
        <v>191</v>
      </c>
      <c r="D193">
        <v>5922.3989361701997</v>
      </c>
      <c r="E193">
        <v>1066.5487588653</v>
      </c>
      <c r="F193">
        <v>115.63324538259</v>
      </c>
      <c r="G193">
        <v>105.8874230431</v>
      </c>
      <c r="I193" s="9">
        <f t="shared" si="15"/>
        <v>960.66133582220004</v>
      </c>
      <c r="J193" s="9">
        <f t="shared" si="16"/>
        <v>5806.7656907876099</v>
      </c>
      <c r="K193" s="9">
        <f t="shared" si="17"/>
        <v>960.66133582220004</v>
      </c>
      <c r="L193" s="10">
        <f t="shared" si="14"/>
        <v>0.16543828130456203</v>
      </c>
      <c r="M193" s="10">
        <f t="shared" si="20"/>
        <v>0.16631898627616604</v>
      </c>
      <c r="P193" s="8">
        <f t="shared" si="19"/>
        <v>11.434272883276002</v>
      </c>
    </row>
    <row r="194" spans="1:16" x14ac:dyDescent="0.2">
      <c r="A194" s="8">
        <v>96</v>
      </c>
      <c r="B194" s="8">
        <v>192</v>
      </c>
      <c r="D194">
        <v>6069.0363475177001</v>
      </c>
      <c r="E194">
        <v>1081.1622340425999</v>
      </c>
      <c r="F194">
        <v>115.14775725593999</v>
      </c>
      <c r="G194">
        <v>105.66578715919</v>
      </c>
      <c r="I194" s="9">
        <f t="shared" si="15"/>
        <v>975.49644688340993</v>
      </c>
      <c r="J194" s="9">
        <f t="shared" si="16"/>
        <v>5953.8885902617603</v>
      </c>
      <c r="K194" s="9">
        <f t="shared" si="17"/>
        <v>975.49644688340993</v>
      </c>
      <c r="L194" s="10">
        <f t="shared" ref="L194:L257" si="21">K194/J194</f>
        <v>0.1638419046804036</v>
      </c>
      <c r="M194" s="10">
        <f t="shared" si="20"/>
        <v>0.16472722067280135</v>
      </c>
      <c r="P194" s="8">
        <f t="shared" si="19"/>
        <v>10.367784645324472</v>
      </c>
    </row>
    <row r="195" spans="1:16" x14ac:dyDescent="0.2">
      <c r="A195" s="8">
        <v>96.5</v>
      </c>
      <c r="B195" s="8">
        <v>193</v>
      </c>
      <c r="D195">
        <v>5996.7810283688004</v>
      </c>
      <c r="E195">
        <v>1047.7819148936001</v>
      </c>
      <c r="F195">
        <v>115.62093227792001</v>
      </c>
      <c r="G195">
        <v>105.64116094987</v>
      </c>
      <c r="I195" s="9">
        <f t="shared" ref="I195:I241" si="22">E195-G195</f>
        <v>942.14075394373003</v>
      </c>
      <c r="J195" s="9">
        <f t="shared" ref="J195:J241" si="23">D195-F195</f>
        <v>5881.1600960908809</v>
      </c>
      <c r="K195" s="9">
        <f t="shared" ref="K195:K258" si="24">I195*1</f>
        <v>942.14075394373003</v>
      </c>
      <c r="L195" s="10">
        <f t="shared" si="21"/>
        <v>0.16019641338618837</v>
      </c>
      <c r="M195" s="10">
        <f t="shared" si="20"/>
        <v>0.16108634039937986</v>
      </c>
      <c r="P195" s="8">
        <f t="shared" ref="P195:P241" si="25">(M195-$O$2)/$O$2*100</f>
        <v>7.9283827766159458</v>
      </c>
    </row>
    <row r="196" spans="1:16" x14ac:dyDescent="0.2">
      <c r="A196" s="8">
        <v>97</v>
      </c>
      <c r="B196" s="8">
        <v>194</v>
      </c>
      <c r="D196">
        <v>6029.1884955752002</v>
      </c>
      <c r="E196">
        <v>1045.8884955752001</v>
      </c>
      <c r="F196">
        <v>115.28056288479</v>
      </c>
      <c r="G196">
        <v>105.75549692172</v>
      </c>
      <c r="I196" s="9">
        <f t="shared" si="22"/>
        <v>940.13299865348006</v>
      </c>
      <c r="J196" s="9">
        <f t="shared" si="23"/>
        <v>5913.9079326904102</v>
      </c>
      <c r="K196" s="9">
        <f t="shared" si="24"/>
        <v>940.13299865348006</v>
      </c>
      <c r="L196" s="10">
        <f t="shared" si="21"/>
        <v>0.15896984013847945</v>
      </c>
      <c r="M196" s="10">
        <f t="shared" si="20"/>
        <v>0.15986437817246468</v>
      </c>
      <c r="P196" s="8">
        <f t="shared" si="25"/>
        <v>7.109664028408698</v>
      </c>
    </row>
    <row r="197" spans="1:16" x14ac:dyDescent="0.2">
      <c r="A197" s="8">
        <v>97.5</v>
      </c>
      <c r="B197" s="8">
        <v>195</v>
      </c>
      <c r="D197">
        <v>5741.4557522123996</v>
      </c>
      <c r="E197">
        <v>993.49115044248003</v>
      </c>
      <c r="F197">
        <v>114.98944591029</v>
      </c>
      <c r="G197">
        <v>106.10466138962001</v>
      </c>
      <c r="I197" s="9">
        <f t="shared" si="22"/>
        <v>887.38648905286004</v>
      </c>
      <c r="J197" s="9">
        <f t="shared" si="23"/>
        <v>5626.4663063021098</v>
      </c>
      <c r="K197" s="9">
        <f t="shared" si="24"/>
        <v>887.38648905286004</v>
      </c>
      <c r="L197" s="10">
        <f t="shared" si="21"/>
        <v>0.15771648504478084</v>
      </c>
      <c r="M197" s="10">
        <f t="shared" si="20"/>
        <v>0.15861563409955981</v>
      </c>
      <c r="P197" s="8">
        <f t="shared" si="25"/>
        <v>6.2730013544888523</v>
      </c>
    </row>
    <row r="198" spans="1:16" x14ac:dyDescent="0.2">
      <c r="A198" s="8">
        <v>98</v>
      </c>
      <c r="B198" s="8">
        <v>196</v>
      </c>
      <c r="D198">
        <v>5768.0035398230002</v>
      </c>
      <c r="E198">
        <v>991.74424778760999</v>
      </c>
      <c r="F198">
        <v>115.72911169744999</v>
      </c>
      <c r="G198">
        <v>106.19876868953</v>
      </c>
      <c r="I198" s="9">
        <f t="shared" si="22"/>
        <v>885.54547909808002</v>
      </c>
      <c r="J198" s="9">
        <f t="shared" si="23"/>
        <v>5652.27442812555</v>
      </c>
      <c r="K198" s="9">
        <f t="shared" si="24"/>
        <v>885.54547909808002</v>
      </c>
      <c r="L198" s="10">
        <f t="shared" si="21"/>
        <v>0.15667064477471793</v>
      </c>
      <c r="M198" s="10">
        <f t="shared" si="20"/>
        <v>0.15757440485029062</v>
      </c>
      <c r="P198" s="8">
        <f t="shared" si="25"/>
        <v>5.575374301228373</v>
      </c>
    </row>
    <row r="199" spans="1:16" x14ac:dyDescent="0.2">
      <c r="A199" s="8">
        <v>98.5</v>
      </c>
      <c r="B199" s="8">
        <v>197</v>
      </c>
      <c r="D199">
        <v>5883.0929203539999</v>
      </c>
      <c r="E199">
        <v>1001.5061946903</v>
      </c>
      <c r="F199">
        <v>114.9199648197</v>
      </c>
      <c r="G199">
        <v>106.04221635883999</v>
      </c>
      <c r="I199" s="9">
        <f t="shared" si="22"/>
        <v>895.46397833146011</v>
      </c>
      <c r="J199" s="9">
        <f t="shared" si="23"/>
        <v>5768.1729555342999</v>
      </c>
      <c r="K199" s="9">
        <f t="shared" si="24"/>
        <v>895.46397833146011</v>
      </c>
      <c r="L199" s="10">
        <f t="shared" si="21"/>
        <v>0.15524222058430184</v>
      </c>
      <c r="M199" s="10">
        <f t="shared" si="20"/>
        <v>0.15615059168066828</v>
      </c>
      <c r="P199" s="8">
        <f t="shared" si="25"/>
        <v>4.6214147513845161</v>
      </c>
    </row>
    <row r="200" spans="1:16" x14ac:dyDescent="0.2">
      <c r="A200" s="8">
        <v>99</v>
      </c>
      <c r="B200" s="8">
        <v>198</v>
      </c>
      <c r="D200">
        <v>5973.8858407079997</v>
      </c>
      <c r="E200">
        <v>1003.6398230089</v>
      </c>
      <c r="F200">
        <v>115.23306948109</v>
      </c>
      <c r="G200">
        <v>105.93667546173999</v>
      </c>
      <c r="I200" s="9">
        <f t="shared" si="22"/>
        <v>897.70314754715992</v>
      </c>
      <c r="J200" s="9">
        <f t="shared" si="23"/>
        <v>5858.6527712269099</v>
      </c>
      <c r="K200" s="9">
        <f t="shared" si="24"/>
        <v>897.70314754715992</v>
      </c>
      <c r="L200" s="10">
        <f t="shared" si="21"/>
        <v>0.15322689065239897</v>
      </c>
      <c r="M200" s="10">
        <f t="shared" si="20"/>
        <v>0.15413987276955915</v>
      </c>
      <c r="P200" s="8">
        <f t="shared" si="25"/>
        <v>3.2742264065731161</v>
      </c>
    </row>
    <row r="201" spans="1:16" x14ac:dyDescent="0.2">
      <c r="A201" s="8">
        <v>99.5</v>
      </c>
      <c r="B201" s="8">
        <v>199</v>
      </c>
      <c r="D201">
        <v>5622.4933687003004</v>
      </c>
      <c r="E201">
        <v>973.90627763042005</v>
      </c>
      <c r="F201">
        <v>115.21987686895</v>
      </c>
      <c r="G201">
        <v>106.01495162709</v>
      </c>
      <c r="I201" s="9">
        <f t="shared" si="22"/>
        <v>867.89132600333005</v>
      </c>
      <c r="J201" s="9">
        <f t="shared" si="23"/>
        <v>5507.2734918313508</v>
      </c>
      <c r="K201" s="9">
        <f t="shared" si="24"/>
        <v>867.89132600333005</v>
      </c>
      <c r="L201" s="10">
        <f t="shared" si="21"/>
        <v>0.15759001750877774</v>
      </c>
      <c r="M201" s="10">
        <f t="shared" si="20"/>
        <v>0.15850761064673166</v>
      </c>
      <c r="P201" s="8">
        <f t="shared" si="25"/>
        <v>6.2006252825215924</v>
      </c>
    </row>
    <row r="202" spans="1:16" x14ac:dyDescent="0.2">
      <c r="A202" s="8">
        <v>100</v>
      </c>
      <c r="B202" s="8">
        <v>200</v>
      </c>
      <c r="D202">
        <v>5345.4187279152002</v>
      </c>
      <c r="E202">
        <v>928.87632508833997</v>
      </c>
      <c r="F202">
        <v>115.78891820581001</v>
      </c>
      <c r="G202">
        <v>105.83553210202</v>
      </c>
      <c r="I202" s="9">
        <f t="shared" si="22"/>
        <v>823.04079298631996</v>
      </c>
      <c r="J202" s="9">
        <f t="shared" si="23"/>
        <v>5229.6298097093904</v>
      </c>
      <c r="K202" s="9">
        <f t="shared" si="24"/>
        <v>823.04079298631996</v>
      </c>
      <c r="L202" s="10">
        <f t="shared" si="21"/>
        <v>0.15738031618571796</v>
      </c>
      <c r="M202" s="10">
        <f t="shared" si="20"/>
        <v>0.15830252034446562</v>
      </c>
      <c r="P202" s="8">
        <f t="shared" si="25"/>
        <v>6.0632140992278298</v>
      </c>
    </row>
    <row r="203" spans="1:16" x14ac:dyDescent="0.2">
      <c r="A203" s="8">
        <v>100.5</v>
      </c>
      <c r="B203" s="8">
        <v>201</v>
      </c>
      <c r="D203">
        <v>5145.8807420495004</v>
      </c>
      <c r="E203">
        <v>900.56183745582996</v>
      </c>
      <c r="F203">
        <v>115.84520668426001</v>
      </c>
      <c r="G203">
        <v>106.07124010554</v>
      </c>
      <c r="I203" s="9">
        <f t="shared" si="22"/>
        <v>794.49059735028993</v>
      </c>
      <c r="J203" s="9">
        <f t="shared" si="23"/>
        <v>5030.0355353652403</v>
      </c>
      <c r="K203" s="9">
        <f t="shared" si="24"/>
        <v>794.49059735028993</v>
      </c>
      <c r="L203" s="10">
        <f t="shared" si="21"/>
        <v>0.15794930110619992</v>
      </c>
      <c r="M203" s="10">
        <f t="shared" si="20"/>
        <v>0.1588761162857413</v>
      </c>
      <c r="P203" s="8">
        <f t="shared" si="25"/>
        <v>6.4475252838734596</v>
      </c>
    </row>
    <row r="204" spans="1:16" x14ac:dyDescent="0.2">
      <c r="A204" s="8">
        <v>101</v>
      </c>
      <c r="B204" s="8">
        <v>202</v>
      </c>
      <c r="D204">
        <v>5166.5623342175004</v>
      </c>
      <c r="E204">
        <v>875.06542882404995</v>
      </c>
      <c r="F204">
        <v>115.84344766931</v>
      </c>
      <c r="G204">
        <v>105.75813544415</v>
      </c>
      <c r="I204" s="9">
        <f t="shared" si="22"/>
        <v>769.30729337989999</v>
      </c>
      <c r="J204" s="9">
        <f t="shared" si="23"/>
        <v>5050.7188865481903</v>
      </c>
      <c r="K204" s="9">
        <f t="shared" si="24"/>
        <v>769.30729337989999</v>
      </c>
      <c r="L204" s="10">
        <f t="shared" si="21"/>
        <v>0.15231639508364467</v>
      </c>
      <c r="M204" s="10">
        <f t="shared" si="20"/>
        <v>0.15324782128397979</v>
      </c>
      <c r="P204" s="8">
        <f t="shared" si="25"/>
        <v>2.6765489501645989</v>
      </c>
    </row>
    <row r="205" spans="1:16" x14ac:dyDescent="0.2">
      <c r="A205" s="8">
        <v>101.5</v>
      </c>
      <c r="B205" s="8">
        <v>203</v>
      </c>
      <c r="D205">
        <v>5514.9929266135996</v>
      </c>
      <c r="E205">
        <v>926.76392572943996</v>
      </c>
      <c r="F205">
        <v>115.28935795954</v>
      </c>
      <c r="G205">
        <v>105.6508355321</v>
      </c>
      <c r="I205" s="9">
        <f t="shared" si="22"/>
        <v>821.11309019733994</v>
      </c>
      <c r="J205" s="9">
        <f t="shared" si="23"/>
        <v>5399.7035686540594</v>
      </c>
      <c r="K205" s="9">
        <f t="shared" si="24"/>
        <v>821.11309019733994</v>
      </c>
      <c r="L205" s="10">
        <f t="shared" si="21"/>
        <v>0.15206632730063221</v>
      </c>
      <c r="M205" s="10">
        <f t="shared" si="20"/>
        <v>0.15300236452176108</v>
      </c>
      <c r="P205" s="8">
        <f t="shared" si="25"/>
        <v>2.5120921047103599</v>
      </c>
    </row>
    <row r="206" spans="1:16" x14ac:dyDescent="0.2">
      <c r="A206" s="8">
        <v>102</v>
      </c>
      <c r="B206" s="8">
        <v>204</v>
      </c>
      <c r="D206">
        <v>5319.2323321555004</v>
      </c>
      <c r="E206">
        <v>905.16961130742004</v>
      </c>
      <c r="F206">
        <v>115.31486367634</v>
      </c>
      <c r="G206">
        <v>105.88566402814</v>
      </c>
      <c r="I206" s="9">
        <f t="shared" si="22"/>
        <v>799.28394727928003</v>
      </c>
      <c r="J206" s="9">
        <f t="shared" si="23"/>
        <v>5203.9174684791606</v>
      </c>
      <c r="K206" s="9">
        <f t="shared" si="24"/>
        <v>799.28394727928003</v>
      </c>
      <c r="L206" s="10">
        <f t="shared" si="21"/>
        <v>0.15359274087659003</v>
      </c>
      <c r="M206" s="10">
        <f t="shared" si="20"/>
        <v>0.15453338911851264</v>
      </c>
      <c r="P206" s="8">
        <f t="shared" si="25"/>
        <v>3.53788366660776</v>
      </c>
    </row>
    <row r="207" spans="1:16" x14ac:dyDescent="0.2">
      <c r="A207" s="8">
        <v>102.5</v>
      </c>
      <c r="B207" s="8">
        <v>205</v>
      </c>
      <c r="D207">
        <v>5248.1978798586997</v>
      </c>
      <c r="E207">
        <v>856.89575971731006</v>
      </c>
      <c r="F207">
        <v>115.51275285840001</v>
      </c>
      <c r="G207">
        <v>105.64467897977001</v>
      </c>
      <c r="I207" s="9">
        <f t="shared" si="22"/>
        <v>751.25108073754006</v>
      </c>
      <c r="J207" s="9">
        <f t="shared" si="23"/>
        <v>5132.6851270002999</v>
      </c>
      <c r="K207" s="9">
        <f t="shared" si="24"/>
        <v>751.25108073754006</v>
      </c>
      <c r="L207" s="10">
        <f t="shared" si="21"/>
        <v>0.14636609535730363</v>
      </c>
      <c r="M207" s="10">
        <f t="shared" si="20"/>
        <v>0.14731135462001999</v>
      </c>
      <c r="P207" s="8">
        <f t="shared" si="25"/>
        <v>-1.3009034201602829</v>
      </c>
    </row>
    <row r="208" spans="1:16" x14ac:dyDescent="0.2">
      <c r="A208" s="8">
        <v>103</v>
      </c>
      <c r="B208" s="8">
        <v>206</v>
      </c>
      <c r="D208">
        <v>5332.7446996465997</v>
      </c>
      <c r="E208">
        <v>908.00706713781005</v>
      </c>
      <c r="F208">
        <v>115.6508355321</v>
      </c>
      <c r="G208">
        <v>105.94107299912</v>
      </c>
      <c r="I208" s="9">
        <f t="shared" si="22"/>
        <v>802.06599413869003</v>
      </c>
      <c r="J208" s="9">
        <f t="shared" si="23"/>
        <v>5217.0938641144994</v>
      </c>
      <c r="K208" s="9">
        <f t="shared" si="24"/>
        <v>802.06599413869003</v>
      </c>
      <c r="L208" s="10">
        <f t="shared" si="21"/>
        <v>0.15373808005557615</v>
      </c>
      <c r="M208" s="10">
        <f t="shared" si="20"/>
        <v>0.15468795033908625</v>
      </c>
      <c r="P208" s="8">
        <f t="shared" si="25"/>
        <v>3.6414401974416677</v>
      </c>
    </row>
    <row r="209" spans="1:16" x14ac:dyDescent="0.2">
      <c r="A209" s="8">
        <v>103.5</v>
      </c>
      <c r="B209" s="8">
        <v>207</v>
      </c>
      <c r="D209">
        <v>5424.2217314487998</v>
      </c>
      <c r="E209">
        <v>922.36307420494995</v>
      </c>
      <c r="F209">
        <v>115.5347405453</v>
      </c>
      <c r="G209">
        <v>105.46613896218</v>
      </c>
      <c r="I209" s="9">
        <f t="shared" si="22"/>
        <v>816.89693524276993</v>
      </c>
      <c r="J209" s="9">
        <f t="shared" si="23"/>
        <v>5308.6869909034995</v>
      </c>
      <c r="K209" s="9">
        <f t="shared" si="24"/>
        <v>816.89693524276993</v>
      </c>
      <c r="L209" s="10">
        <f t="shared" si="21"/>
        <v>0.15387928062862491</v>
      </c>
      <c r="M209" s="10">
        <f t="shared" si="20"/>
        <v>0.15483376193292872</v>
      </c>
      <c r="P209" s="8">
        <f t="shared" si="25"/>
        <v>3.7391344493222531</v>
      </c>
    </row>
    <row r="210" spans="1:16" x14ac:dyDescent="0.2">
      <c r="A210" s="8">
        <v>104</v>
      </c>
      <c r="B210" s="8">
        <v>208</v>
      </c>
      <c r="D210">
        <v>5513.6192579504996</v>
      </c>
      <c r="E210">
        <v>916.38957597172998</v>
      </c>
      <c r="F210">
        <v>115.39050131926</v>
      </c>
      <c r="G210">
        <v>105.88390501319</v>
      </c>
      <c r="I210" s="9">
        <f t="shared" si="22"/>
        <v>810.50567095854001</v>
      </c>
      <c r="J210" s="9">
        <f t="shared" si="23"/>
        <v>5398.2287566312398</v>
      </c>
      <c r="K210" s="9">
        <f t="shared" si="24"/>
        <v>810.50567095854001</v>
      </c>
      <c r="L210" s="10">
        <f t="shared" si="21"/>
        <v>0.15014289084413227</v>
      </c>
      <c r="M210" s="10">
        <f t="shared" si="20"/>
        <v>0.15110198316922982</v>
      </c>
      <c r="P210" s="8">
        <f t="shared" si="25"/>
        <v>1.2388302903999602</v>
      </c>
    </row>
    <row r="211" spans="1:16" x14ac:dyDescent="0.2">
      <c r="A211" s="8">
        <v>104.5</v>
      </c>
      <c r="B211" s="8">
        <v>209</v>
      </c>
      <c r="D211">
        <v>5885.5583038868999</v>
      </c>
      <c r="E211">
        <v>975.26413427561999</v>
      </c>
      <c r="F211">
        <v>115.49780123131001</v>
      </c>
      <c r="G211">
        <v>105.62972735268001</v>
      </c>
      <c r="I211" s="9">
        <f t="shared" si="22"/>
        <v>869.63440692294</v>
      </c>
      <c r="J211" s="9">
        <f t="shared" si="23"/>
        <v>5770.0605026555895</v>
      </c>
      <c r="K211" s="9">
        <f t="shared" si="24"/>
        <v>869.63440692294</v>
      </c>
      <c r="L211" s="10">
        <f t="shared" si="21"/>
        <v>0.15071495463915896</v>
      </c>
      <c r="M211" s="10">
        <f t="shared" si="20"/>
        <v>0.15167865798505026</v>
      </c>
      <c r="P211" s="8">
        <f t="shared" si="25"/>
        <v>1.6252043312105762</v>
      </c>
    </row>
    <row r="212" spans="1:16" x14ac:dyDescent="0.2">
      <c r="A212" s="8">
        <v>105</v>
      </c>
      <c r="B212" s="8">
        <v>210</v>
      </c>
      <c r="D212">
        <v>5256.1855123675005</v>
      </c>
      <c r="E212">
        <v>915.58303886926001</v>
      </c>
      <c r="F212">
        <v>115.34476693052</v>
      </c>
      <c r="G212">
        <v>105.78627968338</v>
      </c>
      <c r="I212" s="9">
        <f t="shared" si="22"/>
        <v>809.79675918587998</v>
      </c>
      <c r="J212" s="9">
        <f t="shared" si="23"/>
        <v>5140.8407454369808</v>
      </c>
      <c r="K212" s="9">
        <f t="shared" si="24"/>
        <v>809.79675918587998</v>
      </c>
      <c r="L212" s="10">
        <f t="shared" si="21"/>
        <v>0.1575222418443242</v>
      </c>
      <c r="M212" s="10">
        <f t="shared" si="20"/>
        <v>0.15849055621100924</v>
      </c>
      <c r="P212" s="8">
        <f t="shared" si="25"/>
        <v>6.1891987539771796</v>
      </c>
    </row>
    <row r="213" spans="1:16" x14ac:dyDescent="0.2">
      <c r="A213" s="8">
        <v>105.5</v>
      </c>
      <c r="B213" s="8">
        <v>211</v>
      </c>
      <c r="D213">
        <v>5570.4661389621997</v>
      </c>
      <c r="E213">
        <v>922.23658751099003</v>
      </c>
      <c r="F213">
        <v>115.55233069481</v>
      </c>
      <c r="G213">
        <v>105.71679859279</v>
      </c>
      <c r="I213" s="9">
        <f t="shared" si="22"/>
        <v>816.51978891819999</v>
      </c>
      <c r="J213" s="9">
        <f t="shared" si="23"/>
        <v>5454.9138082673899</v>
      </c>
      <c r="K213" s="9">
        <f t="shared" si="24"/>
        <v>816.51978891819999</v>
      </c>
      <c r="L213" s="10">
        <f t="shared" si="21"/>
        <v>0.14968518616750537</v>
      </c>
      <c r="M213" s="10">
        <f t="shared" si="20"/>
        <v>0.15065811155498415</v>
      </c>
      <c r="P213" s="8">
        <f t="shared" si="25"/>
        <v>0.94143483547059137</v>
      </c>
    </row>
    <row r="214" spans="1:16" x14ac:dyDescent="0.2">
      <c r="A214" s="8">
        <v>106</v>
      </c>
      <c r="B214" s="8">
        <v>212</v>
      </c>
      <c r="D214">
        <v>5547.8768689533999</v>
      </c>
      <c r="E214">
        <v>918.34828496041996</v>
      </c>
      <c r="F214">
        <v>115.12225153914</v>
      </c>
      <c r="G214">
        <v>105.75901495162999</v>
      </c>
      <c r="I214" s="9">
        <f t="shared" si="22"/>
        <v>812.58927000878998</v>
      </c>
      <c r="J214" s="9">
        <f t="shared" si="23"/>
        <v>5432.7546174142599</v>
      </c>
      <c r="K214" s="9">
        <f t="shared" si="24"/>
        <v>812.58927000878998</v>
      </c>
      <c r="L214" s="10">
        <f t="shared" si="21"/>
        <v>0.14957223862165617</v>
      </c>
      <c r="M214" s="10">
        <f t="shared" si="20"/>
        <v>0.15054977502992867</v>
      </c>
      <c r="P214" s="8">
        <f t="shared" si="25"/>
        <v>0.86884900407180488</v>
      </c>
    </row>
    <row r="215" spans="1:16" x14ac:dyDescent="0.2">
      <c r="A215" s="8">
        <v>106.5</v>
      </c>
      <c r="B215" s="8">
        <v>213</v>
      </c>
      <c r="D215">
        <v>5648.4212840808996</v>
      </c>
      <c r="E215">
        <v>922.67458223394999</v>
      </c>
      <c r="F215">
        <v>115.45118733509</v>
      </c>
      <c r="G215">
        <v>105.89797713281</v>
      </c>
      <c r="I215" s="9">
        <f t="shared" si="22"/>
        <v>816.77660510114004</v>
      </c>
      <c r="J215" s="9">
        <f t="shared" si="23"/>
        <v>5532.9700967458093</v>
      </c>
      <c r="K215" s="9">
        <f t="shared" si="24"/>
        <v>816.77660510114004</v>
      </c>
      <c r="L215" s="10">
        <f t="shared" si="21"/>
        <v>0.14761992037179514</v>
      </c>
      <c r="M215" s="10">
        <f t="shared" si="20"/>
        <v>0.14860206780086138</v>
      </c>
      <c r="P215" s="8">
        <f t="shared" si="25"/>
        <v>-0.43612130461096216</v>
      </c>
    </row>
    <row r="216" spans="1:16" x14ac:dyDescent="0.2">
      <c r="A216" s="8">
        <v>107</v>
      </c>
      <c r="B216" s="8">
        <v>214</v>
      </c>
      <c r="D216">
        <v>5813.8715919084998</v>
      </c>
      <c r="E216">
        <v>935.38962181178999</v>
      </c>
      <c r="F216">
        <v>115.563764292</v>
      </c>
      <c r="G216">
        <v>106.03518029903</v>
      </c>
      <c r="I216" s="9">
        <f t="shared" si="22"/>
        <v>829.35444151275999</v>
      </c>
      <c r="J216" s="9">
        <f t="shared" si="23"/>
        <v>5698.3078276164997</v>
      </c>
      <c r="K216" s="9">
        <f t="shared" si="24"/>
        <v>829.35444151275999</v>
      </c>
      <c r="L216" s="10">
        <f t="shared" si="21"/>
        <v>0.14554398719797912</v>
      </c>
      <c r="M216" s="10">
        <f t="shared" si="20"/>
        <v>0.14653074564783911</v>
      </c>
      <c r="P216" s="8">
        <f t="shared" si="25"/>
        <v>-1.8239140226702093</v>
      </c>
    </row>
    <row r="217" spans="1:16" x14ac:dyDescent="0.2">
      <c r="A217" s="8">
        <v>107.5</v>
      </c>
      <c r="B217" s="8">
        <v>215</v>
      </c>
      <c r="D217">
        <v>5406.1125769568998</v>
      </c>
      <c r="E217">
        <v>852.93843447668996</v>
      </c>
      <c r="F217">
        <v>115.60686015831</v>
      </c>
      <c r="G217">
        <v>106.07036059807</v>
      </c>
      <c r="I217" s="9">
        <f t="shared" si="22"/>
        <v>746.86807387861995</v>
      </c>
      <c r="J217" s="9">
        <f t="shared" si="23"/>
        <v>5290.5057167985897</v>
      </c>
      <c r="K217" s="9">
        <f t="shared" si="24"/>
        <v>746.86807387861995</v>
      </c>
      <c r="L217" s="10">
        <f t="shared" si="21"/>
        <v>0.14117139529915629</v>
      </c>
      <c r="M217" s="10">
        <f t="shared" si="20"/>
        <v>0.14216276476981002</v>
      </c>
      <c r="P217" s="8">
        <f t="shared" si="25"/>
        <v>-4.7504757099992068</v>
      </c>
    </row>
    <row r="218" spans="1:16" x14ac:dyDescent="0.2">
      <c r="A218" s="8">
        <v>108</v>
      </c>
      <c r="B218" s="8">
        <v>216</v>
      </c>
      <c r="D218">
        <v>6081.8351063829996</v>
      </c>
      <c r="E218">
        <v>981.58776595744996</v>
      </c>
      <c r="F218">
        <v>115.68513632366</v>
      </c>
      <c r="G218">
        <v>105.90501319261</v>
      </c>
      <c r="I218" s="9">
        <f t="shared" si="22"/>
        <v>875.68275276483996</v>
      </c>
      <c r="J218" s="9">
        <f t="shared" si="23"/>
        <v>5966.1499700593395</v>
      </c>
      <c r="K218" s="9">
        <f t="shared" si="24"/>
        <v>875.68275276483996</v>
      </c>
      <c r="L218" s="10">
        <f t="shared" si="21"/>
        <v>0.14677518284980864</v>
      </c>
      <c r="M218" s="10">
        <f t="shared" si="20"/>
        <v>0.14777116334125612</v>
      </c>
      <c r="P218" s="8">
        <f t="shared" si="25"/>
        <v>-0.99283005064576491</v>
      </c>
    </row>
    <row r="219" spans="1:16" x14ac:dyDescent="0.2">
      <c r="A219" s="8">
        <v>108.5</v>
      </c>
      <c r="B219" s="8">
        <v>217</v>
      </c>
      <c r="D219">
        <v>5630.7943262411</v>
      </c>
      <c r="E219">
        <v>918.80141843972001</v>
      </c>
      <c r="F219">
        <v>115.41336851363</v>
      </c>
      <c r="G219">
        <v>106.07124010554</v>
      </c>
      <c r="I219" s="9">
        <f t="shared" si="22"/>
        <v>812.73017833417998</v>
      </c>
      <c r="J219" s="9">
        <f t="shared" si="23"/>
        <v>5515.3809577274696</v>
      </c>
      <c r="K219" s="9">
        <f t="shared" si="24"/>
        <v>812.73017833417998</v>
      </c>
      <c r="L219" s="10">
        <f t="shared" si="21"/>
        <v>0.14735703382292803</v>
      </c>
      <c r="M219" s="10">
        <f t="shared" si="20"/>
        <v>0.14835762533516925</v>
      </c>
      <c r="P219" s="8">
        <f t="shared" si="25"/>
        <v>-0.5998985680255462</v>
      </c>
    </row>
    <row r="220" spans="1:16" x14ac:dyDescent="0.2">
      <c r="A220" s="8">
        <v>109</v>
      </c>
      <c r="B220" s="8">
        <v>218</v>
      </c>
      <c r="D220">
        <v>5727.4574468085002</v>
      </c>
      <c r="E220">
        <v>912.88386524822999</v>
      </c>
      <c r="F220">
        <v>115.48021108179</v>
      </c>
      <c r="G220">
        <v>105.82585751979001</v>
      </c>
      <c r="I220" s="9">
        <f t="shared" si="22"/>
        <v>807.05800772843997</v>
      </c>
      <c r="J220" s="9">
        <f t="shared" si="23"/>
        <v>5611.9772357267102</v>
      </c>
      <c r="K220" s="9">
        <f t="shared" si="24"/>
        <v>807.05800772843997</v>
      </c>
      <c r="L220" s="10">
        <f t="shared" si="21"/>
        <v>0.14380992185616587</v>
      </c>
      <c r="M220" s="10">
        <f t="shared" si="20"/>
        <v>0.1448151243892008</v>
      </c>
      <c r="P220" s="8">
        <f t="shared" si="25"/>
        <v>-2.9733859607807824</v>
      </c>
    </row>
    <row r="221" spans="1:16" x14ac:dyDescent="0.2">
      <c r="A221" s="8">
        <v>109.5</v>
      </c>
      <c r="B221" s="8">
        <v>219</v>
      </c>
      <c r="D221">
        <v>5653.6223404254997</v>
      </c>
      <c r="E221">
        <v>898.47163120566995</v>
      </c>
      <c r="F221">
        <v>115.56288478451999</v>
      </c>
      <c r="G221">
        <v>105.86103781881999</v>
      </c>
      <c r="I221" s="9">
        <f t="shared" si="22"/>
        <v>792.61059338684993</v>
      </c>
      <c r="J221" s="9">
        <f t="shared" si="23"/>
        <v>5538.0594556409796</v>
      </c>
      <c r="K221" s="9">
        <f t="shared" si="24"/>
        <v>792.61059338684993</v>
      </c>
      <c r="L221" s="10">
        <f t="shared" si="21"/>
        <v>0.14312063634122044</v>
      </c>
      <c r="M221" s="10">
        <f t="shared" si="20"/>
        <v>0.14413044989504911</v>
      </c>
      <c r="P221" s="8">
        <f t="shared" si="25"/>
        <v>-3.4321201445668192</v>
      </c>
    </row>
    <row r="222" spans="1:16" x14ac:dyDescent="0.2">
      <c r="A222" s="8">
        <v>110</v>
      </c>
      <c r="B222" s="8">
        <v>220</v>
      </c>
      <c r="D222">
        <v>5530.9069148935996</v>
      </c>
      <c r="E222">
        <v>867.84308510638004</v>
      </c>
      <c r="F222">
        <v>115.52946350044</v>
      </c>
      <c r="G222">
        <v>105.71943711522</v>
      </c>
      <c r="I222" s="9">
        <f t="shared" si="22"/>
        <v>762.12364799116006</v>
      </c>
      <c r="J222" s="9">
        <f t="shared" si="23"/>
        <v>5415.3774513931594</v>
      </c>
      <c r="K222" s="9">
        <f t="shared" si="24"/>
        <v>762.12364799116006</v>
      </c>
      <c r="L222" s="10">
        <f t="shared" si="21"/>
        <v>0.14073324617383709</v>
      </c>
      <c r="M222" s="10">
        <f t="shared" si="20"/>
        <v>0.14174767074845951</v>
      </c>
      <c r="P222" s="8">
        <f t="shared" si="25"/>
        <v>-5.0285900821646505</v>
      </c>
    </row>
    <row r="223" spans="1:16" x14ac:dyDescent="0.2">
      <c r="A223" s="8">
        <v>110.5</v>
      </c>
      <c r="B223" s="8">
        <v>221</v>
      </c>
      <c r="D223">
        <v>5119.1560283688004</v>
      </c>
      <c r="E223">
        <v>830.73936170213005</v>
      </c>
      <c r="F223">
        <v>115.10378188215</v>
      </c>
      <c r="G223">
        <v>106.01231310466</v>
      </c>
      <c r="I223" s="9">
        <f t="shared" si="22"/>
        <v>724.72704859747</v>
      </c>
      <c r="J223" s="9">
        <f t="shared" si="23"/>
        <v>5004.0522464866508</v>
      </c>
      <c r="K223" s="9">
        <f t="shared" si="24"/>
        <v>724.72704859747</v>
      </c>
      <c r="L223" s="10">
        <f t="shared" si="21"/>
        <v>0.14482803394115268</v>
      </c>
      <c r="M223" s="10">
        <f t="shared" si="20"/>
        <v>0.14584706953656884</v>
      </c>
      <c r="P223" s="8">
        <f t="shared" si="25"/>
        <v>-2.2819792866116666</v>
      </c>
    </row>
    <row r="224" spans="1:16" x14ac:dyDescent="0.2">
      <c r="A224" s="8">
        <v>111</v>
      </c>
      <c r="B224" s="8">
        <v>222</v>
      </c>
      <c r="D224">
        <v>5342.5549645390001</v>
      </c>
      <c r="E224">
        <v>835.67021276595995</v>
      </c>
      <c r="F224">
        <v>115.49340369393001</v>
      </c>
      <c r="G224">
        <v>105.44503078276</v>
      </c>
      <c r="I224" s="9">
        <f t="shared" si="22"/>
        <v>730.22518198319995</v>
      </c>
      <c r="J224" s="9">
        <f t="shared" si="23"/>
        <v>5227.0615608450698</v>
      </c>
      <c r="K224" s="9">
        <f t="shared" si="24"/>
        <v>730.22518198319995</v>
      </c>
      <c r="L224" s="10">
        <f t="shared" si="21"/>
        <v>0.13970089571035069</v>
      </c>
      <c r="M224" s="10">
        <f t="shared" si="20"/>
        <v>0.14072454232656059</v>
      </c>
      <c r="P224" s="8">
        <f t="shared" si="25"/>
        <v>-5.7140895210032676</v>
      </c>
    </row>
    <row r="225" spans="1:16" x14ac:dyDescent="0.2">
      <c r="A225" s="8">
        <v>111.5</v>
      </c>
      <c r="B225" s="8">
        <v>223</v>
      </c>
      <c r="D225">
        <v>5114.6160635481001</v>
      </c>
      <c r="E225">
        <v>823.50132391880004</v>
      </c>
      <c r="F225">
        <v>115.51275285840001</v>
      </c>
      <c r="G225">
        <v>106.00263852243</v>
      </c>
      <c r="I225" s="9">
        <f t="shared" si="22"/>
        <v>717.49868539637009</v>
      </c>
      <c r="J225" s="9">
        <f t="shared" si="23"/>
        <v>4999.1033106897003</v>
      </c>
      <c r="K225" s="9">
        <f t="shared" si="24"/>
        <v>717.49868539637009</v>
      </c>
      <c r="L225" s="10">
        <f t="shared" si="21"/>
        <v>0.14352547663140422</v>
      </c>
      <c r="M225" s="10">
        <f t="shared" si="20"/>
        <v>0.14455373426840784</v>
      </c>
      <c r="P225" s="8">
        <f t="shared" si="25"/>
        <v>-3.1485182093688628</v>
      </c>
    </row>
    <row r="226" spans="1:16" x14ac:dyDescent="0.2">
      <c r="A226" s="8">
        <v>112</v>
      </c>
      <c r="B226" s="8">
        <v>224</v>
      </c>
      <c r="D226">
        <v>5491.5911894273004</v>
      </c>
      <c r="E226">
        <v>859.08986784140995</v>
      </c>
      <c r="F226">
        <v>115.40105540897</v>
      </c>
      <c r="G226">
        <v>105.79507475814</v>
      </c>
      <c r="I226" s="9">
        <f t="shared" si="22"/>
        <v>753.29479308326995</v>
      </c>
      <c r="J226" s="9">
        <f t="shared" si="23"/>
        <v>5376.1901340183304</v>
      </c>
      <c r="K226" s="9">
        <f t="shared" si="24"/>
        <v>753.29479308326995</v>
      </c>
      <c r="L226" s="10">
        <f t="shared" si="21"/>
        <v>0.14011684376948072</v>
      </c>
      <c r="M226" s="10">
        <f t="shared" si="20"/>
        <v>0.14114971242727808</v>
      </c>
      <c r="P226" s="8">
        <f t="shared" si="25"/>
        <v>-5.4292241422154675</v>
      </c>
    </row>
    <row r="227" spans="1:16" x14ac:dyDescent="0.2">
      <c r="A227" s="8">
        <v>112.5</v>
      </c>
      <c r="B227" s="8">
        <v>225</v>
      </c>
      <c r="D227">
        <v>5337.9584805654004</v>
      </c>
      <c r="E227">
        <v>847.27208480565002</v>
      </c>
      <c r="F227">
        <v>115.52154793315999</v>
      </c>
      <c r="G227">
        <v>105.80914687775</v>
      </c>
      <c r="I227" s="9">
        <f t="shared" si="22"/>
        <v>741.46293792790004</v>
      </c>
      <c r="J227" s="9">
        <f t="shared" si="23"/>
        <v>5222.4369326322403</v>
      </c>
      <c r="K227" s="9">
        <f t="shared" si="24"/>
        <v>741.46293792790004</v>
      </c>
      <c r="L227" s="10">
        <f t="shared" si="21"/>
        <v>0.14197642738295049</v>
      </c>
      <c r="M227" s="10">
        <f t="shared" si="20"/>
        <v>0.1430139070615416</v>
      </c>
      <c r="P227" s="8">
        <f t="shared" si="25"/>
        <v>-4.1802075492624313</v>
      </c>
    </row>
    <row r="228" spans="1:16" x14ac:dyDescent="0.2">
      <c r="A228" s="8">
        <v>113</v>
      </c>
      <c r="B228" s="8">
        <v>226</v>
      </c>
      <c r="D228">
        <v>5018.4787985865996</v>
      </c>
      <c r="E228">
        <v>799.13250883392004</v>
      </c>
      <c r="F228">
        <v>115.30079155673</v>
      </c>
      <c r="G228">
        <v>105.93403693931</v>
      </c>
      <c r="I228" s="9">
        <f t="shared" si="22"/>
        <v>693.19847189461007</v>
      </c>
      <c r="J228" s="9">
        <f t="shared" si="23"/>
        <v>4903.1780070298701</v>
      </c>
      <c r="K228" s="9">
        <f t="shared" si="24"/>
        <v>693.19847189461007</v>
      </c>
      <c r="L228" s="10">
        <f t="shared" si="21"/>
        <v>0.1413773823631827</v>
      </c>
      <c r="M228" s="10">
        <f t="shared" si="20"/>
        <v>0.14241947306256755</v>
      </c>
      <c r="P228" s="8">
        <f t="shared" si="25"/>
        <v>-4.5784803017356923</v>
      </c>
    </row>
    <row r="229" spans="1:16" x14ac:dyDescent="0.2">
      <c r="A229" s="8">
        <v>113.5</v>
      </c>
      <c r="B229" s="8">
        <v>227</v>
      </c>
      <c r="D229">
        <v>5074.2049469965004</v>
      </c>
      <c r="E229">
        <v>795.43462897527002</v>
      </c>
      <c r="F229">
        <v>115.218117854</v>
      </c>
      <c r="G229">
        <v>105.95778364116001</v>
      </c>
      <c r="I229" s="9">
        <f t="shared" si="22"/>
        <v>689.47684533411007</v>
      </c>
      <c r="J229" s="9">
        <f t="shared" si="23"/>
        <v>4958.9868291425</v>
      </c>
      <c r="K229" s="9">
        <f t="shared" si="24"/>
        <v>689.47684533411007</v>
      </c>
      <c r="L229" s="10">
        <f t="shared" si="21"/>
        <v>0.13903582910974041</v>
      </c>
      <c r="M229" s="10">
        <f t="shared" si="20"/>
        <v>0.14008253082991901</v>
      </c>
      <c r="P229" s="8">
        <f t="shared" si="25"/>
        <v>-6.1442393548422398</v>
      </c>
    </row>
    <row r="230" spans="1:16" x14ac:dyDescent="0.2">
      <c r="A230" s="8">
        <v>114</v>
      </c>
      <c r="B230" s="8">
        <v>228</v>
      </c>
      <c r="D230">
        <v>5104.4673144875997</v>
      </c>
      <c r="E230">
        <v>810.22703180212</v>
      </c>
      <c r="F230">
        <v>115.24802110818</v>
      </c>
      <c r="G230">
        <v>105.90413368514</v>
      </c>
      <c r="I230" s="9">
        <f t="shared" si="22"/>
        <v>704.32289811698001</v>
      </c>
      <c r="J230" s="9">
        <f t="shared" si="23"/>
        <v>4989.2192933794195</v>
      </c>
      <c r="K230" s="9">
        <f t="shared" si="24"/>
        <v>704.32289811698001</v>
      </c>
      <c r="L230" s="10">
        <f t="shared" si="21"/>
        <v>0.14116895985141412</v>
      </c>
      <c r="M230" s="10">
        <f t="shared" si="20"/>
        <v>0.14222027259238645</v>
      </c>
      <c r="P230" s="8">
        <f t="shared" si="25"/>
        <v>-4.711945277981874</v>
      </c>
    </row>
    <row r="231" spans="1:16" x14ac:dyDescent="0.2">
      <c r="A231" s="8">
        <v>114.5</v>
      </c>
      <c r="B231" s="8">
        <v>229</v>
      </c>
      <c r="D231">
        <v>5150.9284452296997</v>
      </c>
      <c r="E231">
        <v>821.37455830389001</v>
      </c>
      <c r="F231">
        <v>115.27000879508</v>
      </c>
      <c r="G231">
        <v>105.91380826737</v>
      </c>
      <c r="I231" s="9">
        <f t="shared" si="22"/>
        <v>715.46075003652004</v>
      </c>
      <c r="J231" s="9">
        <f t="shared" si="23"/>
        <v>5035.6584364346199</v>
      </c>
      <c r="K231" s="9">
        <f t="shared" si="24"/>
        <v>715.46075003652004</v>
      </c>
      <c r="L231" s="10">
        <f t="shared" si="21"/>
        <v>0.14207888780937361</v>
      </c>
      <c r="M231" s="10">
        <f t="shared" si="20"/>
        <v>0.14313481157113966</v>
      </c>
      <c r="P231" s="8">
        <f t="shared" si="25"/>
        <v>-4.0992011265020256</v>
      </c>
    </row>
    <row r="232" spans="1:16" x14ac:dyDescent="0.2">
      <c r="A232" s="8">
        <v>115</v>
      </c>
      <c r="B232" s="8">
        <v>230</v>
      </c>
      <c r="D232">
        <v>5303.0123674912002</v>
      </c>
      <c r="E232">
        <v>826.51590106006995</v>
      </c>
      <c r="F232">
        <v>115.10817941953</v>
      </c>
      <c r="G232">
        <v>106.07739665787</v>
      </c>
      <c r="I232" s="9">
        <f t="shared" si="22"/>
        <v>720.4385044021999</v>
      </c>
      <c r="J232" s="9">
        <f t="shared" si="23"/>
        <v>5187.9041880716704</v>
      </c>
      <c r="K232" s="9">
        <f t="shared" si="24"/>
        <v>720.4385044021999</v>
      </c>
      <c r="L232" s="10">
        <f t="shared" si="21"/>
        <v>0.13886889161497504</v>
      </c>
      <c r="M232" s="10">
        <f t="shared" si="20"/>
        <v>0.13992942639753483</v>
      </c>
      <c r="P232" s="8">
        <f t="shared" si="25"/>
        <v>-6.2468198327535678</v>
      </c>
    </row>
    <row r="233" spans="1:16" x14ac:dyDescent="0.2">
      <c r="A233" s="8">
        <v>115.5</v>
      </c>
      <c r="B233" s="8">
        <v>231</v>
      </c>
      <c r="D233">
        <v>5433.7160603372004</v>
      </c>
      <c r="E233">
        <v>850.18633540373003</v>
      </c>
      <c r="F233">
        <v>115.66842568161999</v>
      </c>
      <c r="G233">
        <v>105.71240105541</v>
      </c>
      <c r="I233" s="9">
        <f t="shared" si="22"/>
        <v>744.47393434831997</v>
      </c>
      <c r="J233" s="9">
        <f t="shared" si="23"/>
        <v>5318.0476346555806</v>
      </c>
      <c r="K233" s="9">
        <f t="shared" si="24"/>
        <v>744.47393434831997</v>
      </c>
      <c r="L233" s="10">
        <f t="shared" si="21"/>
        <v>0.13999008386026524</v>
      </c>
      <c r="M233" s="10">
        <f t="shared" si="20"/>
        <v>0.14105522966361878</v>
      </c>
      <c r="P233" s="8">
        <f t="shared" si="25"/>
        <v>-5.4925279074927236</v>
      </c>
    </row>
    <row r="234" spans="1:16" x14ac:dyDescent="0.2">
      <c r="A234" s="8">
        <v>116</v>
      </c>
      <c r="B234" s="8">
        <v>232</v>
      </c>
      <c r="D234">
        <v>5356.8991150442998</v>
      </c>
      <c r="E234">
        <v>848.93805309735001</v>
      </c>
      <c r="F234">
        <v>115.218117854</v>
      </c>
      <c r="G234">
        <v>105.80299032542</v>
      </c>
      <c r="I234" s="9">
        <f t="shared" si="22"/>
        <v>743.13506277193005</v>
      </c>
      <c r="J234" s="9">
        <f t="shared" si="23"/>
        <v>5241.6809971902994</v>
      </c>
      <c r="K234" s="9">
        <f t="shared" si="24"/>
        <v>743.13506277193005</v>
      </c>
      <c r="L234" s="10">
        <f t="shared" si="21"/>
        <v>0.14177418716825252</v>
      </c>
      <c r="M234" s="10">
        <f t="shared" si="20"/>
        <v>0.1428439439923998</v>
      </c>
      <c r="P234" s="8">
        <f t="shared" si="25"/>
        <v>-4.2940833697618288</v>
      </c>
    </row>
    <row r="235" spans="1:16" x14ac:dyDescent="0.2">
      <c r="A235" s="8">
        <v>116.5</v>
      </c>
      <c r="B235" s="8">
        <v>233</v>
      </c>
      <c r="D235">
        <v>5424.4070796460001</v>
      </c>
      <c r="E235">
        <v>853.1203539823</v>
      </c>
      <c r="F235">
        <v>115.0510114336</v>
      </c>
      <c r="G235">
        <v>105.76165347406</v>
      </c>
      <c r="I235" s="9">
        <f t="shared" si="22"/>
        <v>747.35870050823996</v>
      </c>
      <c r="J235" s="9">
        <f t="shared" si="23"/>
        <v>5309.3560682123998</v>
      </c>
      <c r="K235" s="9">
        <f t="shared" si="24"/>
        <v>747.35870050823996</v>
      </c>
      <c r="L235" s="10">
        <f t="shared" si="21"/>
        <v>0.14076258794974117</v>
      </c>
      <c r="M235" s="10">
        <f t="shared" si="20"/>
        <v>0.1418369557946822</v>
      </c>
      <c r="P235" s="8">
        <f t="shared" si="25"/>
        <v>-4.9687688048232044</v>
      </c>
    </row>
    <row r="236" spans="1:16" x14ac:dyDescent="0.2">
      <c r="A236" s="8">
        <v>117</v>
      </c>
      <c r="B236" s="8">
        <v>234</v>
      </c>
      <c r="D236">
        <v>5478.6787610620004</v>
      </c>
      <c r="E236">
        <v>858.14513274336002</v>
      </c>
      <c r="F236">
        <v>115.19613016711</v>
      </c>
      <c r="G236">
        <v>105.76868953386</v>
      </c>
      <c r="I236" s="9">
        <f t="shared" si="22"/>
        <v>752.37644320950005</v>
      </c>
      <c r="J236" s="9">
        <f t="shared" si="23"/>
        <v>5363.4826308948905</v>
      </c>
      <c r="K236" s="9">
        <f t="shared" si="24"/>
        <v>752.37644320950005</v>
      </c>
      <c r="L236" s="10">
        <f t="shared" si="21"/>
        <v>0.14027759479925209</v>
      </c>
      <c r="M236" s="10">
        <f t="shared" si="20"/>
        <v>0.14135657366498683</v>
      </c>
      <c r="P236" s="8">
        <f t="shared" si="25"/>
        <v>-5.290626426296658</v>
      </c>
    </row>
    <row r="237" spans="1:16" x14ac:dyDescent="0.2">
      <c r="A237" s="8">
        <v>117.5</v>
      </c>
      <c r="B237" s="8">
        <v>235</v>
      </c>
      <c r="D237">
        <v>5405.9699115044004</v>
      </c>
      <c r="E237">
        <v>873.40442477876002</v>
      </c>
      <c r="F237">
        <v>115.64116094987</v>
      </c>
      <c r="G237">
        <v>105.64467897977001</v>
      </c>
      <c r="I237" s="9">
        <f t="shared" si="22"/>
        <v>767.75974579899002</v>
      </c>
      <c r="J237" s="9">
        <f t="shared" si="23"/>
        <v>5290.3287505545304</v>
      </c>
      <c r="K237" s="9">
        <f t="shared" si="24"/>
        <v>767.75974579899002</v>
      </c>
      <c r="L237" s="10">
        <f t="shared" si="21"/>
        <v>0.14512514854932479</v>
      </c>
      <c r="M237" s="10">
        <f t="shared" si="20"/>
        <v>0.14620873843585327</v>
      </c>
      <c r="P237" s="8">
        <f t="shared" si="25"/>
        <v>-2.0396599235695225</v>
      </c>
    </row>
    <row r="238" spans="1:16" x14ac:dyDescent="0.2">
      <c r="A238" s="8">
        <v>118</v>
      </c>
      <c r="B238" s="8">
        <v>236</v>
      </c>
      <c r="D238">
        <v>5535.8309734513005</v>
      </c>
      <c r="E238">
        <v>855.46814159292001</v>
      </c>
      <c r="F238">
        <v>115.29023746702001</v>
      </c>
      <c r="G238">
        <v>105.50483729112</v>
      </c>
      <c r="I238" s="9">
        <f t="shared" si="22"/>
        <v>749.96330430180001</v>
      </c>
      <c r="J238" s="9">
        <f t="shared" si="23"/>
        <v>5420.5407359842802</v>
      </c>
      <c r="K238" s="9">
        <f t="shared" si="24"/>
        <v>749.96330430180001</v>
      </c>
      <c r="L238" s="10">
        <f t="shared" si="21"/>
        <v>0.13835581002521866</v>
      </c>
      <c r="M238" s="10">
        <f t="shared" si="20"/>
        <v>0.13944401093254088</v>
      </c>
      <c r="P238" s="8">
        <f t="shared" si="25"/>
        <v>-6.5720498055846939</v>
      </c>
    </row>
    <row r="239" spans="1:16" x14ac:dyDescent="0.2">
      <c r="A239" s="8">
        <v>118.5</v>
      </c>
      <c r="B239" s="8">
        <v>237</v>
      </c>
      <c r="D239">
        <v>5556.0690265487001</v>
      </c>
      <c r="E239">
        <v>895.40442477876002</v>
      </c>
      <c r="F239">
        <v>115.69217238346999</v>
      </c>
      <c r="G239">
        <v>105.90413368514</v>
      </c>
      <c r="I239" s="9">
        <f t="shared" si="22"/>
        <v>789.50029109362004</v>
      </c>
      <c r="J239" s="9">
        <f t="shared" si="23"/>
        <v>5440.3768541652298</v>
      </c>
      <c r="K239" s="9">
        <f t="shared" si="24"/>
        <v>789.50029109362004</v>
      </c>
      <c r="L239" s="10">
        <f t="shared" si="21"/>
        <v>0.14511867693304506</v>
      </c>
      <c r="M239" s="10">
        <f t="shared" si="20"/>
        <v>0.14621148886116103</v>
      </c>
      <c r="P239" s="8">
        <f t="shared" si="25"/>
        <v>-2.0378171294835798</v>
      </c>
    </row>
    <row r="240" spans="1:16" x14ac:dyDescent="0.2">
      <c r="A240" s="8">
        <v>119</v>
      </c>
      <c r="B240" s="8">
        <v>238</v>
      </c>
      <c r="D240">
        <v>5806.6159292034999</v>
      </c>
      <c r="E240">
        <v>916.15398230088999</v>
      </c>
      <c r="F240">
        <v>115.25153913808001</v>
      </c>
      <c r="G240">
        <v>105.74582233949</v>
      </c>
      <c r="I240" s="9">
        <f t="shared" si="22"/>
        <v>810.40815996139997</v>
      </c>
      <c r="J240" s="9">
        <f t="shared" si="23"/>
        <v>5691.3643900654197</v>
      </c>
      <c r="K240" s="9">
        <f t="shared" si="24"/>
        <v>810.40815996139997</v>
      </c>
      <c r="L240" s="10">
        <f t="shared" si="21"/>
        <v>0.14239259770047594</v>
      </c>
      <c r="M240" s="10">
        <f t="shared" si="20"/>
        <v>0.14349002064938565</v>
      </c>
      <c r="P240" s="8">
        <f t="shared" si="25"/>
        <v>-3.8612098649983313</v>
      </c>
    </row>
    <row r="241" spans="1:16" x14ac:dyDescent="0.2">
      <c r="A241" s="8">
        <v>119.5</v>
      </c>
      <c r="B241" s="8">
        <v>239</v>
      </c>
      <c r="D241">
        <v>5870.0097345132999</v>
      </c>
      <c r="E241">
        <v>907.46017699114998</v>
      </c>
      <c r="F241">
        <v>115.4291996482</v>
      </c>
      <c r="G241">
        <v>105.65699208443</v>
      </c>
      <c r="I241" s="9">
        <f t="shared" si="22"/>
        <v>801.80318490671993</v>
      </c>
      <c r="J241" s="9">
        <f t="shared" si="23"/>
        <v>5754.5805348651002</v>
      </c>
      <c r="K241" s="9">
        <f t="shared" si="24"/>
        <v>801.80318490671993</v>
      </c>
      <c r="L241" s="10">
        <f t="shared" si="21"/>
        <v>0.13933303740365777</v>
      </c>
      <c r="M241" s="10">
        <f t="shared" si="20"/>
        <v>0.14043507137336123</v>
      </c>
      <c r="P241" s="8">
        <f t="shared" si="25"/>
        <v>-5.908036020514988</v>
      </c>
    </row>
    <row r="242" spans="1:16" x14ac:dyDescent="0.2">
      <c r="A242" s="8">
        <v>120</v>
      </c>
      <c r="B242" s="8">
        <v>240</v>
      </c>
      <c r="D242">
        <v>6267.6411609499</v>
      </c>
      <c r="E242">
        <v>976.42304309586996</v>
      </c>
      <c r="F242">
        <v>115.31926121372</v>
      </c>
      <c r="G242">
        <v>105.61125769569</v>
      </c>
      <c r="I242" s="9">
        <f>E242-G242</f>
        <v>870.81178540017993</v>
      </c>
      <c r="J242" s="9">
        <f>D242-F242</f>
        <v>6152.3218997361801</v>
      </c>
      <c r="K242" s="9">
        <f t="shared" si="24"/>
        <v>870.81178540017993</v>
      </c>
      <c r="L242" s="10">
        <f t="shared" si="21"/>
        <v>0.14154197384202566</v>
      </c>
      <c r="M242" s="10">
        <f>L242+ABS($N$2)*A242</f>
        <v>0.14264861883252283</v>
      </c>
      <c r="O242" s="11"/>
      <c r="P242" s="8">
        <f>(M242-$O$2)/$O$2*100</f>
        <v>-4.424951875240561</v>
      </c>
    </row>
    <row r="243" spans="1:16" x14ac:dyDescent="0.2">
      <c r="A243" s="8">
        <v>120.5</v>
      </c>
      <c r="B243" s="8">
        <v>241</v>
      </c>
      <c r="D243">
        <v>6065.1424802110996</v>
      </c>
      <c r="E243">
        <v>916.24802110817996</v>
      </c>
      <c r="F243">
        <v>115.74670184697</v>
      </c>
      <c r="G243">
        <v>105.85224274406001</v>
      </c>
      <c r="I243" s="9">
        <f t="shared" ref="I243:I274" si="26">E243-G243</f>
        <v>810.39577836411991</v>
      </c>
      <c r="J243" s="9">
        <f t="shared" ref="J243:J274" si="27">D243-F243</f>
        <v>5949.3957783641299</v>
      </c>
      <c r="K243" s="9">
        <f t="shared" si="24"/>
        <v>810.39577836411991</v>
      </c>
      <c r="L243" s="10">
        <f t="shared" si="21"/>
        <v>0.13621480374717138</v>
      </c>
      <c r="M243" s="10">
        <f t="shared" ref="M243:M274" si="28">L243+ABS($N$2)*A243</f>
        <v>0.13732605975846229</v>
      </c>
      <c r="P243" s="8">
        <f t="shared" ref="P243:P274" si="29">(M243-$O$2)/$O$2*100</f>
        <v>-7.9910841225317668</v>
      </c>
    </row>
    <row r="244" spans="1:16" x14ac:dyDescent="0.2">
      <c r="A244" s="8">
        <v>121</v>
      </c>
      <c r="B244" s="8">
        <v>242</v>
      </c>
      <c r="D244">
        <v>6046.9010600706997</v>
      </c>
      <c r="E244">
        <v>950.85247349822998</v>
      </c>
      <c r="F244">
        <v>115.32805628848</v>
      </c>
      <c r="G244">
        <v>105.76253298153</v>
      </c>
      <c r="I244" s="9">
        <f t="shared" si="26"/>
        <v>845.08994051669993</v>
      </c>
      <c r="J244" s="9">
        <f t="shared" si="27"/>
        <v>5931.5730037822195</v>
      </c>
      <c r="K244" s="9">
        <f t="shared" si="24"/>
        <v>845.08994051669993</v>
      </c>
      <c r="L244" s="10">
        <f t="shared" si="21"/>
        <v>0.14247315846535735</v>
      </c>
      <c r="M244" s="10">
        <f t="shared" si="28"/>
        <v>0.14358902549744201</v>
      </c>
      <c r="N244" s="1"/>
      <c r="P244" s="8">
        <f t="shared" si="29"/>
        <v>-3.7948762881644713</v>
      </c>
    </row>
    <row r="245" spans="1:16" x14ac:dyDescent="0.2">
      <c r="A245" s="8">
        <v>121.5</v>
      </c>
      <c r="B245" s="8">
        <v>243</v>
      </c>
      <c r="D245">
        <v>6138.0901060071001</v>
      </c>
      <c r="E245">
        <v>952.39134275618005</v>
      </c>
      <c r="F245">
        <v>114.97625329815</v>
      </c>
      <c r="G245">
        <v>105.82321899736</v>
      </c>
      <c r="I245" s="9">
        <f t="shared" si="26"/>
        <v>846.56812375882009</v>
      </c>
      <c r="J245" s="9">
        <f t="shared" si="27"/>
        <v>6023.1138527089497</v>
      </c>
      <c r="K245" s="9">
        <f t="shared" si="24"/>
        <v>846.56812375882009</v>
      </c>
      <c r="L245" s="10">
        <f t="shared" si="21"/>
        <v>0.14055323283953339</v>
      </c>
      <c r="M245" s="10">
        <f t="shared" si="28"/>
        <v>0.14167371089241179</v>
      </c>
      <c r="P245" s="8">
        <f t="shared" si="29"/>
        <v>-5.0781434312185239</v>
      </c>
    </row>
    <row r="246" spans="1:16" x14ac:dyDescent="0.2">
      <c r="A246" s="8">
        <v>122</v>
      </c>
      <c r="B246" s="8">
        <v>244</v>
      </c>
      <c r="D246">
        <v>5834.5989399293003</v>
      </c>
      <c r="E246">
        <v>907.72349823321997</v>
      </c>
      <c r="F246">
        <v>114.98065083553</v>
      </c>
      <c r="G246">
        <v>105.61741424802</v>
      </c>
      <c r="I246" s="9">
        <f t="shared" si="26"/>
        <v>802.10608398520003</v>
      </c>
      <c r="J246" s="9">
        <f t="shared" si="27"/>
        <v>5719.6182890937707</v>
      </c>
      <c r="K246" s="9">
        <f t="shared" si="24"/>
        <v>802.10608398520003</v>
      </c>
      <c r="L246" s="10">
        <f t="shared" si="21"/>
        <v>0.14023769479768686</v>
      </c>
      <c r="M246" s="10">
        <f t="shared" si="28"/>
        <v>0.141362783871359</v>
      </c>
      <c r="P246" s="8">
        <f t="shared" si="29"/>
        <v>-5.2864655674131784</v>
      </c>
    </row>
    <row r="247" spans="1:16" x14ac:dyDescent="0.2">
      <c r="A247" s="8">
        <v>122.5</v>
      </c>
      <c r="B247" s="8">
        <v>245</v>
      </c>
      <c r="D247">
        <v>5706.9275618375004</v>
      </c>
      <c r="E247">
        <v>890.33215547703003</v>
      </c>
      <c r="F247">
        <v>115.5382585752</v>
      </c>
      <c r="G247">
        <v>105.40721196130001</v>
      </c>
      <c r="I247" s="9">
        <f t="shared" si="26"/>
        <v>784.92494351572998</v>
      </c>
      <c r="J247" s="9">
        <f t="shared" si="27"/>
        <v>5591.3893032623</v>
      </c>
      <c r="K247" s="9">
        <f t="shared" si="24"/>
        <v>784.92494351572998</v>
      </c>
      <c r="L247" s="10">
        <f t="shared" si="21"/>
        <v>0.14038102177177414</v>
      </c>
      <c r="M247" s="10">
        <f t="shared" si="28"/>
        <v>0.14151072186624</v>
      </c>
      <c r="P247" s="8">
        <f t="shared" si="29"/>
        <v>-5.1873466197784177</v>
      </c>
    </row>
    <row r="248" spans="1:16" x14ac:dyDescent="0.2">
      <c r="A248" s="8">
        <v>123</v>
      </c>
      <c r="B248" s="8">
        <v>246</v>
      </c>
      <c r="D248">
        <v>5557.6201413427998</v>
      </c>
      <c r="E248">
        <v>861.25441696113</v>
      </c>
      <c r="F248">
        <v>115.9454705365</v>
      </c>
      <c r="G248">
        <v>105.59278803869999</v>
      </c>
      <c r="I248" s="9">
        <f t="shared" si="26"/>
        <v>755.66162892243005</v>
      </c>
      <c r="J248" s="9">
        <f t="shared" si="27"/>
        <v>5441.6746708063001</v>
      </c>
      <c r="K248" s="9">
        <f t="shared" si="24"/>
        <v>755.66162892243005</v>
      </c>
      <c r="L248" s="10">
        <f t="shared" si="21"/>
        <v>0.13886563873000932</v>
      </c>
      <c r="M248" s="10">
        <f t="shared" si="28"/>
        <v>0.13999994984526892</v>
      </c>
      <c r="P248" s="8">
        <f t="shared" si="29"/>
        <v>-6.1995688886766196</v>
      </c>
    </row>
    <row r="249" spans="1:16" x14ac:dyDescent="0.2">
      <c r="A249" s="8">
        <v>123.5</v>
      </c>
      <c r="B249" s="8">
        <v>247</v>
      </c>
      <c r="D249">
        <v>5605.4169611306997</v>
      </c>
      <c r="E249">
        <v>851.18109540635999</v>
      </c>
      <c r="F249">
        <v>115.61037818822</v>
      </c>
      <c r="G249">
        <v>105.82321899736</v>
      </c>
      <c r="I249" s="9">
        <f t="shared" si="26"/>
        <v>745.35787640900003</v>
      </c>
      <c r="J249" s="9">
        <f t="shared" si="27"/>
        <v>5489.8065829424795</v>
      </c>
      <c r="K249" s="9">
        <f t="shared" si="24"/>
        <v>745.35787640900003</v>
      </c>
      <c r="L249" s="10">
        <f t="shared" si="21"/>
        <v>0.13577124533401974</v>
      </c>
      <c r="M249" s="10">
        <f t="shared" si="28"/>
        <v>0.13691016747007309</v>
      </c>
      <c r="P249" s="8">
        <f t="shared" si="29"/>
        <v>-8.2697333362628971</v>
      </c>
    </row>
    <row r="250" spans="1:16" x14ac:dyDescent="0.2">
      <c r="A250" s="8">
        <v>124</v>
      </c>
      <c r="B250" s="8">
        <v>248</v>
      </c>
      <c r="D250">
        <v>5418.8491570541</v>
      </c>
      <c r="E250">
        <v>848.57675244011</v>
      </c>
      <c r="F250">
        <v>115.4907651715</v>
      </c>
      <c r="G250">
        <v>105.67458223395001</v>
      </c>
      <c r="I250" s="9">
        <f t="shared" si="26"/>
        <v>742.90217020616001</v>
      </c>
      <c r="J250" s="9">
        <f t="shared" si="27"/>
        <v>5303.3583918825998</v>
      </c>
      <c r="K250" s="9">
        <f t="shared" si="24"/>
        <v>742.90217020616001</v>
      </c>
      <c r="L250" s="10">
        <f t="shared" si="21"/>
        <v>0.14008145693929666</v>
      </c>
      <c r="M250" s="10">
        <f t="shared" si="28"/>
        <v>0.14122499009614375</v>
      </c>
      <c r="P250" s="8">
        <f t="shared" si="29"/>
        <v>-5.378787854199226</v>
      </c>
    </row>
    <row r="251" spans="1:16" x14ac:dyDescent="0.2">
      <c r="A251" s="8">
        <v>124.5</v>
      </c>
      <c r="B251" s="8">
        <v>249</v>
      </c>
      <c r="D251">
        <v>5460.3886424134998</v>
      </c>
      <c r="E251">
        <v>860.77018633540001</v>
      </c>
      <c r="F251">
        <v>115.44503078276</v>
      </c>
      <c r="G251">
        <v>105.41248900616</v>
      </c>
      <c r="I251" s="9">
        <f t="shared" si="26"/>
        <v>755.35769732923995</v>
      </c>
      <c r="J251" s="9">
        <f t="shared" si="27"/>
        <v>5344.9436116307397</v>
      </c>
      <c r="K251" s="9">
        <f t="shared" si="24"/>
        <v>755.35769732923995</v>
      </c>
      <c r="L251" s="10">
        <f t="shared" si="21"/>
        <v>0.14132192071878205</v>
      </c>
      <c r="M251" s="10">
        <f t="shared" si="28"/>
        <v>0.14247006489642289</v>
      </c>
      <c r="P251" s="8">
        <f t="shared" si="29"/>
        <v>-4.5445836051183877</v>
      </c>
    </row>
    <row r="252" spans="1:16" x14ac:dyDescent="0.2">
      <c r="A252" s="8">
        <v>125</v>
      </c>
      <c r="B252" s="8">
        <v>250</v>
      </c>
      <c r="D252">
        <v>5454.9281277728996</v>
      </c>
      <c r="E252">
        <v>851.53859804792</v>
      </c>
      <c r="F252">
        <v>115.22515391381</v>
      </c>
      <c r="G252">
        <v>105.62357080035</v>
      </c>
      <c r="I252" s="9">
        <f t="shared" si="26"/>
        <v>745.91502724757004</v>
      </c>
      <c r="J252" s="9">
        <f t="shared" si="27"/>
        <v>5339.70297385909</v>
      </c>
      <c r="K252" s="9">
        <f t="shared" si="24"/>
        <v>745.91502724757004</v>
      </c>
      <c r="L252" s="10">
        <f t="shared" si="21"/>
        <v>0.13969223211464235</v>
      </c>
      <c r="M252" s="10">
        <f t="shared" si="28"/>
        <v>0.14084498731307693</v>
      </c>
      <c r="P252" s="8">
        <f t="shared" si="29"/>
        <v>-5.6333909802329556</v>
      </c>
    </row>
    <row r="253" spans="1:16" x14ac:dyDescent="0.2">
      <c r="A253" s="8">
        <v>125.5</v>
      </c>
      <c r="B253" s="8">
        <v>251</v>
      </c>
      <c r="D253">
        <v>5397.8518189884999</v>
      </c>
      <c r="E253">
        <v>818.58473824312</v>
      </c>
      <c r="F253">
        <v>115.3781882146</v>
      </c>
      <c r="G253">
        <v>105.83025505717001</v>
      </c>
      <c r="I253" s="9">
        <f t="shared" si="26"/>
        <v>712.75448318594999</v>
      </c>
      <c r="J253" s="9">
        <f t="shared" si="27"/>
        <v>5282.4736307738995</v>
      </c>
      <c r="K253" s="9">
        <f t="shared" si="24"/>
        <v>712.75448318594999</v>
      </c>
      <c r="L253" s="10">
        <f t="shared" si="21"/>
        <v>0.13492816680308334</v>
      </c>
      <c r="M253" s="10">
        <f t="shared" si="28"/>
        <v>0.13608553302231163</v>
      </c>
      <c r="P253" s="8">
        <f t="shared" si="29"/>
        <v>-8.8222411535497098</v>
      </c>
    </row>
    <row r="254" spans="1:16" x14ac:dyDescent="0.2">
      <c r="A254" s="8">
        <v>126</v>
      </c>
      <c r="B254" s="8">
        <v>252</v>
      </c>
      <c r="D254">
        <v>5400.5877659574999</v>
      </c>
      <c r="E254">
        <v>838.05319148935996</v>
      </c>
      <c r="F254">
        <v>115.26033421283999</v>
      </c>
      <c r="G254">
        <v>105.48197009675</v>
      </c>
      <c r="I254" s="9">
        <f t="shared" si="26"/>
        <v>732.57122139260991</v>
      </c>
      <c r="J254" s="9">
        <f t="shared" si="27"/>
        <v>5285.3274317446603</v>
      </c>
      <c r="K254" s="9">
        <f t="shared" si="24"/>
        <v>732.57122139260991</v>
      </c>
      <c r="L254" s="10">
        <f t="shared" si="21"/>
        <v>0.13860469968097924</v>
      </c>
      <c r="M254" s="10">
        <f t="shared" si="28"/>
        <v>0.13976667692100128</v>
      </c>
      <c r="P254" s="8">
        <f t="shared" si="29"/>
        <v>-6.3558625222606828</v>
      </c>
    </row>
    <row r="255" spans="1:16" x14ac:dyDescent="0.2">
      <c r="A255" s="8">
        <v>126.5</v>
      </c>
      <c r="B255" s="8">
        <v>253</v>
      </c>
      <c r="D255">
        <v>5466.2065602837001</v>
      </c>
      <c r="E255">
        <v>849.09663120566995</v>
      </c>
      <c r="F255">
        <v>115.77572559367</v>
      </c>
      <c r="G255">
        <v>105.70624450308</v>
      </c>
      <c r="I255" s="9">
        <f t="shared" si="26"/>
        <v>743.39038670258992</v>
      </c>
      <c r="J255" s="9">
        <f t="shared" si="27"/>
        <v>5350.4308346900298</v>
      </c>
      <c r="K255" s="9">
        <f t="shared" si="24"/>
        <v>743.39038670258992</v>
      </c>
      <c r="L255" s="10">
        <f t="shared" si="21"/>
        <v>0.13894028530987584</v>
      </c>
      <c r="M255" s="10">
        <f t="shared" si="28"/>
        <v>0.14010687357069163</v>
      </c>
      <c r="P255" s="8">
        <f t="shared" si="29"/>
        <v>-6.1279296377214365</v>
      </c>
    </row>
    <row r="256" spans="1:16" x14ac:dyDescent="0.2">
      <c r="A256" s="8">
        <v>127</v>
      </c>
      <c r="B256" s="8">
        <v>254</v>
      </c>
      <c r="D256">
        <v>5712.7886825817995</v>
      </c>
      <c r="E256">
        <v>880.30150309460998</v>
      </c>
      <c r="F256">
        <v>115.28232189974</v>
      </c>
      <c r="G256">
        <v>105.4617414248</v>
      </c>
      <c r="I256" s="9">
        <f t="shared" si="26"/>
        <v>774.83976166980995</v>
      </c>
      <c r="J256" s="9">
        <f t="shared" si="27"/>
        <v>5597.5063606820595</v>
      </c>
      <c r="K256" s="9">
        <f t="shared" si="24"/>
        <v>774.83976166980995</v>
      </c>
      <c r="L256" s="10">
        <f t="shared" si="21"/>
        <v>0.13842588319549409</v>
      </c>
      <c r="M256" s="10">
        <f t="shared" si="28"/>
        <v>0.13959708247710362</v>
      </c>
      <c r="P256" s="8">
        <f t="shared" si="29"/>
        <v>-6.4694913626228976</v>
      </c>
    </row>
    <row r="257" spans="1:16" x14ac:dyDescent="0.2">
      <c r="A257" s="8">
        <v>127.5</v>
      </c>
      <c r="B257" s="8">
        <v>255</v>
      </c>
      <c r="D257">
        <v>5291.9823477493001</v>
      </c>
      <c r="E257">
        <v>835.97263901147005</v>
      </c>
      <c r="F257">
        <v>114.97097625329999</v>
      </c>
      <c r="G257">
        <v>105.55145118734001</v>
      </c>
      <c r="I257" s="9">
        <f t="shared" si="26"/>
        <v>730.42118782413002</v>
      </c>
      <c r="J257" s="9">
        <f t="shared" si="27"/>
        <v>5177.0113714959998</v>
      </c>
      <c r="K257" s="9">
        <f t="shared" si="24"/>
        <v>730.42118782413002</v>
      </c>
      <c r="L257" s="10">
        <f t="shared" si="21"/>
        <v>0.14108935356907673</v>
      </c>
      <c r="M257" s="10">
        <f t="shared" si="28"/>
        <v>0.14226516387148</v>
      </c>
      <c r="P257" s="8">
        <f t="shared" si="29"/>
        <v>-4.6818679719773559</v>
      </c>
    </row>
    <row r="258" spans="1:16" x14ac:dyDescent="0.2">
      <c r="A258" s="8">
        <v>128</v>
      </c>
      <c r="B258" s="8">
        <v>256</v>
      </c>
      <c r="D258">
        <v>5337.3786407767002</v>
      </c>
      <c r="E258">
        <v>815.56928508384999</v>
      </c>
      <c r="F258">
        <v>115.22427440633</v>
      </c>
      <c r="G258">
        <v>105.71416007035999</v>
      </c>
      <c r="I258" s="9">
        <f t="shared" si="26"/>
        <v>709.85512501349001</v>
      </c>
      <c r="J258" s="9">
        <f t="shared" si="27"/>
        <v>5222.1543663703706</v>
      </c>
      <c r="K258" s="9">
        <f t="shared" si="24"/>
        <v>709.85512501349001</v>
      </c>
      <c r="L258" s="10">
        <f t="shared" ref="L258:L321" si="30">K258/J258</f>
        <v>0.13593147103900546</v>
      </c>
      <c r="M258" s="10">
        <f t="shared" si="28"/>
        <v>0.13711189236220245</v>
      </c>
      <c r="P258" s="8">
        <f t="shared" si="29"/>
        <v>-8.1345769889318333</v>
      </c>
    </row>
    <row r="259" spans="1:16" x14ac:dyDescent="0.2">
      <c r="A259" s="8">
        <v>128.5</v>
      </c>
      <c r="B259" s="8">
        <v>257</v>
      </c>
      <c r="D259">
        <v>5251.7696381288997</v>
      </c>
      <c r="E259">
        <v>813.46513680494002</v>
      </c>
      <c r="F259">
        <v>115.54793315742999</v>
      </c>
      <c r="G259">
        <v>105.67194371152</v>
      </c>
      <c r="I259" s="9">
        <f t="shared" si="26"/>
        <v>707.79319309341997</v>
      </c>
      <c r="J259" s="9">
        <f t="shared" si="27"/>
        <v>5136.22170497147</v>
      </c>
      <c r="K259" s="9">
        <f t="shared" ref="K259:K321" si="31">I259*1</f>
        <v>707.79319309341997</v>
      </c>
      <c r="L259" s="10">
        <f t="shared" si="30"/>
        <v>0.13780425257117118</v>
      </c>
      <c r="M259" s="10">
        <f t="shared" si="28"/>
        <v>0.13898928491516191</v>
      </c>
      <c r="P259" s="8">
        <f t="shared" si="29"/>
        <v>-6.8767177466434211</v>
      </c>
    </row>
    <row r="260" spans="1:16" x14ac:dyDescent="0.2">
      <c r="A260" s="8">
        <v>129</v>
      </c>
      <c r="B260" s="8">
        <v>258</v>
      </c>
      <c r="D260">
        <v>5195.3459841129998</v>
      </c>
      <c r="E260">
        <v>825.04589585172005</v>
      </c>
      <c r="F260">
        <v>115.45030782761999</v>
      </c>
      <c r="G260">
        <v>105.69129287599</v>
      </c>
      <c r="I260" s="9">
        <f t="shared" si="26"/>
        <v>719.35460297573002</v>
      </c>
      <c r="J260" s="9">
        <f t="shared" si="27"/>
        <v>5079.8956762853795</v>
      </c>
      <c r="K260" s="9">
        <f t="shared" si="31"/>
        <v>719.35460297573002</v>
      </c>
      <c r="L260" s="10">
        <f t="shared" si="30"/>
        <v>0.14160814489437518</v>
      </c>
      <c r="M260" s="10">
        <f t="shared" si="28"/>
        <v>0.14279778825915965</v>
      </c>
      <c r="P260" s="8">
        <f t="shared" si="29"/>
        <v>-4.3250078642417966</v>
      </c>
    </row>
    <row r="261" spans="1:16" x14ac:dyDescent="0.2">
      <c r="A261" s="8">
        <v>129.5</v>
      </c>
      <c r="B261" s="8">
        <v>259</v>
      </c>
      <c r="D261">
        <v>5146.8446601941996</v>
      </c>
      <c r="E261">
        <v>780.22065313327005</v>
      </c>
      <c r="F261">
        <v>115.04133685136</v>
      </c>
      <c r="G261">
        <v>105.59806508355</v>
      </c>
      <c r="I261" s="9">
        <f t="shared" si="26"/>
        <v>674.62258804972009</v>
      </c>
      <c r="J261" s="9">
        <f t="shared" si="27"/>
        <v>5031.8033233428396</v>
      </c>
      <c r="K261" s="9">
        <f t="shared" si="31"/>
        <v>674.62258804972009</v>
      </c>
      <c r="L261" s="10">
        <f t="shared" si="30"/>
        <v>0.13407173227938085</v>
      </c>
      <c r="M261" s="10">
        <f t="shared" si="28"/>
        <v>0.13526598666495906</v>
      </c>
      <c r="P261" s="8">
        <f t="shared" si="29"/>
        <v>-9.371339933373191</v>
      </c>
    </row>
    <row r="262" spans="1:16" x14ac:dyDescent="0.2">
      <c r="A262" s="8">
        <v>130</v>
      </c>
      <c r="B262" s="8">
        <v>260</v>
      </c>
      <c r="D262">
        <v>5230.6725507501997</v>
      </c>
      <c r="E262">
        <v>801.79346866725996</v>
      </c>
      <c r="F262">
        <v>115.07124010554</v>
      </c>
      <c r="G262">
        <v>105.87950747581</v>
      </c>
      <c r="I262" s="9">
        <f t="shared" si="26"/>
        <v>695.91396119144997</v>
      </c>
      <c r="J262" s="9">
        <f t="shared" si="27"/>
        <v>5115.6013106446599</v>
      </c>
      <c r="K262" s="9">
        <f t="shared" si="31"/>
        <v>695.91396119144997</v>
      </c>
      <c r="L262" s="10">
        <f t="shared" si="30"/>
        <v>0.13603756800659511</v>
      </c>
      <c r="M262" s="10">
        <f t="shared" si="28"/>
        <v>0.13723643341296707</v>
      </c>
      <c r="P262" s="8">
        <f t="shared" si="29"/>
        <v>-8.051134071518721</v>
      </c>
    </row>
    <row r="263" spans="1:16" x14ac:dyDescent="0.2">
      <c r="A263" s="8">
        <v>130.5</v>
      </c>
      <c r="B263" s="8">
        <v>261</v>
      </c>
      <c r="D263">
        <v>5465.4454225352001</v>
      </c>
      <c r="E263">
        <v>849.65845070422995</v>
      </c>
      <c r="F263">
        <v>115.26297273527</v>
      </c>
      <c r="G263">
        <v>106.18645558487</v>
      </c>
      <c r="I263" s="9">
        <f t="shared" si="26"/>
        <v>743.47199511935992</v>
      </c>
      <c r="J263" s="9">
        <f t="shared" si="27"/>
        <v>5350.1824497999305</v>
      </c>
      <c r="K263" s="9">
        <f t="shared" si="31"/>
        <v>743.47199511935992</v>
      </c>
      <c r="L263" s="10">
        <f t="shared" si="30"/>
        <v>0.13896198907144969</v>
      </c>
      <c r="M263" s="10">
        <f t="shared" si="28"/>
        <v>0.14016546549861539</v>
      </c>
      <c r="P263" s="8">
        <f t="shared" si="29"/>
        <v>-6.0886728515228219</v>
      </c>
    </row>
    <row r="264" spans="1:16" x14ac:dyDescent="0.2">
      <c r="A264" s="8">
        <v>131</v>
      </c>
      <c r="B264" s="8">
        <v>262</v>
      </c>
      <c r="D264">
        <v>5275.5818661971998</v>
      </c>
      <c r="E264">
        <v>827.68397887323999</v>
      </c>
      <c r="F264">
        <v>115.3236587511</v>
      </c>
      <c r="G264">
        <v>105.67282321899999</v>
      </c>
      <c r="I264" s="9">
        <f t="shared" si="26"/>
        <v>722.01115565424004</v>
      </c>
      <c r="J264" s="9">
        <f t="shared" si="27"/>
        <v>5160.2582074460997</v>
      </c>
      <c r="K264" s="9">
        <f t="shared" si="31"/>
        <v>722.01115565424004</v>
      </c>
      <c r="L264" s="10">
        <f t="shared" si="30"/>
        <v>0.1399176410615266</v>
      </c>
      <c r="M264" s="10">
        <f t="shared" si="28"/>
        <v>0.14112572850948601</v>
      </c>
      <c r="P264" s="8">
        <f t="shared" si="29"/>
        <v>-5.4452934467482272</v>
      </c>
    </row>
    <row r="265" spans="1:16" x14ac:dyDescent="0.2">
      <c r="A265" s="8">
        <v>131.5</v>
      </c>
      <c r="B265" s="8">
        <v>263</v>
      </c>
      <c r="D265">
        <v>5347.2262644188004</v>
      </c>
      <c r="E265">
        <v>842.29547471162005</v>
      </c>
      <c r="F265">
        <v>115.27000879508</v>
      </c>
      <c r="G265">
        <v>105.70536499559999</v>
      </c>
      <c r="I265" s="9">
        <f t="shared" si="26"/>
        <v>736.59010971602004</v>
      </c>
      <c r="J265" s="9">
        <f t="shared" si="27"/>
        <v>5231.9562556237206</v>
      </c>
      <c r="K265" s="9">
        <f t="shared" si="31"/>
        <v>736.59010971602004</v>
      </c>
      <c r="L265" s="10">
        <f t="shared" si="30"/>
        <v>0.14078674853679723</v>
      </c>
      <c r="M265" s="10">
        <f t="shared" si="28"/>
        <v>0.14199944700555039</v>
      </c>
      <c r="P265" s="8">
        <f t="shared" si="29"/>
        <v>-4.8598991541691605</v>
      </c>
    </row>
    <row r="266" spans="1:16" x14ac:dyDescent="0.2">
      <c r="A266" s="8">
        <v>132</v>
      </c>
      <c r="B266" s="8">
        <v>264</v>
      </c>
      <c r="D266">
        <v>5265.8074204946997</v>
      </c>
      <c r="E266">
        <v>838.73321554769996</v>
      </c>
      <c r="F266">
        <v>115.21459982410001</v>
      </c>
      <c r="G266">
        <v>105.70536499559999</v>
      </c>
      <c r="I266" s="9">
        <f t="shared" si="26"/>
        <v>733.02785055209995</v>
      </c>
      <c r="J266" s="9">
        <f t="shared" si="27"/>
        <v>5150.5928206705994</v>
      </c>
      <c r="K266" s="9">
        <f t="shared" si="31"/>
        <v>733.02785055209995</v>
      </c>
      <c r="L266" s="10">
        <f t="shared" si="30"/>
        <v>0.14231912249212914</v>
      </c>
      <c r="M266" s="10">
        <f t="shared" si="28"/>
        <v>0.14353643198167604</v>
      </c>
      <c r="P266" s="8">
        <f t="shared" si="29"/>
        <v>-3.830114118306275</v>
      </c>
    </row>
    <row r="267" spans="1:16" x14ac:dyDescent="0.2">
      <c r="A267" s="8">
        <v>132.5</v>
      </c>
      <c r="B267" s="8">
        <v>265</v>
      </c>
      <c r="D267">
        <v>5512.3048458149997</v>
      </c>
      <c r="E267">
        <v>866.6</v>
      </c>
      <c r="F267">
        <v>115.59014951627</v>
      </c>
      <c r="G267">
        <v>105.781882146</v>
      </c>
      <c r="I267" s="9">
        <f t="shared" si="26"/>
        <v>760.81811785399998</v>
      </c>
      <c r="J267" s="9">
        <f t="shared" si="27"/>
        <v>5396.7146962987299</v>
      </c>
      <c r="K267" s="9">
        <f t="shared" si="31"/>
        <v>760.81811785399998</v>
      </c>
      <c r="L267" s="10">
        <f t="shared" si="30"/>
        <v>0.14097801360071854</v>
      </c>
      <c r="M267" s="10">
        <f t="shared" si="28"/>
        <v>0.14219993411105919</v>
      </c>
      <c r="P267" s="8">
        <f t="shared" si="29"/>
        <v>-4.7255721279825735</v>
      </c>
    </row>
    <row r="268" spans="1:16" x14ac:dyDescent="0.2">
      <c r="A268" s="8">
        <v>133</v>
      </c>
      <c r="B268" s="8">
        <v>266</v>
      </c>
      <c r="D268">
        <v>5579.327753304</v>
      </c>
      <c r="E268">
        <v>869.77973568282005</v>
      </c>
      <c r="F268">
        <v>115.11785400175999</v>
      </c>
      <c r="G268">
        <v>105.5892700088</v>
      </c>
      <c r="I268" s="9">
        <f t="shared" si="26"/>
        <v>764.19046567402006</v>
      </c>
      <c r="J268" s="9">
        <f t="shared" si="27"/>
        <v>5464.20989930224</v>
      </c>
      <c r="K268" s="9">
        <f t="shared" si="31"/>
        <v>764.19046567402006</v>
      </c>
      <c r="L268" s="10">
        <f t="shared" si="30"/>
        <v>0.13985379034791551</v>
      </c>
      <c r="M268" s="10">
        <f t="shared" si="28"/>
        <v>0.1410803218790499</v>
      </c>
      <c r="P268" s="8">
        <f t="shared" si="29"/>
        <v>-5.475716039862923</v>
      </c>
    </row>
    <row r="269" spans="1:16" x14ac:dyDescent="0.2">
      <c r="A269" s="8">
        <v>133.5</v>
      </c>
      <c r="B269" s="8">
        <v>267</v>
      </c>
      <c r="D269">
        <v>5393.0697879858999</v>
      </c>
      <c r="E269">
        <v>849.78621908127002</v>
      </c>
      <c r="F269">
        <v>115.00527704485999</v>
      </c>
      <c r="G269">
        <v>105.58399296394001</v>
      </c>
      <c r="I269" s="9">
        <f t="shared" si="26"/>
        <v>744.20222611733004</v>
      </c>
      <c r="J269" s="9">
        <f t="shared" si="27"/>
        <v>5278.0645109410398</v>
      </c>
      <c r="K269" s="9">
        <f t="shared" si="31"/>
        <v>744.20222611733004</v>
      </c>
      <c r="L269" s="10">
        <f t="shared" si="30"/>
        <v>0.14099907732742817</v>
      </c>
      <c r="M269" s="10">
        <f t="shared" si="28"/>
        <v>0.14223021987935627</v>
      </c>
      <c r="P269" s="8">
        <f t="shared" si="29"/>
        <v>-4.7052805626931304</v>
      </c>
    </row>
    <row r="270" spans="1:16" x14ac:dyDescent="0.2">
      <c r="A270" s="8">
        <v>134</v>
      </c>
      <c r="B270" s="8">
        <v>268</v>
      </c>
      <c r="D270">
        <v>5379.7279151944003</v>
      </c>
      <c r="E270">
        <v>830.01501766784997</v>
      </c>
      <c r="F270">
        <v>115.23922603342</v>
      </c>
      <c r="G270">
        <v>105.66402814424001</v>
      </c>
      <c r="I270" s="9">
        <f t="shared" si="26"/>
        <v>724.35098952361</v>
      </c>
      <c r="J270" s="9">
        <f t="shared" si="27"/>
        <v>5264.4886891609804</v>
      </c>
      <c r="K270" s="9">
        <f t="shared" si="31"/>
        <v>724.35098952361</v>
      </c>
      <c r="L270" s="10">
        <f t="shared" si="30"/>
        <v>0.13759189776871802</v>
      </c>
      <c r="M270" s="10">
        <f t="shared" si="28"/>
        <v>0.13882765134143987</v>
      </c>
      <c r="P270" s="8">
        <f t="shared" si="29"/>
        <v>-6.9850127775627007</v>
      </c>
    </row>
    <row r="271" spans="1:16" x14ac:dyDescent="0.2">
      <c r="A271" s="8">
        <v>134.5</v>
      </c>
      <c r="B271" s="8">
        <v>269</v>
      </c>
      <c r="D271">
        <v>5356.9991166077998</v>
      </c>
      <c r="E271">
        <v>822.54858657243994</v>
      </c>
      <c r="F271">
        <v>115.20668425682</v>
      </c>
      <c r="G271">
        <v>105.54705364996001</v>
      </c>
      <c r="I271" s="9">
        <f t="shared" si="26"/>
        <v>717.0015329224799</v>
      </c>
      <c r="J271" s="9">
        <f t="shared" si="27"/>
        <v>5241.7924323509797</v>
      </c>
      <c r="K271" s="9">
        <f t="shared" si="31"/>
        <v>717.0015329224799</v>
      </c>
      <c r="L271" s="10">
        <f t="shared" si="30"/>
        <v>0.13678556375054704</v>
      </c>
      <c r="M271" s="10">
        <f t="shared" si="28"/>
        <v>0.13802592834406263</v>
      </c>
      <c r="P271" s="8">
        <f t="shared" si="29"/>
        <v>-7.5221698470399572</v>
      </c>
    </row>
    <row r="272" spans="1:16" x14ac:dyDescent="0.2">
      <c r="A272" s="8">
        <v>135</v>
      </c>
      <c r="B272" s="8">
        <v>270</v>
      </c>
      <c r="D272">
        <v>5590.8587819946997</v>
      </c>
      <c r="E272">
        <v>872.34863195057005</v>
      </c>
      <c r="F272">
        <v>115.03166226913</v>
      </c>
      <c r="G272">
        <v>105.58047493404</v>
      </c>
      <c r="I272" s="9">
        <f t="shared" si="26"/>
        <v>766.76815701653004</v>
      </c>
      <c r="J272" s="9">
        <f t="shared" si="27"/>
        <v>5475.8271197255699</v>
      </c>
      <c r="K272" s="9">
        <f t="shared" si="31"/>
        <v>766.76815701653004</v>
      </c>
      <c r="L272" s="10">
        <f t="shared" si="30"/>
        <v>0.14002782415361534</v>
      </c>
      <c r="M272" s="10">
        <f t="shared" si="28"/>
        <v>0.14127279976792467</v>
      </c>
      <c r="P272" s="8">
        <f t="shared" si="29"/>
        <v>-5.3467552154068736</v>
      </c>
    </row>
    <row r="273" spans="1:16" x14ac:dyDescent="0.2">
      <c r="A273" s="8">
        <v>135.5</v>
      </c>
      <c r="B273" s="8">
        <v>271</v>
      </c>
      <c r="D273">
        <v>5568.9240953221997</v>
      </c>
      <c r="E273">
        <v>874.10414827890997</v>
      </c>
      <c r="F273">
        <v>115.46965699208</v>
      </c>
      <c r="G273">
        <v>105.60598065084</v>
      </c>
      <c r="I273" s="9">
        <f t="shared" si="26"/>
        <v>768.49816762806995</v>
      </c>
      <c r="J273" s="9">
        <f t="shared" si="27"/>
        <v>5453.45443833012</v>
      </c>
      <c r="K273" s="9">
        <f t="shared" si="31"/>
        <v>768.49816762806995</v>
      </c>
      <c r="L273" s="10">
        <f t="shared" si="30"/>
        <v>0.14091951740287917</v>
      </c>
      <c r="M273" s="10">
        <f t="shared" si="28"/>
        <v>0.14216910403798225</v>
      </c>
      <c r="P273" s="8">
        <f t="shared" si="29"/>
        <v>-4.746228379281284</v>
      </c>
    </row>
    <row r="274" spans="1:16" x14ac:dyDescent="0.2">
      <c r="A274" s="8">
        <v>136</v>
      </c>
      <c r="B274" s="8">
        <v>272</v>
      </c>
      <c r="D274">
        <v>5673.4584805654004</v>
      </c>
      <c r="E274">
        <v>883.72438162543995</v>
      </c>
      <c r="F274">
        <v>115.20844327176999</v>
      </c>
      <c r="G274">
        <v>105.96569920844</v>
      </c>
      <c r="I274" s="9">
        <f t="shared" si="26"/>
        <v>777.75868241699993</v>
      </c>
      <c r="J274" s="9">
        <f t="shared" si="27"/>
        <v>5558.2500372936302</v>
      </c>
      <c r="K274" s="9">
        <f t="shared" si="31"/>
        <v>777.75868241699993</v>
      </c>
      <c r="L274" s="10">
        <f t="shared" si="30"/>
        <v>0.13992869647794734</v>
      </c>
      <c r="M274" s="10">
        <f t="shared" si="28"/>
        <v>0.14118289413384416</v>
      </c>
      <c r="P274" s="8">
        <f t="shared" si="29"/>
        <v>-5.4069922886730382</v>
      </c>
    </row>
    <row r="275" spans="1:16" x14ac:dyDescent="0.2">
      <c r="A275" s="8">
        <v>136.5</v>
      </c>
      <c r="B275" s="8">
        <v>273</v>
      </c>
      <c r="D275">
        <v>5520.9770114943003</v>
      </c>
      <c r="E275">
        <v>875.56498673739998</v>
      </c>
      <c r="F275">
        <v>115.09498680739</v>
      </c>
      <c r="G275">
        <v>105.74142480211</v>
      </c>
      <c r="I275" s="9">
        <f>E275-G275</f>
        <v>769.82356193528994</v>
      </c>
      <c r="J275" s="9">
        <f>D275-F275</f>
        <v>5405.88202468691</v>
      </c>
      <c r="K275" s="9">
        <f t="shared" si="31"/>
        <v>769.82356193528994</v>
      </c>
      <c r="L275" s="10">
        <f t="shared" si="30"/>
        <v>0.14240480247622042</v>
      </c>
      <c r="M275" s="10">
        <f>L275+ABS($N$2)*A275</f>
        <v>0.14366361115291096</v>
      </c>
      <c r="O275" s="11"/>
      <c r="P275" s="8">
        <f>(M275-$O$2)/$O$2*100</f>
        <v>-3.7449036514211014</v>
      </c>
    </row>
    <row r="276" spans="1:16" x14ac:dyDescent="0.2">
      <c r="A276" s="8">
        <v>137</v>
      </c>
      <c r="B276" s="8">
        <v>274</v>
      </c>
      <c r="D276">
        <v>5605.0212014134004</v>
      </c>
      <c r="E276">
        <v>884.65017667844995</v>
      </c>
      <c r="F276">
        <v>114.89006156552</v>
      </c>
      <c r="G276">
        <v>105.67282321899999</v>
      </c>
      <c r="I276" s="9">
        <f t="shared" ref="I276:I291" si="32">E276-G276</f>
        <v>778.97735345945</v>
      </c>
      <c r="J276" s="9">
        <f t="shared" ref="J276:J291" si="33">D276-F276</f>
        <v>5490.1311398478801</v>
      </c>
      <c r="K276" s="9">
        <f t="shared" si="31"/>
        <v>778.97735345945</v>
      </c>
      <c r="L276" s="10">
        <f t="shared" si="30"/>
        <v>0.14188683906028404</v>
      </c>
      <c r="M276" s="10">
        <f t="shared" ref="M276:M291" si="34">L276+ABS($N$2)*A276</f>
        <v>0.14315025875776832</v>
      </c>
      <c r="P276" s="8">
        <f t="shared" ref="P276:P291" si="35">(M276-$O$2)/$O$2*100</f>
        <v>-4.0888514601855261</v>
      </c>
    </row>
    <row r="277" spans="1:16" x14ac:dyDescent="0.2">
      <c r="A277" s="8">
        <v>137.5</v>
      </c>
      <c r="B277" s="8">
        <v>275</v>
      </c>
      <c r="D277">
        <v>5506.6049382716001</v>
      </c>
      <c r="E277">
        <v>881.04761904761995</v>
      </c>
      <c r="F277">
        <v>115.38786279683001</v>
      </c>
      <c r="G277">
        <v>105.51187335092</v>
      </c>
      <c r="I277" s="9">
        <f t="shared" si="32"/>
        <v>775.53574569669991</v>
      </c>
      <c r="J277" s="9">
        <f t="shared" si="33"/>
        <v>5391.2170754747704</v>
      </c>
      <c r="K277" s="9">
        <f t="shared" si="31"/>
        <v>775.53574569669991</v>
      </c>
      <c r="L277" s="10">
        <f t="shared" si="30"/>
        <v>0.14385170080141937</v>
      </c>
      <c r="M277" s="10">
        <f t="shared" si="34"/>
        <v>0.1451197315196974</v>
      </c>
      <c r="N277" s="1"/>
      <c r="P277" s="8">
        <f t="shared" si="35"/>
        <v>-2.7692981722369807</v>
      </c>
    </row>
    <row r="278" spans="1:16" x14ac:dyDescent="0.2">
      <c r="A278" s="8">
        <v>138</v>
      </c>
      <c r="B278" s="8">
        <v>276</v>
      </c>
      <c r="D278">
        <v>5465.8024691357996</v>
      </c>
      <c r="E278">
        <v>880.82275132275004</v>
      </c>
      <c r="F278">
        <v>115.4327176781</v>
      </c>
      <c r="G278">
        <v>105.41688654354</v>
      </c>
      <c r="I278" s="9">
        <f t="shared" si="32"/>
        <v>775.40586477920999</v>
      </c>
      <c r="J278" s="9">
        <f t="shared" si="33"/>
        <v>5350.3697514576997</v>
      </c>
      <c r="K278" s="9">
        <f t="shared" si="31"/>
        <v>775.40586477920999</v>
      </c>
      <c r="L278" s="10">
        <f t="shared" si="30"/>
        <v>0.14492565949632769</v>
      </c>
      <c r="M278" s="10">
        <f t="shared" si="34"/>
        <v>0.14619830123539945</v>
      </c>
      <c r="P278" s="8">
        <f t="shared" si="35"/>
        <v>-2.0466528825187638</v>
      </c>
    </row>
    <row r="279" spans="1:16" x14ac:dyDescent="0.2">
      <c r="A279" s="8">
        <v>138.5</v>
      </c>
      <c r="B279" s="8">
        <v>277</v>
      </c>
      <c r="D279">
        <v>5380.9118165785003</v>
      </c>
      <c r="E279">
        <v>874.12081128748002</v>
      </c>
      <c r="F279">
        <v>115.02286719436999</v>
      </c>
      <c r="G279">
        <v>105.71855760774</v>
      </c>
      <c r="I279" s="9">
        <f t="shared" si="32"/>
        <v>768.40225367974006</v>
      </c>
      <c r="J279" s="9">
        <f t="shared" si="33"/>
        <v>5265.8889493841307</v>
      </c>
      <c r="K279" s="9">
        <f t="shared" si="31"/>
        <v>768.40225367974006</v>
      </c>
      <c r="L279" s="10">
        <f t="shared" si="30"/>
        <v>0.14592070988690486</v>
      </c>
      <c r="M279" s="10">
        <f t="shared" si="34"/>
        <v>0.14719796264677038</v>
      </c>
      <c r="P279" s="8">
        <f t="shared" si="35"/>
        <v>-1.3768764186301572</v>
      </c>
    </row>
    <row r="280" spans="1:16" x14ac:dyDescent="0.2">
      <c r="A280" s="8">
        <v>139</v>
      </c>
      <c r="B280" s="8">
        <v>278</v>
      </c>
      <c r="D280">
        <v>5340.9779541445996</v>
      </c>
      <c r="E280">
        <v>874.22134038801005</v>
      </c>
      <c r="F280">
        <v>115.42832014072</v>
      </c>
      <c r="G280">
        <v>105.59542656113</v>
      </c>
      <c r="I280" s="9">
        <f t="shared" si="32"/>
        <v>768.62591382688004</v>
      </c>
      <c r="J280" s="9">
        <f t="shared" si="33"/>
        <v>5225.5496340038799</v>
      </c>
      <c r="K280" s="9">
        <f t="shared" si="31"/>
        <v>768.62591382688004</v>
      </c>
      <c r="L280" s="10">
        <f t="shared" si="30"/>
        <v>0.14708996520198575</v>
      </c>
      <c r="M280" s="10">
        <f t="shared" si="34"/>
        <v>0.14837182898264498</v>
      </c>
      <c r="P280" s="8">
        <f t="shared" si="35"/>
        <v>-0.59038207706930468</v>
      </c>
    </row>
    <row r="281" spans="1:16" x14ac:dyDescent="0.2">
      <c r="A281" s="8">
        <v>139.5</v>
      </c>
      <c r="B281" s="8">
        <v>279</v>
      </c>
      <c r="D281">
        <v>5525.8536155203001</v>
      </c>
      <c r="E281">
        <v>871.21340388007002</v>
      </c>
      <c r="F281">
        <v>115.37379067722</v>
      </c>
      <c r="G281">
        <v>105.60598065084</v>
      </c>
      <c r="I281" s="9">
        <f t="shared" si="32"/>
        <v>765.60742322922999</v>
      </c>
      <c r="J281" s="9">
        <f t="shared" si="33"/>
        <v>5410.4798248430798</v>
      </c>
      <c r="K281" s="9">
        <f t="shared" si="31"/>
        <v>765.60742322922999</v>
      </c>
      <c r="L281" s="10">
        <f t="shared" si="30"/>
        <v>0.14150453342674371</v>
      </c>
      <c r="M281" s="10">
        <f t="shared" si="34"/>
        <v>0.14279100822819668</v>
      </c>
      <c r="P281" s="8">
        <f t="shared" si="35"/>
        <v>-4.329550507492578</v>
      </c>
    </row>
    <row r="282" spans="1:16" x14ac:dyDescent="0.2">
      <c r="A282" s="8">
        <v>140</v>
      </c>
      <c r="B282" s="8">
        <v>280</v>
      </c>
      <c r="D282">
        <v>5543.5808170515002</v>
      </c>
      <c r="E282">
        <v>877.16429840141996</v>
      </c>
      <c r="F282">
        <v>115.04309586632</v>
      </c>
      <c r="G282">
        <v>105.62884784521</v>
      </c>
      <c r="I282" s="9">
        <f t="shared" si="32"/>
        <v>771.53545055620998</v>
      </c>
      <c r="J282" s="9">
        <f t="shared" si="33"/>
        <v>5428.5377211851801</v>
      </c>
      <c r="K282" s="9">
        <f t="shared" si="31"/>
        <v>771.53545055620998</v>
      </c>
      <c r="L282" s="10">
        <f t="shared" si="30"/>
        <v>0.14212583391384545</v>
      </c>
      <c r="M282" s="10">
        <f t="shared" si="34"/>
        <v>0.14341691973609216</v>
      </c>
      <c r="P282" s="8">
        <f t="shared" si="35"/>
        <v>-3.9101877195557022</v>
      </c>
    </row>
    <row r="283" spans="1:16" x14ac:dyDescent="0.2">
      <c r="A283" s="8">
        <v>140.5</v>
      </c>
      <c r="B283" s="8">
        <v>281</v>
      </c>
      <c r="D283">
        <v>5489.0240000000003</v>
      </c>
      <c r="E283">
        <v>870.57866666666996</v>
      </c>
      <c r="F283">
        <v>115.1310466139</v>
      </c>
      <c r="G283">
        <v>105.7598944591</v>
      </c>
      <c r="I283" s="9">
        <f t="shared" si="32"/>
        <v>764.81877220756996</v>
      </c>
      <c r="J283" s="9">
        <f t="shared" si="33"/>
        <v>5373.8929533861001</v>
      </c>
      <c r="K283" s="9">
        <f t="shared" si="31"/>
        <v>764.81877220756996</v>
      </c>
      <c r="L283" s="10">
        <f t="shared" si="30"/>
        <v>0.14232117737396616</v>
      </c>
      <c r="M283" s="10">
        <f t="shared" si="34"/>
        <v>0.14361687421700661</v>
      </c>
      <c r="P283" s="8">
        <f t="shared" si="35"/>
        <v>-3.7762175536153171</v>
      </c>
    </row>
    <row r="284" spans="1:16" x14ac:dyDescent="0.2">
      <c r="A284" s="8">
        <v>141</v>
      </c>
      <c r="B284" s="8">
        <v>282</v>
      </c>
      <c r="D284">
        <v>5739.0097173145004</v>
      </c>
      <c r="E284">
        <v>901.06537102473999</v>
      </c>
      <c r="F284">
        <v>115.19525065963001</v>
      </c>
      <c r="G284">
        <v>105.78452066843001</v>
      </c>
      <c r="I284" s="9">
        <f t="shared" si="32"/>
        <v>795.28085035631</v>
      </c>
      <c r="J284" s="9">
        <f t="shared" si="33"/>
        <v>5623.8144666548706</v>
      </c>
      <c r="K284" s="9">
        <f t="shared" si="31"/>
        <v>795.28085035631</v>
      </c>
      <c r="L284" s="10">
        <f t="shared" si="30"/>
        <v>0.14141306671330411</v>
      </c>
      <c r="M284" s="10">
        <f t="shared" si="34"/>
        <v>0.14271337457713831</v>
      </c>
      <c r="P284" s="8">
        <f t="shared" si="35"/>
        <v>-4.3815653113983597</v>
      </c>
    </row>
    <row r="285" spans="1:16" x14ac:dyDescent="0.2">
      <c r="A285" s="8">
        <v>141.5</v>
      </c>
      <c r="B285" s="8">
        <v>283</v>
      </c>
      <c r="D285">
        <v>5581.3554376658003</v>
      </c>
      <c r="E285">
        <v>891.11317418214003</v>
      </c>
      <c r="F285">
        <v>115.2656112577</v>
      </c>
      <c r="G285">
        <v>105.50307827617</v>
      </c>
      <c r="I285" s="9">
        <f t="shared" si="32"/>
        <v>785.61009590597007</v>
      </c>
      <c r="J285" s="9">
        <f t="shared" si="33"/>
        <v>5466.0898264081006</v>
      </c>
      <c r="K285" s="9">
        <f t="shared" si="31"/>
        <v>785.61009590597007</v>
      </c>
      <c r="L285" s="10">
        <f t="shared" si="30"/>
        <v>0.14372432961318776</v>
      </c>
      <c r="M285" s="10">
        <f t="shared" si="34"/>
        <v>0.1450292484978157</v>
      </c>
      <c r="P285" s="8">
        <f t="shared" si="35"/>
        <v>-2.8299220972465151</v>
      </c>
    </row>
    <row r="286" spans="1:16" x14ac:dyDescent="0.2">
      <c r="A286" s="8">
        <v>142</v>
      </c>
      <c r="B286" s="8">
        <v>284</v>
      </c>
      <c r="D286">
        <v>5799.7250221042996</v>
      </c>
      <c r="E286">
        <v>916.55437665782995</v>
      </c>
      <c r="F286">
        <v>115.00439753738</v>
      </c>
      <c r="G286">
        <v>105.54353562004999</v>
      </c>
      <c r="I286" s="9">
        <f t="shared" si="32"/>
        <v>811.01084103777998</v>
      </c>
      <c r="J286" s="9">
        <f t="shared" si="33"/>
        <v>5684.7206245669195</v>
      </c>
      <c r="K286" s="9">
        <f t="shared" si="31"/>
        <v>811.01084103777998</v>
      </c>
      <c r="L286" s="10">
        <f t="shared" si="30"/>
        <v>0.14266503045601567</v>
      </c>
      <c r="M286" s="10">
        <f t="shared" si="34"/>
        <v>0.14397456036143733</v>
      </c>
      <c r="P286" s="8">
        <f t="shared" si="35"/>
        <v>-3.5365666495454988</v>
      </c>
    </row>
    <row r="287" spans="1:16" x14ac:dyDescent="0.2">
      <c r="A287" s="8">
        <v>142.5</v>
      </c>
      <c r="B287" s="8">
        <v>285</v>
      </c>
      <c r="D287">
        <v>5755.6993810786998</v>
      </c>
      <c r="E287">
        <v>911.50397877984005</v>
      </c>
      <c r="F287">
        <v>115.21547933156999</v>
      </c>
      <c r="G287">
        <v>105.33597185575999</v>
      </c>
      <c r="I287" s="9">
        <f t="shared" si="32"/>
        <v>806.16800692408003</v>
      </c>
      <c r="J287" s="9">
        <f t="shared" si="33"/>
        <v>5640.4839017471295</v>
      </c>
      <c r="K287" s="9">
        <f t="shared" si="31"/>
        <v>806.16800692408003</v>
      </c>
      <c r="L287" s="10">
        <f t="shared" si="30"/>
        <v>0.14292532714690862</v>
      </c>
      <c r="M287" s="10">
        <f t="shared" si="34"/>
        <v>0.14423946807312402</v>
      </c>
      <c r="P287" s="8">
        <f t="shared" si="35"/>
        <v>-3.3590776033823473</v>
      </c>
    </row>
    <row r="288" spans="1:16" x14ac:dyDescent="0.2">
      <c r="A288" s="8">
        <v>143</v>
      </c>
      <c r="B288" s="8">
        <v>286</v>
      </c>
      <c r="D288">
        <v>5520.8399646331</v>
      </c>
      <c r="E288">
        <v>894.10256410256</v>
      </c>
      <c r="F288">
        <v>115.47669305189</v>
      </c>
      <c r="G288">
        <v>105.55760773967</v>
      </c>
      <c r="I288" s="9">
        <f t="shared" si="32"/>
        <v>788.54495636288993</v>
      </c>
      <c r="J288" s="9">
        <f t="shared" si="33"/>
        <v>5405.36327158121</v>
      </c>
      <c r="K288" s="9">
        <f t="shared" si="31"/>
        <v>788.54495636288993</v>
      </c>
      <c r="L288" s="10">
        <f t="shared" si="30"/>
        <v>0.14588195404158655</v>
      </c>
      <c r="M288" s="10">
        <f t="shared" si="34"/>
        <v>0.14720070598859569</v>
      </c>
      <c r="P288" s="8">
        <f t="shared" si="35"/>
        <v>-1.3750383705009621</v>
      </c>
    </row>
    <row r="289" spans="1:16" x14ac:dyDescent="0.2">
      <c r="A289" s="8">
        <v>143.5</v>
      </c>
      <c r="B289" s="8">
        <v>287</v>
      </c>
      <c r="D289">
        <v>5490.1072695036</v>
      </c>
      <c r="E289">
        <v>887.01241134752001</v>
      </c>
      <c r="F289">
        <v>115.01846965699001</v>
      </c>
      <c r="G289">
        <v>105.52418645559</v>
      </c>
      <c r="I289" s="9">
        <f t="shared" si="32"/>
        <v>781.48822489193003</v>
      </c>
      <c r="J289" s="9">
        <f t="shared" si="33"/>
        <v>5375.0887998466096</v>
      </c>
      <c r="K289" s="9">
        <f t="shared" si="31"/>
        <v>781.48822489193003</v>
      </c>
      <c r="L289" s="10">
        <f t="shared" si="30"/>
        <v>0.14539075613303942</v>
      </c>
      <c r="M289" s="10">
        <f t="shared" si="34"/>
        <v>0.14671411910084231</v>
      </c>
      <c r="P289" s="8">
        <f t="shared" si="35"/>
        <v>-1.7010532004693226</v>
      </c>
    </row>
    <row r="290" spans="1:16" x14ac:dyDescent="0.2">
      <c r="A290" s="8">
        <v>144</v>
      </c>
      <c r="B290" s="8">
        <v>288</v>
      </c>
      <c r="D290">
        <v>5564.6710992908002</v>
      </c>
      <c r="E290">
        <v>871.74822695036005</v>
      </c>
      <c r="F290">
        <v>114.78891820581001</v>
      </c>
      <c r="G290">
        <v>105.70008795075</v>
      </c>
      <c r="I290" s="9">
        <f t="shared" si="32"/>
        <v>766.04813899961005</v>
      </c>
      <c r="J290" s="9">
        <f t="shared" si="33"/>
        <v>5449.8821810849904</v>
      </c>
      <c r="K290" s="9">
        <f t="shared" si="31"/>
        <v>766.04813899961005</v>
      </c>
      <c r="L290" s="10">
        <f t="shared" si="30"/>
        <v>0.1405623302570371</v>
      </c>
      <c r="M290" s="10">
        <f t="shared" si="34"/>
        <v>0.14189030424563373</v>
      </c>
      <c r="P290" s="8">
        <f t="shared" si="35"/>
        <v>-4.9330251656011477</v>
      </c>
    </row>
    <row r="291" spans="1:16" x14ac:dyDescent="0.2">
      <c r="A291" s="8">
        <v>144.5</v>
      </c>
      <c r="B291" s="8">
        <v>289</v>
      </c>
      <c r="D291">
        <v>5813.1418502202996</v>
      </c>
      <c r="E291">
        <v>924.31277533039997</v>
      </c>
      <c r="F291">
        <v>115.01231310466</v>
      </c>
      <c r="G291">
        <v>105.69920844327</v>
      </c>
      <c r="I291" s="9">
        <f t="shared" si="32"/>
        <v>818.61356688712999</v>
      </c>
      <c r="J291" s="9">
        <f t="shared" si="33"/>
        <v>5698.1295371156393</v>
      </c>
      <c r="K291" s="9">
        <f t="shared" si="31"/>
        <v>818.61356688712999</v>
      </c>
      <c r="L291" s="10">
        <f t="shared" si="30"/>
        <v>0.14366355863884195</v>
      </c>
      <c r="M291" s="10">
        <f t="shared" si="34"/>
        <v>0.1449961436482323</v>
      </c>
      <c r="P291" s="8">
        <f t="shared" si="35"/>
        <v>-2.8521024563554387</v>
      </c>
    </row>
    <row r="292" spans="1:16" x14ac:dyDescent="0.2">
      <c r="A292" s="8">
        <v>145</v>
      </c>
      <c r="B292" s="8">
        <v>290</v>
      </c>
      <c r="D292">
        <v>5952.9418502202998</v>
      </c>
      <c r="E292">
        <v>936.32158590307995</v>
      </c>
      <c r="F292">
        <v>114.8144239226</v>
      </c>
      <c r="G292">
        <v>105.23218997362</v>
      </c>
      <c r="I292" s="9">
        <f>E292-G292</f>
        <v>831.0893959294599</v>
      </c>
      <c r="J292" s="9">
        <f>D292-F292</f>
        <v>5838.1274262976995</v>
      </c>
      <c r="K292" s="9">
        <f t="shared" si="31"/>
        <v>831.0893959294599</v>
      </c>
      <c r="L292" s="10">
        <f t="shared" si="30"/>
        <v>0.14235547380926261</v>
      </c>
      <c r="M292" s="10">
        <f>L292+ABS($N$2)*A292</f>
        <v>0.1436926698394467</v>
      </c>
      <c r="O292" s="11"/>
      <c r="P292" s="8">
        <f>(M292-$O$2)/$O$2*100</f>
        <v>-3.7254342349849234</v>
      </c>
    </row>
    <row r="293" spans="1:16" x14ac:dyDescent="0.2">
      <c r="A293" s="8">
        <v>145.5</v>
      </c>
      <c r="B293" s="8">
        <v>291</v>
      </c>
      <c r="D293">
        <v>5863.7030837004004</v>
      </c>
      <c r="E293">
        <v>935.24493392070997</v>
      </c>
      <c r="F293">
        <v>114.97625329815</v>
      </c>
      <c r="G293">
        <v>105.61653474054999</v>
      </c>
      <c r="I293" s="9">
        <f t="shared" ref="I293:I301" si="36">E293-G293</f>
        <v>829.62839918015993</v>
      </c>
      <c r="J293" s="9">
        <f t="shared" ref="J293:J301" si="37">D293-F293</f>
        <v>5748.72683040225</v>
      </c>
      <c r="K293" s="9">
        <f t="shared" si="31"/>
        <v>829.62839918015993</v>
      </c>
      <c r="L293" s="10">
        <f t="shared" si="30"/>
        <v>0.14431515423426533</v>
      </c>
      <c r="M293" s="10">
        <f t="shared" ref="M293:M301" si="38">L293+ABS($N$2)*A293</f>
        <v>0.14565696128524316</v>
      </c>
      <c r="P293" s="8">
        <f t="shared" ref="P293:P301" si="39">(M293-$O$2)/$O$2*100</f>
        <v>-2.4093524460440587</v>
      </c>
    </row>
    <row r="294" spans="1:16" x14ac:dyDescent="0.2">
      <c r="A294" s="8">
        <v>146</v>
      </c>
      <c r="B294" s="8">
        <v>292</v>
      </c>
      <c r="D294">
        <v>5650.2052863436002</v>
      </c>
      <c r="E294">
        <v>925.81585903083999</v>
      </c>
      <c r="F294">
        <v>115.28056288479</v>
      </c>
      <c r="G294">
        <v>105.42744063325</v>
      </c>
      <c r="I294" s="9">
        <f t="shared" si="36"/>
        <v>820.38841839758993</v>
      </c>
      <c r="J294" s="9">
        <f t="shared" si="37"/>
        <v>5534.9247234588101</v>
      </c>
      <c r="K294" s="9">
        <f t="shared" si="31"/>
        <v>820.38841839758993</v>
      </c>
      <c r="L294" s="10">
        <f t="shared" si="30"/>
        <v>0.148220338918164</v>
      </c>
      <c r="M294" s="10">
        <f t="shared" si="38"/>
        <v>0.14956675698993557</v>
      </c>
      <c r="N294" s="1"/>
      <c r="P294" s="8">
        <f t="shared" si="39"/>
        <v>0.21022365425225009</v>
      </c>
    </row>
    <row r="295" spans="1:16" x14ac:dyDescent="0.2">
      <c r="A295" s="8">
        <v>146.5</v>
      </c>
      <c r="B295" s="8">
        <v>293</v>
      </c>
      <c r="D295">
        <v>5608.0008888888997</v>
      </c>
      <c r="E295">
        <v>900.29600000000005</v>
      </c>
      <c r="F295">
        <v>115.14511873351</v>
      </c>
      <c r="G295">
        <v>105.48812664908</v>
      </c>
      <c r="I295" s="9">
        <f t="shared" si="36"/>
        <v>794.80787335092009</v>
      </c>
      <c r="J295" s="9">
        <f t="shared" si="37"/>
        <v>5492.85577015539</v>
      </c>
      <c r="K295" s="9">
        <f t="shared" si="31"/>
        <v>794.80787335092009</v>
      </c>
      <c r="L295" s="10">
        <f t="shared" si="30"/>
        <v>0.14469847864373023</v>
      </c>
      <c r="M295" s="10">
        <f t="shared" si="38"/>
        <v>0.14604950773629555</v>
      </c>
      <c r="P295" s="8">
        <f t="shared" si="39"/>
        <v>-2.1463450208226282</v>
      </c>
    </row>
    <row r="296" spans="1:16" x14ac:dyDescent="0.2">
      <c r="A296" s="8">
        <v>147</v>
      </c>
      <c r="B296" s="8">
        <v>294</v>
      </c>
      <c r="D296">
        <v>5576.8008888888999</v>
      </c>
      <c r="E296">
        <v>897.95377777778003</v>
      </c>
      <c r="F296">
        <v>115.19964819701001</v>
      </c>
      <c r="G296">
        <v>105.66051011434</v>
      </c>
      <c r="I296" s="9">
        <f t="shared" si="36"/>
        <v>792.29326766344002</v>
      </c>
      <c r="J296" s="9">
        <f t="shared" si="37"/>
        <v>5461.6012406918899</v>
      </c>
      <c r="K296" s="9">
        <f t="shared" si="31"/>
        <v>792.29326766344002</v>
      </c>
      <c r="L296" s="10">
        <f t="shared" si="30"/>
        <v>0.14506611390088783</v>
      </c>
      <c r="M296" s="10">
        <f t="shared" si="38"/>
        <v>0.1464217540142469</v>
      </c>
      <c r="P296" s="8">
        <f t="shared" si="39"/>
        <v>-1.8969387789631635</v>
      </c>
    </row>
    <row r="297" spans="1:16" x14ac:dyDescent="0.2">
      <c r="A297" s="8">
        <v>147.5</v>
      </c>
      <c r="B297" s="8">
        <v>295</v>
      </c>
      <c r="D297">
        <v>5219.5680000000002</v>
      </c>
      <c r="E297">
        <v>803.85599999999999</v>
      </c>
      <c r="F297">
        <v>115.26297273527</v>
      </c>
      <c r="G297">
        <v>105.3562005277</v>
      </c>
      <c r="I297" s="9">
        <f t="shared" si="36"/>
        <v>698.49979947229997</v>
      </c>
      <c r="J297" s="9">
        <f t="shared" si="37"/>
        <v>5104.3050272647306</v>
      </c>
      <c r="K297" s="9">
        <f t="shared" si="31"/>
        <v>698.49979947229997</v>
      </c>
      <c r="L297" s="10">
        <f t="shared" si="30"/>
        <v>0.13684523078876587</v>
      </c>
      <c r="M297" s="10">
        <f t="shared" si="38"/>
        <v>0.13820548192291865</v>
      </c>
      <c r="P297" s="8">
        <f t="shared" si="39"/>
        <v>-7.4018683531973535</v>
      </c>
    </row>
    <row r="298" spans="1:16" x14ac:dyDescent="0.2">
      <c r="A298" s="8">
        <v>148</v>
      </c>
      <c r="B298" s="8">
        <v>296</v>
      </c>
      <c r="D298">
        <v>5761.3596102745996</v>
      </c>
      <c r="E298">
        <v>917.15057573074</v>
      </c>
      <c r="F298">
        <v>115.26209322779</v>
      </c>
      <c r="G298">
        <v>105.54793315742999</v>
      </c>
      <c r="I298" s="9">
        <f t="shared" si="36"/>
        <v>811.60264257331005</v>
      </c>
      <c r="J298" s="9">
        <f t="shared" si="37"/>
        <v>5646.09751704681</v>
      </c>
      <c r="K298" s="9">
        <f t="shared" si="31"/>
        <v>811.60264257331005</v>
      </c>
      <c r="L298" s="10">
        <f t="shared" si="30"/>
        <v>0.14374577132663813</v>
      </c>
      <c r="M298" s="10">
        <f t="shared" si="38"/>
        <v>0.14511063348158465</v>
      </c>
      <c r="P298" s="8">
        <f t="shared" si="39"/>
        <v>-2.7753938879724953</v>
      </c>
    </row>
    <row r="299" spans="1:16" x14ac:dyDescent="0.2">
      <c r="A299" s="8">
        <v>148.5</v>
      </c>
      <c r="B299" s="8">
        <v>297</v>
      </c>
      <c r="D299">
        <v>5565.5819309122999</v>
      </c>
      <c r="E299">
        <v>904.36315323295003</v>
      </c>
      <c r="F299">
        <v>115.01143359719001</v>
      </c>
      <c r="G299">
        <v>105.69129287599</v>
      </c>
      <c r="I299" s="9">
        <f t="shared" si="36"/>
        <v>798.67186035696</v>
      </c>
      <c r="J299" s="9">
        <f t="shared" si="37"/>
        <v>5450.5704973151096</v>
      </c>
      <c r="K299" s="9">
        <f t="shared" si="31"/>
        <v>798.67186035696</v>
      </c>
      <c r="L299" s="10">
        <f t="shared" si="30"/>
        <v>0.14652995695595111</v>
      </c>
      <c r="M299" s="10">
        <f t="shared" si="38"/>
        <v>0.14789943013169138</v>
      </c>
      <c r="P299" s="8">
        <f t="shared" si="39"/>
        <v>-0.90689087528612577</v>
      </c>
    </row>
    <row r="300" spans="1:16" x14ac:dyDescent="0.2">
      <c r="A300" s="8">
        <v>149</v>
      </c>
      <c r="B300" s="8">
        <v>298</v>
      </c>
      <c r="D300">
        <v>5514.1215616682002</v>
      </c>
      <c r="E300">
        <v>888.79591836735005</v>
      </c>
      <c r="F300">
        <v>114.97625329815</v>
      </c>
      <c r="G300">
        <v>105.36675461741</v>
      </c>
      <c r="I300" s="9">
        <f t="shared" si="36"/>
        <v>783.42916374994002</v>
      </c>
      <c r="J300" s="9">
        <f t="shared" si="37"/>
        <v>5399.1453083700499</v>
      </c>
      <c r="K300" s="9">
        <f t="shared" si="31"/>
        <v>783.42916374994002</v>
      </c>
      <c r="L300" s="10">
        <f t="shared" si="30"/>
        <v>0.14510244103551451</v>
      </c>
      <c r="M300" s="10">
        <f t="shared" si="38"/>
        <v>0.14647652523204852</v>
      </c>
      <c r="P300" s="8">
        <f t="shared" si="39"/>
        <v>-1.8602418812288275</v>
      </c>
    </row>
    <row r="301" spans="1:16" x14ac:dyDescent="0.2">
      <c r="A301" s="8">
        <v>149.5</v>
      </c>
      <c r="B301" s="8">
        <v>299</v>
      </c>
      <c r="D301">
        <v>5424.5652173913004</v>
      </c>
      <c r="E301">
        <v>862.71428571428999</v>
      </c>
      <c r="F301">
        <v>114.90413368514</v>
      </c>
      <c r="G301">
        <v>105.40017590150001</v>
      </c>
      <c r="I301" s="9">
        <f t="shared" si="36"/>
        <v>757.31410981278998</v>
      </c>
      <c r="J301" s="9">
        <f t="shared" si="37"/>
        <v>5309.6610837061608</v>
      </c>
      <c r="K301" s="9">
        <f t="shared" si="31"/>
        <v>757.31410981278998</v>
      </c>
      <c r="L301" s="10">
        <f t="shared" si="30"/>
        <v>0.14262946313782088</v>
      </c>
      <c r="M301" s="10">
        <f t="shared" si="38"/>
        <v>0.14400815835514863</v>
      </c>
      <c r="P301" s="8">
        <f t="shared" si="39"/>
        <v>-3.5140558822339463</v>
      </c>
    </row>
    <row r="302" spans="1:16" x14ac:dyDescent="0.2">
      <c r="A302" s="8">
        <v>150</v>
      </c>
      <c r="B302" s="8">
        <v>300</v>
      </c>
      <c r="D302">
        <v>5416.3566992014003</v>
      </c>
      <c r="E302">
        <v>862.73203194321002</v>
      </c>
      <c r="F302">
        <v>115.05716798592999</v>
      </c>
      <c r="G302">
        <v>105.56024626209</v>
      </c>
      <c r="I302" s="9">
        <f>E302-G302</f>
        <v>757.17178568112001</v>
      </c>
      <c r="J302" s="9">
        <f>D302-F302</f>
        <v>5301.2995312154699</v>
      </c>
      <c r="K302" s="9">
        <f t="shared" si="31"/>
        <v>757.17178568112001</v>
      </c>
      <c r="L302" s="10">
        <f t="shared" si="30"/>
        <v>0.14282758052486752</v>
      </c>
      <c r="M302" s="10">
        <f>L302+ABS($N$2)*A302</f>
        <v>0.14421088676298899</v>
      </c>
      <c r="O302" s="11"/>
      <c r="P302" s="8">
        <f>(M302-$O$2)/$O$2*100</f>
        <v>-3.3782271760454461</v>
      </c>
    </row>
    <row r="303" spans="1:16" x14ac:dyDescent="0.2">
      <c r="A303" s="8">
        <v>150.5</v>
      </c>
      <c r="B303" s="8">
        <v>301</v>
      </c>
      <c r="D303">
        <v>5138.5833333333003</v>
      </c>
      <c r="E303">
        <v>836.54343971630999</v>
      </c>
      <c r="F303">
        <v>115.06508355321</v>
      </c>
      <c r="G303">
        <v>105.40721196130001</v>
      </c>
      <c r="I303" s="9">
        <f t="shared" ref="I303:I309" si="40">E303-G303</f>
        <v>731.13622775500994</v>
      </c>
      <c r="J303" s="9">
        <f t="shared" ref="J303:J309" si="41">D303-F303</f>
        <v>5023.5182497800906</v>
      </c>
      <c r="K303" s="9">
        <f t="shared" si="31"/>
        <v>731.13622775500994</v>
      </c>
      <c r="L303" s="10">
        <f t="shared" si="30"/>
        <v>0.14554266380678843</v>
      </c>
      <c r="M303" s="10">
        <f t="shared" ref="M303:M309" si="42">L303+ABS($N$2)*A303</f>
        <v>0.14693058106570364</v>
      </c>
      <c r="P303" s="8">
        <f t="shared" ref="P303:P309" si="43">(M303-$O$2)/$O$2*100</f>
        <v>-1.556022965489684</v>
      </c>
    </row>
    <row r="304" spans="1:16" x14ac:dyDescent="0.2">
      <c r="A304" s="8">
        <v>151</v>
      </c>
      <c r="B304" s="8">
        <v>302</v>
      </c>
      <c r="D304">
        <v>5180.8909574467998</v>
      </c>
      <c r="E304">
        <v>827.06028368794</v>
      </c>
      <c r="F304">
        <v>115.2401055409</v>
      </c>
      <c r="G304">
        <v>105.79155672823001</v>
      </c>
      <c r="I304" s="9">
        <f t="shared" si="40"/>
        <v>721.26872695970997</v>
      </c>
      <c r="J304" s="9">
        <f t="shared" si="41"/>
        <v>5065.6508519058998</v>
      </c>
      <c r="K304" s="9">
        <f t="shared" si="31"/>
        <v>721.26872695970997</v>
      </c>
      <c r="L304" s="10">
        <f t="shared" si="30"/>
        <v>0.14238421637139478</v>
      </c>
      <c r="M304" s="10">
        <f t="shared" si="42"/>
        <v>0.14377674465110374</v>
      </c>
      <c r="N304" s="1"/>
      <c r="P304" s="8">
        <f t="shared" si="43"/>
        <v>-3.6691038320972833</v>
      </c>
    </row>
    <row r="305" spans="1:16" x14ac:dyDescent="0.2">
      <c r="A305" s="8">
        <v>151.5</v>
      </c>
      <c r="B305" s="8">
        <v>303</v>
      </c>
      <c r="D305">
        <v>5082.5372340426002</v>
      </c>
      <c r="E305">
        <v>845.76684397163001</v>
      </c>
      <c r="F305">
        <v>115.01759014952</v>
      </c>
      <c r="G305">
        <v>105.70448548813</v>
      </c>
      <c r="I305" s="9">
        <f t="shared" si="40"/>
        <v>740.06235848350002</v>
      </c>
      <c r="J305" s="9">
        <f t="shared" si="41"/>
        <v>4967.5196438930798</v>
      </c>
      <c r="K305" s="9">
        <f t="shared" si="31"/>
        <v>740.06235848350002</v>
      </c>
      <c r="L305" s="10">
        <f t="shared" si="30"/>
        <v>0.14898025806366172</v>
      </c>
      <c r="M305" s="10">
        <f t="shared" si="42"/>
        <v>0.15037739736416442</v>
      </c>
      <c r="P305" s="8">
        <f t="shared" si="43"/>
        <v>0.75335539582036792</v>
      </c>
    </row>
    <row r="306" spans="1:16" x14ac:dyDescent="0.2">
      <c r="A306" s="8">
        <v>152</v>
      </c>
      <c r="B306" s="8">
        <v>304</v>
      </c>
      <c r="D306">
        <v>4958.4015957447</v>
      </c>
      <c r="E306">
        <v>831.74202127659998</v>
      </c>
      <c r="F306">
        <v>115.23131046614</v>
      </c>
      <c r="G306">
        <v>105.72999120493</v>
      </c>
      <c r="I306" s="9">
        <f t="shared" si="40"/>
        <v>726.01203007166998</v>
      </c>
      <c r="J306" s="9">
        <f t="shared" si="41"/>
        <v>4843.1702852785602</v>
      </c>
      <c r="K306" s="9">
        <f t="shared" si="31"/>
        <v>726.01203007166998</v>
      </c>
      <c r="L306" s="10">
        <f t="shared" si="30"/>
        <v>0.1499042955971375</v>
      </c>
      <c r="M306" s="10">
        <f t="shared" si="42"/>
        <v>0.15130604591843394</v>
      </c>
      <c r="P306" s="8">
        <f t="shared" si="43"/>
        <v>1.3755530097313857</v>
      </c>
    </row>
    <row r="307" spans="1:16" x14ac:dyDescent="0.2">
      <c r="A307" s="8">
        <v>152.5</v>
      </c>
      <c r="B307" s="8">
        <v>305</v>
      </c>
      <c r="D307">
        <v>4924.6551418440004</v>
      </c>
      <c r="E307">
        <v>834.56382978723002</v>
      </c>
      <c r="F307">
        <v>115.3781882146</v>
      </c>
      <c r="G307">
        <v>105.71503957784</v>
      </c>
      <c r="I307" s="9">
        <f t="shared" si="40"/>
        <v>728.84879020939002</v>
      </c>
      <c r="J307" s="9">
        <f t="shared" si="41"/>
        <v>4809.2769536293999</v>
      </c>
      <c r="K307" s="9">
        <f t="shared" si="31"/>
        <v>728.84879020939002</v>
      </c>
      <c r="L307" s="10">
        <f t="shared" si="30"/>
        <v>0.15155059632391357</v>
      </c>
      <c r="M307" s="10">
        <f t="shared" si="42"/>
        <v>0.15295695766600376</v>
      </c>
      <c r="P307" s="8">
        <f t="shared" si="43"/>
        <v>2.4816693606297084</v>
      </c>
    </row>
    <row r="308" spans="1:16" x14ac:dyDescent="0.2">
      <c r="A308" s="8">
        <v>153</v>
      </c>
      <c r="B308" s="8">
        <v>306</v>
      </c>
      <c r="D308">
        <v>5011.2386867791001</v>
      </c>
      <c r="E308">
        <v>828.50399290150995</v>
      </c>
      <c r="F308">
        <v>115.49780123131001</v>
      </c>
      <c r="G308">
        <v>105.28935795954</v>
      </c>
      <c r="I308" s="9">
        <f t="shared" si="40"/>
        <v>723.21463494196996</v>
      </c>
      <c r="J308" s="9">
        <f t="shared" si="41"/>
        <v>4895.7408855477897</v>
      </c>
      <c r="K308" s="9">
        <f t="shared" si="31"/>
        <v>723.21463494196996</v>
      </c>
      <c r="L308" s="10">
        <f t="shared" si="30"/>
        <v>0.14772322552382156</v>
      </c>
      <c r="M308" s="10">
        <f t="shared" si="42"/>
        <v>0.14913419788670546</v>
      </c>
      <c r="P308" s="8">
        <f t="shared" si="43"/>
        <v>-7.9592380746019847E-2</v>
      </c>
    </row>
    <row r="309" spans="1:16" x14ac:dyDescent="0.2">
      <c r="A309" s="8">
        <v>153.5</v>
      </c>
      <c r="B309" s="8">
        <v>307</v>
      </c>
      <c r="D309">
        <v>5117.2892635315002</v>
      </c>
      <c r="E309">
        <v>851.00709849156999</v>
      </c>
      <c r="F309">
        <v>114.64467897977001</v>
      </c>
      <c r="G309">
        <v>105.80123131047</v>
      </c>
      <c r="I309" s="9">
        <f t="shared" si="40"/>
        <v>745.20586718109996</v>
      </c>
      <c r="J309" s="9">
        <f t="shared" si="41"/>
        <v>5002.6445845517301</v>
      </c>
      <c r="K309" s="9">
        <f t="shared" si="31"/>
        <v>745.20586718109996</v>
      </c>
      <c r="L309" s="10">
        <f t="shared" si="30"/>
        <v>0.14896238471194037</v>
      </c>
      <c r="M309" s="10">
        <f t="shared" si="42"/>
        <v>0.15037796809561801</v>
      </c>
      <c r="P309" s="8">
        <f t="shared" si="43"/>
        <v>0.75373778778876077</v>
      </c>
    </row>
    <row r="310" spans="1:16" x14ac:dyDescent="0.2">
      <c r="A310" s="8">
        <v>154</v>
      </c>
      <c r="B310" s="8">
        <v>308</v>
      </c>
      <c r="D310">
        <v>5178.6237799467999</v>
      </c>
      <c r="E310">
        <v>855.68855368233994</v>
      </c>
      <c r="F310">
        <v>114.98680738786</v>
      </c>
      <c r="G310">
        <v>105.49516270888</v>
      </c>
      <c r="I310" s="9">
        <f>E310-G310</f>
        <v>750.19339097345994</v>
      </c>
      <c r="J310" s="9">
        <f>D310-F310</f>
        <v>5063.6369725589402</v>
      </c>
      <c r="K310" s="9">
        <f t="shared" si="31"/>
        <v>750.19339097345994</v>
      </c>
      <c r="L310" s="10">
        <f t="shared" si="30"/>
        <v>0.14815307555398172</v>
      </c>
      <c r="M310" s="10">
        <f>L310+ABS($N$2)*A310</f>
        <v>0.1495732699584531</v>
      </c>
      <c r="O310" s="11"/>
      <c r="P310" s="8">
        <f>(M310-$O$2)/$O$2*100</f>
        <v>0.21458736477810397</v>
      </c>
    </row>
    <row r="311" spans="1:16" x14ac:dyDescent="0.2">
      <c r="A311" s="8">
        <v>154.5</v>
      </c>
      <c r="B311" s="8">
        <v>309</v>
      </c>
      <c r="D311">
        <v>5300.7890070922003</v>
      </c>
      <c r="E311">
        <v>871.36436170213005</v>
      </c>
      <c r="F311">
        <v>115.16974494282999</v>
      </c>
      <c r="G311">
        <v>105.27352682498</v>
      </c>
      <c r="I311" s="9">
        <f t="shared" ref="I311:I319" si="44">E311-G311</f>
        <v>766.09083487715009</v>
      </c>
      <c r="J311" s="9">
        <f t="shared" ref="J311:J319" si="45">D311-F311</f>
        <v>5185.6192621493701</v>
      </c>
      <c r="K311" s="9">
        <f t="shared" si="31"/>
        <v>766.09083487715009</v>
      </c>
      <c r="L311" s="10">
        <f t="shared" si="30"/>
        <v>0.1477337220780871</v>
      </c>
      <c r="M311" s="10">
        <f t="shared" ref="M311:M319" si="46">L311+ABS($N$2)*A311</f>
        <v>0.14915852750335223</v>
      </c>
      <c r="P311" s="8">
        <f t="shared" ref="P311:P319" si="47">(M311-$O$2)/$O$2*100</f>
        <v>-6.3291456833094589E-2</v>
      </c>
    </row>
    <row r="312" spans="1:16" x14ac:dyDescent="0.2">
      <c r="A312" s="8">
        <v>155</v>
      </c>
      <c r="B312" s="8">
        <v>310</v>
      </c>
      <c r="D312">
        <v>5191.8501773050002</v>
      </c>
      <c r="E312">
        <v>871.06117021276998</v>
      </c>
      <c r="F312">
        <v>115.29111697449</v>
      </c>
      <c r="G312">
        <v>105.51011433597</v>
      </c>
      <c r="I312" s="9">
        <f t="shared" si="44"/>
        <v>765.55105587679998</v>
      </c>
      <c r="J312" s="9">
        <f t="shared" si="45"/>
        <v>5076.55906033051</v>
      </c>
      <c r="K312" s="9">
        <f t="shared" si="31"/>
        <v>765.55105587679998</v>
      </c>
      <c r="L312" s="10">
        <f t="shared" si="30"/>
        <v>0.15080117197079526</v>
      </c>
      <c r="M312" s="10">
        <f t="shared" si="46"/>
        <v>0.15223058841685413</v>
      </c>
      <c r="N312" s="1"/>
      <c r="P312" s="8">
        <f t="shared" si="47"/>
        <v>1.9949995525937358</v>
      </c>
    </row>
    <row r="313" spans="1:16" x14ac:dyDescent="0.2">
      <c r="A313" s="8">
        <v>155.5</v>
      </c>
      <c r="B313" s="8">
        <v>311</v>
      </c>
      <c r="D313">
        <v>5312.8625886524997</v>
      </c>
      <c r="E313">
        <v>858.81117021276998</v>
      </c>
      <c r="F313">
        <v>115.38258575198</v>
      </c>
      <c r="G313">
        <v>105.49604221636</v>
      </c>
      <c r="I313" s="9">
        <f t="shared" si="44"/>
        <v>753.31512799640996</v>
      </c>
      <c r="J313" s="9">
        <f t="shared" si="45"/>
        <v>5197.48000290052</v>
      </c>
      <c r="K313" s="9">
        <f t="shared" si="31"/>
        <v>753.31512799640996</v>
      </c>
      <c r="L313" s="10">
        <f t="shared" si="30"/>
        <v>0.14493853320763386</v>
      </c>
      <c r="M313" s="10">
        <f t="shared" si="46"/>
        <v>0.14637256067448645</v>
      </c>
      <c r="P313" s="8">
        <f t="shared" si="47"/>
        <v>-1.9298984798947385</v>
      </c>
    </row>
    <row r="314" spans="1:16" x14ac:dyDescent="0.2">
      <c r="A314" s="8">
        <v>156</v>
      </c>
      <c r="B314" s="8">
        <v>312</v>
      </c>
      <c r="D314">
        <v>5379.5286849073</v>
      </c>
      <c r="E314">
        <v>881.35392762576998</v>
      </c>
      <c r="F314">
        <v>114.77044854880999</v>
      </c>
      <c r="G314">
        <v>105.77220756376001</v>
      </c>
      <c r="I314" s="9">
        <f t="shared" si="44"/>
        <v>775.58172006200994</v>
      </c>
      <c r="J314" s="9">
        <f t="shared" si="45"/>
        <v>5264.7582363584897</v>
      </c>
      <c r="K314" s="9">
        <f t="shared" si="31"/>
        <v>775.58172006200994</v>
      </c>
      <c r="L314" s="10">
        <f t="shared" si="30"/>
        <v>0.14731573326688249</v>
      </c>
      <c r="M314" s="10">
        <f t="shared" si="46"/>
        <v>0.14875437175452882</v>
      </c>
      <c r="P314" s="8">
        <f t="shared" si="47"/>
        <v>-0.33407715009694561</v>
      </c>
    </row>
    <row r="315" spans="1:16" x14ac:dyDescent="0.2">
      <c r="A315" s="8">
        <v>156.5</v>
      </c>
      <c r="B315" s="8">
        <v>313</v>
      </c>
      <c r="D315">
        <v>5295.1094439541002</v>
      </c>
      <c r="E315">
        <v>856.29479258606</v>
      </c>
      <c r="F315">
        <v>115.13632365875</v>
      </c>
      <c r="G315">
        <v>105.59806508355</v>
      </c>
      <c r="I315" s="9">
        <f t="shared" si="44"/>
        <v>750.69672750251004</v>
      </c>
      <c r="J315" s="9">
        <f t="shared" si="45"/>
        <v>5179.9731202953499</v>
      </c>
      <c r="K315" s="9">
        <f t="shared" si="31"/>
        <v>750.69672750251004</v>
      </c>
      <c r="L315" s="10">
        <f t="shared" si="30"/>
        <v>0.14492290019059154</v>
      </c>
      <c r="M315" s="10">
        <f t="shared" si="46"/>
        <v>0.14636614969903161</v>
      </c>
      <c r="P315" s="8">
        <f t="shared" si="47"/>
        <v>-1.934193854730035</v>
      </c>
    </row>
    <row r="316" spans="1:16" x14ac:dyDescent="0.2">
      <c r="A316" s="8">
        <v>157</v>
      </c>
      <c r="B316" s="8">
        <v>314</v>
      </c>
      <c r="D316">
        <v>5477.1012433392998</v>
      </c>
      <c r="E316">
        <v>897.88454706926996</v>
      </c>
      <c r="F316">
        <v>115.30430958663</v>
      </c>
      <c r="G316">
        <v>105.4837291117</v>
      </c>
      <c r="I316" s="9">
        <f t="shared" si="44"/>
        <v>792.40081795756998</v>
      </c>
      <c r="J316" s="9">
        <f t="shared" si="45"/>
        <v>5361.7969337526702</v>
      </c>
      <c r="K316" s="9">
        <f t="shared" si="31"/>
        <v>792.40081795756998</v>
      </c>
      <c r="L316" s="10">
        <f t="shared" si="30"/>
        <v>0.1477864282717205</v>
      </c>
      <c r="M316" s="10">
        <f t="shared" si="46"/>
        <v>0.14923428880095432</v>
      </c>
      <c r="P316" s="8">
        <f t="shared" si="47"/>
        <v>-1.2531135958098181E-2</v>
      </c>
    </row>
    <row r="317" spans="1:16" x14ac:dyDescent="0.2">
      <c r="A317" s="8">
        <v>157.5</v>
      </c>
      <c r="B317" s="8">
        <v>315</v>
      </c>
      <c r="D317">
        <v>5069.2618629174003</v>
      </c>
      <c r="E317">
        <v>859.12038664322995</v>
      </c>
      <c r="F317">
        <v>115.08531222515001</v>
      </c>
      <c r="G317">
        <v>105.39753737907</v>
      </c>
      <c r="I317" s="9">
        <f t="shared" si="44"/>
        <v>753.72284926416</v>
      </c>
      <c r="J317" s="9">
        <f t="shared" si="45"/>
        <v>4954.1765506922502</v>
      </c>
      <c r="K317" s="9">
        <f t="shared" si="31"/>
        <v>753.72284926416</v>
      </c>
      <c r="L317" s="10">
        <f t="shared" si="30"/>
        <v>0.15213887546232921</v>
      </c>
      <c r="M317" s="10">
        <f t="shared" si="46"/>
        <v>0.15359134701235677</v>
      </c>
      <c r="P317" s="8">
        <f t="shared" si="47"/>
        <v>2.9067123284744167</v>
      </c>
    </row>
    <row r="318" spans="1:16" x14ac:dyDescent="0.2">
      <c r="A318" s="8">
        <v>158</v>
      </c>
      <c r="B318" s="8">
        <v>316</v>
      </c>
      <c r="D318">
        <v>5185.0421792618999</v>
      </c>
      <c r="E318">
        <v>869.09753954305995</v>
      </c>
      <c r="F318">
        <v>115.07739665787</v>
      </c>
      <c r="G318">
        <v>105.79771328056</v>
      </c>
      <c r="I318" s="9">
        <f t="shared" si="44"/>
        <v>763.29982626249989</v>
      </c>
      <c r="J318" s="9">
        <f t="shared" si="45"/>
        <v>5069.96478260403</v>
      </c>
      <c r="K318" s="9">
        <f t="shared" si="31"/>
        <v>763.29982626249989</v>
      </c>
      <c r="L318" s="10">
        <f t="shared" si="30"/>
        <v>0.15055327975482596</v>
      </c>
      <c r="M318" s="10">
        <f t="shared" si="46"/>
        <v>0.15201036232564727</v>
      </c>
      <c r="P318" s="8">
        <f t="shared" si="47"/>
        <v>1.8474473404679708</v>
      </c>
    </row>
    <row r="319" spans="1:16" x14ac:dyDescent="0.2">
      <c r="A319" s="8">
        <v>158.5</v>
      </c>
      <c r="B319" s="8">
        <v>317</v>
      </c>
      <c r="D319">
        <v>5225.8110720561999</v>
      </c>
      <c r="E319">
        <v>849.53690685413005</v>
      </c>
      <c r="F319">
        <v>115.35444151275</v>
      </c>
      <c r="G319">
        <v>105.63148636763</v>
      </c>
      <c r="I319" s="9">
        <f t="shared" si="44"/>
        <v>743.90542048650002</v>
      </c>
      <c r="J319" s="9">
        <f t="shared" si="45"/>
        <v>5110.45663054345</v>
      </c>
      <c r="K319" s="9">
        <f t="shared" si="31"/>
        <v>743.90542048650002</v>
      </c>
      <c r="L319" s="10">
        <f t="shared" si="30"/>
        <v>0.14556535242671506</v>
      </c>
      <c r="M319" s="10">
        <f t="shared" si="46"/>
        <v>0.14702704601833008</v>
      </c>
      <c r="P319" s="8">
        <f t="shared" si="47"/>
        <v>-1.4913911270247842</v>
      </c>
    </row>
    <row r="320" spans="1:16" x14ac:dyDescent="0.2">
      <c r="A320" s="8">
        <v>159</v>
      </c>
      <c r="B320" s="8">
        <v>318</v>
      </c>
      <c r="D320">
        <v>5448.4775330396997</v>
      </c>
      <c r="E320">
        <v>892.05286343611999</v>
      </c>
      <c r="F320">
        <v>115.18381706245</v>
      </c>
      <c r="G320">
        <v>105.45998240985</v>
      </c>
      <c r="I320" s="9">
        <f>E320-G320</f>
        <v>786.59288102626999</v>
      </c>
      <c r="J320" s="9">
        <f>D320-F320</f>
        <v>5333.29371597725</v>
      </c>
      <c r="K320" s="9">
        <f t="shared" si="31"/>
        <v>786.59288102626999</v>
      </c>
      <c r="L320" s="10">
        <f t="shared" si="30"/>
        <v>0.14748726076529953</v>
      </c>
      <c r="M320" s="10">
        <f>L320+ABS($N$2)*A320</f>
        <v>0.14895356537770829</v>
      </c>
      <c r="O320" s="11"/>
      <c r="P320" s="8">
        <f>(M320-$O$2)/$O$2*100</f>
        <v>-0.20061676136458581</v>
      </c>
    </row>
    <row r="321" spans="1:16" x14ac:dyDescent="0.2">
      <c r="A321" s="8">
        <v>159.5</v>
      </c>
      <c r="B321" s="8">
        <v>319</v>
      </c>
      <c r="D321">
        <v>5002.0238726790003</v>
      </c>
      <c r="E321">
        <v>837.96551724137998</v>
      </c>
      <c r="F321">
        <v>114.90589270009001</v>
      </c>
      <c r="G321">
        <v>105.41600703605999</v>
      </c>
      <c r="I321" s="9">
        <f t="shared" ref="I321:I322" si="48">E321-G321</f>
        <v>732.54951020531996</v>
      </c>
      <c r="J321" s="9">
        <f t="shared" ref="J321:J322" si="49">D321-F321</f>
        <v>4887.1179799789106</v>
      </c>
      <c r="K321" s="9">
        <f t="shared" si="31"/>
        <v>732.54951020531996</v>
      </c>
      <c r="L321" s="10">
        <f t="shared" si="30"/>
        <v>0.14989396883937742</v>
      </c>
      <c r="M321" s="10">
        <f t="shared" ref="M321:M322" si="50">L321+ABS($N$2)*A321</f>
        <v>0.15136488447257992</v>
      </c>
      <c r="P321" s="8">
        <f t="shared" ref="P321:P322" si="51">(M321-$O$2)/$O$2*100</f>
        <v>1.4149750363175388</v>
      </c>
    </row>
    <row r="322" spans="1:16" x14ac:dyDescent="0.2">
      <c r="A322" s="8">
        <v>160</v>
      </c>
      <c r="B322" s="8">
        <v>320</v>
      </c>
      <c r="D322">
        <v>5338.3934571175996</v>
      </c>
      <c r="E322">
        <v>893.87002652520005</v>
      </c>
      <c r="F322">
        <v>115.22075637643</v>
      </c>
      <c r="G322">
        <v>105.79507475814</v>
      </c>
      <c r="I322" s="9">
        <f t="shared" si="48"/>
        <v>788.07495176706004</v>
      </c>
      <c r="J322" s="9">
        <f t="shared" si="49"/>
        <v>5223.17270074117</v>
      </c>
      <c r="K322" s="9">
        <f t="shared" ref="K322" si="52">I322*1</f>
        <v>788.07495176706004</v>
      </c>
      <c r="L322" s="10">
        <f t="shared" ref="L322" si="53">K322/J322</f>
        <v>0.15088050825032684</v>
      </c>
      <c r="M322" s="10">
        <f t="shared" si="50"/>
        <v>0.15235603490432309</v>
      </c>
      <c r="P322" s="8">
        <f t="shared" si="51"/>
        <v>2.0790491156042537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1E8E-7ABF-AE43-A4D0-EFD1C949A44A}">
  <dimension ref="A1:Y798"/>
  <sheetViews>
    <sheetView zoomScale="44" zoomScaleNormal="70" workbookViewId="0">
      <selection activeCell="K76" sqref="K76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971.77042801556001</v>
      </c>
      <c r="E2">
        <v>370.60700389105</v>
      </c>
      <c r="F2">
        <v>126.91461836999</v>
      </c>
      <c r="G2">
        <v>113.29366106080001</v>
      </c>
      <c r="H2" s="4"/>
      <c r="I2" s="5">
        <f>E2-G2</f>
        <v>257.31334283025001</v>
      </c>
      <c r="J2" s="5">
        <f>D2-F2</f>
        <v>844.85580964557005</v>
      </c>
      <c r="K2" s="9">
        <f>I2*1</f>
        <v>257.31334283025001</v>
      </c>
      <c r="L2" s="6">
        <f t="shared" ref="L2:L65" si="0">K2/J2</f>
        <v>0.30456480252908114</v>
      </c>
      <c r="M2" s="6">
        <f>L2+ABS($N$2)*A2</f>
        <v>0.30456480252908114</v>
      </c>
      <c r="N2" s="4">
        <f>LINEST(V64:V103,U64:U103)</f>
        <v>8.4832503687044673E-5</v>
      </c>
      <c r="O2" s="7">
        <f>AVERAGE(M62:M81)</f>
        <v>0.20945593801274415</v>
      </c>
      <c r="P2" s="4">
        <f>(M2-$O$2)/$O$2*100</f>
        <v>45.407576132098093</v>
      </c>
    </row>
    <row r="3" spans="1:16" x14ac:dyDescent="0.2">
      <c r="A3" s="8">
        <v>0.5</v>
      </c>
      <c r="B3" s="8">
        <v>1</v>
      </c>
      <c r="D3">
        <v>984.09079118029001</v>
      </c>
      <c r="E3">
        <v>430.09079118029001</v>
      </c>
      <c r="F3">
        <v>127.64294954722</v>
      </c>
      <c r="G3">
        <v>112.52263906856</v>
      </c>
      <c r="I3" s="9">
        <f t="shared" ref="I3:I66" si="1">E3-G3</f>
        <v>317.56815211173</v>
      </c>
      <c r="J3" s="9">
        <f t="shared" ref="J3:J66" si="2">D3-F3</f>
        <v>856.44784163306997</v>
      </c>
      <c r="K3" s="9">
        <f t="shared" ref="K3:K66" si="3">I3*1</f>
        <v>317.56815211173</v>
      </c>
      <c r="L3" s="10">
        <f t="shared" si="0"/>
        <v>0.37079683860980117</v>
      </c>
      <c r="M3" s="10">
        <f t="shared" ref="M3:M66" si="4">L3+ABS($N$2)*A3</f>
        <v>0.37083925486164471</v>
      </c>
      <c r="P3" s="8">
        <f t="shared" ref="P3:P66" si="5">(M3-$O$2)/$O$2*100</f>
        <v>77.048814361654109</v>
      </c>
    </row>
    <row r="4" spans="1:16" ht="16" x14ac:dyDescent="0.2">
      <c r="A4" s="8">
        <v>1</v>
      </c>
      <c r="B4" s="8">
        <v>2</v>
      </c>
      <c r="D4">
        <v>950.04669260699995</v>
      </c>
      <c r="E4">
        <v>410.01426718546998</v>
      </c>
      <c r="F4">
        <v>126.90297542044</v>
      </c>
      <c r="G4">
        <v>112.87580853816</v>
      </c>
      <c r="I4" s="9">
        <f t="shared" si="1"/>
        <v>297.13845864730996</v>
      </c>
      <c r="J4" s="9">
        <f t="shared" si="2"/>
        <v>823.14371718655991</v>
      </c>
      <c r="K4" s="9">
        <f t="shared" si="3"/>
        <v>297.13845864730996</v>
      </c>
      <c r="L4" s="10">
        <f t="shared" si="0"/>
        <v>0.3609800481292692</v>
      </c>
      <c r="M4" s="10">
        <f t="shared" si="4"/>
        <v>0.36106488063295628</v>
      </c>
      <c r="N4" s="1" t="s">
        <v>7</v>
      </c>
      <c r="P4" s="8">
        <f t="shared" si="5"/>
        <v>72.382260469019315</v>
      </c>
    </row>
    <row r="5" spans="1:16" x14ac:dyDescent="0.2">
      <c r="A5" s="8">
        <v>1.5</v>
      </c>
      <c r="B5" s="8">
        <v>3</v>
      </c>
      <c r="D5">
        <v>925.11284046693004</v>
      </c>
      <c r="E5">
        <v>370.01815823606</v>
      </c>
      <c r="F5">
        <v>126.90815006468</v>
      </c>
      <c r="G5">
        <v>112.69469598965</v>
      </c>
      <c r="I5" s="9">
        <f t="shared" si="1"/>
        <v>257.32346224641003</v>
      </c>
      <c r="J5" s="9">
        <f t="shared" si="2"/>
        <v>798.20469040224998</v>
      </c>
      <c r="K5" s="9">
        <f t="shared" si="3"/>
        <v>257.32346224641003</v>
      </c>
      <c r="L5" s="10">
        <f t="shared" si="0"/>
        <v>0.3223777877285256</v>
      </c>
      <c r="M5" s="10">
        <f t="shared" si="4"/>
        <v>0.32250503648405615</v>
      </c>
      <c r="N5" s="8">
        <f>RSQ(V64:V83,U64:U83)</f>
        <v>8.3077764238531655E-3</v>
      </c>
      <c r="P5" s="8">
        <f t="shared" si="5"/>
        <v>53.972735050573561</v>
      </c>
    </row>
    <row r="6" spans="1:16" x14ac:dyDescent="0.2">
      <c r="A6" s="8">
        <v>2</v>
      </c>
      <c r="B6" s="8">
        <v>4</v>
      </c>
      <c r="D6">
        <v>903.56549935148996</v>
      </c>
      <c r="E6">
        <v>353.89494163424001</v>
      </c>
      <c r="F6">
        <v>127.32858990944</v>
      </c>
      <c r="G6">
        <v>112.86545924968</v>
      </c>
      <c r="I6" s="9">
        <f t="shared" si="1"/>
        <v>241.02948238456003</v>
      </c>
      <c r="J6" s="9">
        <f t="shared" si="2"/>
        <v>776.23690944204998</v>
      </c>
      <c r="K6" s="9">
        <f t="shared" si="3"/>
        <v>241.02948238456003</v>
      </c>
      <c r="L6" s="10">
        <f t="shared" si="0"/>
        <v>0.31051020565075838</v>
      </c>
      <c r="M6" s="10">
        <f t="shared" si="4"/>
        <v>0.31067987065813246</v>
      </c>
      <c r="P6" s="8">
        <f t="shared" si="5"/>
        <v>48.327077095913815</v>
      </c>
    </row>
    <row r="7" spans="1:16" x14ac:dyDescent="0.2">
      <c r="A7" s="8">
        <v>2.5</v>
      </c>
      <c r="B7" s="8">
        <v>5</v>
      </c>
      <c r="D7">
        <v>951.68871595330995</v>
      </c>
      <c r="E7">
        <v>379.50324254215002</v>
      </c>
      <c r="F7">
        <v>127.13712807245</v>
      </c>
      <c r="G7">
        <v>112.89003880983</v>
      </c>
      <c r="I7" s="9">
        <f t="shared" si="1"/>
        <v>266.61320373232002</v>
      </c>
      <c r="J7" s="9">
        <f t="shared" si="2"/>
        <v>824.55158788085998</v>
      </c>
      <c r="K7" s="9">
        <f t="shared" si="3"/>
        <v>266.61320373232002</v>
      </c>
      <c r="L7" s="10">
        <f t="shared" si="0"/>
        <v>0.32334326638983218</v>
      </c>
      <c r="M7" s="10">
        <f t="shared" si="4"/>
        <v>0.32355534764904981</v>
      </c>
      <c r="P7" s="8">
        <f t="shared" si="5"/>
        <v>54.474182359711087</v>
      </c>
    </row>
    <row r="8" spans="1:16" x14ac:dyDescent="0.2">
      <c r="A8" s="8">
        <v>3</v>
      </c>
      <c r="B8" s="8">
        <v>6</v>
      </c>
      <c r="D8">
        <v>977.95590142671995</v>
      </c>
      <c r="E8">
        <v>370.78858625162002</v>
      </c>
      <c r="F8">
        <v>127.39715394567</v>
      </c>
      <c r="G8">
        <v>113.07503234153</v>
      </c>
      <c r="I8" s="9">
        <f t="shared" si="1"/>
        <v>257.71355391009001</v>
      </c>
      <c r="J8" s="9">
        <f t="shared" si="2"/>
        <v>850.55874748104998</v>
      </c>
      <c r="K8" s="9">
        <f t="shared" si="3"/>
        <v>257.71355391009001</v>
      </c>
      <c r="L8" s="10">
        <f t="shared" si="0"/>
        <v>0.30299324376277931</v>
      </c>
      <c r="M8" s="10">
        <f t="shared" si="4"/>
        <v>0.30324774127384047</v>
      </c>
      <c r="P8" s="8">
        <f t="shared" si="5"/>
        <v>44.778775025890951</v>
      </c>
    </row>
    <row r="9" spans="1:16" x14ac:dyDescent="0.2">
      <c r="A9" s="8">
        <v>3.5</v>
      </c>
      <c r="B9" s="8">
        <v>7</v>
      </c>
      <c r="D9">
        <v>919.88586251620995</v>
      </c>
      <c r="E9">
        <v>323.41634241244998</v>
      </c>
      <c r="F9">
        <v>127.3893919793</v>
      </c>
      <c r="G9">
        <v>113.05174644243</v>
      </c>
      <c r="I9" s="9">
        <f t="shared" si="1"/>
        <v>210.36459597001999</v>
      </c>
      <c r="J9" s="9">
        <f t="shared" si="2"/>
        <v>792.49647053691001</v>
      </c>
      <c r="K9" s="9">
        <f t="shared" si="3"/>
        <v>210.36459597001999</v>
      </c>
      <c r="L9" s="10">
        <f t="shared" si="0"/>
        <v>0.26544546731861113</v>
      </c>
      <c r="M9" s="10">
        <f t="shared" si="4"/>
        <v>0.26574238108151577</v>
      </c>
      <c r="P9" s="8">
        <f t="shared" si="5"/>
        <v>26.872689121540649</v>
      </c>
    </row>
    <row r="10" spans="1:16" x14ac:dyDescent="0.2">
      <c r="A10" s="8">
        <v>4</v>
      </c>
      <c r="B10" s="8">
        <v>8</v>
      </c>
      <c r="D10">
        <v>971.13618677042996</v>
      </c>
      <c r="E10">
        <v>333.0804150454</v>
      </c>
      <c r="F10">
        <v>127.61448900388</v>
      </c>
      <c r="G10">
        <v>112.87063389392</v>
      </c>
      <c r="I10" s="9">
        <f t="shared" si="1"/>
        <v>220.20978115148</v>
      </c>
      <c r="J10" s="9">
        <f t="shared" si="2"/>
        <v>843.52169776655001</v>
      </c>
      <c r="K10" s="9">
        <f t="shared" si="3"/>
        <v>220.20978115148</v>
      </c>
      <c r="L10" s="10">
        <f t="shared" si="0"/>
        <v>0.26106000798147155</v>
      </c>
      <c r="M10" s="10">
        <f t="shared" si="4"/>
        <v>0.26139933799621973</v>
      </c>
      <c r="P10" s="8">
        <f t="shared" si="5"/>
        <v>24.799201434105502</v>
      </c>
    </row>
    <row r="11" spans="1:16" x14ac:dyDescent="0.2">
      <c r="A11" s="8">
        <v>4.5</v>
      </c>
      <c r="B11" s="8">
        <v>9</v>
      </c>
      <c r="D11">
        <v>883.78988326848003</v>
      </c>
      <c r="E11">
        <v>299.52269779506997</v>
      </c>
      <c r="F11">
        <v>127.17593790427</v>
      </c>
      <c r="G11">
        <v>112.94954721863</v>
      </c>
      <c r="I11" s="9">
        <f t="shared" si="1"/>
        <v>186.57315057643996</v>
      </c>
      <c r="J11" s="9">
        <f t="shared" si="2"/>
        <v>756.61394536421005</v>
      </c>
      <c r="K11" s="9">
        <f t="shared" si="3"/>
        <v>186.57315057643996</v>
      </c>
      <c r="L11" s="10">
        <f t="shared" si="0"/>
        <v>0.24658962700803716</v>
      </c>
      <c r="M11" s="10">
        <f t="shared" si="4"/>
        <v>0.24697137327462887</v>
      </c>
      <c r="P11" s="8">
        <f t="shared" si="5"/>
        <v>17.910896018427575</v>
      </c>
    </row>
    <row r="12" spans="1:16" x14ac:dyDescent="0.2">
      <c r="A12" s="8">
        <v>5</v>
      </c>
      <c r="B12" s="8">
        <v>10</v>
      </c>
      <c r="D12">
        <v>886.55382619974</v>
      </c>
      <c r="E12">
        <v>288.45136186769997</v>
      </c>
      <c r="F12">
        <v>127.18758085381999</v>
      </c>
      <c r="G12">
        <v>112.92238033635</v>
      </c>
      <c r="I12" s="9">
        <f t="shared" si="1"/>
        <v>175.52898153134998</v>
      </c>
      <c r="J12" s="9">
        <f t="shared" si="2"/>
        <v>759.36624534591999</v>
      </c>
      <c r="K12" s="9">
        <f t="shared" si="3"/>
        <v>175.52898153134998</v>
      </c>
      <c r="L12" s="10">
        <f t="shared" si="0"/>
        <v>0.23115194098651293</v>
      </c>
      <c r="M12" s="10">
        <f t="shared" si="4"/>
        <v>0.23157610350494814</v>
      </c>
      <c r="P12" s="8">
        <f t="shared" si="5"/>
        <v>10.560772686644061</v>
      </c>
    </row>
    <row r="13" spans="1:16" x14ac:dyDescent="0.2">
      <c r="A13" s="8">
        <v>5.5</v>
      </c>
      <c r="B13" s="8">
        <v>11</v>
      </c>
      <c r="D13">
        <v>1030.7548638132</v>
      </c>
      <c r="E13">
        <v>315.50583657587998</v>
      </c>
      <c r="F13">
        <v>126.85252263907</v>
      </c>
      <c r="G13">
        <v>112.81630012937001</v>
      </c>
      <c r="I13" s="9">
        <f t="shared" si="1"/>
        <v>202.68953644650998</v>
      </c>
      <c r="J13" s="9">
        <f t="shared" si="2"/>
        <v>903.90234117413002</v>
      </c>
      <c r="K13" s="9">
        <f t="shared" si="3"/>
        <v>202.68953644650998</v>
      </c>
      <c r="L13" s="10">
        <f t="shared" si="0"/>
        <v>0.22423831338153749</v>
      </c>
      <c r="M13" s="10">
        <f t="shared" si="4"/>
        <v>0.22470489215181624</v>
      </c>
      <c r="P13" s="8">
        <f t="shared" si="5"/>
        <v>7.2802682434070158</v>
      </c>
    </row>
    <row r="14" spans="1:16" x14ac:dyDescent="0.2">
      <c r="A14" s="8">
        <v>6</v>
      </c>
      <c r="B14" s="8">
        <v>12</v>
      </c>
      <c r="D14">
        <v>1264.1297016860999</v>
      </c>
      <c r="E14">
        <v>358.74448767834002</v>
      </c>
      <c r="F14">
        <v>126.77619663647999</v>
      </c>
      <c r="G14">
        <v>112.53557567916999</v>
      </c>
      <c r="I14" s="9">
        <f t="shared" si="1"/>
        <v>246.20891199917003</v>
      </c>
      <c r="J14" s="9">
        <f t="shared" si="2"/>
        <v>1137.3535050496198</v>
      </c>
      <c r="K14" s="9">
        <f t="shared" si="3"/>
        <v>246.20891199917003</v>
      </c>
      <c r="L14" s="10">
        <f t="shared" si="0"/>
        <v>0.2164752743153753</v>
      </c>
      <c r="M14" s="10">
        <f t="shared" si="4"/>
        <v>0.21698426933749757</v>
      </c>
      <c r="P14" s="8">
        <f t="shared" si="5"/>
        <v>3.5942315105410683</v>
      </c>
    </row>
    <row r="15" spans="1:16" x14ac:dyDescent="0.2">
      <c r="A15" s="8">
        <v>6.5</v>
      </c>
      <c r="B15" s="8">
        <v>13</v>
      </c>
      <c r="D15">
        <v>1329.6394293126</v>
      </c>
      <c r="E15">
        <v>373.72892347600998</v>
      </c>
      <c r="F15">
        <v>127.33505821475001</v>
      </c>
      <c r="G15">
        <v>112.52910737387</v>
      </c>
      <c r="I15" s="9">
        <f t="shared" si="1"/>
        <v>261.19981610213995</v>
      </c>
      <c r="J15" s="9">
        <f t="shared" si="2"/>
        <v>1202.30437109785</v>
      </c>
      <c r="K15" s="9">
        <f t="shared" si="3"/>
        <v>261.19981610213995</v>
      </c>
      <c r="L15" s="10">
        <f t="shared" si="0"/>
        <v>0.21724932752563544</v>
      </c>
      <c r="M15" s="10">
        <f t="shared" si="4"/>
        <v>0.21780073879960124</v>
      </c>
      <c r="P15" s="8">
        <f t="shared" si="5"/>
        <v>3.9840363878102907</v>
      </c>
    </row>
    <row r="16" spans="1:16" x14ac:dyDescent="0.2">
      <c r="A16" s="8">
        <v>7</v>
      </c>
      <c r="B16" s="8">
        <v>14</v>
      </c>
      <c r="D16">
        <v>1886.0064850843</v>
      </c>
      <c r="E16">
        <v>493.41763942930999</v>
      </c>
      <c r="F16">
        <v>127.32729624837999</v>
      </c>
      <c r="G16">
        <v>112.40620957309</v>
      </c>
      <c r="I16" s="9">
        <f t="shared" si="1"/>
        <v>381.01142985621999</v>
      </c>
      <c r="J16" s="9">
        <f t="shared" si="2"/>
        <v>1758.6791888359201</v>
      </c>
      <c r="K16" s="9">
        <f t="shared" si="3"/>
        <v>381.01142985621999</v>
      </c>
      <c r="L16" s="10">
        <f t="shared" si="0"/>
        <v>0.21664635157729573</v>
      </c>
      <c r="M16" s="10">
        <f t="shared" si="4"/>
        <v>0.21724017910310503</v>
      </c>
      <c r="P16" s="8">
        <f t="shared" si="5"/>
        <v>3.7164098398047121</v>
      </c>
    </row>
    <row r="17" spans="1:16" x14ac:dyDescent="0.2">
      <c r="A17" s="8">
        <v>7.5</v>
      </c>
      <c r="B17" s="8">
        <v>15</v>
      </c>
      <c r="D17">
        <v>2046.3642297649999</v>
      </c>
      <c r="E17">
        <v>502.77545691905999</v>
      </c>
      <c r="F17">
        <v>127.02587322122</v>
      </c>
      <c r="G17">
        <v>112.78654592497</v>
      </c>
      <c r="I17" s="9">
        <f t="shared" si="1"/>
        <v>389.98891099409002</v>
      </c>
      <c r="J17" s="9">
        <f t="shared" si="2"/>
        <v>1919.3383565437798</v>
      </c>
      <c r="K17" s="9">
        <f t="shared" si="3"/>
        <v>389.98891099409002</v>
      </c>
      <c r="L17" s="10">
        <f t="shared" si="0"/>
        <v>0.20318924470219873</v>
      </c>
      <c r="M17" s="10">
        <f t="shared" si="4"/>
        <v>0.20382548847985157</v>
      </c>
      <c r="P17" s="8">
        <f t="shared" si="5"/>
        <v>-2.6881307764834022</v>
      </c>
    </row>
    <row r="18" spans="1:16" x14ac:dyDescent="0.2">
      <c r="A18" s="8">
        <v>8</v>
      </c>
      <c r="B18" s="8">
        <v>16</v>
      </c>
      <c r="D18">
        <v>2625.5796344648002</v>
      </c>
      <c r="E18">
        <v>617.00130548303002</v>
      </c>
      <c r="F18">
        <v>127.01293661061</v>
      </c>
      <c r="G18">
        <v>112.54592496766</v>
      </c>
      <c r="I18" s="9">
        <f t="shared" si="1"/>
        <v>504.45538051537005</v>
      </c>
      <c r="J18" s="9">
        <f t="shared" si="2"/>
        <v>2498.5666978541904</v>
      </c>
      <c r="K18" s="9">
        <f t="shared" si="3"/>
        <v>504.45538051537005</v>
      </c>
      <c r="L18" s="10">
        <f t="shared" si="0"/>
        <v>0.20189790448604175</v>
      </c>
      <c r="M18" s="10">
        <f t="shared" si="4"/>
        <v>0.2025765645155381</v>
      </c>
      <c r="P18" s="8">
        <f t="shared" si="5"/>
        <v>-3.2844012743088138</v>
      </c>
    </row>
    <row r="19" spans="1:16" x14ac:dyDescent="0.2">
      <c r="A19" s="8">
        <v>8.5</v>
      </c>
      <c r="B19" s="8">
        <v>17</v>
      </c>
      <c r="D19">
        <v>2584.5156657962998</v>
      </c>
      <c r="E19">
        <v>617.60966057440999</v>
      </c>
      <c r="F19">
        <v>127.31953428202</v>
      </c>
      <c r="G19">
        <v>112.56403622251</v>
      </c>
      <c r="I19" s="9">
        <f t="shared" si="1"/>
        <v>505.04562435189996</v>
      </c>
      <c r="J19" s="9">
        <f t="shared" si="2"/>
        <v>2457.1961315142798</v>
      </c>
      <c r="K19" s="9">
        <f t="shared" si="3"/>
        <v>505.04562435189996</v>
      </c>
      <c r="L19" s="10">
        <f t="shared" si="0"/>
        <v>0.20553736752005175</v>
      </c>
      <c r="M19" s="10">
        <f t="shared" si="4"/>
        <v>0.20625844380139163</v>
      </c>
      <c r="P19" s="8">
        <f t="shared" si="5"/>
        <v>-1.5265712883050206</v>
      </c>
    </row>
    <row r="20" spans="1:16" x14ac:dyDescent="0.2">
      <c r="A20" s="8">
        <v>9</v>
      </c>
      <c r="B20" s="8">
        <v>18</v>
      </c>
      <c r="D20">
        <v>2863.8981723237998</v>
      </c>
      <c r="E20">
        <v>667.09399477807005</v>
      </c>
      <c r="F20">
        <v>126.72833117723</v>
      </c>
      <c r="G20">
        <v>112.30271668823001</v>
      </c>
      <c r="I20" s="9">
        <f t="shared" si="1"/>
        <v>554.79127808984003</v>
      </c>
      <c r="J20" s="9">
        <f t="shared" si="2"/>
        <v>2737.16984114657</v>
      </c>
      <c r="K20" s="9">
        <f t="shared" si="3"/>
        <v>554.79127808984003</v>
      </c>
      <c r="L20" s="10">
        <f t="shared" si="0"/>
        <v>0.20268792595546214</v>
      </c>
      <c r="M20" s="10">
        <f t="shared" si="4"/>
        <v>0.20345141848864554</v>
      </c>
      <c r="P20" s="8">
        <f t="shared" si="5"/>
        <v>-2.8667220328378908</v>
      </c>
    </row>
    <row r="21" spans="1:16" x14ac:dyDescent="0.2">
      <c r="A21" s="8">
        <v>9.5</v>
      </c>
      <c r="B21" s="8">
        <v>19</v>
      </c>
      <c r="D21">
        <v>2666.2057291667002</v>
      </c>
      <c r="E21">
        <v>674.88671875</v>
      </c>
      <c r="F21">
        <v>127.02199223802999</v>
      </c>
      <c r="G21">
        <v>112.69728331176999</v>
      </c>
      <c r="I21" s="9">
        <f t="shared" si="1"/>
        <v>562.18943543823002</v>
      </c>
      <c r="J21" s="9">
        <f t="shared" si="2"/>
        <v>2539.18373692867</v>
      </c>
      <c r="K21" s="9">
        <f t="shared" si="3"/>
        <v>562.18943543823002</v>
      </c>
      <c r="L21" s="10">
        <f t="shared" si="0"/>
        <v>0.22140557505233535</v>
      </c>
      <c r="M21" s="10">
        <f t="shared" si="4"/>
        <v>0.22221148383736228</v>
      </c>
      <c r="P21" s="8">
        <f t="shared" si="5"/>
        <v>6.0898468411251399</v>
      </c>
    </row>
    <row r="22" spans="1:16" x14ac:dyDescent="0.2">
      <c r="A22" s="8">
        <v>10</v>
      </c>
      <c r="B22" s="8">
        <v>20</v>
      </c>
      <c r="D22">
        <v>2601.8279009127</v>
      </c>
      <c r="E22">
        <v>655.94263363754999</v>
      </c>
      <c r="F22">
        <v>126.90815006468</v>
      </c>
      <c r="G22">
        <v>112.21733505822</v>
      </c>
      <c r="I22" s="9">
        <f t="shared" si="1"/>
        <v>543.72529857933</v>
      </c>
      <c r="J22" s="9">
        <f t="shared" si="2"/>
        <v>2474.9197508480202</v>
      </c>
      <c r="K22" s="9">
        <f t="shared" si="3"/>
        <v>543.72529857933</v>
      </c>
      <c r="L22" s="10">
        <f t="shared" si="0"/>
        <v>0.21969411266487529</v>
      </c>
      <c r="M22" s="10">
        <f t="shared" si="4"/>
        <v>0.22054243770174572</v>
      </c>
      <c r="P22" s="8">
        <f t="shared" si="5"/>
        <v>5.2929985151946513</v>
      </c>
    </row>
    <row r="23" spans="1:16" x14ac:dyDescent="0.2">
      <c r="A23" s="8">
        <v>10.5</v>
      </c>
      <c r="B23" s="8">
        <v>21</v>
      </c>
      <c r="D23">
        <v>2476.4440104167002</v>
      </c>
      <c r="E23">
        <v>629.58072916667004</v>
      </c>
      <c r="F23">
        <v>126.89391979301</v>
      </c>
      <c r="G23">
        <v>112.69469598965</v>
      </c>
      <c r="I23" s="9">
        <f t="shared" si="1"/>
        <v>516.88603317702007</v>
      </c>
      <c r="J23" s="9">
        <f t="shared" si="2"/>
        <v>2349.5500906236903</v>
      </c>
      <c r="K23" s="9">
        <f t="shared" si="3"/>
        <v>516.88603317702007</v>
      </c>
      <c r="L23" s="10">
        <f t="shared" si="0"/>
        <v>0.21999362143405599</v>
      </c>
      <c r="M23" s="10">
        <f t="shared" si="4"/>
        <v>0.22088436272276996</v>
      </c>
      <c r="P23" s="8">
        <f t="shared" si="5"/>
        <v>5.456242882610689</v>
      </c>
    </row>
    <row r="24" spans="1:16" x14ac:dyDescent="0.2">
      <c r="A24" s="8">
        <v>11</v>
      </c>
      <c r="B24" s="8">
        <v>22</v>
      </c>
      <c r="D24">
        <v>2364.76953125</v>
      </c>
      <c r="E24">
        <v>606.43880208332996</v>
      </c>
      <c r="F24">
        <v>126.83053040103999</v>
      </c>
      <c r="G24">
        <v>112.57309184994</v>
      </c>
      <c r="I24" s="9">
        <f t="shared" si="1"/>
        <v>493.86571023338996</v>
      </c>
      <c r="J24" s="9">
        <f t="shared" si="2"/>
        <v>2237.9390008489599</v>
      </c>
      <c r="K24" s="9">
        <f t="shared" si="3"/>
        <v>493.86571023338996</v>
      </c>
      <c r="L24" s="10">
        <f t="shared" si="0"/>
        <v>0.22067880761988709</v>
      </c>
      <c r="M24" s="10">
        <f t="shared" si="4"/>
        <v>0.22161196516044457</v>
      </c>
      <c r="P24" s="8">
        <f t="shared" si="5"/>
        <v>5.8036202091156754</v>
      </c>
    </row>
    <row r="25" spans="1:16" x14ac:dyDescent="0.2">
      <c r="A25" s="8">
        <v>11.5</v>
      </c>
      <c r="B25" s="8">
        <v>23</v>
      </c>
      <c r="D25">
        <v>2226.3671875</v>
      </c>
      <c r="E25">
        <v>572.55208333332996</v>
      </c>
      <c r="F25">
        <v>127.27296248383</v>
      </c>
      <c r="G25">
        <v>112.91203104787</v>
      </c>
      <c r="I25" s="9">
        <f t="shared" si="1"/>
        <v>459.64005228545994</v>
      </c>
      <c r="J25" s="9">
        <f t="shared" si="2"/>
        <v>2099.0942250161702</v>
      </c>
      <c r="K25" s="9">
        <f t="shared" si="3"/>
        <v>459.64005228545994</v>
      </c>
      <c r="L25" s="10">
        <f t="shared" si="0"/>
        <v>0.21897066211113947</v>
      </c>
      <c r="M25" s="10">
        <f t="shared" si="4"/>
        <v>0.21994623590354048</v>
      </c>
      <c r="P25" s="8">
        <f t="shared" si="5"/>
        <v>5.0083554519032365</v>
      </c>
    </row>
    <row r="26" spans="1:16" x14ac:dyDescent="0.2">
      <c r="A26" s="8">
        <v>12</v>
      </c>
      <c r="B26" s="8">
        <v>24</v>
      </c>
      <c r="D26">
        <v>2391.7018229167002</v>
      </c>
      <c r="E26">
        <v>602.80078125</v>
      </c>
      <c r="F26">
        <v>126.96636481242</v>
      </c>
      <c r="G26">
        <v>112.47347994825</v>
      </c>
      <c r="I26" s="9">
        <f t="shared" si="1"/>
        <v>490.32730130175003</v>
      </c>
      <c r="J26" s="9">
        <f t="shared" si="2"/>
        <v>2264.73545810428</v>
      </c>
      <c r="K26" s="9">
        <f t="shared" si="3"/>
        <v>490.32730130175003</v>
      </c>
      <c r="L26" s="10">
        <f t="shared" si="0"/>
        <v>0.21650533158172192</v>
      </c>
      <c r="M26" s="10">
        <f t="shared" si="4"/>
        <v>0.21752332162596646</v>
      </c>
      <c r="P26" s="8">
        <f t="shared" si="5"/>
        <v>3.8515898330518876</v>
      </c>
    </row>
    <row r="27" spans="1:16" x14ac:dyDescent="0.2">
      <c r="A27" s="8">
        <v>12.5</v>
      </c>
      <c r="B27" s="8">
        <v>25</v>
      </c>
      <c r="D27">
        <v>2679.2470588235001</v>
      </c>
      <c r="E27">
        <v>656.60522875817003</v>
      </c>
      <c r="F27">
        <v>127.48124191462</v>
      </c>
      <c r="G27">
        <v>112.17593790427</v>
      </c>
      <c r="I27" s="9">
        <f t="shared" si="1"/>
        <v>544.42929085390006</v>
      </c>
      <c r="J27" s="9">
        <f t="shared" si="2"/>
        <v>2551.76581690888</v>
      </c>
      <c r="K27" s="9">
        <f t="shared" si="3"/>
        <v>544.42929085390006</v>
      </c>
      <c r="L27" s="10">
        <f t="shared" si="0"/>
        <v>0.21335393994477231</v>
      </c>
      <c r="M27" s="10">
        <f t="shared" si="4"/>
        <v>0.21441434624086037</v>
      </c>
      <c r="P27" s="8">
        <f t="shared" si="5"/>
        <v>2.3672798561645592</v>
      </c>
    </row>
    <row r="28" spans="1:16" x14ac:dyDescent="0.2">
      <c r="A28" s="8">
        <v>13</v>
      </c>
      <c r="B28" s="8">
        <v>26</v>
      </c>
      <c r="D28">
        <v>2801.5202614379</v>
      </c>
      <c r="E28">
        <v>647.69019607842995</v>
      </c>
      <c r="F28">
        <v>126.74773609314001</v>
      </c>
      <c r="G28">
        <v>112.34023285899001</v>
      </c>
      <c r="I28" s="9">
        <f t="shared" si="1"/>
        <v>535.34996321943993</v>
      </c>
      <c r="J28" s="9">
        <f t="shared" si="2"/>
        <v>2674.7725253447602</v>
      </c>
      <c r="K28" s="9">
        <f t="shared" si="3"/>
        <v>535.34996321943993</v>
      </c>
      <c r="L28" s="10">
        <f t="shared" si="0"/>
        <v>0.20014784739514882</v>
      </c>
      <c r="M28" s="10">
        <f t="shared" si="4"/>
        <v>0.20125066994308041</v>
      </c>
      <c r="P28" s="8">
        <f t="shared" si="5"/>
        <v>-3.9174196480237731</v>
      </c>
    </row>
    <row r="29" spans="1:16" x14ac:dyDescent="0.2">
      <c r="A29" s="8">
        <v>13.5</v>
      </c>
      <c r="B29" s="8">
        <v>27</v>
      </c>
      <c r="D29">
        <v>2805.6444444444001</v>
      </c>
      <c r="E29">
        <v>651.69934640523002</v>
      </c>
      <c r="F29">
        <v>127.00517464424</v>
      </c>
      <c r="G29">
        <v>112.16688227684</v>
      </c>
      <c r="I29" s="9">
        <f t="shared" si="1"/>
        <v>539.53246412839007</v>
      </c>
      <c r="J29" s="9">
        <f t="shared" si="2"/>
        <v>2678.63926980016</v>
      </c>
      <c r="K29" s="9">
        <f t="shared" si="3"/>
        <v>539.53246412839007</v>
      </c>
      <c r="L29" s="10">
        <f t="shared" si="0"/>
        <v>0.20142035182237955</v>
      </c>
      <c r="M29" s="10">
        <f t="shared" si="4"/>
        <v>0.20256559062215465</v>
      </c>
      <c r="P29" s="8">
        <f t="shared" si="5"/>
        <v>-3.2896405114904215</v>
      </c>
    </row>
    <row r="30" spans="1:16" x14ac:dyDescent="0.2">
      <c r="A30" s="8">
        <v>14</v>
      </c>
      <c r="B30" s="8">
        <v>28</v>
      </c>
      <c r="D30">
        <v>2657.4758169934998</v>
      </c>
      <c r="E30">
        <v>599.40261437908998</v>
      </c>
      <c r="F30">
        <v>126.8318240621</v>
      </c>
      <c r="G30">
        <v>112.16300129366</v>
      </c>
      <c r="I30" s="9">
        <f t="shared" si="1"/>
        <v>487.23961308542999</v>
      </c>
      <c r="J30" s="9">
        <f t="shared" si="2"/>
        <v>2530.6439929313997</v>
      </c>
      <c r="K30" s="9">
        <f t="shared" si="3"/>
        <v>487.23961308542999</v>
      </c>
      <c r="L30" s="10">
        <f t="shared" si="0"/>
        <v>0.19253581872692829</v>
      </c>
      <c r="M30" s="10">
        <f t="shared" si="4"/>
        <v>0.19372347377854693</v>
      </c>
      <c r="P30" s="8">
        <f t="shared" si="5"/>
        <v>-7.5111092019935919</v>
      </c>
    </row>
    <row r="31" spans="1:16" x14ac:dyDescent="0.2">
      <c r="A31" s="8">
        <v>14.5</v>
      </c>
      <c r="B31" s="8">
        <v>29</v>
      </c>
      <c r="D31">
        <v>2705.6823529412</v>
      </c>
      <c r="E31">
        <v>603.39738562091998</v>
      </c>
      <c r="F31">
        <v>127.10866752910999</v>
      </c>
      <c r="G31">
        <v>112.24450194049</v>
      </c>
      <c r="I31" s="9">
        <f t="shared" si="1"/>
        <v>491.15288368042997</v>
      </c>
      <c r="J31" s="9">
        <f t="shared" si="2"/>
        <v>2578.5736854120901</v>
      </c>
      <c r="K31" s="9">
        <f t="shared" si="3"/>
        <v>491.15288368042997</v>
      </c>
      <c r="L31" s="10">
        <f t="shared" si="0"/>
        <v>0.19047463582640931</v>
      </c>
      <c r="M31" s="10">
        <f t="shared" si="4"/>
        <v>0.19170470712987145</v>
      </c>
      <c r="P31" s="8">
        <f t="shared" si="5"/>
        <v>-8.4749236766888121</v>
      </c>
    </row>
    <row r="32" spans="1:16" x14ac:dyDescent="0.2">
      <c r="A32" s="8">
        <v>15</v>
      </c>
      <c r="B32" s="8">
        <v>30</v>
      </c>
      <c r="D32">
        <v>2801.091503268</v>
      </c>
      <c r="E32">
        <v>630.74379084966995</v>
      </c>
      <c r="F32">
        <v>126.46571798188999</v>
      </c>
      <c r="G32">
        <v>112.01293661061</v>
      </c>
      <c r="I32" s="9">
        <f t="shared" si="1"/>
        <v>518.73085423905991</v>
      </c>
      <c r="J32" s="9">
        <f t="shared" si="2"/>
        <v>2674.6257852861099</v>
      </c>
      <c r="K32" s="9">
        <f t="shared" si="3"/>
        <v>518.73085423905991</v>
      </c>
      <c r="L32" s="10">
        <f t="shared" si="0"/>
        <v>0.19394520799610487</v>
      </c>
      <c r="M32" s="10">
        <f t="shared" si="4"/>
        <v>0.19521769555141055</v>
      </c>
      <c r="P32" s="8">
        <f t="shared" si="5"/>
        <v>-6.7977268137737319</v>
      </c>
    </row>
    <row r="33" spans="1:16" x14ac:dyDescent="0.2">
      <c r="A33" s="8">
        <v>15.5</v>
      </c>
      <c r="B33" s="8">
        <v>31</v>
      </c>
      <c r="D33">
        <v>2785.8274509804</v>
      </c>
      <c r="E33">
        <v>634.77647058824004</v>
      </c>
      <c r="F33">
        <v>126.16041397154</v>
      </c>
      <c r="G33">
        <v>112.17981888745</v>
      </c>
      <c r="I33" s="9">
        <f t="shared" si="1"/>
        <v>522.59665170079006</v>
      </c>
      <c r="J33" s="9">
        <f t="shared" si="2"/>
        <v>2659.66703700886</v>
      </c>
      <c r="K33" s="9">
        <f t="shared" si="3"/>
        <v>522.59665170079006</v>
      </c>
      <c r="L33" s="10">
        <f t="shared" si="0"/>
        <v>0.19648950204252547</v>
      </c>
      <c r="M33" s="10">
        <f t="shared" si="4"/>
        <v>0.19780440584967465</v>
      </c>
      <c r="P33" s="8">
        <f t="shared" si="5"/>
        <v>-5.5627604896837868</v>
      </c>
    </row>
    <row r="34" spans="1:16" x14ac:dyDescent="0.2">
      <c r="A34" s="8">
        <v>16</v>
      </c>
      <c r="B34" s="8">
        <v>32</v>
      </c>
      <c r="D34">
        <v>2763.2130718953999</v>
      </c>
      <c r="E34">
        <v>635.58431372549001</v>
      </c>
      <c r="F34">
        <v>126.59637774903</v>
      </c>
      <c r="G34">
        <v>112.15394566624001</v>
      </c>
      <c r="I34" s="9">
        <f t="shared" si="1"/>
        <v>523.43036805924999</v>
      </c>
      <c r="J34" s="9">
        <f t="shared" si="2"/>
        <v>2636.6166941463698</v>
      </c>
      <c r="K34" s="9">
        <f t="shared" si="3"/>
        <v>523.43036805924999</v>
      </c>
      <c r="L34" s="10">
        <f t="shared" si="0"/>
        <v>0.19852349764049251</v>
      </c>
      <c r="M34" s="10">
        <f t="shared" si="4"/>
        <v>0.19988081769948524</v>
      </c>
      <c r="P34" s="8">
        <f t="shared" si="5"/>
        <v>-4.5714246175614859</v>
      </c>
    </row>
    <row r="35" spans="1:16" x14ac:dyDescent="0.2">
      <c r="A35" s="8">
        <v>16.5</v>
      </c>
      <c r="B35" s="8">
        <v>33</v>
      </c>
      <c r="D35">
        <v>2722.1869281046002</v>
      </c>
      <c r="E35">
        <v>635.65490196077997</v>
      </c>
      <c r="F35">
        <v>126.87580853816</v>
      </c>
      <c r="G35">
        <v>112.15265200518</v>
      </c>
      <c r="I35" s="9">
        <f t="shared" si="1"/>
        <v>523.50224995559995</v>
      </c>
      <c r="J35" s="9">
        <f t="shared" si="2"/>
        <v>2595.3111195664401</v>
      </c>
      <c r="K35" s="9">
        <f t="shared" si="3"/>
        <v>523.50224995559995</v>
      </c>
      <c r="L35" s="10">
        <f t="shared" si="0"/>
        <v>0.20171078758490182</v>
      </c>
      <c r="M35" s="10">
        <f t="shared" si="4"/>
        <v>0.20311052389573805</v>
      </c>
      <c r="P35" s="8">
        <f t="shared" si="5"/>
        <v>-3.0294744456564477</v>
      </c>
    </row>
    <row r="36" spans="1:16" x14ac:dyDescent="0.2">
      <c r="A36" s="8">
        <v>17</v>
      </c>
      <c r="B36" s="8">
        <v>34</v>
      </c>
      <c r="D36">
        <v>2825.8549019607999</v>
      </c>
      <c r="E36">
        <v>650.51241830064998</v>
      </c>
      <c r="F36">
        <v>126.72056921087</v>
      </c>
      <c r="G36">
        <v>112.2639068564</v>
      </c>
      <c r="I36" s="9">
        <f t="shared" si="1"/>
        <v>538.24851144424997</v>
      </c>
      <c r="J36" s="9">
        <f t="shared" si="2"/>
        <v>2699.1343327499299</v>
      </c>
      <c r="K36" s="9">
        <f t="shared" si="3"/>
        <v>538.24851144424997</v>
      </c>
      <c r="L36" s="10">
        <f t="shared" si="0"/>
        <v>0.19941523654951698</v>
      </c>
      <c r="M36" s="10">
        <f t="shared" si="4"/>
        <v>0.20085738911219675</v>
      </c>
      <c r="P36" s="8">
        <f t="shared" si="5"/>
        <v>-4.1051826852596687</v>
      </c>
    </row>
    <row r="37" spans="1:16" x14ac:dyDescent="0.2">
      <c r="A37" s="8">
        <v>17.5</v>
      </c>
      <c r="B37" s="8">
        <v>35</v>
      </c>
      <c r="D37">
        <v>2874.7267973856001</v>
      </c>
      <c r="E37">
        <v>675.73333333333005</v>
      </c>
      <c r="F37">
        <v>126.86545924968</v>
      </c>
      <c r="G37">
        <v>112.46959896507001</v>
      </c>
      <c r="I37" s="9">
        <f t="shared" si="1"/>
        <v>563.26373436826009</v>
      </c>
      <c r="J37" s="9">
        <f t="shared" si="2"/>
        <v>2747.8613381359201</v>
      </c>
      <c r="K37" s="9">
        <f t="shared" si="3"/>
        <v>563.26373436826009</v>
      </c>
      <c r="L37" s="10">
        <f t="shared" si="0"/>
        <v>0.20498259011510531</v>
      </c>
      <c r="M37" s="10">
        <f t="shared" si="4"/>
        <v>0.20646715892962858</v>
      </c>
      <c r="P37" s="8">
        <f t="shared" si="5"/>
        <v>-1.4269249711763805</v>
      </c>
    </row>
    <row r="38" spans="1:16" x14ac:dyDescent="0.2">
      <c r="A38" s="8">
        <v>18</v>
      </c>
      <c r="B38" s="8">
        <v>36</v>
      </c>
      <c r="D38">
        <v>2918.6470588235002</v>
      </c>
      <c r="E38">
        <v>677.92156862745003</v>
      </c>
      <c r="F38">
        <v>126.95601552393001</v>
      </c>
      <c r="G38">
        <v>111.77619663647999</v>
      </c>
      <c r="I38" s="9">
        <f t="shared" si="1"/>
        <v>566.14537199097003</v>
      </c>
      <c r="J38" s="9">
        <f t="shared" si="2"/>
        <v>2791.6910432995701</v>
      </c>
      <c r="K38" s="9">
        <f t="shared" si="3"/>
        <v>566.14537199097003</v>
      </c>
      <c r="L38" s="10">
        <f t="shared" si="0"/>
        <v>0.20279657140061907</v>
      </c>
      <c r="M38" s="10">
        <f t="shared" si="4"/>
        <v>0.20432355646698588</v>
      </c>
      <c r="P38" s="8">
        <f t="shared" si="5"/>
        <v>-2.4503394816364614</v>
      </c>
    </row>
    <row r="39" spans="1:16" x14ac:dyDescent="0.2">
      <c r="A39" s="8">
        <v>18.5</v>
      </c>
      <c r="B39" s="8">
        <v>37</v>
      </c>
      <c r="D39">
        <v>2876.8707571802001</v>
      </c>
      <c r="E39">
        <v>673.80809399478005</v>
      </c>
      <c r="F39">
        <v>127.50323415264999</v>
      </c>
      <c r="G39">
        <v>112.48641655886</v>
      </c>
      <c r="I39" s="9">
        <f t="shared" si="1"/>
        <v>561.32167743592004</v>
      </c>
      <c r="J39" s="9">
        <f t="shared" si="2"/>
        <v>2749.3675230275503</v>
      </c>
      <c r="K39" s="9">
        <f t="shared" si="3"/>
        <v>561.32167743592004</v>
      </c>
      <c r="L39" s="10">
        <f t="shared" si="0"/>
        <v>0.20416392960727325</v>
      </c>
      <c r="M39" s="10">
        <f t="shared" si="4"/>
        <v>0.20573333092548357</v>
      </c>
      <c r="P39" s="8">
        <f t="shared" si="5"/>
        <v>-1.7772745535789385</v>
      </c>
    </row>
    <row r="40" spans="1:16" x14ac:dyDescent="0.2">
      <c r="A40" s="8">
        <v>19</v>
      </c>
      <c r="B40" s="8">
        <v>38</v>
      </c>
      <c r="D40">
        <v>2914.1514360312999</v>
      </c>
      <c r="E40">
        <v>680.74543080939998</v>
      </c>
      <c r="F40">
        <v>127.77749029754</v>
      </c>
      <c r="G40">
        <v>112.39586028461</v>
      </c>
      <c r="I40" s="9">
        <f t="shared" si="1"/>
        <v>568.34957052479001</v>
      </c>
      <c r="J40" s="9">
        <f t="shared" si="2"/>
        <v>2786.3739457337597</v>
      </c>
      <c r="K40" s="9">
        <f t="shared" si="3"/>
        <v>568.34957052479001</v>
      </c>
      <c r="L40" s="10">
        <f t="shared" si="0"/>
        <v>0.20397462135152203</v>
      </c>
      <c r="M40" s="10">
        <f t="shared" si="4"/>
        <v>0.20558643892157588</v>
      </c>
      <c r="P40" s="8">
        <f t="shared" si="5"/>
        <v>-1.847404818350306</v>
      </c>
    </row>
    <row r="41" spans="1:16" x14ac:dyDescent="0.2">
      <c r="A41" s="8">
        <v>19.5</v>
      </c>
      <c r="B41" s="8">
        <v>39</v>
      </c>
      <c r="D41">
        <v>2856.9216710183</v>
      </c>
      <c r="E41">
        <v>666.75326370757</v>
      </c>
      <c r="F41">
        <v>126.71539456662001</v>
      </c>
      <c r="G41">
        <v>112.31824062096</v>
      </c>
      <c r="I41" s="9">
        <f t="shared" si="1"/>
        <v>554.43502308661004</v>
      </c>
      <c r="J41" s="9">
        <f t="shared" si="2"/>
        <v>2730.20627645168</v>
      </c>
      <c r="K41" s="9">
        <f t="shared" si="3"/>
        <v>554.43502308661004</v>
      </c>
      <c r="L41" s="10">
        <f t="shared" si="0"/>
        <v>0.20307440791879763</v>
      </c>
      <c r="M41" s="10">
        <f t="shared" si="4"/>
        <v>0.20472864174069499</v>
      </c>
      <c r="P41" s="8">
        <f t="shared" si="5"/>
        <v>-2.2569406801737584</v>
      </c>
    </row>
    <row r="42" spans="1:16" x14ac:dyDescent="0.2">
      <c r="A42" s="8">
        <v>20</v>
      </c>
      <c r="B42" s="8">
        <v>40</v>
      </c>
      <c r="D42">
        <v>2717.3890339425998</v>
      </c>
      <c r="E42">
        <v>641.35509138380996</v>
      </c>
      <c r="F42">
        <v>127.18111254851</v>
      </c>
      <c r="G42">
        <v>112.57826649418</v>
      </c>
      <c r="I42" s="9">
        <f t="shared" si="1"/>
        <v>528.77682488963001</v>
      </c>
      <c r="J42" s="9">
        <f t="shared" si="2"/>
        <v>2590.2079213940897</v>
      </c>
      <c r="K42" s="9">
        <f t="shared" si="3"/>
        <v>528.77682488963001</v>
      </c>
      <c r="L42" s="10">
        <f t="shared" si="0"/>
        <v>0.20414454782650585</v>
      </c>
      <c r="M42" s="10">
        <f t="shared" si="4"/>
        <v>0.20584119790024674</v>
      </c>
      <c r="P42" s="8">
        <f t="shared" si="5"/>
        <v>-1.725775906280332</v>
      </c>
    </row>
    <row r="43" spans="1:16" x14ac:dyDescent="0.2">
      <c r="A43" s="8">
        <v>20.5</v>
      </c>
      <c r="B43" s="8">
        <v>41</v>
      </c>
      <c r="D43">
        <v>2819.9095674967002</v>
      </c>
      <c r="E43">
        <v>653.68807339449995</v>
      </c>
      <c r="F43">
        <v>126.83441138422</v>
      </c>
      <c r="G43">
        <v>112.16041397154</v>
      </c>
      <c r="I43" s="9">
        <f t="shared" si="1"/>
        <v>541.52765942295991</v>
      </c>
      <c r="J43" s="9">
        <f t="shared" si="2"/>
        <v>2693.0751561124803</v>
      </c>
      <c r="K43" s="9">
        <f t="shared" si="3"/>
        <v>541.52765942295991</v>
      </c>
      <c r="L43" s="10">
        <f t="shared" si="0"/>
        <v>0.20108152503425428</v>
      </c>
      <c r="M43" s="10">
        <f t="shared" si="4"/>
        <v>0.20282059135983868</v>
      </c>
      <c r="P43" s="8">
        <f t="shared" si="5"/>
        <v>-3.1678961770478646</v>
      </c>
    </row>
    <row r="44" spans="1:16" x14ac:dyDescent="0.2">
      <c r="A44" s="8">
        <v>21</v>
      </c>
      <c r="B44" s="8">
        <v>42</v>
      </c>
      <c r="D44">
        <v>2748.3433813892998</v>
      </c>
      <c r="E44">
        <v>640.85583224114998</v>
      </c>
      <c r="F44">
        <v>126.70245795602</v>
      </c>
      <c r="G44">
        <v>112.3467011643</v>
      </c>
      <c r="I44" s="9">
        <f t="shared" si="1"/>
        <v>528.50913107684994</v>
      </c>
      <c r="J44" s="9">
        <f t="shared" si="2"/>
        <v>2621.6409234332796</v>
      </c>
      <c r="K44" s="9">
        <f t="shared" si="3"/>
        <v>528.50913107684994</v>
      </c>
      <c r="L44" s="10">
        <f t="shared" si="0"/>
        <v>0.20159478224222968</v>
      </c>
      <c r="M44" s="10">
        <f t="shared" si="4"/>
        <v>0.20337626481965762</v>
      </c>
      <c r="P44" s="8">
        <f t="shared" si="5"/>
        <v>-2.9026024522239204</v>
      </c>
    </row>
    <row r="45" spans="1:16" x14ac:dyDescent="0.2">
      <c r="A45" s="8">
        <v>21.5</v>
      </c>
      <c r="B45" s="8">
        <v>43</v>
      </c>
      <c r="D45">
        <v>2720.6485788114001</v>
      </c>
      <c r="E45">
        <v>636.10723514211998</v>
      </c>
      <c r="F45">
        <v>127.24450194049</v>
      </c>
      <c r="G45">
        <v>112.60155239327</v>
      </c>
      <c r="I45" s="9">
        <f t="shared" si="1"/>
        <v>523.50568274884995</v>
      </c>
      <c r="J45" s="9">
        <f t="shared" si="2"/>
        <v>2593.4040768709101</v>
      </c>
      <c r="K45" s="9">
        <f t="shared" si="3"/>
        <v>523.50568274884995</v>
      </c>
      <c r="L45" s="10">
        <f t="shared" si="0"/>
        <v>0.20186043795399961</v>
      </c>
      <c r="M45" s="10">
        <f t="shared" si="4"/>
        <v>0.20368433678327105</v>
      </c>
      <c r="P45" s="8">
        <f t="shared" si="5"/>
        <v>-2.7555204613592417</v>
      </c>
    </row>
    <row r="46" spans="1:16" x14ac:dyDescent="0.2">
      <c r="A46" s="8">
        <v>22</v>
      </c>
      <c r="B46" s="8">
        <v>44</v>
      </c>
      <c r="D46">
        <v>2740.0529715762</v>
      </c>
      <c r="E46">
        <v>637.36692506459997</v>
      </c>
      <c r="F46">
        <v>126.82923673997</v>
      </c>
      <c r="G46">
        <v>111.8978007762</v>
      </c>
      <c r="I46" s="9">
        <f t="shared" si="1"/>
        <v>525.46912428839994</v>
      </c>
      <c r="J46" s="9">
        <f t="shared" si="2"/>
        <v>2613.2237348362301</v>
      </c>
      <c r="K46" s="9">
        <f t="shared" si="3"/>
        <v>525.46912428839994</v>
      </c>
      <c r="L46" s="10">
        <f t="shared" si="0"/>
        <v>0.20108080195488157</v>
      </c>
      <c r="M46" s="10">
        <f t="shared" si="4"/>
        <v>0.20294711703599655</v>
      </c>
      <c r="P46" s="8">
        <f t="shared" si="5"/>
        <v>-3.1074893548024285</v>
      </c>
    </row>
    <row r="47" spans="1:16" x14ac:dyDescent="0.2">
      <c r="A47" s="8">
        <v>22.5</v>
      </c>
      <c r="B47" s="8">
        <v>45</v>
      </c>
      <c r="D47">
        <v>2739.6860465116001</v>
      </c>
      <c r="E47">
        <v>634.39147286822003</v>
      </c>
      <c r="F47">
        <v>126.80595084088</v>
      </c>
      <c r="G47">
        <v>112.09831824062</v>
      </c>
      <c r="I47" s="9">
        <f t="shared" si="1"/>
        <v>522.29315462760007</v>
      </c>
      <c r="J47" s="9">
        <f t="shared" si="2"/>
        <v>2612.88009567072</v>
      </c>
      <c r="K47" s="9">
        <f t="shared" si="3"/>
        <v>522.29315462760007</v>
      </c>
      <c r="L47" s="10">
        <f t="shared" si="0"/>
        <v>0.19989174225521766</v>
      </c>
      <c r="M47" s="10">
        <f t="shared" si="4"/>
        <v>0.20180047358817618</v>
      </c>
      <c r="P47" s="8">
        <f t="shared" si="5"/>
        <v>-3.6549283334723008</v>
      </c>
    </row>
    <row r="48" spans="1:16" x14ac:dyDescent="0.2">
      <c r="A48" s="8">
        <v>23</v>
      </c>
      <c r="B48" s="8">
        <v>46</v>
      </c>
      <c r="D48">
        <v>2725.9625322996999</v>
      </c>
      <c r="E48">
        <v>627.14211886304997</v>
      </c>
      <c r="F48">
        <v>126.75420439845</v>
      </c>
      <c r="G48">
        <v>112.26002587322</v>
      </c>
      <c r="I48" s="9">
        <f t="shared" si="1"/>
        <v>514.88209298982997</v>
      </c>
      <c r="J48" s="9">
        <f t="shared" si="2"/>
        <v>2599.20832790125</v>
      </c>
      <c r="K48" s="9">
        <f t="shared" si="3"/>
        <v>514.88209298982997</v>
      </c>
      <c r="L48" s="10">
        <f t="shared" si="0"/>
        <v>0.19809189108191852</v>
      </c>
      <c r="M48" s="10">
        <f t="shared" si="4"/>
        <v>0.20004303866672055</v>
      </c>
      <c r="P48" s="8">
        <f t="shared" si="5"/>
        <v>-4.4939758859693351</v>
      </c>
    </row>
    <row r="49" spans="1:25" x14ac:dyDescent="0.2">
      <c r="A49" s="8">
        <v>23.5</v>
      </c>
      <c r="B49" s="8">
        <v>47</v>
      </c>
      <c r="D49">
        <v>2788.6343669251</v>
      </c>
      <c r="E49">
        <v>646.22739018087998</v>
      </c>
      <c r="F49">
        <v>126.574385511</v>
      </c>
      <c r="G49">
        <v>112.15653298836</v>
      </c>
      <c r="I49" s="9">
        <f t="shared" si="1"/>
        <v>534.07085719251995</v>
      </c>
      <c r="J49" s="9">
        <f t="shared" si="2"/>
        <v>2662.0599814141001</v>
      </c>
      <c r="K49" s="9">
        <f t="shared" si="3"/>
        <v>534.07085719251995</v>
      </c>
      <c r="L49" s="10">
        <f t="shared" si="0"/>
        <v>0.20062314933595851</v>
      </c>
      <c r="M49" s="10">
        <f t="shared" si="4"/>
        <v>0.20261671317260407</v>
      </c>
      <c r="P49" s="8">
        <f t="shared" si="5"/>
        <v>-3.2652332060998654</v>
      </c>
    </row>
    <row r="50" spans="1:25" x14ac:dyDescent="0.2">
      <c r="A50" s="8">
        <v>24</v>
      </c>
      <c r="B50" s="8">
        <v>48</v>
      </c>
      <c r="D50">
        <v>2798.5568475452001</v>
      </c>
      <c r="E50">
        <v>648.60723514211998</v>
      </c>
      <c r="F50">
        <v>126.61319534282001</v>
      </c>
      <c r="G50">
        <v>112.20698576973</v>
      </c>
      <c r="I50" s="9">
        <f t="shared" si="1"/>
        <v>536.40024937239002</v>
      </c>
      <c r="J50" s="9">
        <f t="shared" si="2"/>
        <v>2671.9436522023802</v>
      </c>
      <c r="K50" s="9">
        <f t="shared" si="3"/>
        <v>536.40024937239002</v>
      </c>
      <c r="L50" s="10">
        <f t="shared" si="0"/>
        <v>0.20075282984738693</v>
      </c>
      <c r="M50" s="10">
        <f t="shared" si="4"/>
        <v>0.202788809935876</v>
      </c>
      <c r="P50" s="8">
        <f t="shared" si="5"/>
        <v>-3.1830694990669066</v>
      </c>
    </row>
    <row r="51" spans="1:25" x14ac:dyDescent="0.2">
      <c r="A51" s="8">
        <v>24.5</v>
      </c>
      <c r="B51" s="8">
        <v>49</v>
      </c>
      <c r="D51">
        <v>2740.2093023256002</v>
      </c>
      <c r="E51">
        <v>633.72739018087998</v>
      </c>
      <c r="F51">
        <v>127.30918499353</v>
      </c>
      <c r="G51">
        <v>112.18111254851</v>
      </c>
      <c r="I51" s="9">
        <f t="shared" si="1"/>
        <v>521.54627763236999</v>
      </c>
      <c r="J51" s="9">
        <f t="shared" si="2"/>
        <v>2612.9001173320703</v>
      </c>
      <c r="K51" s="9">
        <f t="shared" si="3"/>
        <v>521.54627763236999</v>
      </c>
      <c r="L51" s="10">
        <f t="shared" si="0"/>
        <v>0.19960436840766052</v>
      </c>
      <c r="M51" s="10">
        <f t="shared" si="4"/>
        <v>0.20168276474799313</v>
      </c>
      <c r="P51" s="8">
        <f t="shared" si="5"/>
        <v>-3.7111257568062208</v>
      </c>
    </row>
    <row r="52" spans="1:25" x14ac:dyDescent="0.2">
      <c r="A52" s="8">
        <v>25</v>
      </c>
      <c r="B52" s="8">
        <v>50</v>
      </c>
      <c r="D52">
        <v>2630.6111111110999</v>
      </c>
      <c r="E52">
        <v>605.37855297158001</v>
      </c>
      <c r="F52">
        <v>127.06727037516001</v>
      </c>
      <c r="G52">
        <v>111.98447606726999</v>
      </c>
      <c r="I52" s="9">
        <f t="shared" si="1"/>
        <v>493.39407690431</v>
      </c>
      <c r="J52" s="9">
        <f t="shared" si="2"/>
        <v>2503.5438407359397</v>
      </c>
      <c r="K52" s="9">
        <f t="shared" si="3"/>
        <v>493.39407690431</v>
      </c>
      <c r="L52" s="10">
        <f t="shared" si="0"/>
        <v>0.19707826516801569</v>
      </c>
      <c r="M52" s="10">
        <f t="shared" si="4"/>
        <v>0.1991990777601918</v>
      </c>
      <c r="P52" s="8">
        <f t="shared" si="5"/>
        <v>-4.8969059315607844</v>
      </c>
    </row>
    <row r="53" spans="1:25" x14ac:dyDescent="0.2">
      <c r="A53" s="8">
        <v>25.5</v>
      </c>
      <c r="B53" s="8">
        <v>51</v>
      </c>
      <c r="D53">
        <v>2352.6563307493998</v>
      </c>
      <c r="E53">
        <v>555.99741602067002</v>
      </c>
      <c r="F53">
        <v>126.85122897801</v>
      </c>
      <c r="G53">
        <v>112.65717981889</v>
      </c>
      <c r="I53" s="9">
        <f t="shared" si="1"/>
        <v>443.34023620178004</v>
      </c>
      <c r="J53" s="9">
        <f t="shared" si="2"/>
        <v>2225.8051017713897</v>
      </c>
      <c r="K53" s="9">
        <f t="shared" si="3"/>
        <v>443.34023620178004</v>
      </c>
      <c r="L53" s="10">
        <f t="shared" si="0"/>
        <v>0.19918196604408497</v>
      </c>
      <c r="M53" s="10">
        <f t="shared" si="4"/>
        <v>0.20134519488810462</v>
      </c>
      <c r="P53" s="8">
        <f t="shared" si="5"/>
        <v>-3.8722908510457383</v>
      </c>
      <c r="S53" s="11"/>
      <c r="U53" s="12"/>
    </row>
    <row r="54" spans="1:25" x14ac:dyDescent="0.2">
      <c r="A54" s="8">
        <v>26</v>
      </c>
      <c r="B54" s="8">
        <v>52</v>
      </c>
      <c r="D54">
        <v>2631.2998696219001</v>
      </c>
      <c r="E54">
        <v>608.17209908735003</v>
      </c>
      <c r="F54">
        <v>127.30918499353</v>
      </c>
      <c r="G54">
        <v>112.30142302717</v>
      </c>
      <c r="I54" s="9">
        <f t="shared" si="1"/>
        <v>495.87067606018002</v>
      </c>
      <c r="J54" s="9">
        <f t="shared" si="2"/>
        <v>2503.9906846283702</v>
      </c>
      <c r="K54" s="9">
        <f t="shared" si="3"/>
        <v>495.87067606018002</v>
      </c>
      <c r="L54" s="10">
        <f t="shared" si="0"/>
        <v>0.19803215687033382</v>
      </c>
      <c r="M54" s="10">
        <f t="shared" si="4"/>
        <v>0.20023780196619698</v>
      </c>
      <c r="P54" s="8">
        <f t="shared" si="5"/>
        <v>-4.4009905539112966</v>
      </c>
      <c r="S54" s="11"/>
    </row>
    <row r="55" spans="1:25" x14ac:dyDescent="0.2">
      <c r="A55" s="8">
        <v>26.5</v>
      </c>
      <c r="B55" s="8">
        <v>53</v>
      </c>
      <c r="D55">
        <v>2440.0026075618998</v>
      </c>
      <c r="E55">
        <v>573.79791395046004</v>
      </c>
      <c r="F55">
        <v>126.33247089263</v>
      </c>
      <c r="G55">
        <v>112.34411384217</v>
      </c>
      <c r="I55" s="9">
        <f t="shared" si="1"/>
        <v>461.45380010829001</v>
      </c>
      <c r="J55" s="9">
        <f t="shared" si="2"/>
        <v>2313.6701366692696</v>
      </c>
      <c r="K55" s="9">
        <f t="shared" si="3"/>
        <v>461.45380010829001</v>
      </c>
      <c r="L55" s="10">
        <f t="shared" si="0"/>
        <v>0.19944666821545837</v>
      </c>
      <c r="M55" s="10">
        <f t="shared" si="4"/>
        <v>0.20169472956316506</v>
      </c>
      <c r="P55" s="8">
        <f t="shared" si="5"/>
        <v>-3.7054134264299847</v>
      </c>
      <c r="S55" s="11"/>
    </row>
    <row r="56" spans="1:25" x14ac:dyDescent="0.2">
      <c r="A56" s="8">
        <v>27</v>
      </c>
      <c r="B56" s="8">
        <v>54</v>
      </c>
      <c r="D56">
        <v>2388.4041720990999</v>
      </c>
      <c r="E56">
        <v>548.57887874837002</v>
      </c>
      <c r="F56">
        <v>126.21992238033999</v>
      </c>
      <c r="G56">
        <v>112.19534282018</v>
      </c>
      <c r="I56" s="9">
        <f t="shared" si="1"/>
        <v>436.38353592818999</v>
      </c>
      <c r="J56" s="9">
        <f t="shared" si="2"/>
        <v>2262.1842497187599</v>
      </c>
      <c r="K56" s="9">
        <f t="shared" si="3"/>
        <v>436.38353592818999</v>
      </c>
      <c r="L56" s="10">
        <f t="shared" si="0"/>
        <v>0.19290362223255786</v>
      </c>
      <c r="M56" s="10">
        <f t="shared" si="4"/>
        <v>0.19519409983210806</v>
      </c>
      <c r="P56" s="8">
        <f t="shared" si="5"/>
        <v>-6.8089920562521087</v>
      </c>
      <c r="S56" s="11"/>
    </row>
    <row r="57" spans="1:25" x14ac:dyDescent="0.2">
      <c r="A57" s="8">
        <v>27.5</v>
      </c>
      <c r="B57" s="8">
        <v>55</v>
      </c>
      <c r="D57">
        <v>2588.8851174934998</v>
      </c>
      <c r="E57">
        <v>574.17885117493995</v>
      </c>
      <c r="F57">
        <v>127.40232858991</v>
      </c>
      <c r="G57">
        <v>112.01034928849</v>
      </c>
      <c r="I57" s="9">
        <f t="shared" si="1"/>
        <v>462.16850188644992</v>
      </c>
      <c r="J57" s="9">
        <f t="shared" si="2"/>
        <v>2461.4827889035896</v>
      </c>
      <c r="K57" s="9">
        <f t="shared" si="3"/>
        <v>462.16850188644992</v>
      </c>
      <c r="L57" s="10">
        <f t="shared" si="0"/>
        <v>0.18776020046531064</v>
      </c>
      <c r="M57" s="10">
        <f t="shared" si="4"/>
        <v>0.19009309431670438</v>
      </c>
      <c r="P57" s="8">
        <f t="shared" si="5"/>
        <v>-9.2443517618782707</v>
      </c>
      <c r="S57" s="11"/>
    </row>
    <row r="58" spans="1:25" x14ac:dyDescent="0.2">
      <c r="A58" s="8">
        <v>28</v>
      </c>
      <c r="B58" s="8">
        <v>56</v>
      </c>
      <c r="D58">
        <v>2718.3263707572</v>
      </c>
      <c r="E58">
        <v>599.55744125325998</v>
      </c>
      <c r="F58">
        <v>127.01940491591</v>
      </c>
      <c r="G58">
        <v>112.54721862872</v>
      </c>
      <c r="I58" s="9">
        <f t="shared" si="1"/>
        <v>487.01022262454001</v>
      </c>
      <c r="J58" s="9">
        <f t="shared" si="2"/>
        <v>2591.3069658412901</v>
      </c>
      <c r="K58" s="9">
        <f t="shared" si="3"/>
        <v>487.01022262454001</v>
      </c>
      <c r="L58" s="10">
        <f t="shared" si="0"/>
        <v>0.18793999670603592</v>
      </c>
      <c r="M58" s="10">
        <f t="shared" si="4"/>
        <v>0.19031530680927317</v>
      </c>
      <c r="P58" s="8">
        <f t="shared" si="5"/>
        <v>-9.1382614334411407</v>
      </c>
      <c r="S58" s="11"/>
    </row>
    <row r="59" spans="1:25" x14ac:dyDescent="0.2">
      <c r="A59" s="8">
        <v>28.5</v>
      </c>
      <c r="B59" s="8">
        <v>57</v>
      </c>
      <c r="D59">
        <v>2875.2819843341999</v>
      </c>
      <c r="E59">
        <v>634.59660574412999</v>
      </c>
      <c r="F59">
        <v>126.43855109961</v>
      </c>
      <c r="G59">
        <v>112.08538163001</v>
      </c>
      <c r="I59" s="9">
        <f t="shared" si="1"/>
        <v>522.51122411411995</v>
      </c>
      <c r="J59" s="9">
        <f t="shared" si="2"/>
        <v>2748.8434332345901</v>
      </c>
      <c r="K59" s="9">
        <f t="shared" si="3"/>
        <v>522.51122411411995</v>
      </c>
      <c r="L59" s="10">
        <f t="shared" si="0"/>
        <v>0.19008402508369712</v>
      </c>
      <c r="M59" s="10">
        <f t="shared" si="4"/>
        <v>0.1925017514387779</v>
      </c>
      <c r="P59" s="8">
        <f t="shared" si="5"/>
        <v>-8.094392899443454</v>
      </c>
      <c r="R59" s="1"/>
      <c r="S59" s="11"/>
    </row>
    <row r="60" spans="1:25" x14ac:dyDescent="0.2">
      <c r="A60" s="8">
        <v>29</v>
      </c>
      <c r="B60" s="8">
        <v>58</v>
      </c>
      <c r="D60">
        <v>2824.2175622543</v>
      </c>
      <c r="E60">
        <v>641.61992136304002</v>
      </c>
      <c r="F60">
        <v>126.74126778784</v>
      </c>
      <c r="G60">
        <v>112.04010349289</v>
      </c>
      <c r="I60" s="9">
        <f t="shared" si="1"/>
        <v>529.57981787015001</v>
      </c>
      <c r="J60" s="9">
        <f t="shared" si="2"/>
        <v>2697.4762944664599</v>
      </c>
      <c r="K60" s="9">
        <f t="shared" si="3"/>
        <v>529.57981787015001</v>
      </c>
      <c r="L60" s="10">
        <f t="shared" si="0"/>
        <v>0.19632417862448606</v>
      </c>
      <c r="M60" s="10">
        <f t="shared" si="4"/>
        <v>0.19878432123141035</v>
      </c>
      <c r="P60" s="8">
        <f t="shared" si="5"/>
        <v>-5.0949220550073369</v>
      </c>
      <c r="S60" s="11"/>
    </row>
    <row r="61" spans="1:25" x14ac:dyDescent="0.2">
      <c r="A61" s="8">
        <v>29.5</v>
      </c>
      <c r="B61" s="8">
        <v>59</v>
      </c>
      <c r="C61" s="2"/>
      <c r="D61">
        <v>2827.6710353866001</v>
      </c>
      <c r="E61">
        <v>661.95412844037003</v>
      </c>
      <c r="F61">
        <v>127.1254851229</v>
      </c>
      <c r="G61">
        <v>112.31306597671001</v>
      </c>
      <c r="I61" s="9">
        <f t="shared" si="1"/>
        <v>549.64106246365998</v>
      </c>
      <c r="J61" s="9">
        <f t="shared" si="2"/>
        <v>2700.5455502637001</v>
      </c>
      <c r="K61" s="9">
        <f t="shared" si="3"/>
        <v>549.64106246365998</v>
      </c>
      <c r="L61" s="10">
        <f t="shared" si="0"/>
        <v>0.20352963956115799</v>
      </c>
      <c r="M61" s="10">
        <f t="shared" si="4"/>
        <v>0.20603219841992582</v>
      </c>
      <c r="P61" s="8">
        <f t="shared" si="5"/>
        <v>-1.6345870283276558</v>
      </c>
      <c r="S61" s="11"/>
    </row>
    <row r="62" spans="1:25" x14ac:dyDescent="0.2">
      <c r="A62" s="8">
        <v>30</v>
      </c>
      <c r="B62" s="8">
        <v>60</v>
      </c>
      <c r="D62">
        <v>2697.27734375</v>
      </c>
      <c r="E62">
        <v>646.328125</v>
      </c>
      <c r="F62">
        <v>126.18240620957</v>
      </c>
      <c r="G62">
        <v>111.81500646831</v>
      </c>
      <c r="I62" s="9">
        <f t="shared" si="1"/>
        <v>534.51311853169</v>
      </c>
      <c r="J62" s="9">
        <f t="shared" si="2"/>
        <v>2571.0949375404298</v>
      </c>
      <c r="K62" s="9">
        <f t="shared" si="3"/>
        <v>534.51311853169</v>
      </c>
      <c r="L62" s="10">
        <f t="shared" si="0"/>
        <v>0.20789318617811051</v>
      </c>
      <c r="M62" s="10">
        <f t="shared" si="4"/>
        <v>0.21043816128872184</v>
      </c>
      <c r="P62" s="8">
        <f t="shared" si="5"/>
        <v>0.46894028658090708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2424.2005208332998</v>
      </c>
      <c r="E63">
        <v>591.640625</v>
      </c>
      <c r="F63">
        <v>126.68046571798</v>
      </c>
      <c r="G63">
        <v>112.00129366106</v>
      </c>
      <c r="I63" s="9">
        <f t="shared" si="1"/>
        <v>479.63933133894</v>
      </c>
      <c r="J63" s="9">
        <f t="shared" si="2"/>
        <v>2297.5200551153198</v>
      </c>
      <c r="K63" s="9">
        <f t="shared" si="3"/>
        <v>479.63933133894</v>
      </c>
      <c r="L63" s="10">
        <f t="shared" si="0"/>
        <v>0.20876393669384766</v>
      </c>
      <c r="M63" s="10">
        <f t="shared" si="4"/>
        <v>0.21135132805630252</v>
      </c>
      <c r="P63" s="8">
        <f t="shared" si="5"/>
        <v>0.90491110519055928</v>
      </c>
    </row>
    <row r="64" spans="1:25" x14ac:dyDescent="0.2">
      <c r="A64" s="8">
        <v>31</v>
      </c>
      <c r="B64" s="8">
        <v>62</v>
      </c>
      <c r="D64">
        <v>2352.4348958332998</v>
      </c>
      <c r="E64">
        <v>578.76302083332996</v>
      </c>
      <c r="F64">
        <v>126.86545924968</v>
      </c>
      <c r="G64">
        <v>112.38680465717999</v>
      </c>
      <c r="I64" s="9">
        <f t="shared" si="1"/>
        <v>466.37621617614997</v>
      </c>
      <c r="J64" s="9">
        <f t="shared" si="2"/>
        <v>2225.5694365836198</v>
      </c>
      <c r="K64" s="9">
        <f t="shared" si="3"/>
        <v>466.37621617614997</v>
      </c>
      <c r="L64" s="10">
        <f t="shared" si="0"/>
        <v>0.20955365782343999</v>
      </c>
      <c r="M64" s="10">
        <f t="shared" si="4"/>
        <v>0.21218346543773836</v>
      </c>
      <c r="P64" s="8">
        <f t="shared" si="5"/>
        <v>1.3021962761582153</v>
      </c>
      <c r="U64" s="8">
        <v>30.5</v>
      </c>
      <c r="V64" s="10">
        <f>L62</f>
        <v>0.20789318617811051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2541.4114583332998</v>
      </c>
      <c r="E65">
        <v>610.17708333332996</v>
      </c>
      <c r="F65">
        <v>127.02328589909</v>
      </c>
      <c r="G65">
        <v>112.30012936611</v>
      </c>
      <c r="I65" s="9">
        <f t="shared" si="1"/>
        <v>497.87695396721995</v>
      </c>
      <c r="J65" s="9">
        <f t="shared" si="2"/>
        <v>2414.38817243421</v>
      </c>
      <c r="K65" s="9">
        <f t="shared" si="3"/>
        <v>497.87695396721995</v>
      </c>
      <c r="L65" s="10">
        <f t="shared" si="0"/>
        <v>0.20621247223277087</v>
      </c>
      <c r="M65" s="10">
        <f t="shared" si="4"/>
        <v>0.20888469609891278</v>
      </c>
      <c r="P65" s="8">
        <f t="shared" si="5"/>
        <v>-0.27272653105524042</v>
      </c>
      <c r="U65" s="8">
        <v>31</v>
      </c>
      <c r="V65" s="10">
        <f t="shared" ref="V65:V83" si="6">L63</f>
        <v>0.20876393669384766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2627.0732026144001</v>
      </c>
      <c r="E66">
        <v>622.13464052287998</v>
      </c>
      <c r="F66">
        <v>126.47606727038</v>
      </c>
      <c r="G66">
        <v>112.34282018111</v>
      </c>
      <c r="I66" s="9">
        <f t="shared" si="1"/>
        <v>509.79182034176995</v>
      </c>
      <c r="J66" s="9">
        <f t="shared" si="2"/>
        <v>2500.59713534402</v>
      </c>
      <c r="K66" s="9">
        <f t="shared" si="3"/>
        <v>509.79182034176995</v>
      </c>
      <c r="L66" s="10">
        <f t="shared" ref="L66:L129" si="7">K66/J66</f>
        <v>0.20386803341340118</v>
      </c>
      <c r="M66" s="10">
        <f t="shared" si="4"/>
        <v>0.2065826735313866</v>
      </c>
      <c r="P66" s="8">
        <f t="shared" si="5"/>
        <v>-1.3717751373478515</v>
      </c>
      <c r="U66" s="8">
        <v>31.5</v>
      </c>
      <c r="V66" s="10">
        <f t="shared" si="6"/>
        <v>0.20955365782343999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2321.5477124182999</v>
      </c>
      <c r="E67">
        <v>562.21568627450995</v>
      </c>
      <c r="F67">
        <v>127.19275549806</v>
      </c>
      <c r="G67">
        <v>112.44631306597999</v>
      </c>
      <c r="I67" s="9">
        <f t="shared" ref="I67:I130" si="8">E67-G67</f>
        <v>449.76937320852994</v>
      </c>
      <c r="J67" s="9">
        <f t="shared" ref="J67:J130" si="9">D67-F67</f>
        <v>2194.3549569202401</v>
      </c>
      <c r="K67" s="9">
        <f t="shared" ref="K67:K130" si="10">I67*1</f>
        <v>449.76937320852994</v>
      </c>
      <c r="L67" s="10">
        <f t="shared" si="7"/>
        <v>0.20496655374287198</v>
      </c>
      <c r="M67" s="10">
        <f t="shared" ref="M67:M130" si="11">L67+ABS($N$2)*A67</f>
        <v>0.20772361011270093</v>
      </c>
      <c r="P67" s="8">
        <f t="shared" ref="P67:P130" si="12">(M67-$O$2)/$O$2*100</f>
        <v>-0.8270607730098396</v>
      </c>
      <c r="U67" s="8">
        <v>32</v>
      </c>
      <c r="V67" s="10">
        <f t="shared" si="6"/>
        <v>0.20621247223277087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2581.4332036317001</v>
      </c>
      <c r="E68">
        <v>611.34241245136002</v>
      </c>
      <c r="F68">
        <v>126.90685640362</v>
      </c>
      <c r="G68">
        <v>112.3531694696</v>
      </c>
      <c r="I68" s="9">
        <f t="shared" si="8"/>
        <v>498.98924298176001</v>
      </c>
      <c r="J68" s="9">
        <f t="shared" si="9"/>
        <v>2454.5263472280799</v>
      </c>
      <c r="K68" s="9">
        <f t="shared" si="10"/>
        <v>498.98924298176001</v>
      </c>
      <c r="L68" s="10">
        <f t="shared" si="7"/>
        <v>0.20329349633800972</v>
      </c>
      <c r="M68" s="10">
        <f t="shared" si="11"/>
        <v>0.20609296895968218</v>
      </c>
      <c r="P68" s="8">
        <f t="shared" si="12"/>
        <v>-1.6055735086667002</v>
      </c>
      <c r="U68" s="8">
        <v>32.5</v>
      </c>
      <c r="V68" s="10">
        <f t="shared" si="6"/>
        <v>0.20386803341340118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2700.3437094681999</v>
      </c>
      <c r="E69">
        <v>637.85214007781997</v>
      </c>
      <c r="F69">
        <v>126.72186287193</v>
      </c>
      <c r="G69">
        <v>112.28072445018999</v>
      </c>
      <c r="I69" s="9">
        <f t="shared" si="8"/>
        <v>525.57141562763002</v>
      </c>
      <c r="J69" s="9">
        <f t="shared" si="9"/>
        <v>2573.6218465962697</v>
      </c>
      <c r="K69" s="9">
        <f t="shared" si="10"/>
        <v>525.57141562763002</v>
      </c>
      <c r="L69" s="10">
        <f t="shared" si="7"/>
        <v>0.20421470089816099</v>
      </c>
      <c r="M69" s="10">
        <f t="shared" si="11"/>
        <v>0.20705658977167699</v>
      </c>
      <c r="P69" s="8">
        <f t="shared" si="12"/>
        <v>-1.1455145477523658</v>
      </c>
      <c r="U69" s="8">
        <v>33</v>
      </c>
      <c r="V69" s="10">
        <f t="shared" si="6"/>
        <v>0.20496655374287198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2692.2036316471999</v>
      </c>
      <c r="E70">
        <v>641.78728923476001</v>
      </c>
      <c r="F70">
        <v>126.53040103492999</v>
      </c>
      <c r="G70">
        <v>112.04398447606999</v>
      </c>
      <c r="I70" s="9">
        <f t="shared" si="8"/>
        <v>529.74330475868999</v>
      </c>
      <c r="J70" s="9">
        <f t="shared" si="9"/>
        <v>2565.6732306122699</v>
      </c>
      <c r="K70" s="9">
        <f t="shared" si="10"/>
        <v>529.74330475868999</v>
      </c>
      <c r="L70" s="10">
        <f t="shared" si="7"/>
        <v>0.20647341151557033</v>
      </c>
      <c r="M70" s="10">
        <f t="shared" si="11"/>
        <v>0.20935771664092986</v>
      </c>
      <c r="P70" s="8">
        <f t="shared" si="12"/>
        <v>-4.6893572340883961E-2</v>
      </c>
      <c r="U70" s="8">
        <v>33.5</v>
      </c>
      <c r="V70" s="10">
        <f t="shared" si="6"/>
        <v>0.20329349633800972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2519.009079118</v>
      </c>
      <c r="E71">
        <v>613.04539559013995</v>
      </c>
      <c r="F71">
        <v>126.67917205692</v>
      </c>
      <c r="G71">
        <v>112.0595084088</v>
      </c>
      <c r="I71" s="9">
        <f t="shared" si="8"/>
        <v>500.98588718133993</v>
      </c>
      <c r="J71" s="9">
        <f t="shared" si="9"/>
        <v>2392.3299070610801</v>
      </c>
      <c r="K71" s="9">
        <f t="shared" si="10"/>
        <v>500.98588718133993</v>
      </c>
      <c r="L71" s="10">
        <f t="shared" si="7"/>
        <v>0.20941337802225993</v>
      </c>
      <c r="M71" s="10">
        <f t="shared" si="11"/>
        <v>0.21234009939946297</v>
      </c>
      <c r="P71" s="8">
        <f t="shared" si="12"/>
        <v>1.3769776183396318</v>
      </c>
      <c r="U71" s="8">
        <v>34</v>
      </c>
      <c r="V71" s="10">
        <f t="shared" si="6"/>
        <v>0.20421470089816099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2488.7808041505</v>
      </c>
      <c r="E72">
        <v>607.70817120622996</v>
      </c>
      <c r="F72">
        <v>126.46959896507001</v>
      </c>
      <c r="G72">
        <v>112.19275549806</v>
      </c>
      <c r="I72" s="9">
        <f t="shared" si="8"/>
        <v>495.51541570816994</v>
      </c>
      <c r="J72" s="9">
        <f t="shared" si="9"/>
        <v>2362.31120518543</v>
      </c>
      <c r="K72" s="9">
        <f t="shared" si="10"/>
        <v>495.51541570816994</v>
      </c>
      <c r="L72" s="10">
        <f t="shared" si="7"/>
        <v>0.20975873738416881</v>
      </c>
      <c r="M72" s="10">
        <f t="shared" si="11"/>
        <v>0.21272787501321538</v>
      </c>
      <c r="P72" s="8">
        <f t="shared" si="12"/>
        <v>1.562112314176626</v>
      </c>
      <c r="U72" s="8">
        <v>34.5</v>
      </c>
      <c r="V72" s="10">
        <f t="shared" si="6"/>
        <v>0.20647341151557033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2609.8959687905999</v>
      </c>
      <c r="E73">
        <v>620.71651495448998</v>
      </c>
      <c r="F73">
        <v>126.74385510995999</v>
      </c>
      <c r="G73">
        <v>112.39456662355001</v>
      </c>
      <c r="I73" s="9">
        <f t="shared" si="8"/>
        <v>508.32194833093996</v>
      </c>
      <c r="J73" s="9">
        <f t="shared" si="9"/>
        <v>2483.15211368064</v>
      </c>
      <c r="K73" s="9">
        <f t="shared" si="10"/>
        <v>508.32194833093996</v>
      </c>
      <c r="L73" s="10">
        <f t="shared" si="7"/>
        <v>0.20470834047193437</v>
      </c>
      <c r="M73" s="10">
        <f t="shared" si="11"/>
        <v>0.20771989435282445</v>
      </c>
      <c r="P73" s="8">
        <f t="shared" si="12"/>
        <v>-0.82883477851750709</v>
      </c>
      <c r="U73" s="8">
        <v>35</v>
      </c>
      <c r="V73" s="10">
        <f t="shared" si="6"/>
        <v>0.20941337802225993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2533.9427828348998</v>
      </c>
      <c r="E74">
        <v>610.47594278283998</v>
      </c>
      <c r="F74">
        <v>126.05174644243</v>
      </c>
      <c r="G74">
        <v>111.66752910737</v>
      </c>
      <c r="I74" s="9">
        <f t="shared" si="8"/>
        <v>498.80841367546998</v>
      </c>
      <c r="J74" s="9">
        <f t="shared" si="9"/>
        <v>2407.8910363924697</v>
      </c>
      <c r="K74" s="9">
        <f t="shared" si="10"/>
        <v>498.80841367546998</v>
      </c>
      <c r="L74" s="10">
        <f t="shared" si="7"/>
        <v>0.20715572512898695</v>
      </c>
      <c r="M74" s="10">
        <f t="shared" si="11"/>
        <v>0.21020969526172056</v>
      </c>
      <c r="P74" s="8">
        <f t="shared" si="12"/>
        <v>0.35986434957530539</v>
      </c>
      <c r="U74" s="8">
        <v>35.5</v>
      </c>
      <c r="V74" s="10">
        <f t="shared" si="6"/>
        <v>0.20975873738416881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2656.8634590377001</v>
      </c>
      <c r="E75">
        <v>630.28218465539999</v>
      </c>
      <c r="F75">
        <v>126.61190168176</v>
      </c>
      <c r="G75">
        <v>112.09055627426</v>
      </c>
      <c r="I75" s="9">
        <f t="shared" si="8"/>
        <v>518.19162838113994</v>
      </c>
      <c r="J75" s="9">
        <f t="shared" si="9"/>
        <v>2530.2515573559399</v>
      </c>
      <c r="K75" s="9">
        <f t="shared" si="10"/>
        <v>518.19162838113994</v>
      </c>
      <c r="L75" s="10">
        <f t="shared" si="7"/>
        <v>0.20479846238001703</v>
      </c>
      <c r="M75" s="10">
        <f t="shared" si="11"/>
        <v>0.20789484876459416</v>
      </c>
      <c r="P75" s="8">
        <f t="shared" si="12"/>
        <v>-0.74530675184534767</v>
      </c>
      <c r="U75" s="8">
        <v>36</v>
      </c>
      <c r="V75" s="10">
        <f t="shared" si="6"/>
        <v>0.20470834047193437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2618.9271781534999</v>
      </c>
      <c r="E76">
        <v>629.03381014304</v>
      </c>
      <c r="F76">
        <v>126.01034928849</v>
      </c>
      <c r="G76">
        <v>111.9637774903</v>
      </c>
      <c r="I76" s="9">
        <f t="shared" si="8"/>
        <v>517.07003265274</v>
      </c>
      <c r="J76" s="9">
        <f t="shared" si="9"/>
        <v>2492.9168288650098</v>
      </c>
      <c r="K76" s="9">
        <f t="shared" si="10"/>
        <v>517.07003265274</v>
      </c>
      <c r="L76" s="10">
        <f t="shared" si="7"/>
        <v>0.20741567735661473</v>
      </c>
      <c r="M76" s="10">
        <f t="shared" si="11"/>
        <v>0.21055447999303539</v>
      </c>
      <c r="P76" s="8">
        <f t="shared" si="12"/>
        <v>0.52447402098688922</v>
      </c>
      <c r="U76" s="8">
        <v>36.5</v>
      </c>
      <c r="V76" s="10">
        <f t="shared" si="6"/>
        <v>0.20715572512898695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2631.8910505836998</v>
      </c>
      <c r="E77">
        <v>624.79507133592995</v>
      </c>
      <c r="F77">
        <v>125.90815006468</v>
      </c>
      <c r="G77">
        <v>111.79948253558</v>
      </c>
      <c r="I77" s="9">
        <f t="shared" si="8"/>
        <v>512.99558880034999</v>
      </c>
      <c r="J77" s="9">
        <f t="shared" si="9"/>
        <v>2505.9829005190199</v>
      </c>
      <c r="K77" s="9">
        <f t="shared" si="10"/>
        <v>512.99558880034999</v>
      </c>
      <c r="L77" s="10">
        <f t="shared" si="7"/>
        <v>0.20470833567703206</v>
      </c>
      <c r="M77" s="10">
        <f t="shared" si="11"/>
        <v>0.20788955456529623</v>
      </c>
      <c r="P77" s="8">
        <f t="shared" si="12"/>
        <v>-0.74783434755266354</v>
      </c>
      <c r="U77" s="8">
        <v>37</v>
      </c>
      <c r="V77" s="10">
        <f t="shared" si="6"/>
        <v>0.20479846238001703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2626.2996108949001</v>
      </c>
      <c r="E78">
        <v>625.85732814527</v>
      </c>
      <c r="F78">
        <v>126.37386804657</v>
      </c>
      <c r="G78">
        <v>111.95601552393001</v>
      </c>
      <c r="I78" s="9">
        <f t="shared" si="8"/>
        <v>513.90131262134003</v>
      </c>
      <c r="J78" s="9">
        <f t="shared" si="9"/>
        <v>2499.9257428483302</v>
      </c>
      <c r="K78" s="9">
        <f t="shared" si="10"/>
        <v>513.90131262134003</v>
      </c>
      <c r="L78" s="10">
        <f t="shared" si="7"/>
        <v>0.20556663096553354</v>
      </c>
      <c r="M78" s="10">
        <f t="shared" si="11"/>
        <v>0.20879026610564125</v>
      </c>
      <c r="P78" s="8">
        <f t="shared" si="12"/>
        <v>-0.31780999546663469</v>
      </c>
      <c r="U78" s="8">
        <v>37.5</v>
      </c>
      <c r="V78" s="10">
        <f t="shared" si="6"/>
        <v>0.20741567735661473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2540.0946822309002</v>
      </c>
      <c r="E79">
        <v>615.23994811933005</v>
      </c>
      <c r="F79">
        <v>126.1681759379</v>
      </c>
      <c r="G79">
        <v>111.70633893919999</v>
      </c>
      <c r="I79" s="9">
        <f t="shared" si="8"/>
        <v>503.53360918013004</v>
      </c>
      <c r="J79" s="9">
        <f t="shared" si="9"/>
        <v>2413.9265062930003</v>
      </c>
      <c r="K79" s="9">
        <f t="shared" si="10"/>
        <v>503.53360918013004</v>
      </c>
      <c r="L79" s="10">
        <f t="shared" si="7"/>
        <v>0.20859525253459044</v>
      </c>
      <c r="M79" s="10">
        <f t="shared" si="11"/>
        <v>0.21186130392654165</v>
      </c>
      <c r="P79" s="8">
        <f t="shared" si="12"/>
        <v>1.1483875494860165</v>
      </c>
      <c r="U79" s="8">
        <v>38</v>
      </c>
      <c r="V79" s="10">
        <f t="shared" si="6"/>
        <v>0.20470833567703206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2536.9753566795998</v>
      </c>
      <c r="E80">
        <v>611.55771725032002</v>
      </c>
      <c r="F80">
        <v>126.96895213454</v>
      </c>
      <c r="G80">
        <v>112.12807244502</v>
      </c>
      <c r="I80" s="9">
        <f t="shared" si="8"/>
        <v>499.42964480530003</v>
      </c>
      <c r="J80" s="9">
        <f t="shared" si="9"/>
        <v>2410.0064045450599</v>
      </c>
      <c r="K80" s="9">
        <f t="shared" si="10"/>
        <v>499.42964480530003</v>
      </c>
      <c r="L80" s="10">
        <f t="shared" si="7"/>
        <v>0.20723166704595461</v>
      </c>
      <c r="M80" s="10">
        <f t="shared" si="11"/>
        <v>0.21054013468974936</v>
      </c>
      <c r="P80" s="8">
        <f t="shared" si="12"/>
        <v>0.51762518040393035</v>
      </c>
      <c r="U80" s="8">
        <v>38.5</v>
      </c>
      <c r="V80" s="10">
        <f t="shared" si="6"/>
        <v>0.20556663096553354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2688.6212710764999</v>
      </c>
      <c r="E81">
        <v>638.66277561608001</v>
      </c>
      <c r="F81">
        <v>126.56403622251</v>
      </c>
      <c r="G81">
        <v>111.98447606726999</v>
      </c>
      <c r="I81" s="9">
        <f t="shared" si="8"/>
        <v>526.67829954881006</v>
      </c>
      <c r="J81" s="9">
        <f t="shared" si="9"/>
        <v>2562.0572348539899</v>
      </c>
      <c r="K81" s="9">
        <f t="shared" si="10"/>
        <v>526.67829954881006</v>
      </c>
      <c r="L81" s="10">
        <f t="shared" si="7"/>
        <v>0.20556851438911167</v>
      </c>
      <c r="M81" s="10">
        <f t="shared" si="11"/>
        <v>0.20891939828474992</v>
      </c>
      <c r="P81" s="8">
        <f t="shared" si="12"/>
        <v>-0.25615875734283444</v>
      </c>
      <c r="U81" s="8">
        <v>39</v>
      </c>
      <c r="V81" s="10">
        <f t="shared" si="6"/>
        <v>0.20859525253459044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2611.2282749676001</v>
      </c>
      <c r="E82">
        <v>633.59014267186001</v>
      </c>
      <c r="F82">
        <v>126.35575679172</v>
      </c>
      <c r="G82">
        <v>112.21216041397</v>
      </c>
      <c r="H82" s="13"/>
      <c r="I82" s="14">
        <f t="shared" si="8"/>
        <v>521.37798225789004</v>
      </c>
      <c r="J82" s="14">
        <f t="shared" si="9"/>
        <v>2484.87251817588</v>
      </c>
      <c r="K82" s="9">
        <f t="shared" si="10"/>
        <v>521.37798225789004</v>
      </c>
      <c r="L82" s="15">
        <f t="shared" si="7"/>
        <v>0.20982081714221235</v>
      </c>
      <c r="M82" s="15">
        <f t="shared" si="11"/>
        <v>0.21321411728969414</v>
      </c>
      <c r="N82" s="13"/>
      <c r="O82" s="13"/>
      <c r="P82" s="13">
        <f t="shared" si="12"/>
        <v>1.7942576909523227</v>
      </c>
      <c r="U82" s="8">
        <v>39.5</v>
      </c>
      <c r="V82" s="10">
        <f t="shared" si="6"/>
        <v>0.20723166704595461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2734.7787958115</v>
      </c>
      <c r="E83">
        <v>651.34685863873995</v>
      </c>
      <c r="F83">
        <v>126.68693402328999</v>
      </c>
      <c r="G83">
        <v>112.22250970246</v>
      </c>
      <c r="I83" s="9">
        <f t="shared" si="8"/>
        <v>539.12434893627994</v>
      </c>
      <c r="J83" s="9">
        <f t="shared" si="9"/>
        <v>2608.0918617882098</v>
      </c>
      <c r="K83" s="9">
        <f t="shared" si="10"/>
        <v>539.12434893627994</v>
      </c>
      <c r="L83" s="10">
        <f t="shared" si="7"/>
        <v>0.20671217790873178</v>
      </c>
      <c r="M83" s="10">
        <f t="shared" si="11"/>
        <v>0.21014789430805708</v>
      </c>
      <c r="P83" s="8">
        <f t="shared" si="12"/>
        <v>0.33035888210093761</v>
      </c>
      <c r="U83" s="8">
        <v>40</v>
      </c>
      <c r="V83" s="10">
        <f t="shared" si="6"/>
        <v>0.20556851438911167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2542.8515111695001</v>
      </c>
      <c r="E84">
        <v>610.44283837057003</v>
      </c>
      <c r="F84">
        <v>126.56662354463</v>
      </c>
      <c r="G84">
        <v>111.86804657179999</v>
      </c>
      <c r="I84" s="9">
        <f t="shared" si="8"/>
        <v>498.57479179877004</v>
      </c>
      <c r="J84" s="9">
        <f t="shared" si="9"/>
        <v>2416.28488762487</v>
      </c>
      <c r="K84" s="9">
        <f t="shared" si="10"/>
        <v>498.57479179877004</v>
      </c>
      <c r="L84" s="10">
        <f t="shared" si="7"/>
        <v>0.20633940739034831</v>
      </c>
      <c r="M84" s="10">
        <f t="shared" si="11"/>
        <v>0.20981754004151715</v>
      </c>
      <c r="P84" s="8">
        <f t="shared" si="12"/>
        <v>0.17263870969893397</v>
      </c>
      <c r="U84" s="8">
        <v>150.5</v>
      </c>
      <c r="V84" s="10">
        <f>L302</f>
        <v>0.21715239690718147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2253.2247043364</v>
      </c>
      <c r="E85">
        <v>547.35216819974005</v>
      </c>
      <c r="F85">
        <v>126.56015523933</v>
      </c>
      <c r="G85">
        <v>112.07632600258999</v>
      </c>
      <c r="I85" s="9">
        <f t="shared" si="8"/>
        <v>435.27584219715004</v>
      </c>
      <c r="J85" s="9">
        <f t="shared" si="9"/>
        <v>2126.66454909707</v>
      </c>
      <c r="K85" s="9">
        <f t="shared" si="10"/>
        <v>435.27584219715004</v>
      </c>
      <c r="L85" s="10">
        <f t="shared" si="7"/>
        <v>0.20467536470759226</v>
      </c>
      <c r="M85" s="10">
        <f t="shared" si="11"/>
        <v>0.2081959136106046</v>
      </c>
      <c r="P85" s="8">
        <f t="shared" si="12"/>
        <v>-0.60157015078888687</v>
      </c>
      <c r="U85" s="8">
        <v>151</v>
      </c>
      <c r="V85" s="10">
        <f t="shared" ref="V85:V103" si="13">L303</f>
        <v>0.21480044441649929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2199.6631989596999</v>
      </c>
      <c r="E86">
        <v>634.00780234069998</v>
      </c>
      <c r="F86">
        <v>126.46313065977</v>
      </c>
      <c r="G86">
        <v>111.95084087969001</v>
      </c>
      <c r="I86" s="9">
        <f t="shared" si="8"/>
        <v>522.05696146101002</v>
      </c>
      <c r="J86" s="9">
        <f t="shared" si="9"/>
        <v>2073.2000682999301</v>
      </c>
      <c r="K86" s="9">
        <f t="shared" si="10"/>
        <v>522.05696146101002</v>
      </c>
      <c r="L86" s="10">
        <f t="shared" si="7"/>
        <v>0.2518121475314769</v>
      </c>
      <c r="M86" s="10">
        <f t="shared" si="11"/>
        <v>0.25537511268633278</v>
      </c>
      <c r="P86" s="8">
        <f t="shared" si="12"/>
        <v>21.923071319560648</v>
      </c>
      <c r="U86" s="8">
        <v>151.5</v>
      </c>
      <c r="V86" s="10">
        <f t="shared" si="13"/>
        <v>0.21582898686839819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2444.56640625</v>
      </c>
      <c r="E87">
        <v>703.171875</v>
      </c>
      <c r="F87">
        <v>126.49288486416999</v>
      </c>
      <c r="G87">
        <v>111.93531694696</v>
      </c>
      <c r="I87" s="9">
        <f t="shared" si="8"/>
        <v>591.23655805303997</v>
      </c>
      <c r="J87" s="9">
        <f t="shared" si="9"/>
        <v>2318.0735213858302</v>
      </c>
      <c r="K87" s="9">
        <f t="shared" si="10"/>
        <v>591.23655805303997</v>
      </c>
      <c r="L87" s="10">
        <f t="shared" si="7"/>
        <v>0.25505513634424193</v>
      </c>
      <c r="M87" s="10">
        <f t="shared" si="11"/>
        <v>0.25866051775094134</v>
      </c>
      <c r="P87" s="8">
        <f t="shared" si="12"/>
        <v>23.491613656330617</v>
      </c>
      <c r="U87" s="8">
        <v>152</v>
      </c>
      <c r="V87" s="10">
        <f t="shared" si="13"/>
        <v>0.21197615691134594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2540.9361979167002</v>
      </c>
      <c r="E88">
        <v>786.45442708332996</v>
      </c>
      <c r="F88">
        <v>126.2871927555</v>
      </c>
      <c r="G88">
        <v>112.07373868047</v>
      </c>
      <c r="I88" s="9">
        <f t="shared" si="8"/>
        <v>674.38068840285996</v>
      </c>
      <c r="J88" s="9">
        <f t="shared" si="9"/>
        <v>2414.6490051612</v>
      </c>
      <c r="K88" s="9">
        <f t="shared" si="10"/>
        <v>674.38068840285996</v>
      </c>
      <c r="L88" s="10">
        <f t="shared" si="7"/>
        <v>0.27928725332808313</v>
      </c>
      <c r="M88" s="10">
        <f t="shared" si="11"/>
        <v>0.28293505098662602</v>
      </c>
      <c r="P88" s="8">
        <f t="shared" si="12"/>
        <v>35.080940493275065</v>
      </c>
      <c r="U88" s="8">
        <v>152.5</v>
      </c>
      <c r="V88" s="10">
        <f t="shared" si="13"/>
        <v>0.21791607613589606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2476.2578125</v>
      </c>
      <c r="E89">
        <v>761.55989583332996</v>
      </c>
      <c r="F89">
        <v>126.52263906856</v>
      </c>
      <c r="G89">
        <v>111.84217335058</v>
      </c>
      <c r="I89" s="9">
        <f t="shared" si="8"/>
        <v>649.71772248274999</v>
      </c>
      <c r="J89" s="9">
        <f t="shared" si="9"/>
        <v>2349.7351734314402</v>
      </c>
      <c r="K89" s="9">
        <f t="shared" si="10"/>
        <v>649.71772248274999</v>
      </c>
      <c r="L89" s="10">
        <f t="shared" si="7"/>
        <v>0.27650678673458062</v>
      </c>
      <c r="M89" s="10">
        <f t="shared" si="11"/>
        <v>0.28019700064496705</v>
      </c>
      <c r="P89" s="8">
        <f t="shared" si="12"/>
        <v>33.773720288569109</v>
      </c>
      <c r="U89" s="8">
        <v>153</v>
      </c>
      <c r="V89" s="10">
        <f t="shared" si="13"/>
        <v>0.21653432329405278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2605.0768229167002</v>
      </c>
      <c r="E90">
        <v>771.77734375</v>
      </c>
      <c r="F90">
        <v>126.20181112549</v>
      </c>
      <c r="G90">
        <v>112.09961190168001</v>
      </c>
      <c r="I90" s="9">
        <f t="shared" si="8"/>
        <v>659.67773184832004</v>
      </c>
      <c r="J90" s="9">
        <f t="shared" si="9"/>
        <v>2478.87501179121</v>
      </c>
      <c r="K90" s="9">
        <f t="shared" si="10"/>
        <v>659.67773184832004</v>
      </c>
      <c r="L90" s="10">
        <f t="shared" si="7"/>
        <v>0.26611980382651224</v>
      </c>
      <c r="M90" s="10">
        <f t="shared" si="11"/>
        <v>0.2698524339887422</v>
      </c>
      <c r="P90" s="8">
        <f t="shared" si="12"/>
        <v>28.83494091837267</v>
      </c>
      <c r="U90" s="8">
        <v>153.5</v>
      </c>
      <c r="V90" s="10">
        <f t="shared" si="13"/>
        <v>0.2177539060183139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2643.2200520832998</v>
      </c>
      <c r="E91">
        <v>772.96875</v>
      </c>
      <c r="F91">
        <v>126.33764553687</v>
      </c>
      <c r="G91">
        <v>112.02587322122</v>
      </c>
      <c r="I91" s="9">
        <f t="shared" si="8"/>
        <v>660.94287677878003</v>
      </c>
      <c r="J91" s="9">
        <f t="shared" si="9"/>
        <v>2516.88240654643</v>
      </c>
      <c r="K91" s="9">
        <f t="shared" si="10"/>
        <v>660.94287677878003</v>
      </c>
      <c r="L91" s="10">
        <f t="shared" si="7"/>
        <v>0.26260379708629322</v>
      </c>
      <c r="M91" s="10">
        <f t="shared" si="11"/>
        <v>0.26637884350036672</v>
      </c>
      <c r="P91" s="8">
        <f t="shared" si="12"/>
        <v>27.176553707519695</v>
      </c>
      <c r="U91" s="8">
        <v>154</v>
      </c>
      <c r="V91" s="10">
        <f t="shared" si="13"/>
        <v>0.21622120192533786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2681.171875</v>
      </c>
      <c r="E92">
        <v>768.30859375</v>
      </c>
      <c r="F92">
        <v>126.47477360931001</v>
      </c>
      <c r="G92">
        <v>112</v>
      </c>
      <c r="I92" s="9">
        <f t="shared" si="8"/>
        <v>656.30859375</v>
      </c>
      <c r="J92" s="9">
        <f t="shared" si="9"/>
        <v>2554.69710139069</v>
      </c>
      <c r="K92" s="9">
        <f t="shared" si="10"/>
        <v>656.30859375</v>
      </c>
      <c r="L92" s="10">
        <f t="shared" si="7"/>
        <v>0.25690270419641059</v>
      </c>
      <c r="M92" s="10">
        <f t="shared" si="11"/>
        <v>0.26072016686232763</v>
      </c>
      <c r="P92" s="8">
        <f t="shared" si="12"/>
        <v>24.474946538142241</v>
      </c>
      <c r="U92" s="8">
        <v>154.5</v>
      </c>
      <c r="V92" s="10">
        <f t="shared" si="13"/>
        <v>0.21755426589718152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2564.3594771242001</v>
      </c>
      <c r="E93">
        <v>723.85751633987002</v>
      </c>
      <c r="F93">
        <v>126.95213454075</v>
      </c>
      <c r="G93">
        <v>111.92367399741001</v>
      </c>
      <c r="I93" s="9">
        <f t="shared" si="8"/>
        <v>611.93384234246003</v>
      </c>
      <c r="J93" s="9">
        <f t="shared" si="9"/>
        <v>2437.4073425834499</v>
      </c>
      <c r="K93" s="9">
        <f t="shared" si="10"/>
        <v>611.93384234246003</v>
      </c>
      <c r="L93" s="10">
        <f t="shared" si="7"/>
        <v>0.25105932506704476</v>
      </c>
      <c r="M93" s="10">
        <f t="shared" si="11"/>
        <v>0.25491920398480528</v>
      </c>
      <c r="P93" s="8">
        <f t="shared" si="12"/>
        <v>21.705408022041826</v>
      </c>
      <c r="U93" s="8">
        <v>155</v>
      </c>
      <c r="V93" s="10">
        <f t="shared" si="13"/>
        <v>0.21680595938327482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2589.7267973856001</v>
      </c>
      <c r="E94">
        <v>725.36732026144</v>
      </c>
      <c r="F94">
        <v>126.39586028461</v>
      </c>
      <c r="G94">
        <v>111.62742561448999</v>
      </c>
      <c r="I94" s="9">
        <f t="shared" si="8"/>
        <v>613.73989464695001</v>
      </c>
      <c r="J94" s="9">
        <f t="shared" si="9"/>
        <v>2463.33093710099</v>
      </c>
      <c r="K94" s="9">
        <f t="shared" si="10"/>
        <v>613.73989464695001</v>
      </c>
      <c r="L94" s="10">
        <f t="shared" si="7"/>
        <v>0.24915040257207158</v>
      </c>
      <c r="M94" s="10">
        <f t="shared" si="11"/>
        <v>0.25305269774167566</v>
      </c>
      <c r="P94" s="8">
        <f t="shared" si="12"/>
        <v>20.814286834054286</v>
      </c>
      <c r="U94" s="8">
        <v>155.5</v>
      </c>
      <c r="V94" s="10">
        <f t="shared" si="13"/>
        <v>0.21572055187658495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2635.9869281045999</v>
      </c>
      <c r="E95">
        <v>755.29803921568998</v>
      </c>
      <c r="F95">
        <v>126.46959896507001</v>
      </c>
      <c r="G95">
        <v>112.49417852523</v>
      </c>
      <c r="I95" s="9">
        <f t="shared" si="8"/>
        <v>642.80386069045994</v>
      </c>
      <c r="J95" s="9">
        <f t="shared" si="9"/>
        <v>2509.5173291395299</v>
      </c>
      <c r="K95" s="9">
        <f t="shared" si="10"/>
        <v>642.80386069045994</v>
      </c>
      <c r="L95" s="10">
        <f t="shared" si="7"/>
        <v>0.25614641239033253</v>
      </c>
      <c r="M95" s="10">
        <f t="shared" si="11"/>
        <v>0.26009112381178012</v>
      </c>
      <c r="P95" s="8">
        <f t="shared" si="12"/>
        <v>24.174624161743804</v>
      </c>
      <c r="U95" s="8">
        <v>156</v>
      </c>
      <c r="V95" s="10">
        <f t="shared" si="13"/>
        <v>0.21611354397356566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2660.5398692811</v>
      </c>
      <c r="E96">
        <v>767.97777777778003</v>
      </c>
      <c r="F96">
        <v>126.35446313065999</v>
      </c>
      <c r="G96">
        <v>111.84346701164</v>
      </c>
      <c r="I96" s="9">
        <f t="shared" si="8"/>
        <v>656.13431076614006</v>
      </c>
      <c r="J96" s="9">
        <f t="shared" si="9"/>
        <v>2534.18540615044</v>
      </c>
      <c r="K96" s="9">
        <f t="shared" si="10"/>
        <v>656.13431076614006</v>
      </c>
      <c r="L96" s="10">
        <f t="shared" si="7"/>
        <v>0.25891330175515548</v>
      </c>
      <c r="M96" s="10">
        <f t="shared" si="11"/>
        <v>0.2629004294284466</v>
      </c>
      <c r="P96" s="8">
        <f t="shared" si="12"/>
        <v>25.515863585806137</v>
      </c>
      <c r="U96" s="8">
        <v>156.5</v>
      </c>
      <c r="V96" s="10">
        <f t="shared" si="13"/>
        <v>0.216873731619563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2587.2366013072001</v>
      </c>
      <c r="E97">
        <v>756.39477124182997</v>
      </c>
      <c r="F97">
        <v>126.86287192755999</v>
      </c>
      <c r="G97">
        <v>111.60931435964</v>
      </c>
      <c r="I97" s="9">
        <f t="shared" si="8"/>
        <v>644.78545688218992</v>
      </c>
      <c r="J97" s="9">
        <f t="shared" si="9"/>
        <v>2460.3737293796403</v>
      </c>
      <c r="K97" s="9">
        <f t="shared" si="10"/>
        <v>644.78545688218992</v>
      </c>
      <c r="L97" s="10">
        <f t="shared" si="7"/>
        <v>0.26206809525834368</v>
      </c>
      <c r="M97" s="10">
        <f t="shared" si="11"/>
        <v>0.26609763918347829</v>
      </c>
      <c r="P97" s="8">
        <f t="shared" si="12"/>
        <v>27.042299066874786</v>
      </c>
      <c r="U97" s="8">
        <v>157</v>
      </c>
      <c r="V97" s="10">
        <f t="shared" si="13"/>
        <v>0.21440495124352973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2594.5084967319999</v>
      </c>
      <c r="E98">
        <v>767.63660130718995</v>
      </c>
      <c r="F98">
        <v>126.11772315653</v>
      </c>
      <c r="G98">
        <v>111.86287192755999</v>
      </c>
      <c r="I98" s="9">
        <f t="shared" si="8"/>
        <v>655.77372937962991</v>
      </c>
      <c r="J98" s="9">
        <f t="shared" si="9"/>
        <v>2468.3907735754701</v>
      </c>
      <c r="K98" s="9">
        <f t="shared" si="10"/>
        <v>655.77372937962991</v>
      </c>
      <c r="L98" s="10">
        <f t="shared" si="7"/>
        <v>0.26566852234248955</v>
      </c>
      <c r="M98" s="10">
        <f t="shared" si="11"/>
        <v>0.26974048251946769</v>
      </c>
      <c r="P98" s="8">
        <f t="shared" si="12"/>
        <v>28.781492221555254</v>
      </c>
      <c r="U98" s="8">
        <v>157.5</v>
      </c>
      <c r="V98" s="10">
        <f t="shared" si="13"/>
        <v>0.21658164862910773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2717.6339869281001</v>
      </c>
      <c r="E99">
        <v>794.91895424837003</v>
      </c>
      <c r="F99">
        <v>126.35575679172</v>
      </c>
      <c r="G99">
        <v>111.82664941785001</v>
      </c>
      <c r="I99" s="9">
        <f t="shared" si="8"/>
        <v>683.09230483051999</v>
      </c>
      <c r="J99" s="9">
        <f t="shared" si="9"/>
        <v>2591.27823013638</v>
      </c>
      <c r="K99" s="9">
        <f t="shared" si="10"/>
        <v>683.09230483051999</v>
      </c>
      <c r="L99" s="10">
        <f t="shared" si="7"/>
        <v>0.26361210343459279</v>
      </c>
      <c r="M99" s="10">
        <f t="shared" si="11"/>
        <v>0.26772647986341447</v>
      </c>
      <c r="P99" s="8">
        <f t="shared" si="12"/>
        <v>27.819952207382588</v>
      </c>
      <c r="U99" s="8">
        <v>158</v>
      </c>
      <c r="V99" s="10">
        <f t="shared" si="13"/>
        <v>0.21838945410896232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2737.4836601307002</v>
      </c>
      <c r="E100">
        <v>805.09019607843004</v>
      </c>
      <c r="F100">
        <v>125.87580853816</v>
      </c>
      <c r="G100">
        <v>111.68822768435</v>
      </c>
      <c r="I100" s="9">
        <f t="shared" si="8"/>
        <v>693.40196839408009</v>
      </c>
      <c r="J100" s="9">
        <f t="shared" si="9"/>
        <v>2611.6078515925401</v>
      </c>
      <c r="K100" s="9">
        <f t="shared" si="10"/>
        <v>693.40196839408009</v>
      </c>
      <c r="L100" s="10">
        <f t="shared" si="7"/>
        <v>0.26550769020366072</v>
      </c>
      <c r="M100" s="10">
        <f t="shared" si="11"/>
        <v>0.26966448288432593</v>
      </c>
      <c r="P100" s="8">
        <f t="shared" si="12"/>
        <v>28.745207914763654</v>
      </c>
      <c r="U100" s="8">
        <v>158.5</v>
      </c>
      <c r="V100" s="10">
        <f t="shared" si="13"/>
        <v>0.22031881366846318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2690.6084099868999</v>
      </c>
      <c r="E101">
        <v>801.28252299606004</v>
      </c>
      <c r="F101">
        <v>126.57826649418</v>
      </c>
      <c r="G101">
        <v>111.85899094437001</v>
      </c>
      <c r="I101" s="9">
        <f t="shared" si="8"/>
        <v>689.42353205169002</v>
      </c>
      <c r="J101" s="9">
        <f t="shared" si="9"/>
        <v>2564.0301434927201</v>
      </c>
      <c r="K101" s="9">
        <f t="shared" si="10"/>
        <v>689.42353205169002</v>
      </c>
      <c r="L101" s="10">
        <f t="shared" si="7"/>
        <v>0.26888277183534115</v>
      </c>
      <c r="M101" s="10">
        <f t="shared" si="11"/>
        <v>0.27308198076784984</v>
      </c>
      <c r="P101" s="8">
        <f t="shared" si="12"/>
        <v>30.376814980167538</v>
      </c>
      <c r="U101" s="8">
        <v>159</v>
      </c>
      <c r="V101" s="10">
        <f t="shared" si="13"/>
        <v>0.21729801543823374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2709.555847569</v>
      </c>
      <c r="E102">
        <v>820.07358738502001</v>
      </c>
      <c r="F102">
        <v>126.41397153945999</v>
      </c>
      <c r="G102">
        <v>112.15265200518</v>
      </c>
      <c r="I102" s="9">
        <f t="shared" si="8"/>
        <v>707.92093537983999</v>
      </c>
      <c r="J102" s="9">
        <f t="shared" si="9"/>
        <v>2583.1418760295401</v>
      </c>
      <c r="K102" s="9">
        <f t="shared" si="10"/>
        <v>707.92093537983999</v>
      </c>
      <c r="L102" s="10">
        <f t="shared" si="7"/>
        <v>0.27405422131437912</v>
      </c>
      <c r="M102" s="10">
        <f t="shared" si="11"/>
        <v>0.27829584649873135</v>
      </c>
      <c r="P102" s="8">
        <f t="shared" si="12"/>
        <v>32.866057242931305</v>
      </c>
      <c r="U102" s="8">
        <v>159.5</v>
      </c>
      <c r="V102" s="10">
        <f t="shared" si="13"/>
        <v>0.2189005811665303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2776.2076215505999</v>
      </c>
      <c r="E103">
        <v>844.21024967149003</v>
      </c>
      <c r="F103">
        <v>126.42173350582</v>
      </c>
      <c r="G103">
        <v>111.65200517464</v>
      </c>
      <c r="I103" s="9">
        <f t="shared" si="8"/>
        <v>732.55824449685008</v>
      </c>
      <c r="J103" s="9">
        <f t="shared" si="9"/>
        <v>2649.7858880447798</v>
      </c>
      <c r="K103" s="9">
        <f t="shared" si="10"/>
        <v>732.55824449685008</v>
      </c>
      <c r="L103" s="10">
        <f t="shared" si="7"/>
        <v>0.27645941047613815</v>
      </c>
      <c r="M103" s="10">
        <f t="shared" si="11"/>
        <v>0.28074345191233391</v>
      </c>
      <c r="P103" s="8">
        <f t="shared" si="12"/>
        <v>34.034611086200066</v>
      </c>
      <c r="U103" s="8">
        <v>160</v>
      </c>
      <c r="V103" s="10">
        <f t="shared" si="13"/>
        <v>0.21655235364264411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2663.7595269382</v>
      </c>
      <c r="E104">
        <v>826.64388961891996</v>
      </c>
      <c r="F104">
        <v>125.96507115135999</v>
      </c>
      <c r="G104">
        <v>112.21474773609</v>
      </c>
      <c r="I104" s="9">
        <f t="shared" si="8"/>
        <v>714.42914188282998</v>
      </c>
      <c r="J104" s="9">
        <f t="shared" si="9"/>
        <v>2537.79445578684</v>
      </c>
      <c r="K104" s="9">
        <f t="shared" si="10"/>
        <v>714.42914188282998</v>
      </c>
      <c r="L104" s="10">
        <f t="shared" si="7"/>
        <v>0.28151576273395323</v>
      </c>
      <c r="M104" s="10">
        <f t="shared" si="11"/>
        <v>0.28584222042199253</v>
      </c>
      <c r="P104" s="8">
        <f t="shared" si="12"/>
        <v>36.468902784031229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2583.1576872536002</v>
      </c>
      <c r="E105">
        <v>806.20893561104003</v>
      </c>
      <c r="F105">
        <v>126.31953428202</v>
      </c>
      <c r="G105">
        <v>111.98706338939</v>
      </c>
      <c r="I105" s="9">
        <f t="shared" si="8"/>
        <v>694.22187222165007</v>
      </c>
      <c r="J105" s="9">
        <f t="shared" si="9"/>
        <v>2456.8381529715803</v>
      </c>
      <c r="K105" s="9">
        <f t="shared" si="10"/>
        <v>694.22187222165007</v>
      </c>
      <c r="L105" s="10">
        <f t="shared" si="7"/>
        <v>0.28256719775455252</v>
      </c>
      <c r="M105" s="10">
        <f t="shared" si="11"/>
        <v>0.2869360716944353</v>
      </c>
      <c r="P105" s="8">
        <f t="shared" si="12"/>
        <v>36.99113733265321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2624.8738501971002</v>
      </c>
      <c r="E106">
        <v>832.54139290406999</v>
      </c>
      <c r="F106">
        <v>126.62742561448999</v>
      </c>
      <c r="G106">
        <v>111.99094437257</v>
      </c>
      <c r="I106" s="9">
        <f t="shared" si="8"/>
        <v>720.55044853150002</v>
      </c>
      <c r="J106" s="9">
        <f t="shared" si="9"/>
        <v>2498.2464245826104</v>
      </c>
      <c r="K106" s="9">
        <f t="shared" si="10"/>
        <v>720.55044853150002</v>
      </c>
      <c r="L106" s="10">
        <f t="shared" si="7"/>
        <v>0.28842248764626355</v>
      </c>
      <c r="M106" s="10">
        <f t="shared" si="11"/>
        <v>0.29283377783798986</v>
      </c>
      <c r="P106" s="8">
        <f t="shared" si="12"/>
        <v>39.806863732921563</v>
      </c>
      <c r="X106" s="8">
        <v>-13</v>
      </c>
    </row>
    <row r="107" spans="1:25" x14ac:dyDescent="0.2">
      <c r="A107" s="8">
        <v>52.5</v>
      </c>
      <c r="B107" s="8">
        <v>105</v>
      </c>
      <c r="D107">
        <v>2696.2141918528</v>
      </c>
      <c r="E107">
        <v>862.09067017082998</v>
      </c>
      <c r="F107">
        <v>126.68564036223</v>
      </c>
      <c r="G107">
        <v>111.85510996119</v>
      </c>
      <c r="I107" s="9">
        <f t="shared" si="8"/>
        <v>750.23556020963997</v>
      </c>
      <c r="J107" s="9">
        <f t="shared" si="9"/>
        <v>2569.52855149057</v>
      </c>
      <c r="K107" s="9">
        <f t="shared" si="10"/>
        <v>750.23556020963997</v>
      </c>
      <c r="L107" s="10">
        <f t="shared" si="7"/>
        <v>0.29197401203206413</v>
      </c>
      <c r="M107" s="10">
        <f t="shared" si="11"/>
        <v>0.29642771847563398</v>
      </c>
      <c r="P107" s="8">
        <f t="shared" si="12"/>
        <v>41.522709400388599</v>
      </c>
      <c r="X107" s="8">
        <v>-13</v>
      </c>
    </row>
    <row r="108" spans="1:25" x14ac:dyDescent="0.2">
      <c r="A108" s="8">
        <v>53</v>
      </c>
      <c r="B108" s="8">
        <v>106</v>
      </c>
      <c r="D108">
        <v>2668.6018396845998</v>
      </c>
      <c r="E108">
        <v>865.30091984231001</v>
      </c>
      <c r="F108">
        <v>126.06338939198</v>
      </c>
      <c r="G108">
        <v>112.38033635188</v>
      </c>
      <c r="I108" s="9">
        <f t="shared" si="8"/>
        <v>752.92058349042998</v>
      </c>
      <c r="J108" s="9">
        <f t="shared" si="9"/>
        <v>2542.5384502926199</v>
      </c>
      <c r="K108" s="9">
        <f t="shared" si="10"/>
        <v>752.92058349042998</v>
      </c>
      <c r="L108" s="10">
        <f t="shared" si="7"/>
        <v>0.29612947776808513</v>
      </c>
      <c r="M108" s="10">
        <f t="shared" si="11"/>
        <v>0.30062560046349851</v>
      </c>
      <c r="P108" s="8">
        <f t="shared" si="12"/>
        <v>43.526893205198711</v>
      </c>
      <c r="X108" s="8">
        <v>-13</v>
      </c>
    </row>
    <row r="109" spans="1:25" x14ac:dyDescent="0.2">
      <c r="A109" s="8">
        <v>53.5</v>
      </c>
      <c r="B109" s="8">
        <v>107</v>
      </c>
      <c r="D109">
        <v>2704.2680683311</v>
      </c>
      <c r="E109">
        <v>886.82917214192003</v>
      </c>
      <c r="F109">
        <v>126.32858990944</v>
      </c>
      <c r="G109">
        <v>111.86804657179999</v>
      </c>
      <c r="I109" s="9">
        <f t="shared" si="8"/>
        <v>774.96112557011998</v>
      </c>
      <c r="J109" s="9">
        <f t="shared" si="9"/>
        <v>2577.9394784216602</v>
      </c>
      <c r="K109" s="9">
        <f t="shared" si="10"/>
        <v>774.96112557011998</v>
      </c>
      <c r="L109" s="10">
        <f t="shared" si="7"/>
        <v>0.30061261408843815</v>
      </c>
      <c r="M109" s="10">
        <f t="shared" si="11"/>
        <v>0.30515115303569501</v>
      </c>
      <c r="P109" s="8">
        <f t="shared" si="12"/>
        <v>45.687515919041829</v>
      </c>
      <c r="X109" s="8">
        <v>-13</v>
      </c>
    </row>
    <row r="110" spans="1:25" x14ac:dyDescent="0.2">
      <c r="A110" s="8">
        <v>54</v>
      </c>
      <c r="B110" s="8">
        <v>108</v>
      </c>
      <c r="D110">
        <v>2715.3534822602001</v>
      </c>
      <c r="E110">
        <v>887.64520367936996</v>
      </c>
      <c r="F110">
        <v>126.26649417853</v>
      </c>
      <c r="G110">
        <v>111.61448900388</v>
      </c>
      <c r="I110" s="9">
        <f t="shared" si="8"/>
        <v>776.03071467549</v>
      </c>
      <c r="J110" s="9">
        <f t="shared" si="9"/>
        <v>2589.0869880816699</v>
      </c>
      <c r="K110" s="9">
        <f t="shared" si="10"/>
        <v>776.03071467549</v>
      </c>
      <c r="L110" s="10">
        <f t="shared" si="7"/>
        <v>0.29973141815929244</v>
      </c>
      <c r="M110" s="10">
        <f t="shared" si="11"/>
        <v>0.30431237335839284</v>
      </c>
      <c r="P110" s="8">
        <f t="shared" si="12"/>
        <v>45.287059534152348</v>
      </c>
      <c r="X110" s="8">
        <v>-13</v>
      </c>
    </row>
    <row r="111" spans="1:25" x14ac:dyDescent="0.2">
      <c r="A111" s="8">
        <v>54.5</v>
      </c>
      <c r="B111" s="8">
        <v>109</v>
      </c>
      <c r="D111">
        <v>2714.2036793693001</v>
      </c>
      <c r="E111">
        <v>884.80157687253995</v>
      </c>
      <c r="F111">
        <v>126.31565329884</v>
      </c>
      <c r="G111">
        <v>112.11125485123</v>
      </c>
      <c r="I111" s="9">
        <f t="shared" si="8"/>
        <v>772.69032202130995</v>
      </c>
      <c r="J111" s="9">
        <f t="shared" si="9"/>
        <v>2587.88802607046</v>
      </c>
      <c r="K111" s="9">
        <f t="shared" si="10"/>
        <v>772.69032202130995</v>
      </c>
      <c r="L111" s="10">
        <f t="shared" si="7"/>
        <v>0.29857950353230317</v>
      </c>
      <c r="M111" s="10">
        <f t="shared" si="11"/>
        <v>0.30320287498324711</v>
      </c>
      <c r="P111" s="8">
        <f t="shared" si="12"/>
        <v>44.757354630260714</v>
      </c>
      <c r="X111" s="8">
        <v>-13</v>
      </c>
    </row>
    <row r="112" spans="1:25" x14ac:dyDescent="0.2">
      <c r="A112" s="8">
        <v>55</v>
      </c>
      <c r="B112" s="8">
        <v>110</v>
      </c>
      <c r="D112">
        <v>2700.2378449408998</v>
      </c>
      <c r="E112">
        <v>889.18396846254996</v>
      </c>
      <c r="F112">
        <v>126.06209573092001</v>
      </c>
      <c r="G112">
        <v>111.76326002587</v>
      </c>
      <c r="I112" s="9">
        <f t="shared" si="8"/>
        <v>777.42070843668</v>
      </c>
      <c r="J112" s="9">
        <f t="shared" si="9"/>
        <v>2574.1757492099796</v>
      </c>
      <c r="K112" s="9">
        <f t="shared" si="10"/>
        <v>777.42070843668</v>
      </c>
      <c r="L112" s="10">
        <f t="shared" si="7"/>
        <v>0.30200762658698505</v>
      </c>
      <c r="M112" s="10">
        <f t="shared" si="11"/>
        <v>0.30667341428977252</v>
      </c>
      <c r="P112" s="8">
        <f t="shared" si="12"/>
        <v>46.414285123352897</v>
      </c>
      <c r="X112" s="8">
        <v>-13</v>
      </c>
    </row>
    <row r="113" spans="1:24" x14ac:dyDescent="0.2">
      <c r="A113" s="8">
        <v>55.5</v>
      </c>
      <c r="B113" s="8">
        <v>111</v>
      </c>
      <c r="D113">
        <v>2687.6057818660001</v>
      </c>
      <c r="E113">
        <v>889.57950065703005</v>
      </c>
      <c r="F113">
        <v>127.09184993532</v>
      </c>
      <c r="G113">
        <v>111.82794307891</v>
      </c>
      <c r="I113" s="9">
        <f t="shared" si="8"/>
        <v>777.75155757812001</v>
      </c>
      <c r="J113" s="9">
        <f t="shared" si="9"/>
        <v>2560.51393193068</v>
      </c>
      <c r="K113" s="9">
        <f t="shared" si="10"/>
        <v>777.75155757812001</v>
      </c>
      <c r="L113" s="10">
        <f t="shared" si="7"/>
        <v>0.30374822330752926</v>
      </c>
      <c r="M113" s="10">
        <f t="shared" si="11"/>
        <v>0.30845642726216027</v>
      </c>
      <c r="P113" s="8">
        <f t="shared" si="12"/>
        <v>47.265544337727263</v>
      </c>
      <c r="X113" s="8">
        <v>-13</v>
      </c>
    </row>
    <row r="114" spans="1:24" x14ac:dyDescent="0.2">
      <c r="A114" s="8">
        <v>56</v>
      </c>
      <c r="B114" s="8">
        <v>112</v>
      </c>
      <c r="D114">
        <v>2676.0867279895001</v>
      </c>
      <c r="E114">
        <v>885.90670170828002</v>
      </c>
      <c r="F114">
        <v>126.30918499353</v>
      </c>
      <c r="G114">
        <v>112.25743855109999</v>
      </c>
      <c r="I114" s="9">
        <f t="shared" si="8"/>
        <v>773.64926315718003</v>
      </c>
      <c r="J114" s="9">
        <f t="shared" si="9"/>
        <v>2549.7775429959702</v>
      </c>
      <c r="K114" s="9">
        <f t="shared" si="10"/>
        <v>773.64926315718003</v>
      </c>
      <c r="L114" s="10">
        <f t="shared" si="7"/>
        <v>0.30341833752608383</v>
      </c>
      <c r="M114" s="10">
        <f t="shared" si="11"/>
        <v>0.30816895773255831</v>
      </c>
      <c r="P114" s="8">
        <f t="shared" si="12"/>
        <v>47.128298512982745</v>
      </c>
      <c r="X114" s="8">
        <v>-13</v>
      </c>
    </row>
    <row r="115" spans="1:24" x14ac:dyDescent="0.2">
      <c r="A115" s="8">
        <v>56.5</v>
      </c>
      <c r="B115" s="8">
        <v>113</v>
      </c>
      <c r="D115">
        <v>2673.0946123521999</v>
      </c>
      <c r="E115">
        <v>894.51642575559003</v>
      </c>
      <c r="F115">
        <v>126.61966364812</v>
      </c>
      <c r="G115">
        <v>111.86545924968</v>
      </c>
      <c r="I115" s="9">
        <f t="shared" si="8"/>
        <v>782.65096650590999</v>
      </c>
      <c r="J115" s="9">
        <f t="shared" si="9"/>
        <v>2546.4749487040799</v>
      </c>
      <c r="K115" s="9">
        <f t="shared" si="10"/>
        <v>782.65096650590999</v>
      </c>
      <c r="L115" s="10">
        <f t="shared" si="7"/>
        <v>0.30734681560649435</v>
      </c>
      <c r="M115" s="10">
        <f t="shared" si="11"/>
        <v>0.31213985206481237</v>
      </c>
      <c r="P115" s="8">
        <f t="shared" si="12"/>
        <v>49.024112195769085</v>
      </c>
      <c r="X115" s="8">
        <v>-13</v>
      </c>
    </row>
    <row r="116" spans="1:24" x14ac:dyDescent="0.2">
      <c r="A116" s="8">
        <v>57</v>
      </c>
      <c r="B116" s="8">
        <v>114</v>
      </c>
      <c r="D116">
        <v>2680.1471747700002</v>
      </c>
      <c r="E116">
        <v>902.05256241787004</v>
      </c>
      <c r="F116">
        <v>126.46313065977</v>
      </c>
      <c r="G116">
        <v>111.79301423027</v>
      </c>
      <c r="I116" s="9">
        <f t="shared" si="8"/>
        <v>790.25954818759999</v>
      </c>
      <c r="J116" s="9">
        <f t="shared" si="9"/>
        <v>2553.6840441102304</v>
      </c>
      <c r="K116" s="9">
        <f t="shared" si="10"/>
        <v>790.25954818759999</v>
      </c>
      <c r="L116" s="10">
        <f t="shared" si="7"/>
        <v>0.30945862312537842</v>
      </c>
      <c r="M116" s="10">
        <f t="shared" si="11"/>
        <v>0.31429407583553998</v>
      </c>
      <c r="P116" s="8">
        <f t="shared" si="12"/>
        <v>50.052597609534978</v>
      </c>
      <c r="X116" s="8">
        <v>-13</v>
      </c>
    </row>
    <row r="117" spans="1:24" x14ac:dyDescent="0.2">
      <c r="A117" s="8">
        <v>57.5</v>
      </c>
      <c r="B117" s="8">
        <v>115</v>
      </c>
      <c r="D117">
        <v>2661.914586071</v>
      </c>
      <c r="E117">
        <v>898.07884362681</v>
      </c>
      <c r="F117">
        <v>126.57826649418</v>
      </c>
      <c r="G117">
        <v>112.18758085381999</v>
      </c>
      <c r="I117" s="9">
        <f t="shared" si="8"/>
        <v>785.89126277298999</v>
      </c>
      <c r="J117" s="9">
        <f t="shared" si="9"/>
        <v>2535.3363195768202</v>
      </c>
      <c r="K117" s="9">
        <f t="shared" si="10"/>
        <v>785.89126277298999</v>
      </c>
      <c r="L117" s="10">
        <f t="shared" si="7"/>
        <v>0.3099751526867115</v>
      </c>
      <c r="M117" s="10">
        <f t="shared" si="11"/>
        <v>0.31485302164871659</v>
      </c>
      <c r="P117" s="8">
        <f t="shared" si="12"/>
        <v>50.319453645453429</v>
      </c>
      <c r="X117" s="8">
        <v>-13</v>
      </c>
    </row>
    <row r="118" spans="1:24" x14ac:dyDescent="0.2">
      <c r="A118" s="8">
        <v>58</v>
      </c>
      <c r="B118" s="8">
        <v>116</v>
      </c>
      <c r="D118">
        <v>2748.3211963589001</v>
      </c>
      <c r="E118">
        <v>914.83875162548998</v>
      </c>
      <c r="F118">
        <v>126.47994825356</v>
      </c>
      <c r="G118">
        <v>111.7360931436</v>
      </c>
      <c r="I118" s="9">
        <f t="shared" si="8"/>
        <v>803.10265848188999</v>
      </c>
      <c r="J118" s="9">
        <f t="shared" si="9"/>
        <v>2621.8412481053401</v>
      </c>
      <c r="K118" s="9">
        <f t="shared" si="10"/>
        <v>803.10265848188999</v>
      </c>
      <c r="L118" s="10">
        <f t="shared" si="7"/>
        <v>0.30631246611984914</v>
      </c>
      <c r="M118" s="10">
        <f t="shared" si="11"/>
        <v>0.31123275133369771</v>
      </c>
      <c r="P118" s="8">
        <f t="shared" si="12"/>
        <v>48.591037469064759</v>
      </c>
      <c r="X118" s="8">
        <v>-13</v>
      </c>
    </row>
    <row r="119" spans="1:24" x14ac:dyDescent="0.2">
      <c r="A119" s="8">
        <v>58.5</v>
      </c>
      <c r="B119" s="8">
        <v>117</v>
      </c>
      <c r="D119">
        <v>2754.0637191157002</v>
      </c>
      <c r="E119">
        <v>921.03120936281005</v>
      </c>
      <c r="F119">
        <v>126.64294954722</v>
      </c>
      <c r="G119">
        <v>112.13454075032</v>
      </c>
      <c r="I119" s="9">
        <f t="shared" si="8"/>
        <v>808.89666861249009</v>
      </c>
      <c r="J119" s="9">
        <f t="shared" si="9"/>
        <v>2627.4207695684804</v>
      </c>
      <c r="K119" s="9">
        <f t="shared" si="10"/>
        <v>808.89666861249009</v>
      </c>
      <c r="L119" s="10">
        <f t="shared" si="7"/>
        <v>0.30786719735999529</v>
      </c>
      <c r="M119" s="10">
        <f t="shared" si="11"/>
        <v>0.3128298988256874</v>
      </c>
      <c r="P119" s="8">
        <f t="shared" si="12"/>
        <v>49.353559413843669</v>
      </c>
      <c r="X119" s="8">
        <v>-13</v>
      </c>
    </row>
    <row r="120" spans="1:24" x14ac:dyDescent="0.2">
      <c r="A120" s="8">
        <v>59</v>
      </c>
      <c r="B120" s="8">
        <v>118</v>
      </c>
      <c r="D120">
        <v>2731.8634590377001</v>
      </c>
      <c r="E120">
        <v>904.76332899869999</v>
      </c>
      <c r="F120">
        <v>125.80336351875999</v>
      </c>
      <c r="G120">
        <v>112.1021992238</v>
      </c>
      <c r="I120" s="9">
        <f t="shared" si="8"/>
        <v>792.66112977490002</v>
      </c>
      <c r="J120" s="9">
        <f t="shared" si="9"/>
        <v>2606.0600955189402</v>
      </c>
      <c r="K120" s="9">
        <f t="shared" si="10"/>
        <v>792.66112977490002</v>
      </c>
      <c r="L120" s="10">
        <f t="shared" si="7"/>
        <v>0.30416072566318114</v>
      </c>
      <c r="M120" s="10">
        <f t="shared" si="11"/>
        <v>0.30916584338071679</v>
      </c>
      <c r="P120" s="8">
        <f t="shared" si="12"/>
        <v>47.604239017518751</v>
      </c>
      <c r="X120" s="8">
        <v>-13</v>
      </c>
    </row>
    <row r="121" spans="1:24" x14ac:dyDescent="0.2">
      <c r="A121" s="8">
        <v>59.5</v>
      </c>
      <c r="B121" s="8">
        <v>119</v>
      </c>
      <c r="D121">
        <v>2747.2600780234002</v>
      </c>
      <c r="E121">
        <v>909.06892067620004</v>
      </c>
      <c r="F121">
        <v>126.53816300129</v>
      </c>
      <c r="G121">
        <v>111.86157826649</v>
      </c>
      <c r="I121" s="9">
        <f t="shared" si="8"/>
        <v>797.20734240971001</v>
      </c>
      <c r="J121" s="9">
        <f t="shared" si="9"/>
        <v>2620.7219150221104</v>
      </c>
      <c r="K121" s="9">
        <f t="shared" si="10"/>
        <v>797.20734240971001</v>
      </c>
      <c r="L121" s="10">
        <f t="shared" si="7"/>
        <v>0.30419379402296642</v>
      </c>
      <c r="M121" s="10">
        <f t="shared" si="11"/>
        <v>0.3092413279923456</v>
      </c>
      <c r="P121" s="8">
        <f t="shared" si="12"/>
        <v>47.640277437983215</v>
      </c>
      <c r="X121" s="8">
        <v>-13</v>
      </c>
    </row>
    <row r="122" spans="1:24" x14ac:dyDescent="0.2">
      <c r="A122" s="8">
        <v>60</v>
      </c>
      <c r="B122" s="8">
        <v>120</v>
      </c>
      <c r="D122">
        <v>2735.5477124182999</v>
      </c>
      <c r="E122">
        <v>918.87973856208998</v>
      </c>
      <c r="F122">
        <v>126.2639068564</v>
      </c>
      <c r="G122">
        <v>111.9340232859</v>
      </c>
      <c r="I122" s="9">
        <f t="shared" si="8"/>
        <v>806.94571527618996</v>
      </c>
      <c r="J122" s="9">
        <f t="shared" si="9"/>
        <v>2609.2838055619</v>
      </c>
      <c r="K122" s="9">
        <f t="shared" si="10"/>
        <v>806.94571527618996</v>
      </c>
      <c r="L122" s="10">
        <f t="shared" si="7"/>
        <v>0.30925946558826595</v>
      </c>
      <c r="M122" s="10">
        <f t="shared" si="11"/>
        <v>0.31434941580948861</v>
      </c>
      <c r="P122" s="8">
        <f t="shared" si="12"/>
        <v>50.079018428382923</v>
      </c>
      <c r="X122" s="8">
        <v>-13</v>
      </c>
    </row>
    <row r="123" spans="1:24" x14ac:dyDescent="0.2">
      <c r="A123" s="8">
        <v>60.5</v>
      </c>
      <c r="B123" s="8">
        <v>121</v>
      </c>
      <c r="D123">
        <v>2699.1882352941002</v>
      </c>
      <c r="E123">
        <v>904.80130718954001</v>
      </c>
      <c r="F123">
        <v>126.27943078913</v>
      </c>
      <c r="G123">
        <v>111.93272962483999</v>
      </c>
      <c r="I123" s="9">
        <f t="shared" si="8"/>
        <v>792.86857756469999</v>
      </c>
      <c r="J123" s="9">
        <f t="shared" si="9"/>
        <v>2572.9088045049702</v>
      </c>
      <c r="K123" s="9">
        <f t="shared" si="10"/>
        <v>792.86857756469999</v>
      </c>
      <c r="L123" s="10">
        <f t="shared" si="7"/>
        <v>0.30816038880835833</v>
      </c>
      <c r="M123" s="10">
        <f t="shared" si="11"/>
        <v>0.31329275528142453</v>
      </c>
      <c r="P123" s="8">
        <f t="shared" si="12"/>
        <v>49.57453975946126</v>
      </c>
      <c r="X123" s="8">
        <v>-13</v>
      </c>
    </row>
    <row r="124" spans="1:24" x14ac:dyDescent="0.2">
      <c r="A124" s="8">
        <v>61</v>
      </c>
      <c r="B124" s="8">
        <v>122</v>
      </c>
      <c r="D124">
        <v>2652.2614379084998</v>
      </c>
      <c r="E124">
        <v>892.58300653594995</v>
      </c>
      <c r="F124">
        <v>126.34928848641999</v>
      </c>
      <c r="G124">
        <v>112.00258732211999</v>
      </c>
      <c r="I124" s="9">
        <f t="shared" si="8"/>
        <v>780.58041921382994</v>
      </c>
      <c r="J124" s="9">
        <f t="shared" si="9"/>
        <v>2525.9121494220799</v>
      </c>
      <c r="K124" s="9">
        <f t="shared" si="10"/>
        <v>780.58041921382994</v>
      </c>
      <c r="L124" s="10">
        <f t="shared" si="7"/>
        <v>0.30902912414924016</v>
      </c>
      <c r="M124" s="10">
        <f t="shared" si="11"/>
        <v>0.3142039068741499</v>
      </c>
      <c r="P124" s="8">
        <f t="shared" si="12"/>
        <v>50.009548478416711</v>
      </c>
      <c r="X124" s="8">
        <v>-13</v>
      </c>
    </row>
    <row r="125" spans="1:24" x14ac:dyDescent="0.2">
      <c r="A125" s="8">
        <v>61.5</v>
      </c>
      <c r="B125" s="8">
        <v>123</v>
      </c>
      <c r="D125">
        <v>2675.7385620915002</v>
      </c>
      <c r="E125">
        <v>901.01830065360002</v>
      </c>
      <c r="F125">
        <v>126.33117723157</v>
      </c>
      <c r="G125">
        <v>112.22250970246</v>
      </c>
      <c r="I125" s="9">
        <f t="shared" si="8"/>
        <v>788.79579095114002</v>
      </c>
      <c r="J125" s="9">
        <f t="shared" si="9"/>
        <v>2549.4073848599301</v>
      </c>
      <c r="K125" s="9">
        <f t="shared" si="10"/>
        <v>788.79579095114002</v>
      </c>
      <c r="L125" s="10">
        <f t="shared" si="7"/>
        <v>0.30940358753000086</v>
      </c>
      <c r="M125" s="10">
        <f t="shared" si="11"/>
        <v>0.31462078650675412</v>
      </c>
      <c r="P125" s="8">
        <f t="shared" si="12"/>
        <v>50.208578229761777</v>
      </c>
      <c r="X125" s="8">
        <v>-13</v>
      </c>
    </row>
    <row r="126" spans="1:24" x14ac:dyDescent="0.2">
      <c r="A126" s="8">
        <v>62</v>
      </c>
      <c r="B126" s="8">
        <v>124</v>
      </c>
      <c r="D126">
        <v>2687.9006535948001</v>
      </c>
      <c r="E126">
        <v>891.14771241829999</v>
      </c>
      <c r="F126">
        <v>126.7490297542</v>
      </c>
      <c r="G126">
        <v>111.60155239327</v>
      </c>
      <c r="I126" s="9">
        <f t="shared" si="8"/>
        <v>779.54616002502996</v>
      </c>
      <c r="J126" s="9">
        <f t="shared" si="9"/>
        <v>2561.1516238406002</v>
      </c>
      <c r="K126" s="9">
        <f t="shared" si="10"/>
        <v>779.54616002502996</v>
      </c>
      <c r="L126" s="10">
        <f t="shared" si="7"/>
        <v>0.30437329550058179</v>
      </c>
      <c r="M126" s="10">
        <f t="shared" si="11"/>
        <v>0.30963291072917853</v>
      </c>
      <c r="P126" s="8">
        <f t="shared" si="12"/>
        <v>47.827229758623133</v>
      </c>
      <c r="X126" s="8">
        <v>-13</v>
      </c>
    </row>
    <row r="127" spans="1:24" x14ac:dyDescent="0.2">
      <c r="A127" s="8">
        <v>62.5</v>
      </c>
      <c r="B127" s="8">
        <v>125</v>
      </c>
      <c r="D127">
        <v>2879.1331592688998</v>
      </c>
      <c r="E127">
        <v>919.72976501306005</v>
      </c>
      <c r="F127">
        <v>126.6701164295</v>
      </c>
      <c r="G127">
        <v>112.0957309185</v>
      </c>
      <c r="I127" s="9">
        <f t="shared" si="8"/>
        <v>807.63403409456009</v>
      </c>
      <c r="J127" s="9">
        <f t="shared" si="9"/>
        <v>2752.4630428393998</v>
      </c>
      <c r="K127" s="9">
        <f t="shared" si="10"/>
        <v>807.63403409456009</v>
      </c>
      <c r="L127" s="10">
        <f t="shared" si="7"/>
        <v>0.29342229905525519</v>
      </c>
      <c r="M127" s="10">
        <f t="shared" si="11"/>
        <v>0.29872433053569547</v>
      </c>
      <c r="P127" s="8">
        <f t="shared" si="12"/>
        <v>42.619174882270407</v>
      </c>
      <c r="X127" s="8">
        <v>-13</v>
      </c>
    </row>
    <row r="128" spans="1:24" x14ac:dyDescent="0.2">
      <c r="A128" s="8">
        <v>63</v>
      </c>
      <c r="B128" s="8">
        <v>126</v>
      </c>
      <c r="D128">
        <v>2877.1866840731</v>
      </c>
      <c r="E128">
        <v>939.27676240208996</v>
      </c>
      <c r="F128">
        <v>126.53945666235001</v>
      </c>
      <c r="G128">
        <v>112.02328589909</v>
      </c>
      <c r="I128" s="9">
        <f t="shared" si="8"/>
        <v>827.253476503</v>
      </c>
      <c r="J128" s="9">
        <f t="shared" si="9"/>
        <v>2750.64722741075</v>
      </c>
      <c r="K128" s="9">
        <f t="shared" si="10"/>
        <v>827.253476503</v>
      </c>
      <c r="L128" s="10">
        <f t="shared" si="7"/>
        <v>0.30074866317252669</v>
      </c>
      <c r="M128" s="10">
        <f t="shared" si="11"/>
        <v>0.30609311090481051</v>
      </c>
      <c r="P128" s="8">
        <f t="shared" si="12"/>
        <v>46.137232397864302</v>
      </c>
      <c r="X128" s="8">
        <v>-13</v>
      </c>
    </row>
    <row r="129" spans="1:24" x14ac:dyDescent="0.2">
      <c r="A129" s="8">
        <v>63.5</v>
      </c>
      <c r="B129" s="8">
        <v>127</v>
      </c>
      <c r="D129">
        <v>2851.8720626631998</v>
      </c>
      <c r="E129">
        <v>936.07180156658001</v>
      </c>
      <c r="F129">
        <v>126.25355756792</v>
      </c>
      <c r="G129">
        <v>112.28072445018999</v>
      </c>
      <c r="I129" s="9">
        <f t="shared" si="8"/>
        <v>823.79107711639006</v>
      </c>
      <c r="J129" s="9">
        <f t="shared" si="9"/>
        <v>2725.6185050952799</v>
      </c>
      <c r="K129" s="9">
        <f t="shared" si="10"/>
        <v>823.79107711639006</v>
      </c>
      <c r="L129" s="10">
        <f t="shared" si="7"/>
        <v>0.30224005141452936</v>
      </c>
      <c r="M129" s="10">
        <f t="shared" si="11"/>
        <v>0.30762691539865672</v>
      </c>
      <c r="P129" s="8">
        <f t="shared" si="12"/>
        <v>46.869512660910786</v>
      </c>
      <c r="X129" s="8">
        <v>-13</v>
      </c>
    </row>
    <row r="130" spans="1:24" x14ac:dyDescent="0.2">
      <c r="A130" s="8">
        <v>64</v>
      </c>
      <c r="B130" s="8">
        <v>128</v>
      </c>
      <c r="D130">
        <v>2845.7519582245</v>
      </c>
      <c r="E130">
        <v>932.72193211488002</v>
      </c>
      <c r="F130">
        <v>126.57309184994</v>
      </c>
      <c r="G130">
        <v>111.73738680466001</v>
      </c>
      <c r="I130" s="9">
        <f t="shared" si="8"/>
        <v>820.98454531022003</v>
      </c>
      <c r="J130" s="9">
        <f t="shared" si="9"/>
        <v>2719.1788663745601</v>
      </c>
      <c r="K130" s="9">
        <f t="shared" si="10"/>
        <v>820.98454531022003</v>
      </c>
      <c r="L130" s="10">
        <f t="shared" ref="L130:L193" si="14">K130/J130</f>
        <v>0.30192370037239452</v>
      </c>
      <c r="M130" s="10">
        <f t="shared" si="11"/>
        <v>0.30735298060836536</v>
      </c>
      <c r="P130" s="8">
        <f t="shared" si="12"/>
        <v>46.738728691312993</v>
      </c>
      <c r="X130" s="8">
        <v>-13</v>
      </c>
    </row>
    <row r="131" spans="1:24" x14ac:dyDescent="0.2">
      <c r="A131" s="8">
        <v>64.5</v>
      </c>
      <c r="B131" s="8">
        <v>129</v>
      </c>
      <c r="D131">
        <v>2845.5522193212</v>
      </c>
      <c r="E131">
        <v>930.24934725849005</v>
      </c>
      <c r="F131">
        <v>125.87839586029</v>
      </c>
      <c r="G131">
        <v>111.93143596378</v>
      </c>
      <c r="I131" s="9">
        <f t="shared" ref="I131:I194" si="15">E131-G131</f>
        <v>818.31791129471003</v>
      </c>
      <c r="J131" s="9">
        <f t="shared" ref="J131:J194" si="16">D131-F131</f>
        <v>2719.6738234609102</v>
      </c>
      <c r="K131" s="9">
        <f t="shared" ref="K131:K194" si="17">I131*1</f>
        <v>818.31791129471003</v>
      </c>
      <c r="L131" s="10">
        <f t="shared" si="14"/>
        <v>0.30088825514133266</v>
      </c>
      <c r="M131" s="10">
        <f t="shared" ref="M131:M181" si="18">L131+ABS($N$2)*A131</f>
        <v>0.30635995162914703</v>
      </c>
      <c r="P131" s="8">
        <f t="shared" ref="P131:P194" si="19">(M131-$O$2)/$O$2*100</f>
        <v>46.264629466129939</v>
      </c>
      <c r="X131" s="8">
        <v>-13</v>
      </c>
    </row>
    <row r="132" spans="1:24" x14ac:dyDescent="0.2">
      <c r="A132" s="8">
        <v>65</v>
      </c>
      <c r="B132" s="8">
        <v>130</v>
      </c>
      <c r="D132">
        <v>2674.7832898172001</v>
      </c>
      <c r="E132">
        <v>893.46214099217002</v>
      </c>
      <c r="F132">
        <v>126.07761966365</v>
      </c>
      <c r="G132">
        <v>111.82664941785001</v>
      </c>
      <c r="I132" s="9">
        <f t="shared" si="15"/>
        <v>781.63549157431999</v>
      </c>
      <c r="J132" s="9">
        <f t="shared" si="16"/>
        <v>2548.7056701535503</v>
      </c>
      <c r="K132" s="9">
        <f t="shared" si="17"/>
        <v>781.63549157431999</v>
      </c>
      <c r="L132" s="10">
        <f t="shared" si="14"/>
        <v>0.30667938661086325</v>
      </c>
      <c r="M132" s="10">
        <f t="shared" si="18"/>
        <v>0.31219349935052115</v>
      </c>
      <c r="P132" s="8">
        <f t="shared" si="19"/>
        <v>49.049724878903191</v>
      </c>
      <c r="X132" s="8">
        <v>-13</v>
      </c>
    </row>
    <row r="133" spans="1:24" x14ac:dyDescent="0.2">
      <c r="A133" s="8">
        <v>65.5</v>
      </c>
      <c r="B133" s="8">
        <v>131</v>
      </c>
      <c r="D133">
        <v>2556.0953002611</v>
      </c>
      <c r="E133">
        <v>859.61227154047003</v>
      </c>
      <c r="F133">
        <v>126.69340232859</v>
      </c>
      <c r="G133">
        <v>112.62095730919</v>
      </c>
      <c r="I133" s="9">
        <f t="shared" si="15"/>
        <v>746.99131423128006</v>
      </c>
      <c r="J133" s="9">
        <f t="shared" si="16"/>
        <v>2429.4018979325101</v>
      </c>
      <c r="K133" s="9">
        <f t="shared" si="17"/>
        <v>746.99131423128006</v>
      </c>
      <c r="L133" s="10">
        <f t="shared" si="14"/>
        <v>0.30747951373010401</v>
      </c>
      <c r="M133" s="10">
        <f t="shared" si="18"/>
        <v>0.31303604272160546</v>
      </c>
      <c r="P133" s="8">
        <f t="shared" si="19"/>
        <v>49.451978154259386</v>
      </c>
      <c r="X133" s="8">
        <v>-13</v>
      </c>
    </row>
    <row r="134" spans="1:24" x14ac:dyDescent="0.2">
      <c r="A134" s="8">
        <v>66</v>
      </c>
      <c r="B134" s="8">
        <v>132</v>
      </c>
      <c r="D134">
        <v>2716.4300653595001</v>
      </c>
      <c r="E134">
        <v>856.32679738562001</v>
      </c>
      <c r="F134">
        <v>126.46830530401</v>
      </c>
      <c r="G134">
        <v>112.16429495472001</v>
      </c>
      <c r="I134" s="9">
        <f t="shared" si="15"/>
        <v>744.16250243089996</v>
      </c>
      <c r="J134" s="9">
        <f t="shared" si="16"/>
        <v>2589.9617600554902</v>
      </c>
      <c r="K134" s="9">
        <f t="shared" si="17"/>
        <v>744.16250243089996</v>
      </c>
      <c r="L134" s="10">
        <f t="shared" si="14"/>
        <v>0.28732567171762263</v>
      </c>
      <c r="M134" s="10">
        <f t="shared" si="18"/>
        <v>0.29292461696096755</v>
      </c>
      <c r="P134" s="8">
        <f t="shared" si="19"/>
        <v>39.850232817531698</v>
      </c>
      <c r="X134" s="8">
        <v>-13</v>
      </c>
    </row>
    <row r="135" spans="1:24" x14ac:dyDescent="0.2">
      <c r="A135" s="8">
        <v>66.5</v>
      </c>
      <c r="B135" s="8">
        <v>133</v>
      </c>
      <c r="D135">
        <v>2707.7098039215998</v>
      </c>
      <c r="E135">
        <v>856.62483660130999</v>
      </c>
      <c r="F135">
        <v>126.09443725744001</v>
      </c>
      <c r="G135">
        <v>111.98318240621001</v>
      </c>
      <c r="I135" s="9">
        <f t="shared" si="15"/>
        <v>744.64165419510005</v>
      </c>
      <c r="J135" s="9">
        <f t="shared" si="16"/>
        <v>2581.6153666641599</v>
      </c>
      <c r="K135" s="9">
        <f t="shared" si="17"/>
        <v>744.64165419510005</v>
      </c>
      <c r="L135" s="10">
        <f t="shared" si="14"/>
        <v>0.28844020058545378</v>
      </c>
      <c r="M135" s="10">
        <f t="shared" si="18"/>
        <v>0.29408156208064223</v>
      </c>
      <c r="P135" s="8">
        <f t="shared" si="19"/>
        <v>40.402590096418812</v>
      </c>
      <c r="X135" s="8">
        <v>-13</v>
      </c>
    </row>
    <row r="136" spans="1:24" x14ac:dyDescent="0.2">
      <c r="A136" s="8">
        <v>67</v>
      </c>
      <c r="B136" s="8">
        <v>134</v>
      </c>
      <c r="D136">
        <v>2720.2209150326998</v>
      </c>
      <c r="E136">
        <v>853.30980392157005</v>
      </c>
      <c r="F136">
        <v>126.61836998706001</v>
      </c>
      <c r="G136">
        <v>111.98576972833</v>
      </c>
      <c r="I136" s="9">
        <f t="shared" si="15"/>
        <v>741.3240341932401</v>
      </c>
      <c r="J136" s="9">
        <f t="shared" si="16"/>
        <v>2593.60254504564</v>
      </c>
      <c r="K136" s="9">
        <f t="shared" si="17"/>
        <v>741.3240341932401</v>
      </c>
      <c r="L136" s="10">
        <f t="shared" si="14"/>
        <v>0.28582792518049249</v>
      </c>
      <c r="M136" s="10">
        <f t="shared" si="18"/>
        <v>0.29151170292752449</v>
      </c>
      <c r="P136" s="8">
        <f t="shared" si="19"/>
        <v>39.175668970429349</v>
      </c>
      <c r="X136" s="8">
        <v>-13</v>
      </c>
    </row>
    <row r="137" spans="1:24" x14ac:dyDescent="0.2">
      <c r="A137" s="8">
        <v>67.5</v>
      </c>
      <c r="B137" s="8">
        <v>135</v>
      </c>
      <c r="D137">
        <v>2698.3058823529</v>
      </c>
      <c r="E137">
        <v>827.34640522875998</v>
      </c>
      <c r="F137">
        <v>126.52263906856</v>
      </c>
      <c r="G137">
        <v>111.9637774903</v>
      </c>
      <c r="I137" s="9">
        <f t="shared" si="15"/>
        <v>715.38262773845997</v>
      </c>
      <c r="J137" s="9">
        <f t="shared" si="16"/>
        <v>2571.7832432843402</v>
      </c>
      <c r="K137" s="9">
        <f t="shared" si="17"/>
        <v>715.38262773845997</v>
      </c>
      <c r="L137" s="10">
        <f t="shared" si="14"/>
        <v>0.27816598836878192</v>
      </c>
      <c r="M137" s="10">
        <f t="shared" si="18"/>
        <v>0.28389218236765745</v>
      </c>
      <c r="P137" s="8">
        <f t="shared" si="19"/>
        <v>35.537901222157906</v>
      </c>
      <c r="X137" s="8">
        <v>-13</v>
      </c>
    </row>
    <row r="138" spans="1:24" x14ac:dyDescent="0.2">
      <c r="A138" s="8">
        <v>68</v>
      </c>
      <c r="B138" s="8">
        <v>136</v>
      </c>
      <c r="D138">
        <v>2704.9764705881998</v>
      </c>
      <c r="E138">
        <v>827.93071895424998</v>
      </c>
      <c r="F138">
        <v>126.60931435964</v>
      </c>
      <c r="G138">
        <v>111.93014230272</v>
      </c>
      <c r="I138" s="9">
        <f t="shared" si="15"/>
        <v>716.00057665152997</v>
      </c>
      <c r="J138" s="9">
        <f t="shared" si="16"/>
        <v>2578.3671562285599</v>
      </c>
      <c r="K138" s="9">
        <f t="shared" si="17"/>
        <v>716.00057665152997</v>
      </c>
      <c r="L138" s="10">
        <f t="shared" si="14"/>
        <v>0.27769535262729661</v>
      </c>
      <c r="M138" s="10">
        <f t="shared" si="18"/>
        <v>0.28346396287801567</v>
      </c>
      <c r="P138" s="8">
        <f t="shared" si="19"/>
        <v>35.333457512562177</v>
      </c>
      <c r="X138" s="8">
        <v>-13</v>
      </c>
    </row>
    <row r="139" spans="1:24" x14ac:dyDescent="0.2">
      <c r="A139" s="8">
        <v>68.5</v>
      </c>
      <c r="B139" s="8">
        <v>137</v>
      </c>
      <c r="D139">
        <v>2729.5882352940998</v>
      </c>
      <c r="E139">
        <v>827.17908496732002</v>
      </c>
      <c r="F139">
        <v>126.16300129366</v>
      </c>
      <c r="G139">
        <v>112.21086675290999</v>
      </c>
      <c r="I139" s="9">
        <f t="shared" si="15"/>
        <v>714.96821821441006</v>
      </c>
      <c r="J139" s="9">
        <f t="shared" si="16"/>
        <v>2603.42523400044</v>
      </c>
      <c r="K139" s="9">
        <f t="shared" si="17"/>
        <v>714.96821821441006</v>
      </c>
      <c r="L139" s="10">
        <f t="shared" si="14"/>
        <v>0.27462598459790805</v>
      </c>
      <c r="M139" s="10">
        <f t="shared" si="18"/>
        <v>0.28043701110047059</v>
      </c>
      <c r="P139" s="8">
        <f t="shared" si="19"/>
        <v>33.888307851844083</v>
      </c>
      <c r="X139" s="8">
        <v>-13</v>
      </c>
    </row>
    <row r="140" spans="1:24" x14ac:dyDescent="0.2">
      <c r="A140" s="8">
        <v>69</v>
      </c>
      <c r="B140" s="8">
        <v>138</v>
      </c>
      <c r="D140">
        <v>2685.4862745097998</v>
      </c>
      <c r="E140">
        <v>816.93333333332998</v>
      </c>
      <c r="F140">
        <v>126.43078913325</v>
      </c>
      <c r="G140">
        <v>111.84087968951999</v>
      </c>
      <c r="I140" s="9">
        <f t="shared" si="15"/>
        <v>705.09245364381002</v>
      </c>
      <c r="J140" s="9">
        <f t="shared" si="16"/>
        <v>2559.0554853765498</v>
      </c>
      <c r="K140" s="9">
        <f t="shared" si="17"/>
        <v>705.09245364381002</v>
      </c>
      <c r="L140" s="10">
        <f t="shared" si="14"/>
        <v>0.27552839618874458</v>
      </c>
      <c r="M140" s="10">
        <f t="shared" si="18"/>
        <v>0.28138183894315066</v>
      </c>
      <c r="P140" s="8">
        <f t="shared" si="19"/>
        <v>34.339394534630117</v>
      </c>
      <c r="X140" s="8">
        <v>-13</v>
      </c>
    </row>
    <row r="141" spans="1:24" x14ac:dyDescent="0.2">
      <c r="A141" s="8">
        <v>69.5</v>
      </c>
      <c r="B141" s="8">
        <v>139</v>
      </c>
      <c r="D141">
        <v>2688.0640522876001</v>
      </c>
      <c r="E141">
        <v>818.92941176471004</v>
      </c>
      <c r="F141">
        <v>126.2276843467</v>
      </c>
      <c r="G141">
        <v>111.98706338939</v>
      </c>
      <c r="I141" s="9">
        <f t="shared" si="15"/>
        <v>706.94234837532008</v>
      </c>
      <c r="J141" s="9">
        <f t="shared" si="16"/>
        <v>2561.8363679409003</v>
      </c>
      <c r="K141" s="9">
        <f t="shared" si="17"/>
        <v>706.94234837532008</v>
      </c>
      <c r="L141" s="10">
        <f t="shared" si="14"/>
        <v>0.27595140627327869</v>
      </c>
      <c r="M141" s="10">
        <f t="shared" si="18"/>
        <v>0.2818472652795283</v>
      </c>
      <c r="P141" s="8">
        <f t="shared" si="19"/>
        <v>34.561601811632372</v>
      </c>
      <c r="X141" s="8">
        <v>-13</v>
      </c>
    </row>
    <row r="142" spans="1:24" x14ac:dyDescent="0.2">
      <c r="A142" s="8">
        <v>70</v>
      </c>
      <c r="B142" s="8">
        <v>140</v>
      </c>
      <c r="D142">
        <v>2724.6901960783998</v>
      </c>
      <c r="E142">
        <v>831.44705882353003</v>
      </c>
      <c r="F142">
        <v>126.25743855109999</v>
      </c>
      <c r="G142">
        <v>112.16558861578</v>
      </c>
      <c r="I142" s="9">
        <f t="shared" si="15"/>
        <v>719.28147020775009</v>
      </c>
      <c r="J142" s="9">
        <f t="shared" si="16"/>
        <v>2598.4327575273001</v>
      </c>
      <c r="K142" s="9">
        <f t="shared" si="17"/>
        <v>719.28147020775009</v>
      </c>
      <c r="L142" s="10">
        <f t="shared" si="14"/>
        <v>0.27681357854040717</v>
      </c>
      <c r="M142" s="10">
        <f t="shared" si="18"/>
        <v>0.28275185379850032</v>
      </c>
      <c r="P142" s="8">
        <f t="shared" si="19"/>
        <v>34.993477139471956</v>
      </c>
      <c r="X142" s="8">
        <v>-13</v>
      </c>
    </row>
    <row r="143" spans="1:24" x14ac:dyDescent="0.2">
      <c r="A143" s="8">
        <v>70.5</v>
      </c>
      <c r="B143" s="8">
        <v>141</v>
      </c>
      <c r="D143">
        <v>2756.6954248366001</v>
      </c>
      <c r="E143">
        <v>836.60522875817003</v>
      </c>
      <c r="F143">
        <v>126.71927554981001</v>
      </c>
      <c r="G143">
        <v>111.92367399741001</v>
      </c>
      <c r="I143" s="9">
        <f t="shared" si="15"/>
        <v>724.68155476076004</v>
      </c>
      <c r="J143" s="9">
        <f t="shared" si="16"/>
        <v>2629.9761492867901</v>
      </c>
      <c r="K143" s="9">
        <f t="shared" si="17"/>
        <v>724.68155476076004</v>
      </c>
      <c r="L143" s="10">
        <f t="shared" si="14"/>
        <v>0.27554681625431576</v>
      </c>
      <c r="M143" s="10">
        <f t="shared" si="18"/>
        <v>0.28152750776425239</v>
      </c>
      <c r="P143" s="8">
        <f t="shared" si="19"/>
        <v>34.408940818437486</v>
      </c>
      <c r="X143" s="8">
        <v>-13</v>
      </c>
    </row>
    <row r="144" spans="1:24" x14ac:dyDescent="0.2">
      <c r="A144" s="8">
        <v>71</v>
      </c>
      <c r="B144" s="8">
        <v>142</v>
      </c>
      <c r="D144">
        <v>2771.5594771241999</v>
      </c>
      <c r="E144">
        <v>838.55947712418003</v>
      </c>
      <c r="F144">
        <v>126.2871927555</v>
      </c>
      <c r="G144">
        <v>111.60284605433</v>
      </c>
      <c r="I144" s="9">
        <f t="shared" si="15"/>
        <v>726.95663106985</v>
      </c>
      <c r="J144" s="9">
        <f t="shared" si="16"/>
        <v>2645.2722843686997</v>
      </c>
      <c r="K144" s="9">
        <f t="shared" si="17"/>
        <v>726.95663106985</v>
      </c>
      <c r="L144" s="10">
        <f t="shared" si="14"/>
        <v>0.27481353634767314</v>
      </c>
      <c r="M144" s="10">
        <f t="shared" si="18"/>
        <v>0.2808366441094533</v>
      </c>
      <c r="P144" s="8">
        <f t="shared" si="19"/>
        <v>34.079103592835871</v>
      </c>
    </row>
    <row r="145" spans="1:16" x14ac:dyDescent="0.2">
      <c r="A145" s="8">
        <v>71.5</v>
      </c>
      <c r="B145" s="8">
        <v>143</v>
      </c>
      <c r="D145">
        <v>2731.1660130719001</v>
      </c>
      <c r="E145">
        <v>831.94771241829994</v>
      </c>
      <c r="F145">
        <v>126.65329883571</v>
      </c>
      <c r="G145">
        <v>112.13842173351</v>
      </c>
      <c r="I145" s="9">
        <f t="shared" si="15"/>
        <v>719.80929068478997</v>
      </c>
      <c r="J145" s="9">
        <f t="shared" si="16"/>
        <v>2604.5127142361903</v>
      </c>
      <c r="K145" s="9">
        <f t="shared" si="17"/>
        <v>719.80929068478997</v>
      </c>
      <c r="L145" s="10">
        <f t="shared" si="14"/>
        <v>0.27637004294520562</v>
      </c>
      <c r="M145" s="10">
        <f t="shared" si="18"/>
        <v>0.28243556695882932</v>
      </c>
      <c r="P145" s="8">
        <f t="shared" si="19"/>
        <v>34.842473141842746</v>
      </c>
    </row>
    <row r="146" spans="1:16" x14ac:dyDescent="0.2">
      <c r="A146" s="8">
        <v>72</v>
      </c>
      <c r="B146" s="8">
        <v>144</v>
      </c>
      <c r="D146">
        <v>2726.7176470588001</v>
      </c>
      <c r="E146">
        <v>838.30849673202999</v>
      </c>
      <c r="F146">
        <v>126.54075032342</v>
      </c>
      <c r="G146">
        <v>112.02199223802999</v>
      </c>
      <c r="I146" s="9">
        <f t="shared" si="15"/>
        <v>726.28650449400004</v>
      </c>
      <c r="J146" s="9">
        <f t="shared" si="16"/>
        <v>2600.1768967353801</v>
      </c>
      <c r="K146" s="9">
        <f t="shared" si="17"/>
        <v>726.28650449400004</v>
      </c>
      <c r="L146" s="10">
        <f t="shared" si="14"/>
        <v>0.2793219589812832</v>
      </c>
      <c r="M146" s="10">
        <f t="shared" si="18"/>
        <v>0.28542989924675044</v>
      </c>
      <c r="P146" s="8">
        <f t="shared" si="19"/>
        <v>36.272049365047714</v>
      </c>
    </row>
    <row r="147" spans="1:16" x14ac:dyDescent="0.2">
      <c r="A147" s="8">
        <v>72.5</v>
      </c>
      <c r="B147" s="8">
        <v>145</v>
      </c>
      <c r="D147">
        <v>2703.6980392157002</v>
      </c>
      <c r="E147">
        <v>829.33071895424996</v>
      </c>
      <c r="F147">
        <v>126.95601552393001</v>
      </c>
      <c r="G147">
        <v>111.50194049159001</v>
      </c>
      <c r="I147" s="9">
        <f t="shared" si="15"/>
        <v>717.82877846266001</v>
      </c>
      <c r="J147" s="9">
        <f t="shared" si="16"/>
        <v>2576.7420236917701</v>
      </c>
      <c r="K147" s="9">
        <f t="shared" si="17"/>
        <v>717.82877846266001</v>
      </c>
      <c r="L147" s="10">
        <f t="shared" si="14"/>
        <v>0.27857999437375058</v>
      </c>
      <c r="M147" s="10">
        <f t="shared" si="18"/>
        <v>0.2847303508910613</v>
      </c>
      <c r="P147" s="8">
        <f t="shared" si="19"/>
        <v>35.938065825442081</v>
      </c>
    </row>
    <row r="148" spans="1:16" x14ac:dyDescent="0.2">
      <c r="A148" s="8">
        <v>73</v>
      </c>
      <c r="B148" s="8">
        <v>146</v>
      </c>
      <c r="D148">
        <v>2670.6248366013001</v>
      </c>
      <c r="E148">
        <v>817.64705882352996</v>
      </c>
      <c r="F148">
        <v>126.82535575679</v>
      </c>
      <c r="G148">
        <v>111.93790426907999</v>
      </c>
      <c r="I148" s="9">
        <f t="shared" si="15"/>
        <v>705.70915455444992</v>
      </c>
      <c r="J148" s="9">
        <f t="shared" si="16"/>
        <v>2543.7994808445101</v>
      </c>
      <c r="K148" s="9">
        <f t="shared" si="17"/>
        <v>705.70915455444992</v>
      </c>
      <c r="L148" s="10">
        <f t="shared" si="14"/>
        <v>0.27742326384946159</v>
      </c>
      <c r="M148" s="10">
        <f t="shared" si="18"/>
        <v>0.28361603661861584</v>
      </c>
      <c r="P148" s="8">
        <f t="shared" si="19"/>
        <v>35.406061680313641</v>
      </c>
    </row>
    <row r="149" spans="1:16" x14ac:dyDescent="0.2">
      <c r="A149" s="8">
        <v>73.5</v>
      </c>
      <c r="B149" s="8">
        <v>147</v>
      </c>
      <c r="D149">
        <v>2674.3163398693</v>
      </c>
      <c r="E149">
        <v>823.02483660130997</v>
      </c>
      <c r="F149">
        <v>126.77360931436</v>
      </c>
      <c r="G149">
        <v>111.78783958603</v>
      </c>
      <c r="I149" s="9">
        <f t="shared" si="15"/>
        <v>711.23699701527994</v>
      </c>
      <c r="J149" s="9">
        <f t="shared" si="16"/>
        <v>2547.5427305549401</v>
      </c>
      <c r="K149" s="9">
        <f t="shared" si="17"/>
        <v>711.23699701527994</v>
      </c>
      <c r="L149" s="10">
        <f t="shared" si="14"/>
        <v>0.27918550236068018</v>
      </c>
      <c r="M149" s="10">
        <f t="shared" si="18"/>
        <v>0.28542069138167797</v>
      </c>
      <c r="P149" s="8">
        <f t="shared" si="19"/>
        <v>36.267653278138056</v>
      </c>
    </row>
    <row r="150" spans="1:16" x14ac:dyDescent="0.2">
      <c r="A150" s="8">
        <v>74</v>
      </c>
      <c r="B150" s="8">
        <v>148</v>
      </c>
      <c r="D150">
        <v>2678.5908496732</v>
      </c>
      <c r="E150">
        <v>823.94248366013005</v>
      </c>
      <c r="F150">
        <v>126.21862871928001</v>
      </c>
      <c r="G150">
        <v>111.95989650712001</v>
      </c>
      <c r="I150" s="9">
        <f t="shared" si="15"/>
        <v>711.98258715301006</v>
      </c>
      <c r="J150" s="9">
        <f t="shared" si="16"/>
        <v>2552.3722209539201</v>
      </c>
      <c r="K150" s="9">
        <f t="shared" si="17"/>
        <v>711.98258715301006</v>
      </c>
      <c r="L150" s="10">
        <f t="shared" si="14"/>
        <v>0.27894935593951681</v>
      </c>
      <c r="M150" s="10">
        <f t="shared" si="18"/>
        <v>0.28522696121235813</v>
      </c>
      <c r="P150" s="8">
        <f t="shared" si="19"/>
        <v>36.17516119070531</v>
      </c>
    </row>
    <row r="151" spans="1:16" x14ac:dyDescent="0.2">
      <c r="A151" s="8">
        <v>74.5</v>
      </c>
      <c r="B151" s="8">
        <v>149</v>
      </c>
      <c r="D151">
        <v>2719.1124183007</v>
      </c>
      <c r="E151">
        <v>837.27973856208996</v>
      </c>
      <c r="F151">
        <v>126.62742561448999</v>
      </c>
      <c r="G151">
        <v>111.72315653299</v>
      </c>
      <c r="I151" s="9">
        <f t="shared" si="15"/>
        <v>725.5565820290999</v>
      </c>
      <c r="J151" s="9">
        <f t="shared" si="16"/>
        <v>2592.4849926862098</v>
      </c>
      <c r="K151" s="9">
        <f t="shared" si="17"/>
        <v>725.5565820290999</v>
      </c>
      <c r="L151" s="10">
        <f t="shared" si="14"/>
        <v>0.27986915414206992</v>
      </c>
      <c r="M151" s="10">
        <f t="shared" si="18"/>
        <v>0.28618917566675472</v>
      </c>
      <c r="P151" s="8">
        <f t="shared" si="19"/>
        <v>36.634548717994242</v>
      </c>
    </row>
    <row r="152" spans="1:16" x14ac:dyDescent="0.2">
      <c r="A152" s="8">
        <v>75</v>
      </c>
      <c r="B152" s="8">
        <v>150</v>
      </c>
      <c r="D152">
        <v>2727.4627450980001</v>
      </c>
      <c r="E152">
        <v>831.82875816993999</v>
      </c>
      <c r="F152">
        <v>125.61836998706001</v>
      </c>
      <c r="G152">
        <v>111.79560155239</v>
      </c>
      <c r="I152" s="9">
        <f t="shared" si="15"/>
        <v>720.03315661755005</v>
      </c>
      <c r="J152" s="9">
        <f t="shared" si="16"/>
        <v>2601.8443751109403</v>
      </c>
      <c r="K152" s="9">
        <f t="shared" si="17"/>
        <v>720.03315661755005</v>
      </c>
      <c r="L152" s="10">
        <f t="shared" si="14"/>
        <v>0.27673951736135199</v>
      </c>
      <c r="M152" s="10">
        <f t="shared" si="18"/>
        <v>0.28310195513788033</v>
      </c>
      <c r="P152" s="8">
        <f t="shared" si="19"/>
        <v>35.160625105149926</v>
      </c>
    </row>
    <row r="153" spans="1:16" x14ac:dyDescent="0.2">
      <c r="A153" s="8">
        <v>75.5</v>
      </c>
      <c r="B153" s="8">
        <v>151</v>
      </c>
      <c r="D153">
        <v>2740.7869281046001</v>
      </c>
      <c r="E153">
        <v>835.00915032679995</v>
      </c>
      <c r="F153">
        <v>126.83699870634</v>
      </c>
      <c r="G153">
        <v>111.99223803364001</v>
      </c>
      <c r="I153" s="9">
        <f t="shared" si="15"/>
        <v>723.01691229315998</v>
      </c>
      <c r="J153" s="9">
        <f t="shared" si="16"/>
        <v>2613.9499293982599</v>
      </c>
      <c r="K153" s="9">
        <f t="shared" si="17"/>
        <v>723.01691229315998</v>
      </c>
      <c r="L153" s="10">
        <f t="shared" si="14"/>
        <v>0.27659937329388745</v>
      </c>
      <c r="M153" s="10">
        <f t="shared" si="18"/>
        <v>0.28300422732225933</v>
      </c>
      <c r="P153" s="8">
        <f t="shared" si="19"/>
        <v>35.113967170049968</v>
      </c>
    </row>
    <row r="154" spans="1:16" x14ac:dyDescent="0.2">
      <c r="A154" s="8">
        <v>76</v>
      </c>
      <c r="B154" s="8">
        <v>152</v>
      </c>
      <c r="D154">
        <v>2734.8509803922002</v>
      </c>
      <c r="E154">
        <v>829.75555555556002</v>
      </c>
      <c r="F154">
        <v>126.63260025872999</v>
      </c>
      <c r="G154">
        <v>111.71668822768</v>
      </c>
      <c r="I154" s="9">
        <f t="shared" si="15"/>
        <v>718.03886732787998</v>
      </c>
      <c r="J154" s="9">
        <f t="shared" si="16"/>
        <v>2608.2183801334704</v>
      </c>
      <c r="K154" s="9">
        <f t="shared" si="17"/>
        <v>718.03886732787998</v>
      </c>
      <c r="L154" s="10">
        <f t="shared" si="14"/>
        <v>0.27529859953334729</v>
      </c>
      <c r="M154" s="10">
        <f t="shared" si="18"/>
        <v>0.2817458698135627</v>
      </c>
      <c r="P154" s="8">
        <f t="shared" si="19"/>
        <v>34.51319283983257</v>
      </c>
    </row>
    <row r="155" spans="1:16" x14ac:dyDescent="0.2">
      <c r="A155" s="8">
        <v>76.5</v>
      </c>
      <c r="B155" s="8">
        <v>153</v>
      </c>
      <c r="D155">
        <v>2736.3921568628002</v>
      </c>
      <c r="E155">
        <v>828.47712418301001</v>
      </c>
      <c r="F155">
        <v>126.40750323415</v>
      </c>
      <c r="G155">
        <v>112.07632600258999</v>
      </c>
      <c r="I155" s="9">
        <f t="shared" si="15"/>
        <v>716.40079818042</v>
      </c>
      <c r="J155" s="9">
        <f t="shared" si="16"/>
        <v>2609.9846536286504</v>
      </c>
      <c r="K155" s="9">
        <f t="shared" si="17"/>
        <v>716.40079818042</v>
      </c>
      <c r="L155" s="10">
        <f t="shared" si="14"/>
        <v>0.27448467836177159</v>
      </c>
      <c r="M155" s="10">
        <f t="shared" si="18"/>
        <v>0.28097436489383049</v>
      </c>
      <c r="P155" s="8">
        <f t="shared" si="19"/>
        <v>34.144855266282718</v>
      </c>
    </row>
    <row r="156" spans="1:16" x14ac:dyDescent="0.2">
      <c r="A156" s="8">
        <v>77</v>
      </c>
      <c r="B156" s="8">
        <v>154</v>
      </c>
      <c r="D156">
        <v>2684.4614379085001</v>
      </c>
      <c r="E156">
        <v>813.91241830064996</v>
      </c>
      <c r="F156">
        <v>126.55368693402001</v>
      </c>
      <c r="G156">
        <v>112.23803363519001</v>
      </c>
      <c r="I156" s="9">
        <f t="shared" si="15"/>
        <v>701.67438466545991</v>
      </c>
      <c r="J156" s="9">
        <f t="shared" si="16"/>
        <v>2557.9077509744802</v>
      </c>
      <c r="K156" s="9">
        <f t="shared" si="17"/>
        <v>701.67438466545991</v>
      </c>
      <c r="L156" s="10">
        <f t="shared" si="14"/>
        <v>0.27431575059661345</v>
      </c>
      <c r="M156" s="10">
        <f t="shared" si="18"/>
        <v>0.28084785338051588</v>
      </c>
      <c r="P156" s="8">
        <f t="shared" si="19"/>
        <v>34.084455205766453</v>
      </c>
    </row>
    <row r="157" spans="1:16" x14ac:dyDescent="0.2">
      <c r="A157" s="8">
        <v>77.5</v>
      </c>
      <c r="B157" s="8">
        <v>155</v>
      </c>
      <c r="D157">
        <v>2680.7058823529001</v>
      </c>
      <c r="E157">
        <v>812.99607843137005</v>
      </c>
      <c r="F157">
        <v>126.56403622251</v>
      </c>
      <c r="G157">
        <v>111.80724450194</v>
      </c>
      <c r="I157" s="9">
        <f t="shared" si="15"/>
        <v>701.18883392943007</v>
      </c>
      <c r="J157" s="9">
        <f t="shared" si="16"/>
        <v>2554.1418461303901</v>
      </c>
      <c r="K157" s="9">
        <f t="shared" si="17"/>
        <v>701.18883392943007</v>
      </c>
      <c r="L157" s="10">
        <f t="shared" si="14"/>
        <v>0.27453010685046897</v>
      </c>
      <c r="M157" s="10">
        <f t="shared" si="18"/>
        <v>0.28110462588621493</v>
      </c>
      <c r="P157" s="8">
        <f t="shared" si="19"/>
        <v>34.207045430772837</v>
      </c>
    </row>
    <row r="158" spans="1:16" x14ac:dyDescent="0.2">
      <c r="A158" s="8">
        <v>78</v>
      </c>
      <c r="B158" s="8">
        <v>156</v>
      </c>
      <c r="D158">
        <v>2723.8705882353001</v>
      </c>
      <c r="E158">
        <v>821.00522875817001</v>
      </c>
      <c r="F158">
        <v>126.80724450194</v>
      </c>
      <c r="G158">
        <v>111.71927554981001</v>
      </c>
      <c r="I158" s="9">
        <f t="shared" si="15"/>
        <v>709.28595320835996</v>
      </c>
      <c r="J158" s="9">
        <f t="shared" si="16"/>
        <v>2597.0633437333599</v>
      </c>
      <c r="K158" s="9">
        <f t="shared" si="17"/>
        <v>709.28595320835996</v>
      </c>
      <c r="L158" s="10">
        <f t="shared" si="14"/>
        <v>0.27311076370926679</v>
      </c>
      <c r="M158" s="10">
        <f t="shared" si="18"/>
        <v>0.27972769899685629</v>
      </c>
      <c r="P158" s="8">
        <f t="shared" si="19"/>
        <v>33.54966283163408</v>
      </c>
    </row>
    <row r="159" spans="1:16" x14ac:dyDescent="0.2">
      <c r="A159" s="8">
        <v>78.5</v>
      </c>
      <c r="B159" s="8">
        <v>157</v>
      </c>
      <c r="D159">
        <v>2735.5084967319999</v>
      </c>
      <c r="E159">
        <v>817.07058823528996</v>
      </c>
      <c r="F159">
        <v>126.86545924968</v>
      </c>
      <c r="G159">
        <v>112.10866752910999</v>
      </c>
      <c r="I159" s="9">
        <f t="shared" si="15"/>
        <v>704.96192070617997</v>
      </c>
      <c r="J159" s="9">
        <f t="shared" si="16"/>
        <v>2608.6430374823199</v>
      </c>
      <c r="K159" s="9">
        <f t="shared" si="17"/>
        <v>704.96192070617997</v>
      </c>
      <c r="L159" s="10">
        <f t="shared" si="14"/>
        <v>0.27024085341571302</v>
      </c>
      <c r="M159" s="10">
        <f t="shared" si="18"/>
        <v>0.27690020495514606</v>
      </c>
      <c r="P159" s="8">
        <f t="shared" si="19"/>
        <v>32.199739755431679</v>
      </c>
    </row>
    <row r="160" spans="1:16" x14ac:dyDescent="0.2">
      <c r="A160" s="8">
        <v>79</v>
      </c>
      <c r="B160" s="8">
        <v>158</v>
      </c>
      <c r="D160">
        <v>2716.7411764705998</v>
      </c>
      <c r="E160">
        <v>812.03790849672998</v>
      </c>
      <c r="F160">
        <v>126.69469598965</v>
      </c>
      <c r="G160">
        <v>112.36739974127001</v>
      </c>
      <c r="I160" s="9">
        <f t="shared" si="15"/>
        <v>699.67050875545999</v>
      </c>
      <c r="J160" s="9">
        <f t="shared" si="16"/>
        <v>2590.0464804809499</v>
      </c>
      <c r="K160" s="9">
        <f t="shared" si="17"/>
        <v>699.67050875545999</v>
      </c>
      <c r="L160" s="10">
        <f t="shared" si="14"/>
        <v>0.27013820563773705</v>
      </c>
      <c r="M160" s="10">
        <f t="shared" si="18"/>
        <v>0.27683997342901356</v>
      </c>
      <c r="P160" s="8">
        <f t="shared" si="19"/>
        <v>32.170983575633699</v>
      </c>
    </row>
    <row r="161" spans="1:16" x14ac:dyDescent="0.2">
      <c r="A161" s="8">
        <v>79.5</v>
      </c>
      <c r="B161" s="8">
        <v>159</v>
      </c>
      <c r="D161">
        <v>2702.9908496732</v>
      </c>
      <c r="E161">
        <v>802.18169934641003</v>
      </c>
      <c r="F161">
        <v>126.86157826649</v>
      </c>
      <c r="G161">
        <v>111.97671410091</v>
      </c>
      <c r="I161" s="9">
        <f t="shared" si="15"/>
        <v>690.20498524549998</v>
      </c>
      <c r="J161" s="9">
        <f t="shared" si="16"/>
        <v>2576.1292714067099</v>
      </c>
      <c r="K161" s="9">
        <f t="shared" si="17"/>
        <v>690.20498524549998</v>
      </c>
      <c r="L161" s="10">
        <f t="shared" si="14"/>
        <v>0.26792327268134708</v>
      </c>
      <c r="M161" s="10">
        <f t="shared" si="18"/>
        <v>0.27466745672446713</v>
      </c>
      <c r="P161" s="8">
        <f t="shared" si="19"/>
        <v>31.133764614376915</v>
      </c>
    </row>
    <row r="162" spans="1:16" x14ac:dyDescent="0.2">
      <c r="A162" s="8">
        <v>80</v>
      </c>
      <c r="B162" s="4">
        <v>160</v>
      </c>
      <c r="C162" s="4" t="s">
        <v>6</v>
      </c>
      <c r="D162">
        <v>2719.2562091503</v>
      </c>
      <c r="E162">
        <v>792.48758169935002</v>
      </c>
      <c r="F162">
        <v>126.4489003881</v>
      </c>
      <c r="G162">
        <v>111.90944372574</v>
      </c>
      <c r="H162" s="4"/>
      <c r="I162" s="5">
        <f t="shared" si="15"/>
        <v>680.57813797360996</v>
      </c>
      <c r="J162" s="5">
        <f t="shared" si="16"/>
        <v>2592.8073087622001</v>
      </c>
      <c r="K162" s="9">
        <f t="shared" si="17"/>
        <v>680.57813797360996</v>
      </c>
      <c r="L162" s="6">
        <f t="shared" si="14"/>
        <v>0.2624869714280913</v>
      </c>
      <c r="M162" s="6">
        <f t="shared" si="18"/>
        <v>0.26927357172305488</v>
      </c>
      <c r="N162" s="4"/>
      <c r="O162" s="4"/>
      <c r="P162" s="4">
        <f t="shared" si="19"/>
        <v>28.558576222685645</v>
      </c>
    </row>
    <row r="163" spans="1:16" x14ac:dyDescent="0.2">
      <c r="A163" s="8">
        <v>80.5</v>
      </c>
      <c r="B163" s="8">
        <v>161</v>
      </c>
      <c r="D163">
        <v>2599.2196078431002</v>
      </c>
      <c r="E163">
        <v>769.05751633986995</v>
      </c>
      <c r="F163">
        <v>126.60672703752</v>
      </c>
      <c r="G163">
        <v>111.82535575679</v>
      </c>
      <c r="I163" s="9">
        <f t="shared" si="15"/>
        <v>657.23216058307992</v>
      </c>
      <c r="J163" s="9">
        <f t="shared" si="16"/>
        <v>2472.6128808055801</v>
      </c>
      <c r="K163" s="9">
        <f t="shared" si="17"/>
        <v>657.23216058307992</v>
      </c>
      <c r="L163" s="10">
        <f t="shared" si="14"/>
        <v>0.26580471439142261</v>
      </c>
      <c r="M163" s="10">
        <f t="shared" si="18"/>
        <v>0.27263373093822973</v>
      </c>
      <c r="P163" s="8">
        <f t="shared" si="19"/>
        <v>30.162808237807798</v>
      </c>
    </row>
    <row r="164" spans="1:16" x14ac:dyDescent="0.2">
      <c r="A164" s="8">
        <v>81</v>
      </c>
      <c r="B164" s="8">
        <v>162</v>
      </c>
      <c r="D164">
        <v>2614.2222222221999</v>
      </c>
      <c r="E164">
        <v>773.81830065359998</v>
      </c>
      <c r="F164">
        <v>127.07891332471</v>
      </c>
      <c r="G164">
        <v>111.92238033635</v>
      </c>
      <c r="I164" s="9">
        <f t="shared" si="15"/>
        <v>661.89592031724999</v>
      </c>
      <c r="J164" s="9">
        <f t="shared" si="16"/>
        <v>2487.14330889749</v>
      </c>
      <c r="K164" s="9">
        <f t="shared" si="17"/>
        <v>661.89592031724999</v>
      </c>
      <c r="L164" s="10">
        <f t="shared" si="14"/>
        <v>0.26612697304147609</v>
      </c>
      <c r="M164" s="10">
        <f t="shared" si="18"/>
        <v>0.27299840584012669</v>
      </c>
      <c r="P164" s="8">
        <f t="shared" si="19"/>
        <v>30.336914021275618</v>
      </c>
    </row>
    <row r="165" spans="1:16" x14ac:dyDescent="0.2">
      <c r="A165" s="8">
        <v>81.5</v>
      </c>
      <c r="B165" s="8">
        <v>163</v>
      </c>
      <c r="D165">
        <v>2557.4653594770998</v>
      </c>
      <c r="E165">
        <v>758.15686274510006</v>
      </c>
      <c r="F165">
        <v>126.66106080207</v>
      </c>
      <c r="G165">
        <v>112.03751617076</v>
      </c>
      <c r="I165" s="9">
        <f t="shared" si="15"/>
        <v>646.11934657434006</v>
      </c>
      <c r="J165" s="9">
        <f t="shared" si="16"/>
        <v>2430.8042986750297</v>
      </c>
      <c r="K165" s="9">
        <f t="shared" si="17"/>
        <v>646.11934657434006</v>
      </c>
      <c r="L165" s="10">
        <f t="shared" si="14"/>
        <v>0.26580475726759389</v>
      </c>
      <c r="M165" s="10">
        <f t="shared" si="18"/>
        <v>0.27271860631808803</v>
      </c>
      <c r="P165" s="8">
        <f t="shared" si="19"/>
        <v>30.203330068157214</v>
      </c>
    </row>
    <row r="166" spans="1:16" x14ac:dyDescent="0.2">
      <c r="A166" s="8">
        <v>82</v>
      </c>
      <c r="B166" s="8">
        <v>164</v>
      </c>
      <c r="D166">
        <v>2617.7477124183001</v>
      </c>
      <c r="E166">
        <v>788.27843137255002</v>
      </c>
      <c r="F166">
        <v>126.82406209573</v>
      </c>
      <c r="G166">
        <v>111.95084087969001</v>
      </c>
      <c r="I166" s="9">
        <f t="shared" si="15"/>
        <v>676.32759049286005</v>
      </c>
      <c r="J166" s="9">
        <f t="shared" si="16"/>
        <v>2490.9236503225702</v>
      </c>
      <c r="K166" s="9">
        <f t="shared" si="17"/>
        <v>676.32759049286005</v>
      </c>
      <c r="L166" s="10">
        <f t="shared" si="14"/>
        <v>0.27151678872424567</v>
      </c>
      <c r="M166" s="10">
        <f t="shared" si="18"/>
        <v>0.27847305402658334</v>
      </c>
      <c r="P166" s="8">
        <f t="shared" si="19"/>
        <v>32.950660968914576</v>
      </c>
    </row>
    <row r="167" spans="1:16" x14ac:dyDescent="0.2">
      <c r="A167" s="8">
        <v>82.5</v>
      </c>
      <c r="B167" s="8">
        <v>165</v>
      </c>
      <c r="D167">
        <v>2642.5490196077999</v>
      </c>
      <c r="E167">
        <v>802.97777777778003</v>
      </c>
      <c r="F167">
        <v>127.53298835705</v>
      </c>
      <c r="G167">
        <v>111.79430789133001</v>
      </c>
      <c r="I167" s="9">
        <f t="shared" si="15"/>
        <v>691.18346988644998</v>
      </c>
      <c r="J167" s="9">
        <f t="shared" si="16"/>
        <v>2515.0160312507501</v>
      </c>
      <c r="K167" s="9">
        <f t="shared" si="17"/>
        <v>691.18346988644998</v>
      </c>
      <c r="L167" s="10">
        <f t="shared" si="14"/>
        <v>0.27482268951689959</v>
      </c>
      <c r="M167" s="10">
        <f t="shared" si="18"/>
        <v>0.2818213710710808</v>
      </c>
      <c r="P167" s="8">
        <f t="shared" si="19"/>
        <v>34.549239207500356</v>
      </c>
    </row>
    <row r="168" spans="1:16" x14ac:dyDescent="0.2">
      <c r="A168" s="8">
        <v>83</v>
      </c>
      <c r="B168" s="8">
        <v>166</v>
      </c>
      <c r="D168">
        <v>2597.4679738561999</v>
      </c>
      <c r="E168">
        <v>801.29411764706003</v>
      </c>
      <c r="F168">
        <v>126.83441138422</v>
      </c>
      <c r="G168">
        <v>111.80336351875999</v>
      </c>
      <c r="I168" s="9">
        <f t="shared" si="15"/>
        <v>689.49075412830007</v>
      </c>
      <c r="J168" s="9">
        <f t="shared" si="16"/>
        <v>2470.63356247198</v>
      </c>
      <c r="K168" s="9">
        <f t="shared" si="17"/>
        <v>689.49075412830007</v>
      </c>
      <c r="L168" s="10">
        <f t="shared" si="14"/>
        <v>0.27907447085695442</v>
      </c>
      <c r="M168" s="10">
        <f t="shared" si="18"/>
        <v>0.2861155686629791</v>
      </c>
      <c r="P168" s="8">
        <f t="shared" si="19"/>
        <v>36.599406718930389</v>
      </c>
    </row>
    <row r="169" spans="1:16" x14ac:dyDescent="0.2">
      <c r="A169" s="8">
        <v>83.5</v>
      </c>
      <c r="B169" s="8">
        <v>167</v>
      </c>
      <c r="D169">
        <v>2818.0052083332998</v>
      </c>
      <c r="E169">
        <v>857.35416666667004</v>
      </c>
      <c r="F169">
        <v>126.84864165589001</v>
      </c>
      <c r="G169">
        <v>111.98447606726999</v>
      </c>
      <c r="I169" s="9">
        <f t="shared" si="15"/>
        <v>745.36969059940009</v>
      </c>
      <c r="J169" s="9">
        <f t="shared" si="16"/>
        <v>2691.15656667741</v>
      </c>
      <c r="K169" s="9">
        <f t="shared" si="17"/>
        <v>745.36969059940009</v>
      </c>
      <c r="L169" s="10">
        <f t="shared" si="14"/>
        <v>0.2769700209303162</v>
      </c>
      <c r="M169" s="10">
        <f t="shared" si="18"/>
        <v>0.28405353498818442</v>
      </c>
      <c r="P169" s="8">
        <f t="shared" si="19"/>
        <v>35.614935381254959</v>
      </c>
    </row>
    <row r="170" spans="1:16" x14ac:dyDescent="0.2">
      <c r="A170" s="8">
        <v>84</v>
      </c>
      <c r="B170" s="8">
        <v>168</v>
      </c>
      <c r="D170">
        <v>2822.6497395832998</v>
      </c>
      <c r="E170">
        <v>859.55338541667004</v>
      </c>
      <c r="F170">
        <v>127.33505821475001</v>
      </c>
      <c r="G170">
        <v>111.87322121603999</v>
      </c>
      <c r="I170" s="9">
        <f t="shared" si="15"/>
        <v>747.68016420063009</v>
      </c>
      <c r="J170" s="9">
        <f t="shared" si="16"/>
        <v>2695.3146813685498</v>
      </c>
      <c r="K170" s="9">
        <f t="shared" si="17"/>
        <v>747.68016420063009</v>
      </c>
      <c r="L170" s="10">
        <f t="shared" si="14"/>
        <v>0.27739995235769443</v>
      </c>
      <c r="M170" s="10">
        <f t="shared" si="18"/>
        <v>0.28452588266740619</v>
      </c>
      <c r="P170" s="8">
        <f t="shared" si="19"/>
        <v>35.840447096846923</v>
      </c>
    </row>
    <row r="171" spans="1:16" x14ac:dyDescent="0.2">
      <c r="A171" s="8">
        <v>84.5</v>
      </c>
      <c r="B171" s="8">
        <v>169</v>
      </c>
      <c r="D171">
        <v>2811.0859375</v>
      </c>
      <c r="E171">
        <v>864.515625</v>
      </c>
      <c r="F171">
        <v>126.48382923673999</v>
      </c>
      <c r="G171">
        <v>112.34282018111</v>
      </c>
      <c r="I171" s="9">
        <f t="shared" si="15"/>
        <v>752.17280481888997</v>
      </c>
      <c r="J171" s="9">
        <f t="shared" si="16"/>
        <v>2684.6021082632601</v>
      </c>
      <c r="K171" s="9">
        <f t="shared" si="17"/>
        <v>752.17280481888997</v>
      </c>
      <c r="L171" s="10">
        <f t="shared" si="14"/>
        <v>0.28018036732657203</v>
      </c>
      <c r="M171" s="10">
        <f t="shared" si="18"/>
        <v>0.28734871388812733</v>
      </c>
      <c r="P171" s="8">
        <f t="shared" si="19"/>
        <v>37.188144014634652</v>
      </c>
    </row>
    <row r="172" spans="1:16" x14ac:dyDescent="0.2">
      <c r="A172" s="8">
        <v>85</v>
      </c>
      <c r="B172" s="8">
        <v>170</v>
      </c>
      <c r="D172">
        <v>2780.7849740933002</v>
      </c>
      <c r="E172">
        <v>869.63212435233004</v>
      </c>
      <c r="F172">
        <v>127.08150064682999</v>
      </c>
      <c r="G172">
        <v>112.33505821475001</v>
      </c>
      <c r="I172" s="9">
        <f t="shared" si="15"/>
        <v>757.29706613758003</v>
      </c>
      <c r="J172" s="9">
        <f t="shared" si="16"/>
        <v>2653.7034734464701</v>
      </c>
      <c r="K172" s="9">
        <f t="shared" si="17"/>
        <v>757.29706613758003</v>
      </c>
      <c r="L172" s="10">
        <f t="shared" si="14"/>
        <v>0.28537365749988947</v>
      </c>
      <c r="M172" s="10">
        <f t="shared" si="18"/>
        <v>0.29258442031328824</v>
      </c>
      <c r="P172" s="8">
        <f t="shared" si="19"/>
        <v>39.687813622875765</v>
      </c>
    </row>
    <row r="173" spans="1:16" x14ac:dyDescent="0.2">
      <c r="A173" s="8">
        <v>85.5</v>
      </c>
      <c r="B173" s="8">
        <v>171</v>
      </c>
      <c r="D173">
        <v>2721.9443005181001</v>
      </c>
      <c r="E173">
        <v>855.78626943004997</v>
      </c>
      <c r="F173">
        <v>126.96765847348</v>
      </c>
      <c r="G173">
        <v>112.07632600258999</v>
      </c>
      <c r="I173" s="9">
        <f t="shared" si="15"/>
        <v>743.70994342745996</v>
      </c>
      <c r="J173" s="9">
        <f t="shared" si="16"/>
        <v>2594.9766420446203</v>
      </c>
      <c r="K173" s="9">
        <f t="shared" si="17"/>
        <v>743.70994342745996</v>
      </c>
      <c r="L173" s="10">
        <f t="shared" si="14"/>
        <v>0.2865960068301347</v>
      </c>
      <c r="M173" s="10">
        <f t="shared" si="18"/>
        <v>0.29384918589537701</v>
      </c>
      <c r="P173" s="8">
        <f t="shared" si="19"/>
        <v>40.291647342792466</v>
      </c>
    </row>
    <row r="174" spans="1:16" x14ac:dyDescent="0.2">
      <c r="A174" s="8">
        <v>86</v>
      </c>
      <c r="B174" s="8">
        <v>172</v>
      </c>
      <c r="D174">
        <v>2613.4119170985</v>
      </c>
      <c r="E174">
        <v>824.94300518135003</v>
      </c>
      <c r="F174">
        <v>126.91461836999</v>
      </c>
      <c r="G174">
        <v>111.91979301423</v>
      </c>
      <c r="I174" s="9">
        <f t="shared" si="15"/>
        <v>713.02321216712005</v>
      </c>
      <c r="J174" s="9">
        <f t="shared" si="16"/>
        <v>2486.49729872851</v>
      </c>
      <c r="K174" s="9">
        <f t="shared" si="17"/>
        <v>713.02321216712005</v>
      </c>
      <c r="L174" s="10">
        <f t="shared" si="14"/>
        <v>0.28675808838872663</v>
      </c>
      <c r="M174" s="10">
        <f t="shared" si="18"/>
        <v>0.29405368370581247</v>
      </c>
      <c r="P174" s="8">
        <f t="shared" si="19"/>
        <v>40.389280196926698</v>
      </c>
    </row>
    <row r="175" spans="1:16" x14ac:dyDescent="0.2">
      <c r="A175" s="8">
        <v>86.5</v>
      </c>
      <c r="B175" s="8">
        <v>173</v>
      </c>
      <c r="D175">
        <v>2594.8044041450999</v>
      </c>
      <c r="E175">
        <v>823.43264248704997</v>
      </c>
      <c r="F175">
        <v>127.1552393273</v>
      </c>
      <c r="G175">
        <v>112.14100905562999</v>
      </c>
      <c r="I175" s="9">
        <f t="shared" si="15"/>
        <v>711.29163343142</v>
      </c>
      <c r="J175" s="9">
        <f t="shared" si="16"/>
        <v>2467.6491648177998</v>
      </c>
      <c r="K175" s="9">
        <f t="shared" si="17"/>
        <v>711.29163343142</v>
      </c>
      <c r="L175" s="10">
        <f t="shared" si="14"/>
        <v>0.28824666146734784</v>
      </c>
      <c r="M175" s="10">
        <f t="shared" si="18"/>
        <v>0.29558467303627722</v>
      </c>
      <c r="P175" s="8">
        <f t="shared" si="19"/>
        <v>41.120216423891812</v>
      </c>
    </row>
    <row r="176" spans="1:16" x14ac:dyDescent="0.2">
      <c r="A176" s="8">
        <v>87</v>
      </c>
      <c r="B176" s="8">
        <v>174</v>
      </c>
      <c r="D176">
        <v>2721.5168393782001</v>
      </c>
      <c r="E176">
        <v>868.55181347150005</v>
      </c>
      <c r="F176">
        <v>127.33247089263</v>
      </c>
      <c r="G176">
        <v>112.12807244502</v>
      </c>
      <c r="I176" s="9">
        <f t="shared" si="15"/>
        <v>756.42374102648</v>
      </c>
      <c r="J176" s="9">
        <f t="shared" si="16"/>
        <v>2594.1843684855703</v>
      </c>
      <c r="K176" s="9">
        <f t="shared" si="17"/>
        <v>756.42374102648</v>
      </c>
      <c r="L176" s="10">
        <f t="shared" si="14"/>
        <v>0.29158441867725232</v>
      </c>
      <c r="M176" s="10">
        <f t="shared" si="18"/>
        <v>0.29896484649802518</v>
      </c>
      <c r="P176" s="8">
        <f t="shared" si="19"/>
        <v>42.734003788345667</v>
      </c>
    </row>
    <row r="177" spans="1:16" x14ac:dyDescent="0.2">
      <c r="A177" s="8">
        <v>87.5</v>
      </c>
      <c r="B177" s="8">
        <v>175</v>
      </c>
      <c r="D177">
        <v>2728.2435233161</v>
      </c>
      <c r="E177">
        <v>870.04663212435003</v>
      </c>
      <c r="F177">
        <v>126.71668822768</v>
      </c>
      <c r="G177">
        <v>112.04915912030999</v>
      </c>
      <c r="I177" s="9">
        <f t="shared" si="15"/>
        <v>757.99747300403999</v>
      </c>
      <c r="J177" s="9">
        <f t="shared" si="16"/>
        <v>2601.5268350884198</v>
      </c>
      <c r="K177" s="9">
        <f t="shared" si="17"/>
        <v>757.99747300403999</v>
      </c>
      <c r="L177" s="10">
        <f t="shared" si="14"/>
        <v>0.29136638637758944</v>
      </c>
      <c r="M177" s="10">
        <f t="shared" si="18"/>
        <v>0.29878923045020583</v>
      </c>
      <c r="P177" s="8">
        <f t="shared" si="19"/>
        <v>42.650159878506898</v>
      </c>
    </row>
    <row r="178" spans="1:16" x14ac:dyDescent="0.2">
      <c r="A178" s="8">
        <v>88</v>
      </c>
      <c r="B178" s="8">
        <v>176</v>
      </c>
      <c r="D178">
        <v>2727.5129533679001</v>
      </c>
      <c r="E178">
        <v>874.51813471502999</v>
      </c>
      <c r="F178">
        <v>127.34799482536</v>
      </c>
      <c r="G178">
        <v>111.52393272963</v>
      </c>
      <c r="I178" s="9">
        <f t="shared" si="15"/>
        <v>762.99420198539997</v>
      </c>
      <c r="J178" s="9">
        <f t="shared" si="16"/>
        <v>2600.1649585425403</v>
      </c>
      <c r="K178" s="9">
        <f t="shared" si="17"/>
        <v>762.99420198539997</v>
      </c>
      <c r="L178" s="10">
        <f t="shared" si="14"/>
        <v>0.29344069093719266</v>
      </c>
      <c r="M178" s="10">
        <f t="shared" si="18"/>
        <v>0.30090595126165259</v>
      </c>
      <c r="P178" s="8">
        <f t="shared" si="19"/>
        <v>43.660740352629325</v>
      </c>
    </row>
    <row r="179" spans="1:16" x14ac:dyDescent="0.2">
      <c r="A179" s="8">
        <v>88.5</v>
      </c>
      <c r="B179" s="8">
        <v>177</v>
      </c>
      <c r="D179">
        <v>2673.4261658031</v>
      </c>
      <c r="E179">
        <v>856.58678756477002</v>
      </c>
      <c r="F179">
        <v>127.27943078913</v>
      </c>
      <c r="G179">
        <v>112.06468305304</v>
      </c>
      <c r="I179" s="9">
        <f t="shared" si="15"/>
        <v>744.52210451173005</v>
      </c>
      <c r="J179" s="9">
        <f t="shared" si="16"/>
        <v>2546.1467350139701</v>
      </c>
      <c r="K179" s="9">
        <f t="shared" si="17"/>
        <v>744.52210451173005</v>
      </c>
      <c r="L179" s="10">
        <f t="shared" si="14"/>
        <v>0.29241131089314265</v>
      </c>
      <c r="M179" s="10">
        <f t="shared" si="18"/>
        <v>0.29991898746944612</v>
      </c>
      <c r="P179" s="8">
        <f t="shared" si="19"/>
        <v>43.189536813798917</v>
      </c>
    </row>
    <row r="180" spans="1:16" x14ac:dyDescent="0.2">
      <c r="A180" s="8">
        <v>89</v>
      </c>
      <c r="B180" s="8">
        <v>178</v>
      </c>
      <c r="D180">
        <v>2594.8834196890998</v>
      </c>
      <c r="E180">
        <v>835.08549222798001</v>
      </c>
      <c r="F180">
        <v>126.58602846054001</v>
      </c>
      <c r="G180">
        <v>112.21345407503</v>
      </c>
      <c r="I180" s="9">
        <f t="shared" si="15"/>
        <v>722.87203815295004</v>
      </c>
      <c r="J180" s="9">
        <f t="shared" si="16"/>
        <v>2468.2973912285597</v>
      </c>
      <c r="K180" s="9">
        <f t="shared" si="17"/>
        <v>722.87203815295004</v>
      </c>
      <c r="L180" s="10">
        <f t="shared" si="14"/>
        <v>0.29286261887314591</v>
      </c>
      <c r="M180" s="10">
        <f t="shared" si="18"/>
        <v>0.30041271170129291</v>
      </c>
      <c r="P180" s="8">
        <f t="shared" si="19"/>
        <v>43.425254280933579</v>
      </c>
    </row>
    <row r="181" spans="1:16" x14ac:dyDescent="0.2">
      <c r="A181" s="8">
        <v>89.5</v>
      </c>
      <c r="B181" s="8">
        <v>179</v>
      </c>
      <c r="D181">
        <v>2750.6528497408999</v>
      </c>
      <c r="E181">
        <v>873.67746113989995</v>
      </c>
      <c r="F181">
        <v>127.24320827942999</v>
      </c>
      <c r="G181">
        <v>112.53428201811001</v>
      </c>
      <c r="I181" s="9">
        <f t="shared" si="15"/>
        <v>761.1431791217899</v>
      </c>
      <c r="J181" s="9">
        <f t="shared" si="16"/>
        <v>2623.4096414614701</v>
      </c>
      <c r="K181" s="9">
        <f t="shared" si="17"/>
        <v>761.1431791217899</v>
      </c>
      <c r="L181" s="10">
        <f t="shared" si="14"/>
        <v>0.29013508492625883</v>
      </c>
      <c r="M181" s="10">
        <f t="shared" si="18"/>
        <v>0.29772759400624932</v>
      </c>
      <c r="P181" s="8">
        <f t="shared" si="19"/>
        <v>42.143305571090735</v>
      </c>
    </row>
    <row r="182" spans="1:16" x14ac:dyDescent="0.2">
      <c r="A182" s="8">
        <v>90</v>
      </c>
      <c r="B182" s="8">
        <v>180</v>
      </c>
      <c r="D182">
        <v>2763.4922279793</v>
      </c>
      <c r="E182">
        <v>869.37046632123997</v>
      </c>
      <c r="F182">
        <v>127.24062095731</v>
      </c>
      <c r="G182">
        <v>112.56403622251</v>
      </c>
      <c r="I182" s="9">
        <f t="shared" si="15"/>
        <v>756.80643009872995</v>
      </c>
      <c r="J182" s="9">
        <f t="shared" si="16"/>
        <v>2636.2516070219899</v>
      </c>
      <c r="K182" s="9">
        <f t="shared" si="17"/>
        <v>756.80643009872995</v>
      </c>
      <c r="L182" s="10">
        <f t="shared" si="14"/>
        <v>0.2870767069739778</v>
      </c>
      <c r="M182" s="10">
        <f>L182+ABS($N$2)*A182</f>
        <v>0.29471163230581182</v>
      </c>
      <c r="P182" s="8">
        <f t="shared" si="19"/>
        <v>40.703402874107283</v>
      </c>
    </row>
    <row r="183" spans="1:16" x14ac:dyDescent="0.2">
      <c r="A183" s="8">
        <v>90.5</v>
      </c>
      <c r="B183" s="8">
        <v>181</v>
      </c>
      <c r="D183">
        <v>2704.0660621761999</v>
      </c>
      <c r="E183">
        <v>859.54663212435003</v>
      </c>
      <c r="F183">
        <v>127.23156532988</v>
      </c>
      <c r="G183">
        <v>112.23932729625</v>
      </c>
      <c r="I183" s="9">
        <f t="shared" si="15"/>
        <v>747.30730482810009</v>
      </c>
      <c r="J183" s="9">
        <f t="shared" si="16"/>
        <v>2576.8344968463198</v>
      </c>
      <c r="K183" s="9">
        <f t="shared" si="17"/>
        <v>747.30730482810009</v>
      </c>
      <c r="L183" s="10">
        <f t="shared" si="14"/>
        <v>0.29000981853615293</v>
      </c>
      <c r="M183" s="10">
        <f t="shared" ref="M183:M241" si="20">L183+ABS($N$2)*A183</f>
        <v>0.29768716011983049</v>
      </c>
      <c r="P183" s="8">
        <f t="shared" si="19"/>
        <v>42.124001326578764</v>
      </c>
    </row>
    <row r="184" spans="1:16" x14ac:dyDescent="0.2">
      <c r="A184" s="8">
        <v>91</v>
      </c>
      <c r="B184" s="8">
        <v>182</v>
      </c>
      <c r="D184">
        <v>2693.1101036269001</v>
      </c>
      <c r="E184">
        <v>847.0207253886</v>
      </c>
      <c r="F184">
        <v>127.35575679172</v>
      </c>
      <c r="G184">
        <v>112.53557567916999</v>
      </c>
      <c r="I184" s="9">
        <f t="shared" si="15"/>
        <v>734.48514970943006</v>
      </c>
      <c r="J184" s="9">
        <f t="shared" si="16"/>
        <v>2565.7543468351801</v>
      </c>
      <c r="K184" s="9">
        <f t="shared" si="17"/>
        <v>734.48514970943006</v>
      </c>
      <c r="L184" s="10">
        <f t="shared" si="14"/>
        <v>0.2862647979590901</v>
      </c>
      <c r="M184" s="10">
        <f t="shared" si="20"/>
        <v>0.29398455579461119</v>
      </c>
      <c r="P184" s="8">
        <f t="shared" si="19"/>
        <v>40.356276639301569</v>
      </c>
    </row>
    <row r="185" spans="1:16" x14ac:dyDescent="0.2">
      <c r="A185" s="8">
        <v>91.5</v>
      </c>
      <c r="B185" s="8">
        <v>183</v>
      </c>
      <c r="D185">
        <v>2644.4792746113999</v>
      </c>
      <c r="E185">
        <v>821.13082901554003</v>
      </c>
      <c r="F185">
        <v>127.38033635188</v>
      </c>
      <c r="G185">
        <v>112.29366106080001</v>
      </c>
      <c r="I185" s="9">
        <f t="shared" si="15"/>
        <v>708.83716795474004</v>
      </c>
      <c r="J185" s="9">
        <f t="shared" si="16"/>
        <v>2517.0989382595199</v>
      </c>
      <c r="K185" s="9">
        <f t="shared" si="17"/>
        <v>708.83716795474004</v>
      </c>
      <c r="L185" s="10">
        <f t="shared" si="14"/>
        <v>0.28160878270636214</v>
      </c>
      <c r="M185" s="10">
        <f t="shared" si="20"/>
        <v>0.28937095679372671</v>
      </c>
      <c r="P185" s="8">
        <f t="shared" si="19"/>
        <v>38.153618149570057</v>
      </c>
    </row>
    <row r="186" spans="1:16" x14ac:dyDescent="0.2">
      <c r="A186" s="8">
        <v>92</v>
      </c>
      <c r="B186" s="8">
        <v>184</v>
      </c>
      <c r="D186">
        <v>2772.2818181818002</v>
      </c>
      <c r="E186">
        <v>858.56623376622997</v>
      </c>
      <c r="F186">
        <v>127.18111254851</v>
      </c>
      <c r="G186">
        <v>112.39974126779001</v>
      </c>
      <c r="I186" s="9">
        <f t="shared" si="15"/>
        <v>746.16649249843999</v>
      </c>
      <c r="J186" s="9">
        <f t="shared" si="16"/>
        <v>2645.1007056332901</v>
      </c>
      <c r="K186" s="9">
        <f t="shared" si="17"/>
        <v>746.16649249843999</v>
      </c>
      <c r="L186" s="10">
        <f t="shared" si="14"/>
        <v>0.28209379359709208</v>
      </c>
      <c r="M186" s="10">
        <f t="shared" si="20"/>
        <v>0.28989838393630019</v>
      </c>
      <c r="P186" s="8">
        <f t="shared" si="19"/>
        <v>38.405426309117864</v>
      </c>
    </row>
    <row r="187" spans="1:16" x14ac:dyDescent="0.2">
      <c r="A187" s="8">
        <v>92.5</v>
      </c>
      <c r="B187" s="8">
        <v>185</v>
      </c>
      <c r="D187">
        <v>2705.6194805195</v>
      </c>
      <c r="E187">
        <v>853.51168831169002</v>
      </c>
      <c r="F187">
        <v>127.49288486416999</v>
      </c>
      <c r="G187">
        <v>112.15912031048001</v>
      </c>
      <c r="I187" s="9">
        <f t="shared" si="15"/>
        <v>741.35256800120999</v>
      </c>
      <c r="J187" s="9">
        <f t="shared" si="16"/>
        <v>2578.1265956553302</v>
      </c>
      <c r="K187" s="9">
        <f t="shared" si="17"/>
        <v>741.35256800120999</v>
      </c>
      <c r="L187" s="10">
        <f t="shared" si="14"/>
        <v>0.28755475749349951</v>
      </c>
      <c r="M187" s="10">
        <f t="shared" si="20"/>
        <v>0.29540176408455115</v>
      </c>
      <c r="P187" s="8">
        <f t="shared" si="19"/>
        <v>41.0328906820382</v>
      </c>
    </row>
    <row r="188" spans="1:16" x14ac:dyDescent="0.2">
      <c r="A188" s="8">
        <v>93</v>
      </c>
      <c r="B188" s="8">
        <v>186</v>
      </c>
      <c r="D188">
        <v>2663.4467532468002</v>
      </c>
      <c r="E188">
        <v>849.12337662337995</v>
      </c>
      <c r="F188">
        <v>127.78783958603</v>
      </c>
      <c r="G188">
        <v>112.14100905562999</v>
      </c>
      <c r="I188" s="9">
        <f t="shared" si="15"/>
        <v>736.98236756774998</v>
      </c>
      <c r="J188" s="9">
        <f t="shared" si="16"/>
        <v>2535.6589136607704</v>
      </c>
      <c r="K188" s="9">
        <f t="shared" si="17"/>
        <v>736.98236756774998</v>
      </c>
      <c r="L188" s="10">
        <f t="shared" si="14"/>
        <v>0.29064728051445887</v>
      </c>
      <c r="M188" s="10">
        <f t="shared" si="20"/>
        <v>0.29853670335735405</v>
      </c>
      <c r="P188" s="8">
        <f t="shared" si="19"/>
        <v>42.529596529839068</v>
      </c>
    </row>
    <row r="189" spans="1:16" x14ac:dyDescent="0.2">
      <c r="A189" s="8">
        <v>93.5</v>
      </c>
      <c r="B189" s="8">
        <v>187</v>
      </c>
      <c r="D189">
        <v>2594.2090909090998</v>
      </c>
      <c r="E189">
        <v>823.12857142857001</v>
      </c>
      <c r="F189">
        <v>127.99482535576</v>
      </c>
      <c r="G189">
        <v>112.36869340233</v>
      </c>
      <c r="I189" s="9">
        <f t="shared" si="15"/>
        <v>710.75987802624002</v>
      </c>
      <c r="J189" s="9">
        <f t="shared" si="16"/>
        <v>2466.2142655533398</v>
      </c>
      <c r="K189" s="9">
        <f t="shared" si="17"/>
        <v>710.75987802624002</v>
      </c>
      <c r="L189" s="10">
        <f t="shared" si="14"/>
        <v>0.28819875383648719</v>
      </c>
      <c r="M189" s="10">
        <f t="shared" si="20"/>
        <v>0.29613059293122584</v>
      </c>
      <c r="P189" s="8">
        <f t="shared" si="19"/>
        <v>41.380853529780595</v>
      </c>
    </row>
    <row r="190" spans="1:16" x14ac:dyDescent="0.2">
      <c r="A190" s="8">
        <v>94</v>
      </c>
      <c r="B190" s="8">
        <v>188</v>
      </c>
      <c r="D190">
        <v>2449.8766233766</v>
      </c>
      <c r="E190">
        <v>792.67922077922003</v>
      </c>
      <c r="F190">
        <v>127.04786545925</v>
      </c>
      <c r="G190">
        <v>112.44631306597999</v>
      </c>
      <c r="I190" s="9">
        <f t="shared" si="15"/>
        <v>680.23290771324002</v>
      </c>
      <c r="J190" s="9">
        <f t="shared" si="16"/>
        <v>2322.8287579173502</v>
      </c>
      <c r="K190" s="9">
        <f t="shared" si="17"/>
        <v>680.23290771324002</v>
      </c>
      <c r="L190" s="10">
        <f t="shared" si="14"/>
        <v>0.292846773742864</v>
      </c>
      <c r="M190" s="10">
        <f t="shared" si="20"/>
        <v>0.30082102908944619</v>
      </c>
      <c r="P190" s="8">
        <f t="shared" si="19"/>
        <v>43.620196182331682</v>
      </c>
    </row>
    <row r="191" spans="1:16" x14ac:dyDescent="0.2">
      <c r="A191" s="8">
        <v>94.5</v>
      </c>
      <c r="B191" s="8">
        <v>189</v>
      </c>
      <c r="D191">
        <v>2420.4324675325001</v>
      </c>
      <c r="E191">
        <v>784.47792207791997</v>
      </c>
      <c r="F191">
        <v>127.28331177232</v>
      </c>
      <c r="G191">
        <v>112.69469598965</v>
      </c>
      <c r="I191" s="9">
        <f t="shared" si="15"/>
        <v>671.78322608827</v>
      </c>
      <c r="J191" s="9">
        <f t="shared" si="16"/>
        <v>2293.1491557601803</v>
      </c>
      <c r="K191" s="9">
        <f t="shared" si="17"/>
        <v>671.78322608827</v>
      </c>
      <c r="L191" s="10">
        <f t="shared" si="14"/>
        <v>0.29295225929844648</v>
      </c>
      <c r="M191" s="10">
        <f t="shared" si="20"/>
        <v>0.30096893089687221</v>
      </c>
      <c r="P191" s="8">
        <f t="shared" si="19"/>
        <v>43.690808554952518</v>
      </c>
    </row>
    <row r="192" spans="1:16" x14ac:dyDescent="0.2">
      <c r="A192" s="8">
        <v>95</v>
      </c>
      <c r="B192" s="8">
        <v>190</v>
      </c>
      <c r="D192">
        <v>2554.7701298700999</v>
      </c>
      <c r="E192">
        <v>809.38961038960997</v>
      </c>
      <c r="F192">
        <v>127.30530401035</v>
      </c>
      <c r="G192">
        <v>112.21216041397</v>
      </c>
      <c r="I192" s="9">
        <f t="shared" si="15"/>
        <v>697.17744997564</v>
      </c>
      <c r="J192" s="9">
        <f t="shared" si="16"/>
        <v>2427.4648258597499</v>
      </c>
      <c r="K192" s="9">
        <f t="shared" si="17"/>
        <v>697.17744997564</v>
      </c>
      <c r="L192" s="10">
        <f t="shared" si="14"/>
        <v>0.28720393496483165</v>
      </c>
      <c r="M192" s="10">
        <f t="shared" si="20"/>
        <v>0.29526302281510092</v>
      </c>
      <c r="P192" s="8">
        <f t="shared" si="19"/>
        <v>40.96665180107518</v>
      </c>
    </row>
    <row r="193" spans="1:16" x14ac:dyDescent="0.2">
      <c r="A193" s="8">
        <v>95.5</v>
      </c>
      <c r="B193" s="8">
        <v>191</v>
      </c>
      <c r="D193">
        <v>2319.1584415584002</v>
      </c>
      <c r="E193">
        <v>729.96623376622995</v>
      </c>
      <c r="F193">
        <v>127.6701164295</v>
      </c>
      <c r="G193">
        <v>112.58861578267</v>
      </c>
      <c r="I193" s="9">
        <f t="shared" si="15"/>
        <v>617.37761798355996</v>
      </c>
      <c r="J193" s="9">
        <f t="shared" si="16"/>
        <v>2191.4883251289002</v>
      </c>
      <c r="K193" s="9">
        <f t="shared" si="17"/>
        <v>617.37761798355996</v>
      </c>
      <c r="L193" s="10">
        <f t="shared" si="14"/>
        <v>0.28171613369067194</v>
      </c>
      <c r="M193" s="10">
        <f t="shared" si="20"/>
        <v>0.28981763779278469</v>
      </c>
      <c r="P193" s="8">
        <f t="shared" si="19"/>
        <v>38.366875889262694</v>
      </c>
    </row>
    <row r="194" spans="1:16" x14ac:dyDescent="0.2">
      <c r="A194" s="8">
        <v>96</v>
      </c>
      <c r="B194" s="8">
        <v>192</v>
      </c>
      <c r="D194">
        <v>2237.0415584416</v>
      </c>
      <c r="E194">
        <v>707.95714285713996</v>
      </c>
      <c r="F194">
        <v>126.71151358344</v>
      </c>
      <c r="G194">
        <v>112.10349288486</v>
      </c>
      <c r="I194" s="9">
        <f t="shared" si="15"/>
        <v>595.85364997227998</v>
      </c>
      <c r="J194" s="9">
        <f t="shared" si="16"/>
        <v>2110.3300448581599</v>
      </c>
      <c r="K194" s="9">
        <f t="shared" si="17"/>
        <v>595.85364997227998</v>
      </c>
      <c r="L194" s="10">
        <f t="shared" ref="L194:L257" si="21">K194/J194</f>
        <v>0.28235092962074027</v>
      </c>
      <c r="M194" s="10">
        <f t="shared" si="20"/>
        <v>0.29049484997469655</v>
      </c>
      <c r="P194" s="8">
        <f t="shared" si="19"/>
        <v>38.690195527911776</v>
      </c>
    </row>
    <row r="195" spans="1:16" x14ac:dyDescent="0.2">
      <c r="A195" s="8">
        <v>96.5</v>
      </c>
      <c r="B195" s="8">
        <v>193</v>
      </c>
      <c r="D195">
        <v>2455.7194805194999</v>
      </c>
      <c r="E195">
        <v>759.1</v>
      </c>
      <c r="F195">
        <v>127.73350582147999</v>
      </c>
      <c r="G195">
        <v>111.98188874515</v>
      </c>
      <c r="I195" s="9">
        <f t="shared" ref="I195:I241" si="22">E195-G195</f>
        <v>647.11811125484996</v>
      </c>
      <c r="J195" s="9">
        <f t="shared" ref="J195:J241" si="23">D195-F195</f>
        <v>2327.9859746980201</v>
      </c>
      <c r="K195" s="9">
        <f t="shared" ref="K195:K258" si="24">I195*1</f>
        <v>647.11811125484996</v>
      </c>
      <c r="L195" s="10">
        <f t="shared" si="21"/>
        <v>0.27797337195675859</v>
      </c>
      <c r="M195" s="10">
        <f t="shared" si="20"/>
        <v>0.2861597085625584</v>
      </c>
      <c r="P195" s="8">
        <f t="shared" ref="P195:P241" si="25">(M195-$O$2)/$O$2*100</f>
        <v>36.620480315600929</v>
      </c>
    </row>
    <row r="196" spans="1:16" x14ac:dyDescent="0.2">
      <c r="A196" s="8">
        <v>97</v>
      </c>
      <c r="B196" s="8">
        <v>194</v>
      </c>
      <c r="D196">
        <v>2403.9077922078</v>
      </c>
      <c r="E196">
        <v>739.73246753246997</v>
      </c>
      <c r="F196">
        <v>127.41785252264</v>
      </c>
      <c r="G196">
        <v>112.58473479948</v>
      </c>
      <c r="I196" s="9">
        <f t="shared" si="22"/>
        <v>627.14773273298999</v>
      </c>
      <c r="J196" s="9">
        <f t="shared" si="23"/>
        <v>2276.4899396851602</v>
      </c>
      <c r="K196" s="9">
        <f t="shared" si="24"/>
        <v>627.14773273298999</v>
      </c>
      <c r="L196" s="10">
        <f t="shared" si="21"/>
        <v>0.27548891027373695</v>
      </c>
      <c r="M196" s="10">
        <f t="shared" si="20"/>
        <v>0.2837176631313803</v>
      </c>
      <c r="P196" s="8">
        <f t="shared" si="25"/>
        <v>35.454580960181595</v>
      </c>
    </row>
    <row r="197" spans="1:16" x14ac:dyDescent="0.2">
      <c r="A197" s="8">
        <v>97.5</v>
      </c>
      <c r="B197" s="8">
        <v>195</v>
      </c>
      <c r="D197">
        <v>2493.4623376622999</v>
      </c>
      <c r="E197">
        <v>758.04805194804999</v>
      </c>
      <c r="F197">
        <v>127.27813712807</v>
      </c>
      <c r="G197">
        <v>112.41914618369999</v>
      </c>
      <c r="I197" s="9">
        <f t="shared" si="22"/>
        <v>645.62890576434995</v>
      </c>
      <c r="J197" s="9">
        <f t="shared" si="23"/>
        <v>2366.1842005342301</v>
      </c>
      <c r="K197" s="9">
        <f t="shared" si="24"/>
        <v>645.62890576434995</v>
      </c>
      <c r="L197" s="10">
        <f t="shared" si="21"/>
        <v>0.27285657034586813</v>
      </c>
      <c r="M197" s="10">
        <f t="shared" si="20"/>
        <v>0.28112773945535496</v>
      </c>
      <c r="P197" s="8">
        <f t="shared" si="25"/>
        <v>34.218080481561721</v>
      </c>
    </row>
    <row r="198" spans="1:16" x14ac:dyDescent="0.2">
      <c r="A198" s="8">
        <v>98</v>
      </c>
      <c r="B198" s="8">
        <v>196</v>
      </c>
      <c r="D198">
        <v>2515.6792207792</v>
      </c>
      <c r="E198">
        <v>763.95714285713996</v>
      </c>
      <c r="F198">
        <v>127.5873221216</v>
      </c>
      <c r="G198">
        <v>112.52134540749999</v>
      </c>
      <c r="I198" s="9">
        <f t="shared" si="22"/>
        <v>651.43579744963995</v>
      </c>
      <c r="J198" s="9">
        <f t="shared" si="23"/>
        <v>2388.0918986575998</v>
      </c>
      <c r="K198" s="9">
        <f t="shared" si="24"/>
        <v>651.43579744963995</v>
      </c>
      <c r="L198" s="10">
        <f t="shared" si="21"/>
        <v>0.27278506234028377</v>
      </c>
      <c r="M198" s="10">
        <f t="shared" si="20"/>
        <v>0.28109864770161413</v>
      </c>
      <c r="P198" s="8">
        <f t="shared" si="25"/>
        <v>34.204191281753474</v>
      </c>
    </row>
    <row r="199" spans="1:16" x14ac:dyDescent="0.2">
      <c r="A199" s="8">
        <v>98.5</v>
      </c>
      <c r="B199" s="8">
        <v>197</v>
      </c>
      <c r="D199">
        <v>2571.2402597403002</v>
      </c>
      <c r="E199">
        <v>766.03506493506995</v>
      </c>
      <c r="F199">
        <v>127.23803363519001</v>
      </c>
      <c r="G199">
        <v>112.84993531695</v>
      </c>
      <c r="I199" s="9">
        <f t="shared" si="22"/>
        <v>653.18512961811996</v>
      </c>
      <c r="J199" s="9">
        <f t="shared" si="23"/>
        <v>2444.0022261051104</v>
      </c>
      <c r="K199" s="9">
        <f t="shared" si="24"/>
        <v>653.18512961811996</v>
      </c>
      <c r="L199" s="10">
        <f t="shared" si="21"/>
        <v>0.26726044790027459</v>
      </c>
      <c r="M199" s="10">
        <f t="shared" si="20"/>
        <v>0.27561644951344849</v>
      </c>
      <c r="P199" s="8">
        <f t="shared" si="25"/>
        <v>31.586839756569169</v>
      </c>
    </row>
    <row r="200" spans="1:16" x14ac:dyDescent="0.2">
      <c r="A200" s="8">
        <v>99</v>
      </c>
      <c r="B200" s="8">
        <v>198</v>
      </c>
      <c r="D200">
        <v>2730.8652849741002</v>
      </c>
      <c r="E200">
        <v>816.30051813472005</v>
      </c>
      <c r="F200">
        <v>127.75937904269</v>
      </c>
      <c r="G200">
        <v>112.27943078913</v>
      </c>
      <c r="I200" s="9">
        <f t="shared" si="22"/>
        <v>704.0210873455901</v>
      </c>
      <c r="J200" s="9">
        <f t="shared" si="23"/>
        <v>2603.1059059314102</v>
      </c>
      <c r="K200" s="9">
        <f t="shared" si="24"/>
        <v>704.0210873455901</v>
      </c>
      <c r="L200" s="10">
        <f t="shared" si="21"/>
        <v>0.2704542622493441</v>
      </c>
      <c r="M200" s="10">
        <f t="shared" si="20"/>
        <v>0.27885268011436154</v>
      </c>
      <c r="P200" s="8">
        <f t="shared" si="25"/>
        <v>33.131904857906207</v>
      </c>
    </row>
    <row r="201" spans="1:16" x14ac:dyDescent="0.2">
      <c r="A201" s="8">
        <v>99.5</v>
      </c>
      <c r="B201" s="8">
        <v>199</v>
      </c>
      <c r="D201">
        <v>2707.4987046632</v>
      </c>
      <c r="E201">
        <v>800.68264248704997</v>
      </c>
      <c r="F201">
        <v>127.74126778784</v>
      </c>
      <c r="G201">
        <v>112.53298835705</v>
      </c>
      <c r="I201" s="9">
        <f t="shared" si="22"/>
        <v>688.14965412999993</v>
      </c>
      <c r="J201" s="9">
        <f t="shared" si="23"/>
        <v>2579.7574368753599</v>
      </c>
      <c r="K201" s="9">
        <f t="shared" si="24"/>
        <v>688.14965412999993</v>
      </c>
      <c r="L201" s="10">
        <f t="shared" si="21"/>
        <v>0.26674975107872811</v>
      </c>
      <c r="M201" s="10">
        <f t="shared" si="20"/>
        <v>0.27519058519558903</v>
      </c>
      <c r="P201" s="8">
        <f t="shared" si="25"/>
        <v>31.383520470470177</v>
      </c>
    </row>
    <row r="202" spans="1:16" x14ac:dyDescent="0.2">
      <c r="A202" s="8">
        <v>100</v>
      </c>
      <c r="B202" s="8">
        <v>200</v>
      </c>
      <c r="D202">
        <v>2505.0362694301002</v>
      </c>
      <c r="E202">
        <v>742.18134715025997</v>
      </c>
      <c r="F202">
        <v>127.60931435964</v>
      </c>
      <c r="G202">
        <v>112.38680465717999</v>
      </c>
      <c r="I202" s="9">
        <f t="shared" si="22"/>
        <v>629.79454249307992</v>
      </c>
      <c r="J202" s="9">
        <f t="shared" si="23"/>
        <v>2377.4269550704603</v>
      </c>
      <c r="K202" s="9">
        <f t="shared" si="24"/>
        <v>629.79454249307992</v>
      </c>
      <c r="L202" s="10">
        <f t="shared" si="21"/>
        <v>0.2649059484876643</v>
      </c>
      <c r="M202" s="10">
        <f t="shared" si="20"/>
        <v>0.27338919885636875</v>
      </c>
      <c r="P202" s="8">
        <f t="shared" si="25"/>
        <v>30.52348930768181</v>
      </c>
    </row>
    <row r="203" spans="1:16" x14ac:dyDescent="0.2">
      <c r="A203" s="8">
        <v>100.5</v>
      </c>
      <c r="B203" s="8">
        <v>201</v>
      </c>
      <c r="D203">
        <v>2676.1618421052999</v>
      </c>
      <c r="E203">
        <v>775.76578947368</v>
      </c>
      <c r="F203">
        <v>127.76326002587</v>
      </c>
      <c r="G203">
        <v>112.5084087969</v>
      </c>
      <c r="I203" s="9">
        <f t="shared" si="22"/>
        <v>663.25738067678003</v>
      </c>
      <c r="J203" s="9">
        <f t="shared" si="23"/>
        <v>2548.3985820794301</v>
      </c>
      <c r="K203" s="9">
        <f t="shared" si="24"/>
        <v>663.25738067678003</v>
      </c>
      <c r="L203" s="10">
        <f t="shared" si="21"/>
        <v>0.2602643814593471</v>
      </c>
      <c r="M203" s="10">
        <f t="shared" si="20"/>
        <v>0.26879004807989509</v>
      </c>
      <c r="P203" s="8">
        <f t="shared" si="25"/>
        <v>28.327728795896356</v>
      </c>
    </row>
    <row r="204" spans="1:16" x14ac:dyDescent="0.2">
      <c r="A204" s="8">
        <v>101</v>
      </c>
      <c r="B204" s="8">
        <v>202</v>
      </c>
      <c r="D204">
        <v>2524.9223684211001</v>
      </c>
      <c r="E204">
        <v>742.93289473684001</v>
      </c>
      <c r="F204">
        <v>128.01423027166999</v>
      </c>
      <c r="G204">
        <v>112.57956015524</v>
      </c>
      <c r="I204" s="9">
        <f t="shared" si="22"/>
        <v>630.35333458160005</v>
      </c>
      <c r="J204" s="9">
        <f t="shared" si="23"/>
        <v>2396.9081381494302</v>
      </c>
      <c r="K204" s="9">
        <f t="shared" si="24"/>
        <v>630.35333458160005</v>
      </c>
      <c r="L204" s="10">
        <f t="shared" si="21"/>
        <v>0.26298602126165505</v>
      </c>
      <c r="M204" s="10">
        <f t="shared" si="20"/>
        <v>0.27155410413404657</v>
      </c>
      <c r="P204" s="8">
        <f t="shared" si="25"/>
        <v>29.64736483981854</v>
      </c>
    </row>
    <row r="205" spans="1:16" x14ac:dyDescent="0.2">
      <c r="A205" s="8">
        <v>101.5</v>
      </c>
      <c r="B205" s="8">
        <v>203</v>
      </c>
      <c r="D205">
        <v>2571.2328947368001</v>
      </c>
      <c r="E205">
        <v>743.72368421053</v>
      </c>
      <c r="F205">
        <v>127.60672703752</v>
      </c>
      <c r="G205">
        <v>112.52781371281</v>
      </c>
      <c r="I205" s="9">
        <f t="shared" si="22"/>
        <v>631.19587049771997</v>
      </c>
      <c r="J205" s="9">
        <f t="shared" si="23"/>
        <v>2443.6261676992799</v>
      </c>
      <c r="K205" s="9">
        <f t="shared" si="24"/>
        <v>631.19587049771997</v>
      </c>
      <c r="L205" s="10">
        <f t="shared" si="21"/>
        <v>0.2583029592828443</v>
      </c>
      <c r="M205" s="10">
        <f t="shared" si="20"/>
        <v>0.26691345840707936</v>
      </c>
      <c r="P205" s="8">
        <f t="shared" si="25"/>
        <v>27.431793502478442</v>
      </c>
    </row>
    <row r="206" spans="1:16" x14ac:dyDescent="0.2">
      <c r="A206" s="8">
        <v>102</v>
      </c>
      <c r="B206" s="8">
        <v>204</v>
      </c>
      <c r="D206">
        <v>2556.1171052631998</v>
      </c>
      <c r="E206">
        <v>734.30921052632004</v>
      </c>
      <c r="F206">
        <v>128.07891332470999</v>
      </c>
      <c r="G206">
        <v>112.49935316947</v>
      </c>
      <c r="I206" s="9">
        <f t="shared" si="22"/>
        <v>621.80985735684999</v>
      </c>
      <c r="J206" s="9">
        <f t="shared" si="23"/>
        <v>2428.0381919384899</v>
      </c>
      <c r="K206" s="9">
        <f t="shared" si="24"/>
        <v>621.80985735684999</v>
      </c>
      <c r="L206" s="10">
        <f t="shared" si="21"/>
        <v>0.25609558343084021</v>
      </c>
      <c r="M206" s="10">
        <f t="shared" si="20"/>
        <v>0.26474849880691875</v>
      </c>
      <c r="P206" s="8">
        <f t="shared" si="25"/>
        <v>26.398182509779399</v>
      </c>
    </row>
    <row r="207" spans="1:16" x14ac:dyDescent="0.2">
      <c r="A207" s="8">
        <v>102.5</v>
      </c>
      <c r="B207" s="8">
        <v>205</v>
      </c>
      <c r="D207">
        <v>2447.0328947367998</v>
      </c>
      <c r="E207">
        <v>702.13289473683994</v>
      </c>
      <c r="F207">
        <v>127.96636481242</v>
      </c>
      <c r="G207">
        <v>112.94825355757</v>
      </c>
      <c r="I207" s="9">
        <f t="shared" si="22"/>
        <v>589.18464117926999</v>
      </c>
      <c r="J207" s="9">
        <f t="shared" si="23"/>
        <v>2319.0665299243797</v>
      </c>
      <c r="K207" s="9">
        <f t="shared" si="24"/>
        <v>589.18464117926999</v>
      </c>
      <c r="L207" s="10">
        <f t="shared" si="21"/>
        <v>0.25406112053132091</v>
      </c>
      <c r="M207" s="10">
        <f t="shared" si="20"/>
        <v>0.26275645215924298</v>
      </c>
      <c r="P207" s="8">
        <f t="shared" si="25"/>
        <v>25.447124895191948</v>
      </c>
    </row>
    <row r="208" spans="1:16" x14ac:dyDescent="0.2">
      <c r="A208" s="8">
        <v>103</v>
      </c>
      <c r="B208" s="8">
        <v>206</v>
      </c>
      <c r="D208">
        <v>2535.6105263158001</v>
      </c>
      <c r="E208">
        <v>723.01842105262995</v>
      </c>
      <c r="F208">
        <v>128.03751617076</v>
      </c>
      <c r="G208">
        <v>112.59379042691</v>
      </c>
      <c r="I208" s="9">
        <f t="shared" si="22"/>
        <v>610.42463062571994</v>
      </c>
      <c r="J208" s="9">
        <f t="shared" si="23"/>
        <v>2407.5730101450399</v>
      </c>
      <c r="K208" s="9">
        <f t="shared" si="24"/>
        <v>610.42463062571994</v>
      </c>
      <c r="L208" s="10">
        <f t="shared" si="21"/>
        <v>0.25354355944908435</v>
      </c>
      <c r="M208" s="10">
        <f t="shared" si="20"/>
        <v>0.26228130732884997</v>
      </c>
      <c r="P208" s="8">
        <f t="shared" si="25"/>
        <v>25.220277743040974</v>
      </c>
    </row>
    <row r="209" spans="1:16" x14ac:dyDescent="0.2">
      <c r="A209" s="8">
        <v>103.5</v>
      </c>
      <c r="B209" s="8">
        <v>207</v>
      </c>
      <c r="D209">
        <v>2650.6592105262998</v>
      </c>
      <c r="E209">
        <v>727.13289473683994</v>
      </c>
      <c r="F209">
        <v>128.35187580854</v>
      </c>
      <c r="G209">
        <v>112.59896507115</v>
      </c>
      <c r="I209" s="9">
        <f t="shared" si="22"/>
        <v>614.53392966568993</v>
      </c>
      <c r="J209" s="9">
        <f t="shared" si="23"/>
        <v>2522.3073347177597</v>
      </c>
      <c r="K209" s="9">
        <f t="shared" si="24"/>
        <v>614.53392966568993</v>
      </c>
      <c r="L209" s="10">
        <f t="shared" si="21"/>
        <v>0.24363959189551135</v>
      </c>
      <c r="M209" s="10">
        <f t="shared" si="20"/>
        <v>0.25241975602712047</v>
      </c>
      <c r="P209" s="8">
        <f t="shared" si="25"/>
        <v>20.512103128707778</v>
      </c>
    </row>
    <row r="210" spans="1:16" x14ac:dyDescent="0.2">
      <c r="A210" s="8">
        <v>104</v>
      </c>
      <c r="B210" s="8">
        <v>208</v>
      </c>
      <c r="D210">
        <v>2623.0403645832998</v>
      </c>
      <c r="E210">
        <v>728.44140625</v>
      </c>
      <c r="F210">
        <v>128.00905562743</v>
      </c>
      <c r="G210">
        <v>112.90038809831999</v>
      </c>
      <c r="I210" s="9">
        <f t="shared" si="22"/>
        <v>615.54101815167996</v>
      </c>
      <c r="J210" s="9">
        <f t="shared" si="23"/>
        <v>2495.0313089558699</v>
      </c>
      <c r="K210" s="9">
        <f t="shared" si="24"/>
        <v>615.54101815167996</v>
      </c>
      <c r="L210" s="10">
        <f t="shared" si="21"/>
        <v>0.24670673107075111</v>
      </c>
      <c r="M210" s="10">
        <f t="shared" si="20"/>
        <v>0.25552931145420377</v>
      </c>
      <c r="P210" s="8">
        <f t="shared" si="25"/>
        <v>21.996690033517375</v>
      </c>
    </row>
    <row r="211" spans="1:16" x14ac:dyDescent="0.2">
      <c r="A211" s="8">
        <v>104.5</v>
      </c>
      <c r="B211" s="8">
        <v>209</v>
      </c>
      <c r="D211">
        <v>2468.8880208332998</v>
      </c>
      <c r="E211">
        <v>699.26822916667004</v>
      </c>
      <c r="F211">
        <v>127.97153945666</v>
      </c>
      <c r="G211">
        <v>112.87192755498</v>
      </c>
      <c r="I211" s="9">
        <f t="shared" si="22"/>
        <v>586.39630161168998</v>
      </c>
      <c r="J211" s="9">
        <f t="shared" si="23"/>
        <v>2340.9164813766397</v>
      </c>
      <c r="K211" s="9">
        <f t="shared" si="24"/>
        <v>586.39630161168998</v>
      </c>
      <c r="L211" s="10">
        <f t="shared" si="21"/>
        <v>0.25049860013239073</v>
      </c>
      <c r="M211" s="10">
        <f t="shared" si="20"/>
        <v>0.25936359676768689</v>
      </c>
      <c r="P211" s="8">
        <f t="shared" si="25"/>
        <v>23.827282830198946</v>
      </c>
    </row>
    <row r="212" spans="1:16" x14ac:dyDescent="0.2">
      <c r="A212" s="8">
        <v>105</v>
      </c>
      <c r="B212" s="8">
        <v>210</v>
      </c>
      <c r="D212">
        <v>2430.4075520832998</v>
      </c>
      <c r="E212">
        <v>680.4609375</v>
      </c>
      <c r="F212">
        <v>127.75291073739</v>
      </c>
      <c r="G212">
        <v>113.02328589909</v>
      </c>
      <c r="I212" s="9">
        <f t="shared" si="22"/>
        <v>567.43765160091004</v>
      </c>
      <c r="J212" s="9">
        <f t="shared" si="23"/>
        <v>2302.65464134591</v>
      </c>
      <c r="K212" s="9">
        <f t="shared" si="24"/>
        <v>567.43765160091004</v>
      </c>
      <c r="L212" s="10">
        <f t="shared" si="21"/>
        <v>0.24642759770055689</v>
      </c>
      <c r="M212" s="10">
        <f t="shared" si="20"/>
        <v>0.25533501058769659</v>
      </c>
      <c r="P212" s="8">
        <f t="shared" si="25"/>
        <v>21.903925479620909</v>
      </c>
    </row>
    <row r="213" spans="1:16" x14ac:dyDescent="0.2">
      <c r="A213" s="8">
        <v>105.5</v>
      </c>
      <c r="B213" s="8">
        <v>211</v>
      </c>
      <c r="D213">
        <v>2385.3138020832998</v>
      </c>
      <c r="E213">
        <v>667.53125</v>
      </c>
      <c r="F213">
        <v>127.38421733506</v>
      </c>
      <c r="G213">
        <v>112.53169469599</v>
      </c>
      <c r="I213" s="9">
        <f t="shared" si="22"/>
        <v>554.99955530400996</v>
      </c>
      <c r="J213" s="9">
        <f t="shared" si="23"/>
        <v>2257.9295847482399</v>
      </c>
      <c r="K213" s="9">
        <f t="shared" si="24"/>
        <v>554.99955530400996</v>
      </c>
      <c r="L213" s="10">
        <f t="shared" si="21"/>
        <v>0.24580020522025831</v>
      </c>
      <c r="M213" s="10">
        <f t="shared" si="20"/>
        <v>0.25475003435924154</v>
      </c>
      <c r="P213" s="8">
        <f t="shared" si="25"/>
        <v>21.624641810699831</v>
      </c>
    </row>
    <row r="214" spans="1:16" x14ac:dyDescent="0.2">
      <c r="A214" s="8">
        <v>106</v>
      </c>
      <c r="B214" s="8">
        <v>212</v>
      </c>
      <c r="D214">
        <v>2652.4828947368001</v>
      </c>
      <c r="E214">
        <v>729.19868421053002</v>
      </c>
      <c r="F214">
        <v>128.36093143596</v>
      </c>
      <c r="G214">
        <v>112.70504527814001</v>
      </c>
      <c r="I214" s="9">
        <f t="shared" si="22"/>
        <v>616.49363893239001</v>
      </c>
      <c r="J214" s="9">
        <f t="shared" si="23"/>
        <v>2524.12196330084</v>
      </c>
      <c r="K214" s="9">
        <f t="shared" si="24"/>
        <v>616.49363893239001</v>
      </c>
      <c r="L214" s="10">
        <f t="shared" si="21"/>
        <v>0.24424082825466567</v>
      </c>
      <c r="M214" s="10">
        <f t="shared" si="20"/>
        <v>0.25323307364549241</v>
      </c>
      <c r="P214" s="8">
        <f t="shared" si="25"/>
        <v>20.900403229477639</v>
      </c>
    </row>
    <row r="215" spans="1:16" x14ac:dyDescent="0.2">
      <c r="A215" s="8">
        <v>106.5</v>
      </c>
      <c r="B215" s="8">
        <v>213</v>
      </c>
      <c r="D215">
        <v>2670.7513157895</v>
      </c>
      <c r="E215">
        <v>730.83684210525996</v>
      </c>
      <c r="F215">
        <v>127.98447606726999</v>
      </c>
      <c r="G215">
        <v>112.8318240621</v>
      </c>
      <c r="I215" s="9">
        <f t="shared" si="22"/>
        <v>618.00501804315991</v>
      </c>
      <c r="J215" s="9">
        <f t="shared" si="23"/>
        <v>2542.7668397222301</v>
      </c>
      <c r="K215" s="9">
        <f t="shared" si="24"/>
        <v>618.00501804315991</v>
      </c>
      <c r="L215" s="10">
        <f t="shared" si="21"/>
        <v>0.24304431235648422</v>
      </c>
      <c r="M215" s="10">
        <f t="shared" si="20"/>
        <v>0.25207897399915447</v>
      </c>
      <c r="P215" s="8">
        <f t="shared" si="25"/>
        <v>20.349404457474467</v>
      </c>
    </row>
    <row r="216" spans="1:16" x14ac:dyDescent="0.2">
      <c r="A216" s="8">
        <v>107</v>
      </c>
      <c r="B216" s="8">
        <v>214</v>
      </c>
      <c r="D216">
        <v>2678.5289473684002</v>
      </c>
      <c r="E216">
        <v>737.45263157894999</v>
      </c>
      <c r="F216">
        <v>127.95213454075</v>
      </c>
      <c r="G216">
        <v>112.7723156533</v>
      </c>
      <c r="I216" s="9">
        <f t="shared" si="22"/>
        <v>624.68031592565001</v>
      </c>
      <c r="J216" s="9">
        <f t="shared" si="23"/>
        <v>2550.57681282765</v>
      </c>
      <c r="K216" s="9">
        <f t="shared" si="24"/>
        <v>624.68031592565001</v>
      </c>
      <c r="L216" s="10">
        <f t="shared" si="21"/>
        <v>0.24491727235342883</v>
      </c>
      <c r="M216" s="10">
        <f t="shared" si="20"/>
        <v>0.25399435024794259</v>
      </c>
      <c r="P216" s="8">
        <f t="shared" si="25"/>
        <v>21.263857524291598</v>
      </c>
    </row>
    <row r="217" spans="1:16" x14ac:dyDescent="0.2">
      <c r="A217" s="8">
        <v>107.5</v>
      </c>
      <c r="B217" s="8">
        <v>215</v>
      </c>
      <c r="D217">
        <v>2651.8928104575002</v>
      </c>
      <c r="E217">
        <v>726.01830065360002</v>
      </c>
      <c r="F217">
        <v>128.62225097025001</v>
      </c>
      <c r="G217">
        <v>112.81112548512</v>
      </c>
      <c r="I217" s="9">
        <f t="shared" si="22"/>
        <v>613.20717516848003</v>
      </c>
      <c r="J217" s="9">
        <f t="shared" si="23"/>
        <v>2523.27055948725</v>
      </c>
      <c r="K217" s="9">
        <f t="shared" si="24"/>
        <v>613.20717516848003</v>
      </c>
      <c r="L217" s="10">
        <f t="shared" si="21"/>
        <v>0.24302077827638466</v>
      </c>
      <c r="M217" s="10">
        <f t="shared" si="20"/>
        <v>0.25214027242274195</v>
      </c>
      <c r="P217" s="8">
        <f t="shared" si="25"/>
        <v>20.378670003330591</v>
      </c>
    </row>
    <row r="218" spans="1:16" x14ac:dyDescent="0.2">
      <c r="A218" s="8">
        <v>108</v>
      </c>
      <c r="B218" s="8">
        <v>216</v>
      </c>
      <c r="D218">
        <v>2588.8300653595002</v>
      </c>
      <c r="E218">
        <v>706.65228758169997</v>
      </c>
      <c r="F218">
        <v>127.87710219922</v>
      </c>
      <c r="G218">
        <v>113.15006468305</v>
      </c>
      <c r="I218" s="9">
        <f t="shared" si="22"/>
        <v>593.50222289864996</v>
      </c>
      <c r="J218" s="9">
        <f t="shared" si="23"/>
        <v>2460.95296316028</v>
      </c>
      <c r="K218" s="9">
        <f t="shared" si="24"/>
        <v>593.50222289864996</v>
      </c>
      <c r="L218" s="10">
        <f t="shared" si="21"/>
        <v>0.24116764187824732</v>
      </c>
      <c r="M218" s="10">
        <f t="shared" si="20"/>
        <v>0.25032955227644815</v>
      </c>
      <c r="P218" s="8">
        <f t="shared" si="25"/>
        <v>19.514182625472802</v>
      </c>
    </row>
    <row r="219" spans="1:16" x14ac:dyDescent="0.2">
      <c r="A219" s="8">
        <v>108.5</v>
      </c>
      <c r="B219" s="8">
        <v>217</v>
      </c>
      <c r="D219">
        <v>2674.6459948319998</v>
      </c>
      <c r="E219">
        <v>729.06718346253001</v>
      </c>
      <c r="F219">
        <v>128.34670116429999</v>
      </c>
      <c r="G219">
        <v>112.91849935317001</v>
      </c>
      <c r="I219" s="9">
        <f t="shared" si="22"/>
        <v>616.14868410936003</v>
      </c>
      <c r="J219" s="9">
        <f t="shared" si="23"/>
        <v>2546.2992936676997</v>
      </c>
      <c r="K219" s="9">
        <f t="shared" si="24"/>
        <v>616.14868410936003</v>
      </c>
      <c r="L219" s="10">
        <f t="shared" si="21"/>
        <v>0.24197810746035947</v>
      </c>
      <c r="M219" s="10">
        <f t="shared" si="20"/>
        <v>0.25118243411040381</v>
      </c>
      <c r="P219" s="8">
        <f t="shared" si="25"/>
        <v>19.921371766085166</v>
      </c>
    </row>
    <row r="220" spans="1:16" x14ac:dyDescent="0.2">
      <c r="A220" s="8">
        <v>109</v>
      </c>
      <c r="B220" s="8">
        <v>218</v>
      </c>
      <c r="D220">
        <v>2649.2894056847999</v>
      </c>
      <c r="E220">
        <v>722.04909560724002</v>
      </c>
      <c r="F220">
        <v>128.25873221216</v>
      </c>
      <c r="G220">
        <v>112.96248382924</v>
      </c>
      <c r="I220" s="9">
        <f t="shared" si="22"/>
        <v>609.08661177800002</v>
      </c>
      <c r="J220" s="9">
        <f t="shared" si="23"/>
        <v>2521.03067347264</v>
      </c>
      <c r="K220" s="9">
        <f t="shared" si="24"/>
        <v>609.08661177800002</v>
      </c>
      <c r="L220" s="10">
        <f t="shared" si="21"/>
        <v>0.24160222173695431</v>
      </c>
      <c r="M220" s="10">
        <f t="shared" si="20"/>
        <v>0.25084896463884215</v>
      </c>
      <c r="P220" s="8">
        <f t="shared" si="25"/>
        <v>19.762164309507181</v>
      </c>
    </row>
    <row r="221" spans="1:16" x14ac:dyDescent="0.2">
      <c r="A221" s="8">
        <v>109.5</v>
      </c>
      <c r="B221" s="8">
        <v>219</v>
      </c>
      <c r="D221">
        <v>2644.7170542635999</v>
      </c>
      <c r="E221">
        <v>717.20155038760004</v>
      </c>
      <c r="F221">
        <v>128.20181112549</v>
      </c>
      <c r="G221">
        <v>112.87322121603999</v>
      </c>
      <c r="I221" s="9">
        <f t="shared" si="22"/>
        <v>604.32832917156009</v>
      </c>
      <c r="J221" s="9">
        <f t="shared" si="23"/>
        <v>2516.5152431381098</v>
      </c>
      <c r="K221" s="9">
        <f t="shared" si="24"/>
        <v>604.32832917156009</v>
      </c>
      <c r="L221" s="10">
        <f t="shared" si="21"/>
        <v>0.24014491103100133</v>
      </c>
      <c r="M221" s="10">
        <f t="shared" si="20"/>
        <v>0.24943407018473271</v>
      </c>
      <c r="P221" s="8">
        <f t="shared" si="25"/>
        <v>19.086654955352056</v>
      </c>
    </row>
    <row r="222" spans="1:16" x14ac:dyDescent="0.2">
      <c r="A222" s="8">
        <v>110</v>
      </c>
      <c r="B222" s="8">
        <v>220</v>
      </c>
      <c r="D222">
        <v>2633.1395348837</v>
      </c>
      <c r="E222">
        <v>712.89793281653999</v>
      </c>
      <c r="F222">
        <v>128.37386804657001</v>
      </c>
      <c r="G222">
        <v>112.47606727038</v>
      </c>
      <c r="I222" s="9">
        <f t="shared" si="22"/>
        <v>600.42186554616001</v>
      </c>
      <c r="J222" s="9">
        <f t="shared" si="23"/>
        <v>2504.7656668371301</v>
      </c>
      <c r="K222" s="9">
        <f t="shared" si="24"/>
        <v>600.42186554616001</v>
      </c>
      <c r="L222" s="10">
        <f t="shared" si="21"/>
        <v>0.23971179160417719</v>
      </c>
      <c r="M222" s="10">
        <f t="shared" si="20"/>
        <v>0.2490433670097521</v>
      </c>
      <c r="P222" s="8">
        <f t="shared" si="25"/>
        <v>18.900122561624059</v>
      </c>
    </row>
    <row r="223" spans="1:16" x14ac:dyDescent="0.2">
      <c r="A223" s="8">
        <v>110.5</v>
      </c>
      <c r="B223" s="8">
        <v>221</v>
      </c>
      <c r="D223">
        <v>2618.2416020671999</v>
      </c>
      <c r="E223">
        <v>704.66795865633003</v>
      </c>
      <c r="F223">
        <v>128.42820181113001</v>
      </c>
      <c r="G223">
        <v>112.97153945666</v>
      </c>
      <c r="I223" s="9">
        <f t="shared" si="22"/>
        <v>591.69641919967</v>
      </c>
      <c r="J223" s="9">
        <f t="shared" si="23"/>
        <v>2489.8134002560701</v>
      </c>
      <c r="K223" s="9">
        <f t="shared" si="24"/>
        <v>591.69641919967</v>
      </c>
      <c r="L223" s="10">
        <f t="shared" si="21"/>
        <v>0.23764689319240379</v>
      </c>
      <c r="M223" s="10">
        <f t="shared" si="20"/>
        <v>0.24702088484982221</v>
      </c>
      <c r="P223" s="8">
        <f t="shared" si="25"/>
        <v>17.934534200120151</v>
      </c>
    </row>
    <row r="224" spans="1:16" x14ac:dyDescent="0.2">
      <c r="A224" s="8">
        <v>111</v>
      </c>
      <c r="B224" s="8">
        <v>222</v>
      </c>
      <c r="D224">
        <v>2486.9509043928001</v>
      </c>
      <c r="E224">
        <v>676.58656330749</v>
      </c>
      <c r="F224">
        <v>127.82276843467</v>
      </c>
      <c r="G224">
        <v>112.45795601552</v>
      </c>
      <c r="I224" s="9">
        <f t="shared" si="22"/>
        <v>564.12860729196996</v>
      </c>
      <c r="J224" s="9">
        <f t="shared" si="23"/>
        <v>2359.1281359581303</v>
      </c>
      <c r="K224" s="9">
        <f t="shared" si="24"/>
        <v>564.12860729196996</v>
      </c>
      <c r="L224" s="10">
        <f t="shared" si="21"/>
        <v>0.23912588667544174</v>
      </c>
      <c r="M224" s="10">
        <f t="shared" si="20"/>
        <v>0.2485422945847037</v>
      </c>
      <c r="P224" s="8">
        <f t="shared" si="25"/>
        <v>18.660896865851271</v>
      </c>
    </row>
    <row r="225" spans="1:16" x14ac:dyDescent="0.2">
      <c r="A225" s="8">
        <v>111.5</v>
      </c>
      <c r="B225" s="8">
        <v>223</v>
      </c>
      <c r="D225">
        <v>2551.0885416667002</v>
      </c>
      <c r="E225">
        <v>691.85416666667004</v>
      </c>
      <c r="F225">
        <v>127.90038809831999</v>
      </c>
      <c r="G225">
        <v>112.73868046571999</v>
      </c>
      <c r="I225" s="9">
        <f t="shared" si="22"/>
        <v>579.11548620095004</v>
      </c>
      <c r="J225" s="9">
        <f t="shared" si="23"/>
        <v>2423.1881535683801</v>
      </c>
      <c r="K225" s="9">
        <f t="shared" si="24"/>
        <v>579.11548620095004</v>
      </c>
      <c r="L225" s="10">
        <f t="shared" si="21"/>
        <v>0.23898907121518656</v>
      </c>
      <c r="M225" s="10">
        <f t="shared" si="20"/>
        <v>0.24844789537629203</v>
      </c>
      <c r="P225" s="8">
        <f t="shared" si="25"/>
        <v>18.615828098974905</v>
      </c>
    </row>
    <row r="226" spans="1:16" x14ac:dyDescent="0.2">
      <c r="A226" s="8">
        <v>112</v>
      </c>
      <c r="B226" s="8">
        <v>224</v>
      </c>
      <c r="D226">
        <v>2529.1796875</v>
      </c>
      <c r="E226">
        <v>683.97526041667004</v>
      </c>
      <c r="F226">
        <v>128.63260025873001</v>
      </c>
      <c r="G226">
        <v>112.54592496766</v>
      </c>
      <c r="I226" s="9">
        <f t="shared" si="22"/>
        <v>571.42933544901007</v>
      </c>
      <c r="J226" s="9">
        <f t="shared" si="23"/>
        <v>2400.5470872412698</v>
      </c>
      <c r="K226" s="9">
        <f t="shared" si="24"/>
        <v>571.42933544901007</v>
      </c>
      <c r="L226" s="10">
        <f t="shared" si="21"/>
        <v>0.23804129420585612</v>
      </c>
      <c r="M226" s="10">
        <f t="shared" si="20"/>
        <v>0.24754253461880513</v>
      </c>
      <c r="P226" s="8">
        <f t="shared" si="25"/>
        <v>18.183584083323357</v>
      </c>
    </row>
    <row r="227" spans="1:16" x14ac:dyDescent="0.2">
      <c r="A227" s="8">
        <v>112.5</v>
      </c>
      <c r="B227" s="8">
        <v>225</v>
      </c>
      <c r="D227">
        <v>2476.1783854167002</v>
      </c>
      <c r="E227">
        <v>667.30078125</v>
      </c>
      <c r="F227">
        <v>128.66623544631</v>
      </c>
      <c r="G227">
        <v>112.66623544631</v>
      </c>
      <c r="I227" s="9">
        <f t="shared" si="22"/>
        <v>554.63454580369</v>
      </c>
      <c r="J227" s="9">
        <f t="shared" si="23"/>
        <v>2347.5121499703901</v>
      </c>
      <c r="K227" s="9">
        <f t="shared" si="24"/>
        <v>554.63454580369</v>
      </c>
      <c r="L227" s="10">
        <f t="shared" si="21"/>
        <v>0.23626482436339499</v>
      </c>
      <c r="M227" s="10">
        <f t="shared" si="20"/>
        <v>0.24580848102818753</v>
      </c>
      <c r="P227" s="8">
        <f t="shared" si="25"/>
        <v>17.355699418381516</v>
      </c>
    </row>
    <row r="228" spans="1:16" x14ac:dyDescent="0.2">
      <c r="A228" s="8">
        <v>113</v>
      </c>
      <c r="B228" s="8">
        <v>226</v>
      </c>
      <c r="D228">
        <v>2805.5598958332998</v>
      </c>
      <c r="E228">
        <v>735.11588541667004</v>
      </c>
      <c r="F228">
        <v>128.56403622251</v>
      </c>
      <c r="G228">
        <v>112.85122897801</v>
      </c>
      <c r="I228" s="9">
        <f t="shared" si="22"/>
        <v>622.26465643866004</v>
      </c>
      <c r="J228" s="9">
        <f t="shared" si="23"/>
        <v>2676.9958596107899</v>
      </c>
      <c r="K228" s="9">
        <f t="shared" si="24"/>
        <v>622.26465643866004</v>
      </c>
      <c r="L228" s="10">
        <f t="shared" si="21"/>
        <v>0.23244886771290393</v>
      </c>
      <c r="M228" s="10">
        <f t="shared" si="20"/>
        <v>0.24203494062953998</v>
      </c>
      <c r="P228" s="8">
        <f t="shared" si="25"/>
        <v>15.554107907322063</v>
      </c>
    </row>
    <row r="229" spans="1:16" x14ac:dyDescent="0.2">
      <c r="A229" s="8">
        <v>113.5</v>
      </c>
      <c r="B229" s="8">
        <v>227</v>
      </c>
      <c r="D229">
        <v>2721.6627604167002</v>
      </c>
      <c r="E229">
        <v>717.71744791667004</v>
      </c>
      <c r="F229">
        <v>128.13583441137999</v>
      </c>
      <c r="G229">
        <v>112.87839586029</v>
      </c>
      <c r="I229" s="9">
        <f t="shared" si="22"/>
        <v>604.83905205638007</v>
      </c>
      <c r="J229" s="9">
        <f t="shared" si="23"/>
        <v>2593.5269260053201</v>
      </c>
      <c r="K229" s="9">
        <f t="shared" si="24"/>
        <v>604.83905205638007</v>
      </c>
      <c r="L229" s="10">
        <f t="shared" si="21"/>
        <v>0.23321101700994615</v>
      </c>
      <c r="M229" s="10">
        <f t="shared" si="20"/>
        <v>0.24283950617842573</v>
      </c>
      <c r="P229" s="8">
        <f t="shared" si="25"/>
        <v>15.93822953047547</v>
      </c>
    </row>
    <row r="230" spans="1:16" x14ac:dyDescent="0.2">
      <c r="A230" s="8">
        <v>114</v>
      </c>
      <c r="B230" s="8">
        <v>228</v>
      </c>
      <c r="D230">
        <v>2740.0234375</v>
      </c>
      <c r="E230">
        <v>721.54947916667004</v>
      </c>
      <c r="F230">
        <v>128.55109961190001</v>
      </c>
      <c r="G230">
        <v>112.73868046571999</v>
      </c>
      <c r="I230" s="9">
        <f t="shared" si="22"/>
        <v>608.81079870095004</v>
      </c>
      <c r="J230" s="9">
        <f t="shared" si="23"/>
        <v>2611.4723378880999</v>
      </c>
      <c r="K230" s="9">
        <f t="shared" si="24"/>
        <v>608.81079870095004</v>
      </c>
      <c r="L230" s="10">
        <f t="shared" si="21"/>
        <v>0.23312933086371343</v>
      </c>
      <c r="M230" s="10">
        <f t="shared" si="20"/>
        <v>0.24280023628403652</v>
      </c>
      <c r="P230" s="8">
        <f t="shared" si="25"/>
        <v>15.919481007630143</v>
      </c>
    </row>
    <row r="231" spans="1:16" x14ac:dyDescent="0.2">
      <c r="A231" s="8">
        <v>114.5</v>
      </c>
      <c r="B231" s="8">
        <v>229</v>
      </c>
      <c r="D231">
        <v>2756.24609375</v>
      </c>
      <c r="E231">
        <v>723.57291666667004</v>
      </c>
      <c r="F231">
        <v>128.92496765847</v>
      </c>
      <c r="G231">
        <v>112.91979301423</v>
      </c>
      <c r="I231" s="9">
        <f t="shared" si="22"/>
        <v>610.65312365244006</v>
      </c>
      <c r="J231" s="9">
        <f t="shared" si="23"/>
        <v>2627.32112609153</v>
      </c>
      <c r="K231" s="9">
        <f t="shared" si="24"/>
        <v>610.65312365244006</v>
      </c>
      <c r="L231" s="10">
        <f t="shared" si="21"/>
        <v>0.23242424292490779</v>
      </c>
      <c r="M231" s="10">
        <f t="shared" si="20"/>
        <v>0.24213756459707442</v>
      </c>
      <c r="P231" s="8">
        <f t="shared" si="25"/>
        <v>15.603103399408896</v>
      </c>
    </row>
    <row r="232" spans="1:16" x14ac:dyDescent="0.2">
      <c r="A232" s="8">
        <v>115</v>
      </c>
      <c r="B232" s="8">
        <v>230</v>
      </c>
      <c r="D232">
        <v>2774.11328125</v>
      </c>
      <c r="E232">
        <v>723.53515625</v>
      </c>
      <c r="F232">
        <v>128.11125485123</v>
      </c>
      <c r="G232">
        <v>113.14877102199</v>
      </c>
      <c r="I232" s="9">
        <f t="shared" si="22"/>
        <v>610.38638522801</v>
      </c>
      <c r="J232" s="9">
        <f t="shared" si="23"/>
        <v>2646.0020263987699</v>
      </c>
      <c r="K232" s="9">
        <f t="shared" si="24"/>
        <v>610.38638522801</v>
      </c>
      <c r="L232" s="10">
        <f t="shared" si="21"/>
        <v>0.23068250860667358</v>
      </c>
      <c r="M232" s="10">
        <f t="shared" si="20"/>
        <v>0.24043824653068371</v>
      </c>
      <c r="P232" s="8">
        <f t="shared" si="25"/>
        <v>14.791802424839576</v>
      </c>
    </row>
    <row r="233" spans="1:16" x14ac:dyDescent="0.2">
      <c r="A233" s="8">
        <v>115.5</v>
      </c>
      <c r="B233" s="8">
        <v>231</v>
      </c>
      <c r="D233">
        <v>2692.6062581485999</v>
      </c>
      <c r="E233">
        <v>710.12777053455</v>
      </c>
      <c r="F233">
        <v>128.64036222510001</v>
      </c>
      <c r="G233">
        <v>113.17981888745</v>
      </c>
      <c r="I233" s="9">
        <f t="shared" si="22"/>
        <v>596.94795164710001</v>
      </c>
      <c r="J233" s="9">
        <f t="shared" si="23"/>
        <v>2563.9658959234998</v>
      </c>
      <c r="K233" s="9">
        <f t="shared" si="24"/>
        <v>596.94795164710001</v>
      </c>
      <c r="L233" s="10">
        <f t="shared" si="21"/>
        <v>0.23282211069819586</v>
      </c>
      <c r="M233" s="10">
        <f t="shared" si="20"/>
        <v>0.24262026487404953</v>
      </c>
      <c r="P233" s="8">
        <f t="shared" si="25"/>
        <v>15.833557728636716</v>
      </c>
    </row>
    <row r="234" spans="1:16" x14ac:dyDescent="0.2">
      <c r="A234" s="8">
        <v>116</v>
      </c>
      <c r="B234" s="8">
        <v>232</v>
      </c>
      <c r="D234">
        <v>2528.7144719686999</v>
      </c>
      <c r="E234">
        <v>663.40938722295004</v>
      </c>
      <c r="F234">
        <v>128.80983182406001</v>
      </c>
      <c r="G234">
        <v>113.13324708926</v>
      </c>
      <c r="I234" s="9">
        <f t="shared" si="22"/>
        <v>550.27614013369009</v>
      </c>
      <c r="J234" s="9">
        <f t="shared" si="23"/>
        <v>2399.9046401446399</v>
      </c>
      <c r="K234" s="9">
        <f t="shared" si="24"/>
        <v>550.27614013369009</v>
      </c>
      <c r="L234" s="10">
        <f t="shared" si="21"/>
        <v>0.22929083553108406</v>
      </c>
      <c r="M234" s="10">
        <f t="shared" si="20"/>
        <v>0.23913140595878124</v>
      </c>
      <c r="P234" s="8">
        <f t="shared" si="25"/>
        <v>14.167880952714512</v>
      </c>
    </row>
    <row r="235" spans="1:16" x14ac:dyDescent="0.2">
      <c r="A235" s="8">
        <v>116.5</v>
      </c>
      <c r="B235" s="8">
        <v>233</v>
      </c>
      <c r="D235">
        <v>2684.5278858625002</v>
      </c>
      <c r="E235">
        <v>691.72632944227996</v>
      </c>
      <c r="F235">
        <v>129.02846054334</v>
      </c>
      <c r="G235">
        <v>113.39197930141999</v>
      </c>
      <c r="I235" s="9">
        <f t="shared" si="22"/>
        <v>578.33435014086001</v>
      </c>
      <c r="J235" s="9">
        <f t="shared" si="23"/>
        <v>2555.4994253191603</v>
      </c>
      <c r="K235" s="9">
        <f t="shared" si="24"/>
        <v>578.33435014086001</v>
      </c>
      <c r="L235" s="10">
        <f t="shared" si="21"/>
        <v>0.22630971637515862</v>
      </c>
      <c r="M235" s="10">
        <f t="shared" si="20"/>
        <v>0.23619270305469933</v>
      </c>
      <c r="P235" s="8">
        <f t="shared" si="25"/>
        <v>12.764863720563707</v>
      </c>
    </row>
    <row r="236" spans="1:16" x14ac:dyDescent="0.2">
      <c r="A236" s="8">
        <v>117</v>
      </c>
      <c r="B236" s="8">
        <v>234</v>
      </c>
      <c r="D236">
        <v>2639.9974059663</v>
      </c>
      <c r="E236">
        <v>678.96498054475001</v>
      </c>
      <c r="F236">
        <v>128.43855109961001</v>
      </c>
      <c r="G236">
        <v>112.75032341527</v>
      </c>
      <c r="I236" s="9">
        <f t="shared" si="22"/>
        <v>566.21465712947997</v>
      </c>
      <c r="J236" s="9">
        <f t="shared" si="23"/>
        <v>2511.5588548666901</v>
      </c>
      <c r="K236" s="9">
        <f t="shared" si="24"/>
        <v>566.21465712947997</v>
      </c>
      <c r="L236" s="10">
        <f t="shared" si="21"/>
        <v>0.22544351530218623</v>
      </c>
      <c r="M236" s="10">
        <f t="shared" si="20"/>
        <v>0.23536891823357045</v>
      </c>
      <c r="P236" s="8">
        <f t="shared" si="25"/>
        <v>12.371566290591224</v>
      </c>
    </row>
    <row r="237" spans="1:16" x14ac:dyDescent="0.2">
      <c r="A237" s="8">
        <v>117.5</v>
      </c>
      <c r="B237" s="8">
        <v>235</v>
      </c>
      <c r="D237">
        <v>2505.1259740260002</v>
      </c>
      <c r="E237">
        <v>650.08831168831</v>
      </c>
      <c r="F237">
        <v>128.73738680465999</v>
      </c>
      <c r="G237">
        <v>113.02069857697001</v>
      </c>
      <c r="I237" s="9">
        <f t="shared" si="22"/>
        <v>537.06761311134005</v>
      </c>
      <c r="J237" s="9">
        <f t="shared" si="23"/>
        <v>2376.3885872213405</v>
      </c>
      <c r="K237" s="9">
        <f t="shared" si="24"/>
        <v>537.06761311134005</v>
      </c>
      <c r="L237" s="10">
        <f t="shared" si="21"/>
        <v>0.22600159586665983</v>
      </c>
      <c r="M237" s="10">
        <f t="shared" si="20"/>
        <v>0.23596941504988758</v>
      </c>
      <c r="P237" s="8">
        <f t="shared" si="25"/>
        <v>12.658259913132779</v>
      </c>
    </row>
    <row r="238" spans="1:16" x14ac:dyDescent="0.2">
      <c r="A238" s="8">
        <v>118</v>
      </c>
      <c r="B238" s="8">
        <v>236</v>
      </c>
      <c r="D238">
        <v>2571.6181818181999</v>
      </c>
      <c r="E238">
        <v>663.56233766234004</v>
      </c>
      <c r="F238">
        <v>128.62483829236999</v>
      </c>
      <c r="G238">
        <v>113.17205692109</v>
      </c>
      <c r="I238" s="9">
        <f t="shared" si="22"/>
        <v>550.39028074125008</v>
      </c>
      <c r="J238" s="9">
        <f t="shared" si="23"/>
        <v>2442.9933435258299</v>
      </c>
      <c r="K238" s="9">
        <f t="shared" si="24"/>
        <v>550.39028074125008</v>
      </c>
      <c r="L238" s="10">
        <f t="shared" si="21"/>
        <v>0.22529340171959039</v>
      </c>
      <c r="M238" s="10">
        <f t="shared" si="20"/>
        <v>0.23530363715466165</v>
      </c>
      <c r="P238" s="8">
        <f t="shared" si="25"/>
        <v>12.340399316034109</v>
      </c>
    </row>
    <row r="239" spans="1:16" x14ac:dyDescent="0.2">
      <c r="A239" s="8">
        <v>118.5</v>
      </c>
      <c r="B239" s="8">
        <v>237</v>
      </c>
      <c r="D239">
        <v>2391.2181818181998</v>
      </c>
      <c r="E239">
        <v>624.02727272726997</v>
      </c>
      <c r="F239">
        <v>128.97800776196999</v>
      </c>
      <c r="G239">
        <v>113.1979301423</v>
      </c>
      <c r="I239" s="9">
        <f t="shared" si="22"/>
        <v>510.82934258496999</v>
      </c>
      <c r="J239" s="9">
        <f t="shared" si="23"/>
        <v>2262.24017405623</v>
      </c>
      <c r="K239" s="9">
        <f t="shared" si="24"/>
        <v>510.82934258496999</v>
      </c>
      <c r="L239" s="10">
        <f t="shared" si="21"/>
        <v>0.22580685660313662</v>
      </c>
      <c r="M239" s="10">
        <f t="shared" si="20"/>
        <v>0.23585950829005142</v>
      </c>
      <c r="P239" s="8">
        <f t="shared" si="25"/>
        <v>12.605787416588196</v>
      </c>
    </row>
    <row r="240" spans="1:16" x14ac:dyDescent="0.2">
      <c r="A240" s="8">
        <v>119</v>
      </c>
      <c r="B240" s="8">
        <v>238</v>
      </c>
      <c r="D240">
        <v>2531.6771241830002</v>
      </c>
      <c r="E240">
        <v>650.23529411765003</v>
      </c>
      <c r="F240">
        <v>128.84993531695</v>
      </c>
      <c r="G240">
        <v>113.10737386805</v>
      </c>
      <c r="I240" s="9">
        <f t="shared" si="22"/>
        <v>537.12792024960004</v>
      </c>
      <c r="J240" s="9">
        <f t="shared" si="23"/>
        <v>2402.8271888660502</v>
      </c>
      <c r="K240" s="9">
        <f t="shared" si="24"/>
        <v>537.12792024960004</v>
      </c>
      <c r="L240" s="10">
        <f t="shared" si="21"/>
        <v>0.22353997105513157</v>
      </c>
      <c r="M240" s="10">
        <f t="shared" si="20"/>
        <v>0.23363503899388988</v>
      </c>
      <c r="P240" s="8">
        <f t="shared" si="25"/>
        <v>11.543764865560686</v>
      </c>
    </row>
    <row r="241" spans="1:16" x14ac:dyDescent="0.2">
      <c r="A241" s="8">
        <v>119.5</v>
      </c>
      <c r="B241" s="8">
        <v>239</v>
      </c>
      <c r="D241">
        <v>2532.6967320261001</v>
      </c>
      <c r="E241">
        <v>652.16209150326995</v>
      </c>
      <c r="F241">
        <v>128.82923673997001</v>
      </c>
      <c r="G241">
        <v>113.12677878396001</v>
      </c>
      <c r="I241" s="9">
        <f t="shared" si="22"/>
        <v>539.0353127193099</v>
      </c>
      <c r="J241" s="9">
        <f t="shared" si="23"/>
        <v>2403.8674952861302</v>
      </c>
      <c r="K241" s="9">
        <f t="shared" si="24"/>
        <v>539.0353127193099</v>
      </c>
      <c r="L241" s="10">
        <f t="shared" si="21"/>
        <v>0.22423669930906445</v>
      </c>
      <c r="M241" s="10">
        <f t="shared" si="20"/>
        <v>0.23437418349966629</v>
      </c>
      <c r="P241" s="8">
        <f t="shared" si="25"/>
        <v>11.896652691415232</v>
      </c>
    </row>
    <row r="242" spans="1:16" x14ac:dyDescent="0.2">
      <c r="A242" s="8">
        <v>120</v>
      </c>
      <c r="B242" s="8">
        <v>240</v>
      </c>
      <c r="D242">
        <v>2596.8954248365999</v>
      </c>
      <c r="E242">
        <v>667.72941176470999</v>
      </c>
      <c r="F242">
        <v>129.07244501941</v>
      </c>
      <c r="G242">
        <v>113.15653298836</v>
      </c>
      <c r="I242" s="9">
        <f>E242-G242</f>
        <v>554.57287877634997</v>
      </c>
      <c r="J242" s="9">
        <f>D242-F242</f>
        <v>2467.8229798171897</v>
      </c>
      <c r="K242" s="9">
        <f t="shared" si="24"/>
        <v>554.57287877634997</v>
      </c>
      <c r="L242" s="10">
        <f t="shared" si="21"/>
        <v>0.22472149879138875</v>
      </c>
      <c r="M242" s="10">
        <f>L242+ABS($N$2)*A242</f>
        <v>0.2349013992338341</v>
      </c>
      <c r="O242" s="11"/>
      <c r="P242" s="8">
        <f>(M242-$O$2)/$O$2*100</f>
        <v>12.148359918801514</v>
      </c>
    </row>
    <row r="243" spans="1:16" x14ac:dyDescent="0.2">
      <c r="A243" s="8">
        <v>120.5</v>
      </c>
      <c r="B243" s="8">
        <v>241</v>
      </c>
      <c r="D243">
        <v>2680.9373368145998</v>
      </c>
      <c r="E243">
        <v>689.23368146214</v>
      </c>
      <c r="F243">
        <v>129.37645536868999</v>
      </c>
      <c r="G243">
        <v>113.18628719276001</v>
      </c>
      <c r="I243" s="9">
        <f t="shared" ref="I243:I274" si="26">E243-G243</f>
        <v>576.04739426937999</v>
      </c>
      <c r="J243" s="9">
        <f t="shared" ref="J243:J274" si="27">D243-F243</f>
        <v>2551.5608814459097</v>
      </c>
      <c r="K243" s="9">
        <f t="shared" si="24"/>
        <v>576.04739426937999</v>
      </c>
      <c r="L243" s="10">
        <f t="shared" si="21"/>
        <v>0.22576274721022821</v>
      </c>
      <c r="M243" s="10">
        <f t="shared" ref="M243:M274" si="28">L243+ABS($N$2)*A243</f>
        <v>0.2359850639045171</v>
      </c>
      <c r="P243" s="8">
        <f t="shared" ref="P243:P274" si="29">(M243-$O$2)/$O$2*100</f>
        <v>12.66573110482015</v>
      </c>
    </row>
    <row r="244" spans="1:16" x14ac:dyDescent="0.2">
      <c r="A244" s="8">
        <v>121</v>
      </c>
      <c r="B244" s="8">
        <v>242</v>
      </c>
      <c r="D244">
        <v>2701.4595300260999</v>
      </c>
      <c r="E244">
        <v>689.03133159268998</v>
      </c>
      <c r="F244">
        <v>128.34411384217</v>
      </c>
      <c r="G244">
        <v>113.29366106080001</v>
      </c>
      <c r="I244" s="9">
        <f t="shared" si="26"/>
        <v>575.73767053188999</v>
      </c>
      <c r="J244" s="9">
        <f t="shared" si="27"/>
        <v>2573.1154161839299</v>
      </c>
      <c r="K244" s="9">
        <f t="shared" si="24"/>
        <v>575.73767053188999</v>
      </c>
      <c r="L244" s="10">
        <f t="shared" si="21"/>
        <v>0.22375120327316692</v>
      </c>
      <c r="M244" s="10">
        <f t="shared" si="28"/>
        <v>0.23401593621929931</v>
      </c>
      <c r="N244" s="1"/>
      <c r="P244" s="8">
        <f t="shared" si="29"/>
        <v>11.725615630462972</v>
      </c>
    </row>
    <row r="245" spans="1:16" x14ac:dyDescent="0.2">
      <c r="A245" s="8">
        <v>121.5</v>
      </c>
      <c r="B245" s="8">
        <v>243</v>
      </c>
      <c r="D245">
        <v>2582.6394293126</v>
      </c>
      <c r="E245">
        <v>659.37094682230997</v>
      </c>
      <c r="F245">
        <v>129.27037516171001</v>
      </c>
      <c r="G245">
        <v>113.18887451488</v>
      </c>
      <c r="I245" s="9">
        <f t="shared" si="26"/>
        <v>546.18207230742996</v>
      </c>
      <c r="J245" s="9">
        <f t="shared" si="27"/>
        <v>2453.36905415089</v>
      </c>
      <c r="K245" s="9">
        <f t="shared" si="24"/>
        <v>546.18207230742996</v>
      </c>
      <c r="L245" s="10">
        <f t="shared" si="21"/>
        <v>0.22262532063137291</v>
      </c>
      <c r="M245" s="10">
        <f t="shared" si="28"/>
        <v>0.23293246982934884</v>
      </c>
      <c r="P245" s="8">
        <f t="shared" si="29"/>
        <v>11.208339109095245</v>
      </c>
    </row>
    <row r="246" spans="1:16" x14ac:dyDescent="0.2">
      <c r="A246" s="8">
        <v>122</v>
      </c>
      <c r="B246" s="8">
        <v>244</v>
      </c>
      <c r="D246">
        <v>2575.1738002594002</v>
      </c>
      <c r="E246">
        <v>650.85214007781997</v>
      </c>
      <c r="F246">
        <v>129.47606727038001</v>
      </c>
      <c r="G246">
        <v>112.88874514877</v>
      </c>
      <c r="I246" s="9">
        <f t="shared" si="26"/>
        <v>537.96339492904997</v>
      </c>
      <c r="J246" s="9">
        <f t="shared" si="27"/>
        <v>2445.6977329890201</v>
      </c>
      <c r="K246" s="9">
        <f t="shared" si="24"/>
        <v>537.96339492904997</v>
      </c>
      <c r="L246" s="10">
        <f t="shared" si="21"/>
        <v>0.2199631572097733</v>
      </c>
      <c r="M246" s="10">
        <f t="shared" si="28"/>
        <v>0.23031272265959274</v>
      </c>
      <c r="P246" s="8">
        <f t="shared" si="29"/>
        <v>9.9576000779598708</v>
      </c>
    </row>
    <row r="247" spans="1:16" x14ac:dyDescent="0.2">
      <c r="A247" s="8">
        <v>122.5</v>
      </c>
      <c r="B247" s="8">
        <v>245</v>
      </c>
      <c r="D247">
        <v>2547.8316062176</v>
      </c>
      <c r="E247">
        <v>649.54663212435003</v>
      </c>
      <c r="F247">
        <v>128.71539456662001</v>
      </c>
      <c r="G247">
        <v>113.54592496766</v>
      </c>
      <c r="I247" s="9">
        <f t="shared" si="26"/>
        <v>536.00070715669005</v>
      </c>
      <c r="J247" s="9">
        <f t="shared" si="27"/>
        <v>2419.1162116509799</v>
      </c>
      <c r="K247" s="9">
        <f t="shared" si="24"/>
        <v>536.00070715669005</v>
      </c>
      <c r="L247" s="10">
        <f t="shared" si="21"/>
        <v>0.22156881284793029</v>
      </c>
      <c r="M247" s="10">
        <f t="shared" si="28"/>
        <v>0.23196079454959326</v>
      </c>
      <c r="P247" s="8">
        <f t="shared" si="29"/>
        <v>10.744434724729468</v>
      </c>
    </row>
    <row r="248" spans="1:16" x14ac:dyDescent="0.2">
      <c r="A248" s="8">
        <v>123</v>
      </c>
      <c r="B248" s="8">
        <v>246</v>
      </c>
      <c r="D248">
        <v>2611.3880208332998</v>
      </c>
      <c r="E248">
        <v>661.73046875</v>
      </c>
      <c r="F248">
        <v>128.86416558862001</v>
      </c>
      <c r="G248">
        <v>113.24967658474</v>
      </c>
      <c r="I248" s="9">
        <f t="shared" si="26"/>
        <v>548.48079216526003</v>
      </c>
      <c r="J248" s="9">
        <f t="shared" si="27"/>
        <v>2482.5238552446799</v>
      </c>
      <c r="K248" s="9">
        <f t="shared" si="24"/>
        <v>548.48079216526003</v>
      </c>
      <c r="L248" s="10">
        <f t="shared" si="21"/>
        <v>0.22093676602805545</v>
      </c>
      <c r="M248" s="10">
        <f t="shared" si="28"/>
        <v>0.23137116398156193</v>
      </c>
      <c r="P248" s="8">
        <f t="shared" si="29"/>
        <v>10.462928946652434</v>
      </c>
    </row>
    <row r="249" spans="1:16" x14ac:dyDescent="0.2">
      <c r="A249" s="8">
        <v>123.5</v>
      </c>
      <c r="B249" s="8">
        <v>247</v>
      </c>
      <c r="D249">
        <v>2523.3895424837001</v>
      </c>
      <c r="E249">
        <v>641.74248366013001</v>
      </c>
      <c r="F249">
        <v>128.97412677878</v>
      </c>
      <c r="G249">
        <v>113.04915912030999</v>
      </c>
      <c r="I249" s="9">
        <f t="shared" si="26"/>
        <v>528.69332453981997</v>
      </c>
      <c r="J249" s="9">
        <f t="shared" si="27"/>
        <v>2394.4154157049202</v>
      </c>
      <c r="K249" s="9">
        <f t="shared" si="24"/>
        <v>528.69332453981997</v>
      </c>
      <c r="L249" s="10">
        <f t="shared" si="21"/>
        <v>0.22080267320036934</v>
      </c>
      <c r="M249" s="10">
        <f t="shared" si="28"/>
        <v>0.23127948740571935</v>
      </c>
      <c r="P249" s="8">
        <f t="shared" si="29"/>
        <v>10.41916003911399</v>
      </c>
    </row>
    <row r="250" spans="1:16" x14ac:dyDescent="0.2">
      <c r="A250" s="8">
        <v>124</v>
      </c>
      <c r="B250" s="8">
        <v>248</v>
      </c>
      <c r="D250">
        <v>2536.7843137254999</v>
      </c>
      <c r="E250">
        <v>647.84313725489994</v>
      </c>
      <c r="F250">
        <v>129.37516170763001</v>
      </c>
      <c r="G250">
        <v>113.31565329884</v>
      </c>
      <c r="I250" s="9">
        <f t="shared" si="26"/>
        <v>534.52748395606</v>
      </c>
      <c r="J250" s="9">
        <f t="shared" si="27"/>
        <v>2407.4091520178699</v>
      </c>
      <c r="K250" s="9">
        <f t="shared" si="24"/>
        <v>534.52748395606</v>
      </c>
      <c r="L250" s="10">
        <f t="shared" si="21"/>
        <v>0.22203433243078918</v>
      </c>
      <c r="M250" s="10">
        <f t="shared" si="28"/>
        <v>0.23255356288798273</v>
      </c>
      <c r="P250" s="8">
        <f t="shared" si="29"/>
        <v>11.027438560291966</v>
      </c>
    </row>
    <row r="251" spans="1:16" x14ac:dyDescent="0.2">
      <c r="A251" s="8">
        <v>124.5</v>
      </c>
      <c r="B251" s="8">
        <v>249</v>
      </c>
      <c r="D251">
        <v>2625.2130718953999</v>
      </c>
      <c r="E251">
        <v>665.43006535947995</v>
      </c>
      <c r="F251">
        <v>129.48382923674001</v>
      </c>
      <c r="G251">
        <v>113.40879689521</v>
      </c>
      <c r="I251" s="9">
        <f t="shared" si="26"/>
        <v>552.02126846426995</v>
      </c>
      <c r="J251" s="9">
        <f t="shared" si="27"/>
        <v>2495.72924265866</v>
      </c>
      <c r="K251" s="9">
        <f t="shared" si="24"/>
        <v>552.02126846426995</v>
      </c>
      <c r="L251" s="10">
        <f t="shared" si="21"/>
        <v>0.22118636069520531</v>
      </c>
      <c r="M251" s="10">
        <f t="shared" si="28"/>
        <v>0.23174800740424237</v>
      </c>
      <c r="P251" s="8">
        <f t="shared" si="29"/>
        <v>10.64284431513318</v>
      </c>
    </row>
    <row r="252" spans="1:16" x14ac:dyDescent="0.2">
      <c r="A252" s="8">
        <v>125</v>
      </c>
      <c r="B252" s="8">
        <v>250</v>
      </c>
      <c r="D252">
        <v>2634.1176470587998</v>
      </c>
      <c r="E252">
        <v>664.69673202614001</v>
      </c>
      <c r="F252">
        <v>129.05562742561</v>
      </c>
      <c r="G252">
        <v>113.55498059508</v>
      </c>
      <c r="I252" s="9">
        <f t="shared" si="26"/>
        <v>551.14175143106002</v>
      </c>
      <c r="J252" s="9">
        <f t="shared" si="27"/>
        <v>2505.0620196331897</v>
      </c>
      <c r="K252" s="9">
        <f t="shared" si="24"/>
        <v>551.14175143106002</v>
      </c>
      <c r="L252" s="10">
        <f t="shared" si="21"/>
        <v>0.22001122012610386</v>
      </c>
      <c r="M252" s="10">
        <f t="shared" si="28"/>
        <v>0.23061528308698445</v>
      </c>
      <c r="P252" s="8">
        <f t="shared" si="29"/>
        <v>10.102050710518833</v>
      </c>
    </row>
    <row r="253" spans="1:16" x14ac:dyDescent="0.2">
      <c r="A253" s="8">
        <v>125.5</v>
      </c>
      <c r="B253" s="8">
        <v>251</v>
      </c>
      <c r="D253">
        <v>2552.4849673202998</v>
      </c>
      <c r="E253">
        <v>648.56601307189999</v>
      </c>
      <c r="F253">
        <v>129.94437257439</v>
      </c>
      <c r="G253">
        <v>113.75291073739</v>
      </c>
      <c r="I253" s="9">
        <f t="shared" si="26"/>
        <v>534.81310233450995</v>
      </c>
      <c r="J253" s="9">
        <f t="shared" si="27"/>
        <v>2422.5405947459099</v>
      </c>
      <c r="K253" s="9">
        <f t="shared" si="24"/>
        <v>534.81310233450995</v>
      </c>
      <c r="L253" s="10">
        <f t="shared" si="21"/>
        <v>0.22076538304226198</v>
      </c>
      <c r="M253" s="10">
        <f t="shared" si="28"/>
        <v>0.23141186225498608</v>
      </c>
      <c r="P253" s="8">
        <f t="shared" si="29"/>
        <v>10.48235941676003</v>
      </c>
    </row>
    <row r="254" spans="1:16" x14ac:dyDescent="0.2">
      <c r="A254" s="8">
        <v>126</v>
      </c>
      <c r="B254" s="8">
        <v>252</v>
      </c>
      <c r="D254">
        <v>2608.5228758170001</v>
      </c>
      <c r="E254">
        <v>658.92549019607998</v>
      </c>
      <c r="F254">
        <v>129.23544631307001</v>
      </c>
      <c r="G254">
        <v>113.20181112549</v>
      </c>
      <c r="I254" s="9">
        <f t="shared" si="26"/>
        <v>545.72367907058992</v>
      </c>
      <c r="J254" s="9">
        <f t="shared" si="27"/>
        <v>2479.2874295039301</v>
      </c>
      <c r="K254" s="9">
        <f t="shared" si="24"/>
        <v>545.72367907058992</v>
      </c>
      <c r="L254" s="10">
        <f t="shared" si="21"/>
        <v>0.22011311499279509</v>
      </c>
      <c r="M254" s="10">
        <f t="shared" si="28"/>
        <v>0.23080201045736273</v>
      </c>
      <c r="P254" s="8">
        <f t="shared" si="29"/>
        <v>10.191199469990583</v>
      </c>
    </row>
    <row r="255" spans="1:16" x14ac:dyDescent="0.2">
      <c r="A255" s="8">
        <v>126.5</v>
      </c>
      <c r="B255" s="8">
        <v>253</v>
      </c>
      <c r="D255">
        <v>2649.6722797928001</v>
      </c>
      <c r="E255">
        <v>671.29663212435003</v>
      </c>
      <c r="F255">
        <v>129.70633893920001</v>
      </c>
      <c r="G255">
        <v>113.13712807245</v>
      </c>
      <c r="I255" s="9">
        <f t="shared" si="26"/>
        <v>558.15950405190006</v>
      </c>
      <c r="J255" s="9">
        <f t="shared" si="27"/>
        <v>2519.9659408535999</v>
      </c>
      <c r="K255" s="9">
        <f t="shared" si="24"/>
        <v>558.15950405190006</v>
      </c>
      <c r="L255" s="10">
        <f t="shared" si="21"/>
        <v>0.22149486030864055</v>
      </c>
      <c r="M255" s="10">
        <f t="shared" si="28"/>
        <v>0.23222617202505169</v>
      </c>
      <c r="P255" s="8">
        <f t="shared" si="29"/>
        <v>10.871133197914929</v>
      </c>
    </row>
    <row r="256" spans="1:16" x14ac:dyDescent="0.2">
      <c r="A256" s="8">
        <v>127</v>
      </c>
      <c r="B256" s="8">
        <v>254</v>
      </c>
      <c r="D256">
        <v>2565.3549222798001</v>
      </c>
      <c r="E256">
        <v>641.16450777201999</v>
      </c>
      <c r="F256">
        <v>129.36610608020999</v>
      </c>
      <c r="G256">
        <v>113.44631306597999</v>
      </c>
      <c r="I256" s="9">
        <f t="shared" si="26"/>
        <v>527.71819470603998</v>
      </c>
      <c r="J256" s="9">
        <f t="shared" si="27"/>
        <v>2435.98881619959</v>
      </c>
      <c r="K256" s="9">
        <f t="shared" si="24"/>
        <v>527.71819470603998</v>
      </c>
      <c r="L256" s="10">
        <f t="shared" si="21"/>
        <v>0.2166340794328187</v>
      </c>
      <c r="M256" s="10">
        <f t="shared" si="28"/>
        <v>0.22740780740107339</v>
      </c>
      <c r="P256" s="8">
        <f t="shared" si="29"/>
        <v>8.5707139929530065</v>
      </c>
    </row>
    <row r="257" spans="1:16" x14ac:dyDescent="0.2">
      <c r="A257" s="8">
        <v>127.5</v>
      </c>
      <c r="B257" s="8">
        <v>255</v>
      </c>
      <c r="D257">
        <v>2548.0183006535999</v>
      </c>
      <c r="E257">
        <v>640.69803921568996</v>
      </c>
      <c r="F257">
        <v>129.18758085382001</v>
      </c>
      <c r="G257">
        <v>113.6765847348</v>
      </c>
      <c r="I257" s="9">
        <f t="shared" si="26"/>
        <v>527.02145448088993</v>
      </c>
      <c r="J257" s="9">
        <f t="shared" si="27"/>
        <v>2418.8307197997801</v>
      </c>
      <c r="K257" s="9">
        <f t="shared" si="24"/>
        <v>527.02145448088993</v>
      </c>
      <c r="L257" s="10">
        <f t="shared" si="21"/>
        <v>0.21788273572303332</v>
      </c>
      <c r="M257" s="10">
        <f t="shared" si="28"/>
        <v>0.22869887994313151</v>
      </c>
      <c r="P257" s="8">
        <f t="shared" si="29"/>
        <v>9.187107375879954</v>
      </c>
    </row>
    <row r="258" spans="1:16" x14ac:dyDescent="0.2">
      <c r="A258" s="8">
        <v>128</v>
      </c>
      <c r="B258" s="8">
        <v>256</v>
      </c>
      <c r="D258">
        <v>2549.1816993463999</v>
      </c>
      <c r="E258">
        <v>638.79738562091995</v>
      </c>
      <c r="F258">
        <v>129.86545924967999</v>
      </c>
      <c r="G258">
        <v>113.27684346701</v>
      </c>
      <c r="I258" s="9">
        <f t="shared" si="26"/>
        <v>525.5205421539099</v>
      </c>
      <c r="J258" s="9">
        <f t="shared" si="27"/>
        <v>2419.3162400967199</v>
      </c>
      <c r="K258" s="9">
        <f t="shared" si="24"/>
        <v>525.5205421539099</v>
      </c>
      <c r="L258" s="10">
        <f t="shared" ref="L258:L321" si="30">K258/J258</f>
        <v>0.21721862294980526</v>
      </c>
      <c r="M258" s="10">
        <f t="shared" si="28"/>
        <v>0.22807718342174699</v>
      </c>
      <c r="P258" s="8">
        <f t="shared" si="29"/>
        <v>8.8902924336620384</v>
      </c>
    </row>
    <row r="259" spans="1:16" x14ac:dyDescent="0.2">
      <c r="A259" s="8">
        <v>128.5</v>
      </c>
      <c r="B259" s="8">
        <v>257</v>
      </c>
      <c r="D259">
        <v>2596.2849673203</v>
      </c>
      <c r="E259">
        <v>652.93986928105005</v>
      </c>
      <c r="F259">
        <v>129.16300129365999</v>
      </c>
      <c r="G259">
        <v>113.08150064682999</v>
      </c>
      <c r="I259" s="9">
        <f t="shared" si="26"/>
        <v>539.85836863422003</v>
      </c>
      <c r="J259" s="9">
        <f t="shared" si="27"/>
        <v>2467.1219660266402</v>
      </c>
      <c r="K259" s="9">
        <f t="shared" ref="K259:K322" si="31">I259*1</f>
        <v>539.85836863422003</v>
      </c>
      <c r="L259" s="10">
        <f t="shared" si="30"/>
        <v>0.21882111061727322</v>
      </c>
      <c r="M259" s="10">
        <f t="shared" si="28"/>
        <v>0.22972208734105845</v>
      </c>
      <c r="P259" s="8">
        <f t="shared" si="29"/>
        <v>9.6756146044812663</v>
      </c>
    </row>
    <row r="260" spans="1:16" x14ac:dyDescent="0.2">
      <c r="A260" s="8">
        <v>129</v>
      </c>
      <c r="B260" s="8">
        <v>258</v>
      </c>
      <c r="D260">
        <v>2498.0954248366002</v>
      </c>
      <c r="E260">
        <v>621.59346405228996</v>
      </c>
      <c r="F260">
        <v>129.26520051745999</v>
      </c>
      <c r="G260">
        <v>112.75291073739</v>
      </c>
      <c r="I260" s="9">
        <f t="shared" si="26"/>
        <v>508.84055331489998</v>
      </c>
      <c r="J260" s="9">
        <f t="shared" si="27"/>
        <v>2368.8302243191401</v>
      </c>
      <c r="K260" s="9">
        <f t="shared" si="31"/>
        <v>508.84055331489998</v>
      </c>
      <c r="L260" s="10">
        <f t="shared" si="30"/>
        <v>0.21480667887929927</v>
      </c>
      <c r="M260" s="10">
        <f t="shared" si="28"/>
        <v>0.22575007185492804</v>
      </c>
      <c r="P260" s="8">
        <f t="shared" si="29"/>
        <v>7.7792656521356269</v>
      </c>
    </row>
    <row r="261" spans="1:16" x14ac:dyDescent="0.2">
      <c r="A261" s="8">
        <v>129.5</v>
      </c>
      <c r="B261" s="8">
        <v>259</v>
      </c>
      <c r="D261">
        <v>2485.5176470587999</v>
      </c>
      <c r="E261">
        <v>619.72026143791004</v>
      </c>
      <c r="F261">
        <v>129.37386804657001</v>
      </c>
      <c r="G261">
        <v>113.30918499353</v>
      </c>
      <c r="I261" s="9">
        <f t="shared" si="26"/>
        <v>506.41107644438006</v>
      </c>
      <c r="J261" s="9">
        <f t="shared" si="27"/>
        <v>2356.14377901223</v>
      </c>
      <c r="K261" s="9">
        <f t="shared" si="31"/>
        <v>506.41107644438006</v>
      </c>
      <c r="L261" s="10">
        <f t="shared" si="30"/>
        <v>0.21493216201631107</v>
      </c>
      <c r="M261" s="10">
        <f t="shared" si="28"/>
        <v>0.22591797124378335</v>
      </c>
      <c r="P261" s="8">
        <f t="shared" si="29"/>
        <v>7.8594254176921856</v>
      </c>
    </row>
    <row r="262" spans="1:16" x14ac:dyDescent="0.2">
      <c r="A262" s="8">
        <v>130</v>
      </c>
      <c r="B262" s="8">
        <v>260</v>
      </c>
      <c r="D262">
        <v>2475.6509803921999</v>
      </c>
      <c r="E262">
        <v>624.81699346405003</v>
      </c>
      <c r="F262">
        <v>129.57826649418001</v>
      </c>
      <c r="G262">
        <v>112.99611901682</v>
      </c>
      <c r="I262" s="9">
        <f t="shared" si="26"/>
        <v>511.82087444723004</v>
      </c>
      <c r="J262" s="9">
        <f t="shared" si="27"/>
        <v>2346.0727138980201</v>
      </c>
      <c r="K262" s="9">
        <f t="shared" si="31"/>
        <v>511.82087444723004</v>
      </c>
      <c r="L262" s="10">
        <f t="shared" si="30"/>
        <v>0.2181607038073578</v>
      </c>
      <c r="M262" s="10">
        <f t="shared" si="28"/>
        <v>0.22918892928667361</v>
      </c>
      <c r="P262" s="8">
        <f t="shared" si="29"/>
        <v>9.4210703507144462</v>
      </c>
    </row>
    <row r="263" spans="1:16" x14ac:dyDescent="0.2">
      <c r="A263" s="8">
        <v>130.5</v>
      </c>
      <c r="B263" s="8">
        <v>261</v>
      </c>
      <c r="D263">
        <v>2453.6156862745001</v>
      </c>
      <c r="E263">
        <v>612.82875816993999</v>
      </c>
      <c r="F263">
        <v>128.99741267787999</v>
      </c>
      <c r="G263">
        <v>113.17335058214999</v>
      </c>
      <c r="I263" s="9">
        <f t="shared" si="26"/>
        <v>499.65540758779002</v>
      </c>
      <c r="J263" s="9">
        <f t="shared" si="27"/>
        <v>2324.6182735966204</v>
      </c>
      <c r="K263" s="9">
        <f t="shared" si="31"/>
        <v>499.65540758779002</v>
      </c>
      <c r="L263" s="10">
        <f t="shared" si="30"/>
        <v>0.21494084136864733</v>
      </c>
      <c r="M263" s="10">
        <f t="shared" si="28"/>
        <v>0.22601148309980665</v>
      </c>
      <c r="P263" s="8">
        <f t="shared" si="29"/>
        <v>7.9040705382414105</v>
      </c>
    </row>
    <row r="264" spans="1:16" x14ac:dyDescent="0.2">
      <c r="A264" s="8">
        <v>131</v>
      </c>
      <c r="B264" s="8">
        <v>262</v>
      </c>
      <c r="D264">
        <v>2423.4718954248001</v>
      </c>
      <c r="E264">
        <v>607.83790849673005</v>
      </c>
      <c r="F264">
        <v>129.39974126779001</v>
      </c>
      <c r="G264">
        <v>113.27684346701</v>
      </c>
      <c r="I264" s="9">
        <f t="shared" si="26"/>
        <v>494.56106502972006</v>
      </c>
      <c r="J264" s="9">
        <f t="shared" si="27"/>
        <v>2294.0721541570101</v>
      </c>
      <c r="K264" s="9">
        <f t="shared" si="31"/>
        <v>494.56106502972006</v>
      </c>
      <c r="L264" s="10">
        <f t="shared" si="30"/>
        <v>0.21558217518727246</v>
      </c>
      <c r="M264" s="10">
        <f t="shared" si="28"/>
        <v>0.22669523317027532</v>
      </c>
      <c r="P264" s="8">
        <f t="shared" si="29"/>
        <v>8.2305115439039316</v>
      </c>
    </row>
    <row r="265" spans="1:16" x14ac:dyDescent="0.2">
      <c r="A265" s="8">
        <v>131.5</v>
      </c>
      <c r="B265" s="8">
        <v>263</v>
      </c>
      <c r="D265">
        <v>2215.7529411764999</v>
      </c>
      <c r="E265">
        <v>546.72549019608005</v>
      </c>
      <c r="F265">
        <v>129.46830530400999</v>
      </c>
      <c r="G265">
        <v>113.27554980595001</v>
      </c>
      <c r="I265" s="9">
        <f t="shared" si="26"/>
        <v>433.44994039013005</v>
      </c>
      <c r="J265" s="9">
        <f t="shared" si="27"/>
        <v>2086.2846358724901</v>
      </c>
      <c r="K265" s="9">
        <f t="shared" si="31"/>
        <v>433.44994039013005</v>
      </c>
      <c r="L265" s="10">
        <f t="shared" si="30"/>
        <v>0.20776165099296726</v>
      </c>
      <c r="M265" s="10">
        <f t="shared" si="28"/>
        <v>0.21891712522781362</v>
      </c>
      <c r="P265" s="8">
        <f t="shared" si="29"/>
        <v>4.5170298368403454</v>
      </c>
    </row>
    <row r="266" spans="1:16" x14ac:dyDescent="0.2">
      <c r="A266" s="8">
        <v>132</v>
      </c>
      <c r="B266" s="8">
        <v>264</v>
      </c>
      <c r="D266">
        <v>2268.5124183007001</v>
      </c>
      <c r="E266">
        <v>562.24705882352998</v>
      </c>
      <c r="F266">
        <v>129.32470892626</v>
      </c>
      <c r="G266">
        <v>113.44501940492</v>
      </c>
      <c r="I266" s="9">
        <f t="shared" si="26"/>
        <v>448.80203941860998</v>
      </c>
      <c r="J266" s="9">
        <f t="shared" si="27"/>
        <v>2139.1877093744401</v>
      </c>
      <c r="K266" s="9">
        <f t="shared" si="31"/>
        <v>448.80203941860998</v>
      </c>
      <c r="L266" s="10">
        <f t="shared" si="30"/>
        <v>0.20980021409614988</v>
      </c>
      <c r="M266" s="10">
        <f t="shared" si="28"/>
        <v>0.22099810458283978</v>
      </c>
      <c r="P266" s="8">
        <f t="shared" si="29"/>
        <v>5.510546361017159</v>
      </c>
    </row>
    <row r="267" spans="1:16" x14ac:dyDescent="0.2">
      <c r="A267" s="8">
        <v>132.5</v>
      </c>
      <c r="B267" s="8">
        <v>265</v>
      </c>
      <c r="D267">
        <v>2350.9699346405</v>
      </c>
      <c r="E267">
        <v>590.74640522875995</v>
      </c>
      <c r="F267">
        <v>129.61707632599999</v>
      </c>
      <c r="G267">
        <v>113.19922380336</v>
      </c>
      <c r="I267" s="9">
        <f t="shared" si="26"/>
        <v>477.54718142539997</v>
      </c>
      <c r="J267" s="9">
        <f t="shared" si="27"/>
        <v>2221.3528583144998</v>
      </c>
      <c r="K267" s="9">
        <f t="shared" si="31"/>
        <v>477.54718142539997</v>
      </c>
      <c r="L267" s="10">
        <f t="shared" si="30"/>
        <v>0.21498033490624688</v>
      </c>
      <c r="M267" s="10">
        <f t="shared" si="28"/>
        <v>0.22622064164478028</v>
      </c>
      <c r="P267" s="8">
        <f t="shared" si="29"/>
        <v>8.003928554661508</v>
      </c>
    </row>
    <row r="268" spans="1:16" x14ac:dyDescent="0.2">
      <c r="A268" s="8">
        <v>133</v>
      </c>
      <c r="B268" s="8">
        <v>266</v>
      </c>
      <c r="D268">
        <v>2429.8980392157</v>
      </c>
      <c r="E268">
        <v>610.66143790850003</v>
      </c>
      <c r="F268">
        <v>129.33117723157</v>
      </c>
      <c r="G268">
        <v>113.02069857697001</v>
      </c>
      <c r="I268" s="9">
        <f t="shared" si="26"/>
        <v>497.64073933153003</v>
      </c>
      <c r="J268" s="9">
        <f t="shared" si="27"/>
        <v>2300.5668619841299</v>
      </c>
      <c r="K268" s="9">
        <f t="shared" si="31"/>
        <v>497.64073933153003</v>
      </c>
      <c r="L268" s="10">
        <f t="shared" si="30"/>
        <v>0.21631222615383519</v>
      </c>
      <c r="M268" s="10">
        <f t="shared" si="28"/>
        <v>0.22759494914421213</v>
      </c>
      <c r="P268" s="8">
        <f t="shared" si="29"/>
        <v>8.6600605853267023</v>
      </c>
    </row>
    <row r="269" spans="1:16" x14ac:dyDescent="0.2">
      <c r="A269" s="8">
        <v>133.5</v>
      </c>
      <c r="B269" s="8">
        <v>267</v>
      </c>
      <c r="D269">
        <v>2409.2522875816999</v>
      </c>
      <c r="E269">
        <v>617.03790849672998</v>
      </c>
      <c r="F269">
        <v>129.36739974126999</v>
      </c>
      <c r="G269">
        <v>113.81241914618001</v>
      </c>
      <c r="I269" s="9">
        <f t="shared" si="26"/>
        <v>503.22548935054999</v>
      </c>
      <c r="J269" s="9">
        <f t="shared" si="27"/>
        <v>2279.8848878404297</v>
      </c>
      <c r="K269" s="9">
        <f t="shared" si="31"/>
        <v>503.22548935054999</v>
      </c>
      <c r="L269" s="10">
        <f t="shared" si="30"/>
        <v>0.22072407779640979</v>
      </c>
      <c r="M269" s="10">
        <f t="shared" si="28"/>
        <v>0.23204921703863024</v>
      </c>
      <c r="P269" s="8">
        <f t="shared" si="29"/>
        <v>10.786650042125531</v>
      </c>
    </row>
    <row r="270" spans="1:16" x14ac:dyDescent="0.2">
      <c r="A270" s="8">
        <v>134</v>
      </c>
      <c r="B270" s="8">
        <v>268</v>
      </c>
      <c r="D270">
        <v>2372.6418300654</v>
      </c>
      <c r="E270">
        <v>610.01045751634001</v>
      </c>
      <c r="F270">
        <v>129.65200517464001</v>
      </c>
      <c r="G270">
        <v>112.93143596378</v>
      </c>
      <c r="I270" s="9">
        <f t="shared" si="26"/>
        <v>497.07902155255999</v>
      </c>
      <c r="J270" s="9">
        <f t="shared" si="27"/>
        <v>2242.9898248907598</v>
      </c>
      <c r="K270" s="9">
        <f t="shared" si="31"/>
        <v>497.07902155255999</v>
      </c>
      <c r="L270" s="10">
        <f t="shared" si="30"/>
        <v>0.22161447904774567</v>
      </c>
      <c r="M270" s="10">
        <f t="shared" si="28"/>
        <v>0.23298203454180966</v>
      </c>
      <c r="P270" s="8">
        <f t="shared" si="29"/>
        <v>11.232002659974285</v>
      </c>
    </row>
    <row r="271" spans="1:16" x14ac:dyDescent="0.2">
      <c r="A271" s="8">
        <v>134.5</v>
      </c>
      <c r="B271" s="8">
        <v>269</v>
      </c>
      <c r="D271">
        <v>2429.3346405228999</v>
      </c>
      <c r="E271">
        <v>617.14248366012998</v>
      </c>
      <c r="F271">
        <v>129.31953428201999</v>
      </c>
      <c r="G271">
        <v>113.61966364812</v>
      </c>
      <c r="I271" s="9">
        <f t="shared" si="26"/>
        <v>503.52282001201002</v>
      </c>
      <c r="J271" s="9">
        <f t="shared" si="27"/>
        <v>2300.01510624088</v>
      </c>
      <c r="K271" s="9">
        <f t="shared" si="31"/>
        <v>503.52282001201002</v>
      </c>
      <c r="L271" s="10">
        <f t="shared" si="30"/>
        <v>0.21892152736116691</v>
      </c>
      <c r="M271" s="10">
        <f t="shared" si="28"/>
        <v>0.23033149910707443</v>
      </c>
      <c r="P271" s="8">
        <f t="shared" si="29"/>
        <v>9.966564468112681</v>
      </c>
    </row>
    <row r="272" spans="1:16" x14ac:dyDescent="0.2">
      <c r="A272" s="8">
        <v>135</v>
      </c>
      <c r="B272" s="8">
        <v>270</v>
      </c>
      <c r="D272">
        <v>2669.5823605707001</v>
      </c>
      <c r="E272">
        <v>669.00518806745004</v>
      </c>
      <c r="F272">
        <v>129.21474773609</v>
      </c>
      <c r="G272">
        <v>113.48771021992</v>
      </c>
      <c r="I272" s="9">
        <f t="shared" si="26"/>
        <v>555.51747784753002</v>
      </c>
      <c r="J272" s="9">
        <f t="shared" si="27"/>
        <v>2540.3676128346101</v>
      </c>
      <c r="K272" s="9">
        <f t="shared" si="31"/>
        <v>555.51747784753002</v>
      </c>
      <c r="L272" s="10">
        <f t="shared" si="30"/>
        <v>0.21867601958114588</v>
      </c>
      <c r="M272" s="10">
        <f t="shared" si="28"/>
        <v>0.23012840757889691</v>
      </c>
      <c r="P272" s="8">
        <f t="shared" si="29"/>
        <v>9.8696030116343447</v>
      </c>
    </row>
    <row r="273" spans="1:16" x14ac:dyDescent="0.2">
      <c r="A273" s="8">
        <v>135.5</v>
      </c>
      <c r="B273" s="8">
        <v>271</v>
      </c>
      <c r="D273">
        <v>2702.3579766537</v>
      </c>
      <c r="E273">
        <v>664.90920881971999</v>
      </c>
      <c r="F273">
        <v>129.21862871927999</v>
      </c>
      <c r="G273">
        <v>113.382923674</v>
      </c>
      <c r="I273" s="9">
        <f t="shared" si="26"/>
        <v>551.52628514571995</v>
      </c>
      <c r="J273" s="9">
        <f t="shared" si="27"/>
        <v>2573.1393479344201</v>
      </c>
      <c r="K273" s="9">
        <f t="shared" si="31"/>
        <v>551.52628514571995</v>
      </c>
      <c r="L273" s="10">
        <f t="shared" si="30"/>
        <v>0.21433984350224017</v>
      </c>
      <c r="M273" s="10">
        <f t="shared" si="28"/>
        <v>0.22583464775183473</v>
      </c>
      <c r="P273" s="8">
        <f t="shared" si="29"/>
        <v>7.8196445011236859</v>
      </c>
    </row>
    <row r="274" spans="1:16" x14ac:dyDescent="0.2">
      <c r="A274" s="8">
        <v>136</v>
      </c>
      <c r="B274" s="8">
        <v>272</v>
      </c>
      <c r="D274">
        <v>2699.9740596627998</v>
      </c>
      <c r="E274">
        <v>661.25421530480003</v>
      </c>
      <c r="F274">
        <v>129.82535575679</v>
      </c>
      <c r="G274">
        <v>113.09831824062</v>
      </c>
      <c r="I274" s="9">
        <f t="shared" si="26"/>
        <v>548.15589706418007</v>
      </c>
      <c r="J274" s="9">
        <f t="shared" si="27"/>
        <v>2570.1487039060098</v>
      </c>
      <c r="K274" s="9">
        <f t="shared" si="31"/>
        <v>548.15589706418007</v>
      </c>
      <c r="L274" s="10">
        <f t="shared" si="30"/>
        <v>0.21327789175432321</v>
      </c>
      <c r="M274" s="10">
        <f t="shared" si="28"/>
        <v>0.22481511225576128</v>
      </c>
      <c r="P274" s="8">
        <f t="shared" si="29"/>
        <v>7.3328903390089728</v>
      </c>
    </row>
    <row r="275" spans="1:16" x14ac:dyDescent="0.2">
      <c r="A275" s="8">
        <v>136.5</v>
      </c>
      <c r="B275" s="8">
        <v>273</v>
      </c>
      <c r="D275">
        <v>2696.4721141374998</v>
      </c>
      <c r="E275">
        <v>668.49027237354005</v>
      </c>
      <c r="F275">
        <v>129.78007761966001</v>
      </c>
      <c r="G275">
        <v>113.40103492885</v>
      </c>
      <c r="I275" s="9">
        <f>E275-G275</f>
        <v>555.08923744469007</v>
      </c>
      <c r="J275" s="9">
        <f>D275-F275</f>
        <v>2566.6920365178398</v>
      </c>
      <c r="K275" s="9">
        <f t="shared" si="31"/>
        <v>555.08923744469007</v>
      </c>
      <c r="L275" s="10">
        <f t="shared" si="30"/>
        <v>0.21626639641496076</v>
      </c>
      <c r="M275" s="10">
        <f>L275+ABS($N$2)*A275</f>
        <v>0.22784603316824237</v>
      </c>
      <c r="O275" s="11"/>
      <c r="P275" s="8">
        <f>(M275-$O$2)/$O$2*100</f>
        <v>8.7799349734259113</v>
      </c>
    </row>
    <row r="276" spans="1:16" x14ac:dyDescent="0.2">
      <c r="A276" s="8">
        <v>137</v>
      </c>
      <c r="B276" s="8">
        <v>274</v>
      </c>
      <c r="D276">
        <v>2736.9040207522999</v>
      </c>
      <c r="E276">
        <v>672</v>
      </c>
      <c r="F276">
        <v>129.82147477360999</v>
      </c>
      <c r="G276">
        <v>113.53428201811001</v>
      </c>
      <c r="I276" s="9">
        <f t="shared" ref="I276:I291" si="32">E276-G276</f>
        <v>558.46571798188995</v>
      </c>
      <c r="J276" s="9">
        <f t="shared" ref="J276:J291" si="33">D276-F276</f>
        <v>2607.0825459786897</v>
      </c>
      <c r="K276" s="9">
        <f t="shared" si="31"/>
        <v>558.46571798188995</v>
      </c>
      <c r="L276" s="10">
        <f t="shared" si="30"/>
        <v>0.21421098416822237</v>
      </c>
      <c r="M276" s="10">
        <f t="shared" ref="M276:M291" si="34">L276+ABS($N$2)*A276</f>
        <v>0.22583303717334749</v>
      </c>
      <c r="P276" s="8">
        <f t="shared" ref="P276:P291" si="35">(M276-$O$2)/$O$2*100</f>
        <v>7.8188755668540137</v>
      </c>
    </row>
    <row r="277" spans="1:16" x14ac:dyDescent="0.2">
      <c r="A277" s="8">
        <v>137.5</v>
      </c>
      <c r="B277" s="8">
        <v>275</v>
      </c>
      <c r="D277">
        <v>2696.2269779507001</v>
      </c>
      <c r="E277">
        <v>671.04539559013995</v>
      </c>
      <c r="F277">
        <v>129.82147477360999</v>
      </c>
      <c r="G277">
        <v>113.37128072445</v>
      </c>
      <c r="I277" s="9">
        <f t="shared" si="32"/>
        <v>557.67411486568994</v>
      </c>
      <c r="J277" s="9">
        <f t="shared" si="33"/>
        <v>2566.4055031770899</v>
      </c>
      <c r="K277" s="9">
        <f t="shared" si="31"/>
        <v>557.67411486568994</v>
      </c>
      <c r="L277" s="10">
        <f t="shared" si="30"/>
        <v>0.2172977396499951</v>
      </c>
      <c r="M277" s="10">
        <f t="shared" si="34"/>
        <v>0.22896220890696375</v>
      </c>
      <c r="N277" s="1"/>
      <c r="P277" s="8">
        <f t="shared" si="35"/>
        <v>9.3128278335239969</v>
      </c>
    </row>
    <row r="278" spans="1:16" x14ac:dyDescent="0.2">
      <c r="A278" s="8">
        <v>138</v>
      </c>
      <c r="B278" s="8">
        <v>276</v>
      </c>
      <c r="D278">
        <v>2720.5214007782001</v>
      </c>
      <c r="E278">
        <v>672.62645914397001</v>
      </c>
      <c r="F278">
        <v>129.70375161708</v>
      </c>
      <c r="G278">
        <v>113.24062095731</v>
      </c>
      <c r="I278" s="9">
        <f t="shared" si="32"/>
        <v>559.38583818666007</v>
      </c>
      <c r="J278" s="9">
        <f t="shared" si="33"/>
        <v>2590.8176491611202</v>
      </c>
      <c r="K278" s="9">
        <f t="shared" si="31"/>
        <v>559.38583818666007</v>
      </c>
      <c r="L278" s="10">
        <f t="shared" si="30"/>
        <v>0.21591092617721799</v>
      </c>
      <c r="M278" s="10">
        <f t="shared" si="34"/>
        <v>0.22761781168603015</v>
      </c>
      <c r="P278" s="8">
        <f t="shared" si="35"/>
        <v>8.6709757887985788</v>
      </c>
    </row>
    <row r="279" spans="1:16" x14ac:dyDescent="0.2">
      <c r="A279" s="8">
        <v>138.5</v>
      </c>
      <c r="B279" s="8">
        <v>277</v>
      </c>
      <c r="D279">
        <v>2692.6173800258998</v>
      </c>
      <c r="E279">
        <v>667.87937743191003</v>
      </c>
      <c r="F279">
        <v>129.57956015523999</v>
      </c>
      <c r="G279">
        <v>113.50970245796</v>
      </c>
      <c r="I279" s="9">
        <f t="shared" si="32"/>
        <v>554.36967497395005</v>
      </c>
      <c r="J279" s="9">
        <f t="shared" si="33"/>
        <v>2563.0378198706599</v>
      </c>
      <c r="K279" s="9">
        <f t="shared" si="31"/>
        <v>554.36967497395005</v>
      </c>
      <c r="L279" s="10">
        <f t="shared" si="30"/>
        <v>0.21629398937309693</v>
      </c>
      <c r="M279" s="10">
        <f t="shared" si="34"/>
        <v>0.22804329113375263</v>
      </c>
      <c r="P279" s="8">
        <f t="shared" si="35"/>
        <v>8.8741113273558998</v>
      </c>
    </row>
    <row r="280" spans="1:16" x14ac:dyDescent="0.2">
      <c r="A280" s="8">
        <v>139</v>
      </c>
      <c r="B280" s="8">
        <v>278</v>
      </c>
      <c r="D280">
        <v>2714.8171206226002</v>
      </c>
      <c r="E280">
        <v>669.08690012969998</v>
      </c>
      <c r="F280">
        <v>129.89262613195001</v>
      </c>
      <c r="G280">
        <v>113.37645536869</v>
      </c>
      <c r="I280" s="9">
        <f t="shared" si="32"/>
        <v>555.71044476100997</v>
      </c>
      <c r="J280" s="9">
        <f t="shared" si="33"/>
        <v>2584.9244944906504</v>
      </c>
      <c r="K280" s="9">
        <f t="shared" si="31"/>
        <v>555.71044476100997</v>
      </c>
      <c r="L280" s="10">
        <f t="shared" si="30"/>
        <v>0.2149813063961509</v>
      </c>
      <c r="M280" s="10">
        <f t="shared" si="34"/>
        <v>0.2267730244086501</v>
      </c>
      <c r="P280" s="8">
        <f t="shared" si="35"/>
        <v>8.2676512111355454</v>
      </c>
    </row>
    <row r="281" spans="1:16" x14ac:dyDescent="0.2">
      <c r="A281" s="8">
        <v>139.5</v>
      </c>
      <c r="B281" s="8">
        <v>279</v>
      </c>
      <c r="D281">
        <v>2682.2853437095</v>
      </c>
      <c r="E281">
        <v>666.71076523994998</v>
      </c>
      <c r="F281">
        <v>129.86287192756001</v>
      </c>
      <c r="G281">
        <v>113.37774902975001</v>
      </c>
      <c r="I281" s="9">
        <f t="shared" si="32"/>
        <v>553.33301621019996</v>
      </c>
      <c r="J281" s="9">
        <f t="shared" si="33"/>
        <v>2552.4224717819402</v>
      </c>
      <c r="K281" s="9">
        <f t="shared" si="31"/>
        <v>553.33301621019996</v>
      </c>
      <c r="L281" s="10">
        <f t="shared" si="30"/>
        <v>0.21678739406486175</v>
      </c>
      <c r="M281" s="10">
        <f t="shared" si="34"/>
        <v>0.22862152832920449</v>
      </c>
      <c r="P281" s="8">
        <f t="shared" si="35"/>
        <v>9.1501775973972279</v>
      </c>
    </row>
    <row r="282" spans="1:16" x14ac:dyDescent="0.2">
      <c r="A282" s="8">
        <v>140</v>
      </c>
      <c r="B282" s="8">
        <v>280</v>
      </c>
      <c r="D282">
        <v>2747.4176394292999</v>
      </c>
      <c r="E282">
        <v>683.05317769131</v>
      </c>
      <c r="F282">
        <v>130.0362225097</v>
      </c>
      <c r="G282">
        <v>113.94307891333</v>
      </c>
      <c r="I282" s="9">
        <f t="shared" si="32"/>
        <v>569.11009877798006</v>
      </c>
      <c r="J282" s="9">
        <f t="shared" si="33"/>
        <v>2617.3814169195998</v>
      </c>
      <c r="K282" s="9">
        <f t="shared" si="31"/>
        <v>569.11009877798006</v>
      </c>
      <c r="L282" s="10">
        <f t="shared" si="30"/>
        <v>0.21743491227494333</v>
      </c>
      <c r="M282" s="10">
        <f t="shared" si="34"/>
        <v>0.22931146279112957</v>
      </c>
      <c r="P282" s="8">
        <f t="shared" si="35"/>
        <v>9.4795712008782171</v>
      </c>
    </row>
    <row r="283" spans="1:16" x14ac:dyDescent="0.2">
      <c r="A283" s="8">
        <v>140.5</v>
      </c>
      <c r="B283" s="8">
        <v>281</v>
      </c>
      <c r="D283">
        <v>2734.3605706874</v>
      </c>
      <c r="E283">
        <v>683.11413748379005</v>
      </c>
      <c r="F283">
        <v>129.83311772316</v>
      </c>
      <c r="G283">
        <v>113.85122897801</v>
      </c>
      <c r="I283" s="9">
        <f t="shared" si="32"/>
        <v>569.26290850578005</v>
      </c>
      <c r="J283" s="9">
        <f t="shared" si="33"/>
        <v>2604.5274529642402</v>
      </c>
      <c r="K283" s="9">
        <f t="shared" si="31"/>
        <v>569.26290850578005</v>
      </c>
      <c r="L283" s="10">
        <f t="shared" si="30"/>
        <v>0.21856667621525583</v>
      </c>
      <c r="M283" s="10">
        <f t="shared" si="34"/>
        <v>0.23048564298328561</v>
      </c>
      <c r="P283" s="8">
        <f t="shared" si="35"/>
        <v>10.04015697528801</v>
      </c>
    </row>
    <row r="284" spans="1:16" x14ac:dyDescent="0.2">
      <c r="A284" s="8">
        <v>141</v>
      </c>
      <c r="B284" s="8">
        <v>282</v>
      </c>
      <c r="D284">
        <v>2654.6757457847002</v>
      </c>
      <c r="E284">
        <v>644.02204928664003</v>
      </c>
      <c r="F284">
        <v>130.28978007762001</v>
      </c>
      <c r="G284">
        <v>113.36998706339</v>
      </c>
      <c r="I284" s="9">
        <f t="shared" si="32"/>
        <v>530.65206222325003</v>
      </c>
      <c r="J284" s="9">
        <f t="shared" si="33"/>
        <v>2524.3859657070802</v>
      </c>
      <c r="K284" s="9">
        <f t="shared" si="31"/>
        <v>530.65206222325003</v>
      </c>
      <c r="L284" s="10">
        <f t="shared" si="30"/>
        <v>0.21021035191606069</v>
      </c>
      <c r="M284" s="10">
        <f t="shared" si="34"/>
        <v>0.22217173493593398</v>
      </c>
      <c r="P284" s="8">
        <f t="shared" si="35"/>
        <v>6.0708696272034794</v>
      </c>
    </row>
    <row r="285" spans="1:16" x14ac:dyDescent="0.2">
      <c r="A285" s="8">
        <v>141.5</v>
      </c>
      <c r="B285" s="8">
        <v>283</v>
      </c>
      <c r="D285">
        <v>2600.7237354086001</v>
      </c>
      <c r="E285">
        <v>633.70038910506003</v>
      </c>
      <c r="F285">
        <v>130.14877102199</v>
      </c>
      <c r="G285">
        <v>113.99223803364001</v>
      </c>
      <c r="I285" s="9">
        <f t="shared" si="32"/>
        <v>519.70815107142005</v>
      </c>
      <c r="J285" s="9">
        <f t="shared" si="33"/>
        <v>2470.5749643866102</v>
      </c>
      <c r="K285" s="9">
        <f t="shared" si="31"/>
        <v>519.70815107142005</v>
      </c>
      <c r="L285" s="10">
        <f t="shared" si="30"/>
        <v>0.21035919110450965</v>
      </c>
      <c r="M285" s="10">
        <f t="shared" si="34"/>
        <v>0.22236299037622648</v>
      </c>
      <c r="P285" s="8">
        <f t="shared" si="35"/>
        <v>6.1621802112370823</v>
      </c>
    </row>
    <row r="286" spans="1:16" x14ac:dyDescent="0.2">
      <c r="A286" s="8">
        <v>142</v>
      </c>
      <c r="B286" s="8">
        <v>284</v>
      </c>
      <c r="D286">
        <v>2700.3307392995998</v>
      </c>
      <c r="E286">
        <v>669.57976653697006</v>
      </c>
      <c r="F286">
        <v>130.1681759379</v>
      </c>
      <c r="G286">
        <v>113.65717981889</v>
      </c>
      <c r="I286" s="9">
        <f t="shared" si="32"/>
        <v>555.92258671808008</v>
      </c>
      <c r="J286" s="9">
        <f t="shared" si="33"/>
        <v>2570.1625633617</v>
      </c>
      <c r="K286" s="9">
        <f t="shared" si="31"/>
        <v>555.92258671808008</v>
      </c>
      <c r="L286" s="10">
        <f t="shared" si="30"/>
        <v>0.21629860875062668</v>
      </c>
      <c r="M286" s="10">
        <f t="shared" si="34"/>
        <v>0.22834482427418701</v>
      </c>
      <c r="P286" s="8">
        <f t="shared" si="35"/>
        <v>9.0180715049928946</v>
      </c>
    </row>
    <row r="287" spans="1:16" x14ac:dyDescent="0.2">
      <c r="A287" s="8">
        <v>142.5</v>
      </c>
      <c r="B287" s="8">
        <v>285</v>
      </c>
      <c r="D287">
        <v>2710.6549935149001</v>
      </c>
      <c r="E287">
        <v>672.38780804150997</v>
      </c>
      <c r="F287">
        <v>129.97153945666</v>
      </c>
      <c r="G287">
        <v>113.86675291074</v>
      </c>
      <c r="I287" s="9">
        <f t="shared" si="32"/>
        <v>558.52105513076992</v>
      </c>
      <c r="J287" s="9">
        <f t="shared" si="33"/>
        <v>2580.6834540582399</v>
      </c>
      <c r="K287" s="9">
        <f t="shared" si="31"/>
        <v>558.52105513076992</v>
      </c>
      <c r="L287" s="10">
        <f t="shared" si="30"/>
        <v>0.21642369747148596</v>
      </c>
      <c r="M287" s="10">
        <f t="shared" si="34"/>
        <v>0.22851232924688983</v>
      </c>
      <c r="P287" s="8">
        <f t="shared" si="35"/>
        <v>9.0980429654785979</v>
      </c>
    </row>
    <row r="288" spans="1:16" x14ac:dyDescent="0.2">
      <c r="A288" s="8">
        <v>143</v>
      </c>
      <c r="B288" s="8">
        <v>286</v>
      </c>
      <c r="D288">
        <v>2697.2697795070999</v>
      </c>
      <c r="E288">
        <v>675.29312581064005</v>
      </c>
      <c r="F288">
        <v>130.11254851229</v>
      </c>
      <c r="G288">
        <v>113.56403622251</v>
      </c>
      <c r="I288" s="9">
        <f t="shared" si="32"/>
        <v>561.72908958813002</v>
      </c>
      <c r="J288" s="9">
        <f t="shared" si="33"/>
        <v>2567.1572309948097</v>
      </c>
      <c r="K288" s="9">
        <f t="shared" si="31"/>
        <v>561.72908958813002</v>
      </c>
      <c r="L288" s="10">
        <f t="shared" si="30"/>
        <v>0.21881366782137146</v>
      </c>
      <c r="M288" s="10">
        <f t="shared" si="34"/>
        <v>0.23094471584861884</v>
      </c>
      <c r="P288" s="8">
        <f t="shared" si="35"/>
        <v>10.259330931246851</v>
      </c>
    </row>
    <row r="289" spans="1:16" x14ac:dyDescent="0.2">
      <c r="A289" s="8">
        <v>143.5</v>
      </c>
      <c r="B289" s="8">
        <v>287</v>
      </c>
      <c r="D289">
        <v>2704.4773022048998</v>
      </c>
      <c r="E289">
        <v>677.65758754863998</v>
      </c>
      <c r="F289">
        <v>129.72186287193</v>
      </c>
      <c r="G289">
        <v>113.50711513583001</v>
      </c>
      <c r="I289" s="9">
        <f t="shared" si="32"/>
        <v>564.15047241281002</v>
      </c>
      <c r="J289" s="9">
        <f t="shared" si="33"/>
        <v>2574.7554393329697</v>
      </c>
      <c r="K289" s="9">
        <f t="shared" si="31"/>
        <v>564.15047241281002</v>
      </c>
      <c r="L289" s="10">
        <f t="shared" si="30"/>
        <v>0.21910837192326194</v>
      </c>
      <c r="M289" s="10">
        <f t="shared" si="34"/>
        <v>0.23128183620235285</v>
      </c>
      <c r="P289" s="8">
        <f t="shared" si="35"/>
        <v>10.420281418940114</v>
      </c>
    </row>
    <row r="290" spans="1:16" x14ac:dyDescent="0.2">
      <c r="A290" s="8">
        <v>144</v>
      </c>
      <c r="B290" s="8">
        <v>288</v>
      </c>
      <c r="D290">
        <v>2737.8690012970001</v>
      </c>
      <c r="E290">
        <v>682.32555123217003</v>
      </c>
      <c r="F290">
        <v>130.12419146184001</v>
      </c>
      <c r="G290">
        <v>113.75032341527</v>
      </c>
      <c r="I290" s="9">
        <f t="shared" si="32"/>
        <v>568.5752278169</v>
      </c>
      <c r="J290" s="9">
        <f t="shared" si="33"/>
        <v>2607.7448098351601</v>
      </c>
      <c r="K290" s="9">
        <f t="shared" si="31"/>
        <v>568.5752278169</v>
      </c>
      <c r="L290" s="10">
        <f t="shared" si="30"/>
        <v>0.21803330819507627</v>
      </c>
      <c r="M290" s="10">
        <f t="shared" si="34"/>
        <v>0.23024918872601069</v>
      </c>
      <c r="P290" s="8">
        <f t="shared" si="35"/>
        <v>9.9272672384209972</v>
      </c>
    </row>
    <row r="291" spans="1:16" x14ac:dyDescent="0.2">
      <c r="A291" s="8">
        <v>144.5</v>
      </c>
      <c r="B291" s="8">
        <v>289</v>
      </c>
      <c r="D291">
        <v>2712.5784695201</v>
      </c>
      <c r="E291">
        <v>680.36705577172995</v>
      </c>
      <c r="F291">
        <v>129.85252263907</v>
      </c>
      <c r="G291">
        <v>113.77619663647999</v>
      </c>
      <c r="I291" s="9">
        <f t="shared" si="32"/>
        <v>566.59085913524996</v>
      </c>
      <c r="J291" s="9">
        <f t="shared" si="33"/>
        <v>2582.7259468810298</v>
      </c>
      <c r="K291" s="9">
        <f t="shared" si="31"/>
        <v>566.59085913524996</v>
      </c>
      <c r="L291" s="10">
        <f t="shared" si="30"/>
        <v>0.21937707321192187</v>
      </c>
      <c r="M291" s="10">
        <f t="shared" si="34"/>
        <v>0.23163536999469983</v>
      </c>
      <c r="P291" s="8">
        <f t="shared" si="35"/>
        <v>10.589068131649816</v>
      </c>
    </row>
    <row r="292" spans="1:16" x14ac:dyDescent="0.2">
      <c r="A292" s="8">
        <v>145</v>
      </c>
      <c r="B292" s="8">
        <v>290</v>
      </c>
      <c r="D292">
        <v>2713.7120622568</v>
      </c>
      <c r="E292">
        <v>672.67833981842</v>
      </c>
      <c r="F292">
        <v>130.16041397154001</v>
      </c>
      <c r="G292">
        <v>113.44760672704</v>
      </c>
      <c r="I292" s="9">
        <f>E292-G292</f>
        <v>559.23073309137999</v>
      </c>
      <c r="J292" s="9">
        <f>D292-F292</f>
        <v>2583.5516482852599</v>
      </c>
      <c r="K292" s="9">
        <f t="shared" si="31"/>
        <v>559.23073309137999</v>
      </c>
      <c r="L292" s="10">
        <f t="shared" si="30"/>
        <v>0.21645812014733648</v>
      </c>
      <c r="M292" s="10">
        <f>L292+ABS($N$2)*A292</f>
        <v>0.22875883318195794</v>
      </c>
      <c r="O292" s="11"/>
      <c r="P292" s="8">
        <f>(M292-$O$2)/$O$2*100</f>
        <v>9.2157306936981325</v>
      </c>
    </row>
    <row r="293" spans="1:16" x14ac:dyDescent="0.2">
      <c r="A293" s="8">
        <v>145.5</v>
      </c>
      <c r="B293" s="8">
        <v>291</v>
      </c>
      <c r="D293">
        <v>2759.3073929961001</v>
      </c>
      <c r="E293">
        <v>684.89105058365999</v>
      </c>
      <c r="F293">
        <v>130.64424320827999</v>
      </c>
      <c r="G293">
        <v>113.04527813713</v>
      </c>
      <c r="I293" s="9">
        <f t="shared" ref="I293:I301" si="36">E293-G293</f>
        <v>571.84577244652996</v>
      </c>
      <c r="J293" s="9">
        <f t="shared" ref="J293:J301" si="37">D293-F293</f>
        <v>2628.6631497878202</v>
      </c>
      <c r="K293" s="9">
        <f t="shared" si="31"/>
        <v>571.84577244652996</v>
      </c>
      <c r="L293" s="10">
        <f t="shared" si="30"/>
        <v>0.21754243121363348</v>
      </c>
      <c r="M293" s="10">
        <f t="shared" ref="M293:M301" si="38">L293+ABS($N$2)*A293</f>
        <v>0.22988556050009848</v>
      </c>
      <c r="P293" s="8">
        <f t="shared" ref="P293:P301" si="39">(M293-$O$2)/$O$2*100</f>
        <v>9.7536611667277295</v>
      </c>
    </row>
    <row r="294" spans="1:16" x14ac:dyDescent="0.2">
      <c r="A294" s="8">
        <v>146</v>
      </c>
      <c r="B294" s="8">
        <v>292</v>
      </c>
      <c r="D294">
        <v>2704.5667963684</v>
      </c>
      <c r="E294">
        <v>667.31128404669005</v>
      </c>
      <c r="F294">
        <v>129.85769728330999</v>
      </c>
      <c r="G294">
        <v>113.75161707633001</v>
      </c>
      <c r="I294" s="9">
        <f t="shared" si="36"/>
        <v>553.55966697036001</v>
      </c>
      <c r="J294" s="9">
        <f t="shared" si="37"/>
        <v>2574.7090990850902</v>
      </c>
      <c r="K294" s="9">
        <f t="shared" si="31"/>
        <v>553.55966697036001</v>
      </c>
      <c r="L294" s="10">
        <f t="shared" si="30"/>
        <v>0.21499891664152063</v>
      </c>
      <c r="M294" s="10">
        <f t="shared" si="38"/>
        <v>0.22738446217982916</v>
      </c>
      <c r="N294" s="1"/>
      <c r="P294" s="8">
        <f t="shared" si="39"/>
        <v>8.55956834510663</v>
      </c>
    </row>
    <row r="295" spans="1:16" x14ac:dyDescent="0.2">
      <c r="A295" s="8">
        <v>146.5</v>
      </c>
      <c r="B295" s="8">
        <v>293</v>
      </c>
      <c r="D295">
        <v>2693.7081712061999</v>
      </c>
      <c r="E295">
        <v>669.23865110246004</v>
      </c>
      <c r="F295">
        <v>130.29107373868001</v>
      </c>
      <c r="G295">
        <v>113.56403622251</v>
      </c>
      <c r="I295" s="9">
        <f t="shared" si="36"/>
        <v>555.67461487995001</v>
      </c>
      <c r="J295" s="9">
        <f t="shared" si="37"/>
        <v>2563.4170974675199</v>
      </c>
      <c r="K295" s="9">
        <f t="shared" si="31"/>
        <v>555.67461487995001</v>
      </c>
      <c r="L295" s="10">
        <f t="shared" si="30"/>
        <v>0.21677104963874916</v>
      </c>
      <c r="M295" s="10">
        <f t="shared" si="38"/>
        <v>0.2291990114289012</v>
      </c>
      <c r="P295" s="8">
        <f t="shared" si="39"/>
        <v>9.4258838414768675</v>
      </c>
    </row>
    <row r="296" spans="1:16" x14ac:dyDescent="0.2">
      <c r="A296" s="8">
        <v>147</v>
      </c>
      <c r="B296" s="8">
        <v>294</v>
      </c>
      <c r="D296">
        <v>2674.9027237353998</v>
      </c>
      <c r="E296">
        <v>663.14007782100998</v>
      </c>
      <c r="F296">
        <v>129.42302716687999</v>
      </c>
      <c r="G296">
        <v>113.66623544631</v>
      </c>
      <c r="I296" s="9">
        <f t="shared" si="36"/>
        <v>549.47384237469998</v>
      </c>
      <c r="J296" s="9">
        <f t="shared" si="37"/>
        <v>2545.47969656852</v>
      </c>
      <c r="K296" s="9">
        <f t="shared" si="31"/>
        <v>549.47384237469998</v>
      </c>
      <c r="L296" s="10">
        <f t="shared" si="30"/>
        <v>0.2158625908961003</v>
      </c>
      <c r="M296" s="10">
        <f t="shared" si="38"/>
        <v>0.22833296893809588</v>
      </c>
      <c r="P296" s="8">
        <f t="shared" si="39"/>
        <v>9.0124114429275206</v>
      </c>
    </row>
    <row r="297" spans="1:16" x14ac:dyDescent="0.2">
      <c r="A297" s="8">
        <v>147.5</v>
      </c>
      <c r="B297" s="8">
        <v>295</v>
      </c>
      <c r="D297">
        <v>2725.4980544747</v>
      </c>
      <c r="E297">
        <v>674.87159533073998</v>
      </c>
      <c r="F297">
        <v>129.99094437257</v>
      </c>
      <c r="G297">
        <v>113.47736093144</v>
      </c>
      <c r="I297" s="9">
        <f t="shared" si="36"/>
        <v>561.39423439929999</v>
      </c>
      <c r="J297" s="9">
        <f t="shared" si="37"/>
        <v>2595.5071101021299</v>
      </c>
      <c r="K297" s="9">
        <f t="shared" si="31"/>
        <v>561.39423439929999</v>
      </c>
      <c r="L297" s="10">
        <f t="shared" si="30"/>
        <v>0.21629462397319724</v>
      </c>
      <c r="M297" s="10">
        <f t="shared" si="38"/>
        <v>0.22880741826703632</v>
      </c>
      <c r="P297" s="8">
        <f t="shared" si="39"/>
        <v>9.2389265436412451</v>
      </c>
    </row>
    <row r="298" spans="1:16" x14ac:dyDescent="0.2">
      <c r="A298" s="8">
        <v>148</v>
      </c>
      <c r="B298" s="8">
        <v>296</v>
      </c>
      <c r="D298">
        <v>2671.8793774319001</v>
      </c>
      <c r="E298">
        <v>654.05966277562004</v>
      </c>
      <c r="F298">
        <v>130.24967658474</v>
      </c>
      <c r="G298">
        <v>113.54851228978001</v>
      </c>
      <c r="I298" s="9">
        <f t="shared" si="36"/>
        <v>540.51115048584006</v>
      </c>
      <c r="J298" s="9">
        <f t="shared" si="37"/>
        <v>2541.6297008471602</v>
      </c>
      <c r="K298" s="9">
        <f t="shared" si="31"/>
        <v>540.51115048584006</v>
      </c>
      <c r="L298" s="10">
        <f t="shared" si="30"/>
        <v>0.2126632177400509</v>
      </c>
      <c r="M298" s="10">
        <f t="shared" si="38"/>
        <v>0.22521842828573352</v>
      </c>
      <c r="P298" s="8">
        <f t="shared" si="39"/>
        <v>7.5254444550673556</v>
      </c>
    </row>
    <row r="299" spans="1:16" x14ac:dyDescent="0.2">
      <c r="A299" s="8">
        <v>148.5</v>
      </c>
      <c r="B299" s="8">
        <v>297</v>
      </c>
      <c r="D299">
        <v>2833.32421875</v>
      </c>
      <c r="E299">
        <v>699.01171875</v>
      </c>
      <c r="F299">
        <v>129.95860284605001</v>
      </c>
      <c r="G299">
        <v>113.67399741268</v>
      </c>
      <c r="I299" s="9">
        <f t="shared" si="36"/>
        <v>585.33772133731998</v>
      </c>
      <c r="J299" s="9">
        <f t="shared" si="37"/>
        <v>2703.3656159039501</v>
      </c>
      <c r="K299" s="9">
        <f t="shared" si="31"/>
        <v>585.33772133731998</v>
      </c>
      <c r="L299" s="10">
        <f t="shared" si="30"/>
        <v>0.21652184887377693</v>
      </c>
      <c r="M299" s="10">
        <f t="shared" si="38"/>
        <v>0.22911947567130306</v>
      </c>
      <c r="P299" s="8">
        <f t="shared" si="39"/>
        <v>9.3879112930006787</v>
      </c>
    </row>
    <row r="300" spans="1:16" x14ac:dyDescent="0.2">
      <c r="A300" s="8">
        <v>149</v>
      </c>
      <c r="B300" s="8">
        <v>298</v>
      </c>
      <c r="D300">
        <v>2807.1510416667002</v>
      </c>
      <c r="E300">
        <v>696.84765625</v>
      </c>
      <c r="F300">
        <v>130.26261319534001</v>
      </c>
      <c r="G300">
        <v>113.44631306597999</v>
      </c>
      <c r="I300" s="9">
        <f t="shared" si="36"/>
        <v>583.40134318401999</v>
      </c>
      <c r="J300" s="9">
        <f t="shared" si="37"/>
        <v>2676.8884284713604</v>
      </c>
      <c r="K300" s="9">
        <f t="shared" si="31"/>
        <v>583.40134318401999</v>
      </c>
      <c r="L300" s="10">
        <f t="shared" si="30"/>
        <v>0.21794010425648255</v>
      </c>
      <c r="M300" s="10">
        <f t="shared" si="38"/>
        <v>0.23058014730585222</v>
      </c>
      <c r="P300" s="8">
        <f t="shared" si="39"/>
        <v>10.085275926540115</v>
      </c>
    </row>
    <row r="301" spans="1:16" x14ac:dyDescent="0.2">
      <c r="A301" s="8">
        <v>149.5</v>
      </c>
      <c r="B301" s="8">
        <v>299</v>
      </c>
      <c r="D301">
        <v>2779.5481770832998</v>
      </c>
      <c r="E301">
        <v>693.05338541667004</v>
      </c>
      <c r="F301">
        <v>130.5084087969</v>
      </c>
      <c r="G301">
        <v>113.67141009056</v>
      </c>
      <c r="I301" s="9">
        <f t="shared" si="36"/>
        <v>579.38197532611002</v>
      </c>
      <c r="J301" s="9">
        <f t="shared" si="37"/>
        <v>2649.0397682864</v>
      </c>
      <c r="K301" s="9">
        <f t="shared" si="31"/>
        <v>579.38197532611002</v>
      </c>
      <c r="L301" s="10">
        <f t="shared" si="30"/>
        <v>0.21871395902104493</v>
      </c>
      <c r="M301" s="10">
        <f t="shared" si="38"/>
        <v>0.2313964183222581</v>
      </c>
      <c r="P301" s="8">
        <f t="shared" si="39"/>
        <v>10.474986060399495</v>
      </c>
    </row>
    <row r="302" spans="1:16" x14ac:dyDescent="0.2">
      <c r="A302" s="8">
        <v>150</v>
      </c>
      <c r="B302" s="8">
        <v>300</v>
      </c>
      <c r="D302">
        <v>2709.80859375</v>
      </c>
      <c r="E302">
        <v>673.79557291667004</v>
      </c>
      <c r="F302">
        <v>129.78913324709001</v>
      </c>
      <c r="G302">
        <v>113.53816300129</v>
      </c>
      <c r="I302" s="9">
        <f>E302-G302</f>
        <v>560.25740991538009</v>
      </c>
      <c r="J302" s="9">
        <f>D302-F302</f>
        <v>2580.0194605029101</v>
      </c>
      <c r="K302" s="9">
        <f t="shared" si="31"/>
        <v>560.25740991538009</v>
      </c>
      <c r="L302" s="10">
        <f t="shared" si="30"/>
        <v>0.21715239690718147</v>
      </c>
      <c r="M302" s="10">
        <f>L302+ABS($N$2)*A302</f>
        <v>0.22987727246023817</v>
      </c>
      <c r="O302" s="11"/>
      <c r="P302" s="8">
        <f>(M302-$O$2)/$O$2*100</f>
        <v>9.7497042295604484</v>
      </c>
    </row>
    <row r="303" spans="1:16" x14ac:dyDescent="0.2">
      <c r="A303" s="8">
        <v>150.5</v>
      </c>
      <c r="B303" s="8">
        <v>301</v>
      </c>
      <c r="D303">
        <v>2755.0455729167002</v>
      </c>
      <c r="E303">
        <v>677.79947916667004</v>
      </c>
      <c r="F303">
        <v>130.41267787839999</v>
      </c>
      <c r="G303">
        <v>114.02716688228</v>
      </c>
      <c r="I303" s="9">
        <f t="shared" ref="I303:I309" si="40">E303-G303</f>
        <v>563.77231228439007</v>
      </c>
      <c r="J303" s="9">
        <f t="shared" ref="J303:J309" si="41">D303-F303</f>
        <v>2624.6328950383004</v>
      </c>
      <c r="K303" s="9">
        <f t="shared" si="31"/>
        <v>563.77231228439007</v>
      </c>
      <c r="L303" s="10">
        <f t="shared" si="30"/>
        <v>0.21480044441649929</v>
      </c>
      <c r="M303" s="10">
        <f t="shared" ref="M303:M309" si="42">L303+ABS($N$2)*A303</f>
        <v>0.2275677362213995</v>
      </c>
      <c r="P303" s="8">
        <f t="shared" ref="P303:P309" si="43">(M303-$O$2)/$O$2*100</f>
        <v>8.6470683908485615</v>
      </c>
    </row>
    <row r="304" spans="1:16" x14ac:dyDescent="0.2">
      <c r="A304" s="8">
        <v>151</v>
      </c>
      <c r="B304" s="8">
        <v>302</v>
      </c>
      <c r="D304">
        <v>2742.87109375</v>
      </c>
      <c r="E304">
        <v>677.33463541667004</v>
      </c>
      <c r="F304">
        <v>129.81888745149001</v>
      </c>
      <c r="G304">
        <v>113.36222509703001</v>
      </c>
      <c r="I304" s="9">
        <f t="shared" si="40"/>
        <v>563.97241031964006</v>
      </c>
      <c r="J304" s="9">
        <f t="shared" si="41"/>
        <v>2613.0522062985101</v>
      </c>
      <c r="K304" s="9">
        <f t="shared" si="31"/>
        <v>563.97241031964006</v>
      </c>
      <c r="L304" s="10">
        <f t="shared" si="30"/>
        <v>0.21582898686839819</v>
      </c>
      <c r="M304" s="10">
        <f t="shared" si="42"/>
        <v>0.22863869492514194</v>
      </c>
      <c r="N304" s="1"/>
      <c r="P304" s="8">
        <f t="shared" si="43"/>
        <v>9.1583734003428603</v>
      </c>
    </row>
    <row r="305" spans="1:16" x14ac:dyDescent="0.2">
      <c r="A305" s="8">
        <v>151.5</v>
      </c>
      <c r="B305" s="8">
        <v>303</v>
      </c>
      <c r="D305">
        <v>2673.7174479167002</v>
      </c>
      <c r="E305">
        <v>653.13411458332996</v>
      </c>
      <c r="F305">
        <v>129.81500646831</v>
      </c>
      <c r="G305">
        <v>113.88745148771</v>
      </c>
      <c r="I305" s="9">
        <f t="shared" si="40"/>
        <v>539.24666309561997</v>
      </c>
      <c r="J305" s="9">
        <f t="shared" si="41"/>
        <v>2543.9024414483902</v>
      </c>
      <c r="K305" s="9">
        <f t="shared" si="31"/>
        <v>539.24666309561997</v>
      </c>
      <c r="L305" s="10">
        <f t="shared" si="30"/>
        <v>0.21197615691134594</v>
      </c>
      <c r="M305" s="10">
        <f t="shared" si="42"/>
        <v>0.2248282812199332</v>
      </c>
      <c r="P305" s="8">
        <f t="shared" si="43"/>
        <v>7.3391775630890628</v>
      </c>
    </row>
    <row r="306" spans="1:16" x14ac:dyDescent="0.2">
      <c r="A306" s="8">
        <v>152</v>
      </c>
      <c r="B306" s="8">
        <v>304</v>
      </c>
      <c r="D306">
        <v>2676.9126466754001</v>
      </c>
      <c r="E306">
        <v>668.51629726205999</v>
      </c>
      <c r="F306">
        <v>130.0659767141</v>
      </c>
      <c r="G306">
        <v>113.51746442432</v>
      </c>
      <c r="I306" s="9">
        <f t="shared" si="40"/>
        <v>554.99883283774</v>
      </c>
      <c r="J306" s="9">
        <f t="shared" si="41"/>
        <v>2546.8466699613</v>
      </c>
      <c r="K306" s="9">
        <f t="shared" si="31"/>
        <v>554.99883283774</v>
      </c>
      <c r="L306" s="10">
        <f t="shared" si="30"/>
        <v>0.21791607613589606</v>
      </c>
      <c r="M306" s="10">
        <f t="shared" si="42"/>
        <v>0.23081061669632685</v>
      </c>
      <c r="P306" s="8">
        <f t="shared" si="43"/>
        <v>10.195308324122756</v>
      </c>
    </row>
    <row r="307" spans="1:16" x14ac:dyDescent="0.2">
      <c r="A307" s="8">
        <v>152.5</v>
      </c>
      <c r="B307" s="8">
        <v>305</v>
      </c>
      <c r="D307">
        <v>2649.7548891786</v>
      </c>
      <c r="E307">
        <v>659.38200782268996</v>
      </c>
      <c r="F307">
        <v>130.50711513582999</v>
      </c>
      <c r="G307">
        <v>113.87839586029</v>
      </c>
      <c r="I307" s="9">
        <f t="shared" si="40"/>
        <v>545.50361196239999</v>
      </c>
      <c r="J307" s="9">
        <f t="shared" si="41"/>
        <v>2519.2477740427698</v>
      </c>
      <c r="K307" s="9">
        <f t="shared" si="31"/>
        <v>545.50361196239999</v>
      </c>
      <c r="L307" s="10">
        <f t="shared" si="30"/>
        <v>0.21653432329405278</v>
      </c>
      <c r="M307" s="10">
        <f t="shared" si="42"/>
        <v>0.22947128010632709</v>
      </c>
      <c r="P307" s="8">
        <f t="shared" si="43"/>
        <v>9.5558723631722113</v>
      </c>
    </row>
    <row r="308" spans="1:16" x14ac:dyDescent="0.2">
      <c r="A308" s="8">
        <v>153</v>
      </c>
      <c r="B308" s="8">
        <v>306</v>
      </c>
      <c r="D308">
        <v>2663.1720990874001</v>
      </c>
      <c r="E308">
        <v>665.28292046935996</v>
      </c>
      <c r="F308">
        <v>129.95472186287</v>
      </c>
      <c r="G308">
        <v>113.66494178524999</v>
      </c>
      <c r="I308" s="9">
        <f t="shared" si="40"/>
        <v>551.61797868410997</v>
      </c>
      <c r="J308" s="9">
        <f t="shared" si="41"/>
        <v>2533.2173772245301</v>
      </c>
      <c r="K308" s="9">
        <f t="shared" si="31"/>
        <v>551.61797868410997</v>
      </c>
      <c r="L308" s="10">
        <f t="shared" si="30"/>
        <v>0.2177539060183139</v>
      </c>
      <c r="M308" s="10">
        <f t="shared" si="42"/>
        <v>0.23073327908243174</v>
      </c>
      <c r="P308" s="8">
        <f t="shared" si="43"/>
        <v>10.158385229638606</v>
      </c>
    </row>
    <row r="309" spans="1:16" x14ac:dyDescent="0.2">
      <c r="A309" s="8">
        <v>153.5</v>
      </c>
      <c r="B309" s="8">
        <v>307</v>
      </c>
      <c r="D309">
        <v>2678.2803129074</v>
      </c>
      <c r="E309">
        <v>664.81877444588997</v>
      </c>
      <c r="F309">
        <v>130.43725743855001</v>
      </c>
      <c r="G309">
        <v>113.92108667529</v>
      </c>
      <c r="I309" s="9">
        <f t="shared" si="40"/>
        <v>550.89768777059999</v>
      </c>
      <c r="J309" s="9">
        <f t="shared" si="41"/>
        <v>2547.8430554688498</v>
      </c>
      <c r="K309" s="9">
        <f t="shared" si="31"/>
        <v>550.89768777059999</v>
      </c>
      <c r="L309" s="10">
        <f t="shared" si="30"/>
        <v>0.21622120192533786</v>
      </c>
      <c r="M309" s="10">
        <f t="shared" si="42"/>
        <v>0.22924299124129921</v>
      </c>
      <c r="P309" s="8">
        <f t="shared" si="43"/>
        <v>9.4468810081436505</v>
      </c>
    </row>
    <row r="310" spans="1:16" x14ac:dyDescent="0.2">
      <c r="A310" s="8">
        <v>154</v>
      </c>
      <c r="B310" s="8">
        <v>308</v>
      </c>
      <c r="D310">
        <v>2702.5554106909999</v>
      </c>
      <c r="E310">
        <v>672.90612777054002</v>
      </c>
      <c r="F310">
        <v>130.36739974126999</v>
      </c>
      <c r="G310">
        <v>113.31565329884</v>
      </c>
      <c r="I310" s="9">
        <f>E310-G310</f>
        <v>559.59047447169996</v>
      </c>
      <c r="J310" s="9">
        <f>D310-F310</f>
        <v>2572.1880109497297</v>
      </c>
      <c r="K310" s="9">
        <f t="shared" si="31"/>
        <v>559.59047447169996</v>
      </c>
      <c r="L310" s="10">
        <f t="shared" si="30"/>
        <v>0.21755426589718152</v>
      </c>
      <c r="M310" s="10">
        <f>L310+ABS($N$2)*A310</f>
        <v>0.2306184714649864</v>
      </c>
      <c r="O310" s="11"/>
      <c r="P310" s="8">
        <f>(M310-$O$2)/$O$2*100</f>
        <v>10.103572929479155</v>
      </c>
    </row>
    <row r="311" spans="1:16" x14ac:dyDescent="0.2">
      <c r="A311" s="8">
        <v>154.5</v>
      </c>
      <c r="B311" s="8">
        <v>309</v>
      </c>
      <c r="D311">
        <v>2695.4315514994</v>
      </c>
      <c r="E311">
        <v>669.78617992176999</v>
      </c>
      <c r="F311">
        <v>130.82664941785001</v>
      </c>
      <c r="G311">
        <v>113.76455368693</v>
      </c>
      <c r="I311" s="9">
        <f t="shared" ref="I311:I319" si="44">E311-G311</f>
        <v>556.02162623484003</v>
      </c>
      <c r="J311" s="9">
        <f t="shared" ref="J311:J319" si="45">D311-F311</f>
        <v>2564.6049020815499</v>
      </c>
      <c r="K311" s="9">
        <f t="shared" si="31"/>
        <v>556.02162623484003</v>
      </c>
      <c r="L311" s="10">
        <f t="shared" si="30"/>
        <v>0.21680595938327482</v>
      </c>
      <c r="M311" s="10">
        <f t="shared" ref="M311:M319" si="46">L311+ABS($N$2)*A311</f>
        <v>0.22991258120292321</v>
      </c>
      <c r="P311" s="8">
        <f t="shared" ref="P311:P319" si="47">(M311-$O$2)/$O$2*100</f>
        <v>9.7665615901203999</v>
      </c>
    </row>
    <row r="312" spans="1:16" x14ac:dyDescent="0.2">
      <c r="A312" s="8">
        <v>155</v>
      </c>
      <c r="B312" s="8">
        <v>310</v>
      </c>
      <c r="D312">
        <v>2788.2125162973002</v>
      </c>
      <c r="E312">
        <v>687.43937418513997</v>
      </c>
      <c r="F312">
        <v>129.75161707633001</v>
      </c>
      <c r="G312">
        <v>113.95472186287</v>
      </c>
      <c r="I312" s="9">
        <f t="shared" si="44"/>
        <v>573.48465232226999</v>
      </c>
      <c r="J312" s="9">
        <f t="shared" si="45"/>
        <v>2658.4608992209701</v>
      </c>
      <c r="K312" s="9">
        <f t="shared" si="31"/>
        <v>573.48465232226999</v>
      </c>
      <c r="L312" s="10">
        <f t="shared" si="30"/>
        <v>0.21572055187658495</v>
      </c>
      <c r="M312" s="10">
        <f t="shared" si="46"/>
        <v>0.22886958994807688</v>
      </c>
      <c r="N312" s="1"/>
      <c r="P312" s="8">
        <f t="shared" si="47"/>
        <v>9.2686090065164564</v>
      </c>
    </row>
    <row r="313" spans="1:16" x14ac:dyDescent="0.2">
      <c r="A313" s="8">
        <v>155.5</v>
      </c>
      <c r="B313" s="8">
        <v>311</v>
      </c>
      <c r="D313">
        <v>2718.2607561929999</v>
      </c>
      <c r="E313">
        <v>672.97131681876999</v>
      </c>
      <c r="F313">
        <v>130.55109961190001</v>
      </c>
      <c r="G313">
        <v>113.73221216041</v>
      </c>
      <c r="I313" s="9">
        <f t="shared" si="44"/>
        <v>559.23910465836002</v>
      </c>
      <c r="J313" s="9">
        <f t="shared" si="45"/>
        <v>2587.7096565810998</v>
      </c>
      <c r="K313" s="9">
        <f t="shared" si="31"/>
        <v>559.23910465836002</v>
      </c>
      <c r="L313" s="10">
        <f t="shared" si="30"/>
        <v>0.21611354397356566</v>
      </c>
      <c r="M313" s="10">
        <f t="shared" si="46"/>
        <v>0.2293049982969011</v>
      </c>
      <c r="P313" s="8">
        <f t="shared" si="47"/>
        <v>9.4764848743267684</v>
      </c>
    </row>
    <row r="314" spans="1:16" x14ac:dyDescent="0.2">
      <c r="A314" s="8">
        <v>156</v>
      </c>
      <c r="B314" s="8">
        <v>312</v>
      </c>
      <c r="D314">
        <v>2728.0509138380999</v>
      </c>
      <c r="E314">
        <v>677.57310704961003</v>
      </c>
      <c r="F314">
        <v>130.49547218628999</v>
      </c>
      <c r="G314">
        <v>114.23156532988</v>
      </c>
      <c r="I314" s="9">
        <f t="shared" si="44"/>
        <v>563.34154171973</v>
      </c>
      <c r="J314" s="9">
        <f t="shared" si="45"/>
        <v>2597.5554416518098</v>
      </c>
      <c r="K314" s="9">
        <f t="shared" si="31"/>
        <v>563.34154171973</v>
      </c>
      <c r="L314" s="10">
        <f t="shared" si="30"/>
        <v>0.216873731619563</v>
      </c>
      <c r="M314" s="10">
        <f t="shared" si="46"/>
        <v>0.23010760219474197</v>
      </c>
      <c r="P314" s="8">
        <f t="shared" si="47"/>
        <v>9.8596699515586383</v>
      </c>
    </row>
    <row r="315" spans="1:16" x14ac:dyDescent="0.2">
      <c r="A315" s="8">
        <v>156.5</v>
      </c>
      <c r="B315" s="8">
        <v>313</v>
      </c>
      <c r="D315">
        <v>2650.5143603133001</v>
      </c>
      <c r="E315">
        <v>654.23890339425998</v>
      </c>
      <c r="F315">
        <v>130.63260025873001</v>
      </c>
      <c r="G315">
        <v>113.9637774903</v>
      </c>
      <c r="I315" s="9">
        <f t="shared" si="44"/>
        <v>540.27512590395997</v>
      </c>
      <c r="J315" s="9">
        <f t="shared" si="45"/>
        <v>2519.8817600545699</v>
      </c>
      <c r="K315" s="9">
        <f t="shared" si="31"/>
        <v>540.27512590395997</v>
      </c>
      <c r="L315" s="10">
        <f t="shared" si="30"/>
        <v>0.21440495124352973</v>
      </c>
      <c r="M315" s="10">
        <f t="shared" si="46"/>
        <v>0.22768123807055224</v>
      </c>
      <c r="P315" s="8">
        <f t="shared" si="47"/>
        <v>8.7012572814713849</v>
      </c>
    </row>
    <row r="316" spans="1:16" x14ac:dyDescent="0.2">
      <c r="A316" s="8">
        <v>157</v>
      </c>
      <c r="B316" s="8">
        <v>314</v>
      </c>
      <c r="D316">
        <v>2517.9530026110001</v>
      </c>
      <c r="E316">
        <v>630.88772845952997</v>
      </c>
      <c r="F316">
        <v>130.5446313066</v>
      </c>
      <c r="G316">
        <v>113.81888745149</v>
      </c>
      <c r="I316" s="9">
        <f t="shared" si="44"/>
        <v>517.06884100803995</v>
      </c>
      <c r="J316" s="9">
        <f t="shared" si="45"/>
        <v>2387.4083713044001</v>
      </c>
      <c r="K316" s="9">
        <f t="shared" si="31"/>
        <v>517.06884100803995</v>
      </c>
      <c r="L316" s="10">
        <f t="shared" si="30"/>
        <v>0.21658164862910773</v>
      </c>
      <c r="M316" s="10">
        <f t="shared" si="46"/>
        <v>0.22990035170797374</v>
      </c>
      <c r="P316" s="8">
        <f t="shared" si="47"/>
        <v>9.7607228943710691</v>
      </c>
    </row>
    <row r="317" spans="1:16" x14ac:dyDescent="0.2">
      <c r="A317" s="8">
        <v>157.5</v>
      </c>
      <c r="B317" s="8">
        <v>315</v>
      </c>
      <c r="D317">
        <v>2801.1525423728999</v>
      </c>
      <c r="E317">
        <v>696.92307692307998</v>
      </c>
      <c r="F317">
        <v>130.60543337646001</v>
      </c>
      <c r="G317">
        <v>113.70375161708</v>
      </c>
      <c r="I317" s="9">
        <f t="shared" si="44"/>
        <v>583.21932530599997</v>
      </c>
      <c r="J317" s="9">
        <f t="shared" si="45"/>
        <v>2670.5471089964399</v>
      </c>
      <c r="K317" s="9">
        <f t="shared" si="31"/>
        <v>583.21932530599997</v>
      </c>
      <c r="L317" s="10">
        <f t="shared" si="30"/>
        <v>0.21838945410896232</v>
      </c>
      <c r="M317" s="10">
        <f t="shared" si="46"/>
        <v>0.23175057343967187</v>
      </c>
      <c r="P317" s="8">
        <f t="shared" si="47"/>
        <v>10.644069410708818</v>
      </c>
    </row>
    <row r="318" spans="1:16" x14ac:dyDescent="0.2">
      <c r="A318" s="8">
        <v>158</v>
      </c>
      <c r="B318" s="8">
        <v>316</v>
      </c>
      <c r="D318">
        <v>2585.3481095175998</v>
      </c>
      <c r="E318">
        <v>654.51108213819998</v>
      </c>
      <c r="F318">
        <v>130.39068564036</v>
      </c>
      <c r="G318">
        <v>113.63777490298</v>
      </c>
      <c r="I318" s="9">
        <f t="shared" si="44"/>
        <v>540.87330723521995</v>
      </c>
      <c r="J318" s="9">
        <f t="shared" si="45"/>
        <v>2454.9574238772398</v>
      </c>
      <c r="K318" s="9">
        <f t="shared" si="31"/>
        <v>540.87330723521995</v>
      </c>
      <c r="L318" s="10">
        <f t="shared" si="30"/>
        <v>0.22031881366846318</v>
      </c>
      <c r="M318" s="10">
        <f t="shared" si="46"/>
        <v>0.23372234925101623</v>
      </c>
      <c r="P318" s="8">
        <f t="shared" si="47"/>
        <v>11.585449172988172</v>
      </c>
    </row>
    <row r="319" spans="1:16" x14ac:dyDescent="0.2">
      <c r="A319" s="8">
        <v>158.5</v>
      </c>
      <c r="B319" s="8">
        <v>317</v>
      </c>
      <c r="D319">
        <v>2667.4261437908999</v>
      </c>
      <c r="E319">
        <v>664.77908496732005</v>
      </c>
      <c r="F319">
        <v>129.90297542043999</v>
      </c>
      <c r="G319">
        <v>113.38033635188</v>
      </c>
      <c r="I319" s="9">
        <f t="shared" si="44"/>
        <v>551.39874861544001</v>
      </c>
      <c r="J319" s="9">
        <f t="shared" si="45"/>
        <v>2537.5231683704601</v>
      </c>
      <c r="K319" s="9">
        <f t="shared" si="31"/>
        <v>551.39874861544001</v>
      </c>
      <c r="L319" s="10">
        <f t="shared" si="30"/>
        <v>0.21729801543823374</v>
      </c>
      <c r="M319" s="10">
        <f t="shared" si="46"/>
        <v>0.23074396727263033</v>
      </c>
      <c r="P319" s="8">
        <f t="shared" si="47"/>
        <v>10.163488064296812</v>
      </c>
    </row>
    <row r="320" spans="1:16" x14ac:dyDescent="0.2">
      <c r="A320" s="8">
        <v>159</v>
      </c>
      <c r="B320" s="8">
        <v>318</v>
      </c>
      <c r="D320">
        <v>2692.7359477124</v>
      </c>
      <c r="E320">
        <v>674.23790849673003</v>
      </c>
      <c r="F320">
        <v>130.24838292366999</v>
      </c>
      <c r="G320">
        <v>113.30789133247001</v>
      </c>
      <c r="I320" s="9">
        <f>E320-G320</f>
        <v>560.93001716425999</v>
      </c>
      <c r="J320" s="9">
        <f>D320-F320</f>
        <v>2562.4875647887302</v>
      </c>
      <c r="K320" s="9">
        <f t="shared" si="31"/>
        <v>560.93001716425999</v>
      </c>
      <c r="L320" s="10">
        <f t="shared" si="30"/>
        <v>0.2189005811665303</v>
      </c>
      <c r="M320" s="10">
        <f>L320+ABS($N$2)*A320</f>
        <v>0.2323889492527704</v>
      </c>
      <c r="O320" s="11"/>
      <c r="P320" s="8">
        <f>(M320-$O$2)/$O$2*100</f>
        <v>10.948847503493033</v>
      </c>
    </row>
    <row r="321" spans="1:16" x14ac:dyDescent="0.2">
      <c r="A321" s="8">
        <v>159.5</v>
      </c>
      <c r="B321" s="8">
        <v>319</v>
      </c>
      <c r="D321">
        <v>2706.2810457515998</v>
      </c>
      <c r="E321">
        <v>672.13856209150003</v>
      </c>
      <c r="F321">
        <v>130.62354463131001</v>
      </c>
      <c r="G321">
        <v>114.37386804657</v>
      </c>
      <c r="I321" s="9">
        <f t="shared" ref="I321:I322" si="48">E321-G321</f>
        <v>557.76469404493002</v>
      </c>
      <c r="J321" s="9">
        <f t="shared" ref="J321:J322" si="49">D321-F321</f>
        <v>2575.6575011202899</v>
      </c>
      <c r="K321" s="9">
        <f t="shared" si="31"/>
        <v>557.76469404493002</v>
      </c>
      <c r="L321" s="10">
        <f t="shared" si="30"/>
        <v>0.21655235364264411</v>
      </c>
      <c r="M321" s="10">
        <f t="shared" ref="M321:M322" si="50">L321+ABS($N$2)*A321</f>
        <v>0.23008313798072774</v>
      </c>
      <c r="P321" s="8">
        <f t="shared" ref="P321:P322" si="51">(M321-$O$2)/$O$2*100</f>
        <v>9.8479900659242965</v>
      </c>
    </row>
    <row r="322" spans="1:16" x14ac:dyDescent="0.2">
      <c r="A322" s="8">
        <v>160</v>
      </c>
      <c r="B322" s="8">
        <v>320</v>
      </c>
      <c r="D322">
        <v>2798.7477124183001</v>
      </c>
      <c r="E322">
        <v>672.74640522875995</v>
      </c>
      <c r="F322">
        <v>130.50582147476999</v>
      </c>
      <c r="G322">
        <v>113.99870633894</v>
      </c>
      <c r="I322" s="9">
        <f t="shared" si="48"/>
        <v>558.74769888981996</v>
      </c>
      <c r="J322" s="9">
        <f t="shared" si="49"/>
        <v>2668.2418909435301</v>
      </c>
      <c r="K322" s="9">
        <f t="shared" si="31"/>
        <v>558.74769888981996</v>
      </c>
      <c r="L322" s="10">
        <f t="shared" ref="L322" si="52">K322/J322</f>
        <v>0.20940668864629752</v>
      </c>
      <c r="M322" s="10">
        <f t="shared" si="50"/>
        <v>0.22297988923622467</v>
      </c>
      <c r="P322" s="8">
        <f t="shared" si="51"/>
        <v>6.456704618542572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C1B8-D9B2-1141-9D22-D6BA4E62D981}">
  <dimension ref="A1:Y798"/>
  <sheetViews>
    <sheetView tabSelected="1" zoomScale="44" zoomScaleNormal="70" workbookViewId="0">
      <selection activeCell="F2" sqref="F2:G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2712.1183830606001</v>
      </c>
      <c r="E2">
        <v>753.94610202116996</v>
      </c>
      <c r="F2">
        <v>121.32790028763</v>
      </c>
      <c r="G2">
        <v>109.30776605944</v>
      </c>
      <c r="H2" s="4"/>
      <c r="I2" s="5">
        <f>E2-G2</f>
        <v>644.63833596172992</v>
      </c>
      <c r="J2" s="5">
        <f>D2-F2</f>
        <v>2590.7904827729699</v>
      </c>
      <c r="K2" s="9">
        <f>I2*1</f>
        <v>644.63833596172992</v>
      </c>
      <c r="L2" s="6">
        <f t="shared" ref="L2:L65" si="0">K2/J2</f>
        <v>0.24881916938021242</v>
      </c>
      <c r="M2" s="6">
        <f>L2+ABS($N$2)*A2</f>
        <v>0.24881916938021242</v>
      </c>
      <c r="N2" s="4">
        <f>LINEST(V64:V103,U64:U103)</f>
        <v>-1.7183732289670318E-4</v>
      </c>
      <c r="O2" s="7">
        <f>AVERAGE(M62:M81)</f>
        <v>0.24417889682203114</v>
      </c>
      <c r="P2" s="4">
        <f>(M2-$O$2)/$O$2*100</f>
        <v>1.9003577371239107</v>
      </c>
    </row>
    <row r="3" spans="1:16" x14ac:dyDescent="0.2">
      <c r="A3" s="8">
        <v>0.5</v>
      </c>
      <c r="B3" s="8">
        <v>1</v>
      </c>
      <c r="D3">
        <v>2589.9749759383999</v>
      </c>
      <c r="E3">
        <v>746.89509143406997</v>
      </c>
      <c r="F3">
        <v>121.24928092042001</v>
      </c>
      <c r="G3">
        <v>109.17737296260999</v>
      </c>
      <c r="I3" s="9">
        <f t="shared" ref="I3:I66" si="1">E3-G3</f>
        <v>637.71771847145999</v>
      </c>
      <c r="J3" s="9">
        <f t="shared" ref="J3:J66" si="2">D3-F3</f>
        <v>2468.7256950179799</v>
      </c>
      <c r="K3" s="9">
        <f t="shared" ref="K3:K66" si="3">I3*1</f>
        <v>637.71771847145999</v>
      </c>
      <c r="L3" s="10">
        <f t="shared" si="0"/>
        <v>0.25831858102275534</v>
      </c>
      <c r="M3" s="10">
        <f t="shared" ref="M3:M66" si="4">L3+ABS($N$2)*A3</f>
        <v>0.2584044996842037</v>
      </c>
      <c r="P3" s="8">
        <f t="shared" ref="P3:P66" si="5">(M3-$O$2)/$O$2*100</f>
        <v>5.8258936571987361</v>
      </c>
    </row>
    <row r="4" spans="1:16" ht="16" x14ac:dyDescent="0.2">
      <c r="A4" s="8">
        <v>1</v>
      </c>
      <c r="B4" s="8">
        <v>2</v>
      </c>
      <c r="D4">
        <v>2299.6169393648001</v>
      </c>
      <c r="E4">
        <v>667.96438883541998</v>
      </c>
      <c r="F4">
        <v>121.16490891658999</v>
      </c>
      <c r="G4">
        <v>108.95589645254</v>
      </c>
      <c r="I4" s="9">
        <f t="shared" si="1"/>
        <v>559.00849238287992</v>
      </c>
      <c r="J4" s="9">
        <f t="shared" si="2"/>
        <v>2178.4520304482103</v>
      </c>
      <c r="K4" s="9">
        <f t="shared" si="3"/>
        <v>559.00849238287992</v>
      </c>
      <c r="L4" s="10">
        <f t="shared" si="0"/>
        <v>0.25660812566428903</v>
      </c>
      <c r="M4" s="10">
        <f t="shared" si="4"/>
        <v>0.25677996298718575</v>
      </c>
      <c r="N4" s="1" t="s">
        <v>7</v>
      </c>
      <c r="P4" s="8">
        <f t="shared" si="5"/>
        <v>5.1605877203789836</v>
      </c>
    </row>
    <row r="5" spans="1:16" x14ac:dyDescent="0.2">
      <c r="A5" s="8">
        <v>1.5</v>
      </c>
      <c r="B5" s="8">
        <v>3</v>
      </c>
      <c r="D5">
        <v>1899.3715110682999</v>
      </c>
      <c r="E5">
        <v>558.34456207892003</v>
      </c>
      <c r="F5">
        <v>120.64525407478</v>
      </c>
      <c r="G5">
        <v>109.57142857143</v>
      </c>
      <c r="I5" s="9">
        <f t="shared" si="1"/>
        <v>448.77313350749</v>
      </c>
      <c r="J5" s="9">
        <f t="shared" si="2"/>
        <v>1778.7262569935199</v>
      </c>
      <c r="K5" s="9">
        <f t="shared" si="3"/>
        <v>448.77313350749</v>
      </c>
      <c r="L5" s="10">
        <f t="shared" si="0"/>
        <v>0.25230028046363118</v>
      </c>
      <c r="M5" s="10">
        <f t="shared" si="4"/>
        <v>0.25255803644797625</v>
      </c>
      <c r="N5" s="8">
        <f>RSQ(V64:V83,U64:U83)</f>
        <v>0.15862038770462167</v>
      </c>
      <c r="P5" s="8">
        <f t="shared" si="5"/>
        <v>3.4315576550631293</v>
      </c>
    </row>
    <row r="6" spans="1:16" x14ac:dyDescent="0.2">
      <c r="A6" s="8">
        <v>2</v>
      </c>
      <c r="B6" s="8">
        <v>4</v>
      </c>
      <c r="D6">
        <v>2735.5482926829</v>
      </c>
      <c r="E6">
        <v>777.62243902439002</v>
      </c>
      <c r="F6">
        <v>120.6874400767</v>
      </c>
      <c r="G6">
        <v>109.41994247363</v>
      </c>
      <c r="I6" s="9">
        <f t="shared" si="1"/>
        <v>668.20249655075997</v>
      </c>
      <c r="J6" s="9">
        <f t="shared" si="2"/>
        <v>2614.8608526061998</v>
      </c>
      <c r="K6" s="9">
        <f t="shared" si="3"/>
        <v>668.20249655075997</v>
      </c>
      <c r="L6" s="10">
        <f t="shared" si="0"/>
        <v>0.25554036494323235</v>
      </c>
      <c r="M6" s="10">
        <f t="shared" si="4"/>
        <v>0.25588403958902572</v>
      </c>
      <c r="P6" s="8">
        <f t="shared" si="5"/>
        <v>4.7936750142359061</v>
      </c>
    </row>
    <row r="7" spans="1:16" x14ac:dyDescent="0.2">
      <c r="A7" s="8">
        <v>2.5</v>
      </c>
      <c r="B7" s="8">
        <v>5</v>
      </c>
      <c r="D7">
        <v>2492.5473170731998</v>
      </c>
      <c r="E7">
        <v>688.91902439024</v>
      </c>
      <c r="F7">
        <v>121.73346116970001</v>
      </c>
      <c r="G7">
        <v>109.10738255034001</v>
      </c>
      <c r="I7" s="9">
        <f t="shared" si="1"/>
        <v>579.81164183989995</v>
      </c>
      <c r="J7" s="9">
        <f t="shared" si="2"/>
        <v>2370.8138559034996</v>
      </c>
      <c r="K7" s="9">
        <f t="shared" si="3"/>
        <v>579.81164183989995</v>
      </c>
      <c r="L7" s="10">
        <f t="shared" si="0"/>
        <v>0.24456227990912344</v>
      </c>
      <c r="M7" s="10">
        <f t="shared" si="4"/>
        <v>0.2449918732163652</v>
      </c>
      <c r="P7" s="8">
        <f t="shared" si="5"/>
        <v>0.33294293852371409</v>
      </c>
    </row>
    <row r="8" spans="1:16" x14ac:dyDescent="0.2">
      <c r="A8" s="8">
        <v>3</v>
      </c>
      <c r="B8" s="8">
        <v>6</v>
      </c>
      <c r="D8">
        <v>2735.0417475728</v>
      </c>
      <c r="E8">
        <v>770.82038834952004</v>
      </c>
      <c r="F8">
        <v>121.55129434324</v>
      </c>
      <c r="G8">
        <v>109.29721955897</v>
      </c>
      <c r="I8" s="9">
        <f t="shared" si="1"/>
        <v>661.52316879055002</v>
      </c>
      <c r="J8" s="9">
        <f t="shared" si="2"/>
        <v>2613.49045322956</v>
      </c>
      <c r="K8" s="9">
        <f t="shared" si="3"/>
        <v>661.52316879055002</v>
      </c>
      <c r="L8" s="10">
        <f t="shared" si="0"/>
        <v>0.2531186475057095</v>
      </c>
      <c r="M8" s="10">
        <f t="shared" si="4"/>
        <v>0.2536341594743996</v>
      </c>
      <c r="P8" s="8">
        <f t="shared" si="5"/>
        <v>3.872268560235117</v>
      </c>
    </row>
    <row r="9" spans="1:16" x14ac:dyDescent="0.2">
      <c r="A9" s="8">
        <v>3.5</v>
      </c>
      <c r="B9" s="8">
        <v>7</v>
      </c>
      <c r="D9">
        <v>3013.6990291262</v>
      </c>
      <c r="E9">
        <v>827.79805825243</v>
      </c>
      <c r="F9">
        <v>121.40364333653</v>
      </c>
      <c r="G9">
        <v>109.17641418984</v>
      </c>
      <c r="I9" s="9">
        <f t="shared" si="1"/>
        <v>718.62164406259001</v>
      </c>
      <c r="J9" s="9">
        <f t="shared" si="2"/>
        <v>2892.29538578967</v>
      </c>
      <c r="K9" s="9">
        <f t="shared" si="3"/>
        <v>718.62164406259001</v>
      </c>
      <c r="L9" s="10">
        <f t="shared" si="0"/>
        <v>0.24846066815765017</v>
      </c>
      <c r="M9" s="10">
        <f t="shared" si="4"/>
        <v>0.24906209878778862</v>
      </c>
      <c r="P9" s="8">
        <f t="shared" si="5"/>
        <v>1.9998460265452753</v>
      </c>
    </row>
    <row r="10" spans="1:16" x14ac:dyDescent="0.2">
      <c r="A10" s="8">
        <v>4</v>
      </c>
      <c r="B10" s="8">
        <v>8</v>
      </c>
      <c r="D10">
        <v>2341.0553398058</v>
      </c>
      <c r="E10">
        <v>659.62233009708996</v>
      </c>
      <c r="F10">
        <v>121.77277085331001</v>
      </c>
      <c r="G10">
        <v>109.12751677852</v>
      </c>
      <c r="I10" s="9">
        <f t="shared" si="1"/>
        <v>550.49481331856998</v>
      </c>
      <c r="J10" s="9">
        <f t="shared" si="2"/>
        <v>2219.2825689524902</v>
      </c>
      <c r="K10" s="9">
        <f t="shared" si="3"/>
        <v>550.49481331856998</v>
      </c>
      <c r="L10" s="10">
        <f t="shared" si="0"/>
        <v>0.24805079849674375</v>
      </c>
      <c r="M10" s="10">
        <f t="shared" si="4"/>
        <v>0.24873814778833056</v>
      </c>
      <c r="P10" s="8">
        <f t="shared" si="5"/>
        <v>1.8671764946265643</v>
      </c>
    </row>
    <row r="11" spans="1:16" x14ac:dyDescent="0.2">
      <c r="A11" s="8">
        <v>4.5</v>
      </c>
      <c r="B11" s="8">
        <v>9</v>
      </c>
      <c r="D11">
        <v>3379.8005780346998</v>
      </c>
      <c r="E11">
        <v>921.94123314065996</v>
      </c>
      <c r="F11">
        <v>121.44678811122</v>
      </c>
      <c r="G11">
        <v>109.02492809204</v>
      </c>
      <c r="I11" s="9">
        <f t="shared" si="1"/>
        <v>812.91630504861996</v>
      </c>
      <c r="J11" s="9">
        <f t="shared" si="2"/>
        <v>3258.3537899234798</v>
      </c>
      <c r="K11" s="9">
        <f t="shared" si="3"/>
        <v>812.91630504861996</v>
      </c>
      <c r="L11" s="10">
        <f t="shared" si="0"/>
        <v>0.24948681372863157</v>
      </c>
      <c r="M11" s="10">
        <f t="shared" si="4"/>
        <v>0.25026008168166675</v>
      </c>
      <c r="P11" s="8">
        <f t="shared" si="5"/>
        <v>2.4904629100965474</v>
      </c>
    </row>
    <row r="12" spans="1:16" x14ac:dyDescent="0.2">
      <c r="A12" s="8">
        <v>5</v>
      </c>
      <c r="B12" s="8">
        <v>10</v>
      </c>
      <c r="D12">
        <v>3270.7206165703001</v>
      </c>
      <c r="E12">
        <v>891.46628131020998</v>
      </c>
      <c r="F12">
        <v>121.40651965484</v>
      </c>
      <c r="G12">
        <v>109.41706615532</v>
      </c>
      <c r="I12" s="9">
        <f t="shared" si="1"/>
        <v>782.04921515489002</v>
      </c>
      <c r="J12" s="9">
        <f t="shared" si="2"/>
        <v>3149.3140969154601</v>
      </c>
      <c r="K12" s="9">
        <f t="shared" si="3"/>
        <v>782.04921515489002</v>
      </c>
      <c r="L12" s="10">
        <f t="shared" si="0"/>
        <v>0.24832366384821833</v>
      </c>
      <c r="M12" s="10">
        <f t="shared" si="4"/>
        <v>0.24918285046270183</v>
      </c>
      <c r="P12" s="8">
        <f t="shared" si="5"/>
        <v>2.0492981604048284</v>
      </c>
    </row>
    <row r="13" spans="1:16" x14ac:dyDescent="0.2">
      <c r="A13" s="8">
        <v>5.5</v>
      </c>
      <c r="B13" s="8">
        <v>11</v>
      </c>
      <c r="D13">
        <v>3052.8025048170002</v>
      </c>
      <c r="E13">
        <v>841.63294797688002</v>
      </c>
      <c r="F13">
        <v>121.42857142857</v>
      </c>
      <c r="G13">
        <v>109.20325982742</v>
      </c>
      <c r="I13" s="9">
        <f t="shared" si="1"/>
        <v>732.42968814946005</v>
      </c>
      <c r="J13" s="9">
        <f t="shared" si="2"/>
        <v>2931.37393338843</v>
      </c>
      <c r="K13" s="9">
        <f t="shared" si="3"/>
        <v>732.42968814946005</v>
      </c>
      <c r="L13" s="10">
        <f t="shared" si="0"/>
        <v>0.24985883916311927</v>
      </c>
      <c r="M13" s="10">
        <f t="shared" si="4"/>
        <v>0.25080394443905113</v>
      </c>
      <c r="P13" s="8">
        <f t="shared" si="5"/>
        <v>2.7131941798592965</v>
      </c>
    </row>
    <row r="14" spans="1:16" x14ac:dyDescent="0.2">
      <c r="A14" s="8">
        <v>6</v>
      </c>
      <c r="B14" s="8">
        <v>12</v>
      </c>
      <c r="D14">
        <v>3116.6572815534</v>
      </c>
      <c r="E14">
        <v>871.82038834952004</v>
      </c>
      <c r="F14">
        <v>121.09971236817</v>
      </c>
      <c r="G14">
        <v>109.22339405561</v>
      </c>
      <c r="I14" s="9">
        <f t="shared" si="1"/>
        <v>762.59699429391003</v>
      </c>
      <c r="J14" s="9">
        <f t="shared" si="2"/>
        <v>2995.55756918523</v>
      </c>
      <c r="K14" s="9">
        <f t="shared" si="3"/>
        <v>762.59699429391003</v>
      </c>
      <c r="L14" s="10">
        <f t="shared" si="0"/>
        <v>0.25457597681934413</v>
      </c>
      <c r="M14" s="10">
        <f t="shared" si="4"/>
        <v>0.25560700075672432</v>
      </c>
      <c r="P14" s="8">
        <f t="shared" si="5"/>
        <v>4.6802176942516489</v>
      </c>
    </row>
    <row r="15" spans="1:16" x14ac:dyDescent="0.2">
      <c r="A15" s="8">
        <v>6.5</v>
      </c>
      <c r="B15" s="8">
        <v>13</v>
      </c>
      <c r="D15">
        <v>3215.6223300971001</v>
      </c>
      <c r="E15">
        <v>895.98543689320002</v>
      </c>
      <c r="F15">
        <v>121.30201342282</v>
      </c>
      <c r="G15">
        <v>109.47842761266</v>
      </c>
      <c r="I15" s="9">
        <f t="shared" si="1"/>
        <v>786.50700928054005</v>
      </c>
      <c r="J15" s="9">
        <f t="shared" si="2"/>
        <v>3094.3203166742801</v>
      </c>
      <c r="K15" s="9">
        <f t="shared" si="3"/>
        <v>786.50700928054005</v>
      </c>
      <c r="L15" s="10">
        <f t="shared" si="0"/>
        <v>0.25417763152777395</v>
      </c>
      <c r="M15" s="10">
        <f t="shared" si="4"/>
        <v>0.2552945741266025</v>
      </c>
      <c r="P15" s="8">
        <f t="shared" si="5"/>
        <v>4.5522678041554823</v>
      </c>
    </row>
    <row r="16" spans="1:16" x14ac:dyDescent="0.2">
      <c r="A16" s="8">
        <v>7</v>
      </c>
      <c r="B16" s="8">
        <v>14</v>
      </c>
      <c r="D16">
        <v>3017.2728155340001</v>
      </c>
      <c r="E16">
        <v>856.89708737863998</v>
      </c>
      <c r="F16">
        <v>121.32694151486</v>
      </c>
      <c r="G16">
        <v>109.24736337488</v>
      </c>
      <c r="I16" s="9">
        <f t="shared" si="1"/>
        <v>747.64972400375996</v>
      </c>
      <c r="J16" s="9">
        <f t="shared" si="2"/>
        <v>2895.9458740191399</v>
      </c>
      <c r="K16" s="9">
        <f t="shared" si="3"/>
        <v>747.64972400375996</v>
      </c>
      <c r="L16" s="10">
        <f t="shared" si="0"/>
        <v>0.25817116635751686</v>
      </c>
      <c r="M16" s="10">
        <f t="shared" si="4"/>
        <v>0.25937402761779377</v>
      </c>
      <c r="P16" s="8">
        <f t="shared" si="5"/>
        <v>6.2229500556870549</v>
      </c>
    </row>
    <row r="17" spans="1:16" x14ac:dyDescent="0.2">
      <c r="A17" s="8">
        <v>7.5</v>
      </c>
      <c r="B17" s="8">
        <v>15</v>
      </c>
      <c r="D17">
        <v>3169.3754789272002</v>
      </c>
      <c r="E17">
        <v>877.15517241378996</v>
      </c>
      <c r="F17">
        <v>121.47555129433999</v>
      </c>
      <c r="G17">
        <v>109.02396931926999</v>
      </c>
      <c r="I17" s="9">
        <f t="shared" si="1"/>
        <v>768.13120309451995</v>
      </c>
      <c r="J17" s="9">
        <f t="shared" si="2"/>
        <v>3047.8999276328605</v>
      </c>
      <c r="K17" s="9">
        <f t="shared" si="3"/>
        <v>768.13120309451995</v>
      </c>
      <c r="L17" s="10">
        <f t="shared" si="0"/>
        <v>0.25201982392220013</v>
      </c>
      <c r="M17" s="10">
        <f t="shared" si="4"/>
        <v>0.2533086038439254</v>
      </c>
      <c r="P17" s="8">
        <f t="shared" si="5"/>
        <v>3.738941874468539</v>
      </c>
    </row>
    <row r="18" spans="1:16" x14ac:dyDescent="0.2">
      <c r="A18" s="8">
        <v>8</v>
      </c>
      <c r="B18" s="8">
        <v>16</v>
      </c>
      <c r="D18">
        <v>3180.9003831417999</v>
      </c>
      <c r="E18">
        <v>875.37356321839002</v>
      </c>
      <c r="F18">
        <v>121.53787152445</v>
      </c>
      <c r="G18">
        <v>109.02396931926999</v>
      </c>
      <c r="I18" s="9">
        <f t="shared" si="1"/>
        <v>766.34959389912001</v>
      </c>
      <c r="J18" s="9">
        <f t="shared" si="2"/>
        <v>3059.3625116173498</v>
      </c>
      <c r="K18" s="9">
        <f t="shared" si="3"/>
        <v>766.34959389912001</v>
      </c>
      <c r="L18" s="10">
        <f t="shared" si="0"/>
        <v>0.25049322889623332</v>
      </c>
      <c r="M18" s="10">
        <f t="shared" si="4"/>
        <v>0.25186792747940695</v>
      </c>
      <c r="P18" s="8">
        <f t="shared" si="5"/>
        <v>3.1489333261178287</v>
      </c>
    </row>
    <row r="19" spans="1:16" x14ac:dyDescent="0.2">
      <c r="A19" s="8">
        <v>8.5</v>
      </c>
      <c r="B19" s="8">
        <v>17</v>
      </c>
      <c r="D19">
        <v>2953.7835249042</v>
      </c>
      <c r="E19">
        <v>825.55842911877005</v>
      </c>
      <c r="F19">
        <v>121.40172579099</v>
      </c>
      <c r="G19">
        <v>108.97507190796</v>
      </c>
      <c r="I19" s="9">
        <f t="shared" si="1"/>
        <v>716.58335721081005</v>
      </c>
      <c r="J19" s="9">
        <f t="shared" si="2"/>
        <v>2832.38179911321</v>
      </c>
      <c r="K19" s="9">
        <f t="shared" si="3"/>
        <v>716.58335721081005</v>
      </c>
      <c r="L19" s="10">
        <f t="shared" si="0"/>
        <v>0.25299673844647819</v>
      </c>
      <c r="M19" s="10">
        <f t="shared" si="4"/>
        <v>0.25445735569110017</v>
      </c>
      <c r="P19" s="8">
        <f t="shared" si="5"/>
        <v>4.2093968818937064</v>
      </c>
    </row>
    <row r="20" spans="1:16" x14ac:dyDescent="0.2">
      <c r="A20" s="8">
        <v>9</v>
      </c>
      <c r="B20" s="8">
        <v>18</v>
      </c>
      <c r="D20">
        <v>2931.4559386973001</v>
      </c>
      <c r="E20">
        <v>818.26532567050003</v>
      </c>
      <c r="F20">
        <v>121.3978906999</v>
      </c>
      <c r="G20">
        <v>108.99232981783</v>
      </c>
      <c r="I20" s="9">
        <f t="shared" si="1"/>
        <v>709.27299585267008</v>
      </c>
      <c r="J20" s="9">
        <f t="shared" si="2"/>
        <v>2810.0580479974001</v>
      </c>
      <c r="K20" s="9">
        <f t="shared" si="3"/>
        <v>709.27299585267008</v>
      </c>
      <c r="L20" s="10">
        <f t="shared" si="0"/>
        <v>0.2524051047123872</v>
      </c>
      <c r="M20" s="10">
        <f t="shared" si="4"/>
        <v>0.25395164061845754</v>
      </c>
      <c r="P20" s="8">
        <f t="shared" si="5"/>
        <v>4.0022884547427644</v>
      </c>
    </row>
    <row r="21" spans="1:16" x14ac:dyDescent="0.2">
      <c r="A21" s="8">
        <v>9.5</v>
      </c>
      <c r="B21" s="8">
        <v>19</v>
      </c>
      <c r="D21">
        <v>2959.8486590038001</v>
      </c>
      <c r="E21">
        <v>821.58141762451999</v>
      </c>
      <c r="F21">
        <v>121.73250239693</v>
      </c>
      <c r="G21">
        <v>109.43624161074</v>
      </c>
      <c r="I21" s="9">
        <f t="shared" si="1"/>
        <v>712.14517601377997</v>
      </c>
      <c r="J21" s="9">
        <f t="shared" si="2"/>
        <v>2838.1161566068699</v>
      </c>
      <c r="K21" s="9">
        <f t="shared" si="3"/>
        <v>712.14517601377997</v>
      </c>
      <c r="L21" s="10">
        <f t="shared" si="0"/>
        <v>0.25092178639551888</v>
      </c>
      <c r="M21" s="10">
        <f t="shared" si="4"/>
        <v>0.25255424096303758</v>
      </c>
      <c r="P21" s="8">
        <f t="shared" si="5"/>
        <v>3.4300032681000987</v>
      </c>
    </row>
    <row r="22" spans="1:16" x14ac:dyDescent="0.2">
      <c r="A22" s="8">
        <v>10</v>
      </c>
      <c r="B22" s="8">
        <v>20</v>
      </c>
      <c r="D22">
        <v>2943.2672413792998</v>
      </c>
      <c r="E22">
        <v>820.11111111110995</v>
      </c>
      <c r="F22">
        <v>121.24832214765</v>
      </c>
      <c r="G22">
        <v>109.24544582934</v>
      </c>
      <c r="I22" s="9">
        <f t="shared" si="1"/>
        <v>710.86566528176991</v>
      </c>
      <c r="J22" s="9">
        <f t="shared" si="2"/>
        <v>2822.0189192316498</v>
      </c>
      <c r="K22" s="9">
        <f t="shared" si="3"/>
        <v>710.86566528176991</v>
      </c>
      <c r="L22" s="10">
        <f t="shared" si="0"/>
        <v>0.25189968091189024</v>
      </c>
      <c r="M22" s="10">
        <f t="shared" si="4"/>
        <v>0.25361805414085725</v>
      </c>
      <c r="P22" s="8">
        <f t="shared" si="5"/>
        <v>3.865672849568897</v>
      </c>
    </row>
    <row r="23" spans="1:16" x14ac:dyDescent="0.2">
      <c r="A23" s="8">
        <v>10.5</v>
      </c>
      <c r="B23" s="8">
        <v>21</v>
      </c>
      <c r="D23">
        <v>2820.8678160919999</v>
      </c>
      <c r="E23">
        <v>786.66570881226005</v>
      </c>
      <c r="F23">
        <v>121.32885906040001</v>
      </c>
      <c r="G23">
        <v>108.72003835091</v>
      </c>
      <c r="I23" s="9">
        <f t="shared" si="1"/>
        <v>677.94567046135001</v>
      </c>
      <c r="J23" s="9">
        <f t="shared" si="2"/>
        <v>2699.5389570315997</v>
      </c>
      <c r="K23" s="9">
        <f t="shared" si="3"/>
        <v>677.94567046135001</v>
      </c>
      <c r="L23" s="10">
        <f t="shared" si="0"/>
        <v>0.25113387183966251</v>
      </c>
      <c r="M23" s="10">
        <f t="shared" si="4"/>
        <v>0.25293816373007788</v>
      </c>
      <c r="P23" s="8">
        <f t="shared" si="5"/>
        <v>3.587233385869089</v>
      </c>
    </row>
    <row r="24" spans="1:16" x14ac:dyDescent="0.2">
      <c r="A24" s="8">
        <v>11</v>
      </c>
      <c r="B24" s="8">
        <v>22</v>
      </c>
      <c r="D24">
        <v>2859.4339080459999</v>
      </c>
      <c r="E24">
        <v>797.59195402298997</v>
      </c>
      <c r="F24">
        <v>121.05465004794</v>
      </c>
      <c r="G24">
        <v>109.29721955897</v>
      </c>
      <c r="I24" s="9">
        <f t="shared" si="1"/>
        <v>688.29473446401994</v>
      </c>
      <c r="J24" s="9">
        <f t="shared" si="2"/>
        <v>2738.37925799806</v>
      </c>
      <c r="K24" s="9">
        <f t="shared" si="3"/>
        <v>688.29473446401994</v>
      </c>
      <c r="L24" s="10">
        <f t="shared" si="0"/>
        <v>0.25135113496558176</v>
      </c>
      <c r="M24" s="10">
        <f t="shared" si="4"/>
        <v>0.25324134551744548</v>
      </c>
      <c r="P24" s="8">
        <f t="shared" si="5"/>
        <v>3.7113971818864715</v>
      </c>
    </row>
    <row r="25" spans="1:16" x14ac:dyDescent="0.2">
      <c r="A25" s="8">
        <v>11.5</v>
      </c>
      <c r="B25" s="8">
        <v>23</v>
      </c>
      <c r="D25">
        <v>2884.3649425286999</v>
      </c>
      <c r="E25">
        <v>804.01436781609004</v>
      </c>
      <c r="F25">
        <v>121.88878235858</v>
      </c>
      <c r="G25">
        <v>109.28475551294</v>
      </c>
      <c r="I25" s="9">
        <f t="shared" si="1"/>
        <v>694.72961230315002</v>
      </c>
      <c r="J25" s="9">
        <f t="shared" si="2"/>
        <v>2762.4761601701198</v>
      </c>
      <c r="K25" s="9">
        <f t="shared" si="3"/>
        <v>694.72961230315002</v>
      </c>
      <c r="L25" s="10">
        <f t="shared" si="0"/>
        <v>0.25148800279976602</v>
      </c>
      <c r="M25" s="10">
        <f t="shared" si="4"/>
        <v>0.2534641320130781</v>
      </c>
      <c r="P25" s="8">
        <f t="shared" si="5"/>
        <v>3.8026362277385775</v>
      </c>
    </row>
    <row r="26" spans="1:16" x14ac:dyDescent="0.2">
      <c r="A26" s="8">
        <v>12</v>
      </c>
      <c r="B26" s="8">
        <v>24</v>
      </c>
      <c r="D26">
        <v>2863.8505747126001</v>
      </c>
      <c r="E26">
        <v>795.75</v>
      </c>
      <c r="F26">
        <v>121.9769894535</v>
      </c>
      <c r="G26">
        <v>108.82454458293</v>
      </c>
      <c r="I26" s="9">
        <f t="shared" si="1"/>
        <v>686.92545541707</v>
      </c>
      <c r="J26" s="9">
        <f t="shared" si="2"/>
        <v>2741.8735852590999</v>
      </c>
      <c r="K26" s="9">
        <f t="shared" si="3"/>
        <v>686.92545541707</v>
      </c>
      <c r="L26" s="10">
        <f t="shared" si="0"/>
        <v>0.2505314100220114</v>
      </c>
      <c r="M26" s="10">
        <f t="shared" si="4"/>
        <v>0.25259345789677184</v>
      </c>
      <c r="P26" s="8">
        <f t="shared" si="5"/>
        <v>3.4460640064540962</v>
      </c>
    </row>
    <row r="27" spans="1:16" x14ac:dyDescent="0.2">
      <c r="A27" s="8">
        <v>12.5</v>
      </c>
      <c r="B27" s="8">
        <v>25</v>
      </c>
      <c r="D27">
        <v>2785.1063218391</v>
      </c>
      <c r="E27">
        <v>773.39272030651</v>
      </c>
      <c r="F27">
        <v>121.84755512943001</v>
      </c>
      <c r="G27">
        <v>109.53883029722</v>
      </c>
      <c r="I27" s="9">
        <f t="shared" si="1"/>
        <v>663.85389000929001</v>
      </c>
      <c r="J27" s="9">
        <f t="shared" si="2"/>
        <v>2663.25876670967</v>
      </c>
      <c r="K27" s="9">
        <f t="shared" si="3"/>
        <v>663.85389000929001</v>
      </c>
      <c r="L27" s="10">
        <f t="shared" si="0"/>
        <v>0.24926375848541749</v>
      </c>
      <c r="M27" s="10">
        <f t="shared" si="4"/>
        <v>0.25141172502162629</v>
      </c>
      <c r="P27" s="8">
        <f t="shared" si="5"/>
        <v>2.9621020873342556</v>
      </c>
    </row>
    <row r="28" spans="1:16" x14ac:dyDescent="0.2">
      <c r="A28" s="8">
        <v>13</v>
      </c>
      <c r="B28" s="8">
        <v>26</v>
      </c>
      <c r="D28">
        <v>2751.4952107280001</v>
      </c>
      <c r="E28">
        <v>766.67432950192006</v>
      </c>
      <c r="F28">
        <v>121.65675934804</v>
      </c>
      <c r="G28">
        <v>109.30393096836001</v>
      </c>
      <c r="I28" s="9">
        <f t="shared" si="1"/>
        <v>657.37039853356009</v>
      </c>
      <c r="J28" s="9">
        <f t="shared" si="2"/>
        <v>2629.8384513799601</v>
      </c>
      <c r="K28" s="9">
        <f t="shared" si="3"/>
        <v>657.37039853356009</v>
      </c>
      <c r="L28" s="10">
        <f t="shared" si="0"/>
        <v>0.24996607612479652</v>
      </c>
      <c r="M28" s="10">
        <f t="shared" si="4"/>
        <v>0.25219996132245365</v>
      </c>
      <c r="P28" s="8">
        <f t="shared" si="5"/>
        <v>3.2849130718567481</v>
      </c>
    </row>
    <row r="29" spans="1:16" x14ac:dyDescent="0.2">
      <c r="A29" s="8">
        <v>13.5</v>
      </c>
      <c r="B29" s="8">
        <v>27</v>
      </c>
      <c r="D29">
        <v>2745.8726053639998</v>
      </c>
      <c r="E29">
        <v>763.09195402298997</v>
      </c>
      <c r="F29">
        <v>121.86673058485</v>
      </c>
      <c r="G29">
        <v>108.89261744965999</v>
      </c>
      <c r="I29" s="9">
        <f t="shared" si="1"/>
        <v>654.19933657333002</v>
      </c>
      <c r="J29" s="9">
        <f t="shared" si="2"/>
        <v>2624.00587477915</v>
      </c>
      <c r="K29" s="9">
        <f t="shared" si="3"/>
        <v>654.19933657333002</v>
      </c>
      <c r="L29" s="10">
        <f t="shared" si="0"/>
        <v>0.24931321338157861</v>
      </c>
      <c r="M29" s="10">
        <f t="shared" si="4"/>
        <v>0.2516330172406841</v>
      </c>
      <c r="P29" s="8">
        <f t="shared" si="5"/>
        <v>3.0527291734329776</v>
      </c>
    </row>
    <row r="30" spans="1:16" x14ac:dyDescent="0.2">
      <c r="A30" s="8">
        <v>14</v>
      </c>
      <c r="B30" s="8">
        <v>28</v>
      </c>
      <c r="D30">
        <v>2748.0833333332998</v>
      </c>
      <c r="E30">
        <v>760.26436781609004</v>
      </c>
      <c r="F30">
        <v>121.71332694151999</v>
      </c>
      <c r="G30">
        <v>109.21955896452999</v>
      </c>
      <c r="I30" s="9">
        <f t="shared" si="1"/>
        <v>651.04480885155999</v>
      </c>
      <c r="J30" s="9">
        <f t="shared" si="2"/>
        <v>2626.37000639178</v>
      </c>
      <c r="K30" s="9">
        <f t="shared" si="3"/>
        <v>651.04480885155999</v>
      </c>
      <c r="L30" s="10">
        <f t="shared" si="0"/>
        <v>0.24788769566630611</v>
      </c>
      <c r="M30" s="10">
        <f t="shared" si="4"/>
        <v>0.25029341818685996</v>
      </c>
      <c r="P30" s="8">
        <f t="shared" si="5"/>
        <v>2.5041154024401062</v>
      </c>
    </row>
    <row r="31" spans="1:16" x14ac:dyDescent="0.2">
      <c r="A31" s="8">
        <v>14.5</v>
      </c>
      <c r="B31" s="8">
        <v>29</v>
      </c>
      <c r="D31">
        <v>2735.2260536398999</v>
      </c>
      <c r="E31">
        <v>758.61494252874002</v>
      </c>
      <c r="F31">
        <v>121.19463087248</v>
      </c>
      <c r="G31">
        <v>109.18791946309</v>
      </c>
      <c r="I31" s="9">
        <f t="shared" si="1"/>
        <v>649.42702306565002</v>
      </c>
      <c r="J31" s="9">
        <f t="shared" si="2"/>
        <v>2614.0314227674198</v>
      </c>
      <c r="K31" s="9">
        <f t="shared" si="3"/>
        <v>649.42702306565002</v>
      </c>
      <c r="L31" s="10">
        <f t="shared" si="0"/>
        <v>0.24843887392069502</v>
      </c>
      <c r="M31" s="10">
        <f t="shared" si="4"/>
        <v>0.2509305151026972</v>
      </c>
      <c r="P31" s="8">
        <f t="shared" si="5"/>
        <v>2.7650293979282545</v>
      </c>
    </row>
    <row r="32" spans="1:16" x14ac:dyDescent="0.2">
      <c r="A32" s="8">
        <v>15</v>
      </c>
      <c r="B32" s="8">
        <v>30</v>
      </c>
      <c r="D32">
        <v>2719.7950191570999</v>
      </c>
      <c r="E32">
        <v>752.61685823754999</v>
      </c>
      <c r="F32">
        <v>121.74113135187</v>
      </c>
      <c r="G32">
        <v>109.10258868648</v>
      </c>
      <c r="I32" s="9">
        <f t="shared" si="1"/>
        <v>643.51426955107002</v>
      </c>
      <c r="J32" s="9">
        <f t="shared" si="2"/>
        <v>2598.0538878052298</v>
      </c>
      <c r="K32" s="9">
        <f t="shared" si="3"/>
        <v>643.51426955107002</v>
      </c>
      <c r="L32" s="10">
        <f t="shared" si="0"/>
        <v>0.24769088607884673</v>
      </c>
      <c r="M32" s="10">
        <f t="shared" si="4"/>
        <v>0.2502684459222973</v>
      </c>
      <c r="P32" s="8">
        <f t="shared" si="5"/>
        <v>2.4938883660796045</v>
      </c>
    </row>
    <row r="33" spans="1:16" x14ac:dyDescent="0.2">
      <c r="A33" s="8">
        <v>15.5</v>
      </c>
      <c r="B33" s="8">
        <v>31</v>
      </c>
      <c r="D33">
        <v>2734.7155172414</v>
      </c>
      <c r="E33">
        <v>756.59291187739996</v>
      </c>
      <c r="F33">
        <v>121.21668264621</v>
      </c>
      <c r="G33">
        <v>109.23202301054999</v>
      </c>
      <c r="I33" s="9">
        <f t="shared" si="1"/>
        <v>647.36088886685002</v>
      </c>
      <c r="J33" s="9">
        <f t="shared" si="2"/>
        <v>2613.4988345951901</v>
      </c>
      <c r="K33" s="9">
        <f t="shared" si="3"/>
        <v>647.36088886685002</v>
      </c>
      <c r="L33" s="10">
        <f t="shared" si="0"/>
        <v>0.24769893917596522</v>
      </c>
      <c r="M33" s="10">
        <f t="shared" si="4"/>
        <v>0.25036241768086415</v>
      </c>
      <c r="P33" s="8">
        <f t="shared" si="5"/>
        <v>2.5323731654582087</v>
      </c>
    </row>
    <row r="34" spans="1:16" x14ac:dyDescent="0.2">
      <c r="A34" s="8">
        <v>16</v>
      </c>
      <c r="B34" s="8">
        <v>32</v>
      </c>
      <c r="D34">
        <v>2766.2595785440999</v>
      </c>
      <c r="E34">
        <v>764.90134099617001</v>
      </c>
      <c r="F34">
        <v>121.60977948226</v>
      </c>
      <c r="G34">
        <v>109.05177372963</v>
      </c>
      <c r="I34" s="9">
        <f t="shared" si="1"/>
        <v>655.84956726654002</v>
      </c>
      <c r="J34" s="9">
        <f t="shared" si="2"/>
        <v>2644.64979906184</v>
      </c>
      <c r="K34" s="9">
        <f t="shared" si="3"/>
        <v>655.84956726654002</v>
      </c>
      <c r="L34" s="10">
        <f t="shared" si="0"/>
        <v>0.24799108278880452</v>
      </c>
      <c r="M34" s="10">
        <f t="shared" si="4"/>
        <v>0.25074047995515175</v>
      </c>
      <c r="P34" s="8">
        <f t="shared" si="5"/>
        <v>2.6872032016358038</v>
      </c>
    </row>
    <row r="35" spans="1:16" x14ac:dyDescent="0.2">
      <c r="A35" s="8">
        <v>16.5</v>
      </c>
      <c r="B35" s="8">
        <v>33</v>
      </c>
      <c r="D35">
        <v>2778.8227969349</v>
      </c>
      <c r="E35">
        <v>762.63601532566997</v>
      </c>
      <c r="F35">
        <v>121.48418024928</v>
      </c>
      <c r="G35">
        <v>109.09779482262999</v>
      </c>
      <c r="I35" s="9">
        <f t="shared" si="1"/>
        <v>653.53822050303995</v>
      </c>
      <c r="J35" s="9">
        <f t="shared" si="2"/>
        <v>2657.3386166856199</v>
      </c>
      <c r="K35" s="9">
        <f t="shared" si="3"/>
        <v>653.53822050303995</v>
      </c>
      <c r="L35" s="10">
        <f t="shared" si="0"/>
        <v>0.24593712536273193</v>
      </c>
      <c r="M35" s="10">
        <f t="shared" si="4"/>
        <v>0.24877244119052755</v>
      </c>
      <c r="P35" s="8">
        <f t="shared" si="5"/>
        <v>1.881220870550657</v>
      </c>
    </row>
    <row r="36" spans="1:16" x14ac:dyDescent="0.2">
      <c r="A36" s="8">
        <v>17</v>
      </c>
      <c r="B36" s="8">
        <v>34</v>
      </c>
      <c r="D36">
        <v>2744.4511494253002</v>
      </c>
      <c r="E36">
        <v>756.07662835249005</v>
      </c>
      <c r="F36">
        <v>121.82933844679</v>
      </c>
      <c r="G36">
        <v>109.09683604986</v>
      </c>
      <c r="I36" s="9">
        <f t="shared" si="1"/>
        <v>646.97979230263002</v>
      </c>
      <c r="J36" s="9">
        <f t="shared" si="2"/>
        <v>2622.62181097851</v>
      </c>
      <c r="K36" s="9">
        <f t="shared" si="3"/>
        <v>646.97979230263002</v>
      </c>
      <c r="L36" s="10">
        <f t="shared" si="0"/>
        <v>0.24669198951763444</v>
      </c>
      <c r="M36" s="10">
        <f t="shared" si="4"/>
        <v>0.24961322400687838</v>
      </c>
      <c r="P36" s="8">
        <f t="shared" si="5"/>
        <v>2.2255515343768737</v>
      </c>
    </row>
    <row r="37" spans="1:16" x14ac:dyDescent="0.2">
      <c r="A37" s="8">
        <v>17.5</v>
      </c>
      <c r="B37" s="8">
        <v>35</v>
      </c>
      <c r="D37">
        <v>2682.5038314175999</v>
      </c>
      <c r="E37">
        <v>740.73754789272004</v>
      </c>
      <c r="F37">
        <v>121.43624161074</v>
      </c>
      <c r="G37">
        <v>109.43720038351</v>
      </c>
      <c r="I37" s="9">
        <f t="shared" si="1"/>
        <v>631.30034750921004</v>
      </c>
      <c r="J37" s="9">
        <f t="shared" si="2"/>
        <v>2561.0675898068598</v>
      </c>
      <c r="K37" s="9">
        <f t="shared" si="3"/>
        <v>631.30034750921004</v>
      </c>
      <c r="L37" s="10">
        <f t="shared" si="0"/>
        <v>0.24649890148225995</v>
      </c>
      <c r="M37" s="10">
        <f t="shared" si="4"/>
        <v>0.24950605463295225</v>
      </c>
      <c r="P37" s="8">
        <f t="shared" si="5"/>
        <v>2.1816618390260749</v>
      </c>
    </row>
    <row r="38" spans="1:16" x14ac:dyDescent="0.2">
      <c r="A38" s="8">
        <v>18</v>
      </c>
      <c r="B38" s="8">
        <v>36</v>
      </c>
      <c r="D38">
        <v>2723.6886973179999</v>
      </c>
      <c r="E38">
        <v>747.24042145594001</v>
      </c>
      <c r="F38">
        <v>121.49952061362001</v>
      </c>
      <c r="G38">
        <v>109.3125599233</v>
      </c>
      <c r="I38" s="9">
        <f t="shared" si="1"/>
        <v>637.92786153264001</v>
      </c>
      <c r="J38" s="9">
        <f t="shared" si="2"/>
        <v>2602.1891767043799</v>
      </c>
      <c r="K38" s="9">
        <f t="shared" si="3"/>
        <v>637.92786153264001</v>
      </c>
      <c r="L38" s="10">
        <f t="shared" si="0"/>
        <v>0.24515045533336771</v>
      </c>
      <c r="M38" s="10">
        <f t="shared" si="4"/>
        <v>0.24824352714550837</v>
      </c>
      <c r="P38" s="8">
        <f t="shared" si="5"/>
        <v>1.6646116336743553</v>
      </c>
    </row>
    <row r="39" spans="1:16" x14ac:dyDescent="0.2">
      <c r="A39" s="8">
        <v>18.5</v>
      </c>
      <c r="B39" s="8">
        <v>37</v>
      </c>
      <c r="D39">
        <v>2716.0584291188002</v>
      </c>
      <c r="E39">
        <v>748.28448275862002</v>
      </c>
      <c r="F39">
        <v>121.64717162033</v>
      </c>
      <c r="G39">
        <v>109.11025886865001</v>
      </c>
      <c r="I39" s="9">
        <f t="shared" si="1"/>
        <v>639.17422388996999</v>
      </c>
      <c r="J39" s="9">
        <f t="shared" si="2"/>
        <v>2594.4112574984701</v>
      </c>
      <c r="K39" s="9">
        <f t="shared" si="3"/>
        <v>639.17422388996999</v>
      </c>
      <c r="L39" s="10">
        <f t="shared" si="0"/>
        <v>0.24636580728772409</v>
      </c>
      <c r="M39" s="10">
        <f t="shared" si="4"/>
        <v>0.24954479776131311</v>
      </c>
      <c r="P39" s="8">
        <f t="shared" si="5"/>
        <v>2.1975285371171451</v>
      </c>
    </row>
    <row r="40" spans="1:16" x14ac:dyDescent="0.2">
      <c r="A40" s="8">
        <v>19</v>
      </c>
      <c r="B40" s="8">
        <v>38</v>
      </c>
      <c r="D40">
        <v>2698.8975095784999</v>
      </c>
      <c r="E40">
        <v>739.82375478926997</v>
      </c>
      <c r="F40">
        <v>121.24640460211</v>
      </c>
      <c r="G40">
        <v>109.00958772771</v>
      </c>
      <c r="I40" s="9">
        <f t="shared" si="1"/>
        <v>630.81416706155994</v>
      </c>
      <c r="J40" s="9">
        <f t="shared" si="2"/>
        <v>2577.6511049763899</v>
      </c>
      <c r="K40" s="9">
        <f t="shared" si="3"/>
        <v>630.81416706155994</v>
      </c>
      <c r="L40" s="10">
        <f t="shared" si="0"/>
        <v>0.24472441822856314</v>
      </c>
      <c r="M40" s="10">
        <f t="shared" si="4"/>
        <v>0.24798932736360049</v>
      </c>
      <c r="P40" s="8">
        <f t="shared" si="5"/>
        <v>1.5605077224779857</v>
      </c>
    </row>
    <row r="41" spans="1:16" x14ac:dyDescent="0.2">
      <c r="A41" s="8">
        <v>19.5</v>
      </c>
      <c r="B41" s="8">
        <v>39</v>
      </c>
      <c r="D41">
        <v>2681.2720306513002</v>
      </c>
      <c r="E41">
        <v>736.78639846742999</v>
      </c>
      <c r="F41">
        <v>121.52061361457</v>
      </c>
      <c r="G41">
        <v>108.97411313519</v>
      </c>
      <c r="I41" s="9">
        <f t="shared" si="1"/>
        <v>627.81228533223998</v>
      </c>
      <c r="J41" s="9">
        <f t="shared" si="2"/>
        <v>2559.7514170367303</v>
      </c>
      <c r="K41" s="9">
        <f t="shared" si="3"/>
        <v>627.81228533223998</v>
      </c>
      <c r="L41" s="10">
        <f t="shared" si="0"/>
        <v>0.24526298966132437</v>
      </c>
      <c r="M41" s="10">
        <f t="shared" si="4"/>
        <v>0.24861381745781008</v>
      </c>
      <c r="P41" s="8">
        <f t="shared" si="5"/>
        <v>1.8162587731778121</v>
      </c>
    </row>
    <row r="42" spans="1:16" x14ac:dyDescent="0.2">
      <c r="A42" s="8">
        <v>20</v>
      </c>
      <c r="B42" s="8">
        <v>40</v>
      </c>
      <c r="D42">
        <v>2684.5373563218</v>
      </c>
      <c r="E42">
        <v>736.62739463601997</v>
      </c>
      <c r="F42">
        <v>121.55033557047</v>
      </c>
      <c r="G42">
        <v>109.12943432407</v>
      </c>
      <c r="I42" s="9">
        <f t="shared" si="1"/>
        <v>627.49796031195001</v>
      </c>
      <c r="J42" s="9">
        <f t="shared" si="2"/>
        <v>2562.98702075133</v>
      </c>
      <c r="K42" s="9">
        <f t="shared" si="3"/>
        <v>627.49796031195001</v>
      </c>
      <c r="L42" s="10">
        <f t="shared" si="0"/>
        <v>0.24483072104204467</v>
      </c>
      <c r="M42" s="10">
        <f t="shared" si="4"/>
        <v>0.24826746749997874</v>
      </c>
      <c r="P42" s="8">
        <f t="shared" si="5"/>
        <v>1.6744160659090617</v>
      </c>
    </row>
    <row r="43" spans="1:16" x14ac:dyDescent="0.2">
      <c r="A43" s="8">
        <v>20.5</v>
      </c>
      <c r="B43" s="8">
        <v>41</v>
      </c>
      <c r="D43">
        <v>2711.3553639847</v>
      </c>
      <c r="E43">
        <v>739.45402298851002</v>
      </c>
      <c r="F43">
        <v>121.37104506231999</v>
      </c>
      <c r="G43">
        <v>109.57909875359999</v>
      </c>
      <c r="I43" s="9">
        <f t="shared" si="1"/>
        <v>629.87492423491005</v>
      </c>
      <c r="J43" s="9">
        <f t="shared" si="2"/>
        <v>2589.9843189223802</v>
      </c>
      <c r="K43" s="9">
        <f t="shared" si="3"/>
        <v>629.87492423491005</v>
      </c>
      <c r="L43" s="10">
        <f t="shared" si="0"/>
        <v>0.24319642386753265</v>
      </c>
      <c r="M43" s="10">
        <f t="shared" si="4"/>
        <v>0.24671908898691508</v>
      </c>
      <c r="P43" s="8">
        <f t="shared" si="5"/>
        <v>1.0402996319273838</v>
      </c>
    </row>
    <row r="44" spans="1:16" x14ac:dyDescent="0.2">
      <c r="A44" s="8">
        <v>21</v>
      </c>
      <c r="B44" s="8">
        <v>42</v>
      </c>
      <c r="D44">
        <v>2696.5967432950001</v>
      </c>
      <c r="E44">
        <v>738.14559386972996</v>
      </c>
      <c r="F44">
        <v>121.74880153404</v>
      </c>
      <c r="G44">
        <v>109.16395014382</v>
      </c>
      <c r="I44" s="9">
        <f t="shared" si="1"/>
        <v>628.98164372590998</v>
      </c>
      <c r="J44" s="9">
        <f t="shared" si="2"/>
        <v>2574.8479417609601</v>
      </c>
      <c r="K44" s="9">
        <f t="shared" si="3"/>
        <v>628.98164372590998</v>
      </c>
      <c r="L44" s="10">
        <f t="shared" si="0"/>
        <v>0.24427914111920107</v>
      </c>
      <c r="M44" s="10">
        <f t="shared" si="4"/>
        <v>0.24788772490003183</v>
      </c>
      <c r="P44" s="8">
        <f t="shared" si="5"/>
        <v>1.5188978762173095</v>
      </c>
    </row>
    <row r="45" spans="1:16" x14ac:dyDescent="0.2">
      <c r="A45" s="8">
        <v>21.5</v>
      </c>
      <c r="B45" s="8">
        <v>43</v>
      </c>
      <c r="D45">
        <v>2713.6676245211002</v>
      </c>
      <c r="E45">
        <v>739.65996168582001</v>
      </c>
      <c r="F45">
        <v>121.92617449664</v>
      </c>
      <c r="G45">
        <v>109.19942473634001</v>
      </c>
      <c r="I45" s="9">
        <f t="shared" si="1"/>
        <v>630.46053694948</v>
      </c>
      <c r="J45" s="9">
        <f t="shared" si="2"/>
        <v>2591.7414500244599</v>
      </c>
      <c r="K45" s="9">
        <f t="shared" si="3"/>
        <v>630.46053694948</v>
      </c>
      <c r="L45" s="10">
        <f t="shared" si="0"/>
        <v>0.24325749659308413</v>
      </c>
      <c r="M45" s="10">
        <f t="shared" si="4"/>
        <v>0.24695199903536325</v>
      </c>
      <c r="P45" s="8">
        <f t="shared" si="5"/>
        <v>1.1356846350867358</v>
      </c>
    </row>
    <row r="46" spans="1:16" x14ac:dyDescent="0.2">
      <c r="A46" s="8">
        <v>22</v>
      </c>
      <c r="B46" s="8">
        <v>44</v>
      </c>
      <c r="D46">
        <v>2706.2375478927001</v>
      </c>
      <c r="E46">
        <v>736.33237547892998</v>
      </c>
      <c r="F46">
        <v>122.18120805369</v>
      </c>
      <c r="G46">
        <v>109.19942473634001</v>
      </c>
      <c r="I46" s="9">
        <f t="shared" si="1"/>
        <v>627.13295074258997</v>
      </c>
      <c r="J46" s="9">
        <f t="shared" si="2"/>
        <v>2584.05633983901</v>
      </c>
      <c r="K46" s="9">
        <f t="shared" si="3"/>
        <v>627.13295074258997</v>
      </c>
      <c r="L46" s="10">
        <f t="shared" si="0"/>
        <v>0.24269321882574013</v>
      </c>
      <c r="M46" s="10">
        <f t="shared" si="4"/>
        <v>0.24647363992946761</v>
      </c>
      <c r="P46" s="8">
        <f t="shared" si="5"/>
        <v>0.93977945567875143</v>
      </c>
    </row>
    <row r="47" spans="1:16" x14ac:dyDescent="0.2">
      <c r="A47" s="8">
        <v>22.5</v>
      </c>
      <c r="B47" s="8">
        <v>45</v>
      </c>
      <c r="D47">
        <v>2708.4750957853998</v>
      </c>
      <c r="E47">
        <v>736.10440613027004</v>
      </c>
      <c r="F47">
        <v>121.39693192713</v>
      </c>
      <c r="G47">
        <v>109.3422818792</v>
      </c>
      <c r="I47" s="9">
        <f t="shared" si="1"/>
        <v>626.76212425107008</v>
      </c>
      <c r="J47" s="9">
        <f t="shared" si="2"/>
        <v>2587.0781638582698</v>
      </c>
      <c r="K47" s="9">
        <f t="shared" si="3"/>
        <v>626.76212425107008</v>
      </c>
      <c r="L47" s="10">
        <f t="shared" si="0"/>
        <v>0.24226640424205079</v>
      </c>
      <c r="M47" s="10">
        <f t="shared" si="4"/>
        <v>0.24613274400722659</v>
      </c>
      <c r="P47" s="8">
        <f t="shared" si="5"/>
        <v>0.80017037124199342</v>
      </c>
    </row>
    <row r="48" spans="1:16" x14ac:dyDescent="0.2">
      <c r="A48" s="8">
        <v>23</v>
      </c>
      <c r="B48" s="8">
        <v>46</v>
      </c>
      <c r="D48">
        <v>2699.3687739463999</v>
      </c>
      <c r="E48">
        <v>737.11590038314</v>
      </c>
      <c r="F48">
        <v>121.11888782359</v>
      </c>
      <c r="G48">
        <v>109.66538830297</v>
      </c>
      <c r="I48" s="9">
        <f t="shared" si="1"/>
        <v>627.45051208017003</v>
      </c>
      <c r="J48" s="9">
        <f t="shared" si="2"/>
        <v>2578.24988612281</v>
      </c>
      <c r="K48" s="9">
        <f t="shared" si="3"/>
        <v>627.45051208017003</v>
      </c>
      <c r="L48" s="10">
        <f t="shared" si="0"/>
        <v>0.24336295541303579</v>
      </c>
      <c r="M48" s="10">
        <f t="shared" si="4"/>
        <v>0.24731521383965996</v>
      </c>
      <c r="P48" s="8">
        <f t="shared" si="5"/>
        <v>1.2844341007547051</v>
      </c>
    </row>
    <row r="49" spans="1:25" x14ac:dyDescent="0.2">
      <c r="A49" s="8">
        <v>23.5</v>
      </c>
      <c r="B49" s="8">
        <v>47</v>
      </c>
      <c r="D49">
        <v>2751.6427203065</v>
      </c>
      <c r="E49">
        <v>745.81896551724003</v>
      </c>
      <c r="F49">
        <v>121.69031639501</v>
      </c>
      <c r="G49">
        <v>109.27996164909</v>
      </c>
      <c r="I49" s="9">
        <f t="shared" si="1"/>
        <v>636.53900386815008</v>
      </c>
      <c r="J49" s="9">
        <f t="shared" si="2"/>
        <v>2629.9524039114899</v>
      </c>
      <c r="K49" s="9">
        <f t="shared" si="3"/>
        <v>636.53900386815008</v>
      </c>
      <c r="L49" s="10">
        <f t="shared" si="0"/>
        <v>0.24203441968053677</v>
      </c>
      <c r="M49" s="10">
        <f t="shared" si="4"/>
        <v>0.24607259676860929</v>
      </c>
      <c r="P49" s="8">
        <f t="shared" si="5"/>
        <v>0.77553792372088726</v>
      </c>
    </row>
    <row r="50" spans="1:25" x14ac:dyDescent="0.2">
      <c r="A50" s="8">
        <v>24</v>
      </c>
      <c r="B50" s="8">
        <v>48</v>
      </c>
      <c r="D50">
        <v>2747.5536398467002</v>
      </c>
      <c r="E50">
        <v>744.71072796935005</v>
      </c>
      <c r="F50">
        <v>121.39405560882</v>
      </c>
      <c r="G50">
        <v>109.15723873442001</v>
      </c>
      <c r="I50" s="9">
        <f t="shared" si="1"/>
        <v>635.55348923493</v>
      </c>
      <c r="J50" s="9">
        <f t="shared" si="2"/>
        <v>2626.1595842378802</v>
      </c>
      <c r="K50" s="9">
        <f t="shared" si="3"/>
        <v>635.55348923493</v>
      </c>
      <c r="L50" s="10">
        <f t="shared" si="0"/>
        <v>0.24200870847662886</v>
      </c>
      <c r="M50" s="10">
        <f t="shared" si="4"/>
        <v>0.24613280422614975</v>
      </c>
      <c r="P50" s="8">
        <f t="shared" si="5"/>
        <v>0.80019503304689865</v>
      </c>
    </row>
    <row r="51" spans="1:25" x14ac:dyDescent="0.2">
      <c r="A51" s="8">
        <v>24.5</v>
      </c>
      <c r="B51" s="8">
        <v>49</v>
      </c>
      <c r="D51">
        <v>2752.0469348658999</v>
      </c>
      <c r="E51">
        <v>746.10344827586005</v>
      </c>
      <c r="F51">
        <v>121.05560882071001</v>
      </c>
      <c r="G51">
        <v>108.96452540748</v>
      </c>
      <c r="I51" s="9">
        <f t="shared" si="1"/>
        <v>637.13892286838006</v>
      </c>
      <c r="J51" s="9">
        <f t="shared" si="2"/>
        <v>2630.9913260451899</v>
      </c>
      <c r="K51" s="9">
        <f t="shared" si="3"/>
        <v>637.13892286838006</v>
      </c>
      <c r="L51" s="10">
        <f t="shared" si="0"/>
        <v>0.24216686560730857</v>
      </c>
      <c r="M51" s="10">
        <f t="shared" si="4"/>
        <v>0.24637688001827779</v>
      </c>
      <c r="P51" s="8">
        <f t="shared" si="5"/>
        <v>0.90015280798349906</v>
      </c>
    </row>
    <row r="52" spans="1:25" x14ac:dyDescent="0.2">
      <c r="A52" s="8">
        <v>25</v>
      </c>
      <c r="B52" s="8">
        <v>50</v>
      </c>
      <c r="D52">
        <v>2722.2643678160998</v>
      </c>
      <c r="E52">
        <v>735.79885057470995</v>
      </c>
      <c r="F52">
        <v>121.4343240652</v>
      </c>
      <c r="G52">
        <v>109.10067114093999</v>
      </c>
      <c r="I52" s="9">
        <f t="shared" si="1"/>
        <v>626.69817943376995</v>
      </c>
      <c r="J52" s="9">
        <f t="shared" si="2"/>
        <v>2600.8300437508997</v>
      </c>
      <c r="K52" s="9">
        <f t="shared" si="3"/>
        <v>626.69817943376995</v>
      </c>
      <c r="L52" s="10">
        <f t="shared" si="0"/>
        <v>0.24096083515320749</v>
      </c>
      <c r="M52" s="10">
        <f t="shared" si="4"/>
        <v>0.24525676822562506</v>
      </c>
      <c r="P52" s="8">
        <f t="shared" si="5"/>
        <v>0.44142692821628998</v>
      </c>
    </row>
    <row r="53" spans="1:25" x14ac:dyDescent="0.2">
      <c r="A53" s="8">
        <v>25.5</v>
      </c>
      <c r="B53" s="8">
        <v>51</v>
      </c>
      <c r="D53">
        <v>2729.648467433</v>
      </c>
      <c r="E53">
        <v>736.62068965517005</v>
      </c>
      <c r="F53">
        <v>121.51294343241</v>
      </c>
      <c r="G53">
        <v>109.20613614573</v>
      </c>
      <c r="I53" s="9">
        <f t="shared" si="1"/>
        <v>627.41455350944011</v>
      </c>
      <c r="J53" s="9">
        <f t="shared" si="2"/>
        <v>2608.1355240005901</v>
      </c>
      <c r="K53" s="9">
        <f t="shared" si="3"/>
        <v>627.41455350944011</v>
      </c>
      <c r="L53" s="10">
        <f t="shared" si="0"/>
        <v>0.24056056433258341</v>
      </c>
      <c r="M53" s="10">
        <f t="shared" si="4"/>
        <v>0.24494241606644934</v>
      </c>
      <c r="P53" s="8">
        <f t="shared" si="5"/>
        <v>0.31268846503745418</v>
      </c>
      <c r="S53" s="11"/>
      <c r="U53" s="12"/>
    </row>
    <row r="54" spans="1:25" x14ac:dyDescent="0.2">
      <c r="A54" s="8">
        <v>26</v>
      </c>
      <c r="B54" s="8">
        <v>52</v>
      </c>
      <c r="D54">
        <v>2749.5105363984999</v>
      </c>
      <c r="E54">
        <v>740.15900383142002</v>
      </c>
      <c r="F54">
        <v>121.85810162991</v>
      </c>
      <c r="G54">
        <v>109.16395014382</v>
      </c>
      <c r="I54" s="9">
        <f t="shared" si="1"/>
        <v>630.99505368760003</v>
      </c>
      <c r="J54" s="9">
        <f t="shared" si="2"/>
        <v>2627.65243476859</v>
      </c>
      <c r="K54" s="9">
        <f t="shared" si="3"/>
        <v>630.99505368760003</v>
      </c>
      <c r="L54" s="10">
        <f t="shared" si="0"/>
        <v>0.24013642190207321</v>
      </c>
      <c r="M54" s="10">
        <f t="shared" si="4"/>
        <v>0.2446041922973875</v>
      </c>
      <c r="P54" s="8">
        <f t="shared" si="5"/>
        <v>0.17417372299225867</v>
      </c>
      <c r="S54" s="11"/>
    </row>
    <row r="55" spans="1:25" x14ac:dyDescent="0.2">
      <c r="A55" s="8">
        <v>26.5</v>
      </c>
      <c r="B55" s="8">
        <v>53</v>
      </c>
      <c r="D55">
        <v>2734.4942528736001</v>
      </c>
      <c r="E55">
        <v>736.38026819923004</v>
      </c>
      <c r="F55">
        <v>121.30201342282</v>
      </c>
      <c r="G55">
        <v>108.83796740173</v>
      </c>
      <c r="I55" s="9">
        <f t="shared" si="1"/>
        <v>627.54230079750005</v>
      </c>
      <c r="J55" s="9">
        <f t="shared" si="2"/>
        <v>2613.1922394507801</v>
      </c>
      <c r="K55" s="9">
        <f t="shared" si="3"/>
        <v>627.54230079750005</v>
      </c>
      <c r="L55" s="10">
        <f t="shared" si="0"/>
        <v>0.2401439478212257</v>
      </c>
      <c r="M55" s="10">
        <f t="shared" si="4"/>
        <v>0.24469763687798832</v>
      </c>
      <c r="P55" s="8">
        <f t="shared" si="5"/>
        <v>0.21244262412048442</v>
      </c>
      <c r="S55" s="11"/>
    </row>
    <row r="56" spans="1:25" x14ac:dyDescent="0.2">
      <c r="A56" s="8">
        <v>27</v>
      </c>
      <c r="B56" s="8">
        <v>54</v>
      </c>
      <c r="D56">
        <v>2745.9358237547999</v>
      </c>
      <c r="E56">
        <v>737.18486590038003</v>
      </c>
      <c r="F56">
        <v>121.53403643337001</v>
      </c>
      <c r="G56">
        <v>109.19367209971</v>
      </c>
      <c r="I56" s="9">
        <f t="shared" si="1"/>
        <v>627.99119380067009</v>
      </c>
      <c r="J56" s="9">
        <f t="shared" si="2"/>
        <v>2624.4017873214298</v>
      </c>
      <c r="K56" s="9">
        <f t="shared" si="3"/>
        <v>627.99119380067009</v>
      </c>
      <c r="L56" s="10">
        <f t="shared" si="0"/>
        <v>0.23928927225797358</v>
      </c>
      <c r="M56" s="10">
        <f t="shared" si="4"/>
        <v>0.24392887997618456</v>
      </c>
      <c r="P56" s="8">
        <f t="shared" si="5"/>
        <v>-0.10239084912763892</v>
      </c>
      <c r="S56" s="11"/>
    </row>
    <row r="57" spans="1:25" x14ac:dyDescent="0.2">
      <c r="A57" s="8">
        <v>27.5</v>
      </c>
      <c r="B57" s="8">
        <v>55</v>
      </c>
      <c r="D57">
        <v>2668.5526819923002</v>
      </c>
      <c r="E57">
        <v>718.93390804598005</v>
      </c>
      <c r="F57">
        <v>120.99808245446</v>
      </c>
      <c r="G57">
        <v>109.02205177373</v>
      </c>
      <c r="I57" s="9">
        <f t="shared" si="1"/>
        <v>609.91185627225002</v>
      </c>
      <c r="J57" s="9">
        <f t="shared" si="2"/>
        <v>2547.5545995378402</v>
      </c>
      <c r="K57" s="9">
        <f t="shared" si="3"/>
        <v>609.91185627225002</v>
      </c>
      <c r="L57" s="10">
        <f t="shared" si="0"/>
        <v>0.23941071032703126</v>
      </c>
      <c r="M57" s="10">
        <f t="shared" si="4"/>
        <v>0.2441362367066906</v>
      </c>
      <c r="P57" s="8">
        <f t="shared" si="5"/>
        <v>-1.7470844489741164E-2</v>
      </c>
      <c r="S57" s="11"/>
    </row>
    <row r="58" spans="1:25" x14ac:dyDescent="0.2">
      <c r="A58" s="8">
        <v>28</v>
      </c>
      <c r="B58" s="8">
        <v>56</v>
      </c>
      <c r="D58">
        <v>2658.8678160919999</v>
      </c>
      <c r="E58">
        <v>715.87068965517005</v>
      </c>
      <c r="F58">
        <v>121.36912751678</v>
      </c>
      <c r="G58">
        <v>109.18216682646</v>
      </c>
      <c r="I58" s="9">
        <f t="shared" si="1"/>
        <v>606.68852282871001</v>
      </c>
      <c r="J58" s="9">
        <f t="shared" si="2"/>
        <v>2537.4986885752201</v>
      </c>
      <c r="K58" s="9">
        <f t="shared" si="3"/>
        <v>606.68852282871001</v>
      </c>
      <c r="L58" s="10">
        <f t="shared" si="0"/>
        <v>0.23908919660146091</v>
      </c>
      <c r="M58" s="10">
        <f t="shared" si="4"/>
        <v>0.24390064164256861</v>
      </c>
      <c r="P58" s="8">
        <f t="shared" si="5"/>
        <v>-0.11395545769270078</v>
      </c>
      <c r="S58" s="11"/>
    </row>
    <row r="59" spans="1:25" x14ac:dyDescent="0.2">
      <c r="A59" s="8">
        <v>28.5</v>
      </c>
      <c r="B59" s="8">
        <v>57</v>
      </c>
      <c r="D59">
        <v>2688.3467432950001</v>
      </c>
      <c r="E59">
        <v>725.20593869731999</v>
      </c>
      <c r="F59">
        <v>121.61073825503</v>
      </c>
      <c r="G59">
        <v>109.1514860978</v>
      </c>
      <c r="I59" s="9">
        <f t="shared" si="1"/>
        <v>616.05445259952</v>
      </c>
      <c r="J59" s="9">
        <f t="shared" si="2"/>
        <v>2566.7360050399702</v>
      </c>
      <c r="K59" s="9">
        <f t="shared" si="3"/>
        <v>616.05445259952</v>
      </c>
      <c r="L59" s="10">
        <f t="shared" si="0"/>
        <v>0.24001473131239556</v>
      </c>
      <c r="M59" s="10">
        <f t="shared" si="4"/>
        <v>0.24491209501495159</v>
      </c>
      <c r="P59" s="8">
        <f t="shared" si="5"/>
        <v>0.3002709089372439</v>
      </c>
      <c r="R59" s="1"/>
      <c r="S59" s="11"/>
    </row>
    <row r="60" spans="1:25" x14ac:dyDescent="0.2">
      <c r="A60" s="8">
        <v>29</v>
      </c>
      <c r="B60" s="8">
        <v>58</v>
      </c>
      <c r="D60">
        <v>2648.6417624521</v>
      </c>
      <c r="E60">
        <v>713.75191570880997</v>
      </c>
      <c r="F60">
        <v>121.32023010547</v>
      </c>
      <c r="G60">
        <v>109.46308724831999</v>
      </c>
      <c r="I60" s="9">
        <f t="shared" si="1"/>
        <v>604.28882846048998</v>
      </c>
      <c r="J60" s="9">
        <f t="shared" si="2"/>
        <v>2527.3215323466302</v>
      </c>
      <c r="K60" s="9">
        <f t="shared" si="3"/>
        <v>604.28882846048998</v>
      </c>
      <c r="L60" s="10">
        <f t="shared" si="0"/>
        <v>0.23910247300406012</v>
      </c>
      <c r="M60" s="10">
        <f t="shared" si="4"/>
        <v>0.24408575536806451</v>
      </c>
      <c r="P60" s="8">
        <f t="shared" si="5"/>
        <v>-3.8144759919412234E-2</v>
      </c>
      <c r="S60" s="11"/>
    </row>
    <row r="61" spans="1:25" x14ac:dyDescent="0.2">
      <c r="A61" s="8">
        <v>29.5</v>
      </c>
      <c r="B61" s="8">
        <v>59</v>
      </c>
      <c r="C61" s="2"/>
      <c r="D61">
        <v>2660.1465517240999</v>
      </c>
      <c r="E61">
        <v>714.19348659004004</v>
      </c>
      <c r="F61">
        <v>121.50431447747</v>
      </c>
      <c r="G61">
        <v>109.00862895493999</v>
      </c>
      <c r="I61" s="9">
        <f t="shared" si="1"/>
        <v>605.1848576351</v>
      </c>
      <c r="J61" s="9">
        <f t="shared" si="2"/>
        <v>2538.64223724663</v>
      </c>
      <c r="K61" s="9">
        <f t="shared" si="3"/>
        <v>605.1848576351</v>
      </c>
      <c r="L61" s="10">
        <f t="shared" si="0"/>
        <v>0.23838918645404467</v>
      </c>
      <c r="M61" s="10">
        <f t="shared" si="4"/>
        <v>0.24345838747949741</v>
      </c>
      <c r="P61" s="8">
        <f t="shared" si="5"/>
        <v>-0.29507437043540752</v>
      </c>
      <c r="S61" s="11"/>
    </row>
    <row r="62" spans="1:25" x14ac:dyDescent="0.2">
      <c r="A62" s="8">
        <v>30</v>
      </c>
      <c r="B62" s="8">
        <v>60</v>
      </c>
      <c r="D62">
        <v>2656.6551724137998</v>
      </c>
      <c r="E62">
        <v>713.71168582376004</v>
      </c>
      <c r="F62">
        <v>121.66922339406</v>
      </c>
      <c r="G62">
        <v>109.15436241611</v>
      </c>
      <c r="I62" s="9">
        <f t="shared" si="1"/>
        <v>604.55732340765007</v>
      </c>
      <c r="J62" s="9">
        <f t="shared" si="2"/>
        <v>2534.98594901974</v>
      </c>
      <c r="K62" s="9">
        <f t="shared" si="3"/>
        <v>604.55732340765007</v>
      </c>
      <c r="L62" s="10">
        <f t="shared" si="0"/>
        <v>0.2384854731212328</v>
      </c>
      <c r="M62" s="10">
        <f t="shared" si="4"/>
        <v>0.24364059280813391</v>
      </c>
      <c r="P62" s="8">
        <f t="shared" si="5"/>
        <v>-0.22045476529840119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2652.5670498084</v>
      </c>
      <c r="E63">
        <v>711.38218390805002</v>
      </c>
      <c r="F63">
        <v>121.98657718121</v>
      </c>
      <c r="G63">
        <v>109.20134228188</v>
      </c>
      <c r="I63" s="9">
        <f t="shared" si="1"/>
        <v>602.18084162617004</v>
      </c>
      <c r="J63" s="9">
        <f t="shared" si="2"/>
        <v>2530.5804726271899</v>
      </c>
      <c r="K63" s="9">
        <f t="shared" si="3"/>
        <v>602.18084162617004</v>
      </c>
      <c r="L63" s="10">
        <f t="shared" si="0"/>
        <v>0.23796154603255903</v>
      </c>
      <c r="M63" s="10">
        <f t="shared" si="4"/>
        <v>0.24320258438090847</v>
      </c>
      <c r="P63" s="8">
        <f t="shared" si="5"/>
        <v>-0.39983489721237242</v>
      </c>
    </row>
    <row r="64" spans="1:25" x14ac:dyDescent="0.2">
      <c r="A64" s="8">
        <v>31</v>
      </c>
      <c r="B64" s="8">
        <v>62</v>
      </c>
      <c r="D64">
        <v>2700.9492337165002</v>
      </c>
      <c r="E64">
        <v>724.87260536399003</v>
      </c>
      <c r="F64">
        <v>121.66922339406</v>
      </c>
      <c r="G64">
        <v>109.21668264621</v>
      </c>
      <c r="I64" s="9">
        <f t="shared" si="1"/>
        <v>615.65592271778007</v>
      </c>
      <c r="J64" s="9">
        <f t="shared" si="2"/>
        <v>2579.2800103224404</v>
      </c>
      <c r="K64" s="9">
        <f t="shared" si="3"/>
        <v>615.65592271778007</v>
      </c>
      <c r="L64" s="10">
        <f t="shared" si="0"/>
        <v>0.2386929376624044</v>
      </c>
      <c r="M64" s="10">
        <f t="shared" si="4"/>
        <v>0.2440198946722022</v>
      </c>
      <c r="P64" s="8">
        <f t="shared" si="5"/>
        <v>-6.5117072727556111E-2</v>
      </c>
      <c r="U64" s="8">
        <v>30.5</v>
      </c>
      <c r="V64" s="10">
        <f>L62</f>
        <v>0.2384854731212328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2623.2001915709002</v>
      </c>
      <c r="E65">
        <v>705.95689655171998</v>
      </c>
      <c r="F65">
        <v>121.28187919462999</v>
      </c>
      <c r="G65">
        <v>109.45158197507</v>
      </c>
      <c r="I65" s="9">
        <f t="shared" si="1"/>
        <v>596.50531457664999</v>
      </c>
      <c r="J65" s="9">
        <f t="shared" si="2"/>
        <v>2501.91831237627</v>
      </c>
      <c r="K65" s="9">
        <f t="shared" si="3"/>
        <v>596.50531457664999</v>
      </c>
      <c r="L65" s="10">
        <f t="shared" si="0"/>
        <v>0.23841918084451832</v>
      </c>
      <c r="M65" s="10">
        <f t="shared" si="4"/>
        <v>0.24383205651576448</v>
      </c>
      <c r="P65" s="8">
        <f t="shared" si="5"/>
        <v>-0.14204352250778621</v>
      </c>
      <c r="U65" s="8">
        <v>31</v>
      </c>
      <c r="V65" s="10">
        <f t="shared" ref="V65:V83" si="6">L63</f>
        <v>0.23796154603255903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2653.9482758621002</v>
      </c>
      <c r="E66">
        <v>711.27969348658996</v>
      </c>
      <c r="F66">
        <v>121.67305848514</v>
      </c>
      <c r="G66">
        <v>109.39980824545</v>
      </c>
      <c r="I66" s="9">
        <f t="shared" si="1"/>
        <v>601.87988524113996</v>
      </c>
      <c r="J66" s="9">
        <f t="shared" si="2"/>
        <v>2532.2752173769604</v>
      </c>
      <c r="K66" s="9">
        <f t="shared" si="3"/>
        <v>601.87988524113996</v>
      </c>
      <c r="L66" s="10">
        <f t="shared" ref="L66:L129" si="7">K66/J66</f>
        <v>0.23768344021649945</v>
      </c>
      <c r="M66" s="10">
        <f t="shared" si="4"/>
        <v>0.24318223454919397</v>
      </c>
      <c r="P66" s="8">
        <f t="shared" si="5"/>
        <v>-0.40816888183567818</v>
      </c>
      <c r="U66" s="8">
        <v>31.5</v>
      </c>
      <c r="V66" s="10">
        <f t="shared" si="6"/>
        <v>0.2386929376624044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2619.0881226053998</v>
      </c>
      <c r="E67">
        <v>705.34099616857998</v>
      </c>
      <c r="F67">
        <v>121.27900287632001</v>
      </c>
      <c r="G67">
        <v>109.11697027804</v>
      </c>
      <c r="I67" s="9">
        <f t="shared" ref="I67:I130" si="8">E67-G67</f>
        <v>596.22402589054002</v>
      </c>
      <c r="J67" s="9">
        <f t="shared" ref="J67:J130" si="9">D67-F67</f>
        <v>2497.8091197290796</v>
      </c>
      <c r="K67" s="9">
        <f t="shared" ref="K67:K130" si="10">I67*1</f>
        <v>596.22402589054002</v>
      </c>
      <c r="L67" s="10">
        <f t="shared" si="7"/>
        <v>0.23869879454808315</v>
      </c>
      <c r="M67" s="10">
        <f t="shared" ref="M67:M130" si="11">L67+ABS($N$2)*A67</f>
        <v>0.244283507542226</v>
      </c>
      <c r="P67" s="8">
        <f t="shared" ref="P67:P130" si="12">(M67-$O$2)/$O$2*100</f>
        <v>4.2841835046498015E-2</v>
      </c>
      <c r="U67" s="8">
        <v>32</v>
      </c>
      <c r="V67" s="10">
        <f t="shared" si="6"/>
        <v>0.23841918084451832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2642.8802681992001</v>
      </c>
      <c r="E68">
        <v>710.04118773946004</v>
      </c>
      <c r="F68">
        <v>121.41706615532</v>
      </c>
      <c r="G68">
        <v>109.14956855225</v>
      </c>
      <c r="I68" s="9">
        <f t="shared" si="8"/>
        <v>600.89161918721004</v>
      </c>
      <c r="J68" s="9">
        <f t="shared" si="9"/>
        <v>2521.4632020438803</v>
      </c>
      <c r="K68" s="9">
        <f t="shared" si="10"/>
        <v>600.89161918721004</v>
      </c>
      <c r="L68" s="10">
        <f t="shared" si="7"/>
        <v>0.238310683534914</v>
      </c>
      <c r="M68" s="10">
        <f t="shared" si="11"/>
        <v>0.2439813151905052</v>
      </c>
      <c r="P68" s="8">
        <f t="shared" si="12"/>
        <v>-8.091675165112712E-2</v>
      </c>
      <c r="U68" s="8">
        <v>32.5</v>
      </c>
      <c r="V68" s="10">
        <f t="shared" si="6"/>
        <v>0.23768344021649945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2519.3965517240999</v>
      </c>
      <c r="E69">
        <v>682.58237547892998</v>
      </c>
      <c r="F69">
        <v>121.61457334612</v>
      </c>
      <c r="G69">
        <v>109.11025886865001</v>
      </c>
      <c r="I69" s="9">
        <f t="shared" si="8"/>
        <v>573.47211661027995</v>
      </c>
      <c r="J69" s="9">
        <f t="shared" si="9"/>
        <v>2397.7819783779801</v>
      </c>
      <c r="K69" s="9">
        <f t="shared" si="10"/>
        <v>573.47211661027995</v>
      </c>
      <c r="L69" s="10">
        <f t="shared" si="7"/>
        <v>0.23916774826967996</v>
      </c>
      <c r="M69" s="10">
        <f t="shared" si="11"/>
        <v>0.24492429858671952</v>
      </c>
      <c r="P69" s="8">
        <f t="shared" si="12"/>
        <v>0.30526870847141963</v>
      </c>
      <c r="U69" s="8">
        <v>33</v>
      </c>
      <c r="V69" s="10">
        <f t="shared" si="6"/>
        <v>0.23869879454808315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2524.3879310345001</v>
      </c>
      <c r="E70">
        <v>680.34674329502002</v>
      </c>
      <c r="F70">
        <v>121.63470757431</v>
      </c>
      <c r="G70">
        <v>109.24161073825999</v>
      </c>
      <c r="I70" s="9">
        <f t="shared" si="8"/>
        <v>571.10513255676005</v>
      </c>
      <c r="J70" s="9">
        <f t="shared" si="9"/>
        <v>2402.7532234601899</v>
      </c>
      <c r="K70" s="9">
        <f t="shared" si="10"/>
        <v>571.10513255676005</v>
      </c>
      <c r="L70" s="10">
        <f t="shared" si="7"/>
        <v>0.23768780205164602</v>
      </c>
      <c r="M70" s="10">
        <f t="shared" si="11"/>
        <v>0.24353027103013394</v>
      </c>
      <c r="P70" s="8">
        <f t="shared" si="12"/>
        <v>-0.26563548297539769</v>
      </c>
      <c r="U70" s="8">
        <v>33.5</v>
      </c>
      <c r="V70" s="10">
        <f t="shared" si="6"/>
        <v>0.238310683534914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2552.4885057471001</v>
      </c>
      <c r="E71">
        <v>687.17911877394999</v>
      </c>
      <c r="F71">
        <v>121.81112176414</v>
      </c>
      <c r="G71">
        <v>109.14956855225</v>
      </c>
      <c r="I71" s="9">
        <f t="shared" si="8"/>
        <v>578.02955022169999</v>
      </c>
      <c r="J71" s="9">
        <f t="shared" si="9"/>
        <v>2430.6773839829602</v>
      </c>
      <c r="K71" s="9">
        <f t="shared" si="10"/>
        <v>578.02955022169999</v>
      </c>
      <c r="L71" s="10">
        <f t="shared" si="7"/>
        <v>0.23780595237798624</v>
      </c>
      <c r="M71" s="10">
        <f t="shared" si="11"/>
        <v>0.24373434001792249</v>
      </c>
      <c r="P71" s="8">
        <f t="shared" si="12"/>
        <v>-0.18206192668347868</v>
      </c>
      <c r="U71" s="8">
        <v>34</v>
      </c>
      <c r="V71" s="10">
        <f t="shared" si="6"/>
        <v>0.23916774826967996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2577.5823754788998</v>
      </c>
      <c r="E72">
        <v>696.03639846742999</v>
      </c>
      <c r="F72">
        <v>121.46596356664</v>
      </c>
      <c r="G72">
        <v>109.07190795781</v>
      </c>
      <c r="I72" s="9">
        <f t="shared" si="8"/>
        <v>586.96449050961996</v>
      </c>
      <c r="J72" s="9">
        <f t="shared" si="9"/>
        <v>2456.11641191226</v>
      </c>
      <c r="K72" s="9">
        <f t="shared" si="10"/>
        <v>586.96449050961996</v>
      </c>
      <c r="L72" s="10">
        <f t="shared" si="7"/>
        <v>0.23898072895194192</v>
      </c>
      <c r="M72" s="10">
        <f t="shared" si="11"/>
        <v>0.24499503525332653</v>
      </c>
      <c r="P72" s="8">
        <f t="shared" si="12"/>
        <v>0.33423790586220137</v>
      </c>
      <c r="U72" s="8">
        <v>34.5</v>
      </c>
      <c r="V72" s="10">
        <f t="shared" si="6"/>
        <v>0.23768780205164602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2589.6340996169001</v>
      </c>
      <c r="E73">
        <v>699.31992337165002</v>
      </c>
      <c r="F73">
        <v>121.51102588687</v>
      </c>
      <c r="G73">
        <v>109.29050814957</v>
      </c>
      <c r="I73" s="9">
        <f t="shared" si="8"/>
        <v>590.02941522208005</v>
      </c>
      <c r="J73" s="9">
        <f t="shared" si="9"/>
        <v>2468.1230737300302</v>
      </c>
      <c r="K73" s="9">
        <f t="shared" si="10"/>
        <v>590.02941522208005</v>
      </c>
      <c r="L73" s="10">
        <f t="shared" si="7"/>
        <v>0.23905996483813069</v>
      </c>
      <c r="M73" s="10">
        <f t="shared" si="11"/>
        <v>0.24516018980096366</v>
      </c>
      <c r="P73" s="8">
        <f t="shared" si="12"/>
        <v>0.40187460575175127</v>
      </c>
      <c r="U73" s="8">
        <v>35</v>
      </c>
      <c r="V73" s="10">
        <f t="shared" si="6"/>
        <v>0.23780595237798624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2609.3007662834998</v>
      </c>
      <c r="E74">
        <v>703.02586206897001</v>
      </c>
      <c r="F74">
        <v>121.59827420901</v>
      </c>
      <c r="G74">
        <v>109.01629913711</v>
      </c>
      <c r="I74" s="9">
        <f t="shared" si="8"/>
        <v>594.00956293186005</v>
      </c>
      <c r="J74" s="9">
        <f t="shared" si="9"/>
        <v>2487.7024920744898</v>
      </c>
      <c r="K74" s="9">
        <f t="shared" si="10"/>
        <v>594.00956293186005</v>
      </c>
      <c r="L74" s="10">
        <f t="shared" si="7"/>
        <v>0.23877837676502736</v>
      </c>
      <c r="M74" s="10">
        <f t="shared" si="11"/>
        <v>0.24496452038930869</v>
      </c>
      <c r="P74" s="8">
        <f t="shared" si="12"/>
        <v>0.3217409765964101</v>
      </c>
      <c r="U74" s="8">
        <v>35.5</v>
      </c>
      <c r="V74" s="10">
        <f t="shared" si="6"/>
        <v>0.23898072895194192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2602.9137931035002</v>
      </c>
      <c r="E75">
        <v>701.99425287355996</v>
      </c>
      <c r="F75">
        <v>122.092042186</v>
      </c>
      <c r="G75">
        <v>109.42665388303</v>
      </c>
      <c r="I75" s="9">
        <f t="shared" si="8"/>
        <v>592.56759899052997</v>
      </c>
      <c r="J75" s="9">
        <f t="shared" si="9"/>
        <v>2480.8217509175001</v>
      </c>
      <c r="K75" s="9">
        <f t="shared" si="10"/>
        <v>592.56759899052997</v>
      </c>
      <c r="L75" s="10">
        <f t="shared" si="7"/>
        <v>0.2388594016363233</v>
      </c>
      <c r="M75" s="10">
        <f t="shared" si="11"/>
        <v>0.24513146392205296</v>
      </c>
      <c r="P75" s="8">
        <f t="shared" si="12"/>
        <v>0.39011032993407557</v>
      </c>
      <c r="U75" s="8">
        <v>36</v>
      </c>
      <c r="V75" s="10">
        <f t="shared" si="6"/>
        <v>0.23905996483813069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2625.5095785440999</v>
      </c>
      <c r="E76">
        <v>705.75766283525002</v>
      </c>
      <c r="F76">
        <v>121.95302013423</v>
      </c>
      <c r="G76">
        <v>109.48801534035999</v>
      </c>
      <c r="I76" s="9">
        <f t="shared" si="8"/>
        <v>596.26964749489002</v>
      </c>
      <c r="J76" s="9">
        <f t="shared" si="9"/>
        <v>2503.5565584098699</v>
      </c>
      <c r="K76" s="9">
        <f t="shared" si="10"/>
        <v>596.26964749489002</v>
      </c>
      <c r="L76" s="10">
        <f t="shared" si="7"/>
        <v>0.2381690341653834</v>
      </c>
      <c r="M76" s="10">
        <f t="shared" si="11"/>
        <v>0.24452701511256142</v>
      </c>
      <c r="P76" s="8">
        <f t="shared" si="12"/>
        <v>0.14256690281633944</v>
      </c>
      <c r="U76" s="8">
        <v>36.5</v>
      </c>
      <c r="V76" s="10">
        <f t="shared" si="6"/>
        <v>0.23877837676502736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2631.7136015326</v>
      </c>
      <c r="E77">
        <v>704.31896551724003</v>
      </c>
      <c r="F77">
        <v>121.85234899328999</v>
      </c>
      <c r="G77">
        <v>109.17162032598</v>
      </c>
      <c r="I77" s="9">
        <f t="shared" si="8"/>
        <v>595.14734519126</v>
      </c>
      <c r="J77" s="9">
        <f t="shared" si="9"/>
        <v>2509.86125253931</v>
      </c>
      <c r="K77" s="9">
        <f t="shared" si="10"/>
        <v>595.14734519126</v>
      </c>
      <c r="L77" s="10">
        <f t="shared" si="7"/>
        <v>0.23712360378053951</v>
      </c>
      <c r="M77" s="10">
        <f t="shared" si="11"/>
        <v>0.24356750338916588</v>
      </c>
      <c r="P77" s="8">
        <f t="shared" si="12"/>
        <v>-0.25038749901096941</v>
      </c>
      <c r="U77" s="8">
        <v>37</v>
      </c>
      <c r="V77" s="10">
        <f t="shared" si="6"/>
        <v>0.2388594016363233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2605.8419540230002</v>
      </c>
      <c r="E78">
        <v>701.56896551724003</v>
      </c>
      <c r="F78">
        <v>121.30488974113</v>
      </c>
      <c r="G78">
        <v>109.14573346117</v>
      </c>
      <c r="I78" s="9">
        <f t="shared" si="8"/>
        <v>592.42323205606999</v>
      </c>
      <c r="J78" s="9">
        <f t="shared" si="9"/>
        <v>2484.5370642818702</v>
      </c>
      <c r="K78" s="9">
        <f t="shared" si="10"/>
        <v>592.42323205606999</v>
      </c>
      <c r="L78" s="10">
        <f t="shared" si="7"/>
        <v>0.23844411120801848</v>
      </c>
      <c r="M78" s="10">
        <f t="shared" si="11"/>
        <v>0.24497392947809321</v>
      </c>
      <c r="P78" s="8">
        <f t="shared" si="12"/>
        <v>0.32559433530471038</v>
      </c>
      <c r="U78" s="8">
        <v>37.5</v>
      </c>
      <c r="V78" s="10">
        <f t="shared" si="6"/>
        <v>0.2381690341653834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2602.4454022988998</v>
      </c>
      <c r="E79">
        <v>698.81800766284005</v>
      </c>
      <c r="F79">
        <v>121.27804410355</v>
      </c>
      <c r="G79">
        <v>109.33077660594</v>
      </c>
      <c r="I79" s="9">
        <f t="shared" si="8"/>
        <v>589.4872310569001</v>
      </c>
      <c r="J79" s="9">
        <f t="shared" si="9"/>
        <v>2481.1673581953496</v>
      </c>
      <c r="K79" s="9">
        <f t="shared" si="10"/>
        <v>589.4872310569001</v>
      </c>
      <c r="L79" s="10">
        <f t="shared" si="7"/>
        <v>0.23758463092375087</v>
      </c>
      <c r="M79" s="10">
        <f t="shared" si="11"/>
        <v>0.24420036785527394</v>
      </c>
      <c r="P79" s="8">
        <f t="shared" si="12"/>
        <v>8.793156788828322E-3</v>
      </c>
      <c r="U79" s="8">
        <v>38</v>
      </c>
      <c r="V79" s="10">
        <f t="shared" si="6"/>
        <v>0.23712360378053951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2581.3620689654999</v>
      </c>
      <c r="E80">
        <v>693.92049808428999</v>
      </c>
      <c r="F80">
        <v>121.46021093001001</v>
      </c>
      <c r="G80">
        <v>109.31639501438001</v>
      </c>
      <c r="I80" s="9">
        <f t="shared" si="8"/>
        <v>584.60410306991002</v>
      </c>
      <c r="J80" s="9">
        <f t="shared" si="9"/>
        <v>2459.90185803549</v>
      </c>
      <c r="K80" s="9">
        <f t="shared" si="10"/>
        <v>584.60410306991002</v>
      </c>
      <c r="L80" s="10">
        <f t="shared" si="7"/>
        <v>0.23765342554632751</v>
      </c>
      <c r="M80" s="10">
        <f t="shared" si="11"/>
        <v>0.24435508113929894</v>
      </c>
      <c r="P80" s="8">
        <f t="shared" si="12"/>
        <v>7.2153785425692424E-2</v>
      </c>
      <c r="U80" s="8">
        <v>38.5</v>
      </c>
      <c r="V80" s="10">
        <f t="shared" si="6"/>
        <v>0.23844411120801848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2603.6570881225998</v>
      </c>
      <c r="E81">
        <v>696.46839080459995</v>
      </c>
      <c r="F81">
        <v>121.61265580058</v>
      </c>
      <c r="G81">
        <v>109.25599232982</v>
      </c>
      <c r="I81" s="9">
        <f t="shared" si="8"/>
        <v>587.21239847478</v>
      </c>
      <c r="J81" s="9">
        <f t="shared" si="9"/>
        <v>2482.0444323220199</v>
      </c>
      <c r="K81" s="9">
        <f t="shared" si="10"/>
        <v>587.21239847478</v>
      </c>
      <c r="L81" s="10">
        <f t="shared" si="7"/>
        <v>0.23658416055244702</v>
      </c>
      <c r="M81" s="10">
        <f t="shared" si="11"/>
        <v>0.2433717348068668</v>
      </c>
      <c r="P81" s="8">
        <f t="shared" si="12"/>
        <v>-0.3305617420954437</v>
      </c>
      <c r="U81" s="8">
        <v>39</v>
      </c>
      <c r="V81" s="10">
        <f t="shared" si="6"/>
        <v>0.23758463092375087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2538.3917624521</v>
      </c>
      <c r="E82">
        <v>682.23180076628</v>
      </c>
      <c r="F82">
        <v>121.76126558006</v>
      </c>
      <c r="G82">
        <v>109.18504314478</v>
      </c>
      <c r="H82" s="13"/>
      <c r="I82" s="14">
        <f t="shared" si="8"/>
        <v>573.04675762149998</v>
      </c>
      <c r="J82" s="14">
        <f t="shared" si="9"/>
        <v>2416.6304968720401</v>
      </c>
      <c r="K82" s="9">
        <f t="shared" si="10"/>
        <v>573.04675762149998</v>
      </c>
      <c r="L82" s="15">
        <f t="shared" si="7"/>
        <v>0.23712634528250043</v>
      </c>
      <c r="M82" s="15">
        <f t="shared" si="11"/>
        <v>0.24399983819836857</v>
      </c>
      <c r="N82" s="13"/>
      <c r="O82" s="13"/>
      <c r="P82" s="13">
        <f t="shared" si="12"/>
        <v>-7.3330916796254489E-2</v>
      </c>
      <c r="U82" s="8">
        <v>39.5</v>
      </c>
      <c r="V82" s="10">
        <f t="shared" si="6"/>
        <v>0.23765342554632751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2527.8467432950001</v>
      </c>
      <c r="E83">
        <v>681.53256704981004</v>
      </c>
      <c r="F83">
        <v>121.34515819751</v>
      </c>
      <c r="G83">
        <v>109.12847555128999</v>
      </c>
      <c r="I83" s="9">
        <f t="shared" si="8"/>
        <v>572.40409149852007</v>
      </c>
      <c r="J83" s="9">
        <f t="shared" si="9"/>
        <v>2406.5015850974901</v>
      </c>
      <c r="K83" s="9">
        <f t="shared" si="10"/>
        <v>572.40409149852007</v>
      </c>
      <c r="L83" s="10">
        <f t="shared" si="7"/>
        <v>0.23785735070493683</v>
      </c>
      <c r="M83" s="10">
        <f t="shared" si="11"/>
        <v>0.2448167622822533</v>
      </c>
      <c r="P83" s="8">
        <f t="shared" si="12"/>
        <v>0.26122874192811968</v>
      </c>
      <c r="U83" s="8">
        <v>40</v>
      </c>
      <c r="V83" s="10">
        <f t="shared" si="6"/>
        <v>0.23658416055244702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2663.9434865899998</v>
      </c>
      <c r="E84">
        <v>709.99137931035</v>
      </c>
      <c r="F84">
        <v>121.56088207095</v>
      </c>
      <c r="G84">
        <v>109.1610738255</v>
      </c>
      <c r="I84" s="9">
        <f t="shared" si="8"/>
        <v>600.83030548484999</v>
      </c>
      <c r="J84" s="9">
        <f t="shared" si="9"/>
        <v>2542.3826045190499</v>
      </c>
      <c r="K84" s="9">
        <f t="shared" si="10"/>
        <v>600.83030548484999</v>
      </c>
      <c r="L84" s="10">
        <f t="shared" si="7"/>
        <v>0.23632568300966283</v>
      </c>
      <c r="M84" s="10">
        <f t="shared" si="11"/>
        <v>0.24337101324842766</v>
      </c>
      <c r="P84" s="8">
        <f t="shared" si="12"/>
        <v>-0.33085724610849659</v>
      </c>
      <c r="U84" s="8">
        <v>150.5</v>
      </c>
      <c r="V84" s="10">
        <f>L302</f>
        <v>0.21780590259170513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2686.3745210727998</v>
      </c>
      <c r="E85">
        <v>730.61015325670996</v>
      </c>
      <c r="F85">
        <v>121.43911792905</v>
      </c>
      <c r="G85">
        <v>109.28571428571</v>
      </c>
      <c r="I85" s="9">
        <f t="shared" si="8"/>
        <v>621.32443897099995</v>
      </c>
      <c r="J85" s="9">
        <f t="shared" si="9"/>
        <v>2564.9354031437497</v>
      </c>
      <c r="K85" s="9">
        <f t="shared" si="10"/>
        <v>621.32443897099995</v>
      </c>
      <c r="L85" s="10">
        <f t="shared" si="7"/>
        <v>0.2422378505943911</v>
      </c>
      <c r="M85" s="10">
        <f t="shared" si="11"/>
        <v>0.24936909949460428</v>
      </c>
      <c r="P85" s="8">
        <f t="shared" si="12"/>
        <v>2.1255738067962526</v>
      </c>
      <c r="U85" s="8">
        <v>151</v>
      </c>
      <c r="V85" s="10">
        <f t="shared" ref="V85:V103" si="13">L303</f>
        <v>0.21562733525665784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2708.2250957853998</v>
      </c>
      <c r="E86">
        <v>750.75383141761995</v>
      </c>
      <c r="F86">
        <v>121.73633748802</v>
      </c>
      <c r="G86">
        <v>109.20038350911</v>
      </c>
      <c r="I86" s="9">
        <f t="shared" si="8"/>
        <v>641.55344790850995</v>
      </c>
      <c r="J86" s="9">
        <f t="shared" si="9"/>
        <v>2586.4887582973797</v>
      </c>
      <c r="K86" s="9">
        <f t="shared" si="10"/>
        <v>641.55344790850995</v>
      </c>
      <c r="L86" s="10">
        <f t="shared" si="7"/>
        <v>0.24804030013678791</v>
      </c>
      <c r="M86" s="10">
        <f t="shared" si="11"/>
        <v>0.25525746769844943</v>
      </c>
      <c r="P86" s="8">
        <f t="shared" si="12"/>
        <v>4.5370713933943501</v>
      </c>
      <c r="U86" s="8">
        <v>151.5</v>
      </c>
      <c r="V86" s="10">
        <f t="shared" si="13"/>
        <v>0.21540199845566485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2716.6637931035002</v>
      </c>
      <c r="E87">
        <v>783.38218390805002</v>
      </c>
      <c r="F87">
        <v>122.01629913711</v>
      </c>
      <c r="G87">
        <v>109.25599232982</v>
      </c>
      <c r="I87" s="9">
        <f t="shared" si="8"/>
        <v>674.12619157822996</v>
      </c>
      <c r="J87" s="9">
        <f t="shared" si="9"/>
        <v>2594.6474939663904</v>
      </c>
      <c r="K87" s="9">
        <f t="shared" si="10"/>
        <v>674.12619157822996</v>
      </c>
      <c r="L87" s="10">
        <f t="shared" si="7"/>
        <v>0.25981417250160083</v>
      </c>
      <c r="M87" s="10">
        <f t="shared" si="11"/>
        <v>0.2671172587247107</v>
      </c>
      <c r="P87" s="8">
        <f t="shared" si="12"/>
        <v>9.394080406300672</v>
      </c>
      <c r="U87" s="8">
        <v>152</v>
      </c>
      <c r="V87" s="10">
        <f t="shared" si="13"/>
        <v>0.21365718541029258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2750.1676356589001</v>
      </c>
      <c r="E88">
        <v>809.49224806202005</v>
      </c>
      <c r="F88">
        <v>121.46788111218</v>
      </c>
      <c r="G88">
        <v>109.30488974113</v>
      </c>
      <c r="I88" s="9">
        <f t="shared" si="8"/>
        <v>700.1873583208901</v>
      </c>
      <c r="J88" s="9">
        <f t="shared" si="9"/>
        <v>2628.6997545467202</v>
      </c>
      <c r="K88" s="9">
        <f t="shared" si="10"/>
        <v>700.1873583208901</v>
      </c>
      <c r="L88" s="10">
        <f t="shared" si="7"/>
        <v>0.26636262171433378</v>
      </c>
      <c r="M88" s="10">
        <f t="shared" si="11"/>
        <v>0.27375162659889202</v>
      </c>
      <c r="P88" s="8">
        <f t="shared" si="12"/>
        <v>12.111091565138343</v>
      </c>
      <c r="U88" s="8">
        <v>152.5</v>
      </c>
      <c r="V88" s="10">
        <f t="shared" si="13"/>
        <v>0.21805994344855684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2743.3465250965</v>
      </c>
      <c r="E89">
        <v>815.04633204633001</v>
      </c>
      <c r="F89">
        <v>121.97315436242</v>
      </c>
      <c r="G89">
        <v>109.48705656759</v>
      </c>
      <c r="I89" s="9">
        <f t="shared" si="8"/>
        <v>705.55927547874001</v>
      </c>
      <c r="J89" s="9">
        <f t="shared" si="9"/>
        <v>2621.3733707340803</v>
      </c>
      <c r="K89" s="9">
        <f t="shared" si="10"/>
        <v>705.55927547874001</v>
      </c>
      <c r="L89" s="10">
        <f t="shared" si="7"/>
        <v>0.26915634505021224</v>
      </c>
      <c r="M89" s="10">
        <f t="shared" si="11"/>
        <v>0.27663126859621884</v>
      </c>
      <c r="P89" s="8">
        <f t="shared" si="12"/>
        <v>13.290408055959265</v>
      </c>
      <c r="U89" s="8">
        <v>153</v>
      </c>
      <c r="V89" s="10">
        <f t="shared" si="13"/>
        <v>0.21530285035629593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2750.9826254825998</v>
      </c>
      <c r="E90">
        <v>811.64478764478997</v>
      </c>
      <c r="F90">
        <v>121.99520613615</v>
      </c>
      <c r="G90">
        <v>109.23202301054999</v>
      </c>
      <c r="I90" s="9">
        <f t="shared" si="8"/>
        <v>702.41276463423992</v>
      </c>
      <c r="J90" s="9">
        <f t="shared" si="9"/>
        <v>2628.9874193464498</v>
      </c>
      <c r="K90" s="9">
        <f t="shared" si="10"/>
        <v>702.41276463423992</v>
      </c>
      <c r="L90" s="10">
        <f t="shared" si="7"/>
        <v>0.26717996421940104</v>
      </c>
      <c r="M90" s="10">
        <f t="shared" si="11"/>
        <v>0.274740806426856</v>
      </c>
      <c r="P90" s="8">
        <f t="shared" si="12"/>
        <v>12.516196117922421</v>
      </c>
      <c r="U90" s="8">
        <v>153.5</v>
      </c>
      <c r="V90" s="10">
        <f t="shared" si="13"/>
        <v>0.2173994766658463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2682.9459459459999</v>
      </c>
      <c r="E91">
        <v>782.79054054053995</v>
      </c>
      <c r="F91">
        <v>122.1610738255</v>
      </c>
      <c r="G91">
        <v>109.40651965484</v>
      </c>
      <c r="I91" s="9">
        <f t="shared" si="8"/>
        <v>673.38402088570001</v>
      </c>
      <c r="J91" s="9">
        <f t="shared" si="9"/>
        <v>2560.7848721205</v>
      </c>
      <c r="K91" s="9">
        <f t="shared" si="10"/>
        <v>673.38402088570001</v>
      </c>
      <c r="L91" s="10">
        <f t="shared" si="7"/>
        <v>0.26296001207164788</v>
      </c>
      <c r="M91" s="10">
        <f t="shared" si="11"/>
        <v>0.27060677294055119</v>
      </c>
      <c r="P91" s="8">
        <f t="shared" si="12"/>
        <v>10.823161404395197</v>
      </c>
      <c r="U91" s="8">
        <v>154</v>
      </c>
      <c r="V91" s="10">
        <f t="shared" si="13"/>
        <v>0.21924375634811613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2823.9513145083001</v>
      </c>
      <c r="E92">
        <v>811.72541382667998</v>
      </c>
      <c r="F92">
        <v>121.56375838926</v>
      </c>
      <c r="G92">
        <v>109.33940556088</v>
      </c>
      <c r="I92" s="9">
        <f t="shared" si="8"/>
        <v>702.3860082658</v>
      </c>
      <c r="J92" s="9">
        <f t="shared" si="9"/>
        <v>2702.3875561190403</v>
      </c>
      <c r="K92" s="9">
        <f t="shared" si="10"/>
        <v>702.3860082658</v>
      </c>
      <c r="L92" s="10">
        <f t="shared" si="7"/>
        <v>0.25991313003028788</v>
      </c>
      <c r="M92" s="10">
        <f t="shared" si="11"/>
        <v>0.26764580956063949</v>
      </c>
      <c r="P92" s="8">
        <f t="shared" si="12"/>
        <v>9.6105408960513561</v>
      </c>
      <c r="U92" s="8">
        <v>154.5</v>
      </c>
      <c r="V92" s="10">
        <f t="shared" si="13"/>
        <v>0.21789037098798508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2800.2328502415999</v>
      </c>
      <c r="E93">
        <v>803.64057971014995</v>
      </c>
      <c r="F93">
        <v>121.85618408437</v>
      </c>
      <c r="G93">
        <v>109.40364333653</v>
      </c>
      <c r="I93" s="9">
        <f t="shared" si="8"/>
        <v>694.23693637361998</v>
      </c>
      <c r="J93" s="9">
        <f t="shared" si="9"/>
        <v>2678.3766661572299</v>
      </c>
      <c r="K93" s="9">
        <f t="shared" si="10"/>
        <v>694.23693637361998</v>
      </c>
      <c r="L93" s="10">
        <f t="shared" si="7"/>
        <v>0.25920063639505508</v>
      </c>
      <c r="M93" s="10">
        <f t="shared" si="11"/>
        <v>0.26701923458685506</v>
      </c>
      <c r="P93" s="8">
        <f t="shared" si="12"/>
        <v>9.3539360125256898</v>
      </c>
      <c r="U93" s="8">
        <v>155</v>
      </c>
      <c r="V93" s="10">
        <f t="shared" si="13"/>
        <v>0.22032411792739784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2818.5140096618002</v>
      </c>
      <c r="E94">
        <v>803.35265700483001</v>
      </c>
      <c r="F94">
        <v>121.41323106423999</v>
      </c>
      <c r="G94">
        <v>109.19175455417</v>
      </c>
      <c r="I94" s="9">
        <f t="shared" si="8"/>
        <v>694.16090245066005</v>
      </c>
      <c r="J94" s="9">
        <f t="shared" si="9"/>
        <v>2697.1007785975603</v>
      </c>
      <c r="K94" s="9">
        <f t="shared" si="10"/>
        <v>694.16090245066005</v>
      </c>
      <c r="L94" s="10">
        <f t="shared" si="7"/>
        <v>0.25737299397896807</v>
      </c>
      <c r="M94" s="10">
        <f t="shared" si="11"/>
        <v>0.2652775108322164</v>
      </c>
      <c r="P94" s="8">
        <f t="shared" si="12"/>
        <v>8.6406377802431056</v>
      </c>
      <c r="U94" s="8">
        <v>155.5</v>
      </c>
      <c r="V94" s="10">
        <f t="shared" si="13"/>
        <v>0.21929596618414704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2969.6954413191002</v>
      </c>
      <c r="E95">
        <v>843.6129970902</v>
      </c>
      <c r="F95">
        <v>122.10450623202</v>
      </c>
      <c r="G95">
        <v>109.35858101629999</v>
      </c>
      <c r="I95" s="9">
        <f t="shared" si="8"/>
        <v>734.25441607389996</v>
      </c>
      <c r="J95" s="9">
        <f t="shared" si="9"/>
        <v>2847.5909350870802</v>
      </c>
      <c r="K95" s="9">
        <f t="shared" si="10"/>
        <v>734.25441607389996</v>
      </c>
      <c r="L95" s="10">
        <f t="shared" si="7"/>
        <v>0.2578510863434274</v>
      </c>
      <c r="M95" s="10">
        <f t="shared" si="11"/>
        <v>0.2658415218581241</v>
      </c>
      <c r="P95" s="8">
        <f t="shared" si="12"/>
        <v>8.8716204872862843</v>
      </c>
      <c r="U95" s="8">
        <v>156</v>
      </c>
      <c r="V95" s="10">
        <f t="shared" si="13"/>
        <v>0.21659119341669367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2954.0067895246998</v>
      </c>
      <c r="E96">
        <v>842.71871968962</v>
      </c>
      <c r="F96">
        <v>121.83221476510001</v>
      </c>
      <c r="G96">
        <v>109.40939597315</v>
      </c>
      <c r="I96" s="9">
        <f t="shared" si="8"/>
        <v>733.30932371646998</v>
      </c>
      <c r="J96" s="9">
        <f t="shared" si="9"/>
        <v>2832.1745747595996</v>
      </c>
      <c r="K96" s="9">
        <f t="shared" si="10"/>
        <v>733.30932371646998</v>
      </c>
      <c r="L96" s="10">
        <f t="shared" si="7"/>
        <v>0.25892094726495263</v>
      </c>
      <c r="M96" s="10">
        <f t="shared" si="11"/>
        <v>0.26699730144109768</v>
      </c>
      <c r="P96" s="8">
        <f t="shared" si="12"/>
        <v>9.3449536041182313</v>
      </c>
      <c r="U96" s="8">
        <v>156.5</v>
      </c>
      <c r="V96" s="10">
        <f t="shared" si="13"/>
        <v>0.21877841347519061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2965.2667313287998</v>
      </c>
      <c r="E97">
        <v>844.18137730359001</v>
      </c>
      <c r="F97">
        <v>122.09012464046</v>
      </c>
      <c r="G97">
        <v>109.35953978907</v>
      </c>
      <c r="I97" s="9">
        <f t="shared" si="8"/>
        <v>734.82183751451998</v>
      </c>
      <c r="J97" s="9">
        <f t="shared" si="9"/>
        <v>2843.1766066883397</v>
      </c>
      <c r="K97" s="9">
        <f t="shared" si="10"/>
        <v>734.82183751451998</v>
      </c>
      <c r="L97" s="10">
        <f t="shared" si="7"/>
        <v>0.25845100011934252</v>
      </c>
      <c r="M97" s="10">
        <f t="shared" si="11"/>
        <v>0.26661327295693593</v>
      </c>
      <c r="P97" s="8">
        <f t="shared" si="12"/>
        <v>9.1876801914032722</v>
      </c>
      <c r="U97" s="8">
        <v>157</v>
      </c>
      <c r="V97" s="10">
        <f t="shared" si="13"/>
        <v>0.21578036981608958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2958.4056147144001</v>
      </c>
      <c r="E98">
        <v>848.36302032914</v>
      </c>
      <c r="F98">
        <v>122.00479386385</v>
      </c>
      <c r="G98">
        <v>109.39980824545</v>
      </c>
      <c r="I98" s="9">
        <f t="shared" si="8"/>
        <v>738.96321208369</v>
      </c>
      <c r="J98" s="9">
        <f t="shared" si="9"/>
        <v>2836.4008208505502</v>
      </c>
      <c r="K98" s="9">
        <f t="shared" si="10"/>
        <v>738.96321208369</v>
      </c>
      <c r="L98" s="10">
        <f t="shared" si="7"/>
        <v>0.26052848618979652</v>
      </c>
      <c r="M98" s="10">
        <f t="shared" si="11"/>
        <v>0.26877667768883828</v>
      </c>
      <c r="P98" s="8">
        <f t="shared" si="12"/>
        <v>10.073671880307961</v>
      </c>
      <c r="U98" s="8">
        <v>157.5</v>
      </c>
      <c r="V98" s="10">
        <f t="shared" si="13"/>
        <v>0.21733988116127667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3010.0851887705999</v>
      </c>
      <c r="E99">
        <v>870.17618586641004</v>
      </c>
      <c r="F99">
        <v>122.00191754554</v>
      </c>
      <c r="G99">
        <v>109.58197507190999</v>
      </c>
      <c r="I99" s="9">
        <f t="shared" si="8"/>
        <v>760.59421079449999</v>
      </c>
      <c r="J99" s="9">
        <f t="shared" si="9"/>
        <v>2888.0832712250599</v>
      </c>
      <c r="K99" s="9">
        <f t="shared" si="10"/>
        <v>760.59421079449999</v>
      </c>
      <c r="L99" s="10">
        <f t="shared" si="7"/>
        <v>0.26335605291320879</v>
      </c>
      <c r="M99" s="10">
        <f t="shared" si="11"/>
        <v>0.27169016307369892</v>
      </c>
      <c r="P99" s="8">
        <f t="shared" si="12"/>
        <v>11.266848449937612</v>
      </c>
      <c r="U99" s="8">
        <v>158</v>
      </c>
      <c r="V99" s="10">
        <f t="shared" si="13"/>
        <v>0.2188824761769734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2996.5864734299998</v>
      </c>
      <c r="E100">
        <v>873.57294685989996</v>
      </c>
      <c r="F100">
        <v>122.46692233941</v>
      </c>
      <c r="G100">
        <v>109.32694151486</v>
      </c>
      <c r="I100" s="9">
        <f t="shared" si="8"/>
        <v>764.24600534503998</v>
      </c>
      <c r="J100" s="9">
        <f t="shared" si="9"/>
        <v>2874.11955109059</v>
      </c>
      <c r="K100" s="9">
        <f t="shared" si="10"/>
        <v>764.24600534503998</v>
      </c>
      <c r="L100" s="10">
        <f t="shared" si="7"/>
        <v>0.26590612942841763</v>
      </c>
      <c r="M100" s="10">
        <f t="shared" si="11"/>
        <v>0.27432615825035606</v>
      </c>
      <c r="P100" s="8">
        <f t="shared" si="12"/>
        <v>12.346382844991567</v>
      </c>
      <c r="U100" s="8">
        <v>158.5</v>
      </c>
      <c r="V100" s="10">
        <f t="shared" si="13"/>
        <v>0.21767462738263532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3057.8869565217001</v>
      </c>
      <c r="E101">
        <v>894.40483091786996</v>
      </c>
      <c r="F101">
        <v>121.67305848514</v>
      </c>
      <c r="G101">
        <v>109.24256951103</v>
      </c>
      <c r="I101" s="9">
        <f t="shared" si="8"/>
        <v>785.16226140684</v>
      </c>
      <c r="J101" s="9">
        <f t="shared" si="9"/>
        <v>2936.2138980365603</v>
      </c>
      <c r="K101" s="9">
        <f t="shared" si="10"/>
        <v>785.16226140684</v>
      </c>
      <c r="L101" s="10">
        <f t="shared" si="7"/>
        <v>0.26740635685018599</v>
      </c>
      <c r="M101" s="10">
        <f t="shared" si="11"/>
        <v>0.27591230433357278</v>
      </c>
      <c r="P101" s="8">
        <f t="shared" si="12"/>
        <v>12.99596645105265</v>
      </c>
      <c r="U101" s="8">
        <v>159</v>
      </c>
      <c r="V101" s="10">
        <f t="shared" si="13"/>
        <v>0.21852431400932054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3053.4328502416001</v>
      </c>
      <c r="E102">
        <v>901.02898550725001</v>
      </c>
      <c r="F102">
        <v>122.20421860019</v>
      </c>
      <c r="G102">
        <v>109.30968360499</v>
      </c>
      <c r="I102" s="9">
        <f t="shared" si="8"/>
        <v>791.71930190225999</v>
      </c>
      <c r="J102" s="9">
        <f t="shared" si="9"/>
        <v>2931.2286316414102</v>
      </c>
      <c r="K102" s="9">
        <f t="shared" si="10"/>
        <v>791.71930190225999</v>
      </c>
      <c r="L102" s="10">
        <f t="shared" si="7"/>
        <v>0.2700981060828811</v>
      </c>
      <c r="M102" s="10">
        <f t="shared" si="11"/>
        <v>0.27868997222771624</v>
      </c>
      <c r="P102" s="8">
        <f t="shared" si="12"/>
        <v>14.133520895885759</v>
      </c>
      <c r="U102" s="8">
        <v>159.5</v>
      </c>
      <c r="V102" s="10">
        <f t="shared" si="13"/>
        <v>0.21839913879242542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3047.9662487945998</v>
      </c>
      <c r="E103">
        <v>912.49855351976998</v>
      </c>
      <c r="F103">
        <v>121.95397890700001</v>
      </c>
      <c r="G103">
        <v>109.2070949185</v>
      </c>
      <c r="I103" s="9">
        <f t="shared" si="8"/>
        <v>803.29145860126994</v>
      </c>
      <c r="J103" s="9">
        <f t="shared" si="9"/>
        <v>2926.0122698875998</v>
      </c>
      <c r="K103" s="9">
        <f t="shared" si="10"/>
        <v>803.29145860126994</v>
      </c>
      <c r="L103" s="10">
        <f t="shared" si="7"/>
        <v>0.27453454890403711</v>
      </c>
      <c r="M103" s="10">
        <f t="shared" si="11"/>
        <v>0.28321233371032062</v>
      </c>
      <c r="P103" s="8">
        <f t="shared" si="12"/>
        <v>15.9855898262735</v>
      </c>
      <c r="U103" s="8">
        <v>160</v>
      </c>
      <c r="V103" s="10">
        <f t="shared" si="13"/>
        <v>0.21837490538490073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3028.8582449372998</v>
      </c>
      <c r="E104">
        <v>914.84667309547001</v>
      </c>
      <c r="F104">
        <v>121.87344199425</v>
      </c>
      <c r="G104">
        <v>109.45445829338</v>
      </c>
      <c r="I104" s="9">
        <f t="shared" si="8"/>
        <v>805.39221480209005</v>
      </c>
      <c r="J104" s="9">
        <f t="shared" si="9"/>
        <v>2906.98480294305</v>
      </c>
      <c r="K104" s="9">
        <f t="shared" si="10"/>
        <v>805.39221480209005</v>
      </c>
      <c r="L104" s="10">
        <f t="shared" si="7"/>
        <v>0.27705415383895571</v>
      </c>
      <c r="M104" s="10">
        <f t="shared" si="11"/>
        <v>0.28581785730668757</v>
      </c>
      <c r="P104" s="8">
        <f t="shared" si="12"/>
        <v>17.052645018297721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3004.1620057859</v>
      </c>
      <c r="E105">
        <v>914.88428158148997</v>
      </c>
      <c r="F105">
        <v>121.55512943431999</v>
      </c>
      <c r="G105">
        <v>109.33940556088</v>
      </c>
      <c r="I105" s="9">
        <f t="shared" si="8"/>
        <v>805.54487602060999</v>
      </c>
      <c r="J105" s="9">
        <f t="shared" si="9"/>
        <v>2882.60687635158</v>
      </c>
      <c r="K105" s="9">
        <f t="shared" si="10"/>
        <v>805.54487602060999</v>
      </c>
      <c r="L105" s="10">
        <f t="shared" si="7"/>
        <v>0.27945013335989866</v>
      </c>
      <c r="M105" s="10">
        <f t="shared" si="11"/>
        <v>0.28829975548907888</v>
      </c>
      <c r="P105" s="8">
        <f t="shared" si="12"/>
        <v>18.069071177434736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2988.5843780135001</v>
      </c>
      <c r="E106">
        <v>921.27868852459005</v>
      </c>
      <c r="F106">
        <v>121.58772770853</v>
      </c>
      <c r="G106">
        <v>109.24161073825999</v>
      </c>
      <c r="I106" s="9">
        <f t="shared" si="8"/>
        <v>812.03707778633009</v>
      </c>
      <c r="J106" s="9">
        <f t="shared" si="9"/>
        <v>2866.99665030497</v>
      </c>
      <c r="K106" s="9">
        <f t="shared" si="10"/>
        <v>812.03707778633009</v>
      </c>
      <c r="L106" s="10">
        <f t="shared" si="7"/>
        <v>0.28323614459052526</v>
      </c>
      <c r="M106" s="10">
        <f t="shared" si="11"/>
        <v>0.29217168538115385</v>
      </c>
      <c r="P106" s="8">
        <f t="shared" si="12"/>
        <v>19.654765085658514</v>
      </c>
      <c r="X106" s="8">
        <v>-13</v>
      </c>
    </row>
    <row r="107" spans="1:25" x14ac:dyDescent="0.2">
      <c r="A107" s="8">
        <v>52.5</v>
      </c>
      <c r="B107" s="8">
        <v>105</v>
      </c>
      <c r="D107">
        <v>3002.2102217935999</v>
      </c>
      <c r="E107">
        <v>934.95467695274999</v>
      </c>
      <c r="F107">
        <v>122.08533077660999</v>
      </c>
      <c r="G107">
        <v>109.37392138062999</v>
      </c>
      <c r="I107" s="9">
        <f t="shared" si="8"/>
        <v>825.58075557211998</v>
      </c>
      <c r="J107" s="9">
        <f t="shared" si="9"/>
        <v>2880.1248910169897</v>
      </c>
      <c r="K107" s="9">
        <f t="shared" si="10"/>
        <v>825.58075557211998</v>
      </c>
      <c r="L107" s="10">
        <f t="shared" si="7"/>
        <v>0.28664755412068343</v>
      </c>
      <c r="M107" s="10">
        <f t="shared" si="11"/>
        <v>0.29566901357276038</v>
      </c>
      <c r="P107" s="8">
        <f t="shared" si="12"/>
        <v>21.087046186574266</v>
      </c>
      <c r="X107" s="8">
        <v>-13</v>
      </c>
    </row>
    <row r="108" spans="1:25" x14ac:dyDescent="0.2">
      <c r="A108" s="8">
        <v>53</v>
      </c>
      <c r="B108" s="8">
        <v>106</v>
      </c>
      <c r="D108">
        <v>2965.6084860174001</v>
      </c>
      <c r="E108">
        <v>931.62391513983005</v>
      </c>
      <c r="F108">
        <v>121.9376797699</v>
      </c>
      <c r="G108">
        <v>109.11601150527</v>
      </c>
      <c r="I108" s="9">
        <f t="shared" si="8"/>
        <v>822.50790363456008</v>
      </c>
      <c r="J108" s="9">
        <f t="shared" si="9"/>
        <v>2843.6708062475</v>
      </c>
      <c r="K108" s="9">
        <f t="shared" si="10"/>
        <v>822.50790363456008</v>
      </c>
      <c r="L108" s="10">
        <f t="shared" si="7"/>
        <v>0.28924160343297234</v>
      </c>
      <c r="M108" s="10">
        <f t="shared" si="11"/>
        <v>0.29834898154649758</v>
      </c>
      <c r="P108" s="8">
        <f t="shared" si="12"/>
        <v>22.184589016285098</v>
      </c>
      <c r="X108" s="8">
        <v>-13</v>
      </c>
    </row>
    <row r="109" spans="1:25" x14ac:dyDescent="0.2">
      <c r="A109" s="8">
        <v>53.5</v>
      </c>
      <c r="B109" s="8">
        <v>107</v>
      </c>
      <c r="D109">
        <v>2938.3992285438999</v>
      </c>
      <c r="E109">
        <v>926.93539054966004</v>
      </c>
      <c r="F109">
        <v>121.82742090124999</v>
      </c>
      <c r="G109">
        <v>109.55321188878</v>
      </c>
      <c r="I109" s="9">
        <f t="shared" si="8"/>
        <v>817.38217866088007</v>
      </c>
      <c r="J109" s="9">
        <f t="shared" si="9"/>
        <v>2816.5718076426497</v>
      </c>
      <c r="K109" s="9">
        <f t="shared" si="10"/>
        <v>817.38217866088007</v>
      </c>
      <c r="L109" s="10">
        <f t="shared" si="7"/>
        <v>0.29020462977118061</v>
      </c>
      <c r="M109" s="10">
        <f t="shared" si="11"/>
        <v>0.29939792654615421</v>
      </c>
      <c r="P109" s="8">
        <f t="shared" si="12"/>
        <v>22.614169546506407</v>
      </c>
      <c r="X109" s="8">
        <v>-13</v>
      </c>
    </row>
    <row r="110" spans="1:25" x14ac:dyDescent="0.2">
      <c r="A110" s="8">
        <v>54</v>
      </c>
      <c r="B110" s="8">
        <v>108</v>
      </c>
      <c r="D110">
        <v>2916.3683702989001</v>
      </c>
      <c r="E110">
        <v>925.32594021215004</v>
      </c>
      <c r="F110">
        <v>122.24928092042001</v>
      </c>
      <c r="G110">
        <v>109.58293384468</v>
      </c>
      <c r="I110" s="9">
        <f t="shared" si="8"/>
        <v>815.74300636747</v>
      </c>
      <c r="J110" s="9">
        <f t="shared" si="9"/>
        <v>2794.1190893784801</v>
      </c>
      <c r="K110" s="9">
        <f t="shared" si="10"/>
        <v>815.74300636747</v>
      </c>
      <c r="L110" s="10">
        <f t="shared" si="7"/>
        <v>0.29194997789049953</v>
      </c>
      <c r="M110" s="10">
        <f t="shared" si="11"/>
        <v>0.3012291933269215</v>
      </c>
      <c r="P110" s="8">
        <f t="shared" si="12"/>
        <v>23.364138853682856</v>
      </c>
      <c r="X110" s="8">
        <v>-13</v>
      </c>
    </row>
    <row r="111" spans="1:25" x14ac:dyDescent="0.2">
      <c r="A111" s="8">
        <v>54.5</v>
      </c>
      <c r="B111" s="8">
        <v>109</v>
      </c>
      <c r="D111">
        <v>2972.8514946962</v>
      </c>
      <c r="E111">
        <v>944.44648023143998</v>
      </c>
      <c r="F111">
        <v>121.83221476510001</v>
      </c>
      <c r="G111">
        <v>109.49089165868</v>
      </c>
      <c r="I111" s="9">
        <f t="shared" si="8"/>
        <v>834.95558857276001</v>
      </c>
      <c r="J111" s="9">
        <f t="shared" si="9"/>
        <v>2851.0192799310998</v>
      </c>
      <c r="K111" s="9">
        <f t="shared" si="10"/>
        <v>834.95558857276001</v>
      </c>
      <c r="L111" s="10">
        <f t="shared" si="7"/>
        <v>0.2928621333605777</v>
      </c>
      <c r="M111" s="10">
        <f t="shared" si="11"/>
        <v>0.30222726745844802</v>
      </c>
      <c r="P111" s="8">
        <f t="shared" si="12"/>
        <v>23.772885942197213</v>
      </c>
      <c r="X111" s="8">
        <v>-13</v>
      </c>
    </row>
    <row r="112" spans="1:25" x14ac:dyDescent="0.2">
      <c r="A112" s="8">
        <v>55</v>
      </c>
      <c r="B112" s="8">
        <v>110</v>
      </c>
      <c r="D112">
        <v>3016.6711668274002</v>
      </c>
      <c r="E112">
        <v>961.73577627771999</v>
      </c>
      <c r="F112">
        <v>122.09779482262999</v>
      </c>
      <c r="G112">
        <v>109.37679769895</v>
      </c>
      <c r="I112" s="9">
        <f t="shared" si="8"/>
        <v>852.35897857877001</v>
      </c>
      <c r="J112" s="9">
        <f t="shared" si="9"/>
        <v>2894.5733720047701</v>
      </c>
      <c r="K112" s="9">
        <f t="shared" si="10"/>
        <v>852.35897857877001</v>
      </c>
      <c r="L112" s="10">
        <f t="shared" si="7"/>
        <v>0.29446791255059102</v>
      </c>
      <c r="M112" s="10">
        <f t="shared" si="11"/>
        <v>0.30391896530990969</v>
      </c>
      <c r="P112" s="8">
        <f t="shared" si="12"/>
        <v>24.465696776171395</v>
      </c>
      <c r="X112" s="8">
        <v>-13</v>
      </c>
    </row>
    <row r="113" spans="1:24" x14ac:dyDescent="0.2">
      <c r="A113" s="8">
        <v>55.5</v>
      </c>
      <c r="B113" s="8">
        <v>111</v>
      </c>
      <c r="D113">
        <v>2964.4985535198002</v>
      </c>
      <c r="E113">
        <v>953.88813886210005</v>
      </c>
      <c r="F113">
        <v>122.32598274209001</v>
      </c>
      <c r="G113">
        <v>109.5263662512</v>
      </c>
      <c r="I113" s="9">
        <f t="shared" si="8"/>
        <v>844.36177261090006</v>
      </c>
      <c r="J113" s="9">
        <f t="shared" si="9"/>
        <v>2842.17257077771</v>
      </c>
      <c r="K113" s="9">
        <f t="shared" si="10"/>
        <v>844.36177261090006</v>
      </c>
      <c r="L113" s="10">
        <f t="shared" si="7"/>
        <v>0.29708321770899909</v>
      </c>
      <c r="M113" s="10">
        <f t="shared" si="11"/>
        <v>0.30662018912976613</v>
      </c>
      <c r="P113" s="8">
        <f t="shared" si="12"/>
        <v>25.571944635840126</v>
      </c>
      <c r="X113" s="8">
        <v>-13</v>
      </c>
    </row>
    <row r="114" spans="1:24" x14ac:dyDescent="0.2">
      <c r="A114" s="8">
        <v>56</v>
      </c>
      <c r="B114" s="8">
        <v>112</v>
      </c>
      <c r="D114">
        <v>3031.3095467694998</v>
      </c>
      <c r="E114">
        <v>972.19286403086005</v>
      </c>
      <c r="F114">
        <v>121.68072866731001</v>
      </c>
      <c r="G114">
        <v>109.35282837967</v>
      </c>
      <c r="I114" s="9">
        <f t="shared" si="8"/>
        <v>862.84003565119008</v>
      </c>
      <c r="J114" s="9">
        <f t="shared" si="9"/>
        <v>2909.6288181021896</v>
      </c>
      <c r="K114" s="9">
        <f t="shared" si="10"/>
        <v>862.84003565119008</v>
      </c>
      <c r="L114" s="10">
        <f t="shared" si="7"/>
        <v>0.2965464289750811</v>
      </c>
      <c r="M114" s="10">
        <f t="shared" si="11"/>
        <v>0.3061693190572965</v>
      </c>
      <c r="P114" s="8">
        <f t="shared" si="12"/>
        <v>25.387297199744019</v>
      </c>
      <c r="X114" s="8">
        <v>-13</v>
      </c>
    </row>
    <row r="115" spans="1:24" x14ac:dyDescent="0.2">
      <c r="A115" s="8">
        <v>56.5</v>
      </c>
      <c r="B115" s="8">
        <v>113</v>
      </c>
      <c r="D115">
        <v>2996.5795564127002</v>
      </c>
      <c r="E115">
        <v>968.62584378014003</v>
      </c>
      <c r="F115">
        <v>122.06519654842</v>
      </c>
      <c r="G115">
        <v>109.21093000959</v>
      </c>
      <c r="I115" s="9">
        <f t="shared" si="8"/>
        <v>859.41491377055002</v>
      </c>
      <c r="J115" s="9">
        <f t="shared" si="9"/>
        <v>2874.5143598642803</v>
      </c>
      <c r="K115" s="9">
        <f t="shared" si="10"/>
        <v>859.41491377055002</v>
      </c>
      <c r="L115" s="10">
        <f t="shared" si="7"/>
        <v>0.29897742929039572</v>
      </c>
      <c r="M115" s="10">
        <f t="shared" si="11"/>
        <v>0.30868623803405948</v>
      </c>
      <c r="P115" s="8">
        <f t="shared" si="12"/>
        <v>26.41806562794174</v>
      </c>
      <c r="X115" s="8">
        <v>-13</v>
      </c>
    </row>
    <row r="116" spans="1:24" x14ac:dyDescent="0.2">
      <c r="A116" s="8">
        <v>57</v>
      </c>
      <c r="B116" s="8">
        <v>114</v>
      </c>
      <c r="D116">
        <v>3004.4754098361</v>
      </c>
      <c r="E116">
        <v>971.61523625843995</v>
      </c>
      <c r="F116">
        <v>122.07861936721</v>
      </c>
      <c r="G116">
        <v>109.37296260786</v>
      </c>
      <c r="I116" s="9">
        <f t="shared" si="8"/>
        <v>862.24227365057993</v>
      </c>
      <c r="J116" s="9">
        <f t="shared" si="9"/>
        <v>2882.3967904688898</v>
      </c>
      <c r="K116" s="9">
        <f t="shared" si="10"/>
        <v>862.24227365057993</v>
      </c>
      <c r="L116" s="10">
        <f t="shared" si="7"/>
        <v>0.29914072777964618</v>
      </c>
      <c r="M116" s="10">
        <f t="shared" si="11"/>
        <v>0.30893545518475823</v>
      </c>
      <c r="P116" s="8">
        <f t="shared" si="12"/>
        <v>26.52012897327678</v>
      </c>
      <c r="X116" s="8">
        <v>-13</v>
      </c>
    </row>
    <row r="117" spans="1:24" x14ac:dyDescent="0.2">
      <c r="A117" s="8">
        <v>57.5</v>
      </c>
      <c r="B117" s="8">
        <v>115</v>
      </c>
      <c r="D117">
        <v>2878.9807135968999</v>
      </c>
      <c r="E117">
        <v>933.05785920925996</v>
      </c>
      <c r="F117">
        <v>122.28763183126</v>
      </c>
      <c r="G117">
        <v>109.61553211889</v>
      </c>
      <c r="I117" s="9">
        <f t="shared" si="8"/>
        <v>823.44232709036999</v>
      </c>
      <c r="J117" s="9">
        <f t="shared" si="9"/>
        <v>2756.6930817656398</v>
      </c>
      <c r="K117" s="9">
        <f t="shared" si="10"/>
        <v>823.44232709036999</v>
      </c>
      <c r="L117" s="10">
        <f t="shared" si="7"/>
        <v>0.29870656713186283</v>
      </c>
      <c r="M117" s="10">
        <f t="shared" si="11"/>
        <v>0.30858721319842325</v>
      </c>
      <c r="P117" s="8">
        <f t="shared" si="12"/>
        <v>26.377511412600025</v>
      </c>
      <c r="X117" s="8">
        <v>-13</v>
      </c>
    </row>
    <row r="118" spans="1:24" x14ac:dyDescent="0.2">
      <c r="A118" s="8">
        <v>58</v>
      </c>
      <c r="B118" s="8">
        <v>116</v>
      </c>
      <c r="D118">
        <v>2878.8322082932</v>
      </c>
      <c r="E118">
        <v>929.51494696239001</v>
      </c>
      <c r="F118">
        <v>122.08916586769</v>
      </c>
      <c r="G118">
        <v>109.64046021093</v>
      </c>
      <c r="I118" s="9">
        <f t="shared" si="8"/>
        <v>819.87448675146004</v>
      </c>
      <c r="J118" s="9">
        <f t="shared" si="9"/>
        <v>2756.7430424255099</v>
      </c>
      <c r="K118" s="9">
        <f t="shared" si="10"/>
        <v>819.87448675146004</v>
      </c>
      <c r="L118" s="10">
        <f t="shared" si="7"/>
        <v>0.29740693061842161</v>
      </c>
      <c r="M118" s="10">
        <f t="shared" si="11"/>
        <v>0.30737349534643038</v>
      </c>
      <c r="P118" s="8">
        <f t="shared" si="12"/>
        <v>25.880450500379805</v>
      </c>
      <c r="X118" s="8">
        <v>-13</v>
      </c>
    </row>
    <row r="119" spans="1:24" x14ac:dyDescent="0.2">
      <c r="A119" s="8">
        <v>58.5</v>
      </c>
      <c r="B119" s="8">
        <v>117</v>
      </c>
      <c r="D119">
        <v>2851.9238187077999</v>
      </c>
      <c r="E119">
        <v>920.27483124396997</v>
      </c>
      <c r="F119">
        <v>121.85522531159999</v>
      </c>
      <c r="G119">
        <v>109.47555129433999</v>
      </c>
      <c r="I119" s="9">
        <f t="shared" si="8"/>
        <v>810.79927994962998</v>
      </c>
      <c r="J119" s="9">
        <f t="shared" si="9"/>
        <v>2730.0685933962</v>
      </c>
      <c r="K119" s="9">
        <f t="shared" si="10"/>
        <v>810.79927994962998</v>
      </c>
      <c r="L119" s="10">
        <f t="shared" si="7"/>
        <v>0.29698861116928832</v>
      </c>
      <c r="M119" s="10">
        <f t="shared" si="11"/>
        <v>0.30704109455874545</v>
      </c>
      <c r="P119" s="8">
        <f t="shared" si="12"/>
        <v>25.744320477674687</v>
      </c>
      <c r="X119" s="8">
        <v>-13</v>
      </c>
    </row>
    <row r="120" spans="1:24" x14ac:dyDescent="0.2">
      <c r="A120" s="8">
        <v>59</v>
      </c>
      <c r="B120" s="8">
        <v>118</v>
      </c>
      <c r="D120">
        <v>2831.0675024108</v>
      </c>
      <c r="E120">
        <v>908.01735776277997</v>
      </c>
      <c r="F120">
        <v>121.85618408437</v>
      </c>
      <c r="G120">
        <v>109.59731543624</v>
      </c>
      <c r="I120" s="9">
        <f t="shared" si="8"/>
        <v>798.42004232653994</v>
      </c>
      <c r="J120" s="9">
        <f t="shared" si="9"/>
        <v>2709.21131832643</v>
      </c>
      <c r="K120" s="9">
        <f t="shared" si="10"/>
        <v>798.42004232653994</v>
      </c>
      <c r="L120" s="10">
        <f t="shared" si="7"/>
        <v>0.29470570897354387</v>
      </c>
      <c r="M120" s="10">
        <f t="shared" si="11"/>
        <v>0.30484411102444936</v>
      </c>
      <c r="P120" s="8">
        <f t="shared" si="12"/>
        <v>24.844577067048437</v>
      </c>
      <c r="X120" s="8">
        <v>-13</v>
      </c>
    </row>
    <row r="121" spans="1:24" x14ac:dyDescent="0.2">
      <c r="A121" s="8">
        <v>59.5</v>
      </c>
      <c r="B121" s="8">
        <v>119</v>
      </c>
      <c r="D121">
        <v>2898.5284474445998</v>
      </c>
      <c r="E121">
        <v>928.56702025072002</v>
      </c>
      <c r="F121">
        <v>121.79769894535001</v>
      </c>
      <c r="G121">
        <v>109.60977948226</v>
      </c>
      <c r="I121" s="9">
        <f t="shared" si="8"/>
        <v>818.95724076846</v>
      </c>
      <c r="J121" s="9">
        <f t="shared" si="9"/>
        <v>2776.7307484992498</v>
      </c>
      <c r="K121" s="9">
        <f t="shared" si="10"/>
        <v>818.95724076846</v>
      </c>
      <c r="L121" s="10">
        <f t="shared" si="7"/>
        <v>0.29493577697840706</v>
      </c>
      <c r="M121" s="10">
        <f t="shared" si="11"/>
        <v>0.30516009769076091</v>
      </c>
      <c r="P121" s="8">
        <f t="shared" si="12"/>
        <v>24.973984919415738</v>
      </c>
      <c r="X121" s="8">
        <v>-13</v>
      </c>
    </row>
    <row r="122" spans="1:24" x14ac:dyDescent="0.2">
      <c r="A122" s="8">
        <v>60</v>
      </c>
      <c r="B122" s="8">
        <v>120</v>
      </c>
      <c r="D122">
        <v>2891.0578592093002</v>
      </c>
      <c r="E122">
        <v>921.72999035680004</v>
      </c>
      <c r="F122">
        <v>121.72866730585</v>
      </c>
      <c r="G122">
        <v>109.66538830297</v>
      </c>
      <c r="I122" s="9">
        <f t="shared" si="8"/>
        <v>812.06460205383007</v>
      </c>
      <c r="J122" s="9">
        <f t="shared" si="9"/>
        <v>2769.32919190345</v>
      </c>
      <c r="K122" s="9">
        <f t="shared" si="10"/>
        <v>812.06460205383007</v>
      </c>
      <c r="L122" s="10">
        <f t="shared" si="7"/>
        <v>0.29323512871926638</v>
      </c>
      <c r="M122" s="10">
        <f t="shared" si="11"/>
        <v>0.30354536809306859</v>
      </c>
      <c r="P122" s="8">
        <f t="shared" si="12"/>
        <v>24.312695340869883</v>
      </c>
      <c r="X122" s="8">
        <v>-13</v>
      </c>
    </row>
    <row r="123" spans="1:24" x14ac:dyDescent="0.2">
      <c r="A123" s="8">
        <v>60.5</v>
      </c>
      <c r="B123" s="8">
        <v>121</v>
      </c>
      <c r="D123">
        <v>2947.6914175505999</v>
      </c>
      <c r="E123">
        <v>934.35679845709001</v>
      </c>
      <c r="F123">
        <v>122.30680728666999</v>
      </c>
      <c r="G123">
        <v>109.57718120805001</v>
      </c>
      <c r="I123" s="9">
        <f t="shared" si="8"/>
        <v>824.77961724904003</v>
      </c>
      <c r="J123" s="9">
        <f t="shared" si="9"/>
        <v>2825.38461026393</v>
      </c>
      <c r="K123" s="9">
        <f t="shared" si="10"/>
        <v>824.77961724904003</v>
      </c>
      <c r="L123" s="10">
        <f t="shared" si="7"/>
        <v>0.29191764344323878</v>
      </c>
      <c r="M123" s="10">
        <f t="shared" si="11"/>
        <v>0.30231380147848935</v>
      </c>
      <c r="P123" s="8">
        <f t="shared" si="12"/>
        <v>23.808324721374106</v>
      </c>
      <c r="X123" s="8">
        <v>-13</v>
      </c>
    </row>
    <row r="124" spans="1:24" x14ac:dyDescent="0.2">
      <c r="A124" s="8">
        <v>61</v>
      </c>
      <c r="B124" s="8">
        <v>122</v>
      </c>
      <c r="D124">
        <v>2897.7348119576</v>
      </c>
      <c r="E124">
        <v>918.5168756027</v>
      </c>
      <c r="F124">
        <v>122.33461169703</v>
      </c>
      <c r="G124">
        <v>109.29146692234001</v>
      </c>
      <c r="I124" s="9">
        <f t="shared" si="8"/>
        <v>809.22540868036003</v>
      </c>
      <c r="J124" s="9">
        <f t="shared" si="9"/>
        <v>2775.4002002605698</v>
      </c>
      <c r="K124" s="9">
        <f t="shared" si="10"/>
        <v>809.22540868036003</v>
      </c>
      <c r="L124" s="10">
        <f t="shared" si="7"/>
        <v>0.29157071063278928</v>
      </c>
      <c r="M124" s="10">
        <f t="shared" si="11"/>
        <v>0.30205278732948815</v>
      </c>
      <c r="P124" s="8">
        <f t="shared" si="12"/>
        <v>23.701430082894579</v>
      </c>
      <c r="X124" s="8">
        <v>-13</v>
      </c>
    </row>
    <row r="125" spans="1:24" x14ac:dyDescent="0.2">
      <c r="A125" s="8">
        <v>61.5</v>
      </c>
      <c r="B125" s="8">
        <v>123</v>
      </c>
      <c r="D125">
        <v>2889.5708775313001</v>
      </c>
      <c r="E125">
        <v>914.95178399228996</v>
      </c>
      <c r="F125">
        <v>122.16490891658999</v>
      </c>
      <c r="G125">
        <v>109.7794822627</v>
      </c>
      <c r="I125" s="9">
        <f t="shared" si="8"/>
        <v>805.17230172959</v>
      </c>
      <c r="J125" s="9">
        <f t="shared" si="9"/>
        <v>2767.4059686147102</v>
      </c>
      <c r="K125" s="9">
        <f t="shared" si="10"/>
        <v>805.17230172959</v>
      </c>
      <c r="L125" s="10">
        <f t="shared" si="7"/>
        <v>0.29094838663394146</v>
      </c>
      <c r="M125" s="10">
        <f t="shared" si="11"/>
        <v>0.30151638199208869</v>
      </c>
      <c r="P125" s="8">
        <f t="shared" si="12"/>
        <v>23.481752893595779</v>
      </c>
      <c r="X125" s="8">
        <v>-13</v>
      </c>
    </row>
    <row r="126" spans="1:24" x14ac:dyDescent="0.2">
      <c r="A126" s="8">
        <v>62</v>
      </c>
      <c r="B126" s="8">
        <v>124</v>
      </c>
      <c r="D126">
        <v>2913.3789778206001</v>
      </c>
      <c r="E126">
        <v>915.17357762776999</v>
      </c>
      <c r="F126">
        <v>122.21860019176</v>
      </c>
      <c r="G126">
        <v>109.76893576222</v>
      </c>
      <c r="I126" s="9">
        <f t="shared" si="8"/>
        <v>805.40464186555005</v>
      </c>
      <c r="J126" s="9">
        <f t="shared" si="9"/>
        <v>2791.1603776288403</v>
      </c>
      <c r="K126" s="9">
        <f t="shared" si="10"/>
        <v>805.40464186555005</v>
      </c>
      <c r="L126" s="10">
        <f t="shared" si="7"/>
        <v>0.28855548692969096</v>
      </c>
      <c r="M126" s="10">
        <f t="shared" si="11"/>
        <v>0.29920940094928655</v>
      </c>
      <c r="P126" s="8">
        <f t="shared" si="12"/>
        <v>22.536961565259336</v>
      </c>
      <c r="X126" s="8">
        <v>-13</v>
      </c>
    </row>
    <row r="127" spans="1:24" x14ac:dyDescent="0.2">
      <c r="A127" s="8">
        <v>62.5</v>
      </c>
      <c r="B127" s="8">
        <v>125</v>
      </c>
      <c r="D127">
        <v>2901.2362584378002</v>
      </c>
      <c r="E127">
        <v>906.67695274830999</v>
      </c>
      <c r="F127">
        <v>122.38542665388</v>
      </c>
      <c r="G127">
        <v>109.54937679770001</v>
      </c>
      <c r="I127" s="9">
        <f t="shared" si="8"/>
        <v>797.12757595060998</v>
      </c>
      <c r="J127" s="9">
        <f t="shared" si="9"/>
        <v>2778.8508317839201</v>
      </c>
      <c r="K127" s="9">
        <f t="shared" si="10"/>
        <v>797.12757595060998</v>
      </c>
      <c r="L127" s="10">
        <f t="shared" si="7"/>
        <v>0.28685511537115627</v>
      </c>
      <c r="M127" s="10">
        <f t="shared" si="11"/>
        <v>0.29759494805220021</v>
      </c>
      <c r="P127" s="8">
        <f t="shared" si="12"/>
        <v>21.875785305517681</v>
      </c>
      <c r="X127" s="8">
        <v>-13</v>
      </c>
    </row>
    <row r="128" spans="1:24" x14ac:dyDescent="0.2">
      <c r="A128" s="8">
        <v>63</v>
      </c>
      <c r="B128" s="8">
        <v>126</v>
      </c>
      <c r="D128">
        <v>2908.6856316296999</v>
      </c>
      <c r="E128">
        <v>901.28254580521002</v>
      </c>
      <c r="F128">
        <v>122.17257909875001</v>
      </c>
      <c r="G128">
        <v>109.42473633749</v>
      </c>
      <c r="I128" s="9">
        <f t="shared" si="8"/>
        <v>791.85780946772002</v>
      </c>
      <c r="J128" s="9">
        <f t="shared" si="9"/>
        <v>2786.5130525309501</v>
      </c>
      <c r="K128" s="9">
        <f t="shared" si="10"/>
        <v>791.85780946772002</v>
      </c>
      <c r="L128" s="10">
        <f t="shared" si="7"/>
        <v>0.28417516607305565</v>
      </c>
      <c r="M128" s="10">
        <f t="shared" si="11"/>
        <v>0.29500091741554796</v>
      </c>
      <c r="P128" s="8">
        <f t="shared" si="12"/>
        <v>20.813436891951497</v>
      </c>
      <c r="X128" s="8">
        <v>-13</v>
      </c>
    </row>
    <row r="129" spans="1:24" x14ac:dyDescent="0.2">
      <c r="A129" s="8">
        <v>63.5</v>
      </c>
      <c r="B129" s="8">
        <v>127</v>
      </c>
      <c r="D129">
        <v>2908.7685631630002</v>
      </c>
      <c r="E129">
        <v>899.15043394406996</v>
      </c>
      <c r="F129">
        <v>122.04985618408</v>
      </c>
      <c r="G129">
        <v>109.74592521572001</v>
      </c>
      <c r="I129" s="9">
        <f t="shared" si="8"/>
        <v>789.40450872834992</v>
      </c>
      <c r="J129" s="9">
        <f t="shared" si="9"/>
        <v>2786.7187069789202</v>
      </c>
      <c r="K129" s="9">
        <f t="shared" si="10"/>
        <v>789.40450872834992</v>
      </c>
      <c r="L129" s="10">
        <f t="shared" si="7"/>
        <v>0.28327383985739374</v>
      </c>
      <c r="M129" s="10">
        <f t="shared" si="11"/>
        <v>0.2941855098613344</v>
      </c>
      <c r="P129" s="8">
        <f t="shared" si="12"/>
        <v>20.479498306420144</v>
      </c>
      <c r="X129" s="8">
        <v>-13</v>
      </c>
    </row>
    <row r="130" spans="1:24" x14ac:dyDescent="0.2">
      <c r="A130" s="8">
        <v>64</v>
      </c>
      <c r="B130" s="8">
        <v>128</v>
      </c>
      <c r="D130">
        <v>2907.6972034716</v>
      </c>
      <c r="E130">
        <v>891.51880424300998</v>
      </c>
      <c r="F130">
        <v>122.3978906999</v>
      </c>
      <c r="G130">
        <v>109.52253116012</v>
      </c>
      <c r="I130" s="9">
        <f t="shared" si="8"/>
        <v>781.99627308288996</v>
      </c>
      <c r="J130" s="9">
        <f t="shared" si="9"/>
        <v>2785.2993127717</v>
      </c>
      <c r="K130" s="9">
        <f t="shared" si="10"/>
        <v>781.99627308288996</v>
      </c>
      <c r="L130" s="10">
        <f t="shared" ref="L130:L193" si="14">K130/J130</f>
        <v>0.28075843393100608</v>
      </c>
      <c r="M130" s="10">
        <f t="shared" si="11"/>
        <v>0.2917560225963951</v>
      </c>
      <c r="P130" s="8">
        <f t="shared" si="12"/>
        <v>19.484536294322094</v>
      </c>
      <c r="X130" s="8">
        <v>-13</v>
      </c>
    </row>
    <row r="131" spans="1:24" x14ac:dyDescent="0.2">
      <c r="A131" s="8">
        <v>64.5</v>
      </c>
      <c r="B131" s="8">
        <v>129</v>
      </c>
      <c r="D131">
        <v>2858.9681774349001</v>
      </c>
      <c r="E131">
        <v>878.64030858244996</v>
      </c>
      <c r="F131">
        <v>122.36241610738</v>
      </c>
      <c r="G131">
        <v>109.73250239693</v>
      </c>
      <c r="I131" s="9">
        <f t="shared" ref="I131:I194" si="15">E131-G131</f>
        <v>768.90780618551992</v>
      </c>
      <c r="J131" s="9">
        <f t="shared" ref="J131:J194" si="16">D131-F131</f>
        <v>2736.6057613275202</v>
      </c>
      <c r="K131" s="9">
        <f t="shared" ref="K131:K194" si="17">I131*1</f>
        <v>768.90780618551992</v>
      </c>
      <c r="L131" s="10">
        <f t="shared" si="14"/>
        <v>0.28097134671401292</v>
      </c>
      <c r="M131" s="10">
        <f t="shared" ref="M131:M181" si="18">L131+ABS($N$2)*A131</f>
        <v>0.2920548540408503</v>
      </c>
      <c r="P131" s="8">
        <f t="shared" ref="P131:P194" si="19">(M131-$O$2)/$O$2*100</f>
        <v>19.606918469171955</v>
      </c>
      <c r="X131" s="8">
        <v>-13</v>
      </c>
    </row>
    <row r="132" spans="1:24" x14ac:dyDescent="0.2">
      <c r="A132" s="8">
        <v>65</v>
      </c>
      <c r="B132" s="8">
        <v>130</v>
      </c>
      <c r="D132">
        <v>2852.5612343297998</v>
      </c>
      <c r="E132">
        <v>869.42333654772995</v>
      </c>
      <c r="F132">
        <v>122.27708533078</v>
      </c>
      <c r="G132">
        <v>109.46596356664</v>
      </c>
      <c r="I132" s="9">
        <f t="shared" si="15"/>
        <v>759.95737298108997</v>
      </c>
      <c r="J132" s="9">
        <f t="shared" si="16"/>
        <v>2730.2841489990196</v>
      </c>
      <c r="K132" s="9">
        <f t="shared" si="17"/>
        <v>759.95737298108997</v>
      </c>
      <c r="L132" s="10">
        <f t="shared" si="14"/>
        <v>0.2783436930034211</v>
      </c>
      <c r="M132" s="10">
        <f t="shared" si="18"/>
        <v>0.28951311899170679</v>
      </c>
      <c r="P132" s="8">
        <f t="shared" si="19"/>
        <v>18.565986970904088</v>
      </c>
      <c r="X132" s="8">
        <v>-13</v>
      </c>
    </row>
    <row r="133" spans="1:24" x14ac:dyDescent="0.2">
      <c r="A133" s="8">
        <v>65.5</v>
      </c>
      <c r="B133" s="8">
        <v>131</v>
      </c>
      <c r="D133">
        <v>2840.2786885246001</v>
      </c>
      <c r="E133">
        <v>862.11571841852003</v>
      </c>
      <c r="F133">
        <v>121.78331735379</v>
      </c>
      <c r="G133">
        <v>109.89549376798</v>
      </c>
      <c r="I133" s="9">
        <f t="shared" si="15"/>
        <v>752.22022465053999</v>
      </c>
      <c r="J133" s="9">
        <f t="shared" si="16"/>
        <v>2718.4953711708099</v>
      </c>
      <c r="K133" s="9">
        <f t="shared" si="17"/>
        <v>752.22022465053999</v>
      </c>
      <c r="L133" s="10">
        <f t="shared" si="14"/>
        <v>0.27670461852821604</v>
      </c>
      <c r="M133" s="10">
        <f t="shared" si="18"/>
        <v>0.28795996317795008</v>
      </c>
      <c r="P133" s="8">
        <f t="shared" si="19"/>
        <v>17.929914061258376</v>
      </c>
      <c r="X133" s="8">
        <v>-13</v>
      </c>
    </row>
    <row r="134" spans="1:24" x14ac:dyDescent="0.2">
      <c r="A134" s="8">
        <v>66</v>
      </c>
      <c r="B134" s="8">
        <v>132</v>
      </c>
      <c r="D134">
        <v>2831.1166827387001</v>
      </c>
      <c r="E134">
        <v>855.07135969141996</v>
      </c>
      <c r="F134">
        <v>122.26845637584</v>
      </c>
      <c r="G134">
        <v>109.9012464046</v>
      </c>
      <c r="I134" s="9">
        <f t="shared" si="15"/>
        <v>745.17011328681997</v>
      </c>
      <c r="J134" s="9">
        <f t="shared" si="16"/>
        <v>2708.8482263628603</v>
      </c>
      <c r="K134" s="9">
        <f t="shared" si="17"/>
        <v>745.17011328681997</v>
      </c>
      <c r="L134" s="10">
        <f t="shared" si="14"/>
        <v>0.27508743606774583</v>
      </c>
      <c r="M134" s="10">
        <f t="shared" si="18"/>
        <v>0.28642869937892823</v>
      </c>
      <c r="P134" s="8">
        <f t="shared" si="19"/>
        <v>17.302806715393874</v>
      </c>
      <c r="X134" s="8">
        <v>-13</v>
      </c>
    </row>
    <row r="135" spans="1:24" x14ac:dyDescent="0.2">
      <c r="A135" s="8">
        <v>66.5</v>
      </c>
      <c r="B135" s="8">
        <v>133</v>
      </c>
      <c r="D135">
        <v>2855.2487945998</v>
      </c>
      <c r="E135">
        <v>855.75699132112004</v>
      </c>
      <c r="F135">
        <v>122.19271332693999</v>
      </c>
      <c r="G135">
        <v>109.71812080537001</v>
      </c>
      <c r="I135" s="9">
        <f t="shared" si="15"/>
        <v>746.03887051574998</v>
      </c>
      <c r="J135" s="9">
        <f t="shared" si="16"/>
        <v>2733.05608127286</v>
      </c>
      <c r="K135" s="9">
        <f t="shared" si="17"/>
        <v>746.03887051574998</v>
      </c>
      <c r="L135" s="10">
        <f t="shared" si="14"/>
        <v>0.27296873841253161</v>
      </c>
      <c r="M135" s="10">
        <f t="shared" si="18"/>
        <v>0.28439592038516237</v>
      </c>
      <c r="P135" s="8">
        <f t="shared" si="19"/>
        <v>16.470310942736074</v>
      </c>
      <c r="X135" s="8">
        <v>-13</v>
      </c>
    </row>
    <row r="136" spans="1:24" x14ac:dyDescent="0.2">
      <c r="A136" s="8">
        <v>67</v>
      </c>
      <c r="B136" s="8">
        <v>134</v>
      </c>
      <c r="D136">
        <v>2860.181292189</v>
      </c>
      <c r="E136">
        <v>850.62970106074999</v>
      </c>
      <c r="F136">
        <v>122.24736337488</v>
      </c>
      <c r="G136">
        <v>109.89645254075</v>
      </c>
      <c r="I136" s="9">
        <f t="shared" si="15"/>
        <v>740.73324851999996</v>
      </c>
      <c r="J136" s="9">
        <f t="shared" si="16"/>
        <v>2737.93392881412</v>
      </c>
      <c r="K136" s="9">
        <f t="shared" si="17"/>
        <v>740.73324851999996</v>
      </c>
      <c r="L136" s="10">
        <f t="shared" si="14"/>
        <v>0.27054460325886437</v>
      </c>
      <c r="M136" s="10">
        <f t="shared" si="18"/>
        <v>0.28205770389294349</v>
      </c>
      <c r="P136" s="8">
        <f t="shared" si="19"/>
        <v>15.512727579615602</v>
      </c>
      <c r="X136" s="8">
        <v>-13</v>
      </c>
    </row>
    <row r="137" spans="1:24" x14ac:dyDescent="0.2">
      <c r="A137" s="8">
        <v>67.5</v>
      </c>
      <c r="B137" s="8">
        <v>135</v>
      </c>
      <c r="D137">
        <v>2864.6538090646</v>
      </c>
      <c r="E137">
        <v>845.28640308582999</v>
      </c>
      <c r="F137">
        <v>122.46021093001001</v>
      </c>
      <c r="G137">
        <v>109.60498561841</v>
      </c>
      <c r="I137" s="9">
        <f t="shared" si="15"/>
        <v>735.68141746742003</v>
      </c>
      <c r="J137" s="9">
        <f t="shared" si="16"/>
        <v>2742.19359813459</v>
      </c>
      <c r="K137" s="9">
        <f t="shared" si="17"/>
        <v>735.68141746742003</v>
      </c>
      <c r="L137" s="10">
        <f t="shared" si="14"/>
        <v>0.26828208554198218</v>
      </c>
      <c r="M137" s="10">
        <f t="shared" si="18"/>
        <v>0.27988110483750966</v>
      </c>
      <c r="P137" s="8">
        <f t="shared" si="19"/>
        <v>14.621332342860056</v>
      </c>
      <c r="X137" s="8">
        <v>-13</v>
      </c>
    </row>
    <row r="138" spans="1:24" x14ac:dyDescent="0.2">
      <c r="A138" s="8">
        <v>68</v>
      </c>
      <c r="B138" s="8">
        <v>136</v>
      </c>
      <c r="D138">
        <v>2903.6692381870998</v>
      </c>
      <c r="E138">
        <v>853.60655737704997</v>
      </c>
      <c r="F138">
        <v>122.32790028763</v>
      </c>
      <c r="G138">
        <v>109.58101629914</v>
      </c>
      <c r="I138" s="9">
        <f t="shared" si="15"/>
        <v>744.02554107791002</v>
      </c>
      <c r="J138" s="9">
        <f t="shared" si="16"/>
        <v>2781.3413378994696</v>
      </c>
      <c r="K138" s="9">
        <f t="shared" si="17"/>
        <v>744.02554107791002</v>
      </c>
      <c r="L138" s="10">
        <f t="shared" si="14"/>
        <v>0.26750601623021736</v>
      </c>
      <c r="M138" s="10">
        <f t="shared" si="18"/>
        <v>0.2791909541871932</v>
      </c>
      <c r="P138" s="8">
        <f t="shared" si="19"/>
        <v>14.338690943747059</v>
      </c>
      <c r="X138" s="8">
        <v>-13</v>
      </c>
    </row>
    <row r="139" spans="1:24" x14ac:dyDescent="0.2">
      <c r="A139" s="8">
        <v>68.5</v>
      </c>
      <c r="B139" s="8">
        <v>137</v>
      </c>
      <c r="D139">
        <v>2905.5458052073</v>
      </c>
      <c r="E139">
        <v>847.00675024108</v>
      </c>
      <c r="F139">
        <v>122.78044103548</v>
      </c>
      <c r="G139">
        <v>109.39501438159</v>
      </c>
      <c r="I139" s="9">
        <f t="shared" si="15"/>
        <v>737.61173585948995</v>
      </c>
      <c r="J139" s="9">
        <f t="shared" si="16"/>
        <v>2782.7653641718198</v>
      </c>
      <c r="K139" s="9">
        <f t="shared" si="17"/>
        <v>737.61173585948995</v>
      </c>
      <c r="L139" s="10">
        <f t="shared" si="14"/>
        <v>0.26506429372604001</v>
      </c>
      <c r="M139" s="10">
        <f t="shared" si="18"/>
        <v>0.27683515034446415</v>
      </c>
      <c r="P139" s="8">
        <f t="shared" si="19"/>
        <v>13.373904930954945</v>
      </c>
      <c r="X139" s="8">
        <v>-13</v>
      </c>
    </row>
    <row r="140" spans="1:24" x14ac:dyDescent="0.2">
      <c r="A140" s="8">
        <v>69</v>
      </c>
      <c r="B140" s="8">
        <v>138</v>
      </c>
      <c r="D140">
        <v>2905.8948891032001</v>
      </c>
      <c r="E140">
        <v>844.59305689488997</v>
      </c>
      <c r="F140">
        <v>122.27229146692</v>
      </c>
      <c r="G140">
        <v>109.40172579099</v>
      </c>
      <c r="I140" s="9">
        <f t="shared" si="15"/>
        <v>735.19133110389998</v>
      </c>
      <c r="J140" s="9">
        <f t="shared" si="16"/>
        <v>2783.6225976362803</v>
      </c>
      <c r="K140" s="9">
        <f t="shared" si="17"/>
        <v>735.19133110389998</v>
      </c>
      <c r="L140" s="10">
        <f t="shared" si="14"/>
        <v>0.26411314943634578</v>
      </c>
      <c r="M140" s="10">
        <f t="shared" si="18"/>
        <v>0.27596992471621828</v>
      </c>
      <c r="P140" s="8">
        <f t="shared" si="19"/>
        <v>13.019564060590341</v>
      </c>
      <c r="X140" s="8">
        <v>-13</v>
      </c>
    </row>
    <row r="141" spans="1:24" x14ac:dyDescent="0.2">
      <c r="A141" s="8">
        <v>69.5</v>
      </c>
      <c r="B141" s="8">
        <v>139</v>
      </c>
      <c r="D141">
        <v>2921.8428158149</v>
      </c>
      <c r="E141">
        <v>843.09932497589</v>
      </c>
      <c r="F141">
        <v>122.60882070949</v>
      </c>
      <c r="G141">
        <v>109.90316395014</v>
      </c>
      <c r="I141" s="9">
        <f t="shared" si="15"/>
        <v>733.19616102575003</v>
      </c>
      <c r="J141" s="9">
        <f t="shared" si="16"/>
        <v>2799.23399510541</v>
      </c>
      <c r="K141" s="9">
        <f t="shared" si="17"/>
        <v>733.19616102575003</v>
      </c>
      <c r="L141" s="10">
        <f t="shared" si="14"/>
        <v>0.2619274281134687</v>
      </c>
      <c r="M141" s="10">
        <f t="shared" si="18"/>
        <v>0.27387012205478956</v>
      </c>
      <c r="P141" s="8">
        <f t="shared" si="19"/>
        <v>12.159619696536982</v>
      </c>
      <c r="X141" s="8">
        <v>-13</v>
      </c>
    </row>
    <row r="142" spans="1:24" x14ac:dyDescent="0.2">
      <c r="A142" s="8">
        <v>70</v>
      </c>
      <c r="B142" s="8">
        <v>140</v>
      </c>
      <c r="D142">
        <v>2901.7724204435999</v>
      </c>
      <c r="E142">
        <v>837.17936354870005</v>
      </c>
      <c r="F142">
        <v>122.30009587728</v>
      </c>
      <c r="G142">
        <v>109.85330776606</v>
      </c>
      <c r="I142" s="9">
        <f t="shared" si="15"/>
        <v>727.32605578264008</v>
      </c>
      <c r="J142" s="9">
        <f t="shared" si="16"/>
        <v>2779.4723245663199</v>
      </c>
      <c r="K142" s="9">
        <f t="shared" si="17"/>
        <v>727.32605578264008</v>
      </c>
      <c r="L142" s="10">
        <f t="shared" si="14"/>
        <v>0.26167774701484914</v>
      </c>
      <c r="M142" s="10">
        <f t="shared" si="18"/>
        <v>0.27370635961761836</v>
      </c>
      <c r="P142" s="8">
        <f t="shared" si="19"/>
        <v>12.092553115721621</v>
      </c>
      <c r="X142" s="8">
        <v>-13</v>
      </c>
    </row>
    <row r="143" spans="1:24" x14ac:dyDescent="0.2">
      <c r="A143" s="8">
        <v>70.5</v>
      </c>
      <c r="B143" s="8">
        <v>141</v>
      </c>
      <c r="D143">
        <v>2926.6287367405998</v>
      </c>
      <c r="E143">
        <v>833.17839922854</v>
      </c>
      <c r="F143">
        <v>122.84180249281</v>
      </c>
      <c r="G143">
        <v>109.58005752637</v>
      </c>
      <c r="I143" s="9">
        <f t="shared" si="15"/>
        <v>723.59834170217005</v>
      </c>
      <c r="J143" s="9">
        <f t="shared" si="16"/>
        <v>2803.7869342477898</v>
      </c>
      <c r="K143" s="9">
        <f t="shared" si="17"/>
        <v>723.59834170217005</v>
      </c>
      <c r="L143" s="10">
        <f t="shared" si="14"/>
        <v>0.2580789334822618</v>
      </c>
      <c r="M143" s="10">
        <f t="shared" si="18"/>
        <v>0.27019346474647937</v>
      </c>
      <c r="P143" s="8">
        <f t="shared" si="19"/>
        <v>10.653896902240838</v>
      </c>
      <c r="X143" s="8">
        <v>-13</v>
      </c>
    </row>
    <row r="144" spans="1:24" x14ac:dyDescent="0.2">
      <c r="A144" s="8">
        <v>71</v>
      </c>
      <c r="B144" s="8">
        <v>142</v>
      </c>
      <c r="D144">
        <v>2927.1822565092002</v>
      </c>
      <c r="E144">
        <v>831.04435872709996</v>
      </c>
      <c r="F144">
        <v>122.75838926175</v>
      </c>
      <c r="G144">
        <v>109.60977948226</v>
      </c>
      <c r="I144" s="9">
        <f t="shared" si="15"/>
        <v>721.43457924483994</v>
      </c>
      <c r="J144" s="9">
        <f t="shared" si="16"/>
        <v>2804.4238672474503</v>
      </c>
      <c r="K144" s="9">
        <f t="shared" si="17"/>
        <v>721.43457924483994</v>
      </c>
      <c r="L144" s="10">
        <f t="shared" si="14"/>
        <v>0.25724876601942842</v>
      </c>
      <c r="M144" s="10">
        <f t="shared" si="18"/>
        <v>0.26944921594509436</v>
      </c>
      <c r="P144" s="8">
        <f t="shared" si="19"/>
        <v>10.349100373518924</v>
      </c>
    </row>
    <row r="145" spans="1:16" x14ac:dyDescent="0.2">
      <c r="A145" s="8">
        <v>71.5</v>
      </c>
      <c r="B145" s="8">
        <v>143</v>
      </c>
      <c r="D145">
        <v>2912.2651880424</v>
      </c>
      <c r="E145">
        <v>823.05014464802002</v>
      </c>
      <c r="F145">
        <v>121.92233940556</v>
      </c>
      <c r="G145">
        <v>109.87440076702001</v>
      </c>
      <c r="I145" s="9">
        <f t="shared" si="15"/>
        <v>713.17574388100002</v>
      </c>
      <c r="J145" s="9">
        <f t="shared" si="16"/>
        <v>2790.3428486368402</v>
      </c>
      <c r="K145" s="9">
        <f t="shared" si="17"/>
        <v>713.17574388100002</v>
      </c>
      <c r="L145" s="10">
        <f t="shared" si="14"/>
        <v>0.25558713841541231</v>
      </c>
      <c r="M145" s="10">
        <f t="shared" si="18"/>
        <v>0.2678735070025266</v>
      </c>
      <c r="P145" s="8">
        <f t="shared" si="19"/>
        <v>9.7037911502095042</v>
      </c>
    </row>
    <row r="146" spans="1:16" x14ac:dyDescent="0.2">
      <c r="A146" s="8">
        <v>72</v>
      </c>
      <c r="B146" s="8">
        <v>144</v>
      </c>
      <c r="D146">
        <v>2882.5650916104</v>
      </c>
      <c r="E146">
        <v>813.67020250722999</v>
      </c>
      <c r="F146">
        <v>122.1217641419</v>
      </c>
      <c r="G146">
        <v>109.66826462129001</v>
      </c>
      <c r="I146" s="9">
        <f t="shared" si="15"/>
        <v>704.00193788593992</v>
      </c>
      <c r="J146" s="9">
        <f t="shared" si="16"/>
        <v>2760.4433274685002</v>
      </c>
      <c r="K146" s="9">
        <f t="shared" si="17"/>
        <v>704.00193788593992</v>
      </c>
      <c r="L146" s="10">
        <f t="shared" si="14"/>
        <v>0.25503220112530034</v>
      </c>
      <c r="M146" s="10">
        <f t="shared" si="18"/>
        <v>0.26740448837386299</v>
      </c>
      <c r="P146" s="8">
        <f t="shared" si="19"/>
        <v>9.5117112306227387</v>
      </c>
    </row>
    <row r="147" spans="1:16" x14ac:dyDescent="0.2">
      <c r="A147" s="8">
        <v>72.5</v>
      </c>
      <c r="B147" s="8">
        <v>145</v>
      </c>
      <c r="D147">
        <v>2858.3018322082999</v>
      </c>
      <c r="E147">
        <v>803.66827386692</v>
      </c>
      <c r="F147">
        <v>122.33844678811001</v>
      </c>
      <c r="G147">
        <v>109.80345158198</v>
      </c>
      <c r="I147" s="9">
        <f t="shared" si="15"/>
        <v>693.86482228494003</v>
      </c>
      <c r="J147" s="9">
        <f t="shared" si="16"/>
        <v>2735.9633854201898</v>
      </c>
      <c r="K147" s="9">
        <f t="shared" si="17"/>
        <v>693.86482228494003</v>
      </c>
      <c r="L147" s="10">
        <f t="shared" si="14"/>
        <v>0.25360895762805546</v>
      </c>
      <c r="M147" s="10">
        <f t="shared" si="18"/>
        <v>0.26606716353806642</v>
      </c>
      <c r="P147" s="8">
        <f t="shared" si="19"/>
        <v>8.9640288333305307</v>
      </c>
    </row>
    <row r="148" spans="1:16" x14ac:dyDescent="0.2">
      <c r="A148" s="8">
        <v>73</v>
      </c>
      <c r="B148" s="8">
        <v>146</v>
      </c>
      <c r="D148">
        <v>2851.7058823529001</v>
      </c>
      <c r="E148">
        <v>799.52459016393004</v>
      </c>
      <c r="F148">
        <v>122.18600191755</v>
      </c>
      <c r="G148">
        <v>109.54841802493</v>
      </c>
      <c r="I148" s="9">
        <f t="shared" si="15"/>
        <v>689.97617213900003</v>
      </c>
      <c r="J148" s="9">
        <f t="shared" si="16"/>
        <v>2729.5198804353499</v>
      </c>
      <c r="K148" s="9">
        <f t="shared" si="17"/>
        <v>689.97617213900003</v>
      </c>
      <c r="L148" s="10">
        <f t="shared" si="14"/>
        <v>0.25278298102336993</v>
      </c>
      <c r="M148" s="10">
        <f t="shared" si="18"/>
        <v>0.26532710559482925</v>
      </c>
      <c r="P148" s="8">
        <f t="shared" si="19"/>
        <v>8.6609486110553995</v>
      </c>
    </row>
    <row r="149" spans="1:16" x14ac:dyDescent="0.2">
      <c r="A149" s="8">
        <v>73.5</v>
      </c>
      <c r="B149" s="8">
        <v>147</v>
      </c>
      <c r="D149">
        <v>2865.7010607522002</v>
      </c>
      <c r="E149">
        <v>795.82160077146</v>
      </c>
      <c r="F149">
        <v>122.4343240652</v>
      </c>
      <c r="G149">
        <v>109.47171620326</v>
      </c>
      <c r="I149" s="9">
        <f t="shared" si="15"/>
        <v>686.34988456819997</v>
      </c>
      <c r="J149" s="9">
        <f t="shared" si="16"/>
        <v>2743.266736687</v>
      </c>
      <c r="K149" s="9">
        <f t="shared" si="17"/>
        <v>686.34988456819997</v>
      </c>
      <c r="L149" s="10">
        <f t="shared" si="14"/>
        <v>0.25019436695284464</v>
      </c>
      <c r="M149" s="10">
        <f t="shared" si="18"/>
        <v>0.26282441018575231</v>
      </c>
      <c r="P149" s="8">
        <f t="shared" si="19"/>
        <v>7.6360052430373946</v>
      </c>
    </row>
    <row r="150" spans="1:16" x14ac:dyDescent="0.2">
      <c r="A150" s="8">
        <v>74</v>
      </c>
      <c r="B150" s="8">
        <v>148</v>
      </c>
      <c r="D150">
        <v>2869.0067502410998</v>
      </c>
      <c r="E150">
        <v>793.72420443586998</v>
      </c>
      <c r="F150">
        <v>123.3058485139</v>
      </c>
      <c r="G150">
        <v>109.81112176414</v>
      </c>
      <c r="I150" s="9">
        <f t="shared" si="15"/>
        <v>683.91308267172997</v>
      </c>
      <c r="J150" s="9">
        <f t="shared" si="16"/>
        <v>2745.7009017271998</v>
      </c>
      <c r="K150" s="9">
        <f t="shared" si="17"/>
        <v>683.91308267172997</v>
      </c>
      <c r="L150" s="10">
        <f t="shared" si="14"/>
        <v>0.24908506321337123</v>
      </c>
      <c r="M150" s="10">
        <f t="shared" si="18"/>
        <v>0.26180102510772729</v>
      </c>
      <c r="P150" s="8">
        <f t="shared" si="19"/>
        <v>7.2168924157847965</v>
      </c>
    </row>
    <row r="151" spans="1:16" x14ac:dyDescent="0.2">
      <c r="A151" s="8">
        <v>74.5</v>
      </c>
      <c r="B151" s="8">
        <v>149</v>
      </c>
      <c r="D151">
        <v>2868.1012536162002</v>
      </c>
      <c r="E151">
        <v>792.11186113789995</v>
      </c>
      <c r="F151">
        <v>122.61265580058</v>
      </c>
      <c r="G151">
        <v>109.58964525408</v>
      </c>
      <c r="I151" s="9">
        <f t="shared" si="15"/>
        <v>682.52221588381997</v>
      </c>
      <c r="J151" s="9">
        <f t="shared" si="16"/>
        <v>2745.4885978156203</v>
      </c>
      <c r="K151" s="9">
        <f t="shared" si="17"/>
        <v>682.52221588381997</v>
      </c>
      <c r="L151" s="10">
        <f t="shared" si="14"/>
        <v>0.2485977237082142</v>
      </c>
      <c r="M151" s="10">
        <f t="shared" si="18"/>
        <v>0.26139960426401859</v>
      </c>
      <c r="P151" s="8">
        <f t="shared" si="19"/>
        <v>7.0524962091784271</v>
      </c>
    </row>
    <row r="152" spans="1:16" x14ac:dyDescent="0.2">
      <c r="A152" s="8">
        <v>75</v>
      </c>
      <c r="B152" s="8">
        <v>150</v>
      </c>
      <c r="D152">
        <v>2844.7521697204002</v>
      </c>
      <c r="E152">
        <v>781.24108003856998</v>
      </c>
      <c r="F152">
        <v>122.56184084372001</v>
      </c>
      <c r="G152">
        <v>109.50239693192999</v>
      </c>
      <c r="I152" s="9">
        <f t="shared" si="15"/>
        <v>671.73868310664</v>
      </c>
      <c r="J152" s="9">
        <f t="shared" si="16"/>
        <v>2722.1903288766803</v>
      </c>
      <c r="K152" s="9">
        <f t="shared" si="17"/>
        <v>671.73868310664</v>
      </c>
      <c r="L152" s="10">
        <f t="shared" si="14"/>
        <v>0.24676403996477164</v>
      </c>
      <c r="M152" s="10">
        <f t="shared" si="18"/>
        <v>0.25965183918202439</v>
      </c>
      <c r="P152" s="8">
        <f t="shared" si="19"/>
        <v>6.3367238370605969</v>
      </c>
    </row>
    <row r="153" spans="1:16" x14ac:dyDescent="0.2">
      <c r="A153" s="8">
        <v>75.5</v>
      </c>
      <c r="B153" s="8">
        <v>151</v>
      </c>
      <c r="D153">
        <v>2883.6065891472999</v>
      </c>
      <c r="E153">
        <v>785.09399224805998</v>
      </c>
      <c r="F153">
        <v>122.48897411314</v>
      </c>
      <c r="G153">
        <v>109.86960690316</v>
      </c>
      <c r="I153" s="9">
        <f t="shared" si="15"/>
        <v>675.22438534489993</v>
      </c>
      <c r="J153" s="9">
        <f t="shared" si="16"/>
        <v>2761.1176150341598</v>
      </c>
      <c r="K153" s="9">
        <f t="shared" si="17"/>
        <v>675.22438534489993</v>
      </c>
      <c r="L153" s="10">
        <f t="shared" si="14"/>
        <v>0.24454749108416601</v>
      </c>
      <c r="M153" s="10">
        <f t="shared" si="18"/>
        <v>0.25752120896286712</v>
      </c>
      <c r="P153" s="8">
        <f t="shared" si="19"/>
        <v>5.4641544844722878</v>
      </c>
    </row>
    <row r="154" spans="1:16" x14ac:dyDescent="0.2">
      <c r="A154" s="8">
        <v>76</v>
      </c>
      <c r="B154" s="8">
        <v>152</v>
      </c>
      <c r="D154">
        <v>2888.4108527131998</v>
      </c>
      <c r="E154">
        <v>776.95639534884003</v>
      </c>
      <c r="F154">
        <v>122.00095877277001</v>
      </c>
      <c r="G154">
        <v>109.69223394056</v>
      </c>
      <c r="I154" s="9">
        <f t="shared" si="15"/>
        <v>667.26416140828007</v>
      </c>
      <c r="J154" s="9">
        <f t="shared" si="16"/>
        <v>2766.4098939404298</v>
      </c>
      <c r="K154" s="9">
        <f t="shared" si="17"/>
        <v>667.26416140828007</v>
      </c>
      <c r="L154" s="10">
        <f t="shared" si="14"/>
        <v>0.24120220321285785</v>
      </c>
      <c r="M154" s="10">
        <f t="shared" si="18"/>
        <v>0.25426183975300731</v>
      </c>
      <c r="P154" s="8">
        <f t="shared" si="19"/>
        <v>4.1293261056564941</v>
      </c>
    </row>
    <row r="155" spans="1:16" x14ac:dyDescent="0.2">
      <c r="A155" s="8">
        <v>76.5</v>
      </c>
      <c r="B155" s="8">
        <v>153</v>
      </c>
      <c r="D155">
        <v>2894.1782945735999</v>
      </c>
      <c r="E155">
        <v>776.17344961239996</v>
      </c>
      <c r="F155">
        <v>122.2828379674</v>
      </c>
      <c r="G155">
        <v>109.63183125598999</v>
      </c>
      <c r="I155" s="9">
        <f t="shared" si="15"/>
        <v>666.54161835641003</v>
      </c>
      <c r="J155" s="9">
        <f t="shared" si="16"/>
        <v>2771.8954566061998</v>
      </c>
      <c r="K155" s="9">
        <f t="shared" si="17"/>
        <v>666.54161835641003</v>
      </c>
      <c r="L155" s="10">
        <f t="shared" si="14"/>
        <v>0.24046419816009132</v>
      </c>
      <c r="M155" s="10">
        <f t="shared" si="18"/>
        <v>0.25360975336168912</v>
      </c>
      <c r="P155" s="8">
        <f t="shared" si="19"/>
        <v>3.862273383326658</v>
      </c>
    </row>
    <row r="156" spans="1:16" x14ac:dyDescent="0.2">
      <c r="A156" s="8">
        <v>77</v>
      </c>
      <c r="B156" s="8">
        <v>154</v>
      </c>
      <c r="D156">
        <v>2895.2122093022999</v>
      </c>
      <c r="E156">
        <v>770.70348837208996</v>
      </c>
      <c r="F156">
        <v>122.5953978907</v>
      </c>
      <c r="G156">
        <v>109.85139022052</v>
      </c>
      <c r="I156" s="9">
        <f t="shared" si="15"/>
        <v>660.85209815156998</v>
      </c>
      <c r="J156" s="9">
        <f t="shared" si="16"/>
        <v>2772.6168114115999</v>
      </c>
      <c r="K156" s="9">
        <f t="shared" si="17"/>
        <v>660.85209815156998</v>
      </c>
      <c r="L156" s="10">
        <f t="shared" si="14"/>
        <v>0.23834959646483414</v>
      </c>
      <c r="M156" s="10">
        <f t="shared" si="18"/>
        <v>0.2515810703278803</v>
      </c>
      <c r="P156" s="8">
        <f t="shared" si="19"/>
        <v>3.0314550529090964</v>
      </c>
    </row>
    <row r="157" spans="1:16" x14ac:dyDescent="0.2">
      <c r="A157" s="8">
        <v>77.5</v>
      </c>
      <c r="B157" s="8">
        <v>155</v>
      </c>
      <c r="D157">
        <v>2818.3624031007998</v>
      </c>
      <c r="E157">
        <v>750.16666666667004</v>
      </c>
      <c r="F157">
        <v>122.62895493768001</v>
      </c>
      <c r="G157">
        <v>109.7104506232</v>
      </c>
      <c r="I157" s="9">
        <f t="shared" si="15"/>
        <v>640.45621604347002</v>
      </c>
      <c r="J157" s="9">
        <f t="shared" si="16"/>
        <v>2695.7334481631196</v>
      </c>
      <c r="K157" s="9">
        <f t="shared" si="17"/>
        <v>640.45621604347002</v>
      </c>
      <c r="L157" s="10">
        <f t="shared" si="14"/>
        <v>0.23758143316427618</v>
      </c>
      <c r="M157" s="10">
        <f t="shared" si="18"/>
        <v>0.2508988256887707</v>
      </c>
      <c r="P157" s="8">
        <f t="shared" si="19"/>
        <v>2.7520514484252705</v>
      </c>
    </row>
    <row r="158" spans="1:16" x14ac:dyDescent="0.2">
      <c r="A158" s="8">
        <v>78</v>
      </c>
      <c r="B158" s="8">
        <v>156</v>
      </c>
      <c r="D158">
        <v>2824.3178294574</v>
      </c>
      <c r="E158">
        <v>746.63662790698004</v>
      </c>
      <c r="F158">
        <v>122.43815915627999</v>
      </c>
      <c r="G158">
        <v>109.62799616491</v>
      </c>
      <c r="I158" s="9">
        <f t="shared" si="15"/>
        <v>637.00863174207007</v>
      </c>
      <c r="J158" s="9">
        <f t="shared" si="16"/>
        <v>2701.8796703011199</v>
      </c>
      <c r="K158" s="9">
        <f t="shared" si="17"/>
        <v>637.00863174207007</v>
      </c>
      <c r="L158" s="10">
        <f t="shared" si="14"/>
        <v>0.23576498936796714</v>
      </c>
      <c r="M158" s="10">
        <f t="shared" si="18"/>
        <v>0.24916830055390998</v>
      </c>
      <c r="P158" s="8">
        <f t="shared" si="19"/>
        <v>2.0433394518590795</v>
      </c>
    </row>
    <row r="159" spans="1:16" x14ac:dyDescent="0.2">
      <c r="A159" s="8">
        <v>78.5</v>
      </c>
      <c r="B159" s="8">
        <v>157</v>
      </c>
      <c r="D159">
        <v>2812.4205426356998</v>
      </c>
      <c r="E159">
        <v>742.72577519380002</v>
      </c>
      <c r="F159">
        <v>123.05752636625</v>
      </c>
      <c r="G159">
        <v>109.96740172579</v>
      </c>
      <c r="I159" s="9">
        <f t="shared" si="15"/>
        <v>632.75837346801006</v>
      </c>
      <c r="J159" s="9">
        <f t="shared" si="16"/>
        <v>2689.3630162694499</v>
      </c>
      <c r="K159" s="9">
        <f t="shared" si="17"/>
        <v>632.75837346801006</v>
      </c>
      <c r="L159" s="10">
        <f t="shared" si="14"/>
        <v>0.23528187516527274</v>
      </c>
      <c r="M159" s="10">
        <f t="shared" si="18"/>
        <v>0.24877110501266395</v>
      </c>
      <c r="P159" s="8">
        <f t="shared" si="19"/>
        <v>1.8806736578795402</v>
      </c>
    </row>
    <row r="160" spans="1:16" x14ac:dyDescent="0.2">
      <c r="A160" s="8">
        <v>79</v>
      </c>
      <c r="B160" s="8">
        <v>158</v>
      </c>
      <c r="D160">
        <v>2825.7170542635999</v>
      </c>
      <c r="E160">
        <v>737.44089147287002</v>
      </c>
      <c r="F160">
        <v>122.33461169703</v>
      </c>
      <c r="G160">
        <v>109.64525407478</v>
      </c>
      <c r="I160" s="9">
        <f t="shared" si="15"/>
        <v>627.79563739808998</v>
      </c>
      <c r="J160" s="9">
        <f t="shared" si="16"/>
        <v>2703.3824425665698</v>
      </c>
      <c r="K160" s="9">
        <f t="shared" si="17"/>
        <v>627.79563739808998</v>
      </c>
      <c r="L160" s="10">
        <f t="shared" si="14"/>
        <v>0.23222598013252826</v>
      </c>
      <c r="M160" s="10">
        <f t="shared" si="18"/>
        <v>0.24580112864136783</v>
      </c>
      <c r="P160" s="8">
        <f t="shared" si="19"/>
        <v>0.66436200689326608</v>
      </c>
    </row>
    <row r="161" spans="1:16" x14ac:dyDescent="0.2">
      <c r="A161" s="8">
        <v>79.5</v>
      </c>
      <c r="B161" s="8">
        <v>159</v>
      </c>
      <c r="D161">
        <v>2743.5562015504001</v>
      </c>
      <c r="E161">
        <v>713.98352713177997</v>
      </c>
      <c r="F161">
        <v>122.34419942474</v>
      </c>
      <c r="G161">
        <v>109.89261744965999</v>
      </c>
      <c r="I161" s="9">
        <f t="shared" si="15"/>
        <v>604.09090968212001</v>
      </c>
      <c r="J161" s="9">
        <f t="shared" si="16"/>
        <v>2621.2120021256601</v>
      </c>
      <c r="K161" s="9">
        <f t="shared" si="17"/>
        <v>604.09090968212001</v>
      </c>
      <c r="L161" s="10">
        <f t="shared" si="14"/>
        <v>0.23046243844154354</v>
      </c>
      <c r="M161" s="10">
        <f t="shared" si="18"/>
        <v>0.24412350561183144</v>
      </c>
      <c r="P161" s="8">
        <f t="shared" si="19"/>
        <v>-2.2684683615422505E-2</v>
      </c>
    </row>
    <row r="162" spans="1:16" x14ac:dyDescent="0.2">
      <c r="A162" s="8">
        <v>80</v>
      </c>
      <c r="B162" s="4">
        <v>160</v>
      </c>
      <c r="C162" s="4" t="s">
        <v>6</v>
      </c>
      <c r="D162">
        <v>2911.2722868217002</v>
      </c>
      <c r="E162">
        <v>746.34496124031</v>
      </c>
      <c r="F162">
        <v>122.96836049856</v>
      </c>
      <c r="G162">
        <v>109.96931927132999</v>
      </c>
      <c r="H162" s="4"/>
      <c r="I162" s="5">
        <f t="shared" si="15"/>
        <v>636.37564196898006</v>
      </c>
      <c r="J162" s="5">
        <f t="shared" si="16"/>
        <v>2788.3039263231403</v>
      </c>
      <c r="K162" s="9">
        <f t="shared" si="17"/>
        <v>636.37564196898006</v>
      </c>
      <c r="L162" s="6">
        <f t="shared" si="14"/>
        <v>0.22823037186199108</v>
      </c>
      <c r="M162" s="6">
        <f t="shared" si="18"/>
        <v>0.24197735769372733</v>
      </c>
      <c r="N162" s="4"/>
      <c r="O162" s="4"/>
      <c r="P162" s="4">
        <f t="shared" si="19"/>
        <v>-0.90160908946541674</v>
      </c>
    </row>
    <row r="163" spans="1:16" x14ac:dyDescent="0.2">
      <c r="A163" s="8">
        <v>80.5</v>
      </c>
      <c r="B163" s="8">
        <v>161</v>
      </c>
      <c r="D163">
        <v>2802.1269379844998</v>
      </c>
      <c r="E163">
        <v>718.18992248062</v>
      </c>
      <c r="F163">
        <v>122.46212847555</v>
      </c>
      <c r="G163">
        <v>109.75359539789</v>
      </c>
      <c r="I163" s="9">
        <f t="shared" si="15"/>
        <v>608.43632708273003</v>
      </c>
      <c r="J163" s="9">
        <f t="shared" si="16"/>
        <v>2679.6648095089499</v>
      </c>
      <c r="K163" s="9">
        <f t="shared" si="17"/>
        <v>608.43632708273003</v>
      </c>
      <c r="L163" s="10">
        <f t="shared" si="14"/>
        <v>0.22705687850348205</v>
      </c>
      <c r="M163" s="10">
        <f t="shared" si="18"/>
        <v>0.24088978299666666</v>
      </c>
      <c r="P163" s="8">
        <f t="shared" si="19"/>
        <v>-1.3470098637400836</v>
      </c>
    </row>
    <row r="164" spans="1:16" x14ac:dyDescent="0.2">
      <c r="A164" s="8">
        <v>81</v>
      </c>
      <c r="B164" s="8">
        <v>162</v>
      </c>
      <c r="D164">
        <v>2809.8362403101</v>
      </c>
      <c r="E164">
        <v>712.49031007752001</v>
      </c>
      <c r="F164">
        <v>122.99424736338</v>
      </c>
      <c r="G164">
        <v>109.85810162991</v>
      </c>
      <c r="I164" s="9">
        <f t="shared" si="15"/>
        <v>602.63220844760997</v>
      </c>
      <c r="J164" s="9">
        <f t="shared" si="16"/>
        <v>2686.84199294672</v>
      </c>
      <c r="K164" s="9">
        <f t="shared" si="17"/>
        <v>602.63220844760997</v>
      </c>
      <c r="L164" s="10">
        <f t="shared" si="14"/>
        <v>0.22429015551699402</v>
      </c>
      <c r="M164" s="10">
        <f t="shared" si="18"/>
        <v>0.23820897867162699</v>
      </c>
      <c r="P164" s="8">
        <f t="shared" si="19"/>
        <v>-2.4448952092511513</v>
      </c>
    </row>
    <row r="165" spans="1:16" x14ac:dyDescent="0.2">
      <c r="A165" s="8">
        <v>81.5</v>
      </c>
      <c r="B165" s="8">
        <v>163</v>
      </c>
      <c r="D165">
        <v>2898.0968992247999</v>
      </c>
      <c r="E165">
        <v>745.71414728681998</v>
      </c>
      <c r="F165">
        <v>123.12943432407</v>
      </c>
      <c r="G165">
        <v>109.65484180249</v>
      </c>
      <c r="I165" s="9">
        <f t="shared" si="15"/>
        <v>636.05930548433003</v>
      </c>
      <c r="J165" s="9">
        <f t="shared" si="16"/>
        <v>2774.9674649007297</v>
      </c>
      <c r="K165" s="9">
        <f t="shared" si="17"/>
        <v>636.05930548433003</v>
      </c>
      <c r="L165" s="10">
        <f t="shared" si="14"/>
        <v>0.22921324791355133</v>
      </c>
      <c r="M165" s="10">
        <f t="shared" si="18"/>
        <v>0.24321798972963263</v>
      </c>
      <c r="P165" s="8">
        <f t="shared" si="19"/>
        <v>-0.39352585538907964</v>
      </c>
    </row>
    <row r="166" spans="1:16" x14ac:dyDescent="0.2">
      <c r="A166" s="8">
        <v>82</v>
      </c>
      <c r="B166" s="8">
        <v>164</v>
      </c>
      <c r="D166">
        <v>2863.4631782945999</v>
      </c>
      <c r="E166">
        <v>754.95348837208996</v>
      </c>
      <c r="F166">
        <v>122.82262703739001</v>
      </c>
      <c r="G166">
        <v>109.53595397891</v>
      </c>
      <c r="I166" s="9">
        <f t="shared" si="15"/>
        <v>645.41753439317995</v>
      </c>
      <c r="J166" s="9">
        <f t="shared" si="16"/>
        <v>2740.6405512572101</v>
      </c>
      <c r="K166" s="9">
        <f t="shared" si="17"/>
        <v>645.41753439317995</v>
      </c>
      <c r="L166" s="10">
        <f t="shared" si="14"/>
        <v>0.23549879027262752</v>
      </c>
      <c r="M166" s="10">
        <f t="shared" si="18"/>
        <v>0.24958945075015718</v>
      </c>
      <c r="P166" s="8">
        <f t="shared" si="19"/>
        <v>2.2158155346526502</v>
      </c>
    </row>
    <row r="167" spans="1:16" x14ac:dyDescent="0.2">
      <c r="A167" s="8">
        <v>82.5</v>
      </c>
      <c r="B167" s="8">
        <v>165</v>
      </c>
      <c r="D167">
        <v>2862.9623188405999</v>
      </c>
      <c r="E167">
        <v>773.97874396135001</v>
      </c>
      <c r="F167">
        <v>123.12847555128999</v>
      </c>
      <c r="G167">
        <v>109.89645254075</v>
      </c>
      <c r="I167" s="9">
        <f t="shared" si="15"/>
        <v>664.08229142059997</v>
      </c>
      <c r="J167" s="9">
        <f t="shared" si="16"/>
        <v>2739.8338432893097</v>
      </c>
      <c r="K167" s="9">
        <f t="shared" si="17"/>
        <v>664.08229142059997</v>
      </c>
      <c r="L167" s="10">
        <f t="shared" si="14"/>
        <v>0.24238049801711167</v>
      </c>
      <c r="M167" s="10">
        <f t="shared" si="18"/>
        <v>0.25655707715608966</v>
      </c>
      <c r="P167" s="8">
        <f t="shared" si="19"/>
        <v>5.0693079930983185</v>
      </c>
    </row>
    <row r="168" spans="1:16" x14ac:dyDescent="0.2">
      <c r="A168" s="8">
        <v>83</v>
      </c>
      <c r="B168" s="8">
        <v>166</v>
      </c>
      <c r="D168">
        <v>2889.6473429951998</v>
      </c>
      <c r="E168">
        <v>794.41062801932003</v>
      </c>
      <c r="F168">
        <v>122.90699904122999</v>
      </c>
      <c r="G168">
        <v>109.74400767018</v>
      </c>
      <c r="I168" s="9">
        <f t="shared" si="15"/>
        <v>684.66662034913998</v>
      </c>
      <c r="J168" s="9">
        <f t="shared" si="16"/>
        <v>2766.7403439539698</v>
      </c>
      <c r="K168" s="9">
        <f t="shared" si="17"/>
        <v>684.66662034913998</v>
      </c>
      <c r="L168" s="10">
        <f t="shared" si="14"/>
        <v>0.24746327274451699</v>
      </c>
      <c r="M168" s="10">
        <f t="shared" si="18"/>
        <v>0.26172577054494334</v>
      </c>
      <c r="P168" s="8">
        <f t="shared" si="19"/>
        <v>7.1860729781661536</v>
      </c>
    </row>
    <row r="169" spans="1:16" x14ac:dyDescent="0.2">
      <c r="A169" s="8">
        <v>83.5</v>
      </c>
      <c r="B169" s="8">
        <v>167</v>
      </c>
      <c r="D169">
        <v>2839.5777777777998</v>
      </c>
      <c r="E169">
        <v>794.84347826087003</v>
      </c>
      <c r="F169">
        <v>123.38255033557</v>
      </c>
      <c r="G169">
        <v>109.93192713326999</v>
      </c>
      <c r="I169" s="9">
        <f t="shared" si="15"/>
        <v>684.91155112759998</v>
      </c>
      <c r="J169" s="9">
        <f t="shared" si="16"/>
        <v>2716.1952274422297</v>
      </c>
      <c r="K169" s="9">
        <f t="shared" si="17"/>
        <v>684.91155112759998</v>
      </c>
      <c r="L169" s="10">
        <f t="shared" si="14"/>
        <v>0.25215843994121268</v>
      </c>
      <c r="M169" s="10">
        <f t="shared" si="18"/>
        <v>0.26650685640308741</v>
      </c>
      <c r="P169" s="8">
        <f t="shared" si="19"/>
        <v>9.1440988028256669</v>
      </c>
    </row>
    <row r="170" spans="1:16" x14ac:dyDescent="0.2">
      <c r="A170" s="8">
        <v>84</v>
      </c>
      <c r="B170" s="8">
        <v>168</v>
      </c>
      <c r="D170">
        <v>2850.6106280192998</v>
      </c>
      <c r="E170">
        <v>805.36714975844995</v>
      </c>
      <c r="F170">
        <v>122.95206136146</v>
      </c>
      <c r="G170">
        <v>109.76318312559999</v>
      </c>
      <c r="I170" s="9">
        <f t="shared" si="15"/>
        <v>695.60396663284996</v>
      </c>
      <c r="J170" s="9">
        <f t="shared" si="16"/>
        <v>2727.6585666578399</v>
      </c>
      <c r="K170" s="9">
        <f t="shared" si="17"/>
        <v>695.60396663284996</v>
      </c>
      <c r="L170" s="10">
        <f t="shared" si="14"/>
        <v>0.25501870913600572</v>
      </c>
      <c r="M170" s="10">
        <f t="shared" si="18"/>
        <v>0.26945304425932881</v>
      </c>
      <c r="P170" s="8">
        <f t="shared" si="19"/>
        <v>10.350668205253886</v>
      </c>
    </row>
    <row r="171" spans="1:16" x14ac:dyDescent="0.2">
      <c r="A171" s="8">
        <v>84.5</v>
      </c>
      <c r="B171" s="8">
        <v>169</v>
      </c>
      <c r="D171">
        <v>2887.1120772947002</v>
      </c>
      <c r="E171">
        <v>819.34879227053</v>
      </c>
      <c r="F171">
        <v>122.79386385427</v>
      </c>
      <c r="G171">
        <v>109.70086289549</v>
      </c>
      <c r="I171" s="9">
        <f t="shared" si="15"/>
        <v>709.64792937504001</v>
      </c>
      <c r="J171" s="9">
        <f t="shared" si="16"/>
        <v>2764.3182134404301</v>
      </c>
      <c r="K171" s="9">
        <f t="shared" si="17"/>
        <v>709.64792937504001</v>
      </c>
      <c r="L171" s="10">
        <f t="shared" si="14"/>
        <v>0.25671716299688324</v>
      </c>
      <c r="M171" s="10">
        <f t="shared" si="18"/>
        <v>0.27123741678165464</v>
      </c>
      <c r="P171" s="8">
        <f t="shared" si="19"/>
        <v>11.081432634755901</v>
      </c>
    </row>
    <row r="172" spans="1:16" x14ac:dyDescent="0.2">
      <c r="A172" s="8">
        <v>85</v>
      </c>
      <c r="B172" s="8">
        <v>170</v>
      </c>
      <c r="D172">
        <v>2950.8405797101</v>
      </c>
      <c r="E172">
        <v>842.07342995168995</v>
      </c>
      <c r="F172">
        <v>122.84084372004</v>
      </c>
      <c r="G172">
        <v>109.91946308724999</v>
      </c>
      <c r="I172" s="9">
        <f t="shared" si="15"/>
        <v>732.15396686444001</v>
      </c>
      <c r="J172" s="9">
        <f t="shared" si="16"/>
        <v>2827.9997359900599</v>
      </c>
      <c r="K172" s="9">
        <f t="shared" si="17"/>
        <v>732.15396686444001</v>
      </c>
      <c r="L172" s="10">
        <f t="shared" si="14"/>
        <v>0.25889463762913639</v>
      </c>
      <c r="M172" s="10">
        <f t="shared" si="18"/>
        <v>0.27350081007535615</v>
      </c>
      <c r="P172" s="8">
        <f t="shared" si="19"/>
        <v>12.008373219367998</v>
      </c>
    </row>
    <row r="173" spans="1:16" x14ac:dyDescent="0.2">
      <c r="A173" s="8">
        <v>85.5</v>
      </c>
      <c r="B173" s="8">
        <v>171</v>
      </c>
      <c r="D173">
        <v>2923.4705314009998</v>
      </c>
      <c r="E173">
        <v>838.44734299516995</v>
      </c>
      <c r="F173">
        <v>123.15915627996</v>
      </c>
      <c r="G173">
        <v>110.14669223394</v>
      </c>
      <c r="I173" s="9">
        <f t="shared" si="15"/>
        <v>728.30065076122992</v>
      </c>
      <c r="J173" s="9">
        <f t="shared" si="16"/>
        <v>2800.3113751210399</v>
      </c>
      <c r="K173" s="9">
        <f t="shared" si="17"/>
        <v>728.30065076122992</v>
      </c>
      <c r="L173" s="10">
        <f t="shared" si="14"/>
        <v>0.26007845314335803</v>
      </c>
      <c r="M173" s="10">
        <f t="shared" si="18"/>
        <v>0.27477054425102615</v>
      </c>
      <c r="P173" s="8">
        <f t="shared" si="19"/>
        <v>12.528374821552092</v>
      </c>
    </row>
    <row r="174" spans="1:16" x14ac:dyDescent="0.2">
      <c r="A174" s="8">
        <v>86</v>
      </c>
      <c r="B174" s="8">
        <v>172</v>
      </c>
      <c r="D174">
        <v>3052.9623188405999</v>
      </c>
      <c r="E174">
        <v>874.29758454106002</v>
      </c>
      <c r="F174">
        <v>123.07286673058999</v>
      </c>
      <c r="G174">
        <v>110.30201342282</v>
      </c>
      <c r="I174" s="9">
        <f t="shared" si="15"/>
        <v>763.99557111824004</v>
      </c>
      <c r="J174" s="9">
        <f t="shared" si="16"/>
        <v>2929.8894521100101</v>
      </c>
      <c r="K174" s="9">
        <f t="shared" si="17"/>
        <v>763.99557111824004</v>
      </c>
      <c r="L174" s="10">
        <f t="shared" si="14"/>
        <v>0.26075918003255566</v>
      </c>
      <c r="M174" s="10">
        <f t="shared" si="18"/>
        <v>0.27553718980167213</v>
      </c>
      <c r="P174" s="8">
        <f t="shared" si="19"/>
        <v>12.842343620913466</v>
      </c>
    </row>
    <row r="175" spans="1:16" x14ac:dyDescent="0.2">
      <c r="A175" s="8">
        <v>86.5</v>
      </c>
      <c r="B175" s="8">
        <v>173</v>
      </c>
      <c r="D175">
        <v>3085.2318840580001</v>
      </c>
      <c r="E175">
        <v>880.42318840580003</v>
      </c>
      <c r="F175">
        <v>123.25695110258999</v>
      </c>
      <c r="G175">
        <v>110.26462128476</v>
      </c>
      <c r="I175" s="9">
        <f t="shared" si="15"/>
        <v>770.15856712104005</v>
      </c>
      <c r="J175" s="9">
        <f t="shared" si="16"/>
        <v>2961.9749329554102</v>
      </c>
      <c r="K175" s="9">
        <f t="shared" si="17"/>
        <v>770.15856712104005</v>
      </c>
      <c r="L175" s="10">
        <f t="shared" si="14"/>
        <v>0.26001522111214775</v>
      </c>
      <c r="M175" s="10">
        <f t="shared" si="18"/>
        <v>0.27487914954271259</v>
      </c>
      <c r="P175" s="8">
        <f t="shared" si="19"/>
        <v>12.572852576632453</v>
      </c>
    </row>
    <row r="176" spans="1:16" x14ac:dyDescent="0.2">
      <c r="A176" s="8">
        <v>87</v>
      </c>
      <c r="B176" s="8">
        <v>174</v>
      </c>
      <c r="D176">
        <v>3071.9990338163998</v>
      </c>
      <c r="E176">
        <v>880.24541062801995</v>
      </c>
      <c r="F176">
        <v>123.83125599233</v>
      </c>
      <c r="G176">
        <v>110.14093959732</v>
      </c>
      <c r="I176" s="9">
        <f t="shared" si="15"/>
        <v>770.10447103069998</v>
      </c>
      <c r="J176" s="9">
        <f t="shared" si="16"/>
        <v>2948.1677778240696</v>
      </c>
      <c r="K176" s="9">
        <f t="shared" si="17"/>
        <v>770.10447103069998</v>
      </c>
      <c r="L176" s="10">
        <f t="shared" si="14"/>
        <v>0.26121460142919167</v>
      </c>
      <c r="M176" s="10">
        <f t="shared" si="18"/>
        <v>0.27616444852120486</v>
      </c>
      <c r="P176" s="8">
        <f t="shared" si="19"/>
        <v>13.099228522801571</v>
      </c>
    </row>
    <row r="177" spans="1:16" x14ac:dyDescent="0.2">
      <c r="A177" s="8">
        <v>87.5</v>
      </c>
      <c r="B177" s="8">
        <v>175</v>
      </c>
      <c r="D177">
        <v>3101.831884058</v>
      </c>
      <c r="E177">
        <v>886.70338164250995</v>
      </c>
      <c r="F177">
        <v>123.23489932886</v>
      </c>
      <c r="G177">
        <v>109.91466922339001</v>
      </c>
      <c r="I177" s="9">
        <f t="shared" si="15"/>
        <v>776.78871241911997</v>
      </c>
      <c r="J177" s="9">
        <f t="shared" si="16"/>
        <v>2978.5969847291399</v>
      </c>
      <c r="K177" s="9">
        <f t="shared" si="17"/>
        <v>776.78871241911997</v>
      </c>
      <c r="L177" s="10">
        <f t="shared" si="14"/>
        <v>0.26079013589337857</v>
      </c>
      <c r="M177" s="10">
        <f t="shared" si="18"/>
        <v>0.27582590164684012</v>
      </c>
      <c r="P177" s="8">
        <f t="shared" si="19"/>
        <v>12.960581457567471</v>
      </c>
    </row>
    <row r="178" spans="1:16" x14ac:dyDescent="0.2">
      <c r="A178" s="8">
        <v>88</v>
      </c>
      <c r="B178" s="8">
        <v>176</v>
      </c>
      <c r="D178">
        <v>3096.4425120772999</v>
      </c>
      <c r="E178">
        <v>886.10048309179001</v>
      </c>
      <c r="F178">
        <v>123.27037392138</v>
      </c>
      <c r="G178">
        <v>109.85618408437</v>
      </c>
      <c r="I178" s="9">
        <f t="shared" si="15"/>
        <v>776.24429900742007</v>
      </c>
      <c r="J178" s="9">
        <f t="shared" si="16"/>
        <v>2973.17213815592</v>
      </c>
      <c r="K178" s="9">
        <f t="shared" si="17"/>
        <v>776.24429900742007</v>
      </c>
      <c r="L178" s="10">
        <f t="shared" si="14"/>
        <v>0.26108286467694325</v>
      </c>
      <c r="M178" s="10">
        <f t="shared" si="18"/>
        <v>0.2762045490918531</v>
      </c>
      <c r="P178" s="8">
        <f t="shared" si="19"/>
        <v>13.115651142106573</v>
      </c>
    </row>
    <row r="179" spans="1:16" x14ac:dyDescent="0.2">
      <c r="A179" s="8">
        <v>88.5</v>
      </c>
      <c r="B179" s="8">
        <v>177</v>
      </c>
      <c r="D179">
        <v>3084.1555555556001</v>
      </c>
      <c r="E179">
        <v>884.06859903381996</v>
      </c>
      <c r="F179">
        <v>123.81783317354</v>
      </c>
      <c r="G179">
        <v>110.38638542664999</v>
      </c>
      <c r="I179" s="9">
        <f t="shared" si="15"/>
        <v>773.68221360716996</v>
      </c>
      <c r="J179" s="9">
        <f t="shared" si="16"/>
        <v>2960.3377223820603</v>
      </c>
      <c r="K179" s="9">
        <f t="shared" si="17"/>
        <v>773.68221360716996</v>
      </c>
      <c r="L179" s="10">
        <f t="shared" si="14"/>
        <v>0.26134930746503482</v>
      </c>
      <c r="M179" s="10">
        <f t="shared" si="18"/>
        <v>0.27655691054139303</v>
      </c>
      <c r="P179" s="8">
        <f t="shared" si="19"/>
        <v>13.259955770445012</v>
      </c>
    </row>
    <row r="180" spans="1:16" x14ac:dyDescent="0.2">
      <c r="A180" s="8">
        <v>89</v>
      </c>
      <c r="B180" s="8">
        <v>178</v>
      </c>
      <c r="D180">
        <v>3112.0521739129999</v>
      </c>
      <c r="E180">
        <v>888.85024154588996</v>
      </c>
      <c r="F180">
        <v>123.22243528284</v>
      </c>
      <c r="G180">
        <v>110.17641418984</v>
      </c>
      <c r="I180" s="9">
        <f t="shared" si="15"/>
        <v>778.67382735604997</v>
      </c>
      <c r="J180" s="9">
        <f t="shared" si="16"/>
        <v>2988.8297386301601</v>
      </c>
      <c r="K180" s="9">
        <f t="shared" si="17"/>
        <v>778.67382735604997</v>
      </c>
      <c r="L180" s="10">
        <f t="shared" si="14"/>
        <v>0.26052799772827862</v>
      </c>
      <c r="M180" s="10">
        <f t="shared" si="18"/>
        <v>0.27582151946608519</v>
      </c>
      <c r="P180" s="8">
        <f t="shared" si="19"/>
        <v>12.958786797663619</v>
      </c>
    </row>
    <row r="181" spans="1:16" x14ac:dyDescent="0.2">
      <c r="A181" s="8">
        <v>89.5</v>
      </c>
      <c r="B181" s="8">
        <v>179</v>
      </c>
      <c r="D181">
        <v>3124.7526570047999</v>
      </c>
      <c r="E181">
        <v>893.34492753622999</v>
      </c>
      <c r="F181">
        <v>124.04122722915</v>
      </c>
      <c r="G181">
        <v>110.0067114094</v>
      </c>
      <c r="I181" s="9">
        <f t="shared" si="15"/>
        <v>783.33821612683005</v>
      </c>
      <c r="J181" s="9">
        <f t="shared" si="16"/>
        <v>3000.7114297756498</v>
      </c>
      <c r="K181" s="9">
        <f t="shared" si="17"/>
        <v>783.33821612683005</v>
      </c>
      <c r="L181" s="10">
        <f t="shared" si="14"/>
        <v>0.26105083226393311</v>
      </c>
      <c r="M181" s="10">
        <f t="shared" si="18"/>
        <v>0.27643027266318804</v>
      </c>
      <c r="P181" s="8">
        <f t="shared" si="19"/>
        <v>13.208093025607853</v>
      </c>
    </row>
    <row r="182" spans="1:16" x14ac:dyDescent="0.2">
      <c r="A182" s="8">
        <v>90</v>
      </c>
      <c r="B182" s="8">
        <v>180</v>
      </c>
      <c r="D182">
        <v>3191.8009661835999</v>
      </c>
      <c r="E182">
        <v>907.94396135266004</v>
      </c>
      <c r="F182">
        <v>123.74400767018</v>
      </c>
      <c r="G182">
        <v>110.27037392138</v>
      </c>
      <c r="I182" s="9">
        <f t="shared" si="15"/>
        <v>797.67358743128</v>
      </c>
      <c r="J182" s="9">
        <f t="shared" si="16"/>
        <v>3068.0569585134199</v>
      </c>
      <c r="K182" s="9">
        <f t="shared" si="17"/>
        <v>797.67358743128</v>
      </c>
      <c r="L182" s="10">
        <f t="shared" si="14"/>
        <v>0.25999308298949592</v>
      </c>
      <c r="M182" s="10">
        <f>L182+ABS($N$2)*A182</f>
        <v>0.2754584420501992</v>
      </c>
      <c r="P182" s="8">
        <f t="shared" si="19"/>
        <v>12.81009359746843</v>
      </c>
    </row>
    <row r="183" spans="1:16" x14ac:dyDescent="0.2">
      <c r="A183" s="8">
        <v>90.5</v>
      </c>
      <c r="B183" s="8">
        <v>181</v>
      </c>
      <c r="D183">
        <v>3132.2251207730001</v>
      </c>
      <c r="E183">
        <v>895.20579710145</v>
      </c>
      <c r="F183">
        <v>123.63183125598999</v>
      </c>
      <c r="G183">
        <v>110.04602109299999</v>
      </c>
      <c r="I183" s="9">
        <f t="shared" si="15"/>
        <v>785.15977600844997</v>
      </c>
      <c r="J183" s="9">
        <f t="shared" si="16"/>
        <v>3008.5932895170099</v>
      </c>
      <c r="K183" s="9">
        <f t="shared" si="17"/>
        <v>785.15977600844997</v>
      </c>
      <c r="L183" s="10">
        <f t="shared" si="14"/>
        <v>0.26097238824011904</v>
      </c>
      <c r="M183" s="10">
        <f t="shared" ref="M183:M241" si="20">L183+ABS($N$2)*A183</f>
        <v>0.27652366596227068</v>
      </c>
      <c r="P183" s="8">
        <f t="shared" si="19"/>
        <v>13.24634092511848</v>
      </c>
    </row>
    <row r="184" spans="1:16" x14ac:dyDescent="0.2">
      <c r="A184" s="8">
        <v>91</v>
      </c>
      <c r="B184" s="8">
        <v>182</v>
      </c>
      <c r="D184">
        <v>3165.8550724637998</v>
      </c>
      <c r="E184">
        <v>899.74009661835998</v>
      </c>
      <c r="F184">
        <v>123.43624161074</v>
      </c>
      <c r="G184">
        <v>110.37775647172001</v>
      </c>
      <c r="I184" s="9">
        <f t="shared" si="15"/>
        <v>789.36234014664001</v>
      </c>
      <c r="J184" s="9">
        <f t="shared" si="16"/>
        <v>3042.4188308530597</v>
      </c>
      <c r="K184" s="9">
        <f t="shared" si="17"/>
        <v>789.36234014664001</v>
      </c>
      <c r="L184" s="10">
        <f t="shared" si="14"/>
        <v>0.25945222667626988</v>
      </c>
      <c r="M184" s="10">
        <f t="shared" si="20"/>
        <v>0.27508942305986989</v>
      </c>
      <c r="P184" s="8">
        <f t="shared" si="19"/>
        <v>12.65896710982676</v>
      </c>
    </row>
    <row r="185" spans="1:16" x14ac:dyDescent="0.2">
      <c r="A185" s="8">
        <v>91.5</v>
      </c>
      <c r="B185" s="8">
        <v>183</v>
      </c>
      <c r="D185">
        <v>3171.3526570048002</v>
      </c>
      <c r="E185">
        <v>897.65314009661995</v>
      </c>
      <c r="F185">
        <v>123.99616490891999</v>
      </c>
      <c r="G185">
        <v>110.00575263663001</v>
      </c>
      <c r="I185" s="9">
        <f t="shared" si="15"/>
        <v>787.64738745998989</v>
      </c>
      <c r="J185" s="9">
        <f t="shared" si="16"/>
        <v>3047.3564920958802</v>
      </c>
      <c r="K185" s="9">
        <f t="shared" si="17"/>
        <v>787.64738745998989</v>
      </c>
      <c r="L185" s="10">
        <f t="shared" si="14"/>
        <v>0.25846906638687017</v>
      </c>
      <c r="M185" s="10">
        <f t="shared" si="20"/>
        <v>0.27419218143191854</v>
      </c>
      <c r="P185" s="8">
        <f t="shared" si="19"/>
        <v>12.291514541390717</v>
      </c>
    </row>
    <row r="186" spans="1:16" x14ac:dyDescent="0.2">
      <c r="A186" s="8">
        <v>92</v>
      </c>
      <c r="B186" s="8">
        <v>184</v>
      </c>
      <c r="D186">
        <v>3160.2086956521998</v>
      </c>
      <c r="E186">
        <v>891.49275362318997</v>
      </c>
      <c r="F186">
        <v>123.58485139022</v>
      </c>
      <c r="G186">
        <v>110.184084372</v>
      </c>
      <c r="I186" s="9">
        <f t="shared" si="15"/>
        <v>781.30866925118994</v>
      </c>
      <c r="J186" s="9">
        <f t="shared" si="16"/>
        <v>3036.6238442619797</v>
      </c>
      <c r="K186" s="9">
        <f t="shared" si="17"/>
        <v>781.30866925118994</v>
      </c>
      <c r="L186" s="10">
        <f t="shared" si="14"/>
        <v>0.25729517692076181</v>
      </c>
      <c r="M186" s="10">
        <f t="shared" si="20"/>
        <v>0.27310421062725848</v>
      </c>
      <c r="P186" s="8">
        <f t="shared" si="19"/>
        <v>11.845951546873209</v>
      </c>
    </row>
    <row r="187" spans="1:16" x14ac:dyDescent="0.2">
      <c r="A187" s="8">
        <v>92.5</v>
      </c>
      <c r="B187" s="8">
        <v>185</v>
      </c>
      <c r="D187">
        <v>3175.7594202898999</v>
      </c>
      <c r="E187">
        <v>894.44057971015002</v>
      </c>
      <c r="F187">
        <v>123.95397890700001</v>
      </c>
      <c r="G187">
        <v>110.49568552253</v>
      </c>
      <c r="I187" s="9">
        <f t="shared" si="15"/>
        <v>783.94489418761998</v>
      </c>
      <c r="J187" s="9">
        <f t="shared" si="16"/>
        <v>3051.8054413829</v>
      </c>
      <c r="K187" s="9">
        <f t="shared" si="17"/>
        <v>783.94489418761998</v>
      </c>
      <c r="L187" s="10">
        <f t="shared" si="14"/>
        <v>0.25687905380769682</v>
      </c>
      <c r="M187" s="10">
        <f t="shared" si="20"/>
        <v>0.27277400617564185</v>
      </c>
      <c r="P187" s="8">
        <f t="shared" si="19"/>
        <v>11.710721002418214</v>
      </c>
    </row>
    <row r="188" spans="1:16" x14ac:dyDescent="0.2">
      <c r="A188" s="8">
        <v>93</v>
      </c>
      <c r="B188" s="8">
        <v>186</v>
      </c>
      <c r="D188">
        <v>3179.9729468598998</v>
      </c>
      <c r="E188">
        <v>891.94396135266004</v>
      </c>
      <c r="F188">
        <v>123.91275167785</v>
      </c>
      <c r="G188">
        <v>110.48513902205001</v>
      </c>
      <c r="I188" s="9">
        <f t="shared" si="15"/>
        <v>781.45882233061002</v>
      </c>
      <c r="J188" s="9">
        <f t="shared" si="16"/>
        <v>3056.0601951820499</v>
      </c>
      <c r="K188" s="9">
        <f t="shared" si="17"/>
        <v>781.45882233061002</v>
      </c>
      <c r="L188" s="10">
        <f t="shared" si="14"/>
        <v>0.25570792864702013</v>
      </c>
      <c r="M188" s="10">
        <f t="shared" si="20"/>
        <v>0.27168879967641352</v>
      </c>
      <c r="P188" s="8">
        <f t="shared" si="19"/>
        <v>11.266290089938796</v>
      </c>
    </row>
    <row r="189" spans="1:16" x14ac:dyDescent="0.2">
      <c r="A189" s="8">
        <v>93.5</v>
      </c>
      <c r="B189" s="8">
        <v>187</v>
      </c>
      <c r="D189">
        <v>3210.1227053140001</v>
      </c>
      <c r="E189">
        <v>890.44637681158997</v>
      </c>
      <c r="F189">
        <v>124.26174496644001</v>
      </c>
      <c r="G189">
        <v>110.53883029722</v>
      </c>
      <c r="I189" s="9">
        <f t="shared" si="15"/>
        <v>779.90754651436998</v>
      </c>
      <c r="J189" s="9">
        <f t="shared" si="16"/>
        <v>3085.8609603475602</v>
      </c>
      <c r="K189" s="9">
        <f t="shared" si="17"/>
        <v>779.90754651436998</v>
      </c>
      <c r="L189" s="10">
        <f t="shared" si="14"/>
        <v>0.25273580259641026</v>
      </c>
      <c r="M189" s="10">
        <f t="shared" si="20"/>
        <v>0.26880259228725201</v>
      </c>
      <c r="P189" s="8">
        <f t="shared" si="19"/>
        <v>10.084284836116591</v>
      </c>
    </row>
    <row r="190" spans="1:16" x14ac:dyDescent="0.2">
      <c r="A190" s="8">
        <v>94</v>
      </c>
      <c r="B190" s="8">
        <v>188</v>
      </c>
      <c r="D190">
        <v>3202.9400966183998</v>
      </c>
      <c r="E190">
        <v>885.48888888888996</v>
      </c>
      <c r="F190">
        <v>123.87631831256</v>
      </c>
      <c r="G190">
        <v>110.56375838926</v>
      </c>
      <c r="I190" s="9">
        <f t="shared" si="15"/>
        <v>774.92513049962997</v>
      </c>
      <c r="J190" s="9">
        <f t="shared" si="16"/>
        <v>3079.0637783058396</v>
      </c>
      <c r="K190" s="9">
        <f t="shared" si="17"/>
        <v>774.92513049962997</v>
      </c>
      <c r="L190" s="10">
        <f t="shared" si="14"/>
        <v>0.25167556968436972</v>
      </c>
      <c r="M190" s="10">
        <f t="shared" si="20"/>
        <v>0.26782827803665982</v>
      </c>
      <c r="P190" s="8">
        <f t="shared" si="19"/>
        <v>9.685268269462874</v>
      </c>
    </row>
    <row r="191" spans="1:16" x14ac:dyDescent="0.2">
      <c r="A191" s="8">
        <v>94.5</v>
      </c>
      <c r="B191" s="8">
        <v>189</v>
      </c>
      <c r="D191">
        <v>3218.4144927535999</v>
      </c>
      <c r="E191">
        <v>888.47149758453997</v>
      </c>
      <c r="F191">
        <v>124.13326941515</v>
      </c>
      <c r="G191">
        <v>110.42857142857</v>
      </c>
      <c r="I191" s="9">
        <f t="shared" si="15"/>
        <v>778.04292615597001</v>
      </c>
      <c r="J191" s="9">
        <f t="shared" si="16"/>
        <v>3094.2812233384498</v>
      </c>
      <c r="K191" s="9">
        <f t="shared" si="17"/>
        <v>778.04292615597001</v>
      </c>
      <c r="L191" s="10">
        <f t="shared" si="14"/>
        <v>0.25144544726174956</v>
      </c>
      <c r="M191" s="10">
        <f t="shared" si="20"/>
        <v>0.26768407427548802</v>
      </c>
      <c r="P191" s="8">
        <f t="shared" si="19"/>
        <v>9.626211666681634</v>
      </c>
    </row>
    <row r="192" spans="1:16" x14ac:dyDescent="0.2">
      <c r="A192" s="8">
        <v>95</v>
      </c>
      <c r="B192" s="8">
        <v>190</v>
      </c>
      <c r="D192">
        <v>3200.8202898550999</v>
      </c>
      <c r="E192">
        <v>877.13236714975994</v>
      </c>
      <c r="F192">
        <v>123.48322147651</v>
      </c>
      <c r="G192">
        <v>110.39501438159</v>
      </c>
      <c r="I192" s="9">
        <f t="shared" si="15"/>
        <v>766.7373527681699</v>
      </c>
      <c r="J192" s="9">
        <f t="shared" si="16"/>
        <v>3077.3370683785897</v>
      </c>
      <c r="K192" s="9">
        <f t="shared" si="17"/>
        <v>766.7373527681699</v>
      </c>
      <c r="L192" s="10">
        <f t="shared" si="14"/>
        <v>0.24915611638609161</v>
      </c>
      <c r="M192" s="10">
        <f t="shared" si="20"/>
        <v>0.26548066206127841</v>
      </c>
      <c r="P192" s="8">
        <f t="shared" si="19"/>
        <v>8.7238354814801902</v>
      </c>
    </row>
    <row r="193" spans="1:16" x14ac:dyDescent="0.2">
      <c r="A193" s="8">
        <v>95.5</v>
      </c>
      <c r="B193" s="8">
        <v>191</v>
      </c>
      <c r="D193">
        <v>3191.0734299516998</v>
      </c>
      <c r="E193">
        <v>873.80869565216994</v>
      </c>
      <c r="F193">
        <v>124.05560882071001</v>
      </c>
      <c r="G193">
        <v>110.41610738255</v>
      </c>
      <c r="I193" s="9">
        <f t="shared" si="15"/>
        <v>763.39258826961998</v>
      </c>
      <c r="J193" s="9">
        <f t="shared" si="16"/>
        <v>3067.0178211309899</v>
      </c>
      <c r="K193" s="9">
        <f t="shared" si="17"/>
        <v>763.39258826961998</v>
      </c>
      <c r="L193" s="10">
        <f t="shared" si="14"/>
        <v>0.24890386453252242</v>
      </c>
      <c r="M193" s="10">
        <f t="shared" si="20"/>
        <v>0.26531432886915757</v>
      </c>
      <c r="P193" s="8">
        <f t="shared" si="19"/>
        <v>8.6557160844783816</v>
      </c>
    </row>
    <row r="194" spans="1:16" x14ac:dyDescent="0.2">
      <c r="A194" s="8">
        <v>96</v>
      </c>
      <c r="B194" s="8">
        <v>192</v>
      </c>
      <c r="D194">
        <v>3179.6618357488001</v>
      </c>
      <c r="E194">
        <v>870.20676328501997</v>
      </c>
      <c r="F194">
        <v>124.13902205177</v>
      </c>
      <c r="G194">
        <v>110.52828379674</v>
      </c>
      <c r="I194" s="9">
        <f t="shared" si="15"/>
        <v>759.67847948828</v>
      </c>
      <c r="J194" s="9">
        <f t="shared" si="16"/>
        <v>3055.52281369703</v>
      </c>
      <c r="K194" s="9">
        <f t="shared" si="17"/>
        <v>759.67847948828</v>
      </c>
      <c r="L194" s="10">
        <f t="shared" ref="L194:L257" si="21">K194/J194</f>
        <v>0.24862471197493924</v>
      </c>
      <c r="M194" s="10">
        <f t="shared" si="20"/>
        <v>0.26512109497302272</v>
      </c>
      <c r="P194" s="8">
        <f t="shared" si="19"/>
        <v>8.5765798861214524</v>
      </c>
    </row>
    <row r="195" spans="1:16" x14ac:dyDescent="0.2">
      <c r="A195" s="8">
        <v>96.5</v>
      </c>
      <c r="B195" s="8">
        <v>193</v>
      </c>
      <c r="D195">
        <v>3212.0268714012</v>
      </c>
      <c r="E195">
        <v>873.00383877159004</v>
      </c>
      <c r="F195">
        <v>124.44870565676</v>
      </c>
      <c r="G195">
        <v>110.3815915628</v>
      </c>
      <c r="I195" s="9">
        <f t="shared" ref="I195:I241" si="22">E195-G195</f>
        <v>762.62224720878999</v>
      </c>
      <c r="J195" s="9">
        <f t="shared" ref="J195:J241" si="23">D195-F195</f>
        <v>3087.57816574444</v>
      </c>
      <c r="K195" s="9">
        <f t="shared" ref="K195:K258" si="24">I195*1</f>
        <v>762.62224720878999</v>
      </c>
      <c r="L195" s="10">
        <f t="shared" si="21"/>
        <v>0.24699690380953176</v>
      </c>
      <c r="M195" s="10">
        <f t="shared" si="20"/>
        <v>0.2635792054690636</v>
      </c>
      <c r="P195" s="8">
        <f t="shared" ref="P195:P241" si="25">(M195-$O$2)/$O$2*100</f>
        <v>7.945120933678516</v>
      </c>
    </row>
    <row r="196" spans="1:16" x14ac:dyDescent="0.2">
      <c r="A196" s="8">
        <v>97</v>
      </c>
      <c r="B196" s="8">
        <v>194</v>
      </c>
      <c r="D196">
        <v>3221.9500959693</v>
      </c>
      <c r="E196">
        <v>871.03358925144005</v>
      </c>
      <c r="F196">
        <v>123.95206136146</v>
      </c>
      <c r="G196">
        <v>110.5953978907</v>
      </c>
      <c r="I196" s="9">
        <f t="shared" si="22"/>
        <v>760.43819136074001</v>
      </c>
      <c r="J196" s="9">
        <f t="shared" si="23"/>
        <v>3097.9980346078401</v>
      </c>
      <c r="K196" s="9">
        <f t="shared" si="24"/>
        <v>760.43819136074001</v>
      </c>
      <c r="L196" s="10">
        <f t="shared" si="21"/>
        <v>0.24546116003491913</v>
      </c>
      <c r="M196" s="10">
        <f t="shared" si="20"/>
        <v>0.26212938035589933</v>
      </c>
      <c r="P196" s="8">
        <f t="shared" si="25"/>
        <v>7.3513656452266343</v>
      </c>
    </row>
    <row r="197" spans="1:16" x14ac:dyDescent="0.2">
      <c r="A197" s="8">
        <v>97.5</v>
      </c>
      <c r="B197" s="8">
        <v>195</v>
      </c>
      <c r="D197">
        <v>3221.7389635316999</v>
      </c>
      <c r="E197">
        <v>869.26487523992</v>
      </c>
      <c r="F197">
        <v>124.58389261745</v>
      </c>
      <c r="G197">
        <v>110.43144774688</v>
      </c>
      <c r="I197" s="9">
        <f t="shared" si="22"/>
        <v>758.83342749304006</v>
      </c>
      <c r="J197" s="9">
        <f t="shared" si="23"/>
        <v>3097.1550709142498</v>
      </c>
      <c r="K197" s="9">
        <f t="shared" si="24"/>
        <v>758.83342749304006</v>
      </c>
      <c r="L197" s="10">
        <f t="shared" si="21"/>
        <v>0.24500982679857869</v>
      </c>
      <c r="M197" s="10">
        <f t="shared" si="20"/>
        <v>0.26176396578100725</v>
      </c>
      <c r="P197" s="8">
        <f t="shared" si="25"/>
        <v>7.2017152947467498</v>
      </c>
    </row>
    <row r="198" spans="1:16" x14ac:dyDescent="0.2">
      <c r="A198" s="8">
        <v>98</v>
      </c>
      <c r="B198" s="8">
        <v>196</v>
      </c>
      <c r="D198">
        <v>3090.1525911708</v>
      </c>
      <c r="E198">
        <v>831.15451055662004</v>
      </c>
      <c r="F198">
        <v>123.77468839885</v>
      </c>
      <c r="G198">
        <v>110.3422818792</v>
      </c>
      <c r="I198" s="9">
        <f t="shared" si="22"/>
        <v>720.81222867742008</v>
      </c>
      <c r="J198" s="9">
        <f t="shared" si="23"/>
        <v>2966.3779027719502</v>
      </c>
      <c r="K198" s="9">
        <f t="shared" si="24"/>
        <v>720.81222867742008</v>
      </c>
      <c r="L198" s="10">
        <f t="shared" si="21"/>
        <v>0.24299406626642298</v>
      </c>
      <c r="M198" s="10">
        <f t="shared" si="20"/>
        <v>0.25983412391029986</v>
      </c>
      <c r="P198" s="8">
        <f t="shared" si="25"/>
        <v>6.4113759591923181</v>
      </c>
    </row>
    <row r="199" spans="1:16" x14ac:dyDescent="0.2">
      <c r="A199" s="8">
        <v>98.5</v>
      </c>
      <c r="B199" s="8">
        <v>197</v>
      </c>
      <c r="D199">
        <v>3114.1180422265002</v>
      </c>
      <c r="E199">
        <v>835.19673704415004</v>
      </c>
      <c r="F199">
        <v>124.68935762224</v>
      </c>
      <c r="G199">
        <v>110.51390220518</v>
      </c>
      <c r="I199" s="9">
        <f t="shared" si="22"/>
        <v>724.68283483897005</v>
      </c>
      <c r="J199" s="9">
        <f t="shared" si="23"/>
        <v>2989.4286846042601</v>
      </c>
      <c r="K199" s="9">
        <f t="shared" si="24"/>
        <v>724.68283483897005</v>
      </c>
      <c r="L199" s="10">
        <f t="shared" si="21"/>
        <v>0.24241516065298055</v>
      </c>
      <c r="M199" s="10">
        <f t="shared" si="20"/>
        <v>0.2593411369583058</v>
      </c>
      <c r="P199" s="8">
        <f t="shared" si="25"/>
        <v>6.2094801531213371</v>
      </c>
    </row>
    <row r="200" spans="1:16" x14ac:dyDescent="0.2">
      <c r="A200" s="8">
        <v>99</v>
      </c>
      <c r="B200" s="8">
        <v>198</v>
      </c>
      <c r="D200">
        <v>3018.1516314779001</v>
      </c>
      <c r="E200">
        <v>807.86948176583996</v>
      </c>
      <c r="F200">
        <v>124.23010546501</v>
      </c>
      <c r="G200">
        <v>110.41323106423999</v>
      </c>
      <c r="I200" s="9">
        <f t="shared" si="22"/>
        <v>697.45625070159997</v>
      </c>
      <c r="J200" s="9">
        <f t="shared" si="23"/>
        <v>2893.9215260128899</v>
      </c>
      <c r="K200" s="9">
        <f t="shared" si="24"/>
        <v>697.45625070159997</v>
      </c>
      <c r="L200" s="10">
        <f t="shared" si="21"/>
        <v>0.24100731289093477</v>
      </c>
      <c r="M200" s="10">
        <f t="shared" si="20"/>
        <v>0.25801920785770838</v>
      </c>
      <c r="P200" s="8">
        <f t="shared" si="25"/>
        <v>5.6681028605697614</v>
      </c>
    </row>
    <row r="201" spans="1:16" x14ac:dyDescent="0.2">
      <c r="A201" s="8">
        <v>99.5</v>
      </c>
      <c r="B201" s="8">
        <v>199</v>
      </c>
      <c r="D201">
        <v>3034.1641074856002</v>
      </c>
      <c r="E201">
        <v>809.06142034548998</v>
      </c>
      <c r="F201">
        <v>123.9702780441</v>
      </c>
      <c r="G201">
        <v>110.35282837967</v>
      </c>
      <c r="I201" s="9">
        <f t="shared" si="22"/>
        <v>698.70859196582001</v>
      </c>
      <c r="J201" s="9">
        <f t="shared" si="23"/>
        <v>2910.1938294415004</v>
      </c>
      <c r="K201" s="9">
        <f t="shared" si="24"/>
        <v>698.70859196582001</v>
      </c>
      <c r="L201" s="10">
        <f t="shared" si="21"/>
        <v>0.24009005341747638</v>
      </c>
      <c r="M201" s="10">
        <f t="shared" si="20"/>
        <v>0.25718786704569835</v>
      </c>
      <c r="P201" s="8">
        <f t="shared" si="25"/>
        <v>5.3276390355505381</v>
      </c>
    </row>
    <row r="202" spans="1:16" x14ac:dyDescent="0.2">
      <c r="A202" s="8">
        <v>100</v>
      </c>
      <c r="B202" s="8">
        <v>200</v>
      </c>
      <c r="D202">
        <v>3051.6429942417999</v>
      </c>
      <c r="E202">
        <v>806.88675623799998</v>
      </c>
      <c r="F202">
        <v>124.33940556088</v>
      </c>
      <c r="G202">
        <v>110.59060402685</v>
      </c>
      <c r="I202" s="9">
        <f t="shared" si="22"/>
        <v>696.29615221115</v>
      </c>
      <c r="J202" s="9">
        <f t="shared" si="23"/>
        <v>2927.3035886809198</v>
      </c>
      <c r="K202" s="9">
        <f t="shared" si="24"/>
        <v>696.29615221115</v>
      </c>
      <c r="L202" s="10">
        <f t="shared" si="21"/>
        <v>0.23786263744680813</v>
      </c>
      <c r="M202" s="10">
        <f t="shared" si="20"/>
        <v>0.25504636973647843</v>
      </c>
      <c r="P202" s="8">
        <f t="shared" si="25"/>
        <v>4.4506192205332145</v>
      </c>
    </row>
    <row r="203" spans="1:16" x14ac:dyDescent="0.2">
      <c r="A203" s="8">
        <v>100.5</v>
      </c>
      <c r="B203" s="8">
        <v>201</v>
      </c>
      <c r="D203">
        <v>2979.3426103646998</v>
      </c>
      <c r="E203">
        <v>788.82245681382005</v>
      </c>
      <c r="F203">
        <v>124.46883988495</v>
      </c>
      <c r="G203">
        <v>110.69798657718</v>
      </c>
      <c r="I203" s="9">
        <f t="shared" si="22"/>
        <v>678.12447023664004</v>
      </c>
      <c r="J203" s="9">
        <f t="shared" si="23"/>
        <v>2854.87377047975</v>
      </c>
      <c r="K203" s="9">
        <f t="shared" si="24"/>
        <v>678.12447023664004</v>
      </c>
      <c r="L203" s="10">
        <f t="shared" si="21"/>
        <v>0.2375322079906475</v>
      </c>
      <c r="M203" s="10">
        <f t="shared" si="20"/>
        <v>0.25480185894176616</v>
      </c>
      <c r="P203" s="8">
        <f t="shared" si="25"/>
        <v>4.3504832964650175</v>
      </c>
    </row>
    <row r="204" spans="1:16" x14ac:dyDescent="0.2">
      <c r="A204" s="8">
        <v>101</v>
      </c>
      <c r="B204" s="8">
        <v>202</v>
      </c>
      <c r="D204">
        <v>2943.7399232245998</v>
      </c>
      <c r="E204">
        <v>778.46928982726001</v>
      </c>
      <c r="F204">
        <v>124.08533077660999</v>
      </c>
      <c r="G204">
        <v>110.63183125598999</v>
      </c>
      <c r="I204" s="9">
        <f t="shared" si="22"/>
        <v>667.83745857126996</v>
      </c>
      <c r="J204" s="9">
        <f t="shared" si="23"/>
        <v>2819.6545924479897</v>
      </c>
      <c r="K204" s="9">
        <f t="shared" si="24"/>
        <v>667.83745857126996</v>
      </c>
      <c r="L204" s="10">
        <f t="shared" si="21"/>
        <v>0.23685080447795617</v>
      </c>
      <c r="M204" s="10">
        <f t="shared" si="20"/>
        <v>0.25420637409052321</v>
      </c>
      <c r="P204" s="8">
        <f t="shared" si="25"/>
        <v>4.1066109311651759</v>
      </c>
    </row>
    <row r="205" spans="1:16" x14ac:dyDescent="0.2">
      <c r="A205" s="8">
        <v>101.5</v>
      </c>
      <c r="B205" s="8">
        <v>203</v>
      </c>
      <c r="D205">
        <v>2949.0815738964002</v>
      </c>
      <c r="E205">
        <v>773.06813819577997</v>
      </c>
      <c r="F205">
        <v>124.64908916587</v>
      </c>
      <c r="G205">
        <v>110.58964525408</v>
      </c>
      <c r="I205" s="9">
        <f t="shared" si="22"/>
        <v>662.47849294169998</v>
      </c>
      <c r="J205" s="9">
        <f t="shared" si="23"/>
        <v>2824.4324847305302</v>
      </c>
      <c r="K205" s="9">
        <f t="shared" si="24"/>
        <v>662.47849294169998</v>
      </c>
      <c r="L205" s="10">
        <f t="shared" si="21"/>
        <v>0.2345527806110419</v>
      </c>
      <c r="M205" s="10">
        <f t="shared" si="20"/>
        <v>0.25199426888505727</v>
      </c>
      <c r="P205" s="8">
        <f t="shared" si="25"/>
        <v>3.2006746548299505</v>
      </c>
    </row>
    <row r="206" spans="1:16" x14ac:dyDescent="0.2">
      <c r="A206" s="8">
        <v>102</v>
      </c>
      <c r="B206" s="8">
        <v>204</v>
      </c>
      <c r="D206">
        <v>2927.9702495202</v>
      </c>
      <c r="E206">
        <v>764.8310940499</v>
      </c>
      <c r="F206">
        <v>124.32310642378</v>
      </c>
      <c r="G206">
        <v>110.85234899328999</v>
      </c>
      <c r="I206" s="9">
        <f t="shared" si="22"/>
        <v>653.97874505661002</v>
      </c>
      <c r="J206" s="9">
        <f t="shared" si="23"/>
        <v>2803.6471430964202</v>
      </c>
      <c r="K206" s="9">
        <f t="shared" si="24"/>
        <v>653.97874505661002</v>
      </c>
      <c r="L206" s="10">
        <f t="shared" si="21"/>
        <v>0.23326000444347608</v>
      </c>
      <c r="M206" s="10">
        <f t="shared" si="20"/>
        <v>0.25078741137893978</v>
      </c>
      <c r="P206" s="8">
        <f t="shared" si="25"/>
        <v>2.7064232998502038</v>
      </c>
    </row>
    <row r="207" spans="1:16" x14ac:dyDescent="0.2">
      <c r="A207" s="8">
        <v>102.5</v>
      </c>
      <c r="B207" s="8">
        <v>205</v>
      </c>
      <c r="D207">
        <v>2993.3502879079001</v>
      </c>
      <c r="E207">
        <v>774.57101727447002</v>
      </c>
      <c r="F207">
        <v>124.14285714286</v>
      </c>
      <c r="G207">
        <v>110.14860977948</v>
      </c>
      <c r="I207" s="9">
        <f t="shared" si="22"/>
        <v>664.42240749499001</v>
      </c>
      <c r="J207" s="9">
        <f t="shared" si="23"/>
        <v>2869.20743076504</v>
      </c>
      <c r="K207" s="9">
        <f t="shared" si="24"/>
        <v>664.42240749499001</v>
      </c>
      <c r="L207" s="10">
        <f t="shared" si="21"/>
        <v>0.23157001490053639</v>
      </c>
      <c r="M207" s="10">
        <f t="shared" si="20"/>
        <v>0.24918334049744845</v>
      </c>
      <c r="P207" s="8">
        <f t="shared" si="25"/>
        <v>2.0494988471771061</v>
      </c>
    </row>
    <row r="208" spans="1:16" x14ac:dyDescent="0.2">
      <c r="A208" s="8">
        <v>103</v>
      </c>
      <c r="B208" s="8">
        <v>206</v>
      </c>
      <c r="D208">
        <v>2972.7188099808</v>
      </c>
      <c r="E208">
        <v>767.38003838771999</v>
      </c>
      <c r="F208">
        <v>124.52444870566001</v>
      </c>
      <c r="G208">
        <v>110.48513902205001</v>
      </c>
      <c r="I208" s="9">
        <f t="shared" si="22"/>
        <v>656.89489936566997</v>
      </c>
      <c r="J208" s="9">
        <f t="shared" si="23"/>
        <v>2848.1943612751402</v>
      </c>
      <c r="K208" s="9">
        <f t="shared" si="24"/>
        <v>656.89489936566997</v>
      </c>
      <c r="L208" s="10">
        <f t="shared" si="21"/>
        <v>0.23063555925009882</v>
      </c>
      <c r="M208" s="10">
        <f t="shared" si="20"/>
        <v>0.24833480350845924</v>
      </c>
      <c r="P208" s="8">
        <f t="shared" si="25"/>
        <v>1.7019925720514302</v>
      </c>
    </row>
    <row r="209" spans="1:16" x14ac:dyDescent="0.2">
      <c r="A209" s="8">
        <v>103.5</v>
      </c>
      <c r="B209" s="8">
        <v>207</v>
      </c>
      <c r="D209">
        <v>2913.4760076775001</v>
      </c>
      <c r="E209">
        <v>753.33781190018999</v>
      </c>
      <c r="F209">
        <v>124.75455417066</v>
      </c>
      <c r="G209">
        <v>110.80824544583</v>
      </c>
      <c r="I209" s="9">
        <f t="shared" si="22"/>
        <v>642.52956645435995</v>
      </c>
      <c r="J209" s="9">
        <f t="shared" si="23"/>
        <v>2788.7214535068401</v>
      </c>
      <c r="K209" s="9">
        <f t="shared" si="24"/>
        <v>642.52956645435995</v>
      </c>
      <c r="L209" s="10">
        <f t="shared" si="21"/>
        <v>0.2304029201792003</v>
      </c>
      <c r="M209" s="10">
        <f t="shared" si="20"/>
        <v>0.24818808309900908</v>
      </c>
      <c r="P209" s="8">
        <f t="shared" si="25"/>
        <v>1.6419053117026812</v>
      </c>
    </row>
    <row r="210" spans="1:16" x14ac:dyDescent="0.2">
      <c r="A210" s="8">
        <v>104</v>
      </c>
      <c r="B210" s="8">
        <v>208</v>
      </c>
      <c r="D210">
        <v>2938.689059501</v>
      </c>
      <c r="E210">
        <v>754.02879078695003</v>
      </c>
      <c r="F210">
        <v>124.28379674017</v>
      </c>
      <c r="G210">
        <v>110.85426653883</v>
      </c>
      <c r="I210" s="9">
        <f t="shared" si="22"/>
        <v>643.17452424812006</v>
      </c>
      <c r="J210" s="9">
        <f t="shared" si="23"/>
        <v>2814.4052627608298</v>
      </c>
      <c r="K210" s="9">
        <f t="shared" si="24"/>
        <v>643.17452424812006</v>
      </c>
      <c r="L210" s="10">
        <f t="shared" si="21"/>
        <v>0.22852946331445853</v>
      </c>
      <c r="M210" s="10">
        <f t="shared" si="20"/>
        <v>0.24640054489571567</v>
      </c>
      <c r="P210" s="8">
        <f t="shared" si="25"/>
        <v>0.90984442251115705</v>
      </c>
    </row>
    <row r="211" spans="1:16" x14ac:dyDescent="0.2">
      <c r="A211" s="8">
        <v>104.5</v>
      </c>
      <c r="B211" s="8">
        <v>209</v>
      </c>
      <c r="D211">
        <v>2916.6593090210999</v>
      </c>
      <c r="E211">
        <v>747.74088291747</v>
      </c>
      <c r="F211">
        <v>124.53403643337001</v>
      </c>
      <c r="G211">
        <v>111.06040268456</v>
      </c>
      <c r="I211" s="9">
        <f t="shared" si="22"/>
        <v>636.68048023290999</v>
      </c>
      <c r="J211" s="9">
        <f t="shared" si="23"/>
        <v>2792.1252725877298</v>
      </c>
      <c r="K211" s="9">
        <f t="shared" si="24"/>
        <v>636.68048023290999</v>
      </c>
      <c r="L211" s="10">
        <f t="shared" si="21"/>
        <v>0.22802719007046457</v>
      </c>
      <c r="M211" s="10">
        <f t="shared" si="20"/>
        <v>0.24598419031317004</v>
      </c>
      <c r="P211" s="8">
        <f t="shared" si="25"/>
        <v>0.73933231521423171</v>
      </c>
    </row>
    <row r="212" spans="1:16" x14ac:dyDescent="0.2">
      <c r="A212" s="8">
        <v>105</v>
      </c>
      <c r="B212" s="8">
        <v>210</v>
      </c>
      <c r="D212">
        <v>2739.0921305182001</v>
      </c>
      <c r="E212">
        <v>697.44721689059998</v>
      </c>
      <c r="F212">
        <v>124.41323106423999</v>
      </c>
      <c r="G212">
        <v>110.99520613615</v>
      </c>
      <c r="I212" s="9">
        <f t="shared" si="22"/>
        <v>586.45201075444993</v>
      </c>
      <c r="J212" s="9">
        <f t="shared" si="23"/>
        <v>2614.6788994539602</v>
      </c>
      <c r="K212" s="9">
        <f t="shared" si="24"/>
        <v>586.45201075444993</v>
      </c>
      <c r="L212" s="10">
        <f t="shared" si="21"/>
        <v>0.22429217250229938</v>
      </c>
      <c r="M212" s="10">
        <f t="shared" si="20"/>
        <v>0.24233509140645321</v>
      </c>
      <c r="P212" s="8">
        <f t="shared" si="25"/>
        <v>-0.75510432702207997</v>
      </c>
    </row>
    <row r="213" spans="1:16" x14ac:dyDescent="0.2">
      <c r="A213" s="8">
        <v>105.5</v>
      </c>
      <c r="B213" s="8">
        <v>211</v>
      </c>
      <c r="D213">
        <v>2754.63243762</v>
      </c>
      <c r="E213">
        <v>702.08829174664004</v>
      </c>
      <c r="F213">
        <v>124.67976989454</v>
      </c>
      <c r="G213">
        <v>110.85139022052</v>
      </c>
      <c r="I213" s="9">
        <f t="shared" si="22"/>
        <v>591.23690152612005</v>
      </c>
      <c r="J213" s="9">
        <f t="shared" si="23"/>
        <v>2629.9526677254598</v>
      </c>
      <c r="K213" s="9">
        <f t="shared" si="24"/>
        <v>591.23690152612005</v>
      </c>
      <c r="L213" s="10">
        <f t="shared" si="21"/>
        <v>0.22480895142400301</v>
      </c>
      <c r="M213" s="10">
        <f t="shared" si="20"/>
        <v>0.24293778898960519</v>
      </c>
      <c r="P213" s="8">
        <f t="shared" si="25"/>
        <v>-0.50827808978534683</v>
      </c>
    </row>
    <row r="214" spans="1:16" x14ac:dyDescent="0.2">
      <c r="A214" s="8">
        <v>106</v>
      </c>
      <c r="B214" s="8">
        <v>212</v>
      </c>
      <c r="D214">
        <v>2796.1113243762002</v>
      </c>
      <c r="E214">
        <v>707.63819577735001</v>
      </c>
      <c r="F214">
        <v>124.70086289549</v>
      </c>
      <c r="G214">
        <v>110.84563758389</v>
      </c>
      <c r="I214" s="9">
        <f t="shared" si="22"/>
        <v>596.79255819345997</v>
      </c>
      <c r="J214" s="9">
        <f t="shared" si="23"/>
        <v>2671.4104614807102</v>
      </c>
      <c r="K214" s="9">
        <f t="shared" si="24"/>
        <v>596.79255819345997</v>
      </c>
      <c r="L214" s="10">
        <f t="shared" si="21"/>
        <v>0.22339979827086159</v>
      </c>
      <c r="M214" s="10">
        <f t="shared" si="20"/>
        <v>0.24161455449791214</v>
      </c>
      <c r="P214" s="8">
        <f t="shared" si="25"/>
        <v>-1.050189986724372</v>
      </c>
    </row>
    <row r="215" spans="1:16" x14ac:dyDescent="0.2">
      <c r="A215" s="8">
        <v>106.5</v>
      </c>
      <c r="B215" s="8">
        <v>213</v>
      </c>
      <c r="D215">
        <v>2671.0796545106</v>
      </c>
      <c r="E215">
        <v>673.92514395394005</v>
      </c>
      <c r="F215">
        <v>125.21955896452999</v>
      </c>
      <c r="G215">
        <v>110.55033557047</v>
      </c>
      <c r="I215" s="9">
        <f t="shared" si="22"/>
        <v>563.37480838347005</v>
      </c>
      <c r="J215" s="9">
        <f t="shared" si="23"/>
        <v>2545.8600955460702</v>
      </c>
      <c r="K215" s="9">
        <f t="shared" si="24"/>
        <v>563.37480838347005</v>
      </c>
      <c r="L215" s="10">
        <f t="shared" si="21"/>
        <v>0.22129056084781826</v>
      </c>
      <c r="M215" s="10">
        <f t="shared" si="20"/>
        <v>0.23959123573631713</v>
      </c>
      <c r="P215" s="8">
        <f t="shared" si="25"/>
        <v>-1.8788114556262048</v>
      </c>
    </row>
    <row r="216" spans="1:16" x14ac:dyDescent="0.2">
      <c r="A216" s="8">
        <v>107</v>
      </c>
      <c r="B216" s="8">
        <v>214</v>
      </c>
      <c r="D216">
        <v>2735.8099808061002</v>
      </c>
      <c r="E216">
        <v>686.47504798465002</v>
      </c>
      <c r="F216">
        <v>124.69606903163999</v>
      </c>
      <c r="G216">
        <v>110.41323106423999</v>
      </c>
      <c r="I216" s="9">
        <f t="shared" si="22"/>
        <v>576.06181692041002</v>
      </c>
      <c r="J216" s="9">
        <f t="shared" si="23"/>
        <v>2611.1139117744601</v>
      </c>
      <c r="K216" s="9">
        <f t="shared" si="24"/>
        <v>576.06181692041002</v>
      </c>
      <c r="L216" s="10">
        <f t="shared" si="21"/>
        <v>0.22061918261119834</v>
      </c>
      <c r="M216" s="10">
        <f t="shared" si="20"/>
        <v>0.23900577616114557</v>
      </c>
      <c r="P216" s="8">
        <f t="shared" si="25"/>
        <v>-2.1185781114638997</v>
      </c>
    </row>
    <row r="217" spans="1:16" x14ac:dyDescent="0.2">
      <c r="A217" s="8">
        <v>107.5</v>
      </c>
      <c r="B217" s="8">
        <v>215</v>
      </c>
      <c r="D217">
        <v>2781.0468292682999</v>
      </c>
      <c r="E217">
        <v>698.28975609756003</v>
      </c>
      <c r="F217">
        <v>124.73921380633</v>
      </c>
      <c r="G217">
        <v>110.78235858102001</v>
      </c>
      <c r="I217" s="9">
        <f t="shared" si="22"/>
        <v>587.50739751653998</v>
      </c>
      <c r="J217" s="9">
        <f t="shared" si="23"/>
        <v>2656.3076154619698</v>
      </c>
      <c r="K217" s="9">
        <f t="shared" si="24"/>
        <v>587.50739751653998</v>
      </c>
      <c r="L217" s="10">
        <f t="shared" si="21"/>
        <v>0.22117445814511361</v>
      </c>
      <c r="M217" s="10">
        <f t="shared" si="20"/>
        <v>0.2396469703565092</v>
      </c>
      <c r="P217" s="8">
        <f t="shared" si="25"/>
        <v>-1.8559861333246268</v>
      </c>
    </row>
    <row r="218" spans="1:16" x14ac:dyDescent="0.2">
      <c r="A218" s="8">
        <v>108</v>
      </c>
      <c r="B218" s="8">
        <v>216</v>
      </c>
      <c r="D218">
        <v>2797.4839024389998</v>
      </c>
      <c r="E218">
        <v>701.02926829267994</v>
      </c>
      <c r="F218">
        <v>125.06615532119</v>
      </c>
      <c r="G218">
        <v>110.93576222435</v>
      </c>
      <c r="I218" s="9">
        <f t="shared" si="22"/>
        <v>590.09350606832993</v>
      </c>
      <c r="J218" s="9">
        <f t="shared" si="23"/>
        <v>2672.41774711781</v>
      </c>
      <c r="K218" s="9">
        <f t="shared" si="24"/>
        <v>590.09350606832993</v>
      </c>
      <c r="L218" s="10">
        <f t="shared" si="21"/>
        <v>0.22080885621446833</v>
      </c>
      <c r="M218" s="10">
        <f t="shared" si="20"/>
        <v>0.23936728708731228</v>
      </c>
      <c r="P218" s="8">
        <f t="shared" si="25"/>
        <v>-1.9705264448900295</v>
      </c>
    </row>
    <row r="219" spans="1:16" x14ac:dyDescent="0.2">
      <c r="A219" s="8">
        <v>108.5</v>
      </c>
      <c r="B219" s="8">
        <v>217</v>
      </c>
      <c r="D219">
        <v>2787.3629268292998</v>
      </c>
      <c r="E219">
        <v>695.25268292682995</v>
      </c>
      <c r="F219">
        <v>125.14669223394</v>
      </c>
      <c r="G219">
        <v>110.63950143816</v>
      </c>
      <c r="I219" s="9">
        <f t="shared" si="22"/>
        <v>584.61318148866997</v>
      </c>
      <c r="J219" s="9">
        <f t="shared" si="23"/>
        <v>2662.2162345953598</v>
      </c>
      <c r="K219" s="9">
        <f t="shared" si="24"/>
        <v>584.61318148866997</v>
      </c>
      <c r="L219" s="10">
        <f t="shared" si="21"/>
        <v>0.21959643018161051</v>
      </c>
      <c r="M219" s="10">
        <f t="shared" si="20"/>
        <v>0.2382407797159028</v>
      </c>
      <c r="P219" s="8">
        <f t="shared" si="25"/>
        <v>-2.4318715431236972</v>
      </c>
    </row>
    <row r="220" spans="1:16" x14ac:dyDescent="0.2">
      <c r="A220" s="8">
        <v>109</v>
      </c>
      <c r="B220" s="8">
        <v>218</v>
      </c>
      <c r="D220">
        <v>2802.1404878049002</v>
      </c>
      <c r="E220">
        <v>697.01463414633997</v>
      </c>
      <c r="F220">
        <v>125.06232023011</v>
      </c>
      <c r="G220">
        <v>110.6481303931</v>
      </c>
      <c r="I220" s="9">
        <f t="shared" si="22"/>
        <v>586.36650375323995</v>
      </c>
      <c r="J220" s="9">
        <f t="shared" si="23"/>
        <v>2677.0781675747903</v>
      </c>
      <c r="K220" s="9">
        <f t="shared" si="24"/>
        <v>586.36650375323995</v>
      </c>
      <c r="L220" s="10">
        <f t="shared" si="21"/>
        <v>0.21903226840942008</v>
      </c>
      <c r="M220" s="10">
        <f t="shared" si="20"/>
        <v>0.23776253660516072</v>
      </c>
      <c r="P220" s="8">
        <f t="shared" si="25"/>
        <v>-2.6277292183636001</v>
      </c>
    </row>
    <row r="221" spans="1:16" x14ac:dyDescent="0.2">
      <c r="A221" s="8">
        <v>109.5</v>
      </c>
      <c r="B221" s="8">
        <v>219</v>
      </c>
      <c r="D221">
        <v>2851.9662162161999</v>
      </c>
      <c r="E221">
        <v>707.91409266409005</v>
      </c>
      <c r="F221">
        <v>124.58581016299</v>
      </c>
      <c r="G221">
        <v>110.78331735379</v>
      </c>
      <c r="I221" s="9">
        <f t="shared" si="22"/>
        <v>597.13077531030001</v>
      </c>
      <c r="J221" s="9">
        <f t="shared" si="23"/>
        <v>2727.3804060532098</v>
      </c>
      <c r="K221" s="9">
        <f t="shared" si="24"/>
        <v>597.13077531030001</v>
      </c>
      <c r="L221" s="10">
        <f t="shared" si="21"/>
        <v>0.21893930673734197</v>
      </c>
      <c r="M221" s="10">
        <f t="shared" si="20"/>
        <v>0.23775549359453096</v>
      </c>
      <c r="P221" s="8">
        <f t="shared" si="25"/>
        <v>-2.6306135833605033</v>
      </c>
    </row>
    <row r="222" spans="1:16" x14ac:dyDescent="0.2">
      <c r="A222" s="8">
        <v>110</v>
      </c>
      <c r="B222" s="8">
        <v>220</v>
      </c>
      <c r="D222">
        <v>2842.6003861004001</v>
      </c>
      <c r="E222">
        <v>703.98069498070004</v>
      </c>
      <c r="F222">
        <v>124.20038350911</v>
      </c>
      <c r="G222">
        <v>111.06711409396</v>
      </c>
      <c r="I222" s="9">
        <f t="shared" si="22"/>
        <v>592.91358088674008</v>
      </c>
      <c r="J222" s="9">
        <f t="shared" si="23"/>
        <v>2718.4000025912901</v>
      </c>
      <c r="K222" s="9">
        <f t="shared" si="24"/>
        <v>592.91358088674008</v>
      </c>
      <c r="L222" s="10">
        <f t="shared" si="21"/>
        <v>0.21811123466802185</v>
      </c>
      <c r="M222" s="10">
        <f t="shared" si="20"/>
        <v>0.2370133401866592</v>
      </c>
      <c r="P222" s="8">
        <f t="shared" si="25"/>
        <v>-2.934551973422391</v>
      </c>
    </row>
    <row r="223" spans="1:16" x14ac:dyDescent="0.2">
      <c r="A223" s="8">
        <v>110.5</v>
      </c>
      <c r="B223" s="8">
        <v>221</v>
      </c>
      <c r="D223">
        <v>2850.7693050193002</v>
      </c>
      <c r="E223">
        <v>705.36486486487001</v>
      </c>
      <c r="F223">
        <v>124.62224352827999</v>
      </c>
      <c r="G223">
        <v>110.42569511025999</v>
      </c>
      <c r="I223" s="9">
        <f t="shared" si="22"/>
        <v>594.93916975461002</v>
      </c>
      <c r="J223" s="9">
        <f t="shared" si="23"/>
        <v>2726.1470614910204</v>
      </c>
      <c r="K223" s="9">
        <f t="shared" si="24"/>
        <v>594.93916975461002</v>
      </c>
      <c r="L223" s="10">
        <f t="shared" si="21"/>
        <v>0.21823443722409386</v>
      </c>
      <c r="M223" s="10">
        <f t="shared" si="20"/>
        <v>0.23722246140417957</v>
      </c>
      <c r="P223" s="8">
        <f t="shared" si="25"/>
        <v>-2.8489093481824277</v>
      </c>
    </row>
    <row r="224" spans="1:16" x14ac:dyDescent="0.2">
      <c r="A224" s="8">
        <v>111</v>
      </c>
      <c r="B224" s="8">
        <v>222</v>
      </c>
      <c r="D224">
        <v>2834.8001930502001</v>
      </c>
      <c r="E224">
        <v>701.55984555985003</v>
      </c>
      <c r="F224">
        <v>124.78139980825</v>
      </c>
      <c r="G224">
        <v>110.59060402685</v>
      </c>
      <c r="I224" s="9">
        <f t="shared" si="22"/>
        <v>590.96924153300006</v>
      </c>
      <c r="J224" s="9">
        <f t="shared" si="23"/>
        <v>2710.0187932419499</v>
      </c>
      <c r="K224" s="9">
        <f t="shared" si="24"/>
        <v>590.96924153300006</v>
      </c>
      <c r="L224" s="10">
        <f t="shared" si="21"/>
        <v>0.21806831856912456</v>
      </c>
      <c r="M224" s="10">
        <f t="shared" si="20"/>
        <v>0.23714226141065861</v>
      </c>
      <c r="P224" s="8">
        <f t="shared" si="25"/>
        <v>-2.8817541167372696</v>
      </c>
    </row>
    <row r="225" spans="1:16" x14ac:dyDescent="0.2">
      <c r="A225" s="8">
        <v>111.5</v>
      </c>
      <c r="B225" s="8">
        <v>223</v>
      </c>
      <c r="D225">
        <v>2853.1805019305002</v>
      </c>
      <c r="E225">
        <v>702.57239382239004</v>
      </c>
      <c r="F225">
        <v>124.80153403643</v>
      </c>
      <c r="G225">
        <v>110.73058485139001</v>
      </c>
      <c r="I225" s="9">
        <f t="shared" si="22"/>
        <v>591.84180897100009</v>
      </c>
      <c r="J225" s="9">
        <f t="shared" si="23"/>
        <v>2728.3789678940702</v>
      </c>
      <c r="K225" s="9">
        <f t="shared" si="24"/>
        <v>591.84180897100009</v>
      </c>
      <c r="L225" s="10">
        <f t="shared" si="21"/>
        <v>0.21692067558628772</v>
      </c>
      <c r="M225" s="10">
        <f t="shared" si="20"/>
        <v>0.23608053708927013</v>
      </c>
      <c r="P225" s="8">
        <f t="shared" si="25"/>
        <v>-3.3165682367151805</v>
      </c>
    </row>
    <row r="226" spans="1:16" x14ac:dyDescent="0.2">
      <c r="A226" s="8">
        <v>112</v>
      </c>
      <c r="B226" s="8">
        <v>224</v>
      </c>
      <c r="D226">
        <v>2820.4761904761999</v>
      </c>
      <c r="E226">
        <v>697.29543245870002</v>
      </c>
      <c r="F226">
        <v>125.21764141897999</v>
      </c>
      <c r="G226">
        <v>111.07957813998</v>
      </c>
      <c r="I226" s="9">
        <f t="shared" si="22"/>
        <v>586.21585431872006</v>
      </c>
      <c r="J226" s="9">
        <f t="shared" si="23"/>
        <v>2695.2585490572201</v>
      </c>
      <c r="K226" s="9">
        <f t="shared" si="24"/>
        <v>586.21585431872006</v>
      </c>
      <c r="L226" s="10">
        <f t="shared" si="21"/>
        <v>0.21749893141931548</v>
      </c>
      <c r="M226" s="10">
        <f t="shared" si="20"/>
        <v>0.23674471158374624</v>
      </c>
      <c r="P226" s="8">
        <f t="shared" si="25"/>
        <v>-3.0445650033808116</v>
      </c>
    </row>
    <row r="227" spans="1:16" x14ac:dyDescent="0.2">
      <c r="A227" s="8">
        <v>112.5</v>
      </c>
      <c r="B227" s="8">
        <v>225</v>
      </c>
      <c r="D227">
        <v>2768.6200194364001</v>
      </c>
      <c r="E227">
        <v>685.11078717200996</v>
      </c>
      <c r="F227">
        <v>125.02109300095999</v>
      </c>
      <c r="G227">
        <v>110.93863854267001</v>
      </c>
      <c r="I227" s="9">
        <f t="shared" si="22"/>
        <v>574.17214862933997</v>
      </c>
      <c r="J227" s="9">
        <f t="shared" si="23"/>
        <v>2643.5989264354403</v>
      </c>
      <c r="K227" s="9">
        <f t="shared" si="24"/>
        <v>574.17214862933997</v>
      </c>
      <c r="L227" s="10">
        <f t="shared" si="21"/>
        <v>0.21719336578924198</v>
      </c>
      <c r="M227" s="10">
        <f t="shared" si="20"/>
        <v>0.23652506461512107</v>
      </c>
      <c r="P227" s="8">
        <f t="shared" si="25"/>
        <v>-3.1345183005264121</v>
      </c>
    </row>
    <row r="228" spans="1:16" x14ac:dyDescent="0.2">
      <c r="A228" s="8">
        <v>113</v>
      </c>
      <c r="B228" s="8">
        <v>226</v>
      </c>
      <c r="D228">
        <v>2693.5131195334998</v>
      </c>
      <c r="E228">
        <v>666.99514091351</v>
      </c>
      <c r="F228">
        <v>124.9309683605</v>
      </c>
      <c r="G228">
        <v>110.90891658677</v>
      </c>
      <c r="I228" s="9">
        <f t="shared" si="22"/>
        <v>556.08622432673997</v>
      </c>
      <c r="J228" s="9">
        <f t="shared" si="23"/>
        <v>2568.5821511729996</v>
      </c>
      <c r="K228" s="9">
        <f t="shared" si="24"/>
        <v>556.08622432673997</v>
      </c>
      <c r="L228" s="10">
        <f t="shared" si="21"/>
        <v>0.21649540158674346</v>
      </c>
      <c r="M228" s="10">
        <f t="shared" si="20"/>
        <v>0.23591301907407092</v>
      </c>
      <c r="P228" s="8">
        <f t="shared" si="25"/>
        <v>-3.385172861184961</v>
      </c>
    </row>
    <row r="229" spans="1:16" x14ac:dyDescent="0.2">
      <c r="A229" s="8">
        <v>113.5</v>
      </c>
      <c r="B229" s="8">
        <v>227</v>
      </c>
      <c r="D229">
        <v>2705.1372930867001</v>
      </c>
      <c r="E229">
        <v>669.81402142162005</v>
      </c>
      <c r="F229">
        <v>125.20517737295999</v>
      </c>
      <c r="G229">
        <v>110.90891658677</v>
      </c>
      <c r="I229" s="9">
        <f t="shared" si="22"/>
        <v>558.90510483485002</v>
      </c>
      <c r="J229" s="9">
        <f t="shared" si="23"/>
        <v>2579.9321157137401</v>
      </c>
      <c r="K229" s="9">
        <f t="shared" si="24"/>
        <v>558.90510483485002</v>
      </c>
      <c r="L229" s="10">
        <f t="shared" si="21"/>
        <v>0.21663558565386071</v>
      </c>
      <c r="M229" s="10">
        <f t="shared" si="20"/>
        <v>0.23613912180263652</v>
      </c>
      <c r="P229" s="8">
        <f t="shared" si="25"/>
        <v>-3.2925756992236654</v>
      </c>
    </row>
    <row r="230" spans="1:16" x14ac:dyDescent="0.2">
      <c r="A230" s="8">
        <v>114</v>
      </c>
      <c r="B230" s="8">
        <v>228</v>
      </c>
      <c r="D230">
        <v>2772.2317429405998</v>
      </c>
      <c r="E230">
        <v>685.58909444984999</v>
      </c>
      <c r="F230">
        <v>124.66059443912</v>
      </c>
      <c r="G230">
        <v>110.75934803452</v>
      </c>
      <c r="I230" s="9">
        <f t="shared" si="22"/>
        <v>574.82974641532996</v>
      </c>
      <c r="J230" s="9">
        <f t="shared" si="23"/>
        <v>2647.5711485014799</v>
      </c>
      <c r="K230" s="9">
        <f t="shared" si="24"/>
        <v>574.82974641532996</v>
      </c>
      <c r="L230" s="10">
        <f t="shared" si="21"/>
        <v>0.21711588251015745</v>
      </c>
      <c r="M230" s="10">
        <f t="shared" si="20"/>
        <v>0.23670533732038163</v>
      </c>
      <c r="P230" s="8">
        <f t="shared" si="25"/>
        <v>-3.0606901738509342</v>
      </c>
    </row>
    <row r="231" spans="1:16" x14ac:dyDescent="0.2">
      <c r="A231" s="8">
        <v>114.5</v>
      </c>
      <c r="B231" s="8">
        <v>229</v>
      </c>
      <c r="D231">
        <v>2724.9250243428</v>
      </c>
      <c r="E231">
        <v>674.95520934760998</v>
      </c>
      <c r="F231">
        <v>125.16203259827</v>
      </c>
      <c r="G231">
        <v>111.36816874401001</v>
      </c>
      <c r="I231" s="9">
        <f t="shared" si="22"/>
        <v>563.58704060359992</v>
      </c>
      <c r="J231" s="9">
        <f t="shared" si="23"/>
        <v>2599.7629917445302</v>
      </c>
      <c r="K231" s="9">
        <f t="shared" si="24"/>
        <v>563.58704060359992</v>
      </c>
      <c r="L231" s="10">
        <f t="shared" si="21"/>
        <v>0.21678400777042128</v>
      </c>
      <c r="M231" s="10">
        <f t="shared" si="20"/>
        <v>0.23645938124209379</v>
      </c>
      <c r="P231" s="8">
        <f t="shared" si="25"/>
        <v>-3.1614179932853483</v>
      </c>
    </row>
    <row r="232" spans="1:16" x14ac:dyDescent="0.2">
      <c r="A232" s="8">
        <v>115</v>
      </c>
      <c r="B232" s="8">
        <v>230</v>
      </c>
      <c r="D232">
        <v>2779.6650485436999</v>
      </c>
      <c r="E232">
        <v>687.19320388350002</v>
      </c>
      <c r="F232">
        <v>125.09300095877001</v>
      </c>
      <c r="G232">
        <v>110.68648130392999</v>
      </c>
      <c r="I232" s="9">
        <f t="shared" si="22"/>
        <v>576.50672257957001</v>
      </c>
      <c r="J232" s="9">
        <f t="shared" si="23"/>
        <v>2654.5720475849298</v>
      </c>
      <c r="K232" s="9">
        <f t="shared" si="24"/>
        <v>576.50672257957001</v>
      </c>
      <c r="L232" s="10">
        <f t="shared" si="21"/>
        <v>0.21717501436966569</v>
      </c>
      <c r="M232" s="10">
        <f t="shared" si="20"/>
        <v>0.23693630650278655</v>
      </c>
      <c r="P232" s="8">
        <f t="shared" si="25"/>
        <v>-2.9661000248204621</v>
      </c>
    </row>
    <row r="233" spans="1:16" x14ac:dyDescent="0.2">
      <c r="A233" s="8">
        <v>115.5</v>
      </c>
      <c r="B233" s="8">
        <v>231</v>
      </c>
      <c r="D233">
        <v>2802.1834951455999</v>
      </c>
      <c r="E233">
        <v>692.71067961164999</v>
      </c>
      <c r="F233">
        <v>125.19367209971</v>
      </c>
      <c r="G233">
        <v>110.87919463087</v>
      </c>
      <c r="I233" s="9">
        <f t="shared" si="22"/>
        <v>581.83148498078003</v>
      </c>
      <c r="J233" s="9">
        <f t="shared" si="23"/>
        <v>2676.9898230458898</v>
      </c>
      <c r="K233" s="9">
        <f t="shared" si="24"/>
        <v>581.83148498078003</v>
      </c>
      <c r="L233" s="10">
        <f t="shared" si="21"/>
        <v>0.21734542282225408</v>
      </c>
      <c r="M233" s="10">
        <f t="shared" si="20"/>
        <v>0.2371926336168233</v>
      </c>
      <c r="P233" s="8">
        <f t="shared" si="25"/>
        <v>-2.8611248949575501</v>
      </c>
    </row>
    <row r="234" spans="1:16" x14ac:dyDescent="0.2">
      <c r="A234" s="8">
        <v>116</v>
      </c>
      <c r="B234" s="8">
        <v>232</v>
      </c>
      <c r="D234">
        <v>2770.9650485437</v>
      </c>
      <c r="E234">
        <v>686.39708737863998</v>
      </c>
      <c r="F234">
        <v>125.05465004794</v>
      </c>
      <c r="G234">
        <v>110.89645254075</v>
      </c>
      <c r="I234" s="9">
        <f t="shared" si="22"/>
        <v>575.50063483788995</v>
      </c>
      <c r="J234" s="9">
        <f t="shared" si="23"/>
        <v>2645.9103984957601</v>
      </c>
      <c r="K234" s="9">
        <f t="shared" si="24"/>
        <v>575.50063483788995</v>
      </c>
      <c r="L234" s="10">
        <f t="shared" si="21"/>
        <v>0.21750571567543281</v>
      </c>
      <c r="M234" s="10">
        <f t="shared" si="20"/>
        <v>0.23743884513145039</v>
      </c>
      <c r="P234" s="8">
        <f t="shared" si="25"/>
        <v>-2.7602924651974394</v>
      </c>
    </row>
    <row r="235" spans="1:16" x14ac:dyDescent="0.2">
      <c r="A235" s="8">
        <v>116.5</v>
      </c>
      <c r="B235" s="8">
        <v>233</v>
      </c>
      <c r="D235">
        <v>2828.2594752187001</v>
      </c>
      <c r="E235">
        <v>695.96793002916002</v>
      </c>
      <c r="F235">
        <v>125.29050814957</v>
      </c>
      <c r="G235">
        <v>110.9702780441</v>
      </c>
      <c r="I235" s="9">
        <f t="shared" si="22"/>
        <v>584.99765198505997</v>
      </c>
      <c r="J235" s="9">
        <f t="shared" si="23"/>
        <v>2702.96896706913</v>
      </c>
      <c r="K235" s="9">
        <f t="shared" si="24"/>
        <v>584.99765198505997</v>
      </c>
      <c r="L235" s="10">
        <f t="shared" si="21"/>
        <v>0.21642780923947555</v>
      </c>
      <c r="M235" s="10">
        <f t="shared" si="20"/>
        <v>0.23644685735694146</v>
      </c>
      <c r="P235" s="8">
        <f t="shared" si="25"/>
        <v>-3.1665469726178479</v>
      </c>
    </row>
    <row r="236" spans="1:16" x14ac:dyDescent="0.2">
      <c r="A236" s="8">
        <v>117</v>
      </c>
      <c r="B236" s="8">
        <v>234</v>
      </c>
      <c r="D236">
        <v>2788.2351797862002</v>
      </c>
      <c r="E236">
        <v>687.09718172984003</v>
      </c>
      <c r="F236">
        <v>125.10354745925</v>
      </c>
      <c r="G236">
        <v>110.97315436242</v>
      </c>
      <c r="I236" s="9">
        <f t="shared" si="22"/>
        <v>576.12402736742001</v>
      </c>
      <c r="J236" s="9">
        <f t="shared" si="23"/>
        <v>2663.1316323269502</v>
      </c>
      <c r="K236" s="9">
        <f t="shared" si="24"/>
        <v>576.12402736742001</v>
      </c>
      <c r="L236" s="10">
        <f t="shared" si="21"/>
        <v>0.21633328986597003</v>
      </c>
      <c r="M236" s="10">
        <f t="shared" si="20"/>
        <v>0.2364382566448843</v>
      </c>
      <c r="P236" s="8">
        <f t="shared" si="25"/>
        <v>-3.1700692721159198</v>
      </c>
    </row>
    <row r="237" spans="1:16" x14ac:dyDescent="0.2">
      <c r="A237" s="8">
        <v>117.5</v>
      </c>
      <c r="B237" s="8">
        <v>235</v>
      </c>
      <c r="D237">
        <v>2822.6695821185999</v>
      </c>
      <c r="E237">
        <v>691.26044703596006</v>
      </c>
      <c r="F237">
        <v>124.57526366251</v>
      </c>
      <c r="G237">
        <v>110.7861936721</v>
      </c>
      <c r="I237" s="9">
        <f t="shared" si="22"/>
        <v>580.47425336386004</v>
      </c>
      <c r="J237" s="9">
        <f t="shared" si="23"/>
        <v>2698.0943184560901</v>
      </c>
      <c r="K237" s="9">
        <f t="shared" si="24"/>
        <v>580.47425336386004</v>
      </c>
      <c r="L237" s="10">
        <f t="shared" si="21"/>
        <v>0.21514231337028292</v>
      </c>
      <c r="M237" s="10">
        <f t="shared" si="20"/>
        <v>0.23533319881064554</v>
      </c>
      <c r="P237" s="8">
        <f t="shared" si="25"/>
        <v>-3.6226300169718408</v>
      </c>
    </row>
    <row r="238" spans="1:16" x14ac:dyDescent="0.2">
      <c r="A238" s="8">
        <v>118</v>
      </c>
      <c r="B238" s="8">
        <v>236</v>
      </c>
      <c r="D238">
        <v>2800.7599611272999</v>
      </c>
      <c r="E238">
        <v>685.79494655004999</v>
      </c>
      <c r="F238">
        <v>125.13902205177</v>
      </c>
      <c r="G238">
        <v>110.79098753594999</v>
      </c>
      <c r="I238" s="9">
        <f t="shared" si="22"/>
        <v>575.00395901410002</v>
      </c>
      <c r="J238" s="9">
        <f t="shared" si="23"/>
        <v>2675.6209390755298</v>
      </c>
      <c r="K238" s="9">
        <f t="shared" si="24"/>
        <v>575.00395901410002</v>
      </c>
      <c r="L238" s="10">
        <f t="shared" si="21"/>
        <v>0.2149048658636874</v>
      </c>
      <c r="M238" s="10">
        <f t="shared" si="20"/>
        <v>0.23518166996549839</v>
      </c>
      <c r="P238" s="8">
        <f t="shared" si="25"/>
        <v>-3.6846865038834018</v>
      </c>
    </row>
    <row r="239" spans="1:16" x14ac:dyDescent="0.2">
      <c r="A239" s="8">
        <v>118.5</v>
      </c>
      <c r="B239" s="8">
        <v>237</v>
      </c>
      <c r="D239">
        <v>2783.7745383868</v>
      </c>
      <c r="E239">
        <v>684.46355685131005</v>
      </c>
      <c r="F239">
        <v>125.22435282838001</v>
      </c>
      <c r="G239">
        <v>110.96931927132999</v>
      </c>
      <c r="I239" s="9">
        <f t="shared" si="22"/>
        <v>573.49423757998011</v>
      </c>
      <c r="J239" s="9">
        <f t="shared" si="23"/>
        <v>2658.5501855584198</v>
      </c>
      <c r="K239" s="9">
        <f t="shared" si="24"/>
        <v>573.49423757998011</v>
      </c>
      <c r="L239" s="10">
        <f t="shared" si="21"/>
        <v>0.21571691243418056</v>
      </c>
      <c r="M239" s="10">
        <f t="shared" si="20"/>
        <v>0.23607963519743988</v>
      </c>
      <c r="P239" s="8">
        <f t="shared" si="25"/>
        <v>-3.3169375937079359</v>
      </c>
    </row>
    <row r="240" spans="1:16" x14ac:dyDescent="0.2">
      <c r="A240" s="8">
        <v>119</v>
      </c>
      <c r="B240" s="8">
        <v>238</v>
      </c>
      <c r="D240">
        <v>2848.3051506317001</v>
      </c>
      <c r="E240">
        <v>692.82798833819004</v>
      </c>
      <c r="F240">
        <v>124.76989453500001</v>
      </c>
      <c r="G240">
        <v>110.83796740173</v>
      </c>
      <c r="I240" s="9">
        <f t="shared" si="22"/>
        <v>581.99002093646004</v>
      </c>
      <c r="J240" s="9">
        <f t="shared" si="23"/>
        <v>2723.5352560967003</v>
      </c>
      <c r="K240" s="9">
        <f t="shared" si="24"/>
        <v>581.99002093646004</v>
      </c>
      <c r="L240" s="10">
        <f t="shared" si="21"/>
        <v>0.21368918196805461</v>
      </c>
      <c r="M240" s="10">
        <f t="shared" si="20"/>
        <v>0.23413782339276229</v>
      </c>
      <c r="P240" s="8">
        <f t="shared" si="25"/>
        <v>-4.1121790457540035</v>
      </c>
    </row>
    <row r="241" spans="1:16" x14ac:dyDescent="0.2">
      <c r="A241" s="8">
        <v>119.5</v>
      </c>
      <c r="B241" s="8">
        <v>239</v>
      </c>
      <c r="D241">
        <v>2806.5374149660001</v>
      </c>
      <c r="E241">
        <v>689.03790087463994</v>
      </c>
      <c r="F241">
        <v>125.38542665388</v>
      </c>
      <c r="G241">
        <v>110.80153403643</v>
      </c>
      <c r="I241" s="9">
        <f t="shared" si="22"/>
        <v>578.23636683820996</v>
      </c>
      <c r="J241" s="9">
        <f t="shared" si="23"/>
        <v>2681.15198831212</v>
      </c>
      <c r="K241" s="9">
        <f t="shared" si="24"/>
        <v>578.23636683820996</v>
      </c>
      <c r="L241" s="10">
        <f t="shared" si="21"/>
        <v>0.2156671346342548</v>
      </c>
      <c r="M241" s="10">
        <f t="shared" si="20"/>
        <v>0.23620169472041083</v>
      </c>
      <c r="P241" s="8">
        <f t="shared" si="25"/>
        <v>-3.2669498492469908</v>
      </c>
    </row>
    <row r="242" spans="1:16" x14ac:dyDescent="0.2">
      <c r="A242" s="8">
        <v>120</v>
      </c>
      <c r="B242" s="8">
        <v>240</v>
      </c>
      <c r="D242">
        <v>2784.6676384839998</v>
      </c>
      <c r="E242">
        <v>685.68804664722995</v>
      </c>
      <c r="F242">
        <v>124.91754554171</v>
      </c>
      <c r="G242">
        <v>110.815915628</v>
      </c>
      <c r="I242" s="9">
        <f>E242-G242</f>
        <v>574.87213101922998</v>
      </c>
      <c r="J242" s="9">
        <f>D242-F242</f>
        <v>2659.7500929422899</v>
      </c>
      <c r="K242" s="9">
        <f t="shared" si="24"/>
        <v>574.87213101922998</v>
      </c>
      <c r="L242" s="10">
        <f t="shared" si="21"/>
        <v>0.21613764862520987</v>
      </c>
      <c r="M242" s="10">
        <f>L242+ABS($N$2)*A242</f>
        <v>0.23675812737281426</v>
      </c>
      <c r="O242" s="11"/>
      <c r="P242" s="8">
        <f>(M242-$O$2)/$O$2*100</f>
        <v>-3.0390707574641387</v>
      </c>
    </row>
    <row r="243" spans="1:16" x14ac:dyDescent="0.2">
      <c r="A243" s="8">
        <v>120.5</v>
      </c>
      <c r="B243" s="8">
        <v>241</v>
      </c>
      <c r="D243">
        <v>2785.3333333332998</v>
      </c>
      <c r="E243">
        <v>683.83867832847</v>
      </c>
      <c r="F243">
        <v>125.08533077660999</v>
      </c>
      <c r="G243">
        <v>111.08149568552</v>
      </c>
      <c r="I243" s="9">
        <f t="shared" ref="I243:I274" si="26">E243-G243</f>
        <v>572.75718264295006</v>
      </c>
      <c r="J243" s="9">
        <f t="shared" ref="J243:J274" si="27">D243-F243</f>
        <v>2660.2480025566897</v>
      </c>
      <c r="K243" s="9">
        <f t="shared" si="24"/>
        <v>572.75718264295006</v>
      </c>
      <c r="L243" s="10">
        <f t="shared" si="21"/>
        <v>0.21530217562140416</v>
      </c>
      <c r="M243" s="10">
        <f t="shared" ref="M243:M274" si="28">L243+ABS($N$2)*A243</f>
        <v>0.23600857303045689</v>
      </c>
      <c r="P243" s="8">
        <f t="shared" ref="P243:P274" si="29">(M243-$O$2)/$O$2*100</f>
        <v>-3.3460400951557938</v>
      </c>
    </row>
    <row r="244" spans="1:16" x14ac:dyDescent="0.2">
      <c r="A244" s="8">
        <v>121</v>
      </c>
      <c r="B244" s="8">
        <v>242</v>
      </c>
      <c r="D244">
        <v>2822.8940719144998</v>
      </c>
      <c r="E244">
        <v>696.12342079688995</v>
      </c>
      <c r="F244">
        <v>125.11217641419</v>
      </c>
      <c r="G244">
        <v>110.67497603068</v>
      </c>
      <c r="I244" s="9">
        <f t="shared" si="26"/>
        <v>585.44844476620995</v>
      </c>
      <c r="J244" s="9">
        <f t="shared" si="27"/>
        <v>2697.7818955003099</v>
      </c>
      <c r="K244" s="9">
        <f t="shared" si="24"/>
        <v>585.44844476620995</v>
      </c>
      <c r="L244" s="10">
        <f t="shared" si="21"/>
        <v>0.21701103626749529</v>
      </c>
      <c r="M244" s="10">
        <f t="shared" si="28"/>
        <v>0.23780335233799638</v>
      </c>
      <c r="N244" s="1"/>
      <c r="P244" s="8">
        <f t="shared" si="29"/>
        <v>-2.611013714539614</v>
      </c>
    </row>
    <row r="245" spans="1:16" x14ac:dyDescent="0.2">
      <c r="A245" s="8">
        <v>121.5</v>
      </c>
      <c r="B245" s="8">
        <v>243</v>
      </c>
      <c r="D245">
        <v>2772.4548104956002</v>
      </c>
      <c r="E245">
        <v>689.43731778426002</v>
      </c>
      <c r="F245">
        <v>125.26941514860999</v>
      </c>
      <c r="G245">
        <v>111.28092042186</v>
      </c>
      <c r="I245" s="9">
        <f t="shared" si="26"/>
        <v>578.15639736239996</v>
      </c>
      <c r="J245" s="9">
        <f t="shared" si="27"/>
        <v>2647.1853953469904</v>
      </c>
      <c r="K245" s="9">
        <f t="shared" si="24"/>
        <v>578.15639736239996</v>
      </c>
      <c r="L245" s="10">
        <f t="shared" si="21"/>
        <v>0.21840419578418527</v>
      </c>
      <c r="M245" s="10">
        <f t="shared" si="28"/>
        <v>0.23928243051613471</v>
      </c>
      <c r="P245" s="8">
        <f t="shared" si="29"/>
        <v>-2.0052782487035339</v>
      </c>
    </row>
    <row r="246" spans="1:16" x14ac:dyDescent="0.2">
      <c r="A246" s="8">
        <v>122</v>
      </c>
      <c r="B246" s="8">
        <v>244</v>
      </c>
      <c r="D246">
        <v>2825.7512147716002</v>
      </c>
      <c r="E246">
        <v>702.08357628765998</v>
      </c>
      <c r="F246">
        <v>125.43815915627999</v>
      </c>
      <c r="G246">
        <v>110.94630872483</v>
      </c>
      <c r="I246" s="9">
        <f t="shared" si="26"/>
        <v>591.13726756282995</v>
      </c>
      <c r="J246" s="9">
        <f t="shared" si="27"/>
        <v>2700.3130556153201</v>
      </c>
      <c r="K246" s="9">
        <f t="shared" si="24"/>
        <v>591.13726756282995</v>
      </c>
      <c r="L246" s="10">
        <f t="shared" si="21"/>
        <v>0.21891434636941662</v>
      </c>
      <c r="M246" s="10">
        <f t="shared" si="28"/>
        <v>0.23987849976281442</v>
      </c>
      <c r="P246" s="8">
        <f t="shared" si="29"/>
        <v>-1.7611665525506299</v>
      </c>
    </row>
    <row r="247" spans="1:16" x14ac:dyDescent="0.2">
      <c r="A247" s="8">
        <v>122.5</v>
      </c>
      <c r="B247" s="8">
        <v>245</v>
      </c>
      <c r="D247">
        <v>2812.1943634597001</v>
      </c>
      <c r="E247">
        <v>699.15646258503</v>
      </c>
      <c r="F247">
        <v>125.37679769895</v>
      </c>
      <c r="G247">
        <v>111.26078619367</v>
      </c>
      <c r="I247" s="9">
        <f t="shared" si="26"/>
        <v>587.89567639135998</v>
      </c>
      <c r="J247" s="9">
        <f t="shared" si="27"/>
        <v>2686.8175657607499</v>
      </c>
      <c r="K247" s="9">
        <f t="shared" si="24"/>
        <v>587.89567639135998</v>
      </c>
      <c r="L247" s="10">
        <f t="shared" si="21"/>
        <v>0.21880744114641898</v>
      </c>
      <c r="M247" s="10">
        <f t="shared" si="28"/>
        <v>0.23985751320126511</v>
      </c>
      <c r="P247" s="8">
        <f t="shared" si="29"/>
        <v>-1.7697613008365987</v>
      </c>
    </row>
    <row r="248" spans="1:16" x14ac:dyDescent="0.2">
      <c r="A248" s="8">
        <v>123</v>
      </c>
      <c r="B248" s="8">
        <v>246</v>
      </c>
      <c r="D248">
        <v>2815.8551992225998</v>
      </c>
      <c r="E248">
        <v>700.77356656948996</v>
      </c>
      <c r="F248">
        <v>124.83317353787</v>
      </c>
      <c r="G248">
        <v>111.10354745925</v>
      </c>
      <c r="I248" s="9">
        <f t="shared" si="26"/>
        <v>589.67001911023999</v>
      </c>
      <c r="J248" s="9">
        <f t="shared" si="27"/>
        <v>2691.0220256847297</v>
      </c>
      <c r="K248" s="9">
        <f t="shared" si="24"/>
        <v>589.67001911023999</v>
      </c>
      <c r="L248" s="10">
        <f t="shared" si="21"/>
        <v>0.21912493226814025</v>
      </c>
      <c r="M248" s="10">
        <f t="shared" si="28"/>
        <v>0.24026092298443474</v>
      </c>
      <c r="P248" s="8">
        <f t="shared" si="29"/>
        <v>-1.6045505523157477</v>
      </c>
    </row>
    <row r="249" spans="1:16" x14ac:dyDescent="0.2">
      <c r="A249" s="8">
        <v>123.5</v>
      </c>
      <c r="B249" s="8">
        <v>247</v>
      </c>
      <c r="D249">
        <v>2821.3411078716999</v>
      </c>
      <c r="E249">
        <v>699.59378036929002</v>
      </c>
      <c r="F249">
        <v>125.41610738255</v>
      </c>
      <c r="G249">
        <v>110.7929050815</v>
      </c>
      <c r="I249" s="9">
        <f t="shared" si="26"/>
        <v>588.80087528779006</v>
      </c>
      <c r="J249" s="9">
        <f t="shared" si="27"/>
        <v>2695.9250004891501</v>
      </c>
      <c r="K249" s="9">
        <f t="shared" si="24"/>
        <v>588.80087528779006</v>
      </c>
      <c r="L249" s="10">
        <f t="shared" si="21"/>
        <v>0.21840402651444596</v>
      </c>
      <c r="M249" s="10">
        <f t="shared" si="28"/>
        <v>0.23962593589218881</v>
      </c>
      <c r="P249" s="8">
        <f t="shared" si="29"/>
        <v>-1.8646004995103018</v>
      </c>
    </row>
    <row r="250" spans="1:16" x14ac:dyDescent="0.2">
      <c r="A250" s="8">
        <v>124</v>
      </c>
      <c r="B250" s="8">
        <v>248</v>
      </c>
      <c r="D250">
        <v>2813.5646258503002</v>
      </c>
      <c r="E250">
        <v>698.07385811466997</v>
      </c>
      <c r="F250">
        <v>125.90891658677</v>
      </c>
      <c r="G250">
        <v>111.07286673058999</v>
      </c>
      <c r="I250" s="9">
        <f t="shared" si="26"/>
        <v>587.00099138407995</v>
      </c>
      <c r="J250" s="9">
        <f t="shared" si="27"/>
        <v>2687.6557092635303</v>
      </c>
      <c r="K250" s="9">
        <f t="shared" si="24"/>
        <v>587.00099138407995</v>
      </c>
      <c r="L250" s="10">
        <f t="shared" si="21"/>
        <v>0.21840631944071795</v>
      </c>
      <c r="M250" s="10">
        <f t="shared" si="28"/>
        <v>0.23971414747990916</v>
      </c>
      <c r="P250" s="8">
        <f t="shared" si="29"/>
        <v>-1.8284746963109195</v>
      </c>
    </row>
    <row r="251" spans="1:16" x14ac:dyDescent="0.2">
      <c r="A251" s="8">
        <v>124.5</v>
      </c>
      <c r="B251" s="8">
        <v>249</v>
      </c>
      <c r="D251">
        <v>2790.0602526725002</v>
      </c>
      <c r="E251">
        <v>691.64431486881006</v>
      </c>
      <c r="F251">
        <v>125.49952061362001</v>
      </c>
      <c r="G251">
        <v>111.07190795781</v>
      </c>
      <c r="I251" s="9">
        <f t="shared" si="26"/>
        <v>580.57240691100003</v>
      </c>
      <c r="J251" s="9">
        <f t="shared" si="27"/>
        <v>2664.5607320588801</v>
      </c>
      <c r="K251" s="9">
        <f t="shared" si="24"/>
        <v>580.57240691100003</v>
      </c>
      <c r="L251" s="10">
        <f t="shared" si="21"/>
        <v>0.21788672328830627</v>
      </c>
      <c r="M251" s="10">
        <f t="shared" si="28"/>
        <v>0.23928046998894581</v>
      </c>
      <c r="P251" s="8">
        <f t="shared" si="29"/>
        <v>-2.0060811547754405</v>
      </c>
    </row>
    <row r="252" spans="1:16" x14ac:dyDescent="0.2">
      <c r="A252" s="8">
        <v>125</v>
      </c>
      <c r="B252" s="8">
        <v>250</v>
      </c>
      <c r="D252">
        <v>2751.5782312924998</v>
      </c>
      <c r="E252">
        <v>686.52380952380997</v>
      </c>
      <c r="F252">
        <v>124.94151486098001</v>
      </c>
      <c r="G252">
        <v>111.05560882071001</v>
      </c>
      <c r="I252" s="9">
        <f t="shared" si="26"/>
        <v>575.46820070309991</v>
      </c>
      <c r="J252" s="9">
        <f t="shared" si="27"/>
        <v>2626.6367164315197</v>
      </c>
      <c r="K252" s="9">
        <f t="shared" si="24"/>
        <v>575.46820070309991</v>
      </c>
      <c r="L252" s="10">
        <f t="shared" si="21"/>
        <v>0.21908937657923097</v>
      </c>
      <c r="M252" s="10">
        <f t="shared" si="28"/>
        <v>0.24056904194131887</v>
      </c>
      <c r="P252" s="8">
        <f t="shared" si="29"/>
        <v>-1.478364808627711</v>
      </c>
    </row>
    <row r="253" spans="1:16" x14ac:dyDescent="0.2">
      <c r="A253" s="8">
        <v>125.5</v>
      </c>
      <c r="B253" s="8">
        <v>251</v>
      </c>
      <c r="D253">
        <v>2693.1477162294</v>
      </c>
      <c r="E253">
        <v>671.86588921282998</v>
      </c>
      <c r="F253">
        <v>125.44295302013001</v>
      </c>
      <c r="G253">
        <v>111.18120805369</v>
      </c>
      <c r="I253" s="9">
        <f t="shared" si="26"/>
        <v>560.68468115913993</v>
      </c>
      <c r="J253" s="9">
        <f t="shared" si="27"/>
        <v>2567.7047632092699</v>
      </c>
      <c r="K253" s="9">
        <f t="shared" si="24"/>
        <v>560.68468115913993</v>
      </c>
      <c r="L253" s="10">
        <f t="shared" si="21"/>
        <v>0.21836026056919525</v>
      </c>
      <c r="M253" s="10">
        <f t="shared" si="28"/>
        <v>0.2399258445927315</v>
      </c>
      <c r="P253" s="8">
        <f t="shared" si="29"/>
        <v>-1.7417771497261956</v>
      </c>
    </row>
    <row r="254" spans="1:16" x14ac:dyDescent="0.2">
      <c r="A254" s="8">
        <v>126</v>
      </c>
      <c r="B254" s="8">
        <v>252</v>
      </c>
      <c r="D254">
        <v>2694.0048590864999</v>
      </c>
      <c r="E254">
        <v>672.45286686102997</v>
      </c>
      <c r="F254">
        <v>125.24928092042001</v>
      </c>
      <c r="G254">
        <v>110.89549376798</v>
      </c>
      <c r="I254" s="9">
        <f t="shared" si="26"/>
        <v>561.55737309304993</v>
      </c>
      <c r="J254" s="9">
        <f t="shared" si="27"/>
        <v>2568.7555781660799</v>
      </c>
      <c r="K254" s="9">
        <f t="shared" si="24"/>
        <v>561.55737309304993</v>
      </c>
      <c r="L254" s="10">
        <f t="shared" si="21"/>
        <v>0.218610668086204</v>
      </c>
      <c r="M254" s="10">
        <f t="shared" si="28"/>
        <v>0.24026217077118861</v>
      </c>
      <c r="P254" s="8">
        <f t="shared" si="29"/>
        <v>-1.6040395389685231</v>
      </c>
    </row>
    <row r="255" spans="1:16" x14ac:dyDescent="0.2">
      <c r="A255" s="8">
        <v>126.5</v>
      </c>
      <c r="B255" s="8">
        <v>253</v>
      </c>
      <c r="D255">
        <v>2706.1788143828999</v>
      </c>
      <c r="E255">
        <v>672.44703595724002</v>
      </c>
      <c r="F255">
        <v>125.8024928092</v>
      </c>
      <c r="G255">
        <v>111.20517737295999</v>
      </c>
      <c r="I255" s="9">
        <f t="shared" si="26"/>
        <v>561.24185858428007</v>
      </c>
      <c r="J255" s="9">
        <f t="shared" si="27"/>
        <v>2580.3763215736999</v>
      </c>
      <c r="K255" s="9">
        <f t="shared" si="24"/>
        <v>561.24185858428007</v>
      </c>
      <c r="L255" s="10">
        <f t="shared" si="21"/>
        <v>0.21750387875284571</v>
      </c>
      <c r="M255" s="10">
        <f t="shared" si="28"/>
        <v>0.23924130009927866</v>
      </c>
      <c r="P255" s="8">
        <f t="shared" si="29"/>
        <v>-2.0221226268997494</v>
      </c>
    </row>
    <row r="256" spans="1:16" x14ac:dyDescent="0.2">
      <c r="A256" s="8">
        <v>127</v>
      </c>
      <c r="B256" s="8">
        <v>254</v>
      </c>
      <c r="D256">
        <v>2703.6132167153</v>
      </c>
      <c r="E256">
        <v>669.78522837706998</v>
      </c>
      <c r="F256">
        <v>125.25311601151</v>
      </c>
      <c r="G256">
        <v>110.80536912752</v>
      </c>
      <c r="I256" s="9">
        <f t="shared" si="26"/>
        <v>558.97985924955003</v>
      </c>
      <c r="J256" s="9">
        <f t="shared" si="27"/>
        <v>2578.3601007037901</v>
      </c>
      <c r="K256" s="9">
        <f t="shared" si="24"/>
        <v>558.97985924955003</v>
      </c>
      <c r="L256" s="10">
        <f t="shared" si="21"/>
        <v>0.21679666044202697</v>
      </c>
      <c r="M256" s="10">
        <f t="shared" si="28"/>
        <v>0.23862000044990828</v>
      </c>
      <c r="P256" s="8">
        <f t="shared" si="29"/>
        <v>-2.2765670762180763</v>
      </c>
    </row>
    <row r="257" spans="1:16" x14ac:dyDescent="0.2">
      <c r="A257" s="8">
        <v>127.5</v>
      </c>
      <c r="B257" s="8">
        <v>255</v>
      </c>
      <c r="D257">
        <v>2727.3556851312001</v>
      </c>
      <c r="E257">
        <v>670.29931972788995</v>
      </c>
      <c r="F257">
        <v>125.15532118888</v>
      </c>
      <c r="G257">
        <v>111.1514860978</v>
      </c>
      <c r="I257" s="9">
        <f t="shared" si="26"/>
        <v>559.14783363008996</v>
      </c>
      <c r="J257" s="9">
        <f t="shared" si="27"/>
        <v>2602.2003639423201</v>
      </c>
      <c r="K257" s="9">
        <f t="shared" si="24"/>
        <v>559.14783363008996</v>
      </c>
      <c r="L257" s="10">
        <f t="shared" si="21"/>
        <v>0.21487501169317488</v>
      </c>
      <c r="M257" s="10">
        <f t="shared" si="28"/>
        <v>0.23678427036250455</v>
      </c>
      <c r="P257" s="8">
        <f t="shared" si="29"/>
        <v>-3.028364267251213</v>
      </c>
    </row>
    <row r="258" spans="1:16" x14ac:dyDescent="0.2">
      <c r="A258" s="8">
        <v>128</v>
      </c>
      <c r="B258" s="8">
        <v>256</v>
      </c>
      <c r="D258">
        <v>2742.1584062195998</v>
      </c>
      <c r="E258">
        <v>677.53838678328998</v>
      </c>
      <c r="F258">
        <v>125.12559923297999</v>
      </c>
      <c r="G258">
        <v>110.92233940556</v>
      </c>
      <c r="I258" s="9">
        <f t="shared" si="26"/>
        <v>566.61604737772996</v>
      </c>
      <c r="J258" s="9">
        <f t="shared" si="27"/>
        <v>2617.03280698662</v>
      </c>
      <c r="K258" s="9">
        <f t="shared" si="24"/>
        <v>566.61604737772996</v>
      </c>
      <c r="L258" s="10">
        <f t="shared" ref="L258:L321" si="30">K258/J258</f>
        <v>0.21651086905179437</v>
      </c>
      <c r="M258" s="10">
        <f t="shared" si="28"/>
        <v>0.23850604638257239</v>
      </c>
      <c r="P258" s="8">
        <f t="shared" si="29"/>
        <v>-2.3232353464162752</v>
      </c>
    </row>
    <row r="259" spans="1:16" x14ac:dyDescent="0.2">
      <c r="A259" s="8">
        <v>128.5</v>
      </c>
      <c r="B259" s="8">
        <v>257</v>
      </c>
      <c r="D259">
        <v>2748.9310009718001</v>
      </c>
      <c r="E259">
        <v>679.66277939746999</v>
      </c>
      <c r="F259">
        <v>125.12751677852</v>
      </c>
      <c r="G259">
        <v>110.98274209013</v>
      </c>
      <c r="I259" s="9">
        <f t="shared" si="26"/>
        <v>568.68003730733994</v>
      </c>
      <c r="J259" s="9">
        <f t="shared" si="27"/>
        <v>2623.8034841932799</v>
      </c>
      <c r="K259" s="9">
        <f t="shared" ref="K259:K322" si="31">I259*1</f>
        <v>568.68003730733994</v>
      </c>
      <c r="L259" s="10">
        <f t="shared" si="30"/>
        <v>0.21673880712990495</v>
      </c>
      <c r="M259" s="10">
        <f t="shared" si="28"/>
        <v>0.23881990312213131</v>
      </c>
      <c r="P259" s="8">
        <f t="shared" si="29"/>
        <v>-2.19469977530684</v>
      </c>
    </row>
    <row r="260" spans="1:16" x14ac:dyDescent="0.2">
      <c r="A260" s="8">
        <v>129</v>
      </c>
      <c r="B260" s="8">
        <v>258</v>
      </c>
      <c r="D260">
        <v>2673.5597667638999</v>
      </c>
      <c r="E260">
        <v>666.09037900875001</v>
      </c>
      <c r="F260">
        <v>125.36337488015</v>
      </c>
      <c r="G260">
        <v>111.05369127517</v>
      </c>
      <c r="I260" s="9">
        <f t="shared" si="26"/>
        <v>555.03668773358004</v>
      </c>
      <c r="J260" s="9">
        <f t="shared" si="27"/>
        <v>2548.19639188375</v>
      </c>
      <c r="K260" s="9">
        <f t="shared" si="31"/>
        <v>555.03668773358004</v>
      </c>
      <c r="L260" s="10">
        <f t="shared" si="30"/>
        <v>0.21781550648977652</v>
      </c>
      <c r="M260" s="10">
        <f t="shared" si="28"/>
        <v>0.23998252114345123</v>
      </c>
      <c r="P260" s="8">
        <f t="shared" si="29"/>
        <v>-1.7185660731518619</v>
      </c>
    </row>
    <row r="261" spans="1:16" x14ac:dyDescent="0.2">
      <c r="A261" s="8">
        <v>129.5</v>
      </c>
      <c r="B261" s="8">
        <v>259</v>
      </c>
      <c r="D261">
        <v>2675.6734693878002</v>
      </c>
      <c r="E261">
        <v>668.14091350826004</v>
      </c>
      <c r="F261">
        <v>126.02013422819</v>
      </c>
      <c r="G261">
        <v>111.41514860978</v>
      </c>
      <c r="I261" s="9">
        <f t="shared" si="26"/>
        <v>556.72576489848007</v>
      </c>
      <c r="J261" s="9">
        <f t="shared" si="27"/>
        <v>2549.6533351596104</v>
      </c>
      <c r="K261" s="9">
        <f t="shared" si="31"/>
        <v>556.72576489848007</v>
      </c>
      <c r="L261" s="10">
        <f t="shared" si="30"/>
        <v>0.21835351387628099</v>
      </c>
      <c r="M261" s="10">
        <f t="shared" si="28"/>
        <v>0.24060644719140406</v>
      </c>
      <c r="P261" s="8">
        <f t="shared" si="29"/>
        <v>-1.4630460195873725</v>
      </c>
    </row>
    <row r="262" spans="1:16" x14ac:dyDescent="0.2">
      <c r="A262" s="8">
        <v>130</v>
      </c>
      <c r="B262" s="8">
        <v>260</v>
      </c>
      <c r="D262">
        <v>2737.9008746355998</v>
      </c>
      <c r="E262">
        <v>679.37512147715995</v>
      </c>
      <c r="F262">
        <v>125.01342281879</v>
      </c>
      <c r="G262">
        <v>111.2435282838</v>
      </c>
      <c r="I262" s="9">
        <f t="shared" si="26"/>
        <v>568.13159319336</v>
      </c>
      <c r="J262" s="9">
        <f t="shared" si="27"/>
        <v>2612.88745181681</v>
      </c>
      <c r="K262" s="9">
        <f t="shared" si="31"/>
        <v>568.13159319336</v>
      </c>
      <c r="L262" s="10">
        <f t="shared" si="30"/>
        <v>0.21743439151897762</v>
      </c>
      <c r="M262" s="10">
        <f t="shared" si="28"/>
        <v>0.23977324349554902</v>
      </c>
      <c r="P262" s="8">
        <f t="shared" si="29"/>
        <v>-1.8042727622334915</v>
      </c>
    </row>
    <row r="263" spans="1:16" x14ac:dyDescent="0.2">
      <c r="A263" s="8">
        <v>130.5</v>
      </c>
      <c r="B263" s="8">
        <v>261</v>
      </c>
      <c r="D263">
        <v>2707.8211856171001</v>
      </c>
      <c r="E263">
        <v>672.86686103013005</v>
      </c>
      <c r="F263">
        <v>125.37679769895</v>
      </c>
      <c r="G263">
        <v>111.31351869607001</v>
      </c>
      <c r="I263" s="9">
        <f t="shared" si="26"/>
        <v>561.55334233406006</v>
      </c>
      <c r="J263" s="9">
        <f t="shared" si="27"/>
        <v>2582.4443879181499</v>
      </c>
      <c r="K263" s="9">
        <f t="shared" si="31"/>
        <v>561.55334233406006</v>
      </c>
      <c r="L263" s="10">
        <f t="shared" si="30"/>
        <v>0.21745031372650739</v>
      </c>
      <c r="M263" s="10">
        <f t="shared" si="28"/>
        <v>0.23987508436452715</v>
      </c>
      <c r="P263" s="8">
        <f t="shared" si="29"/>
        <v>-1.7625652804225806</v>
      </c>
    </row>
    <row r="264" spans="1:16" x14ac:dyDescent="0.2">
      <c r="A264" s="8">
        <v>131</v>
      </c>
      <c r="B264" s="8">
        <v>262</v>
      </c>
      <c r="D264">
        <v>2743.1545189504</v>
      </c>
      <c r="E264">
        <v>677.89115646258995</v>
      </c>
      <c r="F264">
        <v>125.33844678811001</v>
      </c>
      <c r="G264">
        <v>111.22339405561</v>
      </c>
      <c r="I264" s="9">
        <f t="shared" si="26"/>
        <v>566.66776240697993</v>
      </c>
      <c r="J264" s="9">
        <f t="shared" si="27"/>
        <v>2617.8160721622899</v>
      </c>
      <c r="K264" s="9">
        <f t="shared" si="31"/>
        <v>566.66776240697993</v>
      </c>
      <c r="L264" s="10">
        <f t="shared" si="30"/>
        <v>0.21646584281947587</v>
      </c>
      <c r="M264" s="10">
        <f t="shared" si="28"/>
        <v>0.23897653211894399</v>
      </c>
      <c r="P264" s="8">
        <f t="shared" si="29"/>
        <v>-2.1305545936997508</v>
      </c>
    </row>
    <row r="265" spans="1:16" x14ac:dyDescent="0.2">
      <c r="A265" s="8">
        <v>131.5</v>
      </c>
      <c r="B265" s="8">
        <v>263</v>
      </c>
      <c r="D265">
        <v>2773.1875607386</v>
      </c>
      <c r="E265">
        <v>687.49757045675005</v>
      </c>
      <c r="F265">
        <v>125.94247363375</v>
      </c>
      <c r="G265">
        <v>111.24640460211</v>
      </c>
      <c r="I265" s="9">
        <f t="shared" si="26"/>
        <v>576.25116585464002</v>
      </c>
      <c r="J265" s="9">
        <f t="shared" si="27"/>
        <v>2647.24508710485</v>
      </c>
      <c r="K265" s="9">
        <f t="shared" si="31"/>
        <v>576.25116585464002</v>
      </c>
      <c r="L265" s="10">
        <f t="shared" si="30"/>
        <v>0.21767956758580861</v>
      </c>
      <c r="M265" s="10">
        <f t="shared" si="28"/>
        <v>0.24027617554672509</v>
      </c>
      <c r="P265" s="8">
        <f t="shared" si="29"/>
        <v>-1.5983040820069465</v>
      </c>
    </row>
    <row r="266" spans="1:16" x14ac:dyDescent="0.2">
      <c r="A266" s="8">
        <v>132</v>
      </c>
      <c r="B266" s="8">
        <v>264</v>
      </c>
      <c r="D266">
        <v>2764.4946550048999</v>
      </c>
      <c r="E266">
        <v>685.09426627794005</v>
      </c>
      <c r="F266">
        <v>125.51006711409001</v>
      </c>
      <c r="G266">
        <v>110.94630872483</v>
      </c>
      <c r="I266" s="9">
        <f t="shared" si="26"/>
        <v>574.14795755311002</v>
      </c>
      <c r="J266" s="9">
        <f t="shared" si="27"/>
        <v>2638.98458789081</v>
      </c>
      <c r="K266" s="9">
        <f t="shared" si="31"/>
        <v>574.14795755311002</v>
      </c>
      <c r="L266" s="10">
        <f t="shared" si="30"/>
        <v>0.21756396766681907</v>
      </c>
      <c r="M266" s="10">
        <f t="shared" si="28"/>
        <v>0.24024649428918388</v>
      </c>
      <c r="P266" s="8">
        <f t="shared" si="29"/>
        <v>-1.6104596195769465</v>
      </c>
    </row>
    <row r="267" spans="1:16" x14ac:dyDescent="0.2">
      <c r="A267" s="8">
        <v>132.5</v>
      </c>
      <c r="B267" s="8">
        <v>265</v>
      </c>
      <c r="D267">
        <v>2701.2011661808001</v>
      </c>
      <c r="E267">
        <v>669.86103012633998</v>
      </c>
      <c r="F267">
        <v>125.78331735379</v>
      </c>
      <c r="G267">
        <v>111.14765100671001</v>
      </c>
      <c r="I267" s="9">
        <f t="shared" si="26"/>
        <v>558.71337911962996</v>
      </c>
      <c r="J267" s="9">
        <f t="shared" si="27"/>
        <v>2575.4178488270099</v>
      </c>
      <c r="K267" s="9">
        <f t="shared" si="31"/>
        <v>558.71337911962996</v>
      </c>
      <c r="L267" s="10">
        <f t="shared" si="30"/>
        <v>0.21694086626529338</v>
      </c>
      <c r="M267" s="10">
        <f t="shared" si="28"/>
        <v>0.23970931154910655</v>
      </c>
      <c r="P267" s="8">
        <f t="shared" si="29"/>
        <v>-1.8304551831038198</v>
      </c>
    </row>
    <row r="268" spans="1:16" x14ac:dyDescent="0.2">
      <c r="A268" s="8">
        <v>133</v>
      </c>
      <c r="B268" s="8">
        <v>266</v>
      </c>
      <c r="D268">
        <v>2712.0330417881</v>
      </c>
      <c r="E268">
        <v>672.28279883382004</v>
      </c>
      <c r="F268">
        <v>125.86768935761999</v>
      </c>
      <c r="G268">
        <v>111.00767018217</v>
      </c>
      <c r="I268" s="9">
        <f t="shared" si="26"/>
        <v>561.27512865164999</v>
      </c>
      <c r="J268" s="9">
        <f t="shared" si="27"/>
        <v>2586.1653524304802</v>
      </c>
      <c r="K268" s="9">
        <f t="shared" si="31"/>
        <v>561.27512865164999</v>
      </c>
      <c r="L268" s="10">
        <f t="shared" si="30"/>
        <v>0.21702986938718485</v>
      </c>
      <c r="M268" s="10">
        <f t="shared" si="28"/>
        <v>0.23988423333244638</v>
      </c>
      <c r="P268" s="8">
        <f t="shared" si="29"/>
        <v>-1.7588184505211009</v>
      </c>
    </row>
    <row r="269" spans="1:16" x14ac:dyDescent="0.2">
      <c r="A269" s="8">
        <v>133.5</v>
      </c>
      <c r="B269" s="8">
        <v>267</v>
      </c>
      <c r="D269">
        <v>2633.6569484936999</v>
      </c>
      <c r="E269">
        <v>653.35179786200001</v>
      </c>
      <c r="F269">
        <v>125.01725790988</v>
      </c>
      <c r="G269">
        <v>111.13998082454999</v>
      </c>
      <c r="I269" s="9">
        <f t="shared" si="26"/>
        <v>542.21181703745003</v>
      </c>
      <c r="J269" s="9">
        <f t="shared" si="27"/>
        <v>2508.6396905838201</v>
      </c>
      <c r="K269" s="9">
        <f t="shared" si="31"/>
        <v>542.21181703745003</v>
      </c>
      <c r="L269" s="10">
        <f t="shared" si="30"/>
        <v>0.21613778139309614</v>
      </c>
      <c r="M269" s="10">
        <f t="shared" si="28"/>
        <v>0.23907806399980602</v>
      </c>
      <c r="P269" s="8">
        <f t="shared" si="29"/>
        <v>-2.0889736535843402</v>
      </c>
    </row>
    <row r="270" spans="1:16" x14ac:dyDescent="0.2">
      <c r="A270" s="8">
        <v>134</v>
      </c>
      <c r="B270" s="8">
        <v>268</v>
      </c>
      <c r="D270">
        <v>2709.6839024390001</v>
      </c>
      <c r="E270">
        <v>668.40097560976005</v>
      </c>
      <c r="F270">
        <v>125.54266538829999</v>
      </c>
      <c r="G270">
        <v>111.47267497603001</v>
      </c>
      <c r="I270" s="9">
        <f t="shared" si="26"/>
        <v>556.92830063373003</v>
      </c>
      <c r="J270" s="9">
        <f t="shared" si="27"/>
        <v>2584.1412370507001</v>
      </c>
      <c r="K270" s="9">
        <f t="shared" si="31"/>
        <v>556.92830063373003</v>
      </c>
      <c r="L270" s="10">
        <f t="shared" si="30"/>
        <v>0.2155177482749962</v>
      </c>
      <c r="M270" s="10">
        <f t="shared" si="28"/>
        <v>0.23854394954315442</v>
      </c>
      <c r="P270" s="8">
        <f t="shared" si="29"/>
        <v>-2.3077126452019883</v>
      </c>
    </row>
    <row r="271" spans="1:16" x14ac:dyDescent="0.2">
      <c r="A271" s="8">
        <v>134.5</v>
      </c>
      <c r="B271" s="8">
        <v>269</v>
      </c>
      <c r="D271">
        <v>2710.3658536584999</v>
      </c>
      <c r="E271">
        <v>666.90146341463003</v>
      </c>
      <c r="F271">
        <v>126.32790028763</v>
      </c>
      <c r="G271">
        <v>111.35282837967</v>
      </c>
      <c r="I271" s="9">
        <f t="shared" si="26"/>
        <v>555.54863503496006</v>
      </c>
      <c r="J271" s="9">
        <f t="shared" si="27"/>
        <v>2584.0379533708697</v>
      </c>
      <c r="K271" s="9">
        <f t="shared" si="31"/>
        <v>555.54863503496006</v>
      </c>
      <c r="L271" s="10">
        <f t="shared" si="30"/>
        <v>0.21499244401973608</v>
      </c>
      <c r="M271" s="10">
        <f t="shared" si="28"/>
        <v>0.23810456394934265</v>
      </c>
      <c r="P271" s="8">
        <f t="shared" si="29"/>
        <v>-2.4876567761364514</v>
      </c>
    </row>
    <row r="272" spans="1:16" x14ac:dyDescent="0.2">
      <c r="A272" s="8">
        <v>135</v>
      </c>
      <c r="B272" s="8">
        <v>270</v>
      </c>
      <c r="D272">
        <v>2687.1893203884001</v>
      </c>
      <c r="E272">
        <v>658.25728155340005</v>
      </c>
      <c r="F272">
        <v>126.06423777565</v>
      </c>
      <c r="G272">
        <v>111.31927133268999</v>
      </c>
      <c r="I272" s="9">
        <f t="shared" si="26"/>
        <v>546.93801022071011</v>
      </c>
      <c r="J272" s="9">
        <f t="shared" si="27"/>
        <v>2561.1250826127502</v>
      </c>
      <c r="K272" s="9">
        <f t="shared" si="31"/>
        <v>546.93801022071011</v>
      </c>
      <c r="L272" s="10">
        <f t="shared" si="30"/>
        <v>0.21355380646334826</v>
      </c>
      <c r="M272" s="10">
        <f t="shared" si="28"/>
        <v>0.23675184505440319</v>
      </c>
      <c r="P272" s="8">
        <f t="shared" si="29"/>
        <v>-3.0416435917642506</v>
      </c>
    </row>
    <row r="273" spans="1:16" x14ac:dyDescent="0.2">
      <c r="A273" s="8">
        <v>135.5</v>
      </c>
      <c r="B273" s="8">
        <v>271</v>
      </c>
      <c r="D273">
        <v>2708.4005847952999</v>
      </c>
      <c r="E273">
        <v>655.55360623781996</v>
      </c>
      <c r="F273">
        <v>125.76701821668</v>
      </c>
      <c r="G273">
        <v>111.32118887823999</v>
      </c>
      <c r="I273" s="9">
        <f t="shared" si="26"/>
        <v>544.23241735957993</v>
      </c>
      <c r="J273" s="9">
        <f t="shared" si="27"/>
        <v>2582.63356657862</v>
      </c>
      <c r="K273" s="9">
        <f t="shared" si="31"/>
        <v>544.23241735957993</v>
      </c>
      <c r="L273" s="10">
        <f t="shared" si="30"/>
        <v>0.21072769455271947</v>
      </c>
      <c r="M273" s="10">
        <f t="shared" si="28"/>
        <v>0.23401165180522276</v>
      </c>
      <c r="P273" s="8">
        <f t="shared" si="29"/>
        <v>-4.1638508278701654</v>
      </c>
    </row>
    <row r="274" spans="1:16" x14ac:dyDescent="0.2">
      <c r="A274" s="8">
        <v>136</v>
      </c>
      <c r="B274" s="8">
        <v>272</v>
      </c>
      <c r="D274">
        <v>2598.2025193797999</v>
      </c>
      <c r="E274">
        <v>643.83333333332996</v>
      </c>
      <c r="F274">
        <v>125.62224352827999</v>
      </c>
      <c r="G274">
        <v>111.21093000959</v>
      </c>
      <c r="I274" s="9">
        <f t="shared" si="26"/>
        <v>532.62240332373995</v>
      </c>
      <c r="J274" s="9">
        <f t="shared" si="27"/>
        <v>2472.5802758515201</v>
      </c>
      <c r="K274" s="9">
        <f t="shared" si="31"/>
        <v>532.62240332373995</v>
      </c>
      <c r="L274" s="10">
        <f t="shared" si="30"/>
        <v>0.21541157167902775</v>
      </c>
      <c r="M274" s="10">
        <f t="shared" si="28"/>
        <v>0.23878144759297937</v>
      </c>
      <c r="P274" s="8">
        <f t="shared" si="29"/>
        <v>-2.2104486912256327</v>
      </c>
    </row>
    <row r="275" spans="1:16" x14ac:dyDescent="0.2">
      <c r="A275" s="8">
        <v>136.5</v>
      </c>
      <c r="B275" s="8">
        <v>273</v>
      </c>
      <c r="D275">
        <v>2719.4912790697999</v>
      </c>
      <c r="E275">
        <v>670.48740310078006</v>
      </c>
      <c r="F275">
        <v>125.67976989454</v>
      </c>
      <c r="G275">
        <v>111.25215723873001</v>
      </c>
      <c r="I275" s="9">
        <f>E275-G275</f>
        <v>559.23524586205008</v>
      </c>
      <c r="J275" s="9">
        <f>D275-F275</f>
        <v>2593.8115091752597</v>
      </c>
      <c r="K275" s="9">
        <f t="shared" si="31"/>
        <v>559.23524586205008</v>
      </c>
      <c r="L275" s="10">
        <f t="shared" si="30"/>
        <v>0.21560365658176414</v>
      </c>
      <c r="M275" s="10">
        <f>L275+ABS($N$2)*A275</f>
        <v>0.23905945115716412</v>
      </c>
      <c r="O275" s="11"/>
      <c r="P275" s="8">
        <f>(M275-$O$2)/$O$2*100</f>
        <v>-2.0965962789971613</v>
      </c>
    </row>
    <row r="276" spans="1:16" x14ac:dyDescent="0.2">
      <c r="A276" s="8">
        <v>137</v>
      </c>
      <c r="B276" s="8">
        <v>274</v>
      </c>
      <c r="D276">
        <v>2660.9922480619998</v>
      </c>
      <c r="E276">
        <v>657.82558139535001</v>
      </c>
      <c r="F276">
        <v>125.70661553212</v>
      </c>
      <c r="G276">
        <v>111.27900287632001</v>
      </c>
      <c r="I276" s="9">
        <f t="shared" ref="I276:I291" si="32">E276-G276</f>
        <v>546.54657851903005</v>
      </c>
      <c r="J276" s="9">
        <f t="shared" ref="J276:J291" si="33">D276-F276</f>
        <v>2535.2856325298799</v>
      </c>
      <c r="K276" s="9">
        <f t="shared" si="31"/>
        <v>546.54657851903005</v>
      </c>
      <c r="L276" s="10">
        <f t="shared" si="30"/>
        <v>0.21557593807434186</v>
      </c>
      <c r="M276" s="10">
        <f t="shared" ref="M276:M291" si="34">L276+ABS($N$2)*A276</f>
        <v>0.2391176513111902</v>
      </c>
      <c r="P276" s="8">
        <f t="shared" ref="P276:P291" si="35">(M276-$O$2)/$O$2*100</f>
        <v>-2.0727612323229612</v>
      </c>
    </row>
    <row r="277" spans="1:16" x14ac:dyDescent="0.2">
      <c r="A277" s="8">
        <v>137.5</v>
      </c>
      <c r="B277" s="8">
        <v>275</v>
      </c>
      <c r="D277">
        <v>2627.9147286821999</v>
      </c>
      <c r="E277">
        <v>652.875</v>
      </c>
      <c r="F277">
        <v>125.94151486098001</v>
      </c>
      <c r="G277">
        <v>111.09587727709</v>
      </c>
      <c r="I277" s="9">
        <f t="shared" si="32"/>
        <v>541.77912272290996</v>
      </c>
      <c r="J277" s="9">
        <f t="shared" si="33"/>
        <v>2501.9732138212198</v>
      </c>
      <c r="K277" s="9">
        <f t="shared" si="31"/>
        <v>541.77912272290996</v>
      </c>
      <c r="L277" s="10">
        <f t="shared" si="30"/>
        <v>0.21654073661942216</v>
      </c>
      <c r="M277" s="10">
        <f t="shared" si="34"/>
        <v>0.24016836851771886</v>
      </c>
      <c r="N277" s="1"/>
      <c r="P277" s="8">
        <f t="shared" si="35"/>
        <v>-1.6424549199414811</v>
      </c>
    </row>
    <row r="278" spans="1:16" x14ac:dyDescent="0.2">
      <c r="A278" s="8">
        <v>138</v>
      </c>
      <c r="B278" s="8">
        <v>276</v>
      </c>
      <c r="D278">
        <v>2570.0833333332998</v>
      </c>
      <c r="E278">
        <v>641.14437984495999</v>
      </c>
      <c r="F278">
        <v>125.70182166827</v>
      </c>
      <c r="G278">
        <v>110.82166826462</v>
      </c>
      <c r="I278" s="9">
        <f t="shared" si="32"/>
        <v>530.32271158033996</v>
      </c>
      <c r="J278" s="9">
        <f t="shared" si="33"/>
        <v>2444.3815116650298</v>
      </c>
      <c r="K278" s="9">
        <f t="shared" si="31"/>
        <v>530.32271158033996</v>
      </c>
      <c r="L278" s="10">
        <f t="shared" si="30"/>
        <v>0.21695578576811525</v>
      </c>
      <c r="M278" s="10">
        <f t="shared" si="34"/>
        <v>0.24066933632786028</v>
      </c>
      <c r="P278" s="8">
        <f t="shared" si="35"/>
        <v>-1.4372906667396386</v>
      </c>
    </row>
    <row r="279" spans="1:16" x14ac:dyDescent="0.2">
      <c r="A279" s="8">
        <v>138.5</v>
      </c>
      <c r="B279" s="8">
        <v>277</v>
      </c>
      <c r="D279">
        <v>2692.5340466926</v>
      </c>
      <c r="E279">
        <v>665.93968871594996</v>
      </c>
      <c r="F279">
        <v>125.85906040269001</v>
      </c>
      <c r="G279">
        <v>111.21476510066999</v>
      </c>
      <c r="I279" s="9">
        <f t="shared" si="32"/>
        <v>554.72492361527998</v>
      </c>
      <c r="J279" s="9">
        <f t="shared" si="33"/>
        <v>2566.6749862899101</v>
      </c>
      <c r="K279" s="9">
        <f t="shared" si="31"/>
        <v>554.72492361527998</v>
      </c>
      <c r="L279" s="10">
        <f t="shared" si="30"/>
        <v>0.2161258930633545</v>
      </c>
      <c r="M279" s="10">
        <f t="shared" si="34"/>
        <v>0.23992536228454789</v>
      </c>
      <c r="P279" s="8">
        <f t="shared" si="35"/>
        <v>-1.7419746721943086</v>
      </c>
    </row>
    <row r="280" spans="1:16" x14ac:dyDescent="0.2">
      <c r="A280" s="8">
        <v>139</v>
      </c>
      <c r="B280" s="8">
        <v>278</v>
      </c>
      <c r="D280">
        <v>2680.5282101166999</v>
      </c>
      <c r="E280">
        <v>666.06809338520998</v>
      </c>
      <c r="F280">
        <v>125.71428571429</v>
      </c>
      <c r="G280">
        <v>111.23298178332</v>
      </c>
      <c r="I280" s="9">
        <f t="shared" si="32"/>
        <v>554.83511160188993</v>
      </c>
      <c r="J280" s="9">
        <f t="shared" si="33"/>
        <v>2554.8139244024101</v>
      </c>
      <c r="K280" s="9">
        <f t="shared" si="31"/>
        <v>554.83511160188993</v>
      </c>
      <c r="L280" s="10">
        <f t="shared" si="30"/>
        <v>0.21717241569037948</v>
      </c>
      <c r="M280" s="10">
        <f t="shared" si="34"/>
        <v>0.24105780357302123</v>
      </c>
      <c r="P280" s="8">
        <f t="shared" si="35"/>
        <v>-1.2781994224851922</v>
      </c>
    </row>
    <row r="281" spans="1:16" x14ac:dyDescent="0.2">
      <c r="A281" s="8">
        <v>139.5</v>
      </c>
      <c r="B281" s="8">
        <v>279</v>
      </c>
      <c r="D281">
        <v>2603.3161478599</v>
      </c>
      <c r="E281">
        <v>650.44552529182999</v>
      </c>
      <c r="F281">
        <v>125.02876318313</v>
      </c>
      <c r="G281">
        <v>111.08628954938</v>
      </c>
      <c r="I281" s="9">
        <f t="shared" si="32"/>
        <v>539.35923574244998</v>
      </c>
      <c r="J281" s="9">
        <f t="shared" si="33"/>
        <v>2478.2873846767698</v>
      </c>
      <c r="K281" s="9">
        <f t="shared" si="31"/>
        <v>539.35923574244998</v>
      </c>
      <c r="L281" s="10">
        <f t="shared" si="30"/>
        <v>0.21763385436140442</v>
      </c>
      <c r="M281" s="10">
        <f t="shared" si="34"/>
        <v>0.24160516090549453</v>
      </c>
      <c r="P281" s="8">
        <f t="shared" si="35"/>
        <v>-1.0540369991156424</v>
      </c>
    </row>
    <row r="282" spans="1:16" x14ac:dyDescent="0.2">
      <c r="A282" s="8">
        <v>140</v>
      </c>
      <c r="B282" s="8">
        <v>280</v>
      </c>
      <c r="D282">
        <v>2637.6689386562998</v>
      </c>
      <c r="E282">
        <v>653.27263875364997</v>
      </c>
      <c r="F282">
        <v>125.67881112176001</v>
      </c>
      <c r="G282">
        <v>111.03643336528999</v>
      </c>
      <c r="I282" s="9">
        <f t="shared" si="32"/>
        <v>542.23620538835996</v>
      </c>
      <c r="J282" s="9">
        <f t="shared" si="33"/>
        <v>2511.9901275345396</v>
      </c>
      <c r="K282" s="9">
        <f t="shared" si="31"/>
        <v>542.23620538835996</v>
      </c>
      <c r="L282" s="10">
        <f t="shared" si="30"/>
        <v>0.21585921037060457</v>
      </c>
      <c r="M282" s="10">
        <f t="shared" si="34"/>
        <v>0.23991643557614301</v>
      </c>
      <c r="P282" s="8">
        <f t="shared" si="35"/>
        <v>-1.745630478867638</v>
      </c>
    </row>
    <row r="283" spans="1:16" x14ac:dyDescent="0.2">
      <c r="A283" s="8">
        <v>140.5</v>
      </c>
      <c r="B283" s="8">
        <v>281</v>
      </c>
      <c r="D283">
        <v>2643.6445959103999</v>
      </c>
      <c r="E283">
        <v>656.02726387536995</v>
      </c>
      <c r="F283">
        <v>125.84851390221</v>
      </c>
      <c r="G283">
        <v>111.26366251199001</v>
      </c>
      <c r="I283" s="9">
        <f t="shared" si="32"/>
        <v>544.76360136337996</v>
      </c>
      <c r="J283" s="9">
        <f t="shared" si="33"/>
        <v>2517.7960820081898</v>
      </c>
      <c r="K283" s="9">
        <f t="shared" si="31"/>
        <v>544.76360136337996</v>
      </c>
      <c r="L283" s="10">
        <f t="shared" si="30"/>
        <v>0.21636525898828052</v>
      </c>
      <c r="M283" s="10">
        <f t="shared" si="34"/>
        <v>0.24050840285526731</v>
      </c>
      <c r="P283" s="8">
        <f t="shared" si="35"/>
        <v>-1.503198685281578</v>
      </c>
    </row>
    <row r="284" spans="1:16" x14ac:dyDescent="0.2">
      <c r="A284" s="8">
        <v>141</v>
      </c>
      <c r="B284" s="8">
        <v>282</v>
      </c>
      <c r="D284">
        <v>2724.1996124031002</v>
      </c>
      <c r="E284">
        <v>668.08430232557998</v>
      </c>
      <c r="F284">
        <v>125.71907957814</v>
      </c>
      <c r="G284">
        <v>111.2895493768</v>
      </c>
      <c r="I284" s="9">
        <f t="shared" si="32"/>
        <v>556.79475294878</v>
      </c>
      <c r="J284" s="9">
        <f t="shared" si="33"/>
        <v>2598.4805328249604</v>
      </c>
      <c r="K284" s="9">
        <f t="shared" si="31"/>
        <v>556.79475294878</v>
      </c>
      <c r="L284" s="10">
        <f t="shared" si="30"/>
        <v>0.21427705380707848</v>
      </c>
      <c r="M284" s="10">
        <f t="shared" si="34"/>
        <v>0.23850611633551363</v>
      </c>
      <c r="P284" s="8">
        <f t="shared" si="35"/>
        <v>-2.3232066981824779</v>
      </c>
    </row>
    <row r="285" spans="1:16" x14ac:dyDescent="0.2">
      <c r="A285" s="8">
        <v>141.5</v>
      </c>
      <c r="B285" s="8">
        <v>283</v>
      </c>
      <c r="D285">
        <v>2607.4360465116001</v>
      </c>
      <c r="E285">
        <v>646.32655038760004</v>
      </c>
      <c r="F285">
        <v>125.74976030681</v>
      </c>
      <c r="G285">
        <v>111.32310642378</v>
      </c>
      <c r="I285" s="9">
        <f t="shared" si="32"/>
        <v>535.00344396382002</v>
      </c>
      <c r="J285" s="9">
        <f t="shared" si="33"/>
        <v>2481.6862862047901</v>
      </c>
      <c r="K285" s="9">
        <f t="shared" si="31"/>
        <v>535.00344396382002</v>
      </c>
      <c r="L285" s="10">
        <f t="shared" si="30"/>
        <v>0.21558061022370142</v>
      </c>
      <c r="M285" s="10">
        <f t="shared" si="34"/>
        <v>0.23989559141358494</v>
      </c>
      <c r="P285" s="8">
        <f t="shared" si="35"/>
        <v>-1.7541669096687251</v>
      </c>
    </row>
    <row r="286" spans="1:16" x14ac:dyDescent="0.2">
      <c r="A286" s="8">
        <v>142</v>
      </c>
      <c r="B286" s="8">
        <v>284</v>
      </c>
      <c r="D286">
        <v>2754.8654970759999</v>
      </c>
      <c r="E286">
        <v>675.00682261208999</v>
      </c>
      <c r="F286">
        <v>125.71524448706</v>
      </c>
      <c r="G286">
        <v>111.30393096836001</v>
      </c>
      <c r="I286" s="9">
        <f t="shared" si="32"/>
        <v>563.70289164373003</v>
      </c>
      <c r="J286" s="9">
        <f t="shared" si="33"/>
        <v>2629.15025258894</v>
      </c>
      <c r="K286" s="9">
        <f t="shared" si="31"/>
        <v>563.70289164373003</v>
      </c>
      <c r="L286" s="10">
        <f t="shared" si="30"/>
        <v>0.21440497403624931</v>
      </c>
      <c r="M286" s="10">
        <f t="shared" si="34"/>
        <v>0.23880587388758115</v>
      </c>
      <c r="P286" s="8">
        <f t="shared" si="35"/>
        <v>-2.2004452491101647</v>
      </c>
    </row>
    <row r="287" spans="1:16" x14ac:dyDescent="0.2">
      <c r="A287" s="8">
        <v>142.5</v>
      </c>
      <c r="B287" s="8">
        <v>285</v>
      </c>
      <c r="D287">
        <v>2772.6013645224002</v>
      </c>
      <c r="E287">
        <v>676.12378167640998</v>
      </c>
      <c r="F287">
        <v>126.46883988495</v>
      </c>
      <c r="G287">
        <v>111.69990412272</v>
      </c>
      <c r="I287" s="9">
        <f t="shared" si="32"/>
        <v>564.42387755368998</v>
      </c>
      <c r="J287" s="9">
        <f t="shared" si="33"/>
        <v>2646.1325246374504</v>
      </c>
      <c r="K287" s="9">
        <f t="shared" si="31"/>
        <v>564.42387755368998</v>
      </c>
      <c r="L287" s="10">
        <f t="shared" si="30"/>
        <v>0.21330143985551983</v>
      </c>
      <c r="M287" s="10">
        <f t="shared" si="34"/>
        <v>0.23778825836830003</v>
      </c>
      <c r="P287" s="8">
        <f t="shared" si="35"/>
        <v>-2.6171952355034613</v>
      </c>
    </row>
    <row r="288" spans="1:16" x14ac:dyDescent="0.2">
      <c r="A288" s="8">
        <v>143</v>
      </c>
      <c r="B288" s="8">
        <v>286</v>
      </c>
      <c r="D288">
        <v>2487.4817658349002</v>
      </c>
      <c r="E288">
        <v>624.81381957773999</v>
      </c>
      <c r="F288">
        <v>125.49472674976001</v>
      </c>
      <c r="G288">
        <v>111.14860977948</v>
      </c>
      <c r="I288" s="9">
        <f t="shared" si="32"/>
        <v>513.66520979825998</v>
      </c>
      <c r="J288" s="9">
        <f t="shared" si="33"/>
        <v>2361.9870390851402</v>
      </c>
      <c r="K288" s="9">
        <f t="shared" si="31"/>
        <v>513.66520979825998</v>
      </c>
      <c r="L288" s="10">
        <f t="shared" si="30"/>
        <v>0.21747164624460261</v>
      </c>
      <c r="M288" s="10">
        <f t="shared" si="34"/>
        <v>0.24204438341883117</v>
      </c>
      <c r="P288" s="8">
        <f t="shared" si="35"/>
        <v>-0.87415965547412133</v>
      </c>
    </row>
    <row r="289" spans="1:16" x14ac:dyDescent="0.2">
      <c r="A289" s="8">
        <v>143.5</v>
      </c>
      <c r="B289" s="8">
        <v>287</v>
      </c>
      <c r="D289">
        <v>2508.1416015625</v>
      </c>
      <c r="E289">
        <v>627.8876953125</v>
      </c>
      <c r="F289">
        <v>125.83221476510001</v>
      </c>
      <c r="G289">
        <v>111.16395014382</v>
      </c>
      <c r="I289" s="9">
        <f t="shared" si="32"/>
        <v>516.72374516868001</v>
      </c>
      <c r="J289" s="9">
        <f t="shared" si="33"/>
        <v>2382.3093867973998</v>
      </c>
      <c r="K289" s="9">
        <f t="shared" si="31"/>
        <v>516.72374516868001</v>
      </c>
      <c r="L289" s="10">
        <f t="shared" si="30"/>
        <v>0.21690035225161292</v>
      </c>
      <c r="M289" s="10">
        <f t="shared" si="34"/>
        <v>0.24155900808728983</v>
      </c>
      <c r="P289" s="8">
        <f t="shared" si="35"/>
        <v>-1.0729382304691164</v>
      </c>
    </row>
    <row r="290" spans="1:16" x14ac:dyDescent="0.2">
      <c r="A290" s="8">
        <v>144</v>
      </c>
      <c r="B290" s="8">
        <v>288</v>
      </c>
      <c r="D290">
        <v>2531.3525390625</v>
      </c>
      <c r="E290">
        <v>630.0556640625</v>
      </c>
      <c r="F290">
        <v>125.94534995206</v>
      </c>
      <c r="G290">
        <v>111.2070949185</v>
      </c>
      <c r="I290" s="9">
        <f t="shared" si="32"/>
        <v>518.84856914399995</v>
      </c>
      <c r="J290" s="9">
        <f t="shared" si="33"/>
        <v>2405.40718911044</v>
      </c>
      <c r="K290" s="9">
        <f t="shared" si="31"/>
        <v>518.84856914399995</v>
      </c>
      <c r="L290" s="10">
        <f t="shared" si="30"/>
        <v>0.21570093059207945</v>
      </c>
      <c r="M290" s="10">
        <f t="shared" si="34"/>
        <v>0.2404455050892047</v>
      </c>
      <c r="P290" s="8">
        <f t="shared" si="35"/>
        <v>-1.5289575722620736</v>
      </c>
    </row>
    <row r="291" spans="1:16" x14ac:dyDescent="0.2">
      <c r="A291" s="8">
        <v>144.5</v>
      </c>
      <c r="B291" s="8">
        <v>289</v>
      </c>
      <c r="D291">
        <v>2604.8592233009999</v>
      </c>
      <c r="E291">
        <v>646.34368932039001</v>
      </c>
      <c r="F291">
        <v>125.907957814</v>
      </c>
      <c r="G291">
        <v>111.28763183126</v>
      </c>
      <c r="I291" s="9">
        <f t="shared" si="32"/>
        <v>535.05605748913001</v>
      </c>
      <c r="J291" s="9">
        <f t="shared" si="33"/>
        <v>2478.951265487</v>
      </c>
      <c r="K291" s="9">
        <f t="shared" si="31"/>
        <v>535.05605748913001</v>
      </c>
      <c r="L291" s="10">
        <f t="shared" si="30"/>
        <v>0.21583968387697047</v>
      </c>
      <c r="M291" s="10">
        <f t="shared" si="34"/>
        <v>0.24067017703554408</v>
      </c>
      <c r="P291" s="8">
        <f t="shared" si="35"/>
        <v>-1.4369463668452809</v>
      </c>
    </row>
    <row r="292" spans="1:16" x14ac:dyDescent="0.2">
      <c r="A292" s="8">
        <v>145</v>
      </c>
      <c r="B292" s="8">
        <v>290</v>
      </c>
      <c r="D292">
        <v>2611.2825242718</v>
      </c>
      <c r="E292">
        <v>650.75436893204005</v>
      </c>
      <c r="F292">
        <v>125.99712368169</v>
      </c>
      <c r="G292">
        <v>111.29721955897</v>
      </c>
      <c r="I292" s="9">
        <f>E292-G292</f>
        <v>539.45714937307002</v>
      </c>
      <c r="J292" s="9">
        <f>D292-F292</f>
        <v>2485.2854005901099</v>
      </c>
      <c r="K292" s="9">
        <f t="shared" si="31"/>
        <v>539.45714937307002</v>
      </c>
      <c r="L292" s="10">
        <f t="shared" si="30"/>
        <v>0.21706044273425518</v>
      </c>
      <c r="M292" s="10">
        <f>L292+ABS($N$2)*A292</f>
        <v>0.24197685455427714</v>
      </c>
      <c r="O292" s="11"/>
      <c r="P292" s="8">
        <f>(M292-$O$2)/$O$2*100</f>
        <v>-0.90181514308296307</v>
      </c>
    </row>
    <row r="293" spans="1:16" x14ac:dyDescent="0.2">
      <c r="A293" s="8">
        <v>145.5</v>
      </c>
      <c r="B293" s="8">
        <v>291</v>
      </c>
      <c r="D293">
        <v>2739.3012512031</v>
      </c>
      <c r="E293">
        <v>671.07410972088996</v>
      </c>
      <c r="F293">
        <v>126.184084372</v>
      </c>
      <c r="G293">
        <v>111.60977948226</v>
      </c>
      <c r="I293" s="9">
        <f t="shared" ref="I293:I301" si="36">E293-G293</f>
        <v>559.46433023862994</v>
      </c>
      <c r="J293" s="9">
        <f t="shared" ref="J293:J301" si="37">D293-F293</f>
        <v>2613.1171668310999</v>
      </c>
      <c r="K293" s="9">
        <f t="shared" si="31"/>
        <v>559.46433023862994</v>
      </c>
      <c r="L293" s="10">
        <f t="shared" si="30"/>
        <v>0.21409844814462972</v>
      </c>
      <c r="M293" s="10">
        <f t="shared" ref="M293:M301" si="38">L293+ABS($N$2)*A293</f>
        <v>0.23910077862610002</v>
      </c>
      <c r="P293" s="8">
        <f t="shared" ref="P293:P301" si="39">(M293-$O$2)/$O$2*100</f>
        <v>-2.0796712009196652</v>
      </c>
    </row>
    <row r="294" spans="1:16" x14ac:dyDescent="0.2">
      <c r="A294" s="8">
        <v>146</v>
      </c>
      <c r="B294" s="8">
        <v>292</v>
      </c>
      <c r="D294">
        <v>2600.4061597690002</v>
      </c>
      <c r="E294">
        <v>643.44273339749998</v>
      </c>
      <c r="F294">
        <v>125.54074784276</v>
      </c>
      <c r="G294">
        <v>111.3355704698</v>
      </c>
      <c r="I294" s="9">
        <f t="shared" si="36"/>
        <v>532.10716292769996</v>
      </c>
      <c r="J294" s="9">
        <f t="shared" si="37"/>
        <v>2474.8654119262401</v>
      </c>
      <c r="K294" s="9">
        <f t="shared" si="31"/>
        <v>532.10716292769996</v>
      </c>
      <c r="L294" s="10">
        <f t="shared" si="30"/>
        <v>0.21500448483521764</v>
      </c>
      <c r="M294" s="10">
        <f t="shared" si="38"/>
        <v>0.2400927339781363</v>
      </c>
      <c r="N294" s="1"/>
      <c r="P294" s="8">
        <f t="shared" si="39"/>
        <v>-1.6734299716625518</v>
      </c>
    </row>
    <row r="295" spans="1:16" x14ac:dyDescent="0.2">
      <c r="A295" s="8">
        <v>146.5</v>
      </c>
      <c r="B295" s="8">
        <v>293</v>
      </c>
      <c r="D295">
        <v>2570.4995187681002</v>
      </c>
      <c r="E295">
        <v>641.86236766120999</v>
      </c>
      <c r="F295">
        <v>125.88590604027</v>
      </c>
      <c r="G295">
        <v>111.32406519654999</v>
      </c>
      <c r="I295" s="9">
        <f t="shared" si="36"/>
        <v>530.53830246465998</v>
      </c>
      <c r="J295" s="9">
        <f t="shared" si="37"/>
        <v>2444.6136127278301</v>
      </c>
      <c r="K295" s="9">
        <f t="shared" si="31"/>
        <v>530.53830246465998</v>
      </c>
      <c r="L295" s="10">
        <f t="shared" si="30"/>
        <v>0.21702337731509933</v>
      </c>
      <c r="M295" s="10">
        <f t="shared" si="38"/>
        <v>0.24219754511946634</v>
      </c>
      <c r="P295" s="8">
        <f t="shared" si="39"/>
        <v>-0.81143445578300932</v>
      </c>
    </row>
    <row r="296" spans="1:16" x14ac:dyDescent="0.2">
      <c r="A296" s="8">
        <v>147</v>
      </c>
      <c r="B296" s="8">
        <v>294</v>
      </c>
      <c r="D296">
        <v>2367.2810394610001</v>
      </c>
      <c r="E296">
        <v>605.35611164580996</v>
      </c>
      <c r="F296">
        <v>126.11697027804</v>
      </c>
      <c r="G296">
        <v>111.24544582934</v>
      </c>
      <c r="I296" s="9">
        <f t="shared" si="36"/>
        <v>494.11066581646998</v>
      </c>
      <c r="J296" s="9">
        <f t="shared" si="37"/>
        <v>2241.1640691829602</v>
      </c>
      <c r="K296" s="9">
        <f t="shared" si="31"/>
        <v>494.11066581646998</v>
      </c>
      <c r="L296" s="10">
        <f t="shared" si="30"/>
        <v>0.2204705459143842</v>
      </c>
      <c r="M296" s="10">
        <f t="shared" si="38"/>
        <v>0.24573063238019957</v>
      </c>
      <c r="P296" s="8">
        <f t="shared" si="39"/>
        <v>0.63549126413631196</v>
      </c>
    </row>
    <row r="297" spans="1:16" x14ac:dyDescent="0.2">
      <c r="A297" s="8">
        <v>147.5</v>
      </c>
      <c r="B297" s="8">
        <v>295</v>
      </c>
      <c r="D297">
        <v>2468.7717073171002</v>
      </c>
      <c r="E297">
        <v>623.90439024390002</v>
      </c>
      <c r="F297">
        <v>125.88782358581</v>
      </c>
      <c r="G297">
        <v>111.44391179291</v>
      </c>
      <c r="I297" s="9">
        <f t="shared" si="36"/>
        <v>512.46047845098997</v>
      </c>
      <c r="J297" s="9">
        <f t="shared" si="37"/>
        <v>2342.8838837312901</v>
      </c>
      <c r="K297" s="9">
        <f t="shared" si="31"/>
        <v>512.46047845098997</v>
      </c>
      <c r="L297" s="10">
        <f t="shared" si="30"/>
        <v>0.21873063450111857</v>
      </c>
      <c r="M297" s="10">
        <f t="shared" si="38"/>
        <v>0.24407663962838227</v>
      </c>
      <c r="P297" s="8">
        <f t="shared" si="39"/>
        <v>-4.1877981668251602E-2</v>
      </c>
    </row>
    <row r="298" spans="1:16" x14ac:dyDescent="0.2">
      <c r="A298" s="8">
        <v>148</v>
      </c>
      <c r="B298" s="8">
        <v>296</v>
      </c>
      <c r="D298">
        <v>2552.3480769231001</v>
      </c>
      <c r="E298">
        <v>631.68846153846005</v>
      </c>
      <c r="F298">
        <v>125.91083413231</v>
      </c>
      <c r="G298">
        <v>111.45829338447</v>
      </c>
      <c r="I298" s="9">
        <f t="shared" si="36"/>
        <v>520.23016815399001</v>
      </c>
      <c r="J298" s="9">
        <f t="shared" si="37"/>
        <v>2426.4372427907902</v>
      </c>
      <c r="K298" s="9">
        <f t="shared" si="31"/>
        <v>520.23016815399001</v>
      </c>
      <c r="L298" s="10">
        <f t="shared" si="30"/>
        <v>0.21440083385616118</v>
      </c>
      <c r="M298" s="10">
        <f t="shared" si="38"/>
        <v>0.23983275764487325</v>
      </c>
      <c r="P298" s="8">
        <f t="shared" si="39"/>
        <v>-1.779899587442876</v>
      </c>
    </row>
    <row r="299" spans="1:16" x14ac:dyDescent="0.2">
      <c r="A299" s="8">
        <v>148.5</v>
      </c>
      <c r="B299" s="8">
        <v>297</v>
      </c>
      <c r="D299">
        <v>2592.5082284608002</v>
      </c>
      <c r="E299">
        <v>644.08809293319996</v>
      </c>
      <c r="F299">
        <v>125.86577181208</v>
      </c>
      <c r="G299">
        <v>111.33461169703</v>
      </c>
      <c r="I299" s="9">
        <f t="shared" si="36"/>
        <v>532.75348123616993</v>
      </c>
      <c r="J299" s="9">
        <f t="shared" si="37"/>
        <v>2466.6424566487203</v>
      </c>
      <c r="K299" s="9">
        <f t="shared" si="31"/>
        <v>532.75348123616993</v>
      </c>
      <c r="L299" s="10">
        <f t="shared" si="30"/>
        <v>0.21598326088978062</v>
      </c>
      <c r="M299" s="10">
        <f t="shared" si="38"/>
        <v>0.24150110333994104</v>
      </c>
      <c r="P299" s="8">
        <f t="shared" si="39"/>
        <v>-1.0966522975332309</v>
      </c>
    </row>
    <row r="300" spans="1:16" x14ac:dyDescent="0.2">
      <c r="A300" s="8">
        <v>149</v>
      </c>
      <c r="B300" s="8">
        <v>298</v>
      </c>
      <c r="D300">
        <v>2516.2875121007</v>
      </c>
      <c r="E300">
        <v>630.20522749274005</v>
      </c>
      <c r="F300">
        <v>125.88974113134999</v>
      </c>
      <c r="G300">
        <v>111.3518696069</v>
      </c>
      <c r="I300" s="9">
        <f t="shared" si="36"/>
        <v>518.85335788584007</v>
      </c>
      <c r="J300" s="9">
        <f t="shared" si="37"/>
        <v>2390.3977709693499</v>
      </c>
      <c r="K300" s="9">
        <f t="shared" si="31"/>
        <v>518.85335788584007</v>
      </c>
      <c r="L300" s="10">
        <f t="shared" si="30"/>
        <v>0.21705733003400332</v>
      </c>
      <c r="M300" s="10">
        <f t="shared" si="38"/>
        <v>0.2426610911456121</v>
      </c>
      <c r="P300" s="8">
        <f t="shared" si="39"/>
        <v>-0.62159576284976403</v>
      </c>
    </row>
    <row r="301" spans="1:16" x14ac:dyDescent="0.2">
      <c r="A301" s="8">
        <v>149.5</v>
      </c>
      <c r="B301" s="8">
        <v>299</v>
      </c>
      <c r="D301">
        <v>2439.3662790697999</v>
      </c>
      <c r="E301">
        <v>616.83333333332996</v>
      </c>
      <c r="F301">
        <v>125.66251198466</v>
      </c>
      <c r="G301">
        <v>110.94343240652</v>
      </c>
      <c r="I301" s="9">
        <f t="shared" si="36"/>
        <v>505.88990092680996</v>
      </c>
      <c r="J301" s="9">
        <f t="shared" si="37"/>
        <v>2313.70376708514</v>
      </c>
      <c r="K301" s="9">
        <f t="shared" si="31"/>
        <v>505.88990092680996</v>
      </c>
      <c r="L301" s="10">
        <f t="shared" si="30"/>
        <v>0.2186493829173915</v>
      </c>
      <c r="M301" s="10">
        <f t="shared" si="38"/>
        <v>0.24433906269044864</v>
      </c>
      <c r="P301" s="8">
        <f t="shared" si="39"/>
        <v>6.5593657151392065E-2</v>
      </c>
    </row>
    <row r="302" spans="1:16" x14ac:dyDescent="0.2">
      <c r="A302" s="8">
        <v>150</v>
      </c>
      <c r="B302" s="8">
        <v>300</v>
      </c>
      <c r="D302">
        <v>2482.3032945735999</v>
      </c>
      <c r="E302">
        <v>624.53585271318002</v>
      </c>
      <c r="F302">
        <v>125.74113135187</v>
      </c>
      <c r="G302">
        <v>111.26270373921</v>
      </c>
      <c r="I302" s="9">
        <f>E302-G302</f>
        <v>513.27314897397002</v>
      </c>
      <c r="J302" s="9">
        <f>D302-F302</f>
        <v>2356.5621632217299</v>
      </c>
      <c r="K302" s="9">
        <f t="shared" si="31"/>
        <v>513.27314897397002</v>
      </c>
      <c r="L302" s="10">
        <f t="shared" si="30"/>
        <v>0.21780590259170513</v>
      </c>
      <c r="M302" s="10">
        <f>L302+ABS($N$2)*A302</f>
        <v>0.2435815010262106</v>
      </c>
      <c r="O302" s="11"/>
      <c r="P302" s="8">
        <f>(M302-$O$2)/$O$2*100</f>
        <v>-0.24465496551733484</v>
      </c>
    </row>
    <row r="303" spans="1:16" x14ac:dyDescent="0.2">
      <c r="A303" s="8">
        <v>150.5</v>
      </c>
      <c r="B303" s="8">
        <v>301</v>
      </c>
      <c r="D303">
        <v>2580.0124760077001</v>
      </c>
      <c r="E303">
        <v>640.41746641074997</v>
      </c>
      <c r="F303">
        <v>125.95685522530999</v>
      </c>
      <c r="G303">
        <v>111.25599232982</v>
      </c>
      <c r="I303" s="9">
        <f t="shared" ref="I303:I309" si="40">E303-G303</f>
        <v>529.16147408093002</v>
      </c>
      <c r="J303" s="9">
        <f t="shared" ref="J303:J309" si="41">D303-F303</f>
        <v>2454.0556207823902</v>
      </c>
      <c r="K303" s="9">
        <f t="shared" si="31"/>
        <v>529.16147408093002</v>
      </c>
      <c r="L303" s="10">
        <f t="shared" si="30"/>
        <v>0.21562733525665784</v>
      </c>
      <c r="M303" s="10">
        <f t="shared" ref="M303:M309" si="42">L303+ABS($N$2)*A303</f>
        <v>0.24148885235261167</v>
      </c>
      <c r="P303" s="8">
        <f t="shared" ref="P303:P309" si="43">(M303-$O$2)/$O$2*100</f>
        <v>-1.1016695154373257</v>
      </c>
    </row>
    <row r="304" spans="1:16" x14ac:dyDescent="0.2">
      <c r="A304" s="8">
        <v>151</v>
      </c>
      <c r="B304" s="8">
        <v>302</v>
      </c>
      <c r="D304">
        <v>2638.0376447876001</v>
      </c>
      <c r="E304">
        <v>652.55791505792001</v>
      </c>
      <c r="F304">
        <v>126.20134228188</v>
      </c>
      <c r="G304">
        <v>111.5033557047</v>
      </c>
      <c r="I304" s="9">
        <f t="shared" si="40"/>
        <v>541.05455935322004</v>
      </c>
      <c r="J304" s="9">
        <f t="shared" si="41"/>
        <v>2511.8363025057201</v>
      </c>
      <c r="K304" s="9">
        <f t="shared" si="31"/>
        <v>541.05455935322004</v>
      </c>
      <c r="L304" s="10">
        <f t="shared" si="30"/>
        <v>0.21540199845566485</v>
      </c>
      <c r="M304" s="10">
        <f t="shared" si="42"/>
        <v>0.24134943421306704</v>
      </c>
      <c r="N304" s="1"/>
      <c r="P304" s="8">
        <f t="shared" si="43"/>
        <v>-1.1587662348341057</v>
      </c>
    </row>
    <row r="305" spans="1:16" x14ac:dyDescent="0.2">
      <c r="A305" s="8">
        <v>151.5</v>
      </c>
      <c r="B305" s="8">
        <v>303</v>
      </c>
      <c r="D305">
        <v>2667.931268151</v>
      </c>
      <c r="E305">
        <v>654.13649564375999</v>
      </c>
      <c r="F305">
        <v>125.61361457335001</v>
      </c>
      <c r="G305">
        <v>110.95206136146</v>
      </c>
      <c r="I305" s="9">
        <f t="shared" si="40"/>
        <v>543.1844342823</v>
      </c>
      <c r="J305" s="9">
        <f t="shared" si="41"/>
        <v>2542.3176535776502</v>
      </c>
      <c r="K305" s="9">
        <f t="shared" si="31"/>
        <v>543.1844342823</v>
      </c>
      <c r="L305" s="10">
        <f t="shared" si="30"/>
        <v>0.21365718541029258</v>
      </c>
      <c r="M305" s="10">
        <f t="shared" si="42"/>
        <v>0.23969053982914312</v>
      </c>
      <c r="P305" s="8">
        <f t="shared" si="43"/>
        <v>-1.8381428744677075</v>
      </c>
    </row>
    <row r="306" spans="1:16" x14ac:dyDescent="0.2">
      <c r="A306" s="8">
        <v>152</v>
      </c>
      <c r="B306" s="8">
        <v>304</v>
      </c>
      <c r="D306">
        <v>2489.1970731707002</v>
      </c>
      <c r="E306">
        <v>626.66341463414994</v>
      </c>
      <c r="F306">
        <v>125.73346116970001</v>
      </c>
      <c r="G306">
        <v>111.28667305849</v>
      </c>
      <c r="I306" s="9">
        <f t="shared" si="40"/>
        <v>515.37674157565993</v>
      </c>
      <c r="J306" s="9">
        <f t="shared" si="41"/>
        <v>2363.463612001</v>
      </c>
      <c r="K306" s="9">
        <f t="shared" si="31"/>
        <v>515.37674157565993</v>
      </c>
      <c r="L306" s="10">
        <f t="shared" si="30"/>
        <v>0.21805994344855684</v>
      </c>
      <c r="M306" s="10">
        <f t="shared" si="42"/>
        <v>0.24417921652885571</v>
      </c>
      <c r="P306" s="8">
        <f t="shared" si="43"/>
        <v>1.3093139035792191E-4</v>
      </c>
    </row>
    <row r="307" spans="1:16" x14ac:dyDescent="0.2">
      <c r="A307" s="8">
        <v>152.5</v>
      </c>
      <c r="B307" s="8">
        <v>305</v>
      </c>
      <c r="D307">
        <v>2547.9674017257998</v>
      </c>
      <c r="E307">
        <v>632.6251198466</v>
      </c>
      <c r="F307">
        <v>126.10738255034001</v>
      </c>
      <c r="G307">
        <v>111.19175455417</v>
      </c>
      <c r="I307" s="9">
        <f t="shared" si="40"/>
        <v>521.43336529243004</v>
      </c>
      <c r="J307" s="9">
        <f t="shared" si="41"/>
        <v>2421.8600191754599</v>
      </c>
      <c r="K307" s="9">
        <f t="shared" si="31"/>
        <v>521.43336529243004</v>
      </c>
      <c r="L307" s="10">
        <f t="shared" si="30"/>
        <v>0.21530285035629593</v>
      </c>
      <c r="M307" s="10">
        <f t="shared" si="42"/>
        <v>0.24150804209804316</v>
      </c>
      <c r="P307" s="8">
        <f t="shared" si="43"/>
        <v>-1.0938106276786987</v>
      </c>
    </row>
    <row r="308" spans="1:16" x14ac:dyDescent="0.2">
      <c r="A308" s="8">
        <v>153</v>
      </c>
      <c r="B308" s="8">
        <v>306</v>
      </c>
      <c r="D308">
        <v>2477.9094412331001</v>
      </c>
      <c r="E308">
        <v>622.48554913295004</v>
      </c>
      <c r="F308">
        <v>125.89645254075</v>
      </c>
      <c r="G308">
        <v>111.15915627996</v>
      </c>
      <c r="I308" s="9">
        <f t="shared" si="40"/>
        <v>511.32639285299001</v>
      </c>
      <c r="J308" s="9">
        <f t="shared" si="41"/>
        <v>2352.0129886923501</v>
      </c>
      <c r="K308" s="9">
        <f t="shared" si="31"/>
        <v>511.32639285299001</v>
      </c>
      <c r="L308" s="10">
        <f t="shared" si="30"/>
        <v>0.2173994766658463</v>
      </c>
      <c r="M308" s="10">
        <f t="shared" si="42"/>
        <v>0.2436905870690419</v>
      </c>
      <c r="P308" s="8">
        <f t="shared" si="43"/>
        <v>-0.19998032563196866</v>
      </c>
    </row>
    <row r="309" spans="1:16" x14ac:dyDescent="0.2">
      <c r="A309" s="8">
        <v>153.5</v>
      </c>
      <c r="B309" s="8">
        <v>307</v>
      </c>
      <c r="D309">
        <v>2438.7581888247</v>
      </c>
      <c r="E309">
        <v>618.14836223506995</v>
      </c>
      <c r="F309">
        <v>125.82742090124999</v>
      </c>
      <c r="G309">
        <v>111.0527325024</v>
      </c>
      <c r="I309" s="9">
        <f t="shared" si="40"/>
        <v>507.09562973266998</v>
      </c>
      <c r="J309" s="9">
        <f t="shared" si="41"/>
        <v>2312.9307679234498</v>
      </c>
      <c r="K309" s="9">
        <f t="shared" si="31"/>
        <v>507.09562973266998</v>
      </c>
      <c r="L309" s="10">
        <f t="shared" si="30"/>
        <v>0.21924375634811613</v>
      </c>
      <c r="M309" s="10">
        <f t="shared" si="42"/>
        <v>0.24562078541276006</v>
      </c>
      <c r="P309" s="8">
        <f t="shared" si="43"/>
        <v>0.5905049983823244</v>
      </c>
    </row>
    <row r="310" spans="1:16" x14ac:dyDescent="0.2">
      <c r="A310" s="8">
        <v>154</v>
      </c>
      <c r="B310" s="8">
        <v>308</v>
      </c>
      <c r="D310">
        <v>2467.1483622351002</v>
      </c>
      <c r="E310">
        <v>621.56840077071001</v>
      </c>
      <c r="F310">
        <v>125.98561840844</v>
      </c>
      <c r="G310">
        <v>111.45158197507</v>
      </c>
      <c r="I310" s="9">
        <f>E310-G310</f>
        <v>510.11681879564003</v>
      </c>
      <c r="J310" s="9">
        <f>D310-F310</f>
        <v>2341.1627438266601</v>
      </c>
      <c r="K310" s="9">
        <f t="shared" si="31"/>
        <v>510.11681879564003</v>
      </c>
      <c r="L310" s="10">
        <f t="shared" si="30"/>
        <v>0.21789037098798508</v>
      </c>
      <c r="M310" s="10">
        <f>L310+ABS($N$2)*A310</f>
        <v>0.24435331871407737</v>
      </c>
      <c r="O310" s="11"/>
      <c r="P310" s="8">
        <f>(M310-$O$2)/$O$2*100</f>
        <v>7.1432009201577051E-2</v>
      </c>
    </row>
    <row r="311" spans="1:16" x14ac:dyDescent="0.2">
      <c r="A311" s="8">
        <v>154.5</v>
      </c>
      <c r="B311" s="8">
        <v>309</v>
      </c>
      <c r="D311">
        <v>2459.6348747592001</v>
      </c>
      <c r="E311">
        <v>625.55973025048002</v>
      </c>
      <c r="F311">
        <v>125.51677852349</v>
      </c>
      <c r="G311">
        <v>111.29721955897</v>
      </c>
      <c r="I311" s="9">
        <f t="shared" ref="I311:I319" si="44">E311-G311</f>
        <v>514.26251069150999</v>
      </c>
      <c r="J311" s="9">
        <f t="shared" ref="J311:J319" si="45">D311-F311</f>
        <v>2334.1180962357103</v>
      </c>
      <c r="K311" s="9">
        <f t="shared" si="31"/>
        <v>514.26251069150999</v>
      </c>
      <c r="L311" s="10">
        <f t="shared" si="30"/>
        <v>0.22032411792739784</v>
      </c>
      <c r="M311" s="10">
        <f t="shared" ref="M311:M319" si="46">L311+ABS($N$2)*A311</f>
        <v>0.24687298431493848</v>
      </c>
      <c r="P311" s="8">
        <f t="shared" ref="P311:P319" si="47">(M311-$O$2)/$O$2*100</f>
        <v>1.103325278298277</v>
      </c>
    </row>
    <row r="312" spans="1:16" x14ac:dyDescent="0.2">
      <c r="A312" s="8">
        <v>155</v>
      </c>
      <c r="B312" s="8">
        <v>310</v>
      </c>
      <c r="D312">
        <v>2522.1936416184999</v>
      </c>
      <c r="E312">
        <v>636.85549132947995</v>
      </c>
      <c r="F312">
        <v>125.49185043145</v>
      </c>
      <c r="G312">
        <v>111.26845637584</v>
      </c>
      <c r="I312" s="9">
        <f t="shared" si="44"/>
        <v>525.58703495363989</v>
      </c>
      <c r="J312" s="9">
        <f t="shared" si="45"/>
        <v>2396.7017911870498</v>
      </c>
      <c r="K312" s="9">
        <f t="shared" si="31"/>
        <v>525.58703495363989</v>
      </c>
      <c r="L312" s="10">
        <f t="shared" si="30"/>
        <v>0.21929596618414704</v>
      </c>
      <c r="M312" s="10">
        <f t="shared" si="46"/>
        <v>0.24593075123313604</v>
      </c>
      <c r="N312" s="1"/>
      <c r="P312" s="8">
        <f t="shared" si="47"/>
        <v>0.71744709878910207</v>
      </c>
    </row>
    <row r="313" spans="1:16" x14ac:dyDescent="0.2">
      <c r="A313" s="8">
        <v>155.5</v>
      </c>
      <c r="B313" s="8">
        <v>311</v>
      </c>
      <c r="D313">
        <v>2652.1655372700998</v>
      </c>
      <c r="E313">
        <v>658.43465634075994</v>
      </c>
      <c r="F313">
        <v>125.92521572387</v>
      </c>
      <c r="G313">
        <v>111.27325023969</v>
      </c>
      <c r="I313" s="9">
        <f t="shared" si="44"/>
        <v>547.16140610106993</v>
      </c>
      <c r="J313" s="9">
        <f t="shared" si="45"/>
        <v>2526.24032154623</v>
      </c>
      <c r="K313" s="9">
        <f t="shared" si="31"/>
        <v>547.16140610106993</v>
      </c>
      <c r="L313" s="10">
        <f t="shared" si="30"/>
        <v>0.21659119341669367</v>
      </c>
      <c r="M313" s="10">
        <f t="shared" si="46"/>
        <v>0.243311897127131</v>
      </c>
      <c r="P313" s="8">
        <f t="shared" si="47"/>
        <v>-0.35506741417218135</v>
      </c>
    </row>
    <row r="314" spans="1:16" x14ac:dyDescent="0.2">
      <c r="A314" s="8">
        <v>156</v>
      </c>
      <c r="B314" s="8">
        <v>312</v>
      </c>
      <c r="D314">
        <v>2485.4288480155001</v>
      </c>
      <c r="E314">
        <v>627.99419167473002</v>
      </c>
      <c r="F314">
        <v>125.35762224353</v>
      </c>
      <c r="G314">
        <v>111.66155321188999</v>
      </c>
      <c r="I314" s="9">
        <f t="shared" si="44"/>
        <v>516.33263846284001</v>
      </c>
      <c r="J314" s="9">
        <f t="shared" si="45"/>
        <v>2360.0712257719701</v>
      </c>
      <c r="K314" s="9">
        <f t="shared" si="31"/>
        <v>516.33263846284001</v>
      </c>
      <c r="L314" s="10">
        <f t="shared" si="30"/>
        <v>0.21877841347519061</v>
      </c>
      <c r="M314" s="10">
        <f t="shared" si="46"/>
        <v>0.24558503584707631</v>
      </c>
      <c r="P314" s="8">
        <f t="shared" si="47"/>
        <v>0.57586427137887353</v>
      </c>
    </row>
    <row r="315" spans="1:16" x14ac:dyDescent="0.2">
      <c r="A315" s="8">
        <v>156.5</v>
      </c>
      <c r="B315" s="8">
        <v>313</v>
      </c>
      <c r="D315">
        <v>2732.1548886738001</v>
      </c>
      <c r="E315">
        <v>673.87996127783003</v>
      </c>
      <c r="F315">
        <v>126.12272291467001</v>
      </c>
      <c r="G315">
        <v>111.54937679770001</v>
      </c>
      <c r="I315" s="9">
        <f t="shared" si="44"/>
        <v>562.33058448013003</v>
      </c>
      <c r="J315" s="9">
        <f t="shared" si="45"/>
        <v>2606.0321657591303</v>
      </c>
      <c r="K315" s="9">
        <f t="shared" si="31"/>
        <v>562.33058448013003</v>
      </c>
      <c r="L315" s="10">
        <f t="shared" si="30"/>
        <v>0.21578036981608958</v>
      </c>
      <c r="M315" s="10">
        <f t="shared" si="46"/>
        <v>0.24267291084942363</v>
      </c>
      <c r="P315" s="8">
        <f t="shared" si="47"/>
        <v>-0.61675517098643529</v>
      </c>
    </row>
    <row r="316" spans="1:16" x14ac:dyDescent="0.2">
      <c r="A316" s="8">
        <v>157</v>
      </c>
      <c r="B316" s="8">
        <v>314</v>
      </c>
      <c r="D316">
        <v>2819.7211350294001</v>
      </c>
      <c r="E316">
        <v>697.08708414873001</v>
      </c>
      <c r="F316">
        <v>126.23681687440001</v>
      </c>
      <c r="G316">
        <v>111.68552253116</v>
      </c>
      <c r="I316" s="9">
        <f t="shared" si="44"/>
        <v>585.40156161757</v>
      </c>
      <c r="J316" s="9">
        <f t="shared" si="45"/>
        <v>2693.484318155</v>
      </c>
      <c r="K316" s="9">
        <f t="shared" si="31"/>
        <v>585.40156161757</v>
      </c>
      <c r="L316" s="10">
        <f t="shared" si="30"/>
        <v>0.21733988116127667</v>
      </c>
      <c r="M316" s="10">
        <f t="shared" si="46"/>
        <v>0.24431834085605908</v>
      </c>
      <c r="P316" s="8">
        <f t="shared" si="47"/>
        <v>5.7107324114732551E-2</v>
      </c>
    </row>
    <row r="317" spans="1:16" x14ac:dyDescent="0.2">
      <c r="A317" s="8">
        <v>157.5</v>
      </c>
      <c r="B317" s="8">
        <v>315</v>
      </c>
      <c r="D317">
        <v>2623.4510763209</v>
      </c>
      <c r="E317">
        <v>658.08610567514995</v>
      </c>
      <c r="F317">
        <v>125.99712368169</v>
      </c>
      <c r="G317">
        <v>111.43720038351</v>
      </c>
      <c r="I317" s="9">
        <f t="shared" si="44"/>
        <v>546.64890529163995</v>
      </c>
      <c r="J317" s="9">
        <f t="shared" si="45"/>
        <v>2497.45395263921</v>
      </c>
      <c r="K317" s="9">
        <f t="shared" si="31"/>
        <v>546.64890529163995</v>
      </c>
      <c r="L317" s="10">
        <f t="shared" si="30"/>
        <v>0.2188824761769734</v>
      </c>
      <c r="M317" s="10">
        <f t="shared" si="46"/>
        <v>0.24594685453320414</v>
      </c>
      <c r="P317" s="8">
        <f t="shared" si="47"/>
        <v>0.72404197667481685</v>
      </c>
    </row>
    <row r="318" spans="1:16" x14ac:dyDescent="0.2">
      <c r="A318" s="8">
        <v>158</v>
      </c>
      <c r="B318" s="8">
        <v>316</v>
      </c>
      <c r="D318">
        <v>2552.2974806202001</v>
      </c>
      <c r="E318">
        <v>639.18120155039003</v>
      </c>
      <c r="F318">
        <v>125.87919463087</v>
      </c>
      <c r="G318">
        <v>111.01150527324999</v>
      </c>
      <c r="I318" s="9">
        <f t="shared" si="44"/>
        <v>528.16969627714002</v>
      </c>
      <c r="J318" s="9">
        <f t="shared" si="45"/>
        <v>2426.4182859893299</v>
      </c>
      <c r="K318" s="9">
        <f t="shared" si="31"/>
        <v>528.16969627714002</v>
      </c>
      <c r="L318" s="10">
        <f t="shared" si="30"/>
        <v>0.21767462738263532</v>
      </c>
      <c r="M318" s="10">
        <f t="shared" si="46"/>
        <v>0.24482492440031442</v>
      </c>
      <c r="P318" s="8">
        <f t="shared" si="47"/>
        <v>0.26457142148288537</v>
      </c>
    </row>
    <row r="319" spans="1:16" x14ac:dyDescent="0.2">
      <c r="A319" s="8">
        <v>158.5</v>
      </c>
      <c r="B319" s="8">
        <v>317</v>
      </c>
      <c r="D319">
        <v>2497.3662790697999</v>
      </c>
      <c r="E319">
        <v>629.62015503876</v>
      </c>
      <c r="F319">
        <v>126.0527325024</v>
      </c>
      <c r="G319">
        <v>111.43048897411001</v>
      </c>
      <c r="I319" s="9">
        <f t="shared" si="44"/>
        <v>518.18966606465005</v>
      </c>
      <c r="J319" s="9">
        <f t="shared" si="45"/>
        <v>2371.3135465674</v>
      </c>
      <c r="K319" s="9">
        <f t="shared" si="31"/>
        <v>518.18966606465005</v>
      </c>
      <c r="L319" s="10">
        <f t="shared" si="30"/>
        <v>0.21852431400932054</v>
      </c>
      <c r="M319" s="10">
        <f t="shared" si="46"/>
        <v>0.245760529688448</v>
      </c>
      <c r="P319" s="8">
        <f t="shared" si="47"/>
        <v>0.64773528220566146</v>
      </c>
    </row>
    <row r="320" spans="1:16" x14ac:dyDescent="0.2">
      <c r="A320" s="8">
        <v>159</v>
      </c>
      <c r="B320" s="8">
        <v>318</v>
      </c>
      <c r="D320">
        <v>2386.5417475728</v>
      </c>
      <c r="E320">
        <v>605.13300970874002</v>
      </c>
      <c r="F320">
        <v>125.89357622244</v>
      </c>
      <c r="G320">
        <v>111.40939597315</v>
      </c>
      <c r="I320" s="9">
        <f>E320-G320</f>
        <v>493.72361373558999</v>
      </c>
      <c r="J320" s="9">
        <f>D320-F320</f>
        <v>2260.6481713503599</v>
      </c>
      <c r="K320" s="9">
        <f t="shared" si="31"/>
        <v>493.72361373558999</v>
      </c>
      <c r="L320" s="10">
        <f t="shared" si="30"/>
        <v>0.21839913879242542</v>
      </c>
      <c r="M320" s="10">
        <f>L320+ABS($N$2)*A320</f>
        <v>0.24572127313300124</v>
      </c>
      <c r="O320" s="11"/>
      <c r="P320" s="8">
        <f>(M320-$O$2)/$O$2*100</f>
        <v>0.63165831734191591</v>
      </c>
    </row>
    <row r="321" spans="1:16" x14ac:dyDescent="0.2">
      <c r="A321" s="8">
        <v>159.5</v>
      </c>
      <c r="B321" s="8">
        <v>319</v>
      </c>
      <c r="D321">
        <v>2326.4679611651</v>
      </c>
      <c r="E321">
        <v>591.98543689320002</v>
      </c>
      <c r="F321">
        <v>125.70949185043</v>
      </c>
      <c r="G321">
        <v>111.39501438159</v>
      </c>
      <c r="I321" s="9">
        <f t="shared" ref="I321:I322" si="48">E321-G321</f>
        <v>480.59042251161003</v>
      </c>
      <c r="J321" s="9">
        <f t="shared" ref="J321:J322" si="49">D321-F321</f>
        <v>2200.75846931467</v>
      </c>
      <c r="K321" s="9">
        <f t="shared" si="31"/>
        <v>480.59042251161003</v>
      </c>
      <c r="L321" s="10">
        <f t="shared" si="30"/>
        <v>0.21837490538490073</v>
      </c>
      <c r="M321" s="10">
        <f t="shared" ref="M321:M322" si="50">L321+ABS($N$2)*A321</f>
        <v>0.24578295838692488</v>
      </c>
      <c r="P321" s="8">
        <f t="shared" ref="P321:P322" si="51">(M321-$O$2)/$O$2*100</f>
        <v>0.65692063719283933</v>
      </c>
    </row>
    <row r="322" spans="1:16" x14ac:dyDescent="0.2">
      <c r="A322" s="8">
        <v>160</v>
      </c>
      <c r="B322" s="8">
        <v>320</v>
      </c>
      <c r="D322">
        <v>2246.9796116504999</v>
      </c>
      <c r="E322">
        <v>570.10970873786005</v>
      </c>
      <c r="F322">
        <v>125.83413231064</v>
      </c>
      <c r="G322">
        <v>111.31927133268999</v>
      </c>
      <c r="I322" s="9">
        <f t="shared" si="48"/>
        <v>458.79043740517005</v>
      </c>
      <c r="J322" s="9">
        <f t="shared" si="49"/>
        <v>2121.1454793398598</v>
      </c>
      <c r="K322" s="9">
        <f t="shared" si="31"/>
        <v>458.79043740517005</v>
      </c>
      <c r="L322" s="10">
        <f t="shared" ref="L322" si="52">K322/J322</f>
        <v>0.21629371576529216</v>
      </c>
      <c r="M322" s="10">
        <f t="shared" si="50"/>
        <v>0.24378768742876467</v>
      </c>
      <c r="P322" s="8">
        <f t="shared" si="51"/>
        <v>-0.16021425207421175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240828E015</vt:lpstr>
      <vt:lpstr>240828E016</vt:lpstr>
      <vt:lpstr>240828E017</vt:lpstr>
      <vt:lpstr>240828E020</vt:lpstr>
      <vt:lpstr>240828E021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Breanna Walsh</cp:lastModifiedBy>
  <dcterms:created xsi:type="dcterms:W3CDTF">2024-07-26T18:06:04Z</dcterms:created>
  <dcterms:modified xsi:type="dcterms:W3CDTF">2024-11-19T02:14:57Z</dcterms:modified>
</cp:coreProperties>
</file>